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4"/>
    <sheet state="visible" name="Sheet30" sheetId="2" r:id="rId5"/>
    <sheet state="visible" name="Sheet32" sheetId="3" r:id="rId6"/>
    <sheet state="visible" name="Sheet33" sheetId="4" r:id="rId7"/>
    <sheet state="visible" name="Sheet31" sheetId="5" r:id="rId8"/>
    <sheet state="hidden" name="Sheet13" sheetId="6" r:id="rId9"/>
    <sheet state="visible" name="Sheet28" sheetId="7" r:id="rId10"/>
    <sheet state="visible" name="SECO Stocktake" sheetId="8" r:id="rId11"/>
    <sheet state="visible" name="Sheet34" sheetId="9" r:id="rId12"/>
    <sheet state="visible" name="Sheet29" sheetId="10" r:id="rId13"/>
    <sheet state="visible" name="Ray-Ban Working Sheet" sheetId="11" r:id="rId14"/>
    <sheet state="visible" name="FT SECO ALIAS" sheetId="12" r:id="rId15"/>
    <sheet state="visible" name="Form Responses 1" sheetId="13" r:id="rId16"/>
    <sheet state="visible" name="Sheet12" sheetId="14" r:id="rId17"/>
    <sheet state="visible" name="Dashboard" sheetId="15" r:id="rId18"/>
    <sheet state="visible" name="Brands" sheetId="16" r:id="rId19"/>
    <sheet state="visible" name="Sheet11" sheetId="17" r:id="rId20"/>
    <sheet state="hidden" name="Detail4-BABY FRAMES SHEET-Order" sheetId="18" r:id="rId21"/>
    <sheet state="hidden" name="Detail3-BABY FRAMES SHEET-Inwar" sheetId="19" r:id="rId22"/>
    <sheet state="hidden" name="Detail2-CK1145SK_975_59-Inwarde" sheetId="20" r:id="rId23"/>
    <sheet state="hidden" name="fk alias" sheetId="21" r:id="rId24"/>
  </sheets>
  <definedNames>
    <definedName hidden="1" localSheetId="13" name="_xlnm._FilterDatabase">Sheet12!$A$2:$I$211</definedName>
    <definedName hidden="1" localSheetId="7" name="Z_4A2FE0C1_66D0_49FB_B2A8_768D947A9260_.wvu.FilterData">'SECO Stocktake'!$A$1:$G$1433</definedName>
    <definedName hidden="1" localSheetId="7" name="Z_8CD26B5E_9DD0_4F49_8C26_725CB925F040_.wvu.FilterData">'SECO Stocktake'!$A$1:$G$1433</definedName>
    <definedName hidden="1" localSheetId="13" name="Z_EA02C0C0_5ADB_422B_8B22_D697733516A8_.wvu.FilterData">Sheet12!$T$118</definedName>
    <definedName hidden="1" localSheetId="7" name="Z_97428ACB_B9B4_45B9_AADD_C8040D9CB107_.wvu.FilterData">'SECO Stocktake'!$A$1:$G$1433</definedName>
    <definedName hidden="1" localSheetId="7" name="Z_8BCBF603_A7ED_40DE_A966_D9447607FB6B_.wvu.FilterData">'SECO Stocktake'!$A$1:$G$1433</definedName>
    <definedName hidden="1" localSheetId="7" name="Z_9BF4C137_CCED_46AC_A13A_8417F6CD29F9_.wvu.FilterData">'SECO Stocktake'!$A$1:$G$1433</definedName>
    <definedName hidden="1" localSheetId="7" name="Z_237496F7_DFDE_47FC_8450_F17117AF482F_.wvu.FilterData">'SECO Stocktake'!$A$1:$G$1433</definedName>
    <definedName hidden="1" localSheetId="7" name="Z_FB9D679B_48CF_40B9_9384_A3AB772D72D1_.wvu.FilterData">'SECO Stocktake'!$A$1:$G$1433</definedName>
    <definedName hidden="1" localSheetId="7" name="Z_FBE7F28D_2550_4A5D_8A53_1A2DFC5199A7_.wvu.FilterData">'SECO Stocktake'!$A$1:$G$1433</definedName>
    <definedName hidden="1" localSheetId="7" name="Z_C0F7FD07_4838_4537_A979_0C0C0C90FB80_.wvu.FilterData">'SECO Stocktake'!$A$1:$G$1433</definedName>
    <definedName hidden="1" localSheetId="7" name="Z_4FAEF0B9_8BB1_49BC_BB4B_A374B23931F3_.wvu.FilterData">'SECO Stocktake'!$A$1:$G$1433</definedName>
    <definedName hidden="1" localSheetId="7" name="Z_AEA9119D_3057_4B2B_BCA9_BCEE0CC9C132_.wvu.FilterData">'SECO Stocktake'!$A$1:$G$1433</definedName>
    <definedName hidden="1" localSheetId="7" name="Z_F66A2C18_3E51_4E6E_8C30_C73770C5C363_.wvu.FilterData">'SECO Stocktake'!$A$1:$G$1433</definedName>
    <definedName hidden="1" localSheetId="7" name="Z_D6715C26_5B04_4A81_BB88_EA8B34C24BB4_.wvu.FilterData">'SECO Stocktake'!$A$1:$G$1433</definedName>
    <definedName hidden="1" localSheetId="7" name="Z_FF0D52AB_2579_406A_A308_50180DB3C7DA_.wvu.FilterData">'SECO Stocktake'!$A$1:$G$1433</definedName>
    <definedName hidden="1" localSheetId="7" name="Z_013AA9FF_1BD7_475C_A847_B40E8D4C7A26_.wvu.FilterData">'SECO Stocktake'!$A$1:$G$1433</definedName>
    <definedName hidden="1" localSheetId="12" name="Z_013AA9FF_1BD7_475C_A847_B40E8D4C7A26_.wvu.FilterData">'Form Responses 1'!$A$1:$DZ$13098</definedName>
    <definedName hidden="1" localSheetId="13" name="Z_013AA9FF_1BD7_475C_A847_B40E8D4C7A26_.wvu.FilterData">Sheet12!$A$1:$A$961</definedName>
    <definedName hidden="1" localSheetId="7" name="Z_584F0C70_F3B2_4757_BFA7_8CF1F51CB5A0_.wvu.FilterData">'SECO Stocktake'!$A$1:$G$1433</definedName>
  </definedNames>
  <calcPr/>
  <customWorkbookViews>
    <customWorkbookView activeSheetId="0" maximized="1" windowHeight="0" windowWidth="0" guid="{97428ACB-B9B4-45B9-AADD-C8040D9CB107}" name="Filter 11"/>
    <customWorkbookView activeSheetId="0" maximized="1" windowHeight="0" windowWidth="0" guid="{FBE7F28D-2550-4A5D-8A53-1A2DFC5199A7}" name="Filter 22"/>
    <customWorkbookView activeSheetId="0" maximized="1" windowHeight="0" windowWidth="0" guid="{8BCBF603-A7ED-40DE-A966-D9447607FB6B}" name="Filter 12"/>
    <customWorkbookView activeSheetId="0" maximized="1" windowHeight="0" windowWidth="0" guid="{FF0D52AB-2579-406A-A308-50180DB3C7DA}" name="Filter 14"/>
    <customWorkbookView activeSheetId="0" maximized="1" windowHeight="0" windowWidth="0" guid="{D6715C26-5B04-4A81-BB88-EA8B34C24BB4}" name="Filter 16"/>
    <customWorkbookView activeSheetId="0" maximized="1" windowHeight="0" windowWidth="0" guid="{FB9D679B-48CF-40B9-9384-A3AB772D72D1}" name="Filter 17"/>
    <customWorkbookView activeSheetId="0" maximized="1" windowHeight="0" windowWidth="0" guid="{8CD26B5E-9DD0-4F49-8C26-725CB925F040}" name="Filter 18"/>
    <customWorkbookView activeSheetId="0" maximized="1" windowHeight="0" windowWidth="0" guid="{9BF4C137-CCED-46AC-A13A-8417F6CD29F9}" name="Filter 20"/>
    <customWorkbookView activeSheetId="0" maximized="1" windowHeight="0" windowWidth="0" guid="{584F0C70-F3B2-4757-BFA7-8CF1F51CB5A0}" name="Filter 8"/>
    <customWorkbookView activeSheetId="0" maximized="1" windowHeight="0" windowWidth="0" guid="{4FAEF0B9-8BB1-49BC-BB4B-A374B23931F3}" name="Filter 9"/>
    <customWorkbookView activeSheetId="0" maximized="1" windowHeight="0" windowWidth="0" guid="{C0F7FD07-4838-4537-A979-0C0C0C90FB80}" name="Filter 21"/>
    <customWorkbookView activeSheetId="0" maximized="1" windowHeight="0" windowWidth="0" guid="{AEA9119D-3057-4B2B-BCA9-BCEE0CC9C132}" name="Filter 7"/>
    <customWorkbookView activeSheetId="0" maximized="1" windowHeight="0" windowWidth="0" guid="{4A2FE0C1-66D0-49FB-B2A8-768D947A9260}" name="Filter 5"/>
    <customWorkbookView activeSheetId="0" maximized="1" windowHeight="0" windowWidth="0" guid="{237496F7-DFDE-47FC-8450-F17117AF482F}" name="Filter 3"/>
    <customWorkbookView activeSheetId="0" maximized="1" windowHeight="0" windowWidth="0" guid="{013AA9FF-1BD7-475C-A847-B40E8D4C7A26}" name="Filter 1"/>
    <customWorkbookView activeSheetId="0" maximized="1" windowHeight="0" windowWidth="0" guid="{F66A2C18-3E51-4E6E-8C30-C73770C5C363}" name="Filter 19"/>
    <customWorkbookView activeSheetId="0" maximized="1" windowHeight="0" windowWidth="0" guid="{EA02C0C0-5ADB-422B-8B22-D697733516A8}" name="IDS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tc={725e1269-7976-4f1a-ba23-9221e0486afb}</author>
  </authors>
  <commentList>
    <comment authorId="0" xr:uid="{725e1269-7976-4f1a-ba23-9221e0486a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mismatch due to unverified entry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tc={5416cf60-35e2-41bb-85f3-a8551458e779}</author>
    <author>tc={fc8c83e0-fdff-4516-a55f-a0aebe0d222f}</author>
  </authors>
  <commentList>
    <comment authorId="0" ref="S6768">
      <text>
        <t xml:space="preserve">Responder updated this value.</t>
      </text>
    </comment>
    <comment authorId="1" xr:uid="{5416cf60-35e2-41bb-85f3-a8551458e779}" ref="A28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cehcked
</t>
      </text>
    </comment>
    <comment authorId="2" xr:uid="{fc8c83e0-fdff-4516-a55f-a0aebe0d222f}" ref="Q4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SM127506519
</t>
      </text>
    </comment>
  </commentList>
</comments>
</file>

<file path=xl/sharedStrings.xml><?xml version="1.0" encoding="utf-8"?>
<sst xmlns="http://schemas.openxmlformats.org/spreadsheetml/2006/main" count="86021" uniqueCount="15001">
  <si>
    <t>Timestamp</t>
  </si>
  <si>
    <t>Untitled Question</t>
  </si>
  <si>
    <t>19/1/2026</t>
  </si>
  <si>
    <t>25/1/2026</t>
  </si>
  <si>
    <t>27/1/2026</t>
  </si>
  <si>
    <t>28/1/2026</t>
  </si>
  <si>
    <t>HC SPH</t>
  </si>
  <si>
    <t>PC</t>
  </si>
  <si>
    <t>PLAN</t>
  </si>
  <si>
    <t>```</t>
  </si>
  <si>
    <t>CYL</t>
  </si>
  <si>
    <t>20/1/2026</t>
  </si>
  <si>
    <t>22/1/2026</t>
  </si>
  <si>
    <t>-0.25/</t>
  </si>
  <si>
    <t>0.50/</t>
  </si>
  <si>
    <t>MINUS/MINUS</t>
  </si>
  <si>
    <t>-0.25/-0.25CYL</t>
  </si>
  <si>
    <t>-0.25/-0.50CYL</t>
  </si>
  <si>
    <t>-0.25/-0.75CYL</t>
  </si>
  <si>
    <t>-0.25/-1.00CYL</t>
  </si>
  <si>
    <t>-0.25/-1.25CYL</t>
  </si>
  <si>
    <t>-0.25/-150CYL</t>
  </si>
  <si>
    <t>-0.25/1.75CYL</t>
  </si>
  <si>
    <t>-0.25/-2.00CYL</t>
  </si>
  <si>
    <t>-0.25/-2.25CYL</t>
  </si>
  <si>
    <t>-0.5/-0.25</t>
  </si>
  <si>
    <t>-0.5/-0.75</t>
  </si>
  <si>
    <t>-0.5/-1.75</t>
  </si>
  <si>
    <t>-0.50/1.75</t>
  </si>
  <si>
    <t>-3.50/-3.75</t>
  </si>
  <si>
    <t>-0.50/-4.00</t>
  </si>
  <si>
    <t>-0.5/-3.75</t>
  </si>
  <si>
    <t>-0.75/-0.25</t>
  </si>
  <si>
    <t>-0.75/-1.5</t>
  </si>
  <si>
    <t>-0.75/-1.75</t>
  </si>
  <si>
    <t>-1.0/-0.25</t>
  </si>
  <si>
    <t>-1.0/-0.75</t>
  </si>
  <si>
    <t>-1.0/-2.50</t>
  </si>
  <si>
    <t>-1.25/-0.25</t>
  </si>
  <si>
    <t>-1.25/-1.75</t>
  </si>
  <si>
    <t>-1.25/-2.50</t>
  </si>
  <si>
    <t>-1.5/-0.25</t>
  </si>
  <si>
    <t>-1.5/-2.5</t>
  </si>
  <si>
    <t>1.75/-0.25</t>
  </si>
  <si>
    <t>1.75/-0.5</t>
  </si>
  <si>
    <t>1.75/-0.75</t>
  </si>
  <si>
    <t>1.75/-1.0</t>
  </si>
  <si>
    <t>1.75/-1.25</t>
  </si>
  <si>
    <t>1.75/-1.50</t>
  </si>
  <si>
    <t>1.75/-1.75</t>
  </si>
  <si>
    <t>1.75/-2.0</t>
  </si>
  <si>
    <t>1.75/-2.25</t>
  </si>
  <si>
    <t>1.75/-2.5</t>
  </si>
  <si>
    <t>2.0/-0.25</t>
  </si>
  <si>
    <t>2.0/-0.5</t>
  </si>
  <si>
    <t>2.0/-1.75</t>
  </si>
  <si>
    <t>-2.00/-3.00</t>
  </si>
  <si>
    <t>-2.0/-3.50</t>
  </si>
  <si>
    <t>-2.0/-3.0</t>
  </si>
  <si>
    <t>-2.00/-3.50</t>
  </si>
  <si>
    <t>-2.25/-0.25</t>
  </si>
  <si>
    <t>-2.25/-0.75</t>
  </si>
  <si>
    <t>-2.25/-1.25</t>
  </si>
  <si>
    <t>-2.25/-1.75</t>
  </si>
  <si>
    <t>-2.25/2.50</t>
  </si>
  <si>
    <t>-2.50/-0.25</t>
  </si>
  <si>
    <t>-2.50/-0.50</t>
  </si>
  <si>
    <t>-2.50/-0.75</t>
  </si>
  <si>
    <t>-2.50/-1.0</t>
  </si>
  <si>
    <t>-2.50/-1.25</t>
  </si>
  <si>
    <t>-2.50/-1.75</t>
  </si>
  <si>
    <t>-2.50/-2.0</t>
  </si>
  <si>
    <t>-2.50/-2.50</t>
  </si>
  <si>
    <t>-2.75/-0.25</t>
  </si>
  <si>
    <t>-2.75/-0.50</t>
  </si>
  <si>
    <t>-2.75/-0.75</t>
  </si>
  <si>
    <t>-2.75/-1.0</t>
  </si>
  <si>
    <t>-2.75/-1.25</t>
  </si>
  <si>
    <t>-2.75/-1.50</t>
  </si>
  <si>
    <t>-2.75/-1.75</t>
  </si>
  <si>
    <t>-2.75/-2.0</t>
  </si>
  <si>
    <t>-2.75/-2.25</t>
  </si>
  <si>
    <t>-2.75/-2.50</t>
  </si>
  <si>
    <t>-2.75/-2.75</t>
  </si>
  <si>
    <t>-2.75/-3.0</t>
  </si>
  <si>
    <t>-3.0/-0.25</t>
  </si>
  <si>
    <t>-3.0/-0.50</t>
  </si>
  <si>
    <t>-3.0/-0.75</t>
  </si>
  <si>
    <t>-3.0/-1.0</t>
  </si>
  <si>
    <t>-3.0/-1.25</t>
  </si>
  <si>
    <t>-3.0/-1.50</t>
  </si>
  <si>
    <t>-3.25/-0.25</t>
  </si>
  <si>
    <t>-3.25/0.50</t>
  </si>
  <si>
    <t>-3.25/1.50</t>
  </si>
  <si>
    <t>-3.25/2.25</t>
  </si>
  <si>
    <t>-3.50/-0.25</t>
  </si>
  <si>
    <t>-3.50/0.50</t>
  </si>
  <si>
    <t>-3.50/0.75</t>
  </si>
  <si>
    <t>-3.50/-2.50</t>
  </si>
  <si>
    <t>-3.75/-0.50</t>
  </si>
  <si>
    <t>-3.75/-1.50</t>
  </si>
  <si>
    <t>-375/-150</t>
  </si>
  <si>
    <t>-4.0/-0.25</t>
  </si>
  <si>
    <t>-4.0/-0.50</t>
  </si>
  <si>
    <t>-4.50/-1.00</t>
  </si>
  <si>
    <t>-4.50/-1.50</t>
  </si>
  <si>
    <t>-4.50/-2.50</t>
  </si>
  <si>
    <t>-4.75/0.50</t>
  </si>
  <si>
    <t>-4.75/0.75</t>
  </si>
  <si>
    <t>-4.75/-1.00</t>
  </si>
  <si>
    <t>-4.75/-2.00</t>
  </si>
  <si>
    <t>-5.00/0.50</t>
  </si>
  <si>
    <t>-5.00/1.00</t>
  </si>
  <si>
    <t>-5.00/-2.00</t>
  </si>
  <si>
    <t>-5.25/1.50</t>
  </si>
  <si>
    <t>-5.50/-0.50</t>
  </si>
  <si>
    <t>-5.50/-0.75</t>
  </si>
  <si>
    <t>-5.50/-2.00</t>
  </si>
  <si>
    <t>-6.00/-0.50</t>
  </si>
  <si>
    <t>-6.50/-0.50</t>
  </si>
  <si>
    <t>-6.50/1.75</t>
  </si>
  <si>
    <t>-6.50/-3.00</t>
  </si>
  <si>
    <t>-8.00/-0.50</t>
  </si>
  <si>
    <t>-8.00/-0.75</t>
  </si>
  <si>
    <t>-9.00/-1.00</t>
  </si>
  <si>
    <t>MINUS/PLUS</t>
  </si>
  <si>
    <t>21/1/26</t>
  </si>
  <si>
    <t>-0.25/+0.50</t>
  </si>
  <si>
    <t>-0.25/+1.50</t>
  </si>
  <si>
    <t>-0.50/+0.50</t>
  </si>
  <si>
    <t>-0.50/1.50</t>
  </si>
  <si>
    <t>-0.50/+3.00</t>
  </si>
  <si>
    <t>-1.00/+0.75</t>
  </si>
  <si>
    <t>-1.00/+2.00</t>
  </si>
  <si>
    <t>-5.50/+1.25</t>
  </si>
  <si>
    <t>-0.25/-1.75</t>
  </si>
  <si>
    <t>BC/SPH</t>
  </si>
  <si>
    <t>BC/CYL</t>
  </si>
  <si>
    <t>0/-0.25</t>
  </si>
  <si>
    <t>0/-0.50</t>
  </si>
  <si>
    <t>0/-0.75</t>
  </si>
  <si>
    <t>0/-1.00</t>
  </si>
  <si>
    <t>0/1.25</t>
  </si>
  <si>
    <t>0/-1.50</t>
  </si>
  <si>
    <t>0/1.75</t>
  </si>
  <si>
    <t>0/-2.00</t>
  </si>
  <si>
    <t>0/-2.25</t>
  </si>
  <si>
    <t>0/-2.50</t>
  </si>
  <si>
    <t>0/-2.75</t>
  </si>
  <si>
    <t>0/-3.00</t>
  </si>
  <si>
    <t>-0.25/0.25</t>
  </si>
  <si>
    <t>-0.25/-0.50</t>
  </si>
  <si>
    <t>-0.25/-0.75</t>
  </si>
  <si>
    <t>-0.25/-1.0</t>
  </si>
  <si>
    <t>-0.25/-1.25</t>
  </si>
  <si>
    <t>-0.25/-1.5</t>
  </si>
  <si>
    <t>-0.25/-2.0</t>
  </si>
  <si>
    <t>-0.25/-2.25</t>
  </si>
  <si>
    <t>-0.25/-2.50</t>
  </si>
  <si>
    <t>-0.25/-2.75</t>
  </si>
  <si>
    <t>-0.25/-3.0</t>
  </si>
  <si>
    <t>-0.5/-0.5</t>
  </si>
  <si>
    <t>-0.5/-1.0</t>
  </si>
  <si>
    <t>-0.5/-1.25</t>
  </si>
  <si>
    <t>-0.5/-1.5</t>
  </si>
  <si>
    <t>-0.5/2.0</t>
  </si>
  <si>
    <t>-0.5/-2.25</t>
  </si>
  <si>
    <t>-0.5/-2.5</t>
  </si>
  <si>
    <t>-0.5/-2.75</t>
  </si>
  <si>
    <t>-0.5/-3.0</t>
  </si>
  <si>
    <t>-0.75/-0.5</t>
  </si>
  <si>
    <t>-0.75/-0.75</t>
  </si>
  <si>
    <t>-0.75/-1.0</t>
  </si>
  <si>
    <t>-0.75/-1.25</t>
  </si>
  <si>
    <t>-0.75/-2..0</t>
  </si>
  <si>
    <t>-0.75/-2.25</t>
  </si>
  <si>
    <t>-0.75/-2.5</t>
  </si>
  <si>
    <t>-0.75/-2.75</t>
  </si>
  <si>
    <t>-0.75.-3.0</t>
  </si>
  <si>
    <t>-1.0/-0.5</t>
  </si>
  <si>
    <t>-1.0/-1.0</t>
  </si>
  <si>
    <t>-1.0/-1.25</t>
  </si>
  <si>
    <t>-1.0/-1.5</t>
  </si>
  <si>
    <t>-1.0/1.75</t>
  </si>
  <si>
    <t>-1.0/-2.0</t>
  </si>
  <si>
    <t>-1.0/-2.25</t>
  </si>
  <si>
    <t>-1.0/-2.75</t>
  </si>
  <si>
    <t>-1.0/-3.0</t>
  </si>
  <si>
    <t>-1.25/-0.5</t>
  </si>
  <si>
    <t>-1.25/-0.75</t>
  </si>
  <si>
    <t>-1.25/-1.0</t>
  </si>
  <si>
    <t>-1.25/-1.25</t>
  </si>
  <si>
    <t>-1.25/-1.5</t>
  </si>
  <si>
    <t>-1.25/-2.0</t>
  </si>
  <si>
    <t>-1.25/-2.25</t>
  </si>
  <si>
    <t>-1.25/-2.75</t>
  </si>
  <si>
    <t>-1.25/-3.0</t>
  </si>
  <si>
    <t>-1.5/-0.5</t>
  </si>
  <si>
    <t>-1.5/-0.75</t>
  </si>
  <si>
    <t>-1.5/-1.0</t>
  </si>
  <si>
    <t>-1.5/-1.25</t>
  </si>
  <si>
    <t>-1.5/-1.5</t>
  </si>
  <si>
    <t>-1.5/-1.75</t>
  </si>
  <si>
    <t>-1.5/-2.0</t>
  </si>
  <si>
    <t>-1.5/-2.25</t>
  </si>
  <si>
    <t>-1.5/-2.75</t>
  </si>
  <si>
    <t>-1.5/-3.0</t>
  </si>
  <si>
    <t>1.75/-2.75</t>
  </si>
  <si>
    <t>1.75/-3.0</t>
  </si>
  <si>
    <t>-2.00/-0.50</t>
  </si>
  <si>
    <t>2.0/-0.75</t>
  </si>
  <si>
    <t>2.0/-1.0</t>
  </si>
  <si>
    <t>2.0/-1.25</t>
  </si>
  <si>
    <t>2.0/-1.5</t>
  </si>
  <si>
    <t>2.0/-2.0</t>
  </si>
  <si>
    <t>2.0/-2.25</t>
  </si>
  <si>
    <t>2.0/-2.50</t>
  </si>
  <si>
    <t>2.0/-2.75</t>
  </si>
  <si>
    <t>2.0/-3.0</t>
  </si>
  <si>
    <t>-2.25/-0.5</t>
  </si>
  <si>
    <t>-2.25/-1.0</t>
  </si>
  <si>
    <t>-2.25/-1.50</t>
  </si>
  <si>
    <t>-2.25/-2.0</t>
  </si>
  <si>
    <t>-2.25/-2.25</t>
  </si>
  <si>
    <t>-2.25/-2.75</t>
  </si>
  <si>
    <t>-2.25/-3.0</t>
  </si>
  <si>
    <t>-2.50/-1.50</t>
  </si>
  <si>
    <t>-2.50/-2.25</t>
  </si>
  <si>
    <t>-2.50/-2.75</t>
  </si>
  <si>
    <t>-2.50/-3.0</t>
  </si>
  <si>
    <t>-3.0/-1.75</t>
  </si>
  <si>
    <t>-3.0/-2.0</t>
  </si>
  <si>
    <t>-3.0/-2.25</t>
  </si>
  <si>
    <t>-3.0/-2.50</t>
  </si>
  <si>
    <t>-3.0/-2.75</t>
  </si>
  <si>
    <t>-3.0/-3.0</t>
  </si>
  <si>
    <t>PG</t>
  </si>
  <si>
    <t>0/-1.25</t>
  </si>
  <si>
    <t>0/1.50</t>
  </si>
  <si>
    <t>0/-1.75</t>
  </si>
  <si>
    <t>0/-3.50</t>
  </si>
  <si>
    <t>-3.25/-0.50</t>
  </si>
  <si>
    <t>AO</t>
  </si>
  <si>
    <t>BCPG</t>
  </si>
  <si>
    <t>CRKT</t>
  </si>
  <si>
    <t>Plus21/1/2026</t>
  </si>
  <si>
    <t>-0.25/-0.25  65</t>
  </si>
  <si>
    <t>-0.25/+1.00  135</t>
  </si>
  <si>
    <t>-0.25/+0.50 180</t>
  </si>
  <si>
    <t>0/0.50   45</t>
  </si>
  <si>
    <t>0/-0.50  70</t>
  </si>
  <si>
    <t>-0.50/-1.00  90</t>
  </si>
  <si>
    <t>-0.50/-1.25  90</t>
  </si>
  <si>
    <t>0/-0.75   85</t>
  </si>
  <si>
    <t>-0.75/-1.00  90</t>
  </si>
  <si>
    <t>-0.75/-1.25  110</t>
  </si>
  <si>
    <t>0/-0.75  20</t>
  </si>
  <si>
    <t>0/-1.00    130</t>
  </si>
  <si>
    <t>0/-1.00   135</t>
  </si>
  <si>
    <t>0/-1.00  180</t>
  </si>
  <si>
    <t>0/-1.00    90</t>
  </si>
  <si>
    <t>-1.00/0.50   90</t>
  </si>
  <si>
    <t>-1.00/-1.00  45</t>
  </si>
  <si>
    <t>-1.00/-1.00  90</t>
  </si>
  <si>
    <t>-1.00/-1.00  180</t>
  </si>
  <si>
    <t>0/-1.00   180</t>
  </si>
  <si>
    <t>0/1.50  180</t>
  </si>
  <si>
    <t>0/1.50  150</t>
  </si>
  <si>
    <t>0/2.00  45</t>
  </si>
  <si>
    <t>0/-2.00  90</t>
  </si>
  <si>
    <t>-0.5 90</t>
  </si>
  <si>
    <t>-0/-0.5 45</t>
  </si>
  <si>
    <t>-0/-0.5 90</t>
  </si>
  <si>
    <t>0/0.5 135</t>
  </si>
  <si>
    <t>0/-0.5 180</t>
  </si>
  <si>
    <t>0/-0.75 180</t>
  </si>
  <si>
    <t>-0/-0.75 90</t>
  </si>
  <si>
    <t>-0/-0.75 180</t>
  </si>
  <si>
    <t>0/-100 45</t>
  </si>
  <si>
    <t>0/-1.0 90</t>
  </si>
  <si>
    <t>0/-1.5 45</t>
  </si>
  <si>
    <t>PGKT</t>
  </si>
  <si>
    <t>0/-0.50  180</t>
  </si>
  <si>
    <t>0/-2.00  70</t>
  </si>
  <si>
    <t>ARC</t>
  </si>
  <si>
    <t>23-1-2026</t>
  </si>
  <si>
    <t>/-0.25</t>
  </si>
  <si>
    <t>/0.50</t>
  </si>
  <si>
    <t>/-0.75</t>
  </si>
  <si>
    <t>/-1</t>
  </si>
  <si>
    <t>/-2.5</t>
  </si>
  <si>
    <t>/-2.75</t>
  </si>
  <si>
    <t>/-3</t>
  </si>
  <si>
    <t>/-5.5</t>
  </si>
  <si>
    <t>-0.25/+0.75</t>
  </si>
  <si>
    <t>-0.5/-2.0</t>
  </si>
  <si>
    <t>-0.75/-2.0</t>
  </si>
  <si>
    <t>-1.00/-1.50</t>
  </si>
  <si>
    <t>-1.0/-1.75</t>
  </si>
  <si>
    <t>-1.00/-3.5</t>
  </si>
  <si>
    <t>-1.25/-1.50</t>
  </si>
  <si>
    <t>_1.25/-2.0</t>
  </si>
  <si>
    <t>_1.5/-1.0</t>
  </si>
  <si>
    <t>1.5/-1.75</t>
  </si>
  <si>
    <t>_-1.5/2.0</t>
  </si>
  <si>
    <t>-3.00/-1.75</t>
  </si>
  <si>
    <t>-3.50/-2.00</t>
  </si>
  <si>
    <t>-4.00/-1.50</t>
  </si>
  <si>
    <t>-4.75/2.00</t>
  </si>
  <si>
    <t>-5.00/0.75</t>
  </si>
  <si>
    <t>-6.00/-0.75</t>
  </si>
  <si>
    <t>-6.00/1.00</t>
  </si>
  <si>
    <t>-6.00/-1.50</t>
  </si>
  <si>
    <t>ARC SPH</t>
  </si>
  <si>
    <t xml:space="preserve">0/+0.25 </t>
  </si>
  <si>
    <t xml:space="preserve">0/+0.50 </t>
  </si>
  <si>
    <t>0/+0.75</t>
  </si>
  <si>
    <t>0/+1.00</t>
  </si>
  <si>
    <t>0./+1.25</t>
  </si>
  <si>
    <t>0/+1.50</t>
  </si>
  <si>
    <t>0/+1.75</t>
  </si>
  <si>
    <t>0/+2.0</t>
  </si>
  <si>
    <t>0/+2.25</t>
  </si>
  <si>
    <t>0/+2.50</t>
  </si>
  <si>
    <t>0/+2.75</t>
  </si>
  <si>
    <t>0/+3.0</t>
  </si>
  <si>
    <t>0/+3.50</t>
  </si>
  <si>
    <t>0.75/+0.50</t>
  </si>
  <si>
    <t>0.75/-1.0</t>
  </si>
  <si>
    <t>1.0/+1..5</t>
  </si>
  <si>
    <t>1.5/.25</t>
  </si>
  <si>
    <t>-1.75/-1.25</t>
  </si>
  <si>
    <t>-1.75/-1.5</t>
  </si>
  <si>
    <t>-1.75/-1.75</t>
  </si>
  <si>
    <t>-1.75/-2.0</t>
  </si>
  <si>
    <t>-2.-/-0.25</t>
  </si>
  <si>
    <t>-2.0/-1.25</t>
  </si>
  <si>
    <t>-2.0/-1.5</t>
  </si>
  <si>
    <t>-2.0/-1.75</t>
  </si>
  <si>
    <t>-2.0/-2.0</t>
  </si>
  <si>
    <t>-2.0/-2.50</t>
  </si>
  <si>
    <t>-2.25/-2.50</t>
  </si>
  <si>
    <t>-2.5/-0.25</t>
  </si>
  <si>
    <t>2.5/0.75</t>
  </si>
  <si>
    <t>2.5/1.0</t>
  </si>
  <si>
    <t>3.0/0.75</t>
  </si>
  <si>
    <t>4.0/1.0</t>
  </si>
  <si>
    <t>AR+PG</t>
  </si>
  <si>
    <t>ARC+PGKT</t>
  </si>
  <si>
    <t>GROUND GLASS</t>
  </si>
  <si>
    <t>PINNK COATING PL</t>
  </si>
  <si>
    <t>AO Glasses</t>
  </si>
  <si>
    <t>PLAIN</t>
  </si>
  <si>
    <t>1 SPH</t>
  </si>
  <si>
    <t>0.25/-0.50</t>
  </si>
  <si>
    <t>-0.25/-0.25</t>
  </si>
  <si>
    <t>-0.25/-1.00</t>
  </si>
  <si>
    <t>-0.25/-1.50</t>
  </si>
  <si>
    <t>-0.50/-0.25</t>
  </si>
  <si>
    <t>-0.50/-0.75</t>
  </si>
  <si>
    <t>-.050/-1.00</t>
  </si>
  <si>
    <t>-0.50/-1.25</t>
  </si>
  <si>
    <t>-0.50/-1.50</t>
  </si>
  <si>
    <t>-0.50/-1.75</t>
  </si>
  <si>
    <t>-0.50/-2.00</t>
  </si>
  <si>
    <t>-0.75/-1.00</t>
  </si>
  <si>
    <t>-0.75/-1.50</t>
  </si>
  <si>
    <t>-0.75/-2.00</t>
  </si>
  <si>
    <t>-1.00/-0.75</t>
  </si>
  <si>
    <t>-1.00/-1.00</t>
  </si>
  <si>
    <t>-1.00/-1.75</t>
  </si>
  <si>
    <t>-.1.00/-2.00</t>
  </si>
  <si>
    <t>-1.25/-1.00</t>
  </si>
  <si>
    <t>-1..25/-1.50</t>
  </si>
  <si>
    <t>-1.25/-2.00</t>
  </si>
  <si>
    <t>-1.50/-0.25</t>
  </si>
  <si>
    <t>-1.50/-0.75</t>
  </si>
  <si>
    <t>-1.50/-1.75</t>
  </si>
  <si>
    <t>-1.50/-2.00</t>
  </si>
  <si>
    <t>-1.75/-0.25</t>
  </si>
  <si>
    <t>-1.75/-1.00</t>
  </si>
  <si>
    <t>-2.00/-0.25</t>
  </si>
  <si>
    <t>-2.00/-1.00</t>
  </si>
  <si>
    <t>-2.00/-1.25</t>
  </si>
  <si>
    <t>-2.00/-1.75</t>
  </si>
  <si>
    <t>-2.00/-2.00</t>
  </si>
  <si>
    <t>-2.25/-1.00</t>
  </si>
  <si>
    <t>-2.25/-2.00</t>
  </si>
  <si>
    <t>-2.50/-1.00</t>
  </si>
  <si>
    <t>-2.50/1.25</t>
  </si>
  <si>
    <t>-2.50/-2.00</t>
  </si>
  <si>
    <t>-2.75/-1.00</t>
  </si>
  <si>
    <t>-2.75/--1.25</t>
  </si>
  <si>
    <t>2.75/-2.00</t>
  </si>
  <si>
    <t>-3.00/-0.50</t>
  </si>
  <si>
    <t>-3.00/0.75</t>
  </si>
  <si>
    <t>-3.00/-1.00</t>
  </si>
  <si>
    <t>-3.00/-1.25</t>
  </si>
  <si>
    <t>-3.00/-1.50</t>
  </si>
  <si>
    <t>-3.00/-200</t>
  </si>
  <si>
    <t>-3.50/-0.50</t>
  </si>
  <si>
    <t>-3.50/-0.75</t>
  </si>
  <si>
    <t>-3.50/1.00</t>
  </si>
  <si>
    <t>-3.50/-1.25</t>
  </si>
  <si>
    <t>-3.50/-1.50</t>
  </si>
  <si>
    <t>-3.50/1.75</t>
  </si>
  <si>
    <t>-3.75/-0.75</t>
  </si>
  <si>
    <t>-4.00/-0.50</t>
  </si>
  <si>
    <t>-4.00/-0.75</t>
  </si>
  <si>
    <t>-4.00/-1.00</t>
  </si>
  <si>
    <t>-4.00/-1.25</t>
  </si>
  <si>
    <t>-4.00/-1.75</t>
  </si>
  <si>
    <t>-4.00/-2.00</t>
  </si>
  <si>
    <t>-4.25/-0.50</t>
  </si>
  <si>
    <t>-4.25/-0.75</t>
  </si>
  <si>
    <t>esiloor/ crizal</t>
  </si>
  <si>
    <t>00/-0.50</t>
  </si>
  <si>
    <t>0/+0.50</t>
  </si>
  <si>
    <t>1.00/+1.00</t>
  </si>
  <si>
    <t>1.25/+0.25</t>
  </si>
  <si>
    <t>1.50/+0.50</t>
  </si>
  <si>
    <t>-4.00/+1.25</t>
  </si>
  <si>
    <t>SUPROL</t>
  </si>
  <si>
    <t>SWISS</t>
  </si>
  <si>
    <t>-0.25/+0.25 /1.5 180</t>
  </si>
  <si>
    <t>glass white</t>
  </si>
  <si>
    <t>1.00/+0.50</t>
  </si>
  <si>
    <t>0/+0.25</t>
  </si>
  <si>
    <t>/1.25</t>
  </si>
  <si>
    <t>0/+2.00</t>
  </si>
  <si>
    <t>/2.50</t>
  </si>
  <si>
    <t>/2.75</t>
  </si>
  <si>
    <t>/3.0</t>
  </si>
  <si>
    <t>/-1.25</t>
  </si>
  <si>
    <t>/3</t>
  </si>
  <si>
    <t>/3.5</t>
  </si>
  <si>
    <t>/4.0</t>
  </si>
  <si>
    <t>P G 6 line</t>
  </si>
  <si>
    <t>plain</t>
  </si>
  <si>
    <t>0/-4.00</t>
  </si>
  <si>
    <t>GLASS NO</t>
  </si>
  <si>
    <t>QTY(19/1/2026)</t>
  </si>
  <si>
    <t>23/1/2026</t>
  </si>
  <si>
    <t>24/1/2026</t>
  </si>
  <si>
    <t>29/1/2026</t>
  </si>
  <si>
    <t>SPH CRHC</t>
  </si>
  <si>
    <t>PLUS/MINUS</t>
  </si>
  <si>
    <t>0.25/-0.75</t>
  </si>
  <si>
    <t>0.25/-1.00</t>
  </si>
  <si>
    <t>0.25/-1.50</t>
  </si>
  <si>
    <t>0.25/_1.25</t>
  </si>
  <si>
    <t>0.25/-2.50</t>
  </si>
  <si>
    <t>0.5/-1.25</t>
  </si>
  <si>
    <t>0.5/1-1.75</t>
  </si>
  <si>
    <t>0.5/-2.25</t>
  </si>
  <si>
    <t>0.5/-2.50</t>
  </si>
  <si>
    <t>0.75/-1.25</t>
  </si>
  <si>
    <t>0.75/-3.00</t>
  </si>
  <si>
    <t>1.00/-0.25</t>
  </si>
  <si>
    <t>1.00/-0.50</t>
  </si>
  <si>
    <t>1.00/-1.25</t>
  </si>
  <si>
    <t>1.00/-1.50</t>
  </si>
  <si>
    <t>1.00/-1.75</t>
  </si>
  <si>
    <t>1.00/-2.00</t>
  </si>
  <si>
    <t>1.00/-3.50</t>
  </si>
  <si>
    <t>1.25/-1.50</t>
  </si>
  <si>
    <t>1.25/-1.75</t>
  </si>
  <si>
    <t>1.25/-2.00</t>
  </si>
  <si>
    <t>1.50/-1.75</t>
  </si>
  <si>
    <t>1.5/-2.00</t>
  </si>
  <si>
    <t>1.75/-0.50</t>
  </si>
  <si>
    <t>1.75/-4.00</t>
  </si>
  <si>
    <t>2.00/+0.50</t>
  </si>
  <si>
    <t>2.25/-0.75</t>
  </si>
  <si>
    <t>2.50/-1.50</t>
  </si>
  <si>
    <t>2.50/-3.50</t>
  </si>
  <si>
    <t>3.0/-0.25</t>
  </si>
  <si>
    <t>3.00/-0.50</t>
  </si>
  <si>
    <t>3.00/+2.00</t>
  </si>
  <si>
    <t>3.0/-3.00</t>
  </si>
  <si>
    <t>3.25/-0.25</t>
  </si>
  <si>
    <t>3.25/-0.75</t>
  </si>
  <si>
    <t>3.25/-1.25</t>
  </si>
  <si>
    <t>3.50/-0.75</t>
  </si>
  <si>
    <t>3.50/-2.50</t>
  </si>
  <si>
    <t>3.75/-0.50</t>
  </si>
  <si>
    <t>3.75/-0.75</t>
  </si>
  <si>
    <t>3.75/-1.00</t>
  </si>
  <si>
    <t>4.00/+2.00</t>
  </si>
  <si>
    <t>4.0/-4.0</t>
  </si>
  <si>
    <t>4.25/-3.00</t>
  </si>
  <si>
    <t>4.25/-0.50</t>
  </si>
  <si>
    <t>4.50/-0.50</t>
  </si>
  <si>
    <t>PLUS/PLUS</t>
  </si>
  <si>
    <t>0.25/+0.50</t>
  </si>
  <si>
    <t>0.25/+0.75</t>
  </si>
  <si>
    <t>0.25/+1.50</t>
  </si>
  <si>
    <t>0.50/+0.25</t>
  </si>
  <si>
    <t>0.50/+0.50</t>
  </si>
  <si>
    <t>0.50/+1.50</t>
  </si>
  <si>
    <t>0.50/+1.25</t>
  </si>
  <si>
    <t>0.75/+0.25</t>
  </si>
  <si>
    <t>0.75/+1.50</t>
  </si>
  <si>
    <t>0.75/+2.00</t>
  </si>
  <si>
    <t>0.75/+3.00</t>
  </si>
  <si>
    <t>1.00/+1.50</t>
  </si>
  <si>
    <t>1.00/+1.75</t>
  </si>
  <si>
    <t>1.00/+2.00</t>
  </si>
  <si>
    <t>1.25/+2.50</t>
  </si>
  <si>
    <t>1.75/+0.25</t>
  </si>
  <si>
    <t>1.75/+1.50</t>
  </si>
  <si>
    <t>1.75/+2.50</t>
  </si>
  <si>
    <t>2.00/+0.25</t>
  </si>
  <si>
    <t>2.00/+1..50</t>
  </si>
  <si>
    <t>2.00/+1.75</t>
  </si>
  <si>
    <t>2.00/+2.50</t>
  </si>
  <si>
    <t>2.00/+1.50</t>
  </si>
  <si>
    <t>2.25/+0.25</t>
  </si>
  <si>
    <t>2.25/+1.25</t>
  </si>
  <si>
    <t>2.25/+0.75</t>
  </si>
  <si>
    <t>2.25/+1.50</t>
  </si>
  <si>
    <t>2.25/+2.00</t>
  </si>
  <si>
    <t>2.50/+0.25</t>
  </si>
  <si>
    <t>2.50/+1.00</t>
  </si>
  <si>
    <t>2.50/+2.00</t>
  </si>
  <si>
    <t>2.50/+2.50</t>
  </si>
  <si>
    <t>2.75/+0.75</t>
  </si>
  <si>
    <t>2.75/+1.25</t>
  </si>
  <si>
    <t>2.75/+2.50</t>
  </si>
  <si>
    <t>3.00/+0.50</t>
  </si>
  <si>
    <t>3.00/+0.75</t>
  </si>
  <si>
    <t>3.00/+3.00</t>
  </si>
  <si>
    <t>2.50/+5.00</t>
  </si>
  <si>
    <t>3.75/+2.00</t>
  </si>
  <si>
    <t>6.50/+0.50</t>
  </si>
  <si>
    <t>7.75/+1.50</t>
  </si>
  <si>
    <t>9.50/+0.25</t>
  </si>
  <si>
    <t>PLANO</t>
  </si>
  <si>
    <t>BC CYL</t>
  </si>
  <si>
    <t>0/+1.25</t>
  </si>
  <si>
    <t>0/+3.00</t>
  </si>
  <si>
    <t>0.50/+1.00</t>
  </si>
  <si>
    <t>1.00/+0.75</t>
  </si>
  <si>
    <t>1.25/+1.25</t>
  </si>
  <si>
    <t>2.00/-2.00</t>
  </si>
  <si>
    <t>BC+PG</t>
  </si>
  <si>
    <t>1.00/-4.00</t>
  </si>
  <si>
    <t>0.25/+0.25</t>
  </si>
  <si>
    <t>0.75/+1.00</t>
  </si>
  <si>
    <t>0/+0.25 180</t>
  </si>
  <si>
    <t>0/+0.25   180</t>
  </si>
  <si>
    <t>0/0.25    180</t>
  </si>
  <si>
    <t>0.25/+0.50  180</t>
  </si>
  <si>
    <t>0.25/+0.75 170</t>
  </si>
  <si>
    <t>0.50/+1.00 180</t>
  </si>
  <si>
    <t>0/+0.50  180</t>
  </si>
  <si>
    <t>0/+0.50  90</t>
  </si>
  <si>
    <t>0/+0.50  20</t>
  </si>
  <si>
    <t>0/+0.50   90</t>
  </si>
  <si>
    <t>0/+0.50   180</t>
  </si>
  <si>
    <t>0.50/+0.50 180</t>
  </si>
  <si>
    <t>0.50/+1.50  180</t>
  </si>
  <si>
    <t>0/0.50 100</t>
  </si>
  <si>
    <t>0.50/-1.50  150</t>
  </si>
  <si>
    <t>0.50/-2.75  90</t>
  </si>
  <si>
    <t>0.75/+0.50 130</t>
  </si>
  <si>
    <t>0.75/+1.00 180</t>
  </si>
  <si>
    <t>0/0.75   90</t>
  </si>
  <si>
    <t>1.00/+1.00 10</t>
  </si>
  <si>
    <t>0/+1.00   45</t>
  </si>
  <si>
    <t>0/+1.00    135</t>
  </si>
  <si>
    <t>0/1.00  135</t>
  </si>
  <si>
    <t>0/+1.00   180</t>
  </si>
  <si>
    <t>0/+1.00   90</t>
  </si>
  <si>
    <t>1.00/+0.50 90</t>
  </si>
  <si>
    <t>1.0/+0.50 40</t>
  </si>
  <si>
    <t>0/+125  180</t>
  </si>
  <si>
    <t>1.25/+1.00  180</t>
  </si>
  <si>
    <t>1.00/+0.50  170</t>
  </si>
  <si>
    <t>1.00/+1.00 170</t>
  </si>
  <si>
    <t>1.50/+1.00  180</t>
  </si>
  <si>
    <t>1.50/+0.50 10</t>
  </si>
  <si>
    <t>1.50/+1.50  180</t>
  </si>
  <si>
    <t>0/+1.50   90</t>
  </si>
  <si>
    <t>1.50/+2.00  180</t>
  </si>
  <si>
    <t>1.75/+0.50 40</t>
  </si>
  <si>
    <t>2.00/+0.50  20</t>
  </si>
  <si>
    <t>0/+2.00  160</t>
  </si>
  <si>
    <t>2.00/+0.75 180</t>
  </si>
  <si>
    <t>0/1.5  130</t>
  </si>
  <si>
    <t>2.25/+0.75 160</t>
  </si>
  <si>
    <t>2.50/+0.50  180</t>
  </si>
  <si>
    <t>BLUE+PG KT</t>
  </si>
  <si>
    <t>0 STATE CUT</t>
  </si>
  <si>
    <t>0/+0.25 90</t>
  </si>
  <si>
    <t>0.75/+1.00 65</t>
  </si>
  <si>
    <t>0/+1.25   180</t>
  </si>
  <si>
    <t xml:space="preserve">1.00/+1.50 180 </t>
  </si>
  <si>
    <t>1.25/-2.25 105</t>
  </si>
  <si>
    <t>CRHC PROGRESSIVE</t>
  </si>
  <si>
    <t>1.50/-0.50  10</t>
  </si>
  <si>
    <t>1.50  180</t>
  </si>
  <si>
    <t>PLAINO</t>
  </si>
  <si>
    <t>1.25/+1.50  5</t>
  </si>
  <si>
    <t>BLUE CUT KT</t>
  </si>
  <si>
    <t>BLUE CUT  PROGRESSIVE</t>
  </si>
  <si>
    <t>1.00 SPH</t>
  </si>
  <si>
    <t>Code</t>
  </si>
  <si>
    <t>Brand</t>
  </si>
  <si>
    <t>Product Margin</t>
  </si>
  <si>
    <t>Cost Price/ MRP</t>
  </si>
  <si>
    <t>RB</t>
  </si>
  <si>
    <t>Rayban</t>
  </si>
  <si>
    <t>CI</t>
  </si>
  <si>
    <t>Citizen</t>
  </si>
  <si>
    <t>OO</t>
  </si>
  <si>
    <t>Oakley</t>
  </si>
  <si>
    <t>OX</t>
  </si>
  <si>
    <t>RJ</t>
  </si>
  <si>
    <t>BE</t>
  </si>
  <si>
    <t>Burberry</t>
  </si>
  <si>
    <t>PR</t>
  </si>
  <si>
    <t>Prada</t>
  </si>
  <si>
    <t>PS</t>
  </si>
  <si>
    <t>DG</t>
  </si>
  <si>
    <t>Dolce &amp; gabbana</t>
  </si>
  <si>
    <t>VE</t>
  </si>
  <si>
    <t>Versace</t>
  </si>
  <si>
    <t>VO</t>
  </si>
  <si>
    <t>Vogue</t>
  </si>
  <si>
    <t>ID</t>
  </si>
  <si>
    <t>IDEE</t>
  </si>
  <si>
    <t>IZ</t>
  </si>
  <si>
    <t>Izarra</t>
  </si>
  <si>
    <t>EA</t>
  </si>
  <si>
    <t>Emporio Armani</t>
  </si>
  <si>
    <t>HA</t>
  </si>
  <si>
    <t>Havell's</t>
  </si>
  <si>
    <t>PA</t>
  </si>
  <si>
    <t>Park Avenue</t>
  </si>
  <si>
    <t>RX</t>
  </si>
  <si>
    <t>TH</t>
  </si>
  <si>
    <t>Tommy Hilfiger</t>
  </si>
  <si>
    <t>FT</t>
  </si>
  <si>
    <t>Fastrack</t>
  </si>
  <si>
    <t>TS</t>
  </si>
  <si>
    <t>Ted Smith</t>
  </si>
  <si>
    <t>BV</t>
  </si>
  <si>
    <t>Bvlgari</t>
  </si>
  <si>
    <t>OP</t>
  </si>
  <si>
    <t>Opium</t>
  </si>
  <si>
    <t>Pierre Cardin</t>
  </si>
  <si>
    <t>CK</t>
  </si>
  <si>
    <t>Calvin Klein</t>
  </si>
  <si>
    <t>FO</t>
  </si>
  <si>
    <t>Fossil</t>
  </si>
  <si>
    <t>TI</t>
  </si>
  <si>
    <t>Titan Eye+</t>
  </si>
  <si>
    <t>RE</t>
  </si>
  <si>
    <t>Renu</t>
  </si>
  <si>
    <t>PL</t>
  </si>
  <si>
    <t>Polaroid</t>
  </si>
  <si>
    <t>DJ</t>
  </si>
  <si>
    <t>David Jones</t>
  </si>
  <si>
    <t>FC</t>
  </si>
  <si>
    <t>FCUK</t>
  </si>
  <si>
    <t>KX</t>
  </si>
  <si>
    <t>Killer Loop</t>
  </si>
  <si>
    <t>SQ</t>
  </si>
  <si>
    <t>Sequinze</t>
  </si>
  <si>
    <t>TF</t>
  </si>
  <si>
    <t>Tom Ford</t>
  </si>
  <si>
    <t>RC</t>
  </si>
  <si>
    <t>Roberto Cavalli</t>
  </si>
  <si>
    <t>Bi</t>
  </si>
  <si>
    <t>Biotrue</t>
  </si>
  <si>
    <t>Page</t>
  </si>
  <si>
    <t>MJ</t>
  </si>
  <si>
    <t>Marc Jacobs</t>
  </si>
  <si>
    <t>JC</t>
  </si>
  <si>
    <t>Jimmy Choo</t>
  </si>
  <si>
    <t>IN</t>
  </si>
  <si>
    <t>Invu</t>
  </si>
  <si>
    <t>DJ15T126_C3_54</t>
  </si>
  <si>
    <t>DJ15T156_C1_53</t>
  </si>
  <si>
    <t>DJ15T162_C3_52</t>
  </si>
  <si>
    <t>DJ15T163_C5_54</t>
  </si>
  <si>
    <t>FOS3010PS_003Y2_59</t>
  </si>
  <si>
    <t>FOS2057S_0039K_52</t>
  </si>
  <si>
    <t>BOSS HUGO BOSS SHEET</t>
  </si>
  <si>
    <t>VOGUE FANCY SHEET IST</t>
  </si>
  <si>
    <t>PUMA</t>
  </si>
  <si>
    <t>POLARE</t>
  </si>
  <si>
    <t>FT_P089GR3_M</t>
  </si>
  <si>
    <t>FT_P089WH4_M</t>
  </si>
  <si>
    <t>FT_M062BK1_M</t>
  </si>
  <si>
    <t>FT_M162BK1_M</t>
  </si>
  <si>
    <t>FT_M149BU2_M</t>
  </si>
  <si>
    <t>FT_P101BR2_M</t>
  </si>
  <si>
    <t>FT_P108BR2_M</t>
  </si>
  <si>
    <t>FT_P294BU2_M</t>
  </si>
  <si>
    <t>FT_M068BK8P_M</t>
  </si>
  <si>
    <t>FT_U005YL5F_58</t>
  </si>
  <si>
    <t>ID873_C3_51</t>
  </si>
  <si>
    <t>ID1001_C2_54</t>
  </si>
  <si>
    <t>ID1030_C1_53</t>
  </si>
  <si>
    <t>ID1033_C4_51</t>
  </si>
  <si>
    <t>ID1144_C2_53</t>
  </si>
  <si>
    <t>ID1038_C4_51</t>
  </si>
  <si>
    <t>ID1038_C6_51</t>
  </si>
  <si>
    <t>ID1152_C1_54</t>
  </si>
  <si>
    <t>ID1153_C4_52</t>
  </si>
  <si>
    <t>ID1460_C2_54</t>
  </si>
  <si>
    <t>ID1470_C5_52</t>
  </si>
  <si>
    <t>ID1470_C7_52</t>
  </si>
  <si>
    <t>ID1476_C4_52</t>
  </si>
  <si>
    <t>ID1479_C4_50</t>
  </si>
  <si>
    <t>ID1483_C2_50</t>
  </si>
  <si>
    <t>ID1489_C4_51</t>
  </si>
  <si>
    <t>ID1489_C5_51</t>
  </si>
  <si>
    <t>ID1509_C2_50</t>
  </si>
  <si>
    <t>ID1526_C2_49</t>
  </si>
  <si>
    <t>ID1528_C1_51</t>
  </si>
  <si>
    <t>ID1528_C3_51</t>
  </si>
  <si>
    <t>ID1531_C2_54</t>
  </si>
  <si>
    <t>ID1542_C2_53</t>
  </si>
  <si>
    <t>ID1544_C6_52</t>
  </si>
  <si>
    <t>ID1546_C2_52</t>
  </si>
  <si>
    <t>ID1558_C2_53</t>
  </si>
  <si>
    <t>ID1333_C4_47</t>
  </si>
  <si>
    <t>ID1523_C4_52</t>
  </si>
  <si>
    <t>ID1134_C2_49</t>
  </si>
  <si>
    <t>IDS1034_C1_56</t>
  </si>
  <si>
    <t>ID1213_C2_54</t>
  </si>
  <si>
    <t>ID1246_C2_51</t>
  </si>
  <si>
    <t>ID1248_C8_50</t>
  </si>
  <si>
    <t>ID1292_C3_52</t>
  </si>
  <si>
    <t>IDS2401_C4_52</t>
  </si>
  <si>
    <t>IDS2401_C7_52</t>
  </si>
  <si>
    <t>IDS1655_C3_M</t>
  </si>
  <si>
    <t>IDS1802_C2_57</t>
  </si>
  <si>
    <t>Title</t>
  </si>
  <si>
    <t>Lens Width</t>
  </si>
  <si>
    <t>Brands</t>
  </si>
  <si>
    <t>LOCATION</t>
  </si>
  <si>
    <t>TYPE</t>
  </si>
  <si>
    <t>COMMENTS</t>
  </si>
  <si>
    <t>MRP</t>
  </si>
  <si>
    <t>31/5/21</t>
  </si>
  <si>
    <t>14/6/21</t>
  </si>
  <si>
    <t>21/6/21</t>
  </si>
  <si>
    <t>29/6/21</t>
  </si>
  <si>
    <t>21/7/21</t>
  </si>
  <si>
    <t>31/7/21</t>
  </si>
  <si>
    <t>20/8/21</t>
  </si>
  <si>
    <t>18/9/21</t>
  </si>
  <si>
    <t>30/9/21</t>
  </si>
  <si>
    <t>20/10/21</t>
  </si>
  <si>
    <t>30/11/21</t>
  </si>
  <si>
    <t>25/9/21</t>
  </si>
  <si>
    <t>20/12/21</t>
  </si>
  <si>
    <t>Phy</t>
  </si>
  <si>
    <t>18/1/22</t>
  </si>
  <si>
    <t>24/1/22</t>
  </si>
  <si>
    <t>31/1/22</t>
  </si>
  <si>
    <t>15/2/22</t>
  </si>
  <si>
    <t>28/2/22</t>
  </si>
  <si>
    <t>30/3/22</t>
  </si>
  <si>
    <t>15/4/22</t>
  </si>
  <si>
    <t>30/4/22</t>
  </si>
  <si>
    <t>Physical check</t>
  </si>
  <si>
    <t>16/5/22</t>
  </si>
  <si>
    <t>31/5/22</t>
  </si>
  <si>
    <t>18/6/22</t>
  </si>
  <si>
    <t>30/6/22</t>
  </si>
  <si>
    <t>31-7-22</t>
  </si>
  <si>
    <t>17/8/22</t>
  </si>
  <si>
    <t>31/8/22</t>
  </si>
  <si>
    <t>15/9/22</t>
  </si>
  <si>
    <t>30/9/22</t>
  </si>
  <si>
    <t>15/11/22</t>
  </si>
  <si>
    <t>30/11/22</t>
  </si>
  <si>
    <t>15/12/22</t>
  </si>
  <si>
    <t>31/12/22</t>
  </si>
  <si>
    <t>15/01/22</t>
  </si>
  <si>
    <t>28/2/23</t>
  </si>
  <si>
    <t>21/3/23</t>
  </si>
  <si>
    <t>31/3</t>
  </si>
  <si>
    <t>31/5</t>
  </si>
  <si>
    <t>15/6</t>
  </si>
  <si>
    <t>PHY</t>
  </si>
  <si>
    <t>30/6</t>
  </si>
  <si>
    <t>15/7</t>
  </si>
  <si>
    <t>31/7</t>
  </si>
  <si>
    <t>15/8</t>
  </si>
  <si>
    <t>31/8</t>
  </si>
  <si>
    <t>30/9</t>
  </si>
  <si>
    <t>30/10</t>
  </si>
  <si>
    <t>30/11</t>
  </si>
  <si>
    <t>31/12</t>
  </si>
  <si>
    <t>15/01</t>
  </si>
  <si>
    <t>31/01</t>
  </si>
  <si>
    <t>15/2</t>
  </si>
  <si>
    <t>29/2</t>
  </si>
  <si>
    <t>15/3</t>
  </si>
  <si>
    <t>15/4</t>
  </si>
  <si>
    <t>30/4</t>
  </si>
  <si>
    <t>15/5</t>
  </si>
  <si>
    <t>PHY 13/4</t>
  </si>
  <si>
    <t>21/8</t>
  </si>
  <si>
    <t>15/9</t>
  </si>
  <si>
    <t>31/1/26</t>
  </si>
  <si>
    <t>15/2/26</t>
  </si>
  <si>
    <t>30/2/26</t>
  </si>
  <si>
    <t>31//26</t>
  </si>
  <si>
    <t>15-4-26</t>
  </si>
  <si>
    <t>18-4-26</t>
  </si>
  <si>
    <t>AO 1.6 CRHMC</t>
  </si>
  <si>
    <t>SPECTACLE GLASS</t>
  </si>
  <si>
    <t>HC</t>
  </si>
  <si>
    <t>Blue cut PG</t>
  </si>
  <si>
    <t>CRKT ARC</t>
  </si>
  <si>
    <t>Bluecut CRKT</t>
  </si>
  <si>
    <t>Blue ray Progressive</t>
  </si>
  <si>
    <t>BLUECUT HMC</t>
  </si>
  <si>
    <t>ZEISS BC</t>
  </si>
  <si>
    <t>PG 6 LINE</t>
  </si>
  <si>
    <t>GLASS</t>
  </si>
  <si>
    <t>PGARC</t>
  </si>
  <si>
    <t>WHITE KT</t>
  </si>
  <si>
    <t>Blue Cut PGKT</t>
  </si>
  <si>
    <t>PGKT 6LINE</t>
  </si>
  <si>
    <t>PG PROGRESSIVE</t>
  </si>
  <si>
    <t>SUPEROL</t>
  </si>
  <si>
    <t>CRIZAL UV</t>
  </si>
  <si>
    <t>Crizal SV</t>
  </si>
  <si>
    <t>Crizal SV KT</t>
  </si>
  <si>
    <t>color CLS</t>
  </si>
  <si>
    <t>Elements FSV Bluecut</t>
  </si>
  <si>
    <t>ESSILOR</t>
  </si>
  <si>
    <t>TRIO</t>
  </si>
  <si>
    <t>KROMOS</t>
  </si>
  <si>
    <t>Bandage lens</t>
  </si>
  <si>
    <t>LENS SHINE</t>
  </si>
  <si>
    <t>CONTACT LENS PCS</t>
  </si>
  <si>
    <t>CONTACT LENS</t>
  </si>
  <si>
    <t>color contact lens</t>
  </si>
  <si>
    <t>PROGRESSIVE</t>
  </si>
  <si>
    <t>COATED GLASS</t>
  </si>
  <si>
    <t>AZEETA SHEET</t>
  </si>
  <si>
    <t>AZEETA</t>
  </si>
  <si>
    <t>L6D4-7</t>
  </si>
  <si>
    <t>RECTANGLE FULL SHEET FRAME</t>
  </si>
  <si>
    <t>AB1084_C2_53</t>
  </si>
  <si>
    <t>AGNES</t>
  </si>
  <si>
    <t>T26S2-1</t>
  </si>
  <si>
    <t>RECTANGLE SUPRA METAL FRAME</t>
  </si>
  <si>
    <t>AB1087_C3_53</t>
  </si>
  <si>
    <t>RECTANGLE FULL METAL FRAME</t>
  </si>
  <si>
    <t>AB1087_C4_53</t>
  </si>
  <si>
    <t>T26S1-1</t>
  </si>
  <si>
    <t>AB1090_C1_53</t>
  </si>
  <si>
    <t>T75S2-1</t>
  </si>
  <si>
    <t>CATEYE SUPRA METAL FRAME</t>
  </si>
  <si>
    <t>AB1090_C2_53</t>
  </si>
  <si>
    <t>T75S3-1</t>
  </si>
  <si>
    <t>AB1090_C3_53</t>
  </si>
  <si>
    <t>NA</t>
  </si>
  <si>
    <t>AB1090_C4_53</t>
  </si>
  <si>
    <t>RECATNGLE SUPRA METAL FRAME</t>
  </si>
  <si>
    <t>AB1094_C3_53</t>
  </si>
  <si>
    <t>CATEYE FULL METAL FRAME</t>
  </si>
  <si>
    <t>AG1098_C4_49</t>
  </si>
  <si>
    <t>T15S2-1</t>
  </si>
  <si>
    <t>CATEYE FULL SHEET FRAME</t>
  </si>
  <si>
    <t>AB1098_C5_49</t>
  </si>
  <si>
    <t>D11-1</t>
  </si>
  <si>
    <t>AB1098_C6_49</t>
  </si>
  <si>
    <t>T76S2-1</t>
  </si>
  <si>
    <t>AB1100_C3_53</t>
  </si>
  <si>
    <t>AB1102_C3_52</t>
  </si>
  <si>
    <t>T76S3-1</t>
  </si>
  <si>
    <t>AB1103_C3_52</t>
  </si>
  <si>
    <t>AB1104_C3_54</t>
  </si>
  <si>
    <t>T30S2-1</t>
  </si>
  <si>
    <t>SUNGLASS</t>
  </si>
  <si>
    <t>AB1104_C4_54</t>
  </si>
  <si>
    <t>AB1108_C4_52</t>
  </si>
  <si>
    <t>C7-1</t>
  </si>
  <si>
    <t>AB1108_C5_52</t>
  </si>
  <si>
    <t>T31S1-1</t>
  </si>
  <si>
    <t>AB1110_C2_53</t>
  </si>
  <si>
    <t>T15S1-1</t>
  </si>
  <si>
    <t>AB1115_C1_52</t>
  </si>
  <si>
    <t>C</t>
  </si>
  <si>
    <t>C7-1,T15S2-1</t>
  </si>
  <si>
    <t>AB1115_C2_52</t>
  </si>
  <si>
    <t>AB1115_C3_52</t>
  </si>
  <si>
    <t>AB1115_C5_52</t>
  </si>
  <si>
    <t>AB1117_C3_53</t>
  </si>
  <si>
    <t>T15S3-1</t>
  </si>
  <si>
    <t>AB1117_C5_53</t>
  </si>
  <si>
    <t>T75S1-1</t>
  </si>
  <si>
    <t>AB1118_C1_52</t>
  </si>
  <si>
    <t>T40S1-1</t>
  </si>
  <si>
    <t>AB1118_C2_52</t>
  </si>
  <si>
    <t>AB1119_C2_55</t>
  </si>
  <si>
    <t>AB1120_C1_50</t>
  </si>
  <si>
    <t>AB1121_C2_52</t>
  </si>
  <si>
    <t>T26S3-1</t>
  </si>
  <si>
    <t>AB1123_C2_55</t>
  </si>
  <si>
    <t>AB1124_C1_56</t>
  </si>
  <si>
    <t>T40S2-1</t>
  </si>
  <si>
    <t>AB1124_C4_56</t>
  </si>
  <si>
    <t>AB1125_C5_52</t>
  </si>
  <si>
    <t>T30S1-1</t>
  </si>
  <si>
    <t>AB1127_C3_53</t>
  </si>
  <si>
    <t>AB1128_C2_53</t>
  </si>
  <si>
    <t>AB1128_C5_53</t>
  </si>
  <si>
    <t>AGNIS</t>
  </si>
  <si>
    <t>AB1129_C3_54</t>
  </si>
  <si>
    <t>AB1129_C4_54</t>
  </si>
  <si>
    <t>AB1130_C1_53</t>
  </si>
  <si>
    <t>AB1131_C5_52</t>
  </si>
  <si>
    <t>AB1132_C2_51</t>
  </si>
  <si>
    <t>AB1136_C2_60</t>
  </si>
  <si>
    <t>T40S3-1</t>
  </si>
  <si>
    <t>AB1136S_C4_60</t>
  </si>
  <si>
    <t>AB1137_C3_59</t>
  </si>
  <si>
    <t>AB1137_C5_59</t>
  </si>
  <si>
    <t>AB1138_C1_53</t>
  </si>
  <si>
    <t>C7-2</t>
  </si>
  <si>
    <t>FRAME</t>
  </si>
  <si>
    <t>AB1138_C4_53</t>
  </si>
  <si>
    <t>AB1142_C5_50</t>
  </si>
  <si>
    <t>AB1144_C4_52</t>
  </si>
  <si>
    <t>AB1152_C2_52</t>
  </si>
  <si>
    <t>AB1152_C3_52</t>
  </si>
  <si>
    <t>AB1158_C1_52</t>
  </si>
  <si>
    <t>AB1158_C2_52</t>
  </si>
  <si>
    <t>T76S1-1</t>
  </si>
  <si>
    <t>AB1159_C3_50</t>
  </si>
  <si>
    <t>AB1162_C1_51</t>
  </si>
  <si>
    <t>T31S3-1</t>
  </si>
  <si>
    <t>AB1162_C3_51</t>
  </si>
  <si>
    <t>AB1163_C2_52</t>
  </si>
  <si>
    <t>ROUND FULL METAL FRAME</t>
  </si>
  <si>
    <t>AB1163_C4_52</t>
  </si>
  <si>
    <t>AB1164_C1_52</t>
  </si>
  <si>
    <t>AB1164_C2_52</t>
  </si>
  <si>
    <t>AB1167_C3_53</t>
  </si>
  <si>
    <t>AB1168_C4_54</t>
  </si>
  <si>
    <t>AB1171_C3_61</t>
  </si>
  <si>
    <t>AB1172S_C2_58</t>
  </si>
  <si>
    <t>D12-1</t>
  </si>
  <si>
    <t>AB2067_C176_50</t>
  </si>
  <si>
    <t>T31S2-1</t>
  </si>
  <si>
    <t>AB2038_C578_50</t>
  </si>
  <si>
    <t>AB2040_C317_53</t>
  </si>
  <si>
    <t>AB2040_C510_51</t>
  </si>
  <si>
    <t>AB2092_C455_53</t>
  </si>
  <si>
    <t>AB2092_C581_51</t>
  </si>
  <si>
    <t>AB2092_C693_53</t>
  </si>
  <si>
    <t>AB2093_C484_53</t>
  </si>
  <si>
    <t>AB2108_C540_51</t>
  </si>
  <si>
    <t>AB2108_C541_53</t>
  </si>
  <si>
    <t>AB2108_C539_53</t>
  </si>
  <si>
    <t>AB4012_DEMISLV_53</t>
  </si>
  <si>
    <t>AB4017_DEMI_52</t>
  </si>
  <si>
    <t>C7-1,T76S3-1</t>
  </si>
  <si>
    <t>AB4017_DEMIRED_52</t>
  </si>
  <si>
    <t>AB4017_BLK_52</t>
  </si>
  <si>
    <t>AB4018_BLACK_52</t>
  </si>
  <si>
    <t>AG1109_C4_51</t>
  </si>
  <si>
    <t>AG1147_C5_51</t>
  </si>
  <si>
    <t>AG1086_C2_54</t>
  </si>
  <si>
    <t>AG1093_C2_53</t>
  </si>
  <si>
    <t>AG1107_C4_50</t>
  </si>
  <si>
    <t>ROUND FULL SHEET FRAME</t>
  </si>
  <si>
    <t>AG1140_C1_52</t>
  </si>
  <si>
    <t>AB1140_C3_52</t>
  </si>
  <si>
    <t>AB1149_C2_54</t>
  </si>
  <si>
    <t>AG1151_C4_50</t>
  </si>
  <si>
    <t>AG1169_C2_53</t>
  </si>
  <si>
    <t>AB1169_C3_53</t>
  </si>
  <si>
    <t>AB1169_C4_53</t>
  </si>
  <si>
    <t>AB1175S_C3_53</t>
  </si>
  <si>
    <t>4390/3725</t>
  </si>
  <si>
    <t>AG2103_C526_52</t>
  </si>
  <si>
    <t>AG2054_C228_53</t>
  </si>
  <si>
    <t>AG2058_C1_53</t>
  </si>
  <si>
    <t>AG2058_C559_53</t>
  </si>
  <si>
    <t>AG2058_C243_53</t>
  </si>
  <si>
    <t>AG2058_C614_53</t>
  </si>
  <si>
    <t>AB16T150_C2_51</t>
  </si>
  <si>
    <t>RCTANGLE FULL SHEET FRAME</t>
  </si>
  <si>
    <t>AB16T150_C3_51</t>
  </si>
  <si>
    <t>BE4193_300213_57</t>
  </si>
  <si>
    <t>T43S1-1</t>
  </si>
  <si>
    <t>CATEYE SUNGLASS</t>
  </si>
  <si>
    <t>BE4201_300273_58</t>
  </si>
  <si>
    <t>RECTANGLE SUNGLASS</t>
  </si>
  <si>
    <t>BE20030_C01_M</t>
  </si>
  <si>
    <t>M</t>
  </si>
  <si>
    <t>T82S1-1</t>
  </si>
  <si>
    <t>BIOTRUE SOLUTION 60 ml+SILK LENS SOLUTION</t>
  </si>
  <si>
    <t>60ml</t>
  </si>
  <si>
    <t>BIOTRUE SOLUTION 120 ml</t>
  </si>
  <si>
    <t>DISPLAY</t>
  </si>
  <si>
    <t>LENS SOLUTION</t>
  </si>
  <si>
    <t>BIOTRUE 300 ML</t>
  </si>
  <si>
    <t>RENU_LENSSOLUTION_120</t>
  </si>
  <si>
    <t>RENU</t>
  </si>
  <si>
    <t>RENU SOLUTION 300ML</t>
  </si>
  <si>
    <t>RENU_LENSSOLUTION_60</t>
  </si>
  <si>
    <t>BIOFLEX OCCLUSION EYE PATCH (REGULAR)</t>
  </si>
  <si>
    <t>Eye Cover</t>
  </si>
  <si>
    <t>4 BOX</t>
  </si>
  <si>
    <t>EYE PATCH</t>
  </si>
  <si>
    <t>BIOFLEX OCCLUSION EYE WIPES</t>
  </si>
  <si>
    <t>2 BOX</t>
  </si>
  <si>
    <t>EYE WIPE</t>
  </si>
  <si>
    <t>BRATS &amp; DOLLS</t>
  </si>
  <si>
    <t>baby Frames</t>
  </si>
  <si>
    <r>
      <rPr>
        <color rgb="FF000000"/>
        <sz val="12.0"/>
      </rPr>
      <t>DS3-1,</t>
    </r>
    <r>
      <rPr>
        <color rgb="FFFF9900"/>
        <sz val="12.0"/>
      </rPr>
      <t>R-1</t>
    </r>
    <r>
      <rPr>
        <color rgb="FF000000"/>
        <sz val="12.0"/>
      </rPr>
      <t>,L6D1S1-1,S2-1</t>
    </r>
  </si>
  <si>
    <t>RECTANGLE BABY FRAME</t>
  </si>
  <si>
    <t>BV2162B_376_53</t>
  </si>
  <si>
    <t>T73S2-1</t>
  </si>
  <si>
    <t>RECTANGLE FRAME</t>
  </si>
  <si>
    <t>CK1089_028_58</t>
  </si>
  <si>
    <t>C1R1B3-1,T2S3-1</t>
  </si>
  <si>
    <t>CK3154_214_62</t>
  </si>
  <si>
    <t>T2S3-1,C1R1B2-2</t>
  </si>
  <si>
    <t>CK3161S_003_58</t>
  </si>
  <si>
    <t>T2S2-1</t>
  </si>
  <si>
    <t>CK3161S_004_58</t>
  </si>
  <si>
    <t>T2S3-1</t>
  </si>
  <si>
    <t>CK3152S_001_57</t>
  </si>
  <si>
    <t>T52S1-1,D12-1</t>
  </si>
  <si>
    <t>CK4216_320_56</t>
  </si>
  <si>
    <t>T2S1-1</t>
  </si>
  <si>
    <t>CK4151_001_56</t>
  </si>
  <si>
    <t>C1R1B3-1,T2S2-1</t>
  </si>
  <si>
    <t>CK4223_001_52</t>
  </si>
  <si>
    <t>CK4223_377_52</t>
  </si>
  <si>
    <t>CUP Goggles/SUNGLASS PROTECTIVE</t>
  </si>
  <si>
    <t>protective glasses</t>
  </si>
  <si>
    <t>24 manal</t>
  </si>
  <si>
    <t>DG1229_061_53</t>
  </si>
  <si>
    <t>L1D1S1-1</t>
  </si>
  <si>
    <t>RIMLESS</t>
  </si>
  <si>
    <t>DL5218V_068_53</t>
  </si>
  <si>
    <t>DIESEL</t>
  </si>
  <si>
    <t>DISNEY</t>
  </si>
  <si>
    <t>CT13-1</t>
  </si>
  <si>
    <t>DJ0301_GUN_52</t>
  </si>
  <si>
    <t>C4R2-1</t>
  </si>
  <si>
    <t>DJ0301_BLK_52</t>
  </si>
  <si>
    <t>DJ084_C4_52</t>
  </si>
  <si>
    <t>DJ15T128_C2_51</t>
  </si>
  <si>
    <t>T60S1-1</t>
  </si>
  <si>
    <t>DJ15T156_C5_53</t>
  </si>
  <si>
    <t>T64S3-1</t>
  </si>
  <si>
    <t>DJ15T158_C5_53</t>
  </si>
  <si>
    <t>T63S1-1</t>
  </si>
  <si>
    <t>DJ15T162_C2_52</t>
  </si>
  <si>
    <t>T60S2-1</t>
  </si>
  <si>
    <t>DJ16T149_C1_53</t>
  </si>
  <si>
    <t>DJ16T149_C2_53</t>
  </si>
  <si>
    <t>DJ18632_C1_51</t>
  </si>
  <si>
    <t>DJ18632_C2_51</t>
  </si>
  <si>
    <t>T63S3-1</t>
  </si>
  <si>
    <t>DJ21007_C4_52</t>
  </si>
  <si>
    <t>DJ2001_C11_53</t>
  </si>
  <si>
    <t>T41S1-1</t>
  </si>
  <si>
    <t>DJ2003_C14_49</t>
  </si>
  <si>
    <t>SIDE TEMPLE CODE DAMAGE</t>
  </si>
  <si>
    <t>DJ2004_C2_50</t>
  </si>
  <si>
    <t>DJ2010_C48_53</t>
  </si>
  <si>
    <t>T13S2-1</t>
  </si>
  <si>
    <t>DJ2111_C4_52</t>
  </si>
  <si>
    <t>T61S3-1</t>
  </si>
  <si>
    <t>DJ2346_C5_55</t>
  </si>
  <si>
    <t>DJ2347_C4_52</t>
  </si>
  <si>
    <t>T13S1-1</t>
  </si>
  <si>
    <t>DJ2347_C5_52</t>
  </si>
  <si>
    <t>T60S3-1</t>
  </si>
  <si>
    <t>DJ3134_C1_51(11)</t>
  </si>
  <si>
    <t>51(11)</t>
  </si>
  <si>
    <t>DJ3134_C1_51(5)</t>
  </si>
  <si>
    <t>51(5)</t>
  </si>
  <si>
    <t>DJ3146_C1_50</t>
  </si>
  <si>
    <t>T59S3-1</t>
  </si>
  <si>
    <t>DJ3179_C1_51</t>
  </si>
  <si>
    <t>DJ3179_C3_51</t>
  </si>
  <si>
    <t>DJ9135_C4_48</t>
  </si>
  <si>
    <t>T59S1-1</t>
  </si>
  <si>
    <t>DJ2070_C646_49</t>
  </si>
  <si>
    <t>T41S2-1</t>
  </si>
  <si>
    <t>DJ2062_548_55</t>
  </si>
  <si>
    <t>T62S1-1</t>
  </si>
  <si>
    <t>DJ9102_C1_52</t>
  </si>
  <si>
    <t>T7S3-1</t>
  </si>
  <si>
    <t>SQUARE FULL FRAME</t>
  </si>
  <si>
    <t>DJ9105_C1_51</t>
  </si>
  <si>
    <t>T59S2-1</t>
  </si>
  <si>
    <t>DJ9105_C3_51</t>
  </si>
  <si>
    <t>T77S1-1</t>
  </si>
  <si>
    <t>DJ2098_C226_47</t>
  </si>
  <si>
    <t>DJ2096_C226_50</t>
  </si>
  <si>
    <t>DJ2050_C234_50</t>
  </si>
  <si>
    <t>T62S2-1</t>
  </si>
  <si>
    <t>DJ2076_C230_50</t>
  </si>
  <si>
    <t>T62S1-1,T41S2-1</t>
  </si>
  <si>
    <t>DJ2076_C614_50</t>
  </si>
  <si>
    <t>DJ3197_C6_53</t>
  </si>
  <si>
    <t>DJ0501_135_50</t>
  </si>
  <si>
    <t>DJ0502_138_53</t>
  </si>
  <si>
    <t>DJ8235_DP_53</t>
  </si>
  <si>
    <t>DJ8783_C6_52</t>
  </si>
  <si>
    <t>DJ2032_C548_51</t>
  </si>
  <si>
    <t>DJ2037_C307_49</t>
  </si>
  <si>
    <t>DJ2043_C555_53</t>
  </si>
  <si>
    <t>na</t>
  </si>
  <si>
    <t>DJ2044_C13_53</t>
  </si>
  <si>
    <t>T63S2-1</t>
  </si>
  <si>
    <t>DJ2047_C198_54</t>
  </si>
  <si>
    <t>DJ2050_C226_48</t>
  </si>
  <si>
    <t>DJ2069_C221_47</t>
  </si>
  <si>
    <t>T64S2-1</t>
  </si>
  <si>
    <t>DJ2074_C350_52</t>
  </si>
  <si>
    <t>DJ2075_C198_56</t>
  </si>
  <si>
    <t>T62S3-1</t>
  </si>
  <si>
    <t>DJ2079_C219_55</t>
  </si>
  <si>
    <t>DJ2091_C225_51</t>
  </si>
  <si>
    <t>Na</t>
  </si>
  <si>
    <t>DJ2094_C410_51</t>
  </si>
  <si>
    <t>AVIATOR FULL SHEET FRAME</t>
  </si>
  <si>
    <t>DJ2094_C533_51</t>
  </si>
  <si>
    <t>DJ2115_C645_50</t>
  </si>
  <si>
    <t>FULL SHEET FRAME</t>
  </si>
  <si>
    <t>DJ2118_C629_53</t>
  </si>
  <si>
    <t>DJ2118_C637_53</t>
  </si>
  <si>
    <t>DJ2119_C1_52</t>
  </si>
  <si>
    <t>DJ2130_C723_54</t>
  </si>
  <si>
    <t>T41S3-1</t>
  </si>
  <si>
    <t>DJ2131_C724_56</t>
  </si>
  <si>
    <t>DJ2131_C730_56</t>
  </si>
  <si>
    <t>DJ2132_C225_53</t>
  </si>
  <si>
    <t>DJ2133_C225_53</t>
  </si>
  <si>
    <t>DJ5902_C1_53</t>
  </si>
  <si>
    <t>T61S2-1</t>
  </si>
  <si>
    <t>DJ5914_C2_46</t>
  </si>
  <si>
    <t>T13S3-1</t>
  </si>
  <si>
    <t>DJ5915_C1_47</t>
  </si>
  <si>
    <t>DJ5916_C1_51</t>
  </si>
  <si>
    <t>DJ5916_C2_51</t>
  </si>
  <si>
    <t>DJ5916_C3_51</t>
  </si>
  <si>
    <t>DJ5916_C4_51</t>
  </si>
  <si>
    <t>DJ5917_C4_51</t>
  </si>
  <si>
    <t>DJ5918_C1_54</t>
  </si>
  <si>
    <t>DJ9022_C3_53</t>
  </si>
  <si>
    <t>DJ9026_C1_54</t>
  </si>
  <si>
    <t>DJ9026_C2_54</t>
  </si>
  <si>
    <t>T7S1-1</t>
  </si>
  <si>
    <t>DJ9027_C4_54</t>
  </si>
  <si>
    <t>DJ9044_C4_49</t>
  </si>
  <si>
    <t>DJ9044_C5_49</t>
  </si>
  <si>
    <t>DJ9046_C4_47</t>
  </si>
  <si>
    <t>T7S2-1</t>
  </si>
  <si>
    <t>DJ9046_C5_47</t>
  </si>
  <si>
    <t>DJ9049_C2_51</t>
  </si>
  <si>
    <t>DJ9049_C3_51</t>
  </si>
  <si>
    <t>DJ9050_C2_52</t>
  </si>
  <si>
    <t>DJ9050_C5_52</t>
  </si>
  <si>
    <t>DJ9053_C3_50</t>
  </si>
  <si>
    <t>DJ9057_C5_54</t>
  </si>
  <si>
    <t>DJ9058_C3_51</t>
  </si>
  <si>
    <t>DJ9062_C3_54</t>
  </si>
  <si>
    <t>DJ9062_C4_54</t>
  </si>
  <si>
    <t>DJ9064_C1_47</t>
  </si>
  <si>
    <t>DJ9064_C3_47</t>
  </si>
  <si>
    <t>DJ9064_C4_47</t>
  </si>
  <si>
    <t>DJ9091_C1_53</t>
  </si>
  <si>
    <t>DJ9097_C3_48</t>
  </si>
  <si>
    <t>DJ9112S_C1_61</t>
  </si>
  <si>
    <t>DJ9113S_C1_54</t>
  </si>
  <si>
    <t>DJ9115_C5_49</t>
  </si>
  <si>
    <t>DJ9123_C4_49</t>
  </si>
  <si>
    <t>DJ9126S_C1_59</t>
  </si>
  <si>
    <t>T30S3-1</t>
  </si>
  <si>
    <t>DJ9127S_C7_56</t>
  </si>
  <si>
    <t>DJ9129_C2_55</t>
  </si>
  <si>
    <t>DJ9132S_C1_57</t>
  </si>
  <si>
    <t>AVIATOR SUNGLASS</t>
  </si>
  <si>
    <t>DJ9132S_C3_57</t>
  </si>
  <si>
    <t>DJ9134_C3_55</t>
  </si>
  <si>
    <t>DJ9134_C4B_55</t>
  </si>
  <si>
    <t>DJ9139_C1_54</t>
  </si>
  <si>
    <t>DJ9139_C2_54</t>
  </si>
  <si>
    <t>DJ9141_C5_53</t>
  </si>
  <si>
    <t>DJ9142_C1_49</t>
  </si>
  <si>
    <t>DJ9142_C2_49</t>
  </si>
  <si>
    <t>T64S1-1</t>
  </si>
  <si>
    <t>DJ9150_C1_53</t>
  </si>
  <si>
    <t>DJ9151_C4_54</t>
  </si>
  <si>
    <t>DJ9152_C1_55</t>
  </si>
  <si>
    <t>DJ9162_C1_50</t>
  </si>
  <si>
    <t>DJ9162_C2_50</t>
  </si>
  <si>
    <t>DJ9162_C5_50</t>
  </si>
  <si>
    <t>DJ9165_C1_55</t>
  </si>
  <si>
    <t>DJ9167_C5_58</t>
  </si>
  <si>
    <t>DJ9172_C5_56</t>
  </si>
  <si>
    <t>DJ9174_C1_58</t>
  </si>
  <si>
    <t>DJ9174S_C5_58</t>
  </si>
  <si>
    <t>DJ9176S_C1_59</t>
  </si>
  <si>
    <t>DJ9182_C1_57</t>
  </si>
  <si>
    <t>DJ9201_C1_50</t>
  </si>
  <si>
    <t>T61S1-1</t>
  </si>
  <si>
    <t>DJ9201_C2_50</t>
  </si>
  <si>
    <t>DJ9201_C3_50</t>
  </si>
  <si>
    <t>DJ9201_C5_50</t>
  </si>
  <si>
    <t>DJ9202_C4_49</t>
  </si>
  <si>
    <t>DJ9206_C1_51</t>
  </si>
  <si>
    <t>EA4086_502613_54</t>
  </si>
  <si>
    <t>T82S2-1</t>
  </si>
  <si>
    <t>EA4086_56788Z_54</t>
  </si>
  <si>
    <t>T11S3-1</t>
  </si>
  <si>
    <t>EA4094_502613_56</t>
  </si>
  <si>
    <t>SCRATCH</t>
  </si>
  <si>
    <t>EA4099_567771_56</t>
  </si>
  <si>
    <t>FB4101_C2_50</t>
  </si>
  <si>
    <t>FUNKY BOY</t>
  </si>
  <si>
    <t>T80S2-1</t>
  </si>
  <si>
    <t>FC7311_C2_62</t>
  </si>
  <si>
    <t>FLING</t>
  </si>
  <si>
    <t>Fling</t>
  </si>
  <si>
    <t>L1D4S1-5,S2-4</t>
  </si>
  <si>
    <t>FT_M131BK1P_62</t>
  </si>
  <si>
    <t>D2-1,BOX(ALMIRA)-1</t>
  </si>
  <si>
    <t>FT_M138BR2_58</t>
  </si>
  <si>
    <t>C6R2-1</t>
  </si>
  <si>
    <t>FT_M032BU1_M</t>
  </si>
  <si>
    <t>D3-1</t>
  </si>
  <si>
    <t>FT_M035GY1_M</t>
  </si>
  <si>
    <t>C6R1-2</t>
  </si>
  <si>
    <t>FT_M050BU2_64</t>
  </si>
  <si>
    <t>C6R2-1,D3-1</t>
  </si>
  <si>
    <t>FT_M050BR5_M</t>
  </si>
  <si>
    <t>FT_M062BR3_M</t>
  </si>
  <si>
    <t>FT_M083BR2F_M</t>
  </si>
  <si>
    <t>C6R2-1,D12-1</t>
  </si>
  <si>
    <t>FT_M154BR2_M</t>
  </si>
  <si>
    <t>D4-1,D12-1</t>
  </si>
  <si>
    <t>FT_M165YL7_M</t>
  </si>
  <si>
    <t>FT_M180SL3F_M</t>
  </si>
  <si>
    <t>FT_P178BR3FP_M</t>
  </si>
  <si>
    <t>FT_P180PR2F_M</t>
  </si>
  <si>
    <t>C6R1-2,D3-1</t>
  </si>
  <si>
    <t>FT_P192GR1_M</t>
  </si>
  <si>
    <t>FT_P192BR2_M</t>
  </si>
  <si>
    <t>FT_P218BR2FP_M</t>
  </si>
  <si>
    <t>C6R1-4</t>
  </si>
  <si>
    <t>2450/2899</t>
  </si>
  <si>
    <t>FT_P223GR1_M</t>
  </si>
  <si>
    <t>BOX(ALMIRA)</t>
  </si>
  <si>
    <t>SCRATCH+GLASS MISSING</t>
  </si>
  <si>
    <t>FT_P230BK1_M</t>
  </si>
  <si>
    <t>C6R1-2,D4-1</t>
  </si>
  <si>
    <t>FT_P230GR3P_M</t>
  </si>
  <si>
    <t>FT_P241BK1_M</t>
  </si>
  <si>
    <t>FT_P265BR2_58</t>
  </si>
  <si>
    <t>C6R1-3</t>
  </si>
  <si>
    <t>FT_P299OR2_M</t>
  </si>
  <si>
    <t>FT_P324BK3F_M</t>
  </si>
  <si>
    <t>FT_P335GR2F_M</t>
  </si>
  <si>
    <t>FT_P336SL2_M</t>
  </si>
  <si>
    <t>D4-1</t>
  </si>
  <si>
    <t>FT_P341BK1_M</t>
  </si>
  <si>
    <t>FT_P040BR2_M</t>
  </si>
  <si>
    <t>FT_P327BU2_M</t>
  </si>
  <si>
    <t>FT_P360BR4_M</t>
  </si>
  <si>
    <t>FT_P429BU4_M</t>
  </si>
  <si>
    <t>FT_P430BR2_M</t>
  </si>
  <si>
    <t>D1-1</t>
  </si>
  <si>
    <t>FT_PC001BU13_M</t>
  </si>
  <si>
    <t>TEMPLE CODE DAMAGE</t>
  </si>
  <si>
    <t>FT_C060PR3F_M</t>
  </si>
  <si>
    <t>FT_C060BK2_54</t>
  </si>
  <si>
    <t>FT_C078YL4F_M</t>
  </si>
  <si>
    <t>ID698_C5_53</t>
  </si>
  <si>
    <t>T24S1-1</t>
  </si>
  <si>
    <t>ID908_C2_50</t>
  </si>
  <si>
    <t>T68S3-1</t>
  </si>
  <si>
    <t>ID925_C3_51</t>
  </si>
  <si>
    <t>T67S3-1</t>
  </si>
  <si>
    <t>ID973_C2_51</t>
  </si>
  <si>
    <t>T35S2-1</t>
  </si>
  <si>
    <t>ID996_C3_51</t>
  </si>
  <si>
    <t>T4S2-1</t>
  </si>
  <si>
    <t>ID997_C3_52</t>
  </si>
  <si>
    <t>CODE DAMMAGE</t>
  </si>
  <si>
    <t>ID1027_C2_53</t>
  </si>
  <si>
    <t>ID1027_C4_53</t>
  </si>
  <si>
    <t>ID1047_C1_51</t>
  </si>
  <si>
    <t>T35S3-1</t>
  </si>
  <si>
    <t>ID1047_C2_51</t>
  </si>
  <si>
    <t>ID1200_C5_53</t>
  </si>
  <si>
    <t>T24S2-1</t>
  </si>
  <si>
    <t>ID1203_C4_52</t>
  </si>
  <si>
    <t>ID1286_C4_54</t>
  </si>
  <si>
    <t>T65S3-1</t>
  </si>
  <si>
    <t>ID1296_C3_50</t>
  </si>
  <si>
    <t>C2R4-1,T24S1-1</t>
  </si>
  <si>
    <t>ID1297_C3_52</t>
  </si>
  <si>
    <t>T66S1-1</t>
  </si>
  <si>
    <t>ID1303_C3_54</t>
  </si>
  <si>
    <t>T4S1-1</t>
  </si>
  <si>
    <t>ID1375_C3_53</t>
  </si>
  <si>
    <t>T65S2-1</t>
  </si>
  <si>
    <t>ID1425_C2_48</t>
  </si>
  <si>
    <t>C2R3-5,T69S3-1</t>
  </si>
  <si>
    <t>ID1426_C1_49</t>
  </si>
  <si>
    <t>T17S3-1,C2R2-1</t>
  </si>
  <si>
    <t>ID1426_C2_49</t>
  </si>
  <si>
    <t>C2R4-6,T66S3-1</t>
  </si>
  <si>
    <t>1990/1950</t>
  </si>
  <si>
    <t>ID1426_C4_49</t>
  </si>
  <si>
    <t>T17S3-1</t>
  </si>
  <si>
    <t>ID1427_C1_52</t>
  </si>
  <si>
    <t>C2R4-1,T67S3-1</t>
  </si>
  <si>
    <t>ID1427_C5_52</t>
  </si>
  <si>
    <t>ID1428_C1_47</t>
  </si>
  <si>
    <t>C2R4-2,T17S3-1</t>
  </si>
  <si>
    <t>ID1430_C1_52</t>
  </si>
  <si>
    <t>C2R3-2,T24S3-1</t>
  </si>
  <si>
    <t>ID1430_C4_52</t>
  </si>
  <si>
    <t>C2R3-3,T67S2-1</t>
  </si>
  <si>
    <t>ID1471_C3_50</t>
  </si>
  <si>
    <t>C2R4-1,T66S3-1</t>
  </si>
  <si>
    <t>ID1474_C2_54</t>
  </si>
  <si>
    <t>T67S2-1</t>
  </si>
  <si>
    <t>ID1474_C5_54</t>
  </si>
  <si>
    <t>C2R4-1</t>
  </si>
  <si>
    <t>ID1475_C7_48</t>
  </si>
  <si>
    <t>T17S1-1</t>
  </si>
  <si>
    <t>ID1478_C4_53</t>
  </si>
  <si>
    <t>T66S3-1</t>
  </si>
  <si>
    <t>ID1480_C4_51</t>
  </si>
  <si>
    <t>ID1482_C6_51</t>
  </si>
  <si>
    <t>ID1484_C3_51</t>
  </si>
  <si>
    <t>RIMLESS FRAME</t>
  </si>
  <si>
    <t>ID1485_C6_50</t>
  </si>
  <si>
    <t>MRP LEVEL MISSING</t>
  </si>
  <si>
    <t>ID1486_C4_50</t>
  </si>
  <si>
    <t>T68S1-1</t>
  </si>
  <si>
    <t>ID1487_C1_51</t>
  </si>
  <si>
    <t>C2R4-3,T24S1-1</t>
  </si>
  <si>
    <t>ID1487_C6_51</t>
  </si>
  <si>
    <t>ID1490_C4_53</t>
  </si>
  <si>
    <t>T4S2-1,T4S3-1</t>
  </si>
  <si>
    <t>ID1495_C2_51</t>
  </si>
  <si>
    <t>T4S3-1</t>
  </si>
  <si>
    <t>ID1495_C5_51</t>
  </si>
  <si>
    <t>T68S2-1</t>
  </si>
  <si>
    <t>ID1508_C1_50</t>
  </si>
  <si>
    <t>C2R3-5</t>
  </si>
  <si>
    <t>ID1508_C2_50</t>
  </si>
  <si>
    <t>C2R3-7,T24S3-1</t>
  </si>
  <si>
    <t>ID1508_C3_50</t>
  </si>
  <si>
    <t>C2R3-7,T67S2-1,T66S2-1,T65S3-1</t>
  </si>
  <si>
    <t>ID1508_C4_50</t>
  </si>
  <si>
    <t>C2R3-3</t>
  </si>
  <si>
    <t>ID1508_C5_50</t>
  </si>
  <si>
    <t>ID1511_C2_51</t>
  </si>
  <si>
    <t>C2R3-6,T17S2-1</t>
  </si>
  <si>
    <t>ID1511_C5_51</t>
  </si>
  <si>
    <t>T66S2-1</t>
  </si>
  <si>
    <t>ID1536_C1_51</t>
  </si>
  <si>
    <t>T17S2-1</t>
  </si>
  <si>
    <t>ID1521_C2_51</t>
  </si>
  <si>
    <t>T35S1-1</t>
  </si>
  <si>
    <t>ID1521_C3_51</t>
  </si>
  <si>
    <t>T35S1-1,C2R2-1</t>
  </si>
  <si>
    <t>ID1519_C1_49</t>
  </si>
  <si>
    <t>C2R2-1,T4S1-1</t>
  </si>
  <si>
    <t>ID1541_C1_53</t>
  </si>
  <si>
    <t>C2R4-3</t>
  </si>
  <si>
    <t>PCS TEMPLE CODE DAMAGE</t>
  </si>
  <si>
    <t>ID1541_C2_53</t>
  </si>
  <si>
    <t>ID1541_C3_53</t>
  </si>
  <si>
    <t>C2R3-2,T69S2-1</t>
  </si>
  <si>
    <t>2250(1950)</t>
  </si>
  <si>
    <t>ID1541_C4_53</t>
  </si>
  <si>
    <t>C2R3-7</t>
  </si>
  <si>
    <t>ID1541_C5_53</t>
  </si>
  <si>
    <t>C2R3-3,T69S2-1</t>
  </si>
  <si>
    <t>ID1541_C6_53</t>
  </si>
  <si>
    <t>C2R3-1</t>
  </si>
  <si>
    <t>ID1541_C7_53</t>
  </si>
  <si>
    <t>ID1542_C1_53</t>
  </si>
  <si>
    <t>C2R3-2</t>
  </si>
  <si>
    <t>ID1542_C4_53</t>
  </si>
  <si>
    <t>SIDE TEMPLE CODE DAMAGE(1)</t>
  </si>
  <si>
    <t>ID1542_C5_53</t>
  </si>
  <si>
    <t>ID1542_C7_53</t>
  </si>
  <si>
    <t>C2R3-6,T69S3-1</t>
  </si>
  <si>
    <t>ID1544_C1_52</t>
  </si>
  <si>
    <t>ID1545_C2_54</t>
  </si>
  <si>
    <t>ID1545_C5_54</t>
  </si>
  <si>
    <t>AVIATOR FULL METAL FRAME</t>
  </si>
  <si>
    <t>ID1545_C6_54</t>
  </si>
  <si>
    <t>ID1546_C3_52</t>
  </si>
  <si>
    <t>ID1547_C3_51</t>
  </si>
  <si>
    <t>C2R2-1</t>
  </si>
  <si>
    <t>ID1547_C4_51</t>
  </si>
  <si>
    <t>CATEYE FRAME</t>
  </si>
  <si>
    <t>ID1547_C5_51</t>
  </si>
  <si>
    <t>ID1547_C6_51</t>
  </si>
  <si>
    <t>ID1548_C1_51</t>
  </si>
  <si>
    <t>ID1548_C4_51</t>
  </si>
  <si>
    <t>ID1548_C5_51</t>
  </si>
  <si>
    <t>ID1557_C6_52</t>
  </si>
  <si>
    <t>ID1559_C3_54</t>
  </si>
  <si>
    <t>C2R4-1,T69S1-1</t>
  </si>
  <si>
    <t>ID1559_C4_54</t>
  </si>
  <si>
    <t>T69S1-1</t>
  </si>
  <si>
    <t>ID1559_C5_54</t>
  </si>
  <si>
    <t>ID1560_C1_54</t>
  </si>
  <si>
    <t>C2R4-2,T69S1-1</t>
  </si>
  <si>
    <t>ID1560_C2_54</t>
  </si>
  <si>
    <t>T17S1-1,C2R4-1</t>
  </si>
  <si>
    <t>ID1560_C4_54</t>
  </si>
  <si>
    <t>ID1560_C5_54</t>
  </si>
  <si>
    <t>ID1561_C1_51</t>
  </si>
  <si>
    <t>ID1561_C1_54</t>
  </si>
  <si>
    <t>C2R2-7,T4S1-1</t>
  </si>
  <si>
    <t>ID1561_C2_54</t>
  </si>
  <si>
    <t>C2R2-8</t>
  </si>
  <si>
    <t>ID1561_C3_54</t>
  </si>
  <si>
    <t>ID1561_C4_54</t>
  </si>
  <si>
    <t>ID1561_C5_54</t>
  </si>
  <si>
    <t>ID1561_C6_54</t>
  </si>
  <si>
    <t>ID1561_C7_54</t>
  </si>
  <si>
    <t>ID1562_C1_55</t>
  </si>
  <si>
    <t>C2R2-9</t>
  </si>
  <si>
    <t>ID1562_C2_55</t>
  </si>
  <si>
    <t>C2R2-6,T4S1-1</t>
  </si>
  <si>
    <t>2450/2250</t>
  </si>
  <si>
    <t>ID1562_C3_55</t>
  </si>
  <si>
    <t>ID1562_C4_55</t>
  </si>
  <si>
    <t>ID1562_C6_55</t>
  </si>
  <si>
    <t>ID1563_C6_53</t>
  </si>
  <si>
    <t>SHEET FRAME</t>
  </si>
  <si>
    <t>COLOR DAMAGE</t>
  </si>
  <si>
    <t>ID1564_C3_51</t>
  </si>
  <si>
    <t>T17S2-1,C2R4-1</t>
  </si>
  <si>
    <t>ID1564_C4_51</t>
  </si>
  <si>
    <t>T69S3-1</t>
  </si>
  <si>
    <t>ID674_C1_55</t>
  </si>
  <si>
    <t>T65S1-1</t>
  </si>
  <si>
    <t>ID722_C3_52</t>
  </si>
  <si>
    <t>T24S3-1,C2R4-1</t>
  </si>
  <si>
    <t>ID736_C4_53</t>
  </si>
  <si>
    <t>ID878_C1_52</t>
  </si>
  <si>
    <t>ID906_C4_50</t>
  </si>
  <si>
    <t>ID940_C2_52</t>
  </si>
  <si>
    <t>ID950_C2_51</t>
  </si>
  <si>
    <t>ID961_C2_51</t>
  </si>
  <si>
    <t>ID980_C1_50</t>
  </si>
  <si>
    <t>ID1520_C1_50</t>
  </si>
  <si>
    <t>D11-1,box-1(Almira)</t>
  </si>
  <si>
    <t>R</t>
  </si>
  <si>
    <t>IDS1700_C31_M</t>
  </si>
  <si>
    <t>T81S1-1</t>
  </si>
  <si>
    <t>IDS1874_C2_59</t>
  </si>
  <si>
    <t>T58S2-1</t>
  </si>
  <si>
    <t>IDS1961_C3P_58</t>
  </si>
  <si>
    <t>T57S2-1</t>
  </si>
  <si>
    <t>IDS2001_C62P_58</t>
  </si>
  <si>
    <t>T58S2-1,T58S3-1</t>
  </si>
  <si>
    <t>IDS2001_C67P_58</t>
  </si>
  <si>
    <t>IDS2170_C1_52</t>
  </si>
  <si>
    <t>D8-1</t>
  </si>
  <si>
    <t>IDS2193_C2_58</t>
  </si>
  <si>
    <t>IDS2225_C1_53</t>
  </si>
  <si>
    <t>IDS2232_C1_49</t>
  </si>
  <si>
    <t>T81S3-1</t>
  </si>
  <si>
    <t>IDS2266_C3_56</t>
  </si>
  <si>
    <t>T56S1-1</t>
  </si>
  <si>
    <t>IDS2297_C1_57</t>
  </si>
  <si>
    <t>IDS2301_C17P_58</t>
  </si>
  <si>
    <t>C2R1-1</t>
  </si>
  <si>
    <t>IDS2337_C2_54</t>
  </si>
  <si>
    <t>T57S1-1</t>
  </si>
  <si>
    <t>IDS2343_C14P_58</t>
  </si>
  <si>
    <t>D2-1</t>
  </si>
  <si>
    <t>IDS2344_C1P_54</t>
  </si>
  <si>
    <t>D8-1,D2-1(SCRATCH)</t>
  </si>
  <si>
    <t>IDS2350_C1_50</t>
  </si>
  <si>
    <t>IDS2350_C4_50</t>
  </si>
  <si>
    <t>IDS2351_C3_56</t>
  </si>
  <si>
    <t>IDS2352_C3_56</t>
  </si>
  <si>
    <t>IDS2354_C2P_M</t>
  </si>
  <si>
    <t>T55S2-1,Box-1(almira)</t>
  </si>
  <si>
    <t>IDS2365_C3P_M</t>
  </si>
  <si>
    <t>IDS2375_C2_53</t>
  </si>
  <si>
    <t>IDS2379_C2_56</t>
  </si>
  <si>
    <t>IDS2392_C2_49</t>
  </si>
  <si>
    <t>IDS2401_C2_52</t>
  </si>
  <si>
    <t>IDS2401_C3_52</t>
  </si>
  <si>
    <t>T55S2-1</t>
  </si>
  <si>
    <t>IDS2402_C10P_56</t>
  </si>
  <si>
    <t>T81S2-1</t>
  </si>
  <si>
    <t>IDS2404_C2_57</t>
  </si>
  <si>
    <t>C2R1-1,T56S2-1</t>
  </si>
  <si>
    <t>IDS2404_C4P_57</t>
  </si>
  <si>
    <t>IDS2406_C3_60</t>
  </si>
  <si>
    <t>IDS2408_C3_53</t>
  </si>
  <si>
    <t>T80S3-1</t>
  </si>
  <si>
    <t>IDS2408_C5P_53</t>
  </si>
  <si>
    <t>T55S1-1</t>
  </si>
  <si>
    <t>IDS2409_C1P_58</t>
  </si>
  <si>
    <t>IDS2413_C1_62</t>
  </si>
  <si>
    <t>IDS2416_C2_55</t>
  </si>
  <si>
    <t>IDS2424_C4P_M</t>
  </si>
  <si>
    <t>DAMAGE</t>
  </si>
  <si>
    <t>IDS2428_C3_M</t>
  </si>
  <si>
    <t>T55S3-1</t>
  </si>
  <si>
    <t>IDS2434_C3_54</t>
  </si>
  <si>
    <t>IDS2438_C2_57</t>
  </si>
  <si>
    <t>T58S3-1</t>
  </si>
  <si>
    <t>IDS2442_C3_51</t>
  </si>
  <si>
    <t>IDS2442_C5_51</t>
  </si>
  <si>
    <t>T57S3-1</t>
  </si>
  <si>
    <t>IDS2472_C2_52</t>
  </si>
  <si>
    <t>IDS2473_C1_52</t>
  </si>
  <si>
    <t>D8-1,C2R1B1-1</t>
  </si>
  <si>
    <t>IDS2473_C3_52</t>
  </si>
  <si>
    <t>C2R1B1-1</t>
  </si>
  <si>
    <t>IDS2476_C1_62</t>
  </si>
  <si>
    <t>C2R1-1,T55S1-1</t>
  </si>
  <si>
    <t>IDS2476_C2_62</t>
  </si>
  <si>
    <t>IDS2476_C3_62</t>
  </si>
  <si>
    <t>IDS2477_C2_56</t>
  </si>
  <si>
    <t>IDS2485_C1_57</t>
  </si>
  <si>
    <t>T81S1-1,C2R1-1</t>
  </si>
  <si>
    <t>IDS2486_C2_53</t>
  </si>
  <si>
    <t>IDS2493_C1_55</t>
  </si>
  <si>
    <t>IDS2495_C2_58</t>
  </si>
  <si>
    <t>IDS2496_C2_53</t>
  </si>
  <si>
    <t>IDS2498_C2_58</t>
  </si>
  <si>
    <t>IDS2499_C4_59</t>
  </si>
  <si>
    <t>IDS2500_C30_58</t>
  </si>
  <si>
    <t>T58S1-1</t>
  </si>
  <si>
    <t>IDS2500_C44_58</t>
  </si>
  <si>
    <t>IDS2500_C48_58</t>
  </si>
  <si>
    <t>IDS2500_C52_58</t>
  </si>
  <si>
    <t>IDS2500_C54_58</t>
  </si>
  <si>
    <t>IDS2500_C56_58</t>
  </si>
  <si>
    <t>IDS2503_C3_58</t>
  </si>
  <si>
    <t>C2R1B1</t>
  </si>
  <si>
    <t>IDS2505_C1P_54</t>
  </si>
  <si>
    <t>C2R1-1,T58S3-1</t>
  </si>
  <si>
    <t>IDS2506_C1_66</t>
  </si>
  <si>
    <t>IDS2506_C3_M</t>
  </si>
  <si>
    <t>IDS2508_C2_58</t>
  </si>
  <si>
    <t>IDS2508_C4_58</t>
  </si>
  <si>
    <t>IDS2508_C7_58</t>
  </si>
  <si>
    <t>2850/2950</t>
  </si>
  <si>
    <t>IDS2514_C1_53</t>
  </si>
  <si>
    <t>IDS2519_C4_61</t>
  </si>
  <si>
    <t>C2R1-1,T57S1-1</t>
  </si>
  <si>
    <t>IDS2520_C1_53</t>
  </si>
  <si>
    <t>IDS2522_C2_58</t>
  </si>
  <si>
    <t>T56S2-1</t>
  </si>
  <si>
    <t>IDS2523_C1P_M</t>
  </si>
  <si>
    <t>IDS2523_C2P-55</t>
  </si>
  <si>
    <t>IDS2524_C2_60</t>
  </si>
  <si>
    <t>IDS2526_C3_60</t>
  </si>
  <si>
    <t>IDS2528_C2_M</t>
  </si>
  <si>
    <t>IDS2528_C3_58</t>
  </si>
  <si>
    <t>IDS2532_C1_51</t>
  </si>
  <si>
    <t>IDS2532_C2_51</t>
  </si>
  <si>
    <t>T56S3-1</t>
  </si>
  <si>
    <t>IDS2532_C3_51</t>
  </si>
  <si>
    <t>C2R1-1,D5-1</t>
  </si>
  <si>
    <t>IDS2536_C4_60</t>
  </si>
  <si>
    <t>IDS2538_C1_49</t>
  </si>
  <si>
    <t>C2R1-1,T56S3-1</t>
  </si>
  <si>
    <t>IDS2538_C3_49</t>
  </si>
  <si>
    <t>IDS2538_C4_49</t>
  </si>
  <si>
    <t>IDS2538_C5_49</t>
  </si>
  <si>
    <t>T56S3-1,C2R1B1-1</t>
  </si>
  <si>
    <t>IDS2539_C1_55</t>
  </si>
  <si>
    <t>IDS2539_C3_57</t>
  </si>
  <si>
    <t>IDS2550_C1_58</t>
  </si>
  <si>
    <t>C2R1-1,T57S3-1</t>
  </si>
  <si>
    <t>IDS2550_C3_58</t>
  </si>
  <si>
    <t>IDS2551_C2_57</t>
  </si>
  <si>
    <t>T57S3-1,C2R1-1</t>
  </si>
  <si>
    <t>IDS2552_C1_M</t>
  </si>
  <si>
    <t>IDS2552_C3_56</t>
  </si>
  <si>
    <t>C2R1-1,T57S2-1</t>
  </si>
  <si>
    <t>IDS2553_C3_M</t>
  </si>
  <si>
    <t>IDS2554_C1_60</t>
  </si>
  <si>
    <t>IDS2621_C3_57</t>
  </si>
  <si>
    <t>IL9363_C7_52</t>
  </si>
  <si>
    <t>INSIST</t>
  </si>
  <si>
    <t>L4D5S2-1</t>
  </si>
  <si>
    <t>IL9444_C4_50</t>
  </si>
  <si>
    <t>T20S2-1</t>
  </si>
  <si>
    <t>IL9453_C3_48</t>
  </si>
  <si>
    <t>IL9491_C3_49</t>
  </si>
  <si>
    <t>IL9494_C2_49</t>
  </si>
  <si>
    <t>IL9845_C2_48</t>
  </si>
  <si>
    <t>D10-1</t>
  </si>
  <si>
    <t>SJ</t>
  </si>
  <si>
    <t>IM2311_C2_60</t>
  </si>
  <si>
    <t>IMAGE</t>
  </si>
  <si>
    <t>T77S3-1</t>
  </si>
  <si>
    <t>IM2333_C1_53</t>
  </si>
  <si>
    <t>IM2338_C3_52</t>
  </si>
  <si>
    <t>T77S2-1</t>
  </si>
  <si>
    <t>IM2348_C1_49</t>
  </si>
  <si>
    <t>FRAME SUPRA METAL</t>
  </si>
  <si>
    <t>IM2351_C3_52</t>
  </si>
  <si>
    <t>IM2356_C1_52</t>
  </si>
  <si>
    <t>IM2357_C1_50</t>
  </si>
  <si>
    <t>IM2357_C2_50</t>
  </si>
  <si>
    <t>C1R1B1-1</t>
  </si>
  <si>
    <t>IM2358_C2_53</t>
  </si>
  <si>
    <t>IM2328_C1_52</t>
  </si>
  <si>
    <t>IM362P_C2_M</t>
  </si>
  <si>
    <t>T82S3-1</t>
  </si>
  <si>
    <t>Image7000_C2_M</t>
  </si>
  <si>
    <t>IM277_C3_M</t>
  </si>
  <si>
    <t>IS6241_C21_53</t>
  </si>
  <si>
    <t>IS6290_C4_49</t>
  </si>
  <si>
    <t>L1D1S2-1</t>
  </si>
  <si>
    <t>IS6371_C1_53</t>
  </si>
  <si>
    <t>IZ105_COL1_54</t>
  </si>
  <si>
    <t>IZARRA</t>
  </si>
  <si>
    <t>T39S2-1</t>
  </si>
  <si>
    <t>IZ144_00232_M</t>
  </si>
  <si>
    <t>IZ233_C2_54</t>
  </si>
  <si>
    <t>IZ233_C3_54</t>
  </si>
  <si>
    <t>IZ258_C3_54</t>
  </si>
  <si>
    <t>IZ278_C2_54</t>
  </si>
  <si>
    <t>IZ279_C2_M</t>
  </si>
  <si>
    <t>IZ281_C1_54</t>
  </si>
  <si>
    <t>T39S1-2</t>
  </si>
  <si>
    <t>IZ303_C2_54</t>
  </si>
  <si>
    <t>IZ398_C1_54</t>
  </si>
  <si>
    <t>T39S3-1</t>
  </si>
  <si>
    <t>IZ398_C3_54</t>
  </si>
  <si>
    <t>IZ485_C2_54</t>
  </si>
  <si>
    <t>C1R1B3-1</t>
  </si>
  <si>
    <t>IZ500_C2_54</t>
  </si>
  <si>
    <t>IZ508_C1_54</t>
  </si>
  <si>
    <t>IZ508_C2_54</t>
  </si>
  <si>
    <t>IZ518_C1_54</t>
  </si>
  <si>
    <t>IZ518_C2_54</t>
  </si>
  <si>
    <t>IZ518_C3_54</t>
  </si>
  <si>
    <t>IZ523_C2_54</t>
  </si>
  <si>
    <t>T39S1-1</t>
  </si>
  <si>
    <t>IZ523_C3_54</t>
  </si>
  <si>
    <t>IZ525_C1_54</t>
  </si>
  <si>
    <t>DS2-1</t>
  </si>
  <si>
    <t>IZ525_C2_54</t>
  </si>
  <si>
    <t>IZ588_C3_54</t>
  </si>
  <si>
    <t>IZ607_00168_54</t>
  </si>
  <si>
    <t>KX7091_2197_52</t>
  </si>
  <si>
    <t>KILLER LOOP</t>
  </si>
  <si>
    <t>T79S3-1</t>
  </si>
  <si>
    <t>KX7107_2209_52</t>
  </si>
  <si>
    <t>L5D6S1-1</t>
  </si>
  <si>
    <t>KX7109_2019_50</t>
  </si>
  <si>
    <t>T79S1-1</t>
  </si>
  <si>
    <t>KX7646_1010_49</t>
  </si>
  <si>
    <t>T79S2-1</t>
  </si>
  <si>
    <t>KX7666_1032_53</t>
  </si>
  <si>
    <t>KX7674_1006_52</t>
  </si>
  <si>
    <t>KX7674_1096S_50</t>
  </si>
  <si>
    <t>KC0212_052_54</t>
  </si>
  <si>
    <t>KENNETH COLE</t>
  </si>
  <si>
    <t>T73S3-1</t>
  </si>
  <si>
    <t>50%OFF</t>
  </si>
  <si>
    <t>KC0240_62R_51</t>
  </si>
  <si>
    <t>T52S2-1</t>
  </si>
  <si>
    <t>BOTH</t>
  </si>
  <si>
    <t>50% OFF</t>
  </si>
  <si>
    <t>KC1253S_52F_60</t>
  </si>
  <si>
    <t>T43S3-1</t>
  </si>
  <si>
    <t>KC1288_08B_58</t>
  </si>
  <si>
    <t>T43S2-1</t>
  </si>
  <si>
    <t>KC1288_32E_58</t>
  </si>
  <si>
    <t>KC1234_53F_62</t>
  </si>
  <si>
    <t>LL1927_C2_49</t>
  </si>
  <si>
    <t>LANZO LOUIS</t>
  </si>
  <si>
    <t>LL3606_C2_53</t>
  </si>
  <si>
    <t>SIDE TEMPLE CODE OR BRAND NAME DAMAGE</t>
  </si>
  <si>
    <t>LL5674_C2_51</t>
  </si>
  <si>
    <t>LL5674_C4_51</t>
  </si>
  <si>
    <t>LL5682_C5_53</t>
  </si>
  <si>
    <t>LL8001_C1_M</t>
  </si>
  <si>
    <t>LL8006_C3_M</t>
  </si>
  <si>
    <t>DS3-1</t>
  </si>
  <si>
    <t>MAC STALIN</t>
  </si>
  <si>
    <t>CT1-1,T25S1-3</t>
  </si>
  <si>
    <t>MK1010_110011_54</t>
  </si>
  <si>
    <t>MICHAEL KORS</t>
  </si>
  <si>
    <t>OO9013_F7_55</t>
  </si>
  <si>
    <t>OAKLEY</t>
  </si>
  <si>
    <t>T45S3-1</t>
  </si>
  <si>
    <t>OO9102_01_55</t>
  </si>
  <si>
    <t>OO9154_49_62</t>
  </si>
  <si>
    <t>T45S2-1</t>
  </si>
  <si>
    <t>OO9188_16_59</t>
  </si>
  <si>
    <t>T45S1-1</t>
  </si>
  <si>
    <t>OO9247_13_57</t>
  </si>
  <si>
    <t>OO9265_02_59</t>
  </si>
  <si>
    <t>OO9316_04_63</t>
  </si>
  <si>
    <t>T45S2-3</t>
  </si>
  <si>
    <t>OO9341_05_57</t>
  </si>
  <si>
    <t>OX1131_04_52</t>
  </si>
  <si>
    <t>T33S1-1</t>
  </si>
  <si>
    <t>OX1131_06_52</t>
  </si>
  <si>
    <t>OX1136_06_52</t>
  </si>
  <si>
    <t>OP3023_C4_51</t>
  </si>
  <si>
    <t>OPIUM</t>
  </si>
  <si>
    <t>OP3023_C1_51</t>
  </si>
  <si>
    <t>C1R1B1-1,DS3-1</t>
  </si>
  <si>
    <t>RECTANGLE FULL FRAME</t>
  </si>
  <si>
    <t>OP3023_C2_51</t>
  </si>
  <si>
    <t>OP3023_C5_51</t>
  </si>
  <si>
    <t>OP3024_C2_53</t>
  </si>
  <si>
    <t>OP3025_C2_53</t>
  </si>
  <si>
    <t>OP3026_C1_53</t>
  </si>
  <si>
    <t>OP3026_C2_53</t>
  </si>
  <si>
    <t>OP3026_C7_53</t>
  </si>
  <si>
    <t>OP2102_C31_52</t>
  </si>
  <si>
    <t>OP2103_C94_53</t>
  </si>
  <si>
    <t>OP2105_C01_54</t>
  </si>
  <si>
    <t>OP2100_C01_52</t>
  </si>
  <si>
    <t>OP2134_C01_51</t>
  </si>
  <si>
    <t>OP2170_C46_50</t>
  </si>
  <si>
    <t>OX3131_06_53</t>
  </si>
  <si>
    <t>T36S1-1</t>
  </si>
  <si>
    <t>OX3165_03_53</t>
  </si>
  <si>
    <t>PA7037_C01_M</t>
  </si>
  <si>
    <t>PARK AVENUE</t>
  </si>
  <si>
    <t>T44S3-1</t>
  </si>
  <si>
    <t>PA7037_C03_M</t>
  </si>
  <si>
    <t>PA7058_C03_M</t>
  </si>
  <si>
    <t>T44S2-1</t>
  </si>
  <si>
    <t>PA7069_C02_M</t>
  </si>
  <si>
    <t>PA7072_C03_54</t>
  </si>
  <si>
    <t>PA7076_C04_M</t>
  </si>
  <si>
    <t>PA7086_C02_M</t>
  </si>
  <si>
    <t>PA7089_C03_58</t>
  </si>
  <si>
    <t>PA7092_C02_M</t>
  </si>
  <si>
    <t>PA7092_C03_61</t>
  </si>
  <si>
    <t>PA7093_C01_60</t>
  </si>
  <si>
    <t>PA7093_C03_50</t>
  </si>
  <si>
    <t>T44S1-2</t>
  </si>
  <si>
    <t>PA7095_C03_M</t>
  </si>
  <si>
    <t>PA7097_C02_M</t>
  </si>
  <si>
    <t>T44S1-1</t>
  </si>
  <si>
    <t>PA7100_C01_M</t>
  </si>
  <si>
    <t>PA7104_C01_M</t>
  </si>
  <si>
    <t>PA7106_C03_M</t>
  </si>
  <si>
    <t>PC6830_UJM_56</t>
  </si>
  <si>
    <t>PIERE CARDIN</t>
  </si>
  <si>
    <t>PC8808_DM4_55</t>
  </si>
  <si>
    <t>PC8824_EEI_62</t>
  </si>
  <si>
    <t>PC8827_SSH_55</t>
  </si>
  <si>
    <t>PR15QS_1AB0A7_53</t>
  </si>
  <si>
    <t>PRADA</t>
  </si>
  <si>
    <t>PR27NS_1AB3M1_55</t>
  </si>
  <si>
    <t>SPR52P_ZVN1X1_61</t>
  </si>
  <si>
    <t>PR4063_C02_60</t>
  </si>
  <si>
    <t>PROVOGUE</t>
  </si>
  <si>
    <t>PR4096_C01_M</t>
  </si>
  <si>
    <t>PR4096_C03_M</t>
  </si>
  <si>
    <t>PR4102_C04_58</t>
  </si>
  <si>
    <t>RC522S_01B_63</t>
  </si>
  <si>
    <t>ROBERTO CARVELLI</t>
  </si>
  <si>
    <t>RC583S_69Z_64</t>
  </si>
  <si>
    <t>PAGE 4</t>
  </si>
  <si>
    <t>L2D1-9,DS3-1</t>
  </si>
  <si>
    <t>RC596S_08B_61</t>
  </si>
  <si>
    <t>RB2132_710_58</t>
  </si>
  <si>
    <t>RAYBAN</t>
  </si>
  <si>
    <t>C5R1-2</t>
  </si>
  <si>
    <t>RB2132_71051_55</t>
  </si>
  <si>
    <t>C5R1-3,T47S1-1</t>
  </si>
  <si>
    <t>RB2132_90158_55</t>
  </si>
  <si>
    <t>C5R1-1</t>
  </si>
  <si>
    <t>RB2132_902_52</t>
  </si>
  <si>
    <t>RB2140_955_52</t>
  </si>
  <si>
    <t>T47S1-1</t>
  </si>
  <si>
    <t>RB2180_6277B1_49</t>
  </si>
  <si>
    <t>RB2448N_710_51</t>
  </si>
  <si>
    <t>RB3016_114517_51</t>
  </si>
  <si>
    <t>RB3025_00168_58</t>
  </si>
  <si>
    <t>T47S2-1</t>
  </si>
  <si>
    <t>RB3016_1160_51</t>
  </si>
  <si>
    <t>RB3025_00133_58</t>
  </si>
  <si>
    <t>C5R1-3</t>
  </si>
  <si>
    <t>RB3025_0013E_55</t>
  </si>
  <si>
    <t>RB3025_0013E_62</t>
  </si>
  <si>
    <t>10090/8890</t>
  </si>
  <si>
    <t>RB3025_0013F_58</t>
  </si>
  <si>
    <t>C5R1-6</t>
  </si>
  <si>
    <t>RB3025_0013K_58</t>
  </si>
  <si>
    <t>RB3025_0016_55</t>
  </si>
  <si>
    <t>T47S3-1</t>
  </si>
  <si>
    <t>RB3025_11217_62</t>
  </si>
  <si>
    <t>C5R4-1</t>
  </si>
  <si>
    <t>(SCRATCH)</t>
  </si>
  <si>
    <t>RB3025_11217_58</t>
  </si>
  <si>
    <t>RB3025_00151_55</t>
  </si>
  <si>
    <t>DAMAGE-1</t>
  </si>
  <si>
    <t>RB3025_00151_58</t>
  </si>
  <si>
    <t>C5R2-6</t>
  </si>
  <si>
    <t>RB3025_00157_55</t>
  </si>
  <si>
    <t>C5R2-1</t>
  </si>
  <si>
    <t>RB3025_00157_58</t>
  </si>
  <si>
    <t>RB3025_00158_58</t>
  </si>
  <si>
    <t>8190/10890</t>
  </si>
  <si>
    <t>RB3025_00217_58</t>
  </si>
  <si>
    <t>RB3025_0023F_58</t>
  </si>
  <si>
    <t>5990/7490</t>
  </si>
  <si>
    <t>RB3025_0024O_58</t>
  </si>
  <si>
    <t>RB3025_00258_62</t>
  </si>
  <si>
    <t>RAYAN</t>
  </si>
  <si>
    <t>C5R1-2(1 PCS DAMAGE C5R4-1)</t>
  </si>
  <si>
    <t>RB3025_003_58</t>
  </si>
  <si>
    <t>RB3025_00332_58</t>
  </si>
  <si>
    <t>RB3025_00332_62</t>
  </si>
  <si>
    <t>8890/9490</t>
  </si>
  <si>
    <t>RB3025_0033E_58</t>
  </si>
  <si>
    <t>RB3025_0033F_58</t>
  </si>
  <si>
    <t>FK RETURN PCS GLASS DAMAGED CRACK GLASS</t>
  </si>
  <si>
    <t>RB3025_00358_58</t>
  </si>
  <si>
    <t>RB3025_00451_55</t>
  </si>
  <si>
    <t>9490/8890</t>
  </si>
  <si>
    <t>RB3025_00451_58</t>
  </si>
  <si>
    <t>C5R2-3</t>
  </si>
  <si>
    <t>RB3025_00458_58</t>
  </si>
  <si>
    <t>RB3025_00458_62</t>
  </si>
  <si>
    <t>RB3025_00478_62</t>
  </si>
  <si>
    <t>C5R2-1,T47S2-1</t>
  </si>
  <si>
    <t>RB3025_01451_58</t>
  </si>
  <si>
    <t>RB3025_09032_58</t>
  </si>
  <si>
    <t>RB3025_1674K_55</t>
  </si>
  <si>
    <t>RB3025_181_58</t>
  </si>
  <si>
    <t>7690/8890</t>
  </si>
  <si>
    <t>RB3025_9001A5_58</t>
  </si>
  <si>
    <t>RB3025_9002A6_55</t>
  </si>
  <si>
    <t>RB3025_W3275_55</t>
  </si>
  <si>
    <t>6990/9490</t>
  </si>
  <si>
    <t>RB3025_W3277_58</t>
  </si>
  <si>
    <t>RB3025JM_169_55</t>
  </si>
  <si>
    <t>RB3342_006_60</t>
  </si>
  <si>
    <t>RB3411_004_60</t>
  </si>
  <si>
    <t>RB3432_004_59</t>
  </si>
  <si>
    <t>RB3447_001_50</t>
  </si>
  <si>
    <t>RB3530_0029A_58</t>
  </si>
  <si>
    <t>C5R3-1</t>
  </si>
  <si>
    <t>RB3530_00488_58</t>
  </si>
  <si>
    <t>RB3530_0048G_58</t>
  </si>
  <si>
    <t>RB3538_1872Y_53</t>
  </si>
  <si>
    <t>RB3538_18813_53</t>
  </si>
  <si>
    <t>C5R3-2</t>
  </si>
  <si>
    <t>RB3539_1928G_54</t>
  </si>
  <si>
    <t>RB3558_004B8_58</t>
  </si>
  <si>
    <t>RB3561_001_57</t>
  </si>
  <si>
    <t>RB3561_9001A5_57</t>
  </si>
  <si>
    <t>RB4147_60132_60</t>
  </si>
  <si>
    <t>7790/8890</t>
  </si>
  <si>
    <t>RB4147_60158_60</t>
  </si>
  <si>
    <t>RB4147_609585_60</t>
  </si>
  <si>
    <t>RB4202_60714V_55</t>
  </si>
  <si>
    <t>RB4216_601S71_56</t>
  </si>
  <si>
    <t>RETURN</t>
  </si>
  <si>
    <t>RB4252_71013_51</t>
  </si>
  <si>
    <t>RB4273_6019A_52</t>
  </si>
  <si>
    <t>RB4274_6018G_53</t>
  </si>
  <si>
    <t>RB4264_601SA1_58</t>
  </si>
  <si>
    <t>RB4346_62507Q_51</t>
  </si>
  <si>
    <t>RB7060_6019A_54</t>
  </si>
  <si>
    <t>RB8041_001_58</t>
  </si>
  <si>
    <t>RJ9054S_186/87_51</t>
  </si>
  <si>
    <t>RJ9506S_22011_50</t>
  </si>
  <si>
    <t>scratch</t>
  </si>
  <si>
    <t>RX2547_2000_53</t>
  </si>
  <si>
    <t>T73S1-1</t>
  </si>
  <si>
    <t>RX3578V_2904_50</t>
  </si>
  <si>
    <t>DS1-2</t>
  </si>
  <si>
    <t>RX3582V_2500_51</t>
  </si>
  <si>
    <t>DS1-1</t>
  </si>
  <si>
    <t>ROUND FRAME</t>
  </si>
  <si>
    <t>RX3610V_2500_58</t>
  </si>
  <si>
    <t>RX3947V_2500_51</t>
  </si>
  <si>
    <t>RX3947V_2501_48</t>
  </si>
  <si>
    <t>ROUND SUPRA METAL FRAME</t>
  </si>
  <si>
    <t>RX5312_2477_52</t>
  </si>
  <si>
    <t>RX5312_5537_52</t>
  </si>
  <si>
    <t>T46S3-1</t>
  </si>
  <si>
    <t>RX5337_5528_54</t>
  </si>
  <si>
    <t>RX5337_2012_54</t>
  </si>
  <si>
    <t>RX6049_2500_52</t>
  </si>
  <si>
    <t>AVIATOR FULL FRAME</t>
  </si>
  <si>
    <t>RX6049_2502_55</t>
  </si>
  <si>
    <t>RX6241E_2501_52</t>
  </si>
  <si>
    <t>T46S1-1</t>
  </si>
  <si>
    <t>RX6266_2501_51</t>
  </si>
  <si>
    <t>RX6266_2502_53</t>
  </si>
  <si>
    <t>RX6295_2806_49</t>
  </si>
  <si>
    <t>T46S2-1</t>
  </si>
  <si>
    <t>RX6303_2501_53</t>
  </si>
  <si>
    <t>RX6305_2503_54</t>
  </si>
  <si>
    <t>4790/5090</t>
  </si>
  <si>
    <t>RX6322_2503_53</t>
  </si>
  <si>
    <t>RX6325_2730_53</t>
  </si>
  <si>
    <t>bill</t>
  </si>
  <si>
    <t>RX6336_2857_51</t>
  </si>
  <si>
    <t>C5R4-1(DAMAGE)</t>
  </si>
  <si>
    <t>RX6337_2857_51</t>
  </si>
  <si>
    <t>RECTANGLE FULL METAL FRAME(DAMAGE)</t>
  </si>
  <si>
    <t>RX6367_2502_51</t>
  </si>
  <si>
    <t>RX6384_2502_54</t>
  </si>
  <si>
    <t>MRP OR SKU LEVEL MISSING</t>
  </si>
  <si>
    <t>RX6384_2509_52</t>
  </si>
  <si>
    <t>RX6385_2509_53</t>
  </si>
  <si>
    <t>RX6386_2500_51</t>
  </si>
  <si>
    <t>RX6390_2928_51</t>
  </si>
  <si>
    <t>RX6424_2502_53</t>
  </si>
  <si>
    <t>RX6489_2500_58</t>
  </si>
  <si>
    <t>RX6489_2501_58</t>
  </si>
  <si>
    <t>RX7014_2000_54</t>
  </si>
  <si>
    <t>RECTANGLE SUPRA SHEET FRAME</t>
  </si>
  <si>
    <t>MRP ISSUE</t>
  </si>
  <si>
    <t>RX7017_5200_54</t>
  </si>
  <si>
    <t>RX7027_5419_54</t>
  </si>
  <si>
    <t>RX7033_5624_52</t>
  </si>
  <si>
    <t>RX7056_2000_53</t>
  </si>
  <si>
    <t>RX7090_5622_52</t>
  </si>
  <si>
    <t>RX7097_2000_49</t>
  </si>
  <si>
    <t>RX7127_2475_53</t>
  </si>
  <si>
    <t>4290/4690</t>
  </si>
  <si>
    <t>RX7128_2475_53</t>
  </si>
  <si>
    <t>REl18517_NSZ_M</t>
  </si>
  <si>
    <t>REEBOK</t>
  </si>
  <si>
    <t>AVIATOR</t>
  </si>
  <si>
    <t>SC1863_C1_52</t>
  </si>
  <si>
    <t>SCOTT</t>
  </si>
  <si>
    <t>SC1885_C3_59</t>
  </si>
  <si>
    <t>C1R1B1-2,D12-1</t>
  </si>
  <si>
    <t>SC2843_C1_61</t>
  </si>
  <si>
    <t>D12-1,C1R1B1-1</t>
  </si>
  <si>
    <t>SC2844_C2_60</t>
  </si>
  <si>
    <t>SC4614_C4_51</t>
  </si>
  <si>
    <t>C1R1B1-2,T79S1-1</t>
  </si>
  <si>
    <t>SC4616_C3_51</t>
  </si>
  <si>
    <t>C1R1B1-3,T79S1-1</t>
  </si>
  <si>
    <t>SC4632_C2_49</t>
  </si>
  <si>
    <t>SC4715_C2_52</t>
  </si>
  <si>
    <t>T32S3-1</t>
  </si>
  <si>
    <t>SC4750_C1_52</t>
  </si>
  <si>
    <t>SC748_C589_51</t>
  </si>
  <si>
    <t>ST10109_C4_54</t>
  </si>
  <si>
    <t>STERLING</t>
  </si>
  <si>
    <t>T78S3-1</t>
  </si>
  <si>
    <t>ST10111_C1_49</t>
  </si>
  <si>
    <t>T33S3-1</t>
  </si>
  <si>
    <t>ST10111_C9_49</t>
  </si>
  <si>
    <t>ST10107_C5_52</t>
  </si>
  <si>
    <t>ST10121_C3_52</t>
  </si>
  <si>
    <t>ST55093_C4_52</t>
  </si>
  <si>
    <t>SE1142_C2_54</t>
  </si>
  <si>
    <t>SEQUINZE</t>
  </si>
  <si>
    <t>SE1157_C1_52</t>
  </si>
  <si>
    <t>T78S2-1</t>
  </si>
  <si>
    <t>SE1167_C9_52</t>
  </si>
  <si>
    <t>SE1170_C1_53</t>
  </si>
  <si>
    <t>SE1184_C5_55</t>
  </si>
  <si>
    <t>CT4-1</t>
  </si>
  <si>
    <t>SE1237_C4_52</t>
  </si>
  <si>
    <t>SE1276_C4_52</t>
  </si>
  <si>
    <t>SE1512_C1_53</t>
  </si>
  <si>
    <t>T78S1-1</t>
  </si>
  <si>
    <t>SE1262_C3_48</t>
  </si>
  <si>
    <t>IS6140_C06_52</t>
  </si>
  <si>
    <t>TF276_74Z_59</t>
  </si>
  <si>
    <t>TOM FORD</t>
  </si>
  <si>
    <t>TF318_01B_62</t>
  </si>
  <si>
    <t>GLASS DAMAGED RETURN PCS FROM INDRESH TO PHOTOGRAPHY</t>
  </si>
  <si>
    <t>TF376_90B_58</t>
  </si>
  <si>
    <t>TH2512_C1_53</t>
  </si>
  <si>
    <t>TOMMY HILFIGER</t>
  </si>
  <si>
    <t>T51S1-1</t>
  </si>
  <si>
    <t>TH2512_C3_53</t>
  </si>
  <si>
    <t>T38S3-1,C1R2-1</t>
  </si>
  <si>
    <t>TH2514_C1_53</t>
  </si>
  <si>
    <t>T38S2-1,C1R2-1</t>
  </si>
  <si>
    <t>TH2514_C2_53</t>
  </si>
  <si>
    <t>TH2515_C3_50</t>
  </si>
  <si>
    <t>T38S1-1,C1R2-3</t>
  </si>
  <si>
    <t>TH2527_C1_62</t>
  </si>
  <si>
    <t>TH2527_C3_62</t>
  </si>
  <si>
    <t>T50S2-1</t>
  </si>
  <si>
    <t>TH2529_C1_49</t>
  </si>
  <si>
    <t>TH2529_C2_49</t>
  </si>
  <si>
    <t>TH2529_C3_49</t>
  </si>
  <si>
    <t>T51S2-1,S3-1</t>
  </si>
  <si>
    <t>TH2529_C4_49</t>
  </si>
  <si>
    <t>T51S3-1</t>
  </si>
  <si>
    <t>TH2530_C1_51</t>
  </si>
  <si>
    <t>T38S1-1</t>
  </si>
  <si>
    <t>TH2530_C2_51</t>
  </si>
  <si>
    <t>C1R2-2,T80S2-1</t>
  </si>
  <si>
    <t>TH2530_C4_51</t>
  </si>
  <si>
    <t>TH2536_C2_55</t>
  </si>
  <si>
    <t>TH2536_C3_55</t>
  </si>
  <si>
    <t>TH2537_C2_55</t>
  </si>
  <si>
    <t>T80S1-1</t>
  </si>
  <si>
    <t>TH2543_C3_59</t>
  </si>
  <si>
    <t>T50S1-1</t>
  </si>
  <si>
    <t>TH2543_C4_59</t>
  </si>
  <si>
    <t>TH2544_C3_60</t>
  </si>
  <si>
    <t>TH2544_C4_60</t>
  </si>
  <si>
    <t>TH3166_C2_47</t>
  </si>
  <si>
    <t>T33S2-1</t>
  </si>
  <si>
    <t>TH3166_C3_47</t>
  </si>
  <si>
    <t>TH5690_C1_52</t>
  </si>
  <si>
    <t>TH5734_C1_52</t>
  </si>
  <si>
    <t>TH5734_C2_52</t>
  </si>
  <si>
    <t>TH5734_C3_52</t>
  </si>
  <si>
    <t>TH5734_C4_52</t>
  </si>
  <si>
    <t>TH6000_C2_52</t>
  </si>
  <si>
    <t>TH6113_C3_51</t>
  </si>
  <si>
    <t>TH6213_C3_54</t>
  </si>
  <si>
    <t>TH7848_C3_57</t>
  </si>
  <si>
    <t>TH7862_C2_55</t>
  </si>
  <si>
    <t>TH7869_C2_60</t>
  </si>
  <si>
    <t>TH7881_C3_59</t>
  </si>
  <si>
    <t>TH7898_C1_55</t>
  </si>
  <si>
    <t>C1R2-1</t>
  </si>
  <si>
    <t>TH7898_C2_55</t>
  </si>
  <si>
    <t>TH7898_C8_55</t>
  </si>
  <si>
    <t>TH7910_C5_55</t>
  </si>
  <si>
    <t>TH7912_C1_60</t>
  </si>
  <si>
    <t>T50S3-1</t>
  </si>
  <si>
    <t>TH7914_C4_48</t>
  </si>
  <si>
    <t>TH7920_C2_56</t>
  </si>
  <si>
    <t>T38S2-1</t>
  </si>
  <si>
    <t>TH7921_C3_55</t>
  </si>
  <si>
    <t>C1R2-1,T51S2-1</t>
  </si>
  <si>
    <t>TH7920_C1_56</t>
  </si>
  <si>
    <t>TH7975_C3_50</t>
  </si>
  <si>
    <t>TH7976_C1_52</t>
  </si>
  <si>
    <t>TH7977_C1_56</t>
  </si>
  <si>
    <t>TH7981_C1_58</t>
  </si>
  <si>
    <t>TH7981_C3_58</t>
  </si>
  <si>
    <t>TH7981_C4_58</t>
  </si>
  <si>
    <t>T51S2-1</t>
  </si>
  <si>
    <t>TH9000_C3_49</t>
  </si>
  <si>
    <t>TH9000_C4_49</t>
  </si>
  <si>
    <t>TH9009_C5_54</t>
  </si>
  <si>
    <t>TH826P_C3_52</t>
  </si>
  <si>
    <t>TH843_C3_52</t>
  </si>
  <si>
    <t>TH844_C1S_53</t>
  </si>
  <si>
    <t>D3-1,C1R2-1</t>
  </si>
  <si>
    <t>TH844_C2S_53</t>
  </si>
  <si>
    <t>TH846_C2S_58</t>
  </si>
  <si>
    <t>TH846_C8_58</t>
  </si>
  <si>
    <t>TH9018_C3_50</t>
  </si>
  <si>
    <t>TH9018_C4_50</t>
  </si>
  <si>
    <t>TH9711_C2_53</t>
  </si>
  <si>
    <t>TI_G170PYFL9B-60</t>
  </si>
  <si>
    <t>TITAN EYE+</t>
  </si>
  <si>
    <t>VE1210BM_1002_52</t>
  </si>
  <si>
    <t>VERSACE</t>
  </si>
  <si>
    <t>FULL METAL</t>
  </si>
  <si>
    <t>VE3215_617_52</t>
  </si>
  <si>
    <t>VE3253_GB1_53</t>
  </si>
  <si>
    <t>VE4321_518213_58</t>
  </si>
  <si>
    <t>VISION SPRING yellow</t>
  </si>
  <si>
    <t>VISION SPRING</t>
  </si>
  <si>
    <t>C8R1-27</t>
  </si>
  <si>
    <t>VO2660_W65613_58</t>
  </si>
  <si>
    <t>VOGUE</t>
  </si>
  <si>
    <t>VO2695S_234611_59</t>
  </si>
  <si>
    <t xml:space="preserve"> </t>
  </si>
  <si>
    <t>VO2714_2406_54</t>
  </si>
  <si>
    <t>C3R2-1</t>
  </si>
  <si>
    <t>VO2714_2406_52</t>
  </si>
  <si>
    <t>T34S1-1</t>
  </si>
  <si>
    <t>VO2817S_20308F_53</t>
  </si>
  <si>
    <t>T54S1-1</t>
  </si>
  <si>
    <t>VO2829SM_W4411_58</t>
  </si>
  <si>
    <t>VO2763_2279_53</t>
  </si>
  <si>
    <t>VO2767_1947_50</t>
  </si>
  <si>
    <t>T71S1-1</t>
  </si>
  <si>
    <t>VO2787_2306_51</t>
  </si>
  <si>
    <t>VO2787_2406_51</t>
  </si>
  <si>
    <t>VO2787_2406_53</t>
  </si>
  <si>
    <t>VO2819S_W4411_58</t>
  </si>
  <si>
    <t>VO2843S_227811_56</t>
  </si>
  <si>
    <t>VO2864_2183_52</t>
  </si>
  <si>
    <t>T34S2-1</t>
  </si>
  <si>
    <t>VO2866_W44_55</t>
  </si>
  <si>
    <t>VO2866_W44_53</t>
  </si>
  <si>
    <t>T34S3-1</t>
  </si>
  <si>
    <t>VO2870S_235811_52</t>
  </si>
  <si>
    <t>VO2886_W44_53</t>
  </si>
  <si>
    <t>C3R2-2</t>
  </si>
  <si>
    <t>VO2894SB_191613_56</t>
  </si>
  <si>
    <t>C3R4-2,T54S1-1</t>
  </si>
  <si>
    <t>VO2896_W4411_54</t>
  </si>
  <si>
    <t>C3R4-2</t>
  </si>
  <si>
    <t>VO2896S_W65613_54</t>
  </si>
  <si>
    <t>C3R4-1</t>
  </si>
  <si>
    <t>VO2899_W44_51</t>
  </si>
  <si>
    <t>C3R2-2,T71S1-1</t>
  </si>
  <si>
    <t>VO2908_W44_53</t>
  </si>
  <si>
    <t>VO2906_W44_52</t>
  </si>
  <si>
    <t>T34S2-1,C3R2-5</t>
  </si>
  <si>
    <t>VO2906_2249_52</t>
  </si>
  <si>
    <t>C3R2-3,D11-1,T73S2-1</t>
  </si>
  <si>
    <t>DAMAGE-1PCS</t>
  </si>
  <si>
    <t>VO2915S_W4411_53</t>
  </si>
  <si>
    <t>VO2915S_226214_53</t>
  </si>
  <si>
    <t>VO2915S_22618H_53</t>
  </si>
  <si>
    <t>VO2916_W4411_58</t>
  </si>
  <si>
    <t>VO2924BI_2065_51</t>
  </si>
  <si>
    <t>VO2925B_W44_51</t>
  </si>
  <si>
    <t>VO2925B_W44_53</t>
  </si>
  <si>
    <t>C3R2-4</t>
  </si>
  <si>
    <t>VO2925B_2048_53</t>
  </si>
  <si>
    <t>VO2925BI_2362_51</t>
  </si>
  <si>
    <t>C3R2-1,D11-1</t>
  </si>
  <si>
    <t>VO2936_2287_54</t>
  </si>
  <si>
    <t>VO2937_W44_51</t>
  </si>
  <si>
    <t>VO2940S_W4471_58</t>
  </si>
  <si>
    <t>C3R4-3</t>
  </si>
  <si>
    <t>VO2940S_23828F_58</t>
  </si>
  <si>
    <t>VO2940S_229648_58</t>
  </si>
  <si>
    <t>VO2941S_227913_56</t>
  </si>
  <si>
    <t>T54S3-1</t>
  </si>
  <si>
    <t>VO2942SB_201148_55</t>
  </si>
  <si>
    <t>VO2943SB_201148_55</t>
  </si>
  <si>
    <t>C3R4-1,DS2-1</t>
  </si>
  <si>
    <t>VO2943SB_W4411_55</t>
  </si>
  <si>
    <t>VO2950_2048_51</t>
  </si>
  <si>
    <t>VO2950_2048_53</t>
  </si>
  <si>
    <t>VO2959S_230213_54</t>
  </si>
  <si>
    <t>C3R4-1,T54S3-1</t>
  </si>
  <si>
    <t>VO2961_W827_53</t>
  </si>
  <si>
    <t>VO2968_2326_52</t>
  </si>
  <si>
    <t>VO2993S_W4411_57</t>
  </si>
  <si>
    <t>C3R4-4</t>
  </si>
  <si>
    <t>VO2993S_W65613_57</t>
  </si>
  <si>
    <t>VO2998_2386_54</t>
  </si>
  <si>
    <t>VO3768_352_50</t>
  </si>
  <si>
    <t>T36S2-1</t>
  </si>
  <si>
    <t>VO3838_352S_53</t>
  </si>
  <si>
    <t>C3R1-2,T72S1-1</t>
  </si>
  <si>
    <t>VO3843I_756_50</t>
  </si>
  <si>
    <t>C3R1-4,T72S1-1</t>
  </si>
  <si>
    <t>VO3843_813_50</t>
  </si>
  <si>
    <t>C3R1-3,T72S3-1</t>
  </si>
  <si>
    <t>VO3931I_352_53</t>
  </si>
  <si>
    <t>C3R1-1</t>
  </si>
  <si>
    <t>VO3947_352_52</t>
  </si>
  <si>
    <t>VO3955B_280_51</t>
  </si>
  <si>
    <t>C3R1-1,T36S3-1</t>
  </si>
  <si>
    <t>VO3955B_352_51</t>
  </si>
  <si>
    <t>C3R1-10,T36S3-1</t>
  </si>
  <si>
    <t>VO3969_934_50</t>
  </si>
  <si>
    <t>T72S1-1</t>
  </si>
  <si>
    <t>VO3969_352_50</t>
  </si>
  <si>
    <t>VO3980_323S_52</t>
  </si>
  <si>
    <t>T72S2-1</t>
  </si>
  <si>
    <t>VO3980_352S_52</t>
  </si>
  <si>
    <t>C3R1-1,T72S3-1</t>
  </si>
  <si>
    <t>VO3981_352_52</t>
  </si>
  <si>
    <t>VO3981_352_54</t>
  </si>
  <si>
    <t>VO3981_548_52</t>
  </si>
  <si>
    <t>VO3981_979S_52</t>
  </si>
  <si>
    <t>VO3982SB_84813_58</t>
  </si>
  <si>
    <t>C4R1-1</t>
  </si>
  <si>
    <t>VO3983S_548S13_58</t>
  </si>
  <si>
    <t>T53S1-1</t>
  </si>
  <si>
    <t>VO3983S_964S11_58</t>
  </si>
  <si>
    <t>VO3983S_965S8H_58</t>
  </si>
  <si>
    <t>VO3992_352_53</t>
  </si>
  <si>
    <t>T72S3-1</t>
  </si>
  <si>
    <t>VO3997S_848T5_58</t>
  </si>
  <si>
    <t>VO3997S_93413_58</t>
  </si>
  <si>
    <t>VO3997S_32348_58</t>
  </si>
  <si>
    <t>T53S2-1</t>
  </si>
  <si>
    <t>VO4002S_99511_55</t>
  </si>
  <si>
    <t>VO4013_352_51</t>
  </si>
  <si>
    <t>VO4015B_352_53</t>
  </si>
  <si>
    <t>VO4016B_848_51</t>
  </si>
  <si>
    <t>C3R1-2,D11-1</t>
  </si>
  <si>
    <t>VO4016B_848_53</t>
  </si>
  <si>
    <t>C3R1-5</t>
  </si>
  <si>
    <t>VO4024_5025_50</t>
  </si>
  <si>
    <t>T70S3-1</t>
  </si>
  <si>
    <t>VO4037_280_52</t>
  </si>
  <si>
    <t>VO4037_352_52</t>
  </si>
  <si>
    <t>C3R1-1,T72S2-1</t>
  </si>
  <si>
    <t>VO4038_352_54</t>
  </si>
  <si>
    <t>VO4038_548_54</t>
  </si>
  <si>
    <t>C3R1-1,T72S1-1</t>
  </si>
  <si>
    <t>VO4038_5033_54</t>
  </si>
  <si>
    <t>T36S2-1,C3R1-1</t>
  </si>
  <si>
    <t>VO4055SI_99613_57</t>
  </si>
  <si>
    <t>T53S3-1</t>
  </si>
  <si>
    <t>VO4055SI_502214_57</t>
  </si>
  <si>
    <t>VO4083S_84811_55</t>
  </si>
  <si>
    <t>VO4091BI_84873_56</t>
  </si>
  <si>
    <t>VO4092B_507514_56</t>
  </si>
  <si>
    <t>VO4097S_323H7_58</t>
  </si>
  <si>
    <t>VO4097S_28087_58</t>
  </si>
  <si>
    <t xml:space="preserve"> DS2-1</t>
  </si>
  <si>
    <t>VO4112S_84813_56</t>
  </si>
  <si>
    <t>VO4112S_50757E_56</t>
  </si>
  <si>
    <t>VO4119_5078_51</t>
  </si>
  <si>
    <t>VO4125_5115_53</t>
  </si>
  <si>
    <t>T70S2-1</t>
  </si>
  <si>
    <t>VO4125I_5116_51</t>
  </si>
  <si>
    <t>VO4125I_5116_53</t>
  </si>
  <si>
    <t>T36S3-1</t>
  </si>
  <si>
    <t>VO4138S_28069_56</t>
  </si>
  <si>
    <t>T52S3-1</t>
  </si>
  <si>
    <t>VO4139SB_50758Z_54</t>
  </si>
  <si>
    <t>VO4140_5078_53</t>
  </si>
  <si>
    <t>VO5002_W44_52</t>
  </si>
  <si>
    <t>C3R3-1</t>
  </si>
  <si>
    <t>VO5007B_W4411_58</t>
  </si>
  <si>
    <t>VO5009BI_16478H_58</t>
  </si>
  <si>
    <t>T54S2-1</t>
  </si>
  <si>
    <t>VO5010I_W44_51</t>
  </si>
  <si>
    <t>C3R3-2</t>
  </si>
  <si>
    <t>3890/3990</t>
  </si>
  <si>
    <t>VO5010I_W44_53</t>
  </si>
  <si>
    <t>3990/3890</t>
  </si>
  <si>
    <t>VO5010_W656_51</t>
  </si>
  <si>
    <t>VO5010_2395_51</t>
  </si>
  <si>
    <t>VO5030_W827_53</t>
  </si>
  <si>
    <t>VO5042_1647_53</t>
  </si>
  <si>
    <t>T71S2-1</t>
  </si>
  <si>
    <t>VO5061SB_W4487_53</t>
  </si>
  <si>
    <t>VO5118SI_W4411_57</t>
  </si>
  <si>
    <t>C4R1-2,DS2-1</t>
  </si>
  <si>
    <t>VO5119S_W65613_56</t>
  </si>
  <si>
    <t>T53S1-1,C4R1-2</t>
  </si>
  <si>
    <t>VO5119S_W445A_56</t>
  </si>
  <si>
    <t>VO5134S_25318H_55</t>
  </si>
  <si>
    <t>VO5137S_W65613_55</t>
  </si>
  <si>
    <t>VO5148B_2539_53</t>
  </si>
  <si>
    <t>VO5153_2593_51</t>
  </si>
  <si>
    <t>T71S3-1</t>
  </si>
  <si>
    <t>VO5164S_W4411_52</t>
  </si>
  <si>
    <t>VO5166S_256613_51</t>
  </si>
  <si>
    <t>VO5166_W6565R_51</t>
  </si>
  <si>
    <t>VO5167S_2621_50</t>
  </si>
  <si>
    <t>VO5183S_W4411_58</t>
  </si>
  <si>
    <t>VO5204_2477_52</t>
  </si>
  <si>
    <t>VO5205S_25547E_62</t>
  </si>
  <si>
    <t>VO5211S_W4487_54</t>
  </si>
  <si>
    <t>C4R1-2</t>
  </si>
  <si>
    <t>VO5211S_W4411_54</t>
  </si>
  <si>
    <t>C4R1-1,T54S1-1</t>
  </si>
  <si>
    <t>VO5212S_W65613_55</t>
  </si>
  <si>
    <t>C4R1-1,T53S1-1</t>
  </si>
  <si>
    <t>VO5215S_23860L_51</t>
  </si>
  <si>
    <t>VO5216BI_W44_51</t>
  </si>
  <si>
    <t>VO5216BI_W656_51</t>
  </si>
  <si>
    <t>T36S2-1,T34S2-1</t>
  </si>
  <si>
    <t>VO5243SB_266920_53</t>
  </si>
  <si>
    <t>VO5280SB_260569_57</t>
  </si>
  <si>
    <t>VO5280SB_272276_57</t>
  </si>
  <si>
    <t>VO5283S_260513_54</t>
  </si>
  <si>
    <t>VO5283S_27248Z_54</t>
  </si>
  <si>
    <t>VO5283S_27236V_54</t>
  </si>
  <si>
    <t>VO5283_272573_54</t>
  </si>
  <si>
    <t>VO5284S_27210K_32</t>
  </si>
  <si>
    <t>VO5284S_27206V_32</t>
  </si>
  <si>
    <t>VO5284S_W4487_32</t>
  </si>
  <si>
    <t>VO5268I_W44_51</t>
  </si>
  <si>
    <t>C3R3-2,T71S2-1</t>
  </si>
  <si>
    <t>VO5268I_W656_51</t>
  </si>
  <si>
    <t>C3R3-3,T34S3-1</t>
  </si>
  <si>
    <t>VO5227I_W44_52</t>
  </si>
  <si>
    <t>C3R3-3</t>
  </si>
  <si>
    <t>VO5227I_W656_52</t>
  </si>
  <si>
    <t>C3R3-4</t>
  </si>
  <si>
    <t>VO5227I_2362_52</t>
  </si>
  <si>
    <t>VO5242S_W4411_50</t>
  </si>
  <si>
    <t>VO5242S_W65613_50</t>
  </si>
  <si>
    <t>VO5247I_2395_49</t>
  </si>
  <si>
    <t>VO5247_W656_49</t>
  </si>
  <si>
    <t>VO5247I_W44_49</t>
  </si>
  <si>
    <t>C3R2-2,T71S3-1</t>
  </si>
  <si>
    <t>VO5247I_1647_49</t>
  </si>
  <si>
    <t>VO4104_2807A_57</t>
  </si>
  <si>
    <t>VO4106_84813_55</t>
  </si>
  <si>
    <t>VO4125I_5078_51</t>
  </si>
  <si>
    <t>VO4125I_5078_53</t>
  </si>
  <si>
    <t>VO4125I_352_51</t>
  </si>
  <si>
    <t>VO4125_352_53</t>
  </si>
  <si>
    <t>VO4128_323_50</t>
  </si>
  <si>
    <t>VO4128_323_52</t>
  </si>
  <si>
    <t>VO4128_848_50</t>
  </si>
  <si>
    <t>C3R1-1,T70S1-1</t>
  </si>
  <si>
    <t>Return</t>
  </si>
  <si>
    <t>VO4128_848_52</t>
  </si>
  <si>
    <t>VO4128_5108_50</t>
  </si>
  <si>
    <t>VO4128_5109_52</t>
  </si>
  <si>
    <t>VO4128_5109_50</t>
  </si>
  <si>
    <t>T70S1-1</t>
  </si>
  <si>
    <t>VO4128_5110_50</t>
  </si>
  <si>
    <t>VO4128_5110_52</t>
  </si>
  <si>
    <t>VO5204I_W44_52</t>
  </si>
  <si>
    <t>VO5271S_W4487_53</t>
  </si>
  <si>
    <t>VO5271_272611_53</t>
  </si>
  <si>
    <t>VO5272_2727_51</t>
  </si>
  <si>
    <t>C3R2-1,T34S1-1</t>
  </si>
  <si>
    <t>VO5272_2731_51</t>
  </si>
  <si>
    <t>VO5263BI_W656_52</t>
  </si>
  <si>
    <t>C3R3-2,T34S1-1</t>
  </si>
  <si>
    <t>VO5269S_W65613_56</t>
  </si>
  <si>
    <t>VO5282SB_W4487_54</t>
  </si>
  <si>
    <t>VO5282SB_260480_54</t>
  </si>
  <si>
    <t>VO5282SB_260569_54</t>
  </si>
  <si>
    <t>VO5282SB_272276_54</t>
  </si>
  <si>
    <t>WALNUT +</t>
  </si>
  <si>
    <t>T32S1-0</t>
  </si>
  <si>
    <t>WALNUT FAB</t>
  </si>
  <si>
    <t>T32S1-2</t>
  </si>
  <si>
    <t>CATEYE FULL SHEET FRAME, RECTANGLE, ROUND</t>
  </si>
  <si>
    <t>WALNUT PRO</t>
  </si>
  <si>
    <t>T32S3-1,CT5-1</t>
  </si>
  <si>
    <t>AVIATOR, CATEYE, ROUND, RECTANGLE</t>
  </si>
  <si>
    <t>WALNUT PRO H</t>
  </si>
  <si>
    <t>T32S2-2</t>
  </si>
  <si>
    <t>INB2610B_CAT3_S</t>
  </si>
  <si>
    <t>S</t>
  </si>
  <si>
    <t>INVU</t>
  </si>
  <si>
    <t>T11S2-1</t>
  </si>
  <si>
    <t>INB2802A_CAT3_M</t>
  </si>
  <si>
    <t>T11S1-1</t>
  </si>
  <si>
    <t>INB2940_CAT1_M</t>
  </si>
  <si>
    <t>INB2946B_CAT3_M</t>
  </si>
  <si>
    <t>INB1906A_Cat.3 S</t>
  </si>
  <si>
    <t>INB1907D_CAT3_M</t>
  </si>
  <si>
    <t>INB1912D_Cat.2 S</t>
  </si>
  <si>
    <t>INB2901E_Cat.2S_68</t>
  </si>
  <si>
    <t>INB1917B_CAT3_M</t>
  </si>
  <si>
    <t>INB1915_CAT3_M</t>
  </si>
  <si>
    <t>INB4004_COLB_49</t>
  </si>
  <si>
    <t>T78S1-2</t>
  </si>
  <si>
    <t>INB4004_COLA_49</t>
  </si>
  <si>
    <t>BILGISAY</t>
  </si>
  <si>
    <t>NON BRAND</t>
  </si>
  <si>
    <t>L6D5S1-4,S2-2</t>
  </si>
  <si>
    <t>SPECTACLE FRAME (CODE-CT)</t>
  </si>
  <si>
    <t>TOMMY FASHION</t>
  </si>
  <si>
    <t>THD-1,L6D5S3-1</t>
  </si>
  <si>
    <t>RECTANGLE, ROUND</t>
  </si>
  <si>
    <t>SPECTACLE FRAME CODE TXX-----1</t>
  </si>
  <si>
    <t>CHOPARD</t>
  </si>
  <si>
    <t>L4D6S2-3,S3-4</t>
  </si>
  <si>
    <t>ROUND, RECTANGLE, CATEYE</t>
  </si>
  <si>
    <t>EXX</t>
  </si>
  <si>
    <t>7l</t>
  </si>
  <si>
    <t>SUMMIT</t>
  </si>
  <si>
    <t>L1D2S1-3,S2-1</t>
  </si>
  <si>
    <t>SPECTACLE FRAME (CODE-SX)</t>
  </si>
  <si>
    <t>MIKINITEEN</t>
  </si>
  <si>
    <t>L5D1S3-2</t>
  </si>
  <si>
    <t>RECTANGLE FULL SHEET FRAMEAX</t>
  </si>
  <si>
    <t>SPECTACLE FRAME (CODE-EXX)</t>
  </si>
  <si>
    <t>KOOLTI</t>
  </si>
  <si>
    <t>MAURIE JEAN ACETATE</t>
  </si>
  <si>
    <t>L1D6S2-4,S3-4,L6D6S3-1</t>
  </si>
  <si>
    <t>CATEYE, RECTANGLE</t>
  </si>
  <si>
    <t>SPECTACLE FRAME CODE TXX</t>
  </si>
  <si>
    <t>OBSERVER</t>
  </si>
  <si>
    <t>VERVE ACETATE SHEET</t>
  </si>
  <si>
    <t>L5D4S3-3</t>
  </si>
  <si>
    <t>RECTANGLE FULL SHEET FRAMEEXX</t>
  </si>
  <si>
    <t>ULTRA LIGHT SHEET</t>
  </si>
  <si>
    <t>L5D6S2-1</t>
  </si>
  <si>
    <t>SOLANA FULL METAL</t>
  </si>
  <si>
    <t>L4D4S1-3</t>
  </si>
  <si>
    <t>ROUND FULL MEATL FRAME</t>
  </si>
  <si>
    <t>SPECTACLE FRAMES(CODE-ETX)</t>
  </si>
  <si>
    <t>CELLESTIS</t>
  </si>
  <si>
    <t>L6D5S2-3</t>
  </si>
  <si>
    <t>CALEB</t>
  </si>
  <si>
    <t>R-1</t>
  </si>
  <si>
    <t>FRAMES</t>
  </si>
  <si>
    <t>FFF SHEET</t>
  </si>
  <si>
    <t>L4D5S3-1</t>
  </si>
  <si>
    <t>FANCY LADIES</t>
  </si>
  <si>
    <t>L2D2S3-1</t>
  </si>
  <si>
    <t>CATEYE, ROUND FULL METAL FRAME</t>
  </si>
  <si>
    <t>AX</t>
  </si>
  <si>
    <t>RAYBAN AVIATORS WITH BOX</t>
  </si>
  <si>
    <t>CT2-1,</t>
  </si>
  <si>
    <t>RAYBAN FULL AVIATOR</t>
  </si>
  <si>
    <t>CT2-1</t>
  </si>
  <si>
    <t>RAYBAN FULL AVIATOR IST</t>
  </si>
  <si>
    <t>T37S1-1</t>
  </si>
  <si>
    <t>GALEBO</t>
  </si>
  <si>
    <t>POLO FASHION TR</t>
  </si>
  <si>
    <t>L3D5S1-4</t>
  </si>
  <si>
    <t>GUYS</t>
  </si>
  <si>
    <t>L3D1S1-4,S2-3</t>
  </si>
  <si>
    <t>MAGIC PLUS NV</t>
  </si>
  <si>
    <t>T3S1-4,S2-4</t>
  </si>
  <si>
    <t>CT</t>
  </si>
  <si>
    <t>MAGIC PLUS(BOTH)</t>
  </si>
  <si>
    <t>FRAME WITH SUNGLASS</t>
  </si>
  <si>
    <t>CITYFLYER</t>
  </si>
  <si>
    <t>R-2</t>
  </si>
  <si>
    <t>RECTANGLE ,BABY FULL SHEET FRAME</t>
  </si>
  <si>
    <t>SPECTACLE FRAME CODE TX</t>
  </si>
  <si>
    <t>LOUIS STYLE TR</t>
  </si>
  <si>
    <t>L5D1S3-1</t>
  </si>
  <si>
    <t>Teenager</t>
  </si>
  <si>
    <t>C8R1-7,L6D2-15,R-1</t>
  </si>
  <si>
    <t>RECTANGLE, CATEYE, ROUND, BABY FRAME</t>
  </si>
  <si>
    <t>SPECTACLE FRAME CODE-TX</t>
  </si>
  <si>
    <t>10 MANAL</t>
  </si>
  <si>
    <t>Teenager Big</t>
  </si>
  <si>
    <t>X-ITE</t>
  </si>
  <si>
    <t>L5D6S3-3</t>
  </si>
  <si>
    <t>L6D5S1-4</t>
  </si>
  <si>
    <t>RECTANGLE,ROUND</t>
  </si>
  <si>
    <t>SILHOUETTE SHEET</t>
  </si>
  <si>
    <t>L2D2S2-1</t>
  </si>
  <si>
    <t>WONDER BABY</t>
  </si>
  <si>
    <t>CT13-2,C8R2-47</t>
  </si>
  <si>
    <t>BABY FRAME</t>
  </si>
  <si>
    <t>85+1 Damage</t>
  </si>
  <si>
    <t>ARMSTRONG</t>
  </si>
  <si>
    <t>L6D4S3-1</t>
  </si>
  <si>
    <t>TITANIUM SHEET</t>
  </si>
  <si>
    <t>L2D2S3-2</t>
  </si>
  <si>
    <t>CARTIER METAL FULL IST</t>
  </si>
  <si>
    <t>L3D4-10,CT5-1</t>
  </si>
  <si>
    <t>CARTIER M SUPRA</t>
  </si>
  <si>
    <t>L3D1S3-4</t>
  </si>
  <si>
    <t>SHEET WITH METAL SIDE</t>
  </si>
  <si>
    <t>L3D5S3-1</t>
  </si>
  <si>
    <t>CARTIER FULL AVIATOR IST</t>
  </si>
  <si>
    <t>D10-3</t>
  </si>
  <si>
    <t>TFX</t>
  </si>
  <si>
    <t>CARTIER SHEET</t>
  </si>
  <si>
    <t>SPECTACLE FRAME CODE ETX</t>
  </si>
  <si>
    <t>MONT BLANC M FULL</t>
  </si>
  <si>
    <t>L4D3S2-3</t>
  </si>
  <si>
    <t>MONT BLANC SHEET IST</t>
  </si>
  <si>
    <t>L1D5-3</t>
  </si>
  <si>
    <t>MONT BLANC M SUPRA</t>
  </si>
  <si>
    <t>L4D3S1-4,S2-1,L4D5S2-3,D10-1</t>
  </si>
  <si>
    <t>750/1000</t>
  </si>
  <si>
    <t>RAYBAN SHEET BRAND</t>
  </si>
  <si>
    <t>DS3-1,CT11-1</t>
  </si>
  <si>
    <t>BISMARCK</t>
  </si>
  <si>
    <t>L1D6S1-4</t>
  </si>
  <si>
    <t>POLO FASHION 3PCS</t>
  </si>
  <si>
    <t>TITAN EYE + SHEET</t>
  </si>
  <si>
    <t>L1D3S3-1</t>
  </si>
  <si>
    <t>TITAN EYE + M SUPRA</t>
  </si>
  <si>
    <t>L3D5S2-2</t>
  </si>
  <si>
    <t>BOSS M SUPRA</t>
  </si>
  <si>
    <t>ULTEM</t>
  </si>
  <si>
    <t>L2D5S1-2</t>
  </si>
  <si>
    <t>GUCCI M FULL</t>
  </si>
  <si>
    <t>T22S2-2</t>
  </si>
  <si>
    <t>EMPORIO ARMANI METAL</t>
  </si>
  <si>
    <t>L5D2S2-1</t>
  </si>
  <si>
    <t>RECTANGLE SUPRA, FULL METAL FRAME</t>
  </si>
  <si>
    <t>EMPORIO ARMANI SHEET</t>
  </si>
  <si>
    <t>CT11-1</t>
  </si>
  <si>
    <t>CARTIER 3 PC</t>
  </si>
  <si>
    <t>L1D1S3-1</t>
  </si>
  <si>
    <t>TAG HEUR 3 PC</t>
  </si>
  <si>
    <t>COSTA 3 PC</t>
  </si>
  <si>
    <t>TOMMY SPORT 3 PC</t>
  </si>
  <si>
    <t>L1D1S2-2</t>
  </si>
  <si>
    <t>TOMMY HILFIGER FULL METAL IST</t>
  </si>
  <si>
    <t>L3D6S3-2</t>
  </si>
  <si>
    <t>TOMMY HILFIGER FULL METAL</t>
  </si>
  <si>
    <t>TOMMY HILFIGER SHEET</t>
  </si>
  <si>
    <t>L3D3S2-1,THD-1</t>
  </si>
  <si>
    <t>RECTANGLE FRAMES</t>
  </si>
  <si>
    <t>RAYBAN METAL SUPRA IST</t>
  </si>
  <si>
    <t>RAYBAN METAL SUPRA</t>
  </si>
  <si>
    <t>POLICE SHEET</t>
  </si>
  <si>
    <t>L1D4S3-3</t>
  </si>
  <si>
    <t>POLICE METAL SUPRA IST</t>
  </si>
  <si>
    <t>T22-8</t>
  </si>
  <si>
    <t>FUSION</t>
  </si>
  <si>
    <t>L2D3S2-4</t>
  </si>
  <si>
    <t>SHEET FRAMES</t>
  </si>
  <si>
    <t>L4D1-5,DISPLAY-1</t>
  </si>
  <si>
    <t>HANSHA</t>
  </si>
  <si>
    <t>L3D3S3-1</t>
  </si>
  <si>
    <t>CREATIE</t>
  </si>
  <si>
    <t>L1D5S3-1</t>
  </si>
  <si>
    <t>RECTANGLE</t>
  </si>
  <si>
    <t>SPECTACLE FRAME (CODE-CT)i</t>
  </si>
  <si>
    <t>YOUNGSTUN SUPRA</t>
  </si>
  <si>
    <t>DIOR LADIES</t>
  </si>
  <si>
    <t>CT1-2</t>
  </si>
  <si>
    <t>CAT EYE SHEET FRAME</t>
  </si>
  <si>
    <t>DATA SOFT</t>
  </si>
  <si>
    <t>MYSTERY</t>
  </si>
  <si>
    <t>LANTUN</t>
  </si>
  <si>
    <t>L6D1S1-1</t>
  </si>
  <si>
    <t>FARENHEIT READING FOLDABLE +1</t>
  </si>
  <si>
    <t>C9-1+1</t>
  </si>
  <si>
    <t>FARENHEIT READING FOLDABLE +1.5</t>
  </si>
  <si>
    <t>C9-13+3</t>
  </si>
  <si>
    <t>FARENHEIT READING FOLDABLE +2</t>
  </si>
  <si>
    <t>C9-20+5</t>
  </si>
  <si>
    <t>FARENHEIT READING FOLDABLE +2.5</t>
  </si>
  <si>
    <t>C9-19+4</t>
  </si>
  <si>
    <t>FARENHEIT READING FOLDABLE +3.0</t>
  </si>
  <si>
    <t>C9-5+4</t>
  </si>
  <si>
    <t>READING NV</t>
  </si>
  <si>
    <t>C9-7</t>
  </si>
  <si>
    <t>POSS DESIGN NV</t>
  </si>
  <si>
    <t>C9-11</t>
  </si>
  <si>
    <t>NV</t>
  </si>
  <si>
    <t>READING</t>
  </si>
  <si>
    <t>6 MANAL</t>
  </si>
  <si>
    <t>HAPPINESS</t>
  </si>
  <si>
    <t>Excellen</t>
  </si>
  <si>
    <t>LOUIS STYLE 3 PC</t>
  </si>
  <si>
    <t>NEW YORK DESIGN</t>
  </si>
  <si>
    <t>DERN DESK</t>
  </si>
  <si>
    <t>METAL SUPRA FRAME</t>
  </si>
  <si>
    <t>JUST NV</t>
  </si>
  <si>
    <t>T20S1-2</t>
  </si>
  <si>
    <t>READER READING</t>
  </si>
  <si>
    <t>C9-1</t>
  </si>
  <si>
    <t>TOM STYLE</t>
  </si>
  <si>
    <t>BLOOM PRIME</t>
  </si>
  <si>
    <t>L6D4S2-1</t>
  </si>
  <si>
    <t>Escape Ex</t>
  </si>
  <si>
    <t>SQURE FULL SHEET FRAME</t>
  </si>
  <si>
    <t>REAL MADRID</t>
  </si>
  <si>
    <t>CT1-1,L2D4S3-5</t>
  </si>
  <si>
    <t>Mont Blanc 3 pc</t>
  </si>
  <si>
    <t>FANCY GOGGLES</t>
  </si>
  <si>
    <t>C8R1-5,DISPLAY-3</t>
  </si>
  <si>
    <t>FANCY METAL BIG SHAPE</t>
  </si>
  <si>
    <t>L4D1S2-2,R1-1</t>
  </si>
  <si>
    <t>RECTANGLE,ROUND,AVIATOR,CATEYE FRAMES</t>
  </si>
  <si>
    <t>EXX-----1</t>
  </si>
  <si>
    <t>KIDS</t>
  </si>
  <si>
    <t>L6D1S1-2,CT13-1</t>
  </si>
  <si>
    <t>Dior goggles</t>
  </si>
  <si>
    <t>DISPLAY-1</t>
  </si>
  <si>
    <t>Display Goggles</t>
  </si>
  <si>
    <t>C8R1-16,DISPLAY-4</t>
  </si>
  <si>
    <t>driving goggles</t>
  </si>
  <si>
    <t>DISPLAY-2</t>
  </si>
  <si>
    <t>HIGH FLIER BABY</t>
  </si>
  <si>
    <t>L5D3S2-1</t>
  </si>
  <si>
    <t>1]</t>
  </si>
  <si>
    <t>Protective cup goggles</t>
  </si>
  <si>
    <t>M-1</t>
  </si>
  <si>
    <t>SANAFLEX</t>
  </si>
  <si>
    <t>Non Brand</t>
  </si>
  <si>
    <t xml:space="preserve"> L6D3-12,C8R1-42,R1-1,L5D6S3-2</t>
  </si>
  <si>
    <t>200, 300</t>
  </si>
  <si>
    <t>MILLENIUM</t>
  </si>
  <si>
    <t>L5D4-6,R-2</t>
  </si>
  <si>
    <t>M-2</t>
  </si>
  <si>
    <t>CHOICE</t>
  </si>
  <si>
    <t>DR READING</t>
  </si>
  <si>
    <t>BOX-47</t>
  </si>
  <si>
    <t>NV READING</t>
  </si>
  <si>
    <t>VISION SPRING READER</t>
  </si>
  <si>
    <t>DISPLAY-6</t>
  </si>
  <si>
    <t>120, 300</t>
  </si>
  <si>
    <t>TIGER/TIGER MK</t>
  </si>
  <si>
    <t>L5D4S2-2</t>
  </si>
  <si>
    <t>DAMMAGE-2</t>
  </si>
  <si>
    <t>VISION SPRING SUNGLASSES</t>
  </si>
  <si>
    <t>C8R1-19,D7-3</t>
  </si>
  <si>
    <t>GENESIS AVIATOR</t>
  </si>
  <si>
    <t>T29S1-3,CT2-1,R-1</t>
  </si>
  <si>
    <t>DOCTOR PLUS READING</t>
  </si>
  <si>
    <t>BOX-80</t>
  </si>
  <si>
    <t>KIXSQUEST READING</t>
  </si>
  <si>
    <t>T20-6</t>
  </si>
  <si>
    <t>Gsenev Aviator</t>
  </si>
  <si>
    <t>Escape + Sheet</t>
  </si>
  <si>
    <t>R1-1,CT10-1</t>
  </si>
  <si>
    <t>ESCAPE FULL METAL</t>
  </si>
  <si>
    <t>R1-1,D10-1</t>
  </si>
  <si>
    <t xml:space="preserve">RAYBAN TR SHEET </t>
  </si>
  <si>
    <t>CT10-1</t>
  </si>
  <si>
    <t>RAYBAN TR PARIS</t>
  </si>
  <si>
    <t>L3D3S2-1</t>
  </si>
  <si>
    <t>COMPACT READING</t>
  </si>
  <si>
    <t>BOX-15</t>
  </si>
  <si>
    <t>MINI READING</t>
  </si>
  <si>
    <t>---1</t>
  </si>
  <si>
    <t>PRADA SHEET</t>
  </si>
  <si>
    <t>L2D2S1-3,S2-3,C10-1</t>
  </si>
  <si>
    <t>NIKE</t>
  </si>
  <si>
    <t>R-1, DS3-2</t>
  </si>
  <si>
    <t>ADIDAS</t>
  </si>
  <si>
    <t>TXX</t>
  </si>
  <si>
    <t>RAW-7 KT READING</t>
  </si>
  <si>
    <t>C9-35</t>
  </si>
  <si>
    <t>AX+1</t>
  </si>
  <si>
    <t>PRADA METAL SUPRA IST</t>
  </si>
  <si>
    <t>CT4-2</t>
  </si>
  <si>
    <t>EFX</t>
  </si>
  <si>
    <t>PORSCHE DESIGN SURA METAL</t>
  </si>
  <si>
    <t>T19S1-4,S2-3,S3-1</t>
  </si>
  <si>
    <t>PORSCHE DESIGN AVIATOR METAL IST</t>
  </si>
  <si>
    <t>L2D6,CT2-1</t>
  </si>
  <si>
    <t>CHANEL Ist M SUPRA+3PCS</t>
  </si>
  <si>
    <t>L1D1S3-2</t>
  </si>
  <si>
    <t>4(1 PCS DAMAGE)</t>
  </si>
  <si>
    <t>CHANEL SHEET</t>
  </si>
  <si>
    <t>L2D5S1-1</t>
  </si>
  <si>
    <t>DIOR ROUND METAL IST</t>
  </si>
  <si>
    <t>DIOR IST</t>
  </si>
  <si>
    <t>D9-1,T19S3-3</t>
  </si>
  <si>
    <t>DIOR FULL METAL IST</t>
  </si>
  <si>
    <t>DS4-1</t>
  </si>
  <si>
    <t>CARTIER 3PC Ist</t>
  </si>
  <si>
    <t>RICHIE RICH NV</t>
  </si>
  <si>
    <t>T20S1-1</t>
  </si>
  <si>
    <t>TOM FORD METAL  Ist</t>
  </si>
  <si>
    <t>L3D2S2-6,S3-4,CT5-1</t>
  </si>
  <si>
    <t>PRADA FANCY METAL IST</t>
  </si>
  <si>
    <t>T37S2-4,S3-1</t>
  </si>
  <si>
    <t>RAYBAN FANCY METAL</t>
  </si>
  <si>
    <t>CT5-1</t>
  </si>
  <si>
    <t>VERSACE GOGGLES</t>
  </si>
  <si>
    <t>D7-1</t>
  </si>
  <si>
    <t>IMAGE FANCY METAL</t>
  </si>
  <si>
    <t>TITAN EYE + M SUPRA IST</t>
  </si>
  <si>
    <t>L3D2S1-5,S2-3</t>
  </si>
  <si>
    <t>CARRERA GOGGLES</t>
  </si>
  <si>
    <t>D5-1</t>
  </si>
  <si>
    <t>O MATTER</t>
  </si>
  <si>
    <t>L1D3S1-4,S2-1</t>
  </si>
  <si>
    <t>PRADA GOGGLES</t>
  </si>
  <si>
    <t>TAG HEUR SHEET Ist</t>
  </si>
  <si>
    <t>RAYBAN GOGGLES(4190)</t>
  </si>
  <si>
    <t>D6-2,C10-6</t>
  </si>
  <si>
    <t>RAYBAN WOOD GOGGLES(4175)</t>
  </si>
  <si>
    <t>D6-2,D7-1</t>
  </si>
  <si>
    <t>RAYBAN DIAMOND AVIATORS+O SHAPE GOGGLES(3517+3510)</t>
  </si>
  <si>
    <t>C8R1-4,D6-1</t>
  </si>
  <si>
    <t>2 MANAL</t>
  </si>
  <si>
    <t>RAYBAN GOGGLES</t>
  </si>
  <si>
    <t>C10-2,D7-2</t>
  </si>
  <si>
    <t>ETX</t>
  </si>
  <si>
    <t>RAYBAN AVIATORS GOGGLES</t>
  </si>
  <si>
    <t>D6-6</t>
  </si>
  <si>
    <t>RAYBAN GOLD PG</t>
  </si>
  <si>
    <t>RAYBAN D SHAPE</t>
  </si>
  <si>
    <t>D6-1</t>
  </si>
  <si>
    <t>1 MANAL</t>
  </si>
  <si>
    <t>RAYBAN CANDY</t>
  </si>
  <si>
    <t>D6-3</t>
  </si>
  <si>
    <t>RAYBAN MURCURY</t>
  </si>
  <si>
    <t>VOGUE METAL Ist</t>
  </si>
  <si>
    <t>CARRERA METAL Ist</t>
  </si>
  <si>
    <t>T29S3-4,DS3-2</t>
  </si>
  <si>
    <t>GUCCI SHEET Ist</t>
  </si>
  <si>
    <t>T16S1-1,S2-1</t>
  </si>
  <si>
    <t>RAYBAN SHEET Ist</t>
  </si>
  <si>
    <t>D9-2,T23-2</t>
  </si>
  <si>
    <t>PORSCHE DESIGN SHEET M S Ist</t>
  </si>
  <si>
    <t>PORSCHE DESIGN GOGGLES</t>
  </si>
  <si>
    <t>D5-4</t>
  </si>
  <si>
    <t>TOM HILL NV READYMADE</t>
  </si>
  <si>
    <t>C9-34</t>
  </si>
  <si>
    <t>NV METAL SUPRA FRAME</t>
  </si>
  <si>
    <t>MAKKER</t>
  </si>
  <si>
    <t>ax</t>
  </si>
  <si>
    <t>TOM HILL SHEET</t>
  </si>
  <si>
    <t>D9-1,C8R1-35,CT3-1,L2D3S3-4</t>
  </si>
  <si>
    <t>ROUND SHEET FRAME</t>
  </si>
  <si>
    <t>8+60</t>
  </si>
  <si>
    <t>15 MANAL</t>
  </si>
  <si>
    <t>MAIRA BOSS+ SHEET</t>
  </si>
  <si>
    <t>D9-1</t>
  </si>
  <si>
    <t>METAL FRAME</t>
  </si>
  <si>
    <t>MAGIC TR</t>
  </si>
  <si>
    <t>CT7-1</t>
  </si>
  <si>
    <t>BOTEGO PASSION</t>
  </si>
  <si>
    <t>L5D5-8,CT3-1,C10-3</t>
  </si>
  <si>
    <t>3 MANAL</t>
  </si>
  <si>
    <t>SMARTENT</t>
  </si>
  <si>
    <t>V-READERS NV</t>
  </si>
  <si>
    <t>T20S2-3</t>
  </si>
  <si>
    <t>METAL SUPRA</t>
  </si>
  <si>
    <t>U EYEWEAR BLUE</t>
  </si>
  <si>
    <t>L5D1S2-1</t>
  </si>
  <si>
    <t>D&amp;G SHEET IST</t>
  </si>
  <si>
    <t>L2D1S3-1</t>
  </si>
  <si>
    <t>D&amp;G GOGGLES</t>
  </si>
  <si>
    <t>GOGGLES</t>
  </si>
  <si>
    <t>DIOR SHEET IST</t>
  </si>
  <si>
    <t>BURBERRY FULL METAL IST</t>
  </si>
  <si>
    <t>L3D6S1-3,D10-1</t>
  </si>
  <si>
    <t>FULL METAL ROUND FRAME</t>
  </si>
  <si>
    <t>BURBERRY GOGGLES</t>
  </si>
  <si>
    <t>CARTIER SHEET IST</t>
  </si>
  <si>
    <t>L1D2S2-1</t>
  </si>
  <si>
    <t>TOMMY HILFIGER SHEET IST</t>
  </si>
  <si>
    <t>L3D3S1-3,S2-1</t>
  </si>
  <si>
    <t>DISTRICT</t>
  </si>
  <si>
    <t>ROMEROS</t>
  </si>
  <si>
    <t>L2D5S3-2,DS3-2</t>
  </si>
  <si>
    <t>AX---1</t>
  </si>
  <si>
    <t>RESTAURA</t>
  </si>
  <si>
    <t>LOCATIN</t>
  </si>
  <si>
    <t>L4D6S1-1,S2-1</t>
  </si>
  <si>
    <t>MK GOGGLES</t>
  </si>
  <si>
    <t>ALLIGATOR GOGGLES</t>
  </si>
  <si>
    <t>D5-3</t>
  </si>
  <si>
    <t>VENCE GOGGLES</t>
  </si>
  <si>
    <t>FRANK MARTIN GOGGLES</t>
  </si>
  <si>
    <t>D5-7</t>
  </si>
  <si>
    <t>CONFESS GOGGLES</t>
  </si>
  <si>
    <t>HONEY EYEWEAR NV</t>
  </si>
  <si>
    <t>T3S1-1</t>
  </si>
  <si>
    <t>CK1184SP_006_59</t>
  </si>
  <si>
    <t>CK1209S_001_62</t>
  </si>
  <si>
    <t>CK1209S_010_62</t>
  </si>
  <si>
    <t>CK2146SA_001_59</t>
  </si>
  <si>
    <t>CK3143S_001_55</t>
  </si>
  <si>
    <t>CK3143S_228_55</t>
  </si>
  <si>
    <t>T52S1-1</t>
  </si>
  <si>
    <t>CK4182_002_54</t>
  </si>
  <si>
    <t>CK4224S_004_57</t>
  </si>
  <si>
    <t>CK4260S_196_55</t>
  </si>
  <si>
    <t>CK4261S_060_55</t>
  </si>
  <si>
    <t>CK5350_403_54</t>
  </si>
  <si>
    <t>CK5350_060_54</t>
  </si>
  <si>
    <t>CK5367_044_52</t>
  </si>
  <si>
    <t>D11-1,T13S1-1</t>
  </si>
  <si>
    <t>DJ13T156</t>
  </si>
  <si>
    <t>VOGUE SHEET IST</t>
  </si>
  <si>
    <t>T10S1-2,S2-2</t>
  </si>
  <si>
    <t>D3-2</t>
  </si>
  <si>
    <t>D12-1,D4-1,C6R1-2</t>
  </si>
  <si>
    <t>D3-1,D4-1</t>
  </si>
  <si>
    <t>T67S1-1</t>
  </si>
  <si>
    <t>C2R4-1,T65S2-1</t>
  </si>
  <si>
    <t>T24S3-1</t>
  </si>
  <si>
    <t>T24S2-1,C2R4-1</t>
  </si>
  <si>
    <t>T66S1-1,C2R4-1</t>
  </si>
  <si>
    <t>C2R2-1,T4S2-1</t>
  </si>
  <si>
    <t>C2R3-13,T67S2-1</t>
  </si>
  <si>
    <t>C2R2-1,T35S2-1</t>
  </si>
  <si>
    <t>C2R3-9,T69S2-1</t>
  </si>
  <si>
    <t>C2R2-2,T68S1-1</t>
  </si>
  <si>
    <t>BOSS METAL Full Ist</t>
  </si>
  <si>
    <t>BOSS METAL SUPRA IST</t>
  </si>
  <si>
    <t>T14-8,L5D2S1-4</t>
  </si>
  <si>
    <t>PLATINUM</t>
  </si>
  <si>
    <t>YG TR METAL</t>
  </si>
  <si>
    <t>DISCOVERY NOW METAL</t>
  </si>
  <si>
    <t>FASILOOR METAL  SIDE</t>
  </si>
  <si>
    <t>T27-10,CT7-2</t>
  </si>
  <si>
    <t>HASHTAG SUPRA METAL</t>
  </si>
  <si>
    <t>L4D4S2-2,D10-(1 PCS CRACK)</t>
  </si>
  <si>
    <t>HASHTAG FULL METAL</t>
  </si>
  <si>
    <t>D10-2</t>
  </si>
  <si>
    <t>MAIRA BOSS SUPRA METAL</t>
  </si>
  <si>
    <t>MAIRA BOSS FULL METAL</t>
  </si>
  <si>
    <t>TR FANCY METAL</t>
  </si>
  <si>
    <t>D9-1,L5D2S2-2</t>
  </si>
  <si>
    <t>JOHN HILL SUPRA</t>
  </si>
  <si>
    <t>BABY ACETATE</t>
  </si>
  <si>
    <t>TANKS METAL ROUND</t>
  </si>
  <si>
    <t>L4D5S3-2,CT12-1</t>
  </si>
  <si>
    <t>ALPHA ACETATE</t>
  </si>
  <si>
    <t>L2D5S2-1</t>
  </si>
  <si>
    <t>SPEED</t>
  </si>
  <si>
    <t>1MANAL</t>
  </si>
  <si>
    <t>CANSTAR</t>
  </si>
  <si>
    <t>D9-2</t>
  </si>
  <si>
    <t>PEN READING</t>
  </si>
  <si>
    <t>BOX-358</t>
  </si>
  <si>
    <t>45 MANAL</t>
  </si>
  <si>
    <t>25 MANAL</t>
  </si>
  <si>
    <t>NIKE SUPRA METAL</t>
  </si>
  <si>
    <t>PRADA FULL METAL ROUND IST</t>
  </si>
  <si>
    <t>L6D4S2-2</t>
  </si>
  <si>
    <t>PRADA FULL METAL SQURE IST</t>
  </si>
  <si>
    <t>C10-7,L3D6S3-2</t>
  </si>
  <si>
    <t>RAYBAN AVIATOR SUPRA METAL IST</t>
  </si>
  <si>
    <t>L3D4S1-1</t>
  </si>
  <si>
    <t>HANKER(66009)</t>
  </si>
  <si>
    <t>C8R2-4,CT8-1</t>
  </si>
  <si>
    <t>FULL METAL AVIATOR FRAME</t>
  </si>
  <si>
    <t>HANKER(66012)</t>
  </si>
  <si>
    <t>CT9-1</t>
  </si>
  <si>
    <t>FULL METAL SQURE FRAME</t>
  </si>
  <si>
    <t>HANKER(66013)</t>
  </si>
  <si>
    <t>HANKER(66014)</t>
  </si>
  <si>
    <t>HANKER(66018)</t>
  </si>
  <si>
    <t>L5D2S3-4,D10-1</t>
  </si>
  <si>
    <t>HANKER(66019)</t>
  </si>
  <si>
    <t>C8R2-2,D10-1,CT8-1</t>
  </si>
  <si>
    <t>HANKER(66020)</t>
  </si>
  <si>
    <t>CT9-1,D10-1,DS4-2</t>
  </si>
  <si>
    <t>LOUIS VUITION FULL METAL</t>
  </si>
  <si>
    <t>BOX-5,D10-2</t>
  </si>
  <si>
    <t>MAYBACH FULL METAL</t>
  </si>
  <si>
    <t>FERRARI FULL METAL</t>
  </si>
  <si>
    <t>L4D3S3-3</t>
  </si>
  <si>
    <t xml:space="preserve">CARRERA FULL AVIATOR </t>
  </si>
  <si>
    <t>BOX-4</t>
  </si>
  <si>
    <t>CARRERA SUPRA METAL</t>
  </si>
  <si>
    <t>BOX-7</t>
  </si>
  <si>
    <t>VERSACE FULL METAL</t>
  </si>
  <si>
    <t>L4D2S2-4</t>
  </si>
  <si>
    <t>PORSCHE DESIGN FULL METAL</t>
  </si>
  <si>
    <t>L4D2D3-4,BOX-3</t>
  </si>
  <si>
    <t xml:space="preserve">GUCCI FULL METAL SQURE </t>
  </si>
  <si>
    <t>BOX-2,CT5-1</t>
  </si>
  <si>
    <t>GUCCI FULL AVIATOR</t>
  </si>
  <si>
    <t>BOX-8</t>
  </si>
  <si>
    <t>DITA FULL METAL</t>
  </si>
  <si>
    <t>SPIKE SHEET</t>
  </si>
  <si>
    <t>CLASSIC SHEET</t>
  </si>
  <si>
    <t>C8R1-1</t>
  </si>
  <si>
    <t>SLEEK FULL METAL</t>
  </si>
  <si>
    <t>C8R1-12</t>
  </si>
  <si>
    <t>PARI FULL METAL</t>
  </si>
  <si>
    <t>C8R1-2</t>
  </si>
  <si>
    <t>BOB MANDATORY</t>
  </si>
  <si>
    <t>CAPS SHEET</t>
  </si>
  <si>
    <t>VERVE FIX PAD METAL</t>
  </si>
  <si>
    <t>OH LA LA</t>
  </si>
  <si>
    <t>MIMI CLASSIC</t>
  </si>
  <si>
    <t>DISLAY(DAMAGE)</t>
  </si>
  <si>
    <t>COME UP</t>
  </si>
  <si>
    <t>L5D1S2-2,DS3-1</t>
  </si>
  <si>
    <t>FRANCE</t>
  </si>
  <si>
    <t>MENEING</t>
  </si>
  <si>
    <t>L1D2S3-1,THD-1</t>
  </si>
  <si>
    <t>KRLSH</t>
  </si>
  <si>
    <t>DENTEL</t>
  </si>
  <si>
    <t>ACETATE D BAR</t>
  </si>
  <si>
    <t>D9-1,L6D6S2-3</t>
  </si>
  <si>
    <t>RAYBAN ACETATE</t>
  </si>
  <si>
    <t>SKY BORN ACETATE</t>
  </si>
  <si>
    <t>METAL RING TR</t>
  </si>
  <si>
    <t>CT8-1</t>
  </si>
  <si>
    <t>WILTON</t>
  </si>
  <si>
    <t>L2D4S2-2,D9-1</t>
  </si>
  <si>
    <t>ORION</t>
  </si>
  <si>
    <r>
      <rPr>
        <color rgb="FFFF0000"/>
      </rPr>
      <t>D9-1,</t>
    </r>
    <r>
      <rPr/>
      <t>L6D6S1-2</t>
    </r>
  </si>
  <si>
    <t>GANGSTER</t>
  </si>
  <si>
    <t>DS4-1,CT8-2</t>
  </si>
  <si>
    <t>ESCAPE MB</t>
  </si>
  <si>
    <t>CT3-2,CT7-1</t>
  </si>
  <si>
    <t>TOM HILL BOTIM</t>
  </si>
  <si>
    <t>CHRISTIAN</t>
  </si>
  <si>
    <t>T18-8,CT2-2,DS4-3</t>
  </si>
  <si>
    <t>F</t>
  </si>
  <si>
    <t>TESPORT</t>
  </si>
  <si>
    <t>L2D3S1-1</t>
  </si>
  <si>
    <t>COPPER METAL</t>
  </si>
  <si>
    <t>R1-1</t>
  </si>
  <si>
    <t>ULTRA WATCH</t>
  </si>
  <si>
    <t>TOM LEO</t>
  </si>
  <si>
    <t>ESCAPE TR METAL SIDE</t>
  </si>
  <si>
    <t>L5D3S1-1</t>
  </si>
  <si>
    <t>TR ROUND GUCCI</t>
  </si>
  <si>
    <t>TR OAKLEY</t>
  </si>
  <si>
    <t>DISCOVERY EYES METAL</t>
  </si>
  <si>
    <t>DIOR DELTA</t>
  </si>
  <si>
    <t>CARRERA DELTA</t>
  </si>
  <si>
    <t>CARTIER DELTA</t>
  </si>
  <si>
    <t>T49S3-3,CT8-1</t>
  </si>
  <si>
    <t>BOSS DELTA</t>
  </si>
  <si>
    <t>L2D6S1-2,CT12-2</t>
  </si>
  <si>
    <t>TOM FORD DELTA</t>
  </si>
  <si>
    <t>DS4-1,D10-1</t>
  </si>
  <si>
    <t>POLICE DELTA</t>
  </si>
  <si>
    <t>NIRVANA</t>
  </si>
  <si>
    <t>T6-12,D9-1,D10-1</t>
  </si>
  <si>
    <t>RAFA PC</t>
  </si>
  <si>
    <t>TOM STYLE SHEET ROUND</t>
  </si>
  <si>
    <t>BANKU KIDS</t>
  </si>
  <si>
    <t>L5D3S1-2,S2-4</t>
  </si>
  <si>
    <t>KIDS SAFILO</t>
  </si>
  <si>
    <t>OLIVICRR</t>
  </si>
  <si>
    <t>L3D5S2-1</t>
  </si>
  <si>
    <t>ESCAPE DIVA</t>
  </si>
  <si>
    <t>ESCAPE DEJAVU</t>
  </si>
  <si>
    <t>CT3-1,D9-1</t>
  </si>
  <si>
    <t>KIDDIES</t>
  </si>
  <si>
    <t>MADRIDCITY SHEET</t>
  </si>
  <si>
    <t>CT6-1,D9-1</t>
  </si>
  <si>
    <t>WORLDCUP SHEET</t>
  </si>
  <si>
    <t>CT6-1</t>
  </si>
  <si>
    <t>NATIONPORTS SHEET</t>
  </si>
  <si>
    <t>L4D1S3-4,D9-1,L1D2S3-1</t>
  </si>
  <si>
    <t>ROCKER SHEET</t>
  </si>
  <si>
    <t>D9-1,L2D3S1-1</t>
  </si>
  <si>
    <t>SYNERGY SHEET</t>
  </si>
  <si>
    <t>CHRISTIAN DIOR FULL METAL IST</t>
  </si>
  <si>
    <t>L4D2S1-2,CT8-1</t>
  </si>
  <si>
    <t>BORN CRAZY METAL</t>
  </si>
  <si>
    <t>VERACITY FULL METAL</t>
  </si>
  <si>
    <t>ELLSURISE FULL METAL</t>
  </si>
  <si>
    <t>MIGHTY FULL METAL</t>
  </si>
  <si>
    <t>RULEC FULL METAL</t>
  </si>
  <si>
    <t>C8R1-9,CT1-1,L4D4S3-4</t>
  </si>
  <si>
    <t>MOON LIGHT FULL METAL</t>
  </si>
  <si>
    <t>CT4-2,</t>
  </si>
  <si>
    <t>PVP EYE SHEET</t>
  </si>
  <si>
    <t>SPIDERMAN METAL</t>
  </si>
  <si>
    <t>KADDORA SHEET</t>
  </si>
  <si>
    <t>L1D2S2-2</t>
  </si>
  <si>
    <t>HARLEY DAVIDSON SHEET</t>
  </si>
  <si>
    <t>D9-1,CT11-1</t>
  </si>
  <si>
    <t>DISCOVERY SCHOOL</t>
  </si>
  <si>
    <t>TONNY DAVID FULL METAL</t>
  </si>
  <si>
    <t>AISLIN SHEET GOGGLES</t>
  </si>
  <si>
    <t>MARY JANE SHEET GOGGLES</t>
  </si>
  <si>
    <t>LADIES METAL WILI</t>
  </si>
  <si>
    <t xml:space="preserve">ROUND SHEET </t>
  </si>
  <si>
    <t>PEACHY METAL</t>
  </si>
  <si>
    <t>TAG BROTHERS SHEET</t>
  </si>
  <si>
    <t>C8R1-7,CT6-2,T5-12</t>
  </si>
  <si>
    <t>EYEJACK METAL</t>
  </si>
  <si>
    <t>DAVID BECKHAM SHEET</t>
  </si>
  <si>
    <t>T10S3-2,CT3-1,C10-2</t>
  </si>
  <si>
    <t>CHANEL SHEET IST</t>
  </si>
  <si>
    <t>CT3-1</t>
  </si>
  <si>
    <t>GOAVIATOR  FULL AVIATOR</t>
  </si>
  <si>
    <t>CT2-1,D10-1,C8R2-45</t>
  </si>
  <si>
    <t>DINEX SUPRA AVIATOR</t>
  </si>
  <si>
    <t>D10-2,C8R2-35,CT4-2</t>
  </si>
  <si>
    <t>5 MANAL</t>
  </si>
  <si>
    <t>UIVI FULL AVIATOR</t>
  </si>
  <si>
    <t>CT2-1,C8R2-93</t>
  </si>
  <si>
    <t xml:space="preserve">RAYBAN SHEET </t>
  </si>
  <si>
    <t>CT10-1,T28-9,D9-1</t>
  </si>
  <si>
    <t>TAG HEUER SHEET</t>
  </si>
  <si>
    <t>D9-2,T12S3-3</t>
  </si>
  <si>
    <t>BOSS SHEET</t>
  </si>
  <si>
    <t>C10-1,D9-1</t>
  </si>
  <si>
    <t>MONT BLANC SHEET</t>
  </si>
  <si>
    <t>T12S2-4,CT11-2</t>
  </si>
  <si>
    <t>KIDS METAL</t>
  </si>
  <si>
    <t>C6R3-51,CT13-2</t>
  </si>
  <si>
    <t>RAYBAN FULL AVIATOR(LANDERS)</t>
  </si>
  <si>
    <t>D10-1,C8R2-42</t>
  </si>
  <si>
    <t>46j</t>
  </si>
  <si>
    <t>BAMBOO RAYBAN GOGGLES</t>
  </si>
  <si>
    <t>D6-3,C9-52</t>
  </si>
  <si>
    <t>RAYBAN BLACK GOGGLES</t>
  </si>
  <si>
    <t>C10-24,D6-1,D7-1</t>
  </si>
  <si>
    <t>exx</t>
  </si>
  <si>
    <t>RAYBAN GOLDEN GOGGLES</t>
  </si>
  <si>
    <t>C10-24,D6-1</t>
  </si>
  <si>
    <t>RAYBAN SILVER AVIATOR</t>
  </si>
  <si>
    <t>C10-5,D7-1</t>
  </si>
  <si>
    <t>RAYBAN BROWN AVIATOR</t>
  </si>
  <si>
    <t>C10-5,D6-1,D7-1</t>
  </si>
  <si>
    <t>ESCAPE LEAGUE METAL</t>
  </si>
  <si>
    <t>DS4-2</t>
  </si>
  <si>
    <t>TIMKING METAL</t>
  </si>
  <si>
    <t>TOP GUN</t>
  </si>
  <si>
    <t>L1D2S2-1,CT4-1</t>
  </si>
  <si>
    <t>TOM STYLE SUPRA METAL</t>
  </si>
  <si>
    <t>BOX-1</t>
  </si>
  <si>
    <t xml:space="preserve">BUSINENS </t>
  </si>
  <si>
    <t>4 MANAL</t>
  </si>
  <si>
    <t>MEXICAN METAL</t>
  </si>
  <si>
    <t>RADIANT FULL METAL</t>
  </si>
  <si>
    <t>TUCSON METAL</t>
  </si>
  <si>
    <t>S2-1</t>
  </si>
  <si>
    <t>AIRWAY METAL</t>
  </si>
  <si>
    <t>CONFART METAL</t>
  </si>
  <si>
    <t>WD WHITE DUST SHEEET</t>
  </si>
  <si>
    <t>L5D6S1-2</t>
  </si>
  <si>
    <t>CHANGEZI FULL METAL</t>
  </si>
  <si>
    <t>RAFA HAMMER SHEET</t>
  </si>
  <si>
    <t>TR SPRING SHEET</t>
  </si>
  <si>
    <t>T74S2-1</t>
  </si>
  <si>
    <t>TOM PACITO BABY FRAME</t>
  </si>
  <si>
    <t>CODY BIOY METAL</t>
  </si>
  <si>
    <t>D FULL METAL</t>
  </si>
  <si>
    <t>LE CONIC EYE METAL</t>
  </si>
  <si>
    <t>T48S2-3,CT9-2</t>
  </si>
  <si>
    <t>VENUS METAL</t>
  </si>
  <si>
    <t>CT1-1</t>
  </si>
  <si>
    <t>RAFA JOVAN METAL</t>
  </si>
  <si>
    <t>T42S2-4</t>
  </si>
  <si>
    <t xml:space="preserve">MAGIC SHEET </t>
  </si>
  <si>
    <t>JACK&amp;JACOB SHEET</t>
  </si>
  <si>
    <t>L5D3S3-1,DS3-1</t>
  </si>
  <si>
    <t>FASHION HUNT FULL METAL</t>
  </si>
  <si>
    <t>CT8-2</t>
  </si>
  <si>
    <t>TOM BLUE SHEET</t>
  </si>
  <si>
    <t>WONDER METAL</t>
  </si>
  <si>
    <t>DS3-2,D10-1, BOX-36</t>
  </si>
  <si>
    <t>EMS SHEET</t>
  </si>
  <si>
    <t>KERZER BABY SHEET</t>
  </si>
  <si>
    <t>BABY LINE SHEET</t>
  </si>
  <si>
    <t>MINUS READING+VISION PLUS READING(-)</t>
  </si>
  <si>
    <t>BOX-250</t>
  </si>
  <si>
    <t>30 MANAL</t>
  </si>
  <si>
    <t>VISION PLUS READING</t>
  </si>
  <si>
    <t>BOX-24</t>
  </si>
  <si>
    <t>9 MANAL</t>
  </si>
  <si>
    <t>VARNIKA+SECOND INNINGS READING</t>
  </si>
  <si>
    <t>BOX-65</t>
  </si>
  <si>
    <t>TONY BLUE METAL</t>
  </si>
  <si>
    <t>ESCAPE BRILLIANT SHEET</t>
  </si>
  <si>
    <t>BREATE METAL</t>
  </si>
  <si>
    <t>TDQOYS METAL</t>
  </si>
  <si>
    <t>BOX-1,CT4-1</t>
  </si>
  <si>
    <t>CARNIVAL METAL</t>
  </si>
  <si>
    <t>SUNFIRE METAL</t>
  </si>
  <si>
    <t>CT12-1</t>
  </si>
  <si>
    <t>BELLMONTE SHEET</t>
  </si>
  <si>
    <t>RAFA TRINGLE SHEET</t>
  </si>
  <si>
    <t>L6D6S3-4</t>
  </si>
  <si>
    <t>REFLECT SHEET</t>
  </si>
  <si>
    <t>GUCCI TR SHEET</t>
  </si>
  <si>
    <t>GUCCI LADIES</t>
  </si>
  <si>
    <t xml:space="preserve">PRADA TR SHEET </t>
  </si>
  <si>
    <t>TEN 20 SHEET</t>
  </si>
  <si>
    <t>TR SHEET</t>
  </si>
  <si>
    <t>FICTION TR 90 SHEET</t>
  </si>
  <si>
    <t>VANILLA METAL</t>
  </si>
  <si>
    <t>BORIS SHEET</t>
  </si>
  <si>
    <t>ESCAPE ICEBERG SHEET</t>
  </si>
  <si>
    <t>FIRE SHEET</t>
  </si>
  <si>
    <t>T16S2-1,D9-2</t>
  </si>
  <si>
    <t>VISION SAN SHEET</t>
  </si>
  <si>
    <t>HIGH STAR SHEET</t>
  </si>
  <si>
    <t>YANJINW METAL</t>
  </si>
  <si>
    <t xml:space="preserve">RELIABLE </t>
  </si>
  <si>
    <t>CT12-1,DS3-1</t>
  </si>
  <si>
    <t>BRETT METAL</t>
  </si>
  <si>
    <t>ESCAPE BRILLIANT METAL</t>
  </si>
  <si>
    <t>DS4-3</t>
  </si>
  <si>
    <t>HUGO BOSS TR SHEET</t>
  </si>
  <si>
    <t>L6D6S1-2</t>
  </si>
  <si>
    <t>CARRERA TR SHEET</t>
  </si>
  <si>
    <t>D9-2,CT11-2</t>
  </si>
  <si>
    <t>CARTIER FULL METAL</t>
  </si>
  <si>
    <t>BOX-3</t>
  </si>
  <si>
    <t>FANCY SHEET</t>
  </si>
  <si>
    <t>MESMOS METAL</t>
  </si>
  <si>
    <t>CT5-1,CT1-1</t>
  </si>
  <si>
    <t>TOM STYLE SHEET</t>
  </si>
  <si>
    <t>CADINI SHEET</t>
  </si>
  <si>
    <t>J EYEWEAR METAL</t>
  </si>
  <si>
    <t>T42S3-4,D10-1</t>
  </si>
  <si>
    <t xml:space="preserve">RAFA AERO </t>
  </si>
  <si>
    <t>BRAVE HEART SHEET</t>
  </si>
  <si>
    <t>ROYAL NAVY SHEET</t>
  </si>
  <si>
    <t>NO 18 SHEET</t>
  </si>
  <si>
    <t>BRYAN ADAMS SHEET</t>
  </si>
  <si>
    <t>NIKE SHEET</t>
  </si>
  <si>
    <t>GUCCI SHEET</t>
  </si>
  <si>
    <t>L1D3S2-1</t>
  </si>
  <si>
    <t>RS SUPRA</t>
  </si>
  <si>
    <t>ESCAPE TALENT SHEET</t>
  </si>
  <si>
    <t>SALEEN SHEET</t>
  </si>
  <si>
    <t>L5D1S1-5</t>
  </si>
  <si>
    <t>CELLACE SHEET</t>
  </si>
  <si>
    <t>CITY HIGH METAL</t>
  </si>
  <si>
    <t>ENVISION FIX PAD</t>
  </si>
  <si>
    <t>X ZONE SHEET</t>
  </si>
  <si>
    <t>ROMOLLK METAL</t>
  </si>
  <si>
    <t>JUDICIOUS METAL</t>
  </si>
  <si>
    <t>MENASTOP METAL</t>
  </si>
  <si>
    <t>BRYAN METAL</t>
  </si>
  <si>
    <t>D10-1,CT12-1</t>
  </si>
  <si>
    <t>QUERCOE METAL</t>
  </si>
  <si>
    <t>RANDY METAL</t>
  </si>
  <si>
    <t>GOLDEN TIME METAL</t>
  </si>
  <si>
    <t>EYEWEAR LABS GOGGLES</t>
  </si>
  <si>
    <t>DISPAY-1</t>
  </si>
  <si>
    <t>TURBAN KING AVIATOR</t>
  </si>
  <si>
    <t>12 MANAL</t>
  </si>
  <si>
    <t>RESOURCE METAL FRAME</t>
  </si>
  <si>
    <t>CT1-1,CT12-1</t>
  </si>
  <si>
    <t>PF</t>
  </si>
  <si>
    <t>T-HEAVEN</t>
  </si>
  <si>
    <t>BOX-22,CT7-1,CT10-1</t>
  </si>
  <si>
    <t>ESCAPE PRODIGY TR</t>
  </si>
  <si>
    <t>BOX-38,CT10-1</t>
  </si>
  <si>
    <t>MANGO CARBON</t>
  </si>
  <si>
    <t>BOX-14,CT6-1,CT11-1</t>
  </si>
  <si>
    <t>RIHAXNI METAL</t>
  </si>
  <si>
    <t>BOX-2,CT9-1</t>
  </si>
  <si>
    <t xml:space="preserve">HANKER </t>
  </si>
  <si>
    <t>BOX-12,CT1-2,CT9-1</t>
  </si>
  <si>
    <t>HAPPY DREAM METAL</t>
  </si>
  <si>
    <t>C6R3-11,CT12-2</t>
  </si>
  <si>
    <t>COMFORT</t>
  </si>
  <si>
    <t>BOX-2,CT11-1</t>
  </si>
  <si>
    <t>CLUB</t>
  </si>
  <si>
    <t>BOX-3,CT11-1</t>
  </si>
  <si>
    <t>`</t>
  </si>
  <si>
    <t>PREMIUM</t>
  </si>
  <si>
    <t>BOX-1,CT11-1</t>
  </si>
  <si>
    <t>ESCAPE ZIGZAG</t>
  </si>
  <si>
    <t>C8R1-3,CT13-3</t>
  </si>
  <si>
    <t>LIFE LONG</t>
  </si>
  <si>
    <t>C8R1-1,CT7-2</t>
  </si>
  <si>
    <t>LOUIS ART</t>
  </si>
  <si>
    <t>C8R1-1,CT3-1,CT7-1</t>
  </si>
  <si>
    <t>SHAE NIRE</t>
  </si>
  <si>
    <t>CT3-1,CT6-1</t>
  </si>
  <si>
    <t>ESCAPE SHEET</t>
  </si>
  <si>
    <t>LEMON SHEET</t>
  </si>
  <si>
    <t>FICTION FRANCE SHEET</t>
  </si>
  <si>
    <t>C8R1-1,CT3-2,CT6-1</t>
  </si>
  <si>
    <t>VACATION</t>
  </si>
  <si>
    <t>FLASH CARO METAL</t>
  </si>
  <si>
    <t>FLAKE METAL</t>
  </si>
  <si>
    <t>PRIVATE FULL METAL</t>
  </si>
  <si>
    <t>END GAME SHEET</t>
  </si>
  <si>
    <t>C8R1-22,CT6-2</t>
  </si>
  <si>
    <t>PRADA METAL(CONFIDENCE)</t>
  </si>
  <si>
    <t>CARTIER METAL(CONFIDENCE)</t>
  </si>
  <si>
    <t>RAYBAN METAL(CONFIDENCE)</t>
  </si>
  <si>
    <t>TITAN EYE (CONFIDENCE)</t>
  </si>
  <si>
    <t>VOGUE METAL (CONFIDENCE)</t>
  </si>
  <si>
    <t>IDEE METAL (CONFIDENCE)</t>
  </si>
  <si>
    <t>C8R2-1,CT12-1</t>
  </si>
  <si>
    <t>VFIB20K_C0078_53</t>
  </si>
  <si>
    <t>FILA</t>
  </si>
  <si>
    <t>T83S1-1</t>
  </si>
  <si>
    <t>VFID66K_C0700_54</t>
  </si>
  <si>
    <t>VFI991K_C0Z42_55</t>
  </si>
  <si>
    <t>VFI991K_C07GN_55</t>
  </si>
  <si>
    <t>VFID60K_C0579_53</t>
  </si>
  <si>
    <t>T83S2-1</t>
  </si>
  <si>
    <t>VFID59K_C0300_52</t>
  </si>
  <si>
    <t>VFID67K_C0627_54</t>
  </si>
  <si>
    <t>VFIF62K_C0300_54</t>
  </si>
  <si>
    <t>T83S3-1</t>
  </si>
  <si>
    <t>VFIF62K_C0531_54</t>
  </si>
  <si>
    <t>VFID68K_C0622_53</t>
  </si>
  <si>
    <t>RENOWII</t>
  </si>
  <si>
    <t>BOX-11,CT12-1</t>
  </si>
  <si>
    <t>GRAN COSA</t>
  </si>
  <si>
    <t>BOX-14,CT9-1</t>
  </si>
  <si>
    <t>ESCAPE TURBO</t>
  </si>
  <si>
    <t>BOX-68,CT9-2</t>
  </si>
  <si>
    <t>URBAN STYLE</t>
  </si>
  <si>
    <t>BOX-12,CT9-2</t>
  </si>
  <si>
    <t>ESCAPE METALICA METAL</t>
  </si>
  <si>
    <t>BOX-26,CT5-2</t>
  </si>
  <si>
    <t>AR8011</t>
  </si>
  <si>
    <t>AB1084</t>
  </si>
  <si>
    <t>C2</t>
  </si>
  <si>
    <t>C4</t>
  </si>
  <si>
    <t>AB1087</t>
  </si>
  <si>
    <t>C3</t>
  </si>
  <si>
    <t>AB1090</t>
  </si>
  <si>
    <t>C1</t>
  </si>
  <si>
    <t>AB1094</t>
  </si>
  <si>
    <t>AG1098</t>
  </si>
  <si>
    <t>AB1098</t>
  </si>
  <si>
    <t>C5</t>
  </si>
  <si>
    <t>C6</t>
  </si>
  <si>
    <t>AB1100</t>
  </si>
  <si>
    <t>AB1102</t>
  </si>
  <si>
    <t>AB1103</t>
  </si>
  <si>
    <t>AB1104</t>
  </si>
  <si>
    <t>AB1108</t>
  </si>
  <si>
    <t>AB1110</t>
  </si>
  <si>
    <t>AB1115</t>
  </si>
  <si>
    <t>AB1117</t>
  </si>
  <si>
    <t>AB1118</t>
  </si>
  <si>
    <t>AB1119</t>
  </si>
  <si>
    <t>AB1120</t>
  </si>
  <si>
    <t>AB1121</t>
  </si>
  <si>
    <t>AB1123</t>
  </si>
  <si>
    <t>AB1124</t>
  </si>
  <si>
    <t>AB1125</t>
  </si>
  <si>
    <t>AB1127</t>
  </si>
  <si>
    <t>AB1128</t>
  </si>
  <si>
    <t>AB1129</t>
  </si>
  <si>
    <t>AB1130</t>
  </si>
  <si>
    <t>AB1131</t>
  </si>
  <si>
    <t>AB1132</t>
  </si>
  <si>
    <t>AB1136</t>
  </si>
  <si>
    <t>AB1136S</t>
  </si>
  <si>
    <t>AB1137</t>
  </si>
  <si>
    <t>AB1138</t>
  </si>
  <si>
    <t>AB1142</t>
  </si>
  <si>
    <t>AB1144</t>
  </si>
  <si>
    <t>AB1152</t>
  </si>
  <si>
    <t>AB1158</t>
  </si>
  <si>
    <t>AB1159</t>
  </si>
  <si>
    <t>AB1162</t>
  </si>
  <si>
    <t>AB1163</t>
  </si>
  <si>
    <t>AB1164</t>
  </si>
  <si>
    <t>AB1167</t>
  </si>
  <si>
    <t>AB1168</t>
  </si>
  <si>
    <t>AB1171</t>
  </si>
  <si>
    <t>AB1172</t>
  </si>
  <si>
    <t>AB1172S</t>
  </si>
  <si>
    <t>AB2067</t>
  </si>
  <si>
    <t>C176</t>
  </si>
  <si>
    <t>AB2071</t>
  </si>
  <si>
    <t>C386</t>
  </si>
  <si>
    <t>AB2033</t>
  </si>
  <si>
    <t>C162</t>
  </si>
  <si>
    <t>AB2038</t>
  </si>
  <si>
    <t>C578</t>
  </si>
  <si>
    <t>AB2040</t>
  </si>
  <si>
    <t>C317</t>
  </si>
  <si>
    <t>C510</t>
  </si>
  <si>
    <t>AB2042</t>
  </si>
  <si>
    <t>C273</t>
  </si>
  <si>
    <t>AB2092</t>
  </si>
  <si>
    <t>C455</t>
  </si>
  <si>
    <t>C581</t>
  </si>
  <si>
    <t>C693</t>
  </si>
  <si>
    <t>AB2093</t>
  </si>
  <si>
    <t>C484</t>
  </si>
  <si>
    <t>AB2108</t>
  </si>
  <si>
    <t>C540</t>
  </si>
  <si>
    <t>C541</t>
  </si>
  <si>
    <t>C539</t>
  </si>
  <si>
    <t>AB4012</t>
  </si>
  <si>
    <t>DEMISLV</t>
  </si>
  <si>
    <t>AB4017</t>
  </si>
  <si>
    <t>DEMI</t>
  </si>
  <si>
    <t>DEMIRED</t>
  </si>
  <si>
    <t>BLK</t>
  </si>
  <si>
    <t>AB4018</t>
  </si>
  <si>
    <t>BLACK</t>
  </si>
  <si>
    <t>AG1109</t>
  </si>
  <si>
    <t>AG1147</t>
  </si>
  <si>
    <t>AG1086</t>
  </si>
  <si>
    <t>AG1093</t>
  </si>
  <si>
    <t>AG1107</t>
  </si>
  <si>
    <t>AG1140</t>
  </si>
  <si>
    <t>AB1140</t>
  </si>
  <si>
    <t>AB1149</t>
  </si>
  <si>
    <t>AG1151</t>
  </si>
  <si>
    <t>AG1169</t>
  </si>
  <si>
    <t>AB1169</t>
  </si>
  <si>
    <t>AB1175S</t>
  </si>
  <si>
    <t>AG2103</t>
  </si>
  <si>
    <t>C526</t>
  </si>
  <si>
    <t>AG2054</t>
  </si>
  <si>
    <t>C228</t>
  </si>
  <si>
    <t>AG2058</t>
  </si>
  <si>
    <t>C559</t>
  </si>
  <si>
    <t>C243</t>
  </si>
  <si>
    <t>C614</t>
  </si>
  <si>
    <t>AB6671</t>
  </si>
  <si>
    <t>C7</t>
  </si>
  <si>
    <t>AB16T150</t>
  </si>
  <si>
    <t>BE4193</t>
  </si>
  <si>
    <t>BE4201</t>
  </si>
  <si>
    <t>BE20030</t>
  </si>
  <si>
    <t>C01</t>
  </si>
  <si>
    <t>LENSSOLUTION</t>
  </si>
  <si>
    <t>BV2162B</t>
  </si>
  <si>
    <t>CKJ751S</t>
  </si>
  <si>
    <t>CK1089</t>
  </si>
  <si>
    <t>CK3154</t>
  </si>
  <si>
    <t>CK3161S</t>
  </si>
  <si>
    <t>CK3152S</t>
  </si>
  <si>
    <t>CK4216</t>
  </si>
  <si>
    <t>CK4151</t>
  </si>
  <si>
    <t>CK4223</t>
  </si>
  <si>
    <t>DG1229</t>
  </si>
  <si>
    <t>DG1231</t>
  </si>
  <si>
    <t>DL5134V</t>
  </si>
  <si>
    <t>A05</t>
  </si>
  <si>
    <t>DL5122V</t>
  </si>
  <si>
    <t>DL5072</t>
  </si>
  <si>
    <t>COL052</t>
  </si>
  <si>
    <t>DL5107</t>
  </si>
  <si>
    <t>A56</t>
  </si>
  <si>
    <t>DL5218V</t>
  </si>
  <si>
    <t>DJ0301</t>
  </si>
  <si>
    <t>GUN</t>
  </si>
  <si>
    <t>M GUN</t>
  </si>
  <si>
    <t>DJ084</t>
  </si>
  <si>
    <t>DJ15T128</t>
  </si>
  <si>
    <t>DJ15T156</t>
  </si>
  <si>
    <t>DJ15T158</t>
  </si>
  <si>
    <t>DJ15T162</t>
  </si>
  <si>
    <t>DJ16T143</t>
  </si>
  <si>
    <t>DJ16T149</t>
  </si>
  <si>
    <t>DJ18632</t>
  </si>
  <si>
    <t>DJ21007</t>
  </si>
  <si>
    <t>DJ2001</t>
  </si>
  <si>
    <t>C11</t>
  </si>
  <si>
    <t>DJ2003</t>
  </si>
  <si>
    <t>C14</t>
  </si>
  <si>
    <t>C17</t>
  </si>
  <si>
    <t>DJ2004</t>
  </si>
  <si>
    <t>DJ2010</t>
  </si>
  <si>
    <t>C48</t>
  </si>
  <si>
    <t>DJ2111</t>
  </si>
  <si>
    <t>DJ2346</t>
  </si>
  <si>
    <t>DJ2347</t>
  </si>
  <si>
    <t>DJ3132</t>
  </si>
  <si>
    <t>DJ3134</t>
  </si>
  <si>
    <t>DJ3146</t>
  </si>
  <si>
    <t>DJ3179</t>
  </si>
  <si>
    <t>DJ9135</t>
  </si>
  <si>
    <t>DJ2070</t>
  </si>
  <si>
    <t>C646</t>
  </si>
  <si>
    <t>DJ2062</t>
  </si>
  <si>
    <t>DJ2100</t>
  </si>
  <si>
    <t>DJ9105</t>
  </si>
  <si>
    <t>DJ2098</t>
  </si>
  <si>
    <t>C226</t>
  </si>
  <si>
    <t>DJ2096</t>
  </si>
  <si>
    <t>C225</t>
  </si>
  <si>
    <t>DJ2050</t>
  </si>
  <si>
    <t>C234</t>
  </si>
  <si>
    <t>DJ2076</t>
  </si>
  <si>
    <t>C230</t>
  </si>
  <si>
    <t>DJ3197</t>
  </si>
  <si>
    <t>DJ3683</t>
  </si>
  <si>
    <t>DP</t>
  </si>
  <si>
    <t>DJ0501</t>
  </si>
  <si>
    <t>DJ0502</t>
  </si>
  <si>
    <t>DJ8235</t>
  </si>
  <si>
    <t>DJ8783</t>
  </si>
  <si>
    <t>DJ1805</t>
  </si>
  <si>
    <t>C611</t>
  </si>
  <si>
    <t>DJ1822</t>
  </si>
  <si>
    <t>DJ1823</t>
  </si>
  <si>
    <t>C755</t>
  </si>
  <si>
    <t>DJ1824</t>
  </si>
  <si>
    <t>C524</t>
  </si>
  <si>
    <t>DJ2030</t>
  </si>
  <si>
    <t>C616</t>
  </si>
  <si>
    <t>DJ2032</t>
  </si>
  <si>
    <t>C548</t>
  </si>
  <si>
    <t>DJ2037</t>
  </si>
  <si>
    <t>C307</t>
  </si>
  <si>
    <t>DJ2043</t>
  </si>
  <si>
    <t>C555</t>
  </si>
  <si>
    <t>DJ2044</t>
  </si>
  <si>
    <t>C13</t>
  </si>
  <si>
    <t>DJ2047</t>
  </si>
  <si>
    <t>C198</t>
  </si>
  <si>
    <t>DJ2069</t>
  </si>
  <si>
    <t>C221</t>
  </si>
  <si>
    <t>DJ2074</t>
  </si>
  <si>
    <t>C350</t>
  </si>
  <si>
    <t>DJ2075</t>
  </si>
  <si>
    <t>DJ2079</t>
  </si>
  <si>
    <t>C219</t>
  </si>
  <si>
    <t>DJ2091</t>
  </si>
  <si>
    <t>DJ2094</t>
  </si>
  <si>
    <t>C410</t>
  </si>
  <si>
    <t>C533</t>
  </si>
  <si>
    <t>DJ2115</t>
  </si>
  <si>
    <t>C645</t>
  </si>
  <si>
    <t>DJ2118</t>
  </si>
  <si>
    <t>C629</t>
  </si>
  <si>
    <t>C637</t>
  </si>
  <si>
    <t>DJ2119</t>
  </si>
  <si>
    <t>DJ2121</t>
  </si>
  <si>
    <t>DJ2128</t>
  </si>
  <si>
    <t>DJ2130</t>
  </si>
  <si>
    <t>C723</t>
  </si>
  <si>
    <t>DJ2131</t>
  </si>
  <si>
    <t>C724</t>
  </si>
  <si>
    <t>C730</t>
  </si>
  <si>
    <t>DJ2132</t>
  </si>
  <si>
    <t>DJ2133</t>
  </si>
  <si>
    <t>DJ2138</t>
  </si>
  <si>
    <t>DJ2139</t>
  </si>
  <si>
    <t>DJ5902</t>
  </si>
  <si>
    <t>DJ5914</t>
  </si>
  <si>
    <t>DJ5915</t>
  </si>
  <si>
    <t>DJ5916</t>
  </si>
  <si>
    <t>DJ5917</t>
  </si>
  <si>
    <t>DJ5918</t>
  </si>
  <si>
    <t>DJ9022</t>
  </si>
  <si>
    <t>DJ9025</t>
  </si>
  <si>
    <t>DJ9026</t>
  </si>
  <si>
    <t>DJ9027</t>
  </si>
  <si>
    <t>DJ9043</t>
  </si>
  <si>
    <t>DJ9044</t>
  </si>
  <si>
    <t>DJ9046</t>
  </si>
  <si>
    <t>DJ9049</t>
  </si>
  <si>
    <t>DJ9050</t>
  </si>
  <si>
    <t>DJ9053</t>
  </si>
  <si>
    <t>DJ9057</t>
  </si>
  <si>
    <t>DJ9058</t>
  </si>
  <si>
    <t>DJ9062</t>
  </si>
  <si>
    <t>DJ9064</t>
  </si>
  <si>
    <t>DJ9079</t>
  </si>
  <si>
    <t>DJ9091</t>
  </si>
  <si>
    <t>DJ9097</t>
  </si>
  <si>
    <t>DJ9112S</t>
  </si>
  <si>
    <t>DJ9113S</t>
  </si>
  <si>
    <t>DJ9115</t>
  </si>
  <si>
    <t>DJ9123</t>
  </si>
  <si>
    <t>DJ9126S</t>
  </si>
  <si>
    <t>DJ9127S</t>
  </si>
  <si>
    <t>DJ9132S</t>
  </si>
  <si>
    <t>DJ9134</t>
  </si>
  <si>
    <t>C4B</t>
  </si>
  <si>
    <t>DJ9139</t>
  </si>
  <si>
    <t>DJ9141</t>
  </si>
  <si>
    <t>DJ9142</t>
  </si>
  <si>
    <t>DJ9150</t>
  </si>
  <si>
    <t>DJ9151</t>
  </si>
  <si>
    <t>DJ9152</t>
  </si>
  <si>
    <t>DJ9155</t>
  </si>
  <si>
    <t>DJ9162</t>
  </si>
  <si>
    <t>DJ9165</t>
  </si>
  <si>
    <t>DJ9167</t>
  </si>
  <si>
    <t>DJ9171</t>
  </si>
  <si>
    <t>DJ9172</t>
  </si>
  <si>
    <t>DJ9174</t>
  </si>
  <si>
    <t>DJ9174S</t>
  </si>
  <si>
    <t>DJ9176S</t>
  </si>
  <si>
    <t>DJ9182</t>
  </si>
  <si>
    <t>DJ9201</t>
  </si>
  <si>
    <t>DJ9202</t>
  </si>
  <si>
    <t>DJ9206</t>
  </si>
  <si>
    <t>EA3063</t>
  </si>
  <si>
    <t>EA3069</t>
  </si>
  <si>
    <t>EA4086</t>
  </si>
  <si>
    <t>55528G</t>
  </si>
  <si>
    <t>56788Z</t>
  </si>
  <si>
    <t>EA4092</t>
  </si>
  <si>
    <t>50898G</t>
  </si>
  <si>
    <t>EA4094</t>
  </si>
  <si>
    <t>EA4099</t>
  </si>
  <si>
    <t>FA9351</t>
  </si>
  <si>
    <t>FB4101</t>
  </si>
  <si>
    <t>FC7224</t>
  </si>
  <si>
    <t>FC7311</t>
  </si>
  <si>
    <t>M131BK1P</t>
  </si>
  <si>
    <t>M138BR2</t>
  </si>
  <si>
    <t>M165BR2-M</t>
  </si>
  <si>
    <t>M032BU1</t>
  </si>
  <si>
    <t>M035GY1</t>
  </si>
  <si>
    <t>M050BU2</t>
  </si>
  <si>
    <t>M050BR5</t>
  </si>
  <si>
    <t>M062BR3</t>
  </si>
  <si>
    <t>M083PR3F</t>
  </si>
  <si>
    <t>M083BR2F</t>
  </si>
  <si>
    <t>M154BR2</t>
  </si>
  <si>
    <t>M165BR15P</t>
  </si>
  <si>
    <t>M165YL7</t>
  </si>
  <si>
    <t>M180SL3F</t>
  </si>
  <si>
    <t>P101BK1</t>
  </si>
  <si>
    <t>P118BR3FP</t>
  </si>
  <si>
    <t>P178BR3FP</t>
  </si>
  <si>
    <t>P180PR2F</t>
  </si>
  <si>
    <t>P182BK2F</t>
  </si>
  <si>
    <t>P192GR1</t>
  </si>
  <si>
    <t>P192BR2</t>
  </si>
  <si>
    <t>P218BR2FP</t>
  </si>
  <si>
    <t>P223GR1</t>
  </si>
  <si>
    <t>P230BK1</t>
  </si>
  <si>
    <t>P230GR3P</t>
  </si>
  <si>
    <t>P241BK1</t>
  </si>
  <si>
    <t>P265BR2</t>
  </si>
  <si>
    <t>P299OR2</t>
  </si>
  <si>
    <t>P324BK3F</t>
  </si>
  <si>
    <t>P335GR2F</t>
  </si>
  <si>
    <t>P336SL2</t>
  </si>
  <si>
    <t>P341BK1</t>
  </si>
  <si>
    <t>P352BU2</t>
  </si>
  <si>
    <t>P353BR3</t>
  </si>
  <si>
    <t>P040BR2</t>
  </si>
  <si>
    <t>P325BK2F</t>
  </si>
  <si>
    <t>P327BU2</t>
  </si>
  <si>
    <t>P339BR1</t>
  </si>
  <si>
    <t>P360BR4</t>
  </si>
  <si>
    <t>P429BU4</t>
  </si>
  <si>
    <t>P430BR2</t>
  </si>
  <si>
    <t>P448GR1T</t>
  </si>
  <si>
    <t>PC001BU15</t>
  </si>
  <si>
    <t>P448YL4T</t>
  </si>
  <si>
    <t>C056PR2F</t>
  </si>
  <si>
    <t>C060PR3F</t>
  </si>
  <si>
    <t>C060BK2</t>
  </si>
  <si>
    <t>C078YL4F</t>
  </si>
  <si>
    <t>ID698</t>
  </si>
  <si>
    <t>ID721</t>
  </si>
  <si>
    <t>ID745</t>
  </si>
  <si>
    <t>ID908</t>
  </si>
  <si>
    <t>ID925</t>
  </si>
  <si>
    <t>ID973</t>
  </si>
  <si>
    <t>ID996</t>
  </si>
  <si>
    <t>ID997</t>
  </si>
  <si>
    <t>ID1027</t>
  </si>
  <si>
    <t>ID1047</t>
  </si>
  <si>
    <t>ID1142</t>
  </si>
  <si>
    <t>ID1200</t>
  </si>
  <si>
    <t>ID1203</t>
  </si>
  <si>
    <t>ID1286</t>
  </si>
  <si>
    <t>ID1296</t>
  </si>
  <si>
    <t>ID1297</t>
  </si>
  <si>
    <t>ID1303</t>
  </si>
  <si>
    <t>ID1375</t>
  </si>
  <si>
    <t>ID1425</t>
  </si>
  <si>
    <t>ID1426</t>
  </si>
  <si>
    <t>ID1427</t>
  </si>
  <si>
    <t>ID1428</t>
  </si>
  <si>
    <t>ID1430</t>
  </si>
  <si>
    <t>ID1471</t>
  </si>
  <si>
    <t>ID1474</t>
  </si>
  <si>
    <t>ID1475</t>
  </si>
  <si>
    <t>ID1478</t>
  </si>
  <si>
    <t>ID1480</t>
  </si>
  <si>
    <t>C8</t>
  </si>
  <si>
    <t>ID1482</t>
  </si>
  <si>
    <t>ID1484</t>
  </si>
  <si>
    <t>ID1485</t>
  </si>
  <si>
    <t>ID1486</t>
  </si>
  <si>
    <t>ID1487</t>
  </si>
  <si>
    <t>ID1490</t>
  </si>
  <si>
    <t>ID1495</t>
  </si>
  <si>
    <t>ID1499</t>
  </si>
  <si>
    <t>ID1508</t>
  </si>
  <si>
    <t>ID1511</t>
  </si>
  <si>
    <t>ID1536</t>
  </si>
  <si>
    <t>ID1539</t>
  </si>
  <si>
    <t>ID1521</t>
  </si>
  <si>
    <t>ID1519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</si>
  <si>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</si>
  <si>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</si>
  <si>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</si>
  <si>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</si>
  <si>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</si>
  <si>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</si>
  <si>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</si>
  <si>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</si>
  <si>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ID1552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</si>
  <si>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</si>
  <si>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</si>
  <si>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</si>
  <si>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</si>
  <si>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</si>
  <si>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</si>
  <si>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</si>
  <si>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</si>
  <si>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ID674</t>
  </si>
  <si>
    <t>ID709</t>
  </si>
  <si>
    <t>ID722</t>
  </si>
  <si>
    <t>ID730</t>
  </si>
  <si>
    <t>ID735</t>
  </si>
  <si>
    <t>ID736</t>
  </si>
  <si>
    <t>ID878</t>
  </si>
  <si>
    <t>ID885</t>
  </si>
  <si>
    <t>ID893</t>
  </si>
  <si>
    <t>ID906</t>
  </si>
  <si>
    <t>ID940</t>
  </si>
  <si>
    <t>ID950</t>
  </si>
  <si>
    <t>ID961</t>
  </si>
  <si>
    <t>ID980</t>
  </si>
  <si>
    <t>ID1331</t>
  </si>
  <si>
    <t>ID1520</t>
  </si>
  <si>
    <t>IDS1700</t>
  </si>
  <si>
    <t>C31</t>
  </si>
  <si>
    <t>IDS1844</t>
  </si>
  <si>
    <t>IDS1874</t>
  </si>
  <si>
    <t>IDS1961</t>
  </si>
  <si>
    <t>C3P</t>
  </si>
  <si>
    <t>IDS2001</t>
  </si>
  <si>
    <t>C52</t>
  </si>
  <si>
    <t>C44</t>
  </si>
  <si>
    <t>C55P</t>
  </si>
  <si>
    <t>C58P</t>
  </si>
  <si>
    <t>C62P</t>
  </si>
  <si>
    <t>C67P</t>
  </si>
  <si>
    <t>IDS2170</t>
  </si>
  <si>
    <t>IDS2193</t>
  </si>
  <si>
    <t>IDS2225</t>
  </si>
  <si>
    <t>IDS2232</t>
  </si>
  <si>
    <t>IDS2266</t>
  </si>
  <si>
    <t>IDS2296</t>
  </si>
  <si>
    <t>IDS2297</t>
  </si>
  <si>
    <t>IDS2301</t>
  </si>
  <si>
    <t>C17P</t>
  </si>
  <si>
    <t>IDS2306</t>
  </si>
  <si>
    <t>IDS2307</t>
  </si>
  <si>
    <t>IDS2337</t>
  </si>
  <si>
    <t>IDS2341</t>
  </si>
  <si>
    <t>IDS2343</t>
  </si>
  <si>
    <t>C11P</t>
  </si>
  <si>
    <t>C12P</t>
  </si>
  <si>
    <t>C14P</t>
  </si>
  <si>
    <t>IDS2344</t>
  </si>
  <si>
    <t>C1P</t>
  </si>
  <si>
    <t>IDS2350</t>
  </si>
  <si>
    <t>IDS2351</t>
  </si>
  <si>
    <t>IDS2352</t>
  </si>
  <si>
    <t>IDS2354</t>
  </si>
  <si>
    <t>C2P</t>
  </si>
  <si>
    <t>IDS2359</t>
  </si>
  <si>
    <t>IDS2360</t>
  </si>
  <si>
    <t>IDS2361</t>
  </si>
  <si>
    <t>IDS2364</t>
  </si>
  <si>
    <t>IDS2365</t>
  </si>
  <si>
    <t>IDS2372</t>
  </si>
  <si>
    <t>IDS2375</t>
  </si>
  <si>
    <t>IDS2378</t>
  </si>
  <si>
    <t>IDS2379</t>
  </si>
  <si>
    <t>IDS2391</t>
  </si>
  <si>
    <t>IDS2392</t>
  </si>
  <si>
    <t>IDS2401</t>
  </si>
  <si>
    <t>IDS2402</t>
  </si>
  <si>
    <t>C10P</t>
  </si>
  <si>
    <t>IDS2403</t>
  </si>
  <si>
    <t>IDS2404</t>
  </si>
  <si>
    <t>C4P</t>
  </si>
  <si>
    <t>C10</t>
  </si>
  <si>
    <t>C6P</t>
  </si>
  <si>
    <t>IDS2406</t>
  </si>
  <si>
    <t>IDS2408</t>
  </si>
  <si>
    <t>C5P</t>
  </si>
  <si>
    <t>IDS2409</t>
  </si>
  <si>
    <t>IDS2413</t>
  </si>
  <si>
    <t>IDS2414</t>
  </si>
  <si>
    <t>IDS2416</t>
  </si>
  <si>
    <t>IDS2424</t>
  </si>
  <si>
    <t>IDS2428</t>
  </si>
  <si>
    <t>IDS2434</t>
  </si>
  <si>
    <t>IDS2435</t>
  </si>
  <si>
    <t>IDS2438</t>
  </si>
  <si>
    <t>IDS2442</t>
  </si>
  <si>
    <t>C7P</t>
  </si>
  <si>
    <t>IDS2457</t>
  </si>
  <si>
    <t>IDS2468</t>
  </si>
  <si>
    <t>IDS2470</t>
  </si>
  <si>
    <t>IDS2472</t>
  </si>
  <si>
    <t>IDS2473</t>
  </si>
  <si>
    <t>IDS2476</t>
  </si>
  <si>
    <t>IDS2477</t>
  </si>
  <si>
    <t>IDS2478</t>
  </si>
  <si>
    <t>IDS2479</t>
  </si>
  <si>
    <t>IDS2484</t>
  </si>
  <si>
    <t>IDS2485</t>
  </si>
  <si>
    <t>IDS2486</t>
  </si>
  <si>
    <t>IDS2493</t>
  </si>
  <si>
    <t>IDS2495</t>
  </si>
  <si>
    <t>IDS2496</t>
  </si>
  <si>
    <t>IDS2498</t>
  </si>
  <si>
    <t>IDS2499</t>
  </si>
  <si>
    <t>IDS2500</t>
  </si>
  <si>
    <t>C29</t>
  </si>
  <si>
    <t>C30</t>
  </si>
  <si>
    <t>C46</t>
  </si>
  <si>
    <t>C53</t>
  </si>
  <si>
    <t>C54</t>
  </si>
  <si>
    <t>C56</t>
  </si>
  <si>
    <t>C58</t>
  </si>
  <si>
    <t>IDS2503</t>
  </si>
  <si>
    <t>IDS2505</t>
  </si>
  <si>
    <t>IDS2506</t>
  </si>
  <si>
    <t>IDS2508</t>
  </si>
  <si>
    <t>C9</t>
  </si>
  <si>
    <t>IDS2512</t>
  </si>
  <si>
    <t>IDS2514</t>
  </si>
  <si>
    <t>IDS2515</t>
  </si>
  <si>
    <t>IDS2518</t>
  </si>
  <si>
    <t>IDS2519</t>
  </si>
  <si>
    <t>IDS2520</t>
  </si>
  <si>
    <t>IDS2521</t>
  </si>
  <si>
    <t>IDS2522</t>
  </si>
  <si>
    <t>IDS2523</t>
  </si>
  <si>
    <t>IDS2524</t>
  </si>
  <si>
    <t>IDS2526</t>
  </si>
  <si>
    <t>IDS2527</t>
  </si>
  <si>
    <t>IDS2528</t>
  </si>
  <si>
    <t>IDS2529</t>
  </si>
  <si>
    <t>IDS2531</t>
  </si>
  <si>
    <t>IDS2532</t>
  </si>
  <si>
    <t>IDS2533</t>
  </si>
  <si>
    <t>IDS2536</t>
  </si>
  <si>
    <t>IDS2538</t>
  </si>
  <si>
    <t>IDS2539</t>
  </si>
  <si>
    <t>IDS2541</t>
  </si>
  <si>
    <t>IDS2545</t>
  </si>
  <si>
    <t>IDS2549</t>
  </si>
  <si>
    <t>IDS2550</t>
  </si>
  <si>
    <t>IDS2551</t>
  </si>
  <si>
    <t>IDS2552</t>
  </si>
  <si>
    <t>IDS2553</t>
  </si>
  <si>
    <t>IDS2554</t>
  </si>
  <si>
    <t>IDS2621</t>
  </si>
  <si>
    <t>IL9363</t>
  </si>
  <si>
    <t>IL9444</t>
  </si>
  <si>
    <t>IL9453</t>
  </si>
  <si>
    <t>IL9491</t>
  </si>
  <si>
    <t>IL9494</t>
  </si>
  <si>
    <t>IL9845</t>
  </si>
  <si>
    <t>IM2311</t>
  </si>
  <si>
    <t>IM2333</t>
  </si>
  <si>
    <t>IM2338</t>
  </si>
  <si>
    <t>IM2348</t>
  </si>
  <si>
    <t>IM2351</t>
  </si>
  <si>
    <t>IM2356</t>
  </si>
  <si>
    <t>IM2357</t>
  </si>
  <si>
    <t>IM2358</t>
  </si>
  <si>
    <t>IM2328</t>
  </si>
  <si>
    <t>IM362P</t>
  </si>
  <si>
    <t>Image7000</t>
  </si>
  <si>
    <t>IM277</t>
  </si>
  <si>
    <t>IS6241</t>
  </si>
  <si>
    <t>C21</t>
  </si>
  <si>
    <t>IS6285</t>
  </si>
  <si>
    <t>IS6290</t>
  </si>
  <si>
    <t>IS6371</t>
  </si>
  <si>
    <t>IZ105</t>
  </si>
  <si>
    <t>COL1</t>
  </si>
  <si>
    <t>IZ144</t>
  </si>
  <si>
    <t>IZ233</t>
  </si>
  <si>
    <t>IZ258</t>
  </si>
  <si>
    <t>IZ278</t>
  </si>
  <si>
    <t>IZ279</t>
  </si>
  <si>
    <t>IZ281</t>
  </si>
  <si>
    <t>IZ303</t>
  </si>
  <si>
    <t>IZ398</t>
  </si>
  <si>
    <t>IZ485</t>
  </si>
  <si>
    <t>IZ500</t>
  </si>
  <si>
    <t>IZ508</t>
  </si>
  <si>
    <t>IZ518</t>
  </si>
  <si>
    <t>IZ523</t>
  </si>
  <si>
    <t>IZ525</t>
  </si>
  <si>
    <t>IZ588</t>
  </si>
  <si>
    <t>IZ607</t>
  </si>
  <si>
    <t>KX7091</t>
  </si>
  <si>
    <t>KX7107</t>
  </si>
  <si>
    <t>KX7109</t>
  </si>
  <si>
    <t>KX7646</t>
  </si>
  <si>
    <t>KX7666</t>
  </si>
  <si>
    <t>KX7674</t>
  </si>
  <si>
    <t>1096S</t>
  </si>
  <si>
    <t>KC0212</t>
  </si>
  <si>
    <t>KC0240</t>
  </si>
  <si>
    <t>62R</t>
  </si>
  <si>
    <t>KC1253S</t>
  </si>
  <si>
    <t>52F</t>
  </si>
  <si>
    <t>KC1288</t>
  </si>
  <si>
    <t>08B</t>
  </si>
  <si>
    <t>32E</t>
  </si>
  <si>
    <t>KC1234</t>
  </si>
  <si>
    <t>53F</t>
  </si>
  <si>
    <t>LL1927</t>
  </si>
  <si>
    <t>LL3606</t>
  </si>
  <si>
    <t>LL5674</t>
  </si>
  <si>
    <t>LL5682</t>
  </si>
  <si>
    <t>LL8001</t>
  </si>
  <si>
    <t>LL8006</t>
  </si>
  <si>
    <t>MK1010</t>
  </si>
  <si>
    <t>OO9013</t>
  </si>
  <si>
    <t>F7</t>
  </si>
  <si>
    <t>OO9102</t>
  </si>
  <si>
    <t>OO9154</t>
  </si>
  <si>
    <t>OO9188</t>
  </si>
  <si>
    <t>OO9247</t>
  </si>
  <si>
    <t>OO9265</t>
  </si>
  <si>
    <t>OO9316</t>
  </si>
  <si>
    <t>OO9341</t>
  </si>
  <si>
    <t>OX1131</t>
  </si>
  <si>
    <t>OX1136</t>
  </si>
  <si>
    <t>OP3023</t>
  </si>
  <si>
    <t>OP3024</t>
  </si>
  <si>
    <t>OP3025</t>
  </si>
  <si>
    <t>OP3026</t>
  </si>
  <si>
    <t>OP2102</t>
  </si>
  <si>
    <t>OP2103</t>
  </si>
  <si>
    <t>C94</t>
  </si>
  <si>
    <t>OP2105</t>
  </si>
  <si>
    <t>OP2100</t>
  </si>
  <si>
    <t>OP2134</t>
  </si>
  <si>
    <t>OP2170</t>
  </si>
  <si>
    <t>OX3131</t>
  </si>
  <si>
    <t>OX3165</t>
  </si>
  <si>
    <t>PA7037</t>
  </si>
  <si>
    <t>C03</t>
  </si>
  <si>
    <t>PA7058</t>
  </si>
  <si>
    <t>PA7069</t>
  </si>
  <si>
    <t>C02</t>
  </si>
  <si>
    <t>PA7072</t>
  </si>
  <si>
    <t>PA7076</t>
  </si>
  <si>
    <t>C04</t>
  </si>
  <si>
    <t>PA7086</t>
  </si>
  <si>
    <t>PA7089</t>
  </si>
  <si>
    <t>PA7092</t>
  </si>
  <si>
    <t>PA7093</t>
  </si>
  <si>
    <t>PA7095</t>
  </si>
  <si>
    <t>PA7097</t>
  </si>
  <si>
    <t>PA7100</t>
  </si>
  <si>
    <t>PA7104</t>
  </si>
  <si>
    <t>PA7106</t>
  </si>
  <si>
    <t>PC6830</t>
  </si>
  <si>
    <t>UJM</t>
  </si>
  <si>
    <t>PC8808</t>
  </si>
  <si>
    <t>DM4</t>
  </si>
  <si>
    <t>PC8824</t>
  </si>
  <si>
    <t>EEI</t>
  </si>
  <si>
    <t>PC8827</t>
  </si>
  <si>
    <t>SSH</t>
  </si>
  <si>
    <t>PR15QS</t>
  </si>
  <si>
    <t>1AB0A7</t>
  </si>
  <si>
    <t>PR27NS</t>
  </si>
  <si>
    <t>1AB3M1</t>
  </si>
  <si>
    <t>PR4063</t>
  </si>
  <si>
    <t>PR4096</t>
  </si>
  <si>
    <t>PR4102</t>
  </si>
  <si>
    <t>RC522S</t>
  </si>
  <si>
    <t>01B</t>
  </si>
  <si>
    <t>RC583S</t>
  </si>
  <si>
    <t>69Z</t>
  </si>
  <si>
    <t>RC596S</t>
  </si>
  <si>
    <t>RB2132</t>
  </si>
  <si>
    <t>RB2140</t>
  </si>
  <si>
    <t>RB2180</t>
  </si>
  <si>
    <t>6277B1</t>
  </si>
  <si>
    <t>RB2448N</t>
  </si>
  <si>
    <t>RB3016</t>
  </si>
  <si>
    <t>RB3025</t>
  </si>
  <si>
    <t>0013E</t>
  </si>
  <si>
    <t>0013F</t>
  </si>
  <si>
    <t>0023F</t>
  </si>
  <si>
    <t>0024O</t>
  </si>
  <si>
    <t>0033E</t>
  </si>
  <si>
    <t>0033F</t>
  </si>
  <si>
    <t>1674K</t>
  </si>
  <si>
    <t>9001A5</t>
  </si>
  <si>
    <t>9002A6</t>
  </si>
  <si>
    <t>W3275</t>
  </si>
  <si>
    <t>W3277</t>
  </si>
  <si>
    <t>RB3025JM</t>
  </si>
  <si>
    <t>RB3342</t>
  </si>
  <si>
    <t>RB3411</t>
  </si>
  <si>
    <t>RB3432</t>
  </si>
  <si>
    <t>RB3447</t>
  </si>
  <si>
    <t>RB3530</t>
  </si>
  <si>
    <t>0029A</t>
  </si>
  <si>
    <t>0048G</t>
  </si>
  <si>
    <t>RB3538</t>
  </si>
  <si>
    <t>1872Y</t>
  </si>
  <si>
    <t>RB3539</t>
  </si>
  <si>
    <t>1928G</t>
  </si>
  <si>
    <t>RB3558</t>
  </si>
  <si>
    <t>004B8</t>
  </si>
  <si>
    <t>RB3561</t>
  </si>
  <si>
    <t>RB4147</t>
  </si>
  <si>
    <t>RB4202</t>
  </si>
  <si>
    <t>60714V</t>
  </si>
  <si>
    <t>RB4216</t>
  </si>
  <si>
    <t>601S71</t>
  </si>
  <si>
    <t>RB4252</t>
  </si>
  <si>
    <t>RB4273</t>
  </si>
  <si>
    <t>6019A</t>
  </si>
  <si>
    <t>RB4274</t>
  </si>
  <si>
    <t>6018G</t>
  </si>
  <si>
    <t>RB4264</t>
  </si>
  <si>
    <t>601SA1</t>
  </si>
  <si>
    <t>RB4346</t>
  </si>
  <si>
    <t>62507Q</t>
  </si>
  <si>
    <t>RB7060</t>
  </si>
  <si>
    <t>RB8041</t>
  </si>
  <si>
    <t>RJ9054S</t>
  </si>
  <si>
    <t>186/87</t>
  </si>
  <si>
    <t>RJ9506S</t>
  </si>
  <si>
    <t>RX2547</t>
  </si>
  <si>
    <t>RX3578V</t>
  </si>
  <si>
    <t>RX3582V</t>
  </si>
  <si>
    <t>RX3610V</t>
  </si>
  <si>
    <t>RX3947V</t>
  </si>
  <si>
    <t>RX5312</t>
  </si>
  <si>
    <t>RX5337</t>
  </si>
  <si>
    <t>RX6049</t>
  </si>
  <si>
    <t>RX6241E</t>
  </si>
  <si>
    <t>RX6266</t>
  </si>
  <si>
    <t>RX6295</t>
  </si>
  <si>
    <t>RX6303</t>
  </si>
  <si>
    <t>RX6305</t>
  </si>
  <si>
    <t>RX6322</t>
  </si>
  <si>
    <t>RX6325</t>
  </si>
  <si>
    <t>RX6336</t>
  </si>
  <si>
    <t>RX6337</t>
  </si>
  <si>
    <t>RX6367</t>
  </si>
  <si>
    <t>RX6384</t>
  </si>
  <si>
    <t>RX6385</t>
  </si>
  <si>
    <t>RX6386</t>
  </si>
  <si>
    <t>RX6390</t>
  </si>
  <si>
    <t>RX6424</t>
  </si>
  <si>
    <t>RX6489</t>
  </si>
  <si>
    <t>RX7014</t>
  </si>
  <si>
    <t>RX7017</t>
  </si>
  <si>
    <t>RX7027</t>
  </si>
  <si>
    <t>RX7033</t>
  </si>
  <si>
    <t>RX7056</t>
  </si>
  <si>
    <t>RX7090</t>
  </si>
  <si>
    <t>RX7097</t>
  </si>
  <si>
    <t>RX7127</t>
  </si>
  <si>
    <t>RX7128</t>
  </si>
  <si>
    <t>RX7129</t>
  </si>
  <si>
    <t>REl18517</t>
  </si>
  <si>
    <t>NSZ</t>
  </si>
  <si>
    <t>SC1863</t>
  </si>
  <si>
    <t>SC1885</t>
  </si>
  <si>
    <t>SC2843</t>
  </si>
  <si>
    <t>SC2844</t>
  </si>
  <si>
    <t>SC4614</t>
  </si>
  <si>
    <t>SC4616</t>
  </si>
  <si>
    <t>SC4632</t>
  </si>
  <si>
    <t>SC4715</t>
  </si>
  <si>
    <t>SC4732</t>
  </si>
  <si>
    <t>SC4750</t>
  </si>
  <si>
    <t>SC721</t>
  </si>
  <si>
    <t>SC722</t>
  </si>
  <si>
    <t>C543</t>
  </si>
  <si>
    <t>SC736</t>
  </si>
  <si>
    <t>C536</t>
  </si>
  <si>
    <t>SC748</t>
  </si>
  <si>
    <t>C589</t>
  </si>
  <si>
    <t>ST10098</t>
  </si>
  <si>
    <t>ST10100</t>
  </si>
  <si>
    <t>ST10109</t>
  </si>
  <si>
    <t>ST10111</t>
  </si>
  <si>
    <t>ST10112</t>
  </si>
  <si>
    <t>ST10107</t>
  </si>
  <si>
    <t>ST10121</t>
  </si>
  <si>
    <t>ST2304T</t>
  </si>
  <si>
    <t>ST234T</t>
  </si>
  <si>
    <t>ST55093</t>
  </si>
  <si>
    <t>ST55095</t>
  </si>
  <si>
    <t>ST55112</t>
  </si>
  <si>
    <t>SE1142</t>
  </si>
  <si>
    <t>SE1157</t>
  </si>
  <si>
    <t>SE1167</t>
  </si>
  <si>
    <t>SE1170</t>
  </si>
  <si>
    <t>SE1175</t>
  </si>
  <si>
    <t>SE1187</t>
  </si>
  <si>
    <t>SE1184</t>
  </si>
  <si>
    <t>SE1231</t>
  </si>
  <si>
    <t>SE1233</t>
  </si>
  <si>
    <t>SE1237</t>
  </si>
  <si>
    <t>SE1241</t>
  </si>
  <si>
    <t>SE1268</t>
  </si>
  <si>
    <t>SE1271</t>
  </si>
  <si>
    <t>SE1276</t>
  </si>
  <si>
    <t>SE1511</t>
  </si>
  <si>
    <t>SE1512</t>
  </si>
  <si>
    <t>SE1253</t>
  </si>
  <si>
    <t>SE1262</t>
  </si>
  <si>
    <t>IS6140</t>
  </si>
  <si>
    <t>C06</t>
  </si>
  <si>
    <t>TF276</t>
  </si>
  <si>
    <t>74Z</t>
  </si>
  <si>
    <t>TF318</t>
  </si>
  <si>
    <t>TF376</t>
  </si>
  <si>
    <t>90B</t>
  </si>
  <si>
    <t>TH2512</t>
  </si>
  <si>
    <t>TH2514</t>
  </si>
  <si>
    <t>TH2515</t>
  </si>
  <si>
    <t>TH2519</t>
  </si>
  <si>
    <t>TH2527</t>
  </si>
  <si>
    <t>TH2529</t>
  </si>
  <si>
    <t>TH2530</t>
  </si>
  <si>
    <t>TH2536</t>
  </si>
  <si>
    <t>TH2537</t>
  </si>
  <si>
    <t>TH2538</t>
  </si>
  <si>
    <t>TH2543</t>
  </si>
  <si>
    <t>TH2544</t>
  </si>
  <si>
    <t>TH3162</t>
  </si>
  <si>
    <t>TH3166</t>
  </si>
  <si>
    <t>TH5690</t>
  </si>
  <si>
    <t>TH5705</t>
  </si>
  <si>
    <t>TH5709</t>
  </si>
  <si>
    <t>TH5734</t>
  </si>
  <si>
    <t>TH6000</t>
  </si>
  <si>
    <t>TH6113</t>
  </si>
  <si>
    <t>TH6118</t>
  </si>
  <si>
    <t>TH6213</t>
  </si>
  <si>
    <t>TH7848</t>
  </si>
  <si>
    <t>TH7862</t>
  </si>
  <si>
    <t>TH7869</t>
  </si>
  <si>
    <t>TH7881</t>
  </si>
  <si>
    <t>TH7882</t>
  </si>
  <si>
    <t>TH7898</t>
  </si>
  <si>
    <t>TH7910</t>
  </si>
  <si>
    <t>TH7912</t>
  </si>
  <si>
    <t>TH7914</t>
  </si>
  <si>
    <t>TH7920</t>
  </si>
  <si>
    <t>TH7921</t>
  </si>
  <si>
    <t>TH7948</t>
  </si>
  <si>
    <t>TH7951</t>
  </si>
  <si>
    <t>TH7970</t>
  </si>
  <si>
    <t>TH7975</t>
  </si>
  <si>
    <t>TH7976</t>
  </si>
  <si>
    <t>TH7977</t>
  </si>
  <si>
    <t>TH7981</t>
  </si>
  <si>
    <t>TH9000</t>
  </si>
  <si>
    <t>TH9009</t>
  </si>
  <si>
    <t>TH826P</t>
  </si>
  <si>
    <t>TH843</t>
  </si>
  <si>
    <t>TH844</t>
  </si>
  <si>
    <t>C1S</t>
  </si>
  <si>
    <t>C2S</t>
  </si>
  <si>
    <t>TH846</t>
  </si>
  <si>
    <t>TH9018</t>
  </si>
  <si>
    <t>TH9711</t>
  </si>
  <si>
    <t>G170PYFL9B-60</t>
  </si>
  <si>
    <t>G163PAVL9G</t>
  </si>
  <si>
    <t>192PLMLME</t>
  </si>
  <si>
    <t>G209CTML9D</t>
  </si>
  <si>
    <t>VE1210BM</t>
  </si>
  <si>
    <t>VE1231</t>
  </si>
  <si>
    <t>VE3215</t>
  </si>
  <si>
    <t>VE3253</t>
  </si>
  <si>
    <t>GB1</t>
  </si>
  <si>
    <t>VE4321</t>
  </si>
  <si>
    <t>VO2660</t>
  </si>
  <si>
    <t>W65613</t>
  </si>
  <si>
    <t>VO2695S</t>
  </si>
  <si>
    <t>VO2714</t>
  </si>
  <si>
    <t>VO2817S</t>
  </si>
  <si>
    <t>20308F</t>
  </si>
  <si>
    <t>VO2829SM</t>
  </si>
  <si>
    <t>W4411</t>
  </si>
  <si>
    <t>VO2763</t>
  </si>
  <si>
    <t>VO2767</t>
  </si>
  <si>
    <t>VO2787</t>
  </si>
  <si>
    <t>VO2819S</t>
  </si>
  <si>
    <t>VO2843S</t>
  </si>
  <si>
    <t>VO2864</t>
  </si>
  <si>
    <t>VO2866</t>
  </si>
  <si>
    <t>W44</t>
  </si>
  <si>
    <t>VO2870S</t>
  </si>
  <si>
    <t>VO2886</t>
  </si>
  <si>
    <t>VO2894SB</t>
  </si>
  <si>
    <t>VO2896</t>
  </si>
  <si>
    <t>VO2896S</t>
  </si>
  <si>
    <t>VO2899</t>
  </si>
  <si>
    <t>VO2908</t>
  </si>
  <si>
    <t>VO2906</t>
  </si>
  <si>
    <t>VO2915S</t>
  </si>
  <si>
    <t>22618H</t>
  </si>
  <si>
    <t>VO2916</t>
  </si>
  <si>
    <t>VO2924BI</t>
  </si>
  <si>
    <t>VO2925B</t>
  </si>
  <si>
    <t>VO2925BI</t>
  </si>
  <si>
    <t>VO2926S</t>
  </si>
  <si>
    <t>VO2936</t>
  </si>
  <si>
    <t>VO2937</t>
  </si>
  <si>
    <t>VO2940S</t>
  </si>
  <si>
    <t>W4471</t>
  </si>
  <si>
    <t>23828F</t>
  </si>
  <si>
    <t>VO2941S</t>
  </si>
  <si>
    <t>25355R</t>
  </si>
  <si>
    <t>VO2942SB</t>
  </si>
  <si>
    <t>VO2943SB</t>
  </si>
  <si>
    <t>VO2950</t>
  </si>
  <si>
    <t>VO2959S</t>
  </si>
  <si>
    <t>VO2961</t>
  </si>
  <si>
    <t>W827</t>
  </si>
  <si>
    <t>VO2968</t>
  </si>
  <si>
    <t>VO2993S</t>
  </si>
  <si>
    <t>VO2998</t>
  </si>
  <si>
    <t>VO3768</t>
  </si>
  <si>
    <t>VO3838</t>
  </si>
  <si>
    <t>352S</t>
  </si>
  <si>
    <t>VO3843I</t>
  </si>
  <si>
    <t>VO3843</t>
  </si>
  <si>
    <t>VO3931I</t>
  </si>
  <si>
    <t>VO3947</t>
  </si>
  <si>
    <t>VO3955B</t>
  </si>
  <si>
    <t>VO3955BI</t>
  </si>
  <si>
    <t>VO3969</t>
  </si>
  <si>
    <t>VO3980</t>
  </si>
  <si>
    <t>323S</t>
  </si>
  <si>
    <t>VO3981</t>
  </si>
  <si>
    <t>979S</t>
  </si>
  <si>
    <t>VO3982SB</t>
  </si>
  <si>
    <t>VO3983S</t>
  </si>
  <si>
    <t>548S13</t>
  </si>
  <si>
    <t>964S11</t>
  </si>
  <si>
    <t>965S8H</t>
  </si>
  <si>
    <t>VO3992</t>
  </si>
  <si>
    <t>VO3997S</t>
  </si>
  <si>
    <t>848T5</t>
  </si>
  <si>
    <t>VO4002S</t>
  </si>
  <si>
    <t>VO4013</t>
  </si>
  <si>
    <t>VO4015B</t>
  </si>
  <si>
    <t>VO4016B</t>
  </si>
  <si>
    <t>VO4024</t>
  </si>
  <si>
    <t>VO4037</t>
  </si>
  <si>
    <t>VO4038</t>
  </si>
  <si>
    <t>VO4055SI</t>
  </si>
  <si>
    <t>VO4083S</t>
  </si>
  <si>
    <t>VO4091BI</t>
  </si>
  <si>
    <t>VO4092B</t>
  </si>
  <si>
    <t>VO4097S</t>
  </si>
  <si>
    <t>323H7</t>
  </si>
  <si>
    <t>VO4112S</t>
  </si>
  <si>
    <t>50757E</t>
  </si>
  <si>
    <t>VO4119</t>
  </si>
  <si>
    <t>VO4125</t>
  </si>
  <si>
    <t>VO4125I</t>
  </si>
  <si>
    <t>VO4138S</t>
  </si>
  <si>
    <t>VO4139SB</t>
  </si>
  <si>
    <t>50758Z</t>
  </si>
  <si>
    <t>VO4140</t>
  </si>
  <si>
    <t>VO4198S</t>
  </si>
  <si>
    <t>VO5002</t>
  </si>
  <si>
    <t>VO5007B</t>
  </si>
  <si>
    <t>VO5009BI</t>
  </si>
  <si>
    <t>16478H</t>
  </si>
  <si>
    <t>VO5010I</t>
  </si>
  <si>
    <t>VO5010</t>
  </si>
  <si>
    <t>W656</t>
  </si>
  <si>
    <t>VO5030</t>
  </si>
  <si>
    <t>VO5042</t>
  </si>
  <si>
    <t>VO5061SB</t>
  </si>
  <si>
    <t>W4487</t>
  </si>
  <si>
    <t>VO5094B</t>
  </si>
  <si>
    <t>VO5118SI</t>
  </si>
  <si>
    <t>VO5119S</t>
  </si>
  <si>
    <t>W445A</t>
  </si>
  <si>
    <t>VO5134S</t>
  </si>
  <si>
    <t>25318H</t>
  </si>
  <si>
    <t>VO5137S</t>
  </si>
  <si>
    <t>VO5148B</t>
  </si>
  <si>
    <t>VO5153</t>
  </si>
  <si>
    <t>VO5164S</t>
  </si>
  <si>
    <t>VO5165S</t>
  </si>
  <si>
    <t>VO5166S</t>
  </si>
  <si>
    <t>25677B</t>
  </si>
  <si>
    <t>VO5051S</t>
  </si>
  <si>
    <t>25395A</t>
  </si>
  <si>
    <t>VO5166</t>
  </si>
  <si>
    <t>W6565R</t>
  </si>
  <si>
    <t>VO5167S</t>
  </si>
  <si>
    <t>VO5183S</t>
  </si>
  <si>
    <t>VO5204</t>
  </si>
  <si>
    <t>VO5205S</t>
  </si>
  <si>
    <t>25547E</t>
  </si>
  <si>
    <t>VO5211S</t>
  </si>
  <si>
    <t>VO5212S</t>
  </si>
  <si>
    <t>VO5215S</t>
  </si>
  <si>
    <t>23860L</t>
  </si>
  <si>
    <t>VO5216BI</t>
  </si>
  <si>
    <t>VO5243SB</t>
  </si>
  <si>
    <t>VO5280SB</t>
  </si>
  <si>
    <t>VO5283S</t>
  </si>
  <si>
    <t>27248Z</t>
  </si>
  <si>
    <t>VO5284S</t>
  </si>
  <si>
    <t>27236V</t>
  </si>
  <si>
    <t>VO5283</t>
  </si>
  <si>
    <t>27210K</t>
  </si>
  <si>
    <t>27206V</t>
  </si>
  <si>
    <t>VO5284</t>
  </si>
  <si>
    <t>27180L</t>
  </si>
  <si>
    <t>VO5268I</t>
  </si>
  <si>
    <t>VO5227I</t>
  </si>
  <si>
    <t>VO5242S</t>
  </si>
  <si>
    <t>VO5247I</t>
  </si>
  <si>
    <t>VO5247</t>
  </si>
  <si>
    <t>VO4104</t>
  </si>
  <si>
    <t>2807A</t>
  </si>
  <si>
    <t>VO4106</t>
  </si>
  <si>
    <t>VO4128</t>
  </si>
  <si>
    <t>VO5204I</t>
  </si>
  <si>
    <t>VO5270S</t>
  </si>
  <si>
    <t>VO5271S</t>
  </si>
  <si>
    <t>VO5271</t>
  </si>
  <si>
    <t>VO5272</t>
  </si>
  <si>
    <t>VO5276</t>
  </si>
  <si>
    <t>VO5263BI</t>
  </si>
  <si>
    <t>VO5269S1</t>
  </si>
  <si>
    <t>VO5269S</t>
  </si>
  <si>
    <t>VO5282SB</t>
  </si>
  <si>
    <t>INB2610B</t>
  </si>
  <si>
    <t>CAT3</t>
  </si>
  <si>
    <t>INB2802A</t>
  </si>
  <si>
    <t>INB2946B</t>
  </si>
  <si>
    <t>INB1906A</t>
  </si>
  <si>
    <t>Cat.3 S</t>
  </si>
  <si>
    <t>INB1907D</t>
  </si>
  <si>
    <t>INB1912D</t>
  </si>
  <si>
    <t>Cat.2 S</t>
  </si>
  <si>
    <t>INB2901E</t>
  </si>
  <si>
    <t>Cat.2S</t>
  </si>
  <si>
    <t>INB1917B</t>
  </si>
  <si>
    <t>INB1915</t>
  </si>
  <si>
    <t>INB4004</t>
  </si>
  <si>
    <t>COLB</t>
  </si>
  <si>
    <t>COLA</t>
  </si>
  <si>
    <t>COLC</t>
  </si>
  <si>
    <t>BOBOPOLO SHEET TR SUPRA</t>
  </si>
  <si>
    <t>CUBANA</t>
  </si>
  <si>
    <t>EUROPA</t>
  </si>
  <si>
    <t>I-GEAR</t>
  </si>
  <si>
    <t>STEWART</t>
  </si>
  <si>
    <t>SALLTARI</t>
  </si>
  <si>
    <t>LOUIS VUITTION GOGGLES</t>
  </si>
  <si>
    <t>DISCOVERY KIDS</t>
  </si>
  <si>
    <t>RAYBAN SHEET D</t>
  </si>
  <si>
    <t>RAYBAN SHEET</t>
  </si>
  <si>
    <t>D&amp;G M SUPRA</t>
  </si>
  <si>
    <t>GUCCI SUPRA</t>
  </si>
  <si>
    <t>GUCCI GOGGLES</t>
  </si>
  <si>
    <t>TOOINCH</t>
  </si>
  <si>
    <t>TONETILE</t>
  </si>
  <si>
    <t>OAKLEY 3 PC</t>
  </si>
  <si>
    <t>OKEY METAL SUPRA</t>
  </si>
  <si>
    <t>TOMMY HILFIGER SUPRA METAL</t>
  </si>
  <si>
    <t>Solana supra metal</t>
  </si>
  <si>
    <t>PORSCHE DESIGN METAL</t>
  </si>
  <si>
    <t>POLICE FULL METAL IST</t>
  </si>
  <si>
    <t>POLICE GOGGLES</t>
  </si>
  <si>
    <t>DIXON LADIES</t>
  </si>
  <si>
    <t>FANCY METAL SUPRA</t>
  </si>
  <si>
    <t>FERRARI SUPRA</t>
  </si>
  <si>
    <t>YOUNGSTUN M FULL</t>
  </si>
  <si>
    <t>DENY BROWN</t>
  </si>
  <si>
    <t>CK D</t>
  </si>
  <si>
    <t>IDEE D</t>
  </si>
  <si>
    <t>IDEE SHEET</t>
  </si>
  <si>
    <t>PRADA METAL TI</t>
  </si>
  <si>
    <t>RIVANCHY AVIATOR</t>
  </si>
  <si>
    <t>Baby Frames</t>
  </si>
  <si>
    <t>VISTA</t>
  </si>
  <si>
    <t>ESTEE Aviator</t>
  </si>
  <si>
    <t>RAYBAN TR SHEET</t>
  </si>
  <si>
    <t>PORSCHE DESIGN Ist M</t>
  </si>
  <si>
    <t>DIOR AVIATOR IST</t>
  </si>
  <si>
    <t>VOGUE FANCY METAL</t>
  </si>
  <si>
    <t>PRADA FANCY METAL</t>
  </si>
  <si>
    <t>BURBERRY FANCY METAL</t>
  </si>
  <si>
    <t>CARRERA SHEET</t>
  </si>
  <si>
    <t>TAG VISIT</t>
  </si>
  <si>
    <t>RAYBAN METAL FULL</t>
  </si>
  <si>
    <t>RAYBAN SHEET GOGGLES(4165+2140</t>
  </si>
  <si>
    <t>CK SHEET Ist</t>
  </si>
  <si>
    <t>FARENHEIT</t>
  </si>
  <si>
    <t>TOM HILL METAL</t>
  </si>
  <si>
    <t>POLOARMANI</t>
  </si>
  <si>
    <t>RIUOEFI</t>
  </si>
  <si>
    <t>EASY-GOING</t>
  </si>
  <si>
    <t>DOUBLE TREE WITH BOX</t>
  </si>
  <si>
    <t>U EYEWEAR ORANGE</t>
  </si>
  <si>
    <t>BVLGARI</t>
  </si>
  <si>
    <t>BURBERRY SHEET IST</t>
  </si>
  <si>
    <t>OAKLEY SHEET IST</t>
  </si>
  <si>
    <t>TITAN EYE SHEET</t>
  </si>
  <si>
    <t>HONG REN FULL AVIATOR</t>
  </si>
  <si>
    <t>CK1184SP</t>
  </si>
  <si>
    <t>CK1209S</t>
  </si>
  <si>
    <t>CK2146SA</t>
  </si>
  <si>
    <t>CK3143S</t>
  </si>
  <si>
    <t>CK4182</t>
  </si>
  <si>
    <t>CK4224S</t>
  </si>
  <si>
    <t>CK4260S</t>
  </si>
  <si>
    <t>CK4261S</t>
  </si>
  <si>
    <t>CK5350</t>
  </si>
  <si>
    <t>CK5367</t>
  </si>
  <si>
    <t>DJ15T126</t>
  </si>
  <si>
    <t>DJ15T163</t>
  </si>
  <si>
    <t>FOS3010PS</t>
  </si>
  <si>
    <t>003Y2</t>
  </si>
  <si>
    <t>FOS2057S</t>
  </si>
  <si>
    <t>0039K</t>
  </si>
  <si>
    <t>PUMA SHEET</t>
  </si>
  <si>
    <t>P089GR3</t>
  </si>
  <si>
    <t>P089WH4</t>
  </si>
  <si>
    <t>M062BK1</t>
  </si>
  <si>
    <t>M162BK1</t>
  </si>
  <si>
    <t>M149BU2</t>
  </si>
  <si>
    <t>P101BR2</t>
  </si>
  <si>
    <t>P108BR2</t>
  </si>
  <si>
    <t>P294BU2</t>
  </si>
  <si>
    <t>M068BK8P</t>
  </si>
  <si>
    <t>U005YL5F</t>
  </si>
  <si>
    <t>ID873</t>
  </si>
  <si>
    <t>ID1001</t>
  </si>
  <si>
    <t>ID1030</t>
  </si>
  <si>
    <t>ID1033</t>
  </si>
  <si>
    <t>ID1144</t>
  </si>
  <si>
    <t>ID1038</t>
  </si>
  <si>
    <t>ID1152</t>
  </si>
  <si>
    <t>ID1153</t>
  </si>
  <si>
    <t>ID1460</t>
  </si>
  <si>
    <t>ID1470</t>
  </si>
  <si>
    <t>ID1476</t>
  </si>
  <si>
    <t>ID1479</t>
  </si>
  <si>
    <t>ID1483</t>
  </si>
  <si>
    <t>ID1489</t>
  </si>
  <si>
    <t>ID1509</t>
  </si>
  <si>
    <t>ID1526</t>
  </si>
  <si>
    <t>ID1528</t>
  </si>
  <si>
    <t>ID1531</t>
  </si>
  <si>
    <t>ID1333</t>
  </si>
  <si>
    <t>ID1523</t>
  </si>
  <si>
    <t>ID1134</t>
  </si>
  <si>
    <t>IDS1034</t>
  </si>
  <si>
    <t>ID1213</t>
  </si>
  <si>
    <t>ID1246</t>
  </si>
  <si>
    <t>ID1248</t>
  </si>
  <si>
    <t>ID1292</t>
  </si>
  <si>
    <t>IDS1655</t>
  </si>
  <si>
    <t>IDS1802</t>
  </si>
  <si>
    <t>VOGUE FULL Metal Ist</t>
  </si>
  <si>
    <t>GOLD BURG AVIATOR/AABEND</t>
  </si>
  <si>
    <t>METAL I</t>
  </si>
  <si>
    <t>DISCOVERY NOW</t>
  </si>
  <si>
    <t>DISCOVERY NOW SHEET</t>
  </si>
  <si>
    <t>BABY KIDS</t>
  </si>
  <si>
    <t>FASILOOR THIN SIDE</t>
  </si>
  <si>
    <t>SAFILO KIDS</t>
  </si>
  <si>
    <t>JUNIOR KIDS</t>
  </si>
  <si>
    <t>AVIATOR THIN LINE</t>
  </si>
  <si>
    <t>COOP BABY GOGGLES</t>
  </si>
  <si>
    <t>NAUTTY BABY GOGGLES</t>
  </si>
  <si>
    <t>BOOKSTAR</t>
  </si>
  <si>
    <t>LOUIS STYLE SHEET BABY</t>
  </si>
  <si>
    <t>RAYBAN FULL METAL IST</t>
  </si>
  <si>
    <t>HANKER(66003)</t>
  </si>
  <si>
    <t>HANKER(66004)</t>
  </si>
  <si>
    <t>HANKER(66006)</t>
  </si>
  <si>
    <t>HANKER(66007)</t>
  </si>
  <si>
    <t>HANKER(66015)</t>
  </si>
  <si>
    <t>HANKER(66016)</t>
  </si>
  <si>
    <t>CARRERA FULL AVIATOR</t>
  </si>
  <si>
    <t>GUCCI FULL METAL SQURE</t>
  </si>
  <si>
    <t>FRENCH CONNECTION</t>
  </si>
  <si>
    <t>LD MYCOLOR</t>
  </si>
  <si>
    <t>RAFA BAMBOO</t>
  </si>
  <si>
    <t>TOM HILL THIN METAL</t>
  </si>
  <si>
    <t>READING SUPRA</t>
  </si>
  <si>
    <t>BUTTERFLOW TR</t>
  </si>
  <si>
    <t>FICTION METAL</t>
  </si>
  <si>
    <t>TR ROUND PRADA</t>
  </si>
  <si>
    <t>TR ROUND IDEE</t>
  </si>
  <si>
    <t>TR SHEET RAYBAN</t>
  </si>
  <si>
    <t>RAYBAN DELTA</t>
  </si>
  <si>
    <t>4 RINGS TRANSPARENT</t>
  </si>
  <si>
    <t>JOY KIDS</t>
  </si>
  <si>
    <t>KINDLE</t>
  </si>
  <si>
    <t>ESCAPE SCHOOL</t>
  </si>
  <si>
    <t>RAFA CUTT</t>
  </si>
  <si>
    <t>RAFA METAL</t>
  </si>
  <si>
    <t>RAFA AERO</t>
  </si>
  <si>
    <t>KETEUO SHEET</t>
  </si>
  <si>
    <t>COOL BABY SHEET</t>
  </si>
  <si>
    <t>XTRANSFER SHEET</t>
  </si>
  <si>
    <t>SET SHINE FULL METAL</t>
  </si>
  <si>
    <t>CHOICE SUPRA METAL</t>
  </si>
  <si>
    <t>TOM BLACK HILL SUPRA METAL</t>
  </si>
  <si>
    <t>TOMMY SUNGLASS</t>
  </si>
  <si>
    <t>IDEE SUNGLASS</t>
  </si>
  <si>
    <t>AVITOR FULL METAL</t>
  </si>
  <si>
    <t>SHEET GOGGLES</t>
  </si>
  <si>
    <t>FULL METAL GOGGLES</t>
  </si>
  <si>
    <t>VERIZON FULL METAL</t>
  </si>
  <si>
    <t>WAVEBREAKER SHEET</t>
  </si>
  <si>
    <t>COBON FULL METAL AVIATOR</t>
  </si>
  <si>
    <t>EVAN &amp; CARA FUL METAL</t>
  </si>
  <si>
    <t>LATEMON FULL METAL</t>
  </si>
  <si>
    <t>DARLING SUPRA METAL</t>
  </si>
  <si>
    <t>ROUND SHEET</t>
  </si>
  <si>
    <t>ODYSSEY RIMLESS</t>
  </si>
  <si>
    <t>MAYBACH SHEET IST</t>
  </si>
  <si>
    <t>TOM FORD SHEET</t>
  </si>
  <si>
    <t>FASTRACK METAL</t>
  </si>
  <si>
    <t>RAFA SHEET</t>
  </si>
  <si>
    <t>ESCAPE BABY GOGGLES</t>
  </si>
  <si>
    <t>PINK METAL</t>
  </si>
  <si>
    <t>IDEA SHEET</t>
  </si>
  <si>
    <t>PAPPER SHEET</t>
  </si>
  <si>
    <t>SREUKS METAL</t>
  </si>
  <si>
    <t>DREAMON METAL</t>
  </si>
  <si>
    <t>LADIES D COLOUR METAL</t>
  </si>
  <si>
    <t>BUSINENS</t>
  </si>
  <si>
    <t>SEYENA SHEET</t>
  </si>
  <si>
    <t>OPTIFOCAL METAL</t>
  </si>
  <si>
    <t>ROSS METAL</t>
  </si>
  <si>
    <t>SNGRAM METAL</t>
  </si>
  <si>
    <t>MARY JANE METAL</t>
  </si>
  <si>
    <t>ESCAPE EXCLUSIVE SHEET</t>
  </si>
  <si>
    <t>SUOOVES SHEET</t>
  </si>
  <si>
    <t>PARIS COLLECTION</t>
  </si>
  <si>
    <t>GK DELUXE METAL</t>
  </si>
  <si>
    <t>GK CREATIVE METAL</t>
  </si>
  <si>
    <t>THELMA METAL</t>
  </si>
  <si>
    <t>MAGIC PLUS METAL</t>
  </si>
  <si>
    <t>CREAST + SUPRA</t>
  </si>
  <si>
    <t>RODA SHEET</t>
  </si>
  <si>
    <t>REIOT METAL</t>
  </si>
  <si>
    <t>SUNGOLD TITANIUM</t>
  </si>
  <si>
    <t>B CODE METAL</t>
  </si>
  <si>
    <t>SORTS METAL</t>
  </si>
  <si>
    <t>CHANGZI METAL</t>
  </si>
  <si>
    <t>ESCAPE METAL SPRING</t>
  </si>
  <si>
    <t>PRITY LADY METAL</t>
  </si>
  <si>
    <t>REA METAL</t>
  </si>
  <si>
    <t>COLOCOUI METAL</t>
  </si>
  <si>
    <t>AGIXELLY METAL</t>
  </si>
  <si>
    <t>999 METAL</t>
  </si>
  <si>
    <t>SPECTRODOME METAL</t>
  </si>
  <si>
    <t>MT FULL METAL</t>
  </si>
  <si>
    <t>FAVEICA METAL</t>
  </si>
  <si>
    <t>OLYMPIC METAL</t>
  </si>
  <si>
    <t>TEST VIEW METAL</t>
  </si>
  <si>
    <t>MAGIC SHEET</t>
  </si>
  <si>
    <t>MY STYLE MEMORY</t>
  </si>
  <si>
    <t>RUIEBM SHEET</t>
  </si>
  <si>
    <t>WONDER SHEET</t>
  </si>
  <si>
    <t>MINUS READING+VISION PLUS READING</t>
  </si>
  <si>
    <t>TOM PACITO SHEET</t>
  </si>
  <si>
    <t>KERZER SHEET</t>
  </si>
  <si>
    <t>ESCAPE DB</t>
  </si>
  <si>
    <t>MIU MIU SHEET IST</t>
  </si>
  <si>
    <t>MATNATURE SHEET</t>
  </si>
  <si>
    <t>VISION SHEET</t>
  </si>
  <si>
    <t>ROSE AVIATOR METAL</t>
  </si>
  <si>
    <t>COOA METAL</t>
  </si>
  <si>
    <t>PRAVAL METAL</t>
  </si>
  <si>
    <t>QIYEA METAL</t>
  </si>
  <si>
    <t>PORSCHE DESIGN TR SHEET</t>
  </si>
  <si>
    <t>PRADA TR SHEET</t>
  </si>
  <si>
    <t>IDEE TR SHEET</t>
  </si>
  <si>
    <t>OAKLEY TR SHEET</t>
  </si>
  <si>
    <t>MOBILE SHEET</t>
  </si>
  <si>
    <t>PUMA METAL</t>
  </si>
  <si>
    <t>SCCOTCH SHEET</t>
  </si>
  <si>
    <t>KZ FASHION SHEET</t>
  </si>
  <si>
    <t>TR 90 SHEET</t>
  </si>
  <si>
    <t>ESCAPE LADIES METAL</t>
  </si>
  <si>
    <t>GROUND SHEET</t>
  </si>
  <si>
    <t>SPARTAA SHEET</t>
  </si>
  <si>
    <t>STAR VIER METAL BABAY</t>
  </si>
  <si>
    <t>AXTEUS METAL</t>
  </si>
  <si>
    <t>DUMONT SHEET</t>
  </si>
  <si>
    <t>RELIABLE</t>
  </si>
  <si>
    <t>HUSERO METAL</t>
  </si>
  <si>
    <t>RAYBAN TR SHEET(1418)</t>
  </si>
  <si>
    <t>FULLFORM METAL</t>
  </si>
  <si>
    <t>AUYKE METAL</t>
  </si>
  <si>
    <t>RAFA MIDAS METAL</t>
  </si>
  <si>
    <t>CAMPUS METAL</t>
  </si>
  <si>
    <t>BRIGHES METAL</t>
  </si>
  <si>
    <t>SPORT METAL</t>
  </si>
  <si>
    <t>SERMENT METAL</t>
  </si>
  <si>
    <t>VOGUE SHEET</t>
  </si>
  <si>
    <t>CANDEY METAL</t>
  </si>
  <si>
    <t>MONORMEL METAL</t>
  </si>
  <si>
    <t>WERDFJOI METAL</t>
  </si>
  <si>
    <t>CHAIRMAN METAL</t>
  </si>
  <si>
    <t>GOLDCREST METAL</t>
  </si>
  <si>
    <t>STCOKCAR METAL</t>
  </si>
  <si>
    <t>REVIIEWER METAL</t>
  </si>
  <si>
    <t>TOM TAG METAL</t>
  </si>
  <si>
    <t>TOM EYES METAL</t>
  </si>
  <si>
    <t>CONTENTS METAL</t>
  </si>
  <si>
    <t>SKU</t>
  </si>
  <si>
    <t>22/4/2023</t>
  </si>
  <si>
    <t>RX7129_5577_54</t>
  </si>
  <si>
    <t>VO5</t>
  </si>
  <si>
    <t>FTC046_BK1_M</t>
  </si>
  <si>
    <t>FT_C046BK1_M</t>
  </si>
  <si>
    <t>FTC046_BR3_M</t>
  </si>
  <si>
    <t>FT_C046BR3_M</t>
  </si>
  <si>
    <t>FTC060_BK2_M</t>
  </si>
  <si>
    <t>FTC046_PR2_M</t>
  </si>
  <si>
    <t>FT_C046PR2_M</t>
  </si>
  <si>
    <t>FTC066_BR2F_M</t>
  </si>
  <si>
    <t>FTC056_PR2F_M</t>
  </si>
  <si>
    <t>FT_C056PR2F_M</t>
  </si>
  <si>
    <t>FTM035_BR6_M</t>
  </si>
  <si>
    <t>FTC057_BR1F_M</t>
  </si>
  <si>
    <t>FT_C057BR1F_M</t>
  </si>
  <si>
    <t>FTM067_BR4_M</t>
  </si>
  <si>
    <t>FT_C060BK2_M</t>
  </si>
  <si>
    <t>FTM083_BR2F_M</t>
  </si>
  <si>
    <t>FTC062_BR1F_M</t>
  </si>
  <si>
    <t>FT_C062BR1F_M</t>
  </si>
  <si>
    <t>FTM101_BR3P_M</t>
  </si>
  <si>
    <t>FT_C066BR2F_M</t>
  </si>
  <si>
    <t>FTM144_BR2_M</t>
  </si>
  <si>
    <t>FTC066_BK3F_M</t>
  </si>
  <si>
    <t>FT_C066BK3F_M</t>
  </si>
  <si>
    <t>FTM175_BR1F_M</t>
  </si>
  <si>
    <t>FTC077_BK1_M</t>
  </si>
  <si>
    <t>FT_C077BK1_M</t>
  </si>
  <si>
    <t>FTP161_BR1F_M</t>
  </si>
  <si>
    <t>FTC078_BR2F_M</t>
  </si>
  <si>
    <t>FT_C078BR2F_M</t>
  </si>
  <si>
    <t>FTP176_BR1FP_M</t>
  </si>
  <si>
    <t>FTC078_BR3F_M</t>
  </si>
  <si>
    <t>FT_C078BR3F_M</t>
  </si>
  <si>
    <t>FTP182_BK2F_M</t>
  </si>
  <si>
    <t>FT_M035BR6_M</t>
  </si>
  <si>
    <t>FTP191_PR2F_M</t>
  </si>
  <si>
    <t>FTM035_GR5P_M</t>
  </si>
  <si>
    <t>FT_M035GR5P_M</t>
  </si>
  <si>
    <t>FTP203_BR1_M</t>
  </si>
  <si>
    <t>FTM035_GY1_M</t>
  </si>
  <si>
    <t>FTP218_BK1FP_M</t>
  </si>
  <si>
    <t>FTM062_GR2_M</t>
  </si>
  <si>
    <t>FT_M062GR2_M</t>
  </si>
  <si>
    <t>FTP218_BR2FP_M</t>
  </si>
  <si>
    <t>FTM062_BR3_M</t>
  </si>
  <si>
    <t>FTP256_PR2F_M</t>
  </si>
  <si>
    <t>FT_M067BR4_M</t>
  </si>
  <si>
    <t>FTP307_BK1FP_M</t>
  </si>
  <si>
    <t>FTM069_BR1_M</t>
  </si>
  <si>
    <t>FT_M069BR1_M</t>
  </si>
  <si>
    <t>FTP308_BR3F_M</t>
  </si>
  <si>
    <t>FTP337_BR2F_M</t>
  </si>
  <si>
    <t>FTM083_GY1F_M</t>
  </si>
  <si>
    <t>FT_M083GY1F_M</t>
  </si>
  <si>
    <t>FTPC001_BR23_M</t>
  </si>
  <si>
    <t>FTM083_PR3F_M</t>
  </si>
  <si>
    <t>FT_M083PR3F_M</t>
  </si>
  <si>
    <t>FTPC002_BK5_M</t>
  </si>
  <si>
    <t>FT_M101BR3P_M</t>
  </si>
  <si>
    <t>FTP220_BR2F_M</t>
  </si>
  <si>
    <t>FTM102_BK2_M</t>
  </si>
  <si>
    <t>FT_M102BK2_M</t>
  </si>
  <si>
    <t>FT_M144BR2_M</t>
  </si>
  <si>
    <t>FTM148_BU1_M</t>
  </si>
  <si>
    <t>FT_M148BU1_M</t>
  </si>
  <si>
    <t>FTM154_BR2_M</t>
  </si>
  <si>
    <t>FTM173_BK1_M</t>
  </si>
  <si>
    <t>FT_M173BK1_M</t>
  </si>
  <si>
    <t>FTM173_GR3_M</t>
  </si>
  <si>
    <t>FT_M173GR3_M</t>
  </si>
  <si>
    <t>FT_M175BR1F_M</t>
  </si>
  <si>
    <t>FTM177_BK3F_M</t>
  </si>
  <si>
    <t>FT_M177BK3F_M</t>
  </si>
  <si>
    <t>FTP040_BK1_M</t>
  </si>
  <si>
    <t>FT_P040BK1_M</t>
  </si>
  <si>
    <t>FTP040_BR2_M</t>
  </si>
  <si>
    <t>FTP089_BK1_M</t>
  </si>
  <si>
    <t>FT_P089BK1_M</t>
  </si>
  <si>
    <t>FTP089_BR2_M</t>
  </si>
  <si>
    <t>FT_P089BR2_M</t>
  </si>
  <si>
    <t>FTP117_BK2_M</t>
  </si>
  <si>
    <t>FT_P117BK2_M</t>
  </si>
  <si>
    <t>FTP120_BK2_M</t>
  </si>
  <si>
    <t>FT_P120BK2_M</t>
  </si>
  <si>
    <t>FTP150_BK3F_M</t>
  </si>
  <si>
    <t>FT_P150BK3F_M</t>
  </si>
  <si>
    <t>FTP157_BR1F_M</t>
  </si>
  <si>
    <t>FT_P157BR1F_M</t>
  </si>
  <si>
    <t>FTP161_BK2F_M</t>
  </si>
  <si>
    <t>FT_P161BK2F_M</t>
  </si>
  <si>
    <t>FT_P161BR1F_M</t>
  </si>
  <si>
    <t>FT_P176BR1FP_M</t>
  </si>
  <si>
    <t>FTP178_BR3FP_M</t>
  </si>
  <si>
    <t>FTP180_BR1F_M</t>
  </si>
  <si>
    <t>FT_P180BR1F_M</t>
  </si>
  <si>
    <t>FTP180_PR2F_M</t>
  </si>
  <si>
    <t>FT_P182BK2F_M</t>
  </si>
  <si>
    <t>FTP185_PR2F_M</t>
  </si>
  <si>
    <t>FT_P185PR2F_M</t>
  </si>
  <si>
    <t>FTP186_BR1F_M</t>
  </si>
  <si>
    <t>FT_P186BR1F_M</t>
  </si>
  <si>
    <t>FTP186_PR2F_M</t>
  </si>
  <si>
    <t>FT_P186PR2F_M</t>
  </si>
  <si>
    <t>FTP190_BK1_M</t>
  </si>
  <si>
    <t>FT_P190BK1_M</t>
  </si>
  <si>
    <t>FT_P191PR2F_M</t>
  </si>
  <si>
    <t>FTP192_BR2_M</t>
  </si>
  <si>
    <t>FT_P203BR1_M</t>
  </si>
  <si>
    <t>FTP203_RV2_M</t>
  </si>
  <si>
    <t>FT_P203RV2_M</t>
  </si>
  <si>
    <t>FT_P218BK1FP_M</t>
  </si>
  <si>
    <t>FTP222_BR2_M</t>
  </si>
  <si>
    <t>FT_P222BR2_M</t>
  </si>
  <si>
    <t>FTP222_GR1_M</t>
  </si>
  <si>
    <t>FT_P222GR1_M</t>
  </si>
  <si>
    <t>FTP236_BK1_M</t>
  </si>
  <si>
    <t>FT_P236BK1_M</t>
  </si>
  <si>
    <t>FTP275_BK2_M</t>
  </si>
  <si>
    <t>FT_P275BK2_M</t>
  </si>
  <si>
    <t>FTP294_BU2_M</t>
  </si>
  <si>
    <t>FTP299_BU1_M</t>
  </si>
  <si>
    <t>FT_P299BU1_M</t>
  </si>
  <si>
    <t>FTP300_BR2_M</t>
  </si>
  <si>
    <t>FT_P300BR2_M</t>
  </si>
  <si>
    <t>FTP301_BR2_M</t>
  </si>
  <si>
    <t>FT_P301BR2_M</t>
  </si>
  <si>
    <t>FT_P307BK1FP_M</t>
  </si>
  <si>
    <t>FT_P308BR3F_M</t>
  </si>
  <si>
    <t>FTP309_BK1F_M</t>
  </si>
  <si>
    <t>FT_P309BK1F_M</t>
  </si>
  <si>
    <t>FTP313_BK1F_M</t>
  </si>
  <si>
    <t>FT_P313BK1F_M</t>
  </si>
  <si>
    <t>FTP313_PR2F_M</t>
  </si>
  <si>
    <t>FT_P313PR2F_M</t>
  </si>
  <si>
    <t>FTP317_BK1_M</t>
  </si>
  <si>
    <t>FT_P317BK1_M</t>
  </si>
  <si>
    <t>FTP322_BK1_M</t>
  </si>
  <si>
    <t>FT_P322BK1_M</t>
  </si>
  <si>
    <t>FTP324_BK3F_M</t>
  </si>
  <si>
    <t>FTP325_BK2F_M</t>
  </si>
  <si>
    <t>FT_P325BK2F_M</t>
  </si>
  <si>
    <t>FTP329_BR1_M</t>
  </si>
  <si>
    <t>FT_P329BR1_M</t>
  </si>
  <si>
    <t>FTP335_BR1F_M</t>
  </si>
  <si>
    <t>FT_P335BR1F_M</t>
  </si>
  <si>
    <t>FT_P337BR2F_M</t>
  </si>
  <si>
    <t>FTP356_BR2_M</t>
  </si>
  <si>
    <t>FT_P356BR2_M</t>
  </si>
  <si>
    <t>FTP357_BK1_M</t>
  </si>
  <si>
    <t>FT_P357BK1_M</t>
  </si>
  <si>
    <t>FTPC001_BK1_M</t>
  </si>
  <si>
    <t>FT_PC001BK1_M</t>
  </si>
  <si>
    <t>FTPC001_BK2_M</t>
  </si>
  <si>
    <t>FT_PC001BK2_M</t>
  </si>
  <si>
    <t>FTPC001_BK3_M</t>
  </si>
  <si>
    <t>FT_PC001BK3_M</t>
  </si>
  <si>
    <t>FTPC001_BK4_M</t>
  </si>
  <si>
    <t>FT_PC001BK4_M</t>
  </si>
  <si>
    <t>FTPC001_BK5_M</t>
  </si>
  <si>
    <t>FT_PC001BK5_M</t>
  </si>
  <si>
    <t>FT_PC001BR23_M</t>
  </si>
  <si>
    <t>FTPC001_BU13_M</t>
  </si>
  <si>
    <t>FTPC001_GL27_M</t>
  </si>
  <si>
    <t>FT_PC001GL27_M</t>
  </si>
  <si>
    <t>FTPC001_BU15_M</t>
  </si>
  <si>
    <t>FT_PC001BU15_56</t>
  </si>
  <si>
    <t>FT_PC002BK5_M</t>
  </si>
  <si>
    <t>FTPC002_BR3_M</t>
  </si>
  <si>
    <t>FT_PC002BR3_M</t>
  </si>
  <si>
    <t>FTR045_BR2F_M</t>
  </si>
  <si>
    <t>FT_R045BR2F_M</t>
  </si>
  <si>
    <t>FTC053_BU1_F</t>
  </si>
  <si>
    <t>FT_C053BU1_F</t>
  </si>
  <si>
    <t>FTC060_PR3F_M</t>
  </si>
  <si>
    <t>FTC065_BK1F_M</t>
  </si>
  <si>
    <t>FT_C065BK1F_M</t>
  </si>
  <si>
    <t>FTC065_BK2F_M</t>
  </si>
  <si>
    <t>FT_C065BK2F_M</t>
  </si>
  <si>
    <t>FTC065_BR3F_M</t>
  </si>
  <si>
    <t>FT_C065BR3F_M</t>
  </si>
  <si>
    <t>FTC067_BK1_M</t>
  </si>
  <si>
    <t>FT_C067BK1_M</t>
  </si>
  <si>
    <t>FTC067_BK2_M</t>
  </si>
  <si>
    <t>FT_C067BK2_M</t>
  </si>
  <si>
    <t>FTC069_BR3F_M</t>
  </si>
  <si>
    <t>FT_C069BR3F_M</t>
  </si>
  <si>
    <t>FTC078_PK1F_M</t>
  </si>
  <si>
    <t>FT_C078PK1F_M</t>
  </si>
  <si>
    <t>FTC078_YL4F_M</t>
  </si>
  <si>
    <t>FTM032_BK2_M</t>
  </si>
  <si>
    <t>FT_M032BK2_M</t>
  </si>
  <si>
    <t>FTM032_BU1_M</t>
  </si>
  <si>
    <t>FTM035_BK4_P</t>
  </si>
  <si>
    <t>FT_M035BK4_P</t>
  </si>
  <si>
    <t>FTM035_BU4_M</t>
  </si>
  <si>
    <t>FT_M035BU4_M</t>
  </si>
  <si>
    <t>FTM035_GY3_M</t>
  </si>
  <si>
    <t>FT_M035GY3_M</t>
  </si>
  <si>
    <t>FTM036_BR6_M</t>
  </si>
  <si>
    <t>FT_M036BR6_M</t>
  </si>
  <si>
    <t>FTM050_BK13P_M</t>
  </si>
  <si>
    <t>FT_M050BK13P_M</t>
  </si>
  <si>
    <t>FTM050_BR12_M</t>
  </si>
  <si>
    <t>FT_M050BR12_M</t>
  </si>
  <si>
    <t>FTM050_BR5_M</t>
  </si>
  <si>
    <t>FTM050_BU2_M</t>
  </si>
  <si>
    <t>FT_M050BU2_M</t>
  </si>
  <si>
    <t>FTM069_BK3_M</t>
  </si>
  <si>
    <t>FT_M069BK3_M</t>
  </si>
  <si>
    <t>FTM083_BU5F_M</t>
  </si>
  <si>
    <t>FT_M083BU5F_M</t>
  </si>
  <si>
    <t>FTM101_BK1P_M</t>
  </si>
  <si>
    <t>FT_M101BK1P_M</t>
  </si>
  <si>
    <t>FTM101_BR3_P_M</t>
  </si>
  <si>
    <t>FTM102_BR1_M</t>
  </si>
  <si>
    <t>FT_M102BR1_M</t>
  </si>
  <si>
    <t>FTM106_BK3_M</t>
  </si>
  <si>
    <t>FT_M106BK3_M</t>
  </si>
  <si>
    <t>FTM117_BK1_M</t>
  </si>
  <si>
    <t>FT_M117BK1_M</t>
  </si>
  <si>
    <t>FTM120_BK1_M</t>
  </si>
  <si>
    <t>FT_M120BK1_M</t>
  </si>
  <si>
    <t>FTM120_BK2_M</t>
  </si>
  <si>
    <t>FT_M120BK2_M</t>
  </si>
  <si>
    <t>FTM124_BU1_M</t>
  </si>
  <si>
    <t>FT_M124BU1_M</t>
  </si>
  <si>
    <t>FTM131_BK1P_M</t>
  </si>
  <si>
    <t>FT_M131BK1P_M</t>
  </si>
  <si>
    <t>FTM132_GR2_M</t>
  </si>
  <si>
    <t>FT_M132GR2_M</t>
  </si>
  <si>
    <t>FTM135_GR1P_M</t>
  </si>
  <si>
    <t>FT_M135GR1P_M</t>
  </si>
  <si>
    <t>FTM135_GR1_P</t>
  </si>
  <si>
    <t>FT_M135GR1_P</t>
  </si>
  <si>
    <t>FTM138_BK1_M</t>
  </si>
  <si>
    <t>FT_M138BK1_M</t>
  </si>
  <si>
    <t>FTM138_BK3_M</t>
  </si>
  <si>
    <t>FT_M138BK3_M</t>
  </si>
  <si>
    <t>FTM138_BK4_M</t>
  </si>
  <si>
    <t>FT_M138BK4_M</t>
  </si>
  <si>
    <t>FTM138_BR2_M</t>
  </si>
  <si>
    <t>FT_M138BR2_M</t>
  </si>
  <si>
    <t>FTM138_BR6P_M</t>
  </si>
  <si>
    <t>FT_M138BR6P_M</t>
  </si>
  <si>
    <t>FTM138_GR5P_M</t>
  </si>
  <si>
    <t>FT_M138GR5P_M</t>
  </si>
  <si>
    <t>FTM139_BR1F_M</t>
  </si>
  <si>
    <t>FT_M139BR1F_M</t>
  </si>
  <si>
    <t>FTM140_BU2_M</t>
  </si>
  <si>
    <t>FT_M140BU2_M</t>
  </si>
  <si>
    <t>FTM140_GR1_M</t>
  </si>
  <si>
    <t>FT_M140GR1_M</t>
  </si>
  <si>
    <t>FTM141_BK1P_M</t>
  </si>
  <si>
    <t>FT_M141BK1P_M</t>
  </si>
  <si>
    <t>FTM141_BR2_M</t>
  </si>
  <si>
    <t>FT_M141BR2_M</t>
  </si>
  <si>
    <t>FTM142_BR2P_M</t>
  </si>
  <si>
    <t>FT_M142BR2P_M</t>
  </si>
  <si>
    <t>FTM142_BU1_M</t>
  </si>
  <si>
    <t>FT_M142BU1_M</t>
  </si>
  <si>
    <t>FTM143_BK2_M</t>
  </si>
  <si>
    <t>FT_M143BK2_M</t>
  </si>
  <si>
    <t>FTM146_SL3F_M</t>
  </si>
  <si>
    <t>FT_M146SL3F_M</t>
  </si>
  <si>
    <t>FTM149_BR1_M</t>
  </si>
  <si>
    <t>FT_M149BR1_M</t>
  </si>
  <si>
    <t>FTM152_BK1_M</t>
  </si>
  <si>
    <t>FT_M152BK1_M</t>
  </si>
  <si>
    <t>FTM157_BK1_M</t>
  </si>
  <si>
    <t>FT_M157BK1_M</t>
  </si>
  <si>
    <t>FTM164_BU1_M</t>
  </si>
  <si>
    <t>FT_M164BU1_M</t>
  </si>
  <si>
    <t>FTM167_BK2_M</t>
  </si>
  <si>
    <t>FT_M167BK2_M</t>
  </si>
  <si>
    <t>FTM168_BK2_M</t>
  </si>
  <si>
    <t>FT_M168BK2_M</t>
  </si>
  <si>
    <t>FTM168_BK3_M</t>
  </si>
  <si>
    <t>FT_M168BK3_M</t>
  </si>
  <si>
    <t>FTM169_BK1_M</t>
  </si>
  <si>
    <t>FT_M169BK1_M</t>
  </si>
  <si>
    <t>FTM169_BU3_M</t>
  </si>
  <si>
    <t>FT_M169BU3_M</t>
  </si>
  <si>
    <t>FTM173_BR2_M</t>
  </si>
  <si>
    <t>FT_M173BR2_M</t>
  </si>
  <si>
    <t>FTM175_PR3F_M</t>
  </si>
  <si>
    <t>FT_M175PR3F_M</t>
  </si>
  <si>
    <t>FTM178_PK1F_M</t>
  </si>
  <si>
    <t>FT_M178PK1F_M</t>
  </si>
  <si>
    <t>FTM180_SL3F_M</t>
  </si>
  <si>
    <t>FTN173_GR3_M</t>
  </si>
  <si>
    <t>FT_N173GR3_M</t>
  </si>
  <si>
    <t>FTP089_GR3_M</t>
  </si>
  <si>
    <t>FTP089_GR5P_M</t>
  </si>
  <si>
    <t>FT_P089GR5P_M</t>
  </si>
  <si>
    <t>FTP089_WH4_M</t>
  </si>
  <si>
    <t>FTP101_BK1_M</t>
  </si>
  <si>
    <t>FT_P101BK1_M</t>
  </si>
  <si>
    <t>FTP101_BR2_M</t>
  </si>
  <si>
    <t>FTP117_BK4P_M</t>
  </si>
  <si>
    <t>FT_P117BK4P_M</t>
  </si>
  <si>
    <t>FTP117_WH3_M</t>
  </si>
  <si>
    <t>FT_P117WH3_M</t>
  </si>
  <si>
    <t>FTP120_BK1_M</t>
  </si>
  <si>
    <t>FT_P120BK1_M</t>
  </si>
  <si>
    <t>FTP144_BK3_M</t>
  </si>
  <si>
    <t>FT_P144BK3_M</t>
  </si>
  <si>
    <t>FTP150_BK3_F</t>
  </si>
  <si>
    <t>FT_P150BK3_F</t>
  </si>
  <si>
    <t>FTP157_BR1_F</t>
  </si>
  <si>
    <t>FT_P157BR1_F</t>
  </si>
  <si>
    <t>FTP161_BK2_F</t>
  </si>
  <si>
    <t>FT_P161BK2_F</t>
  </si>
  <si>
    <t>FTP161_BR1_F</t>
  </si>
  <si>
    <t>FT_P161BR1_F</t>
  </si>
  <si>
    <t>FTP171_BK3_M</t>
  </si>
  <si>
    <t>FT_P171BK3_M</t>
  </si>
  <si>
    <t>FTP171_BR2_M</t>
  </si>
  <si>
    <t>FT_P171BR2_M</t>
  </si>
  <si>
    <t>FTP183_BR1F_M</t>
  </si>
  <si>
    <t>FT_P183BR1F_M</t>
  </si>
  <si>
    <t>FTP188_BR1F_M</t>
  </si>
  <si>
    <t>FT_P188BR1F_M</t>
  </si>
  <si>
    <t>FTP188_BR1_M</t>
  </si>
  <si>
    <t>FT_P188BR1_M</t>
  </si>
  <si>
    <t>FTP188_PK2F_M</t>
  </si>
  <si>
    <t>FT_P188PK2F_M</t>
  </si>
  <si>
    <t>FTP190_BK3P_M</t>
  </si>
  <si>
    <t>FT_P190BK3P_M</t>
  </si>
  <si>
    <t>FTP192_BK4P_M</t>
  </si>
  <si>
    <t>FT_P192BK4P_M</t>
  </si>
  <si>
    <t>FTP192_GR1_M</t>
  </si>
  <si>
    <t>FTP197_GR1_M</t>
  </si>
  <si>
    <t>FT_P197GR1_M</t>
  </si>
  <si>
    <t>FTP199_GR1_M</t>
  </si>
  <si>
    <t>FT_P199GR1_M</t>
  </si>
  <si>
    <t>FTP202_BR1_M</t>
  </si>
  <si>
    <t>FT_P202BR1_M</t>
  </si>
  <si>
    <t>FTP206_BK1P_M</t>
  </si>
  <si>
    <t>FT_P206BK1P_M</t>
  </si>
  <si>
    <t>FTP211_BU2_M</t>
  </si>
  <si>
    <t>FT_P211BU2_M</t>
  </si>
  <si>
    <t>FT_P220BR2F_M</t>
  </si>
  <si>
    <t>FTP222_GR3P_M</t>
  </si>
  <si>
    <t>FT_P222GR3P_M</t>
  </si>
  <si>
    <t>FTP223_BU2_M</t>
  </si>
  <si>
    <t>FT_P223BU2_M</t>
  </si>
  <si>
    <t>FTP223_GR1_M</t>
  </si>
  <si>
    <t>FTP223_GR3P_M</t>
  </si>
  <si>
    <t>FT_P223GR3P_M</t>
  </si>
  <si>
    <t>FTP22_BU2_M</t>
  </si>
  <si>
    <t>FT_P22BU2_M</t>
  </si>
  <si>
    <t>FTP230_BR4P_M</t>
  </si>
  <si>
    <t>FT_P230BR4P_M</t>
  </si>
  <si>
    <t>FTP230_GR3P_M</t>
  </si>
  <si>
    <t>FTP270_BK1_M</t>
  </si>
  <si>
    <t>FT_P270BK1_M</t>
  </si>
  <si>
    <t>FTP281_BK1_M</t>
  </si>
  <si>
    <t>FT_P281BK1_M</t>
  </si>
  <si>
    <t>FTP289_BK1F_M</t>
  </si>
  <si>
    <t>FT_P289BK1F_M</t>
  </si>
  <si>
    <t>FTP292_BK1_M</t>
  </si>
  <si>
    <t>FT_P292BK1_M</t>
  </si>
  <si>
    <t>FTP295_BK1_M</t>
  </si>
  <si>
    <t>FT_P295BK1_M</t>
  </si>
  <si>
    <t>FTP295_BK2_M</t>
  </si>
  <si>
    <t>FT_P295BK2_M</t>
  </si>
  <si>
    <t>FTP296_BR2_M</t>
  </si>
  <si>
    <t>FT_P296BR2_M</t>
  </si>
  <si>
    <t>FTP299_OR2_M</t>
  </si>
  <si>
    <t>FTP300_BK1P_M</t>
  </si>
  <si>
    <t>FT_P300BK1P_M</t>
  </si>
  <si>
    <t>FTP302_BK1_M</t>
  </si>
  <si>
    <t>FT_P302BK1_M</t>
  </si>
  <si>
    <t>FTP302_BR2_M</t>
  </si>
  <si>
    <t>FT_P302BR2_M</t>
  </si>
  <si>
    <t>FTP304_BR1P_M</t>
  </si>
  <si>
    <t>FT_P304BR1P_M</t>
  </si>
  <si>
    <t>FTP305_BR1F_M</t>
  </si>
  <si>
    <t>FT_P305BR1F_M</t>
  </si>
  <si>
    <t>FTP306_BK2FP_M</t>
  </si>
  <si>
    <t>FT_P306BK2FP_M</t>
  </si>
  <si>
    <t>FTP306_BK2_FP</t>
  </si>
  <si>
    <t>FT_P306BK2_FP</t>
  </si>
  <si>
    <t>FTP314_BK1_M</t>
  </si>
  <si>
    <t>FT_P314BK1_M</t>
  </si>
  <si>
    <t>FTP314_BR3_M</t>
  </si>
  <si>
    <t>FT_P314BR3_M</t>
  </si>
  <si>
    <t>FTP314_GR2P_M</t>
  </si>
  <si>
    <t>FT_P314GR2P_M</t>
  </si>
  <si>
    <t>FTP315_GR1_M</t>
  </si>
  <si>
    <t>FT_P315GR1_M</t>
  </si>
  <si>
    <t>FTP315_GR4P_M</t>
  </si>
  <si>
    <t>FT_P315GR4P_M</t>
  </si>
  <si>
    <t>FTP315_OR2_M</t>
  </si>
  <si>
    <t>FT_P315OR2_M</t>
  </si>
  <si>
    <t>FTP317_BK2_M</t>
  </si>
  <si>
    <t>FT_P317BK2_M</t>
  </si>
  <si>
    <t>FTP322_BK3P_M</t>
  </si>
  <si>
    <t>FT_P322BK3P_M</t>
  </si>
  <si>
    <t>FTP322_BR2_M</t>
  </si>
  <si>
    <t>FT_P322BR2_M</t>
  </si>
  <si>
    <t>FTP323_BU2_M</t>
  </si>
  <si>
    <t>FT_P323BU2_M</t>
  </si>
  <si>
    <t>FTP327_BK1_M</t>
  </si>
  <si>
    <t>FT_P327BK1_M</t>
  </si>
  <si>
    <t>FTP327_BU2_M</t>
  </si>
  <si>
    <t>FTP328_BR3_M</t>
  </si>
  <si>
    <t>FT_P328BR3_M</t>
  </si>
  <si>
    <t>FTP329_BK2_M</t>
  </si>
  <si>
    <t>FT_P329BK2_M</t>
  </si>
  <si>
    <t>FTP329_BU3P_M</t>
  </si>
  <si>
    <t>FT_P329BU3P_M</t>
  </si>
  <si>
    <t>FTP331_BU1_M</t>
  </si>
  <si>
    <t>FT_P331BU1_M</t>
  </si>
  <si>
    <t>FTP333_BK1_M</t>
  </si>
  <si>
    <t>FT_P333BK1_M</t>
  </si>
  <si>
    <t>FTP333_BR2_M</t>
  </si>
  <si>
    <t>FT_P333BR2_M</t>
  </si>
  <si>
    <t>FTP335_GR2F_M</t>
  </si>
  <si>
    <t>FTP339_BR1_M</t>
  </si>
  <si>
    <t>FT_P339BR1_M</t>
  </si>
  <si>
    <t>FTP341_BK1_M</t>
  </si>
  <si>
    <t>FTP350_BK3F_M</t>
  </si>
  <si>
    <t>FT_P350BK3F_M</t>
  </si>
  <si>
    <t>FTP350_BR2F_M</t>
  </si>
  <si>
    <t>FT_P350BR2F_M</t>
  </si>
  <si>
    <t>FTP350_PR1F_M</t>
  </si>
  <si>
    <t>FT_P350PR1F_M</t>
  </si>
  <si>
    <t>FTP351_BK1_M</t>
  </si>
  <si>
    <t>FT_P351BK1_M</t>
  </si>
  <si>
    <t>FTP351_BR3_M</t>
  </si>
  <si>
    <t>FT_P351BR3_M</t>
  </si>
  <si>
    <t>FTP351_BU2_M</t>
  </si>
  <si>
    <t>FT_P351BU2_M</t>
  </si>
  <si>
    <t>FTP352_BK1_M</t>
  </si>
  <si>
    <t>FT_P352BK1_M</t>
  </si>
  <si>
    <t>FTP352_BK3_M</t>
  </si>
  <si>
    <t>FT_P352BK3_M</t>
  </si>
  <si>
    <t>FTP352_BU2_M</t>
  </si>
  <si>
    <t>FT_P352BU2_M</t>
  </si>
  <si>
    <t>FTP353_BK2_M</t>
  </si>
  <si>
    <t>FT_P353BK2_M</t>
  </si>
  <si>
    <t>FTP353_BR3_M</t>
  </si>
  <si>
    <t>FT_P353BR3_M</t>
  </si>
  <si>
    <t>FTP353_BU1_M</t>
  </si>
  <si>
    <t>FT_P353BU1_M</t>
  </si>
  <si>
    <t>FTP354_BK1_M</t>
  </si>
  <si>
    <t>FT_P354BK1_M</t>
  </si>
  <si>
    <t>FTP354_BK2_M</t>
  </si>
  <si>
    <t>FT_P354BK2_M</t>
  </si>
  <si>
    <t>FTP354_OR3_M</t>
  </si>
  <si>
    <t>FT_P354OR3_M</t>
  </si>
  <si>
    <t>FTP355_BK1_M</t>
  </si>
  <si>
    <t>FT_P355BK1_M</t>
  </si>
  <si>
    <t>FTP355_BK2_M</t>
  </si>
  <si>
    <t>FT_P355BK2_M</t>
  </si>
  <si>
    <t>FTP355_OR3_M</t>
  </si>
  <si>
    <t>FT_P355OR3_M</t>
  </si>
  <si>
    <t>FTP356_BK3_M</t>
  </si>
  <si>
    <t>FT_P356BK3_M</t>
  </si>
  <si>
    <t>FTP357_BK2_M</t>
  </si>
  <si>
    <t>FT_P357BK2_M</t>
  </si>
  <si>
    <t>FTP357_BK3_M</t>
  </si>
  <si>
    <t>FT_P357BK3_M</t>
  </si>
  <si>
    <t>FTP357_BK4_M</t>
  </si>
  <si>
    <t>FT_P357BK4_M</t>
  </si>
  <si>
    <t>FTP357_BR3_M</t>
  </si>
  <si>
    <t>FT_P357BR3_M</t>
  </si>
  <si>
    <t>FTP357_BR6P_M</t>
  </si>
  <si>
    <t>FT_P357BR6P_M</t>
  </si>
  <si>
    <t>FTP358_BK2_M</t>
  </si>
  <si>
    <t>FT_P358BK2_M</t>
  </si>
  <si>
    <t>FTP358_BK4P_M</t>
  </si>
  <si>
    <t>FT_P358BK4P_M</t>
  </si>
  <si>
    <t>FTP358_BR1_M</t>
  </si>
  <si>
    <t>FT_P358BR1_M</t>
  </si>
  <si>
    <t>FTP358_BU3_M</t>
  </si>
  <si>
    <t>FT_P358BU3_M</t>
  </si>
  <si>
    <t>FTP360_BR4_M</t>
  </si>
  <si>
    <t>FTP362_BK1_M</t>
  </si>
  <si>
    <t>FT_P362BK1_M</t>
  </si>
  <si>
    <t>FTP362_BR2_M</t>
  </si>
  <si>
    <t>FT_P362BR2_M</t>
  </si>
  <si>
    <t>FTP363_BK3_M</t>
  </si>
  <si>
    <t>FT_P363BK3_M</t>
  </si>
  <si>
    <t>FTP363_GR2_M</t>
  </si>
  <si>
    <t>FT_P363GR2_M</t>
  </si>
  <si>
    <t>FTP366_GR2_M</t>
  </si>
  <si>
    <t>FT_P366GR2_M</t>
  </si>
  <si>
    <t>FTP372_BK1F_M</t>
  </si>
  <si>
    <t>FT_P372BK1F_M</t>
  </si>
  <si>
    <t>FTP372_BR3F_M</t>
  </si>
  <si>
    <t>FT_P372BR3F_M</t>
  </si>
  <si>
    <t>FTPC001_BK19_M</t>
  </si>
  <si>
    <t>FT_PC001BK19_M</t>
  </si>
  <si>
    <t>FTPC001_BK20_M</t>
  </si>
  <si>
    <t>FT_PC001BK20_M</t>
  </si>
  <si>
    <t>FTPC001_BK21_M</t>
  </si>
  <si>
    <t>FT_PC001BK21_M</t>
  </si>
  <si>
    <t>FTPC001_BK22_M</t>
  </si>
  <si>
    <t>FT_PC001BK22_M</t>
  </si>
  <si>
    <t>FTPC001_BK24_M</t>
  </si>
  <si>
    <t>FT_PC001BK24_M</t>
  </si>
  <si>
    <t>FTPC001_BK25_M</t>
  </si>
  <si>
    <t>FT_PC001BK25_M</t>
  </si>
  <si>
    <t>FTPC001_BK30P_M</t>
  </si>
  <si>
    <t>FT_PC001BK30P_M</t>
  </si>
  <si>
    <t>FTPC001_BR31P_M</t>
  </si>
  <si>
    <t>FT_PC001BR31P_M</t>
  </si>
  <si>
    <t>FTPC001_BU12_M</t>
  </si>
  <si>
    <t>FT_PC001BU12_M</t>
  </si>
  <si>
    <t>FTPC001_GR11_M</t>
  </si>
  <si>
    <t>FT_PC001GR11_M</t>
  </si>
  <si>
    <t>FTPC001_OR18_M</t>
  </si>
  <si>
    <t>FT_PC001OR18_M</t>
  </si>
  <si>
    <t>FTPC001_OR32P_M</t>
  </si>
  <si>
    <t>FT_PC001OR32P_M</t>
  </si>
  <si>
    <t>FTPC001_PK14F_M</t>
  </si>
  <si>
    <t>FT_PC001PK14F_M</t>
  </si>
  <si>
    <t>FTPC001_RD17_M</t>
  </si>
  <si>
    <t>FT_PC001RD17_M</t>
  </si>
  <si>
    <t>FTPC002_BK3_M</t>
  </si>
  <si>
    <t>FT_PC002BK3_M</t>
  </si>
  <si>
    <t>FTPC002_BR7_M</t>
  </si>
  <si>
    <t>FT_PC002BR7_M</t>
  </si>
  <si>
    <t>FTPC003_BK3_M</t>
  </si>
  <si>
    <t>FT_PC003BK3_M</t>
  </si>
  <si>
    <t>FTPC003_BK6_M</t>
  </si>
  <si>
    <t>FT_PC003BK6_M</t>
  </si>
  <si>
    <t>FTPC003_BR5_M</t>
  </si>
  <si>
    <t>FT_PC003BR5_M</t>
  </si>
  <si>
    <t>FTPC01_BK19_M</t>
  </si>
  <si>
    <t>FT_PC01BK19_M</t>
  </si>
  <si>
    <t>FTPC046__BR3_M</t>
  </si>
  <si>
    <t>FT_PC046BR3_M</t>
  </si>
  <si>
    <t>FTPC056_PR2F_M</t>
  </si>
  <si>
    <t>FT_PC056PR2F_M</t>
  </si>
  <si>
    <t>FTPC065_BK1F_M</t>
  </si>
  <si>
    <t>FT_PC065BK1F_M</t>
  </si>
  <si>
    <t>FTPC065_BR3F_M</t>
  </si>
  <si>
    <t>FT_PC065BR3F_M</t>
  </si>
  <si>
    <t>FTPC066_BR1F_M</t>
  </si>
  <si>
    <t>FT_PC066BR1F_M</t>
  </si>
  <si>
    <t>FTPC067_BK1_M</t>
  </si>
  <si>
    <t>FT_PC067BK1_M</t>
  </si>
  <si>
    <t>FTPC067_BK2_M</t>
  </si>
  <si>
    <t>FT_PC067BK2_M</t>
  </si>
  <si>
    <t>FTP_120_BK2_M</t>
  </si>
  <si>
    <t>FTP_295_BK2_M</t>
  </si>
  <si>
    <t>FTP_314_BR3_M</t>
  </si>
  <si>
    <t>FTR022_GR1_M</t>
  </si>
  <si>
    <t>FT_R022GR1_M</t>
  </si>
  <si>
    <t>FTR040_GR1_M</t>
  </si>
  <si>
    <t>FT_R040GR1_M</t>
  </si>
  <si>
    <t>FTR041_BR2_M</t>
  </si>
  <si>
    <t>FT_R041BR2_M</t>
  </si>
  <si>
    <t>FTR046_PR3F_M</t>
  </si>
  <si>
    <t>FT_R046PR3F_M</t>
  </si>
  <si>
    <t>FTR40_BR2_M</t>
  </si>
  <si>
    <t>FT_R40BR2_M</t>
  </si>
  <si>
    <t>FTC046_BR2F_M</t>
  </si>
  <si>
    <t>FT_C046BR2F_M</t>
  </si>
  <si>
    <t>FTC050_BK1_M</t>
  </si>
  <si>
    <t>FT_C050BK1_M</t>
  </si>
  <si>
    <t>FTC050_BK3_M</t>
  </si>
  <si>
    <t>FT_C050BK3_M</t>
  </si>
  <si>
    <t>FTM083_BU5F</t>
  </si>
  <si>
    <t>FT_M083BU5F_</t>
  </si>
  <si>
    <t>FTP161_BK1F_M</t>
  </si>
  <si>
    <t>FT_P161BK1F_M</t>
  </si>
  <si>
    <t>FTP182_BK2_M</t>
  </si>
  <si>
    <t>FT_P182BK2_M</t>
  </si>
  <si>
    <t>FTR040_BR2_M</t>
  </si>
  <si>
    <t>FT_R040BR2_M</t>
  </si>
  <si>
    <t>Choose Category</t>
  </si>
  <si>
    <t>Mention SKU Code</t>
  </si>
  <si>
    <t>Units Moved</t>
  </si>
  <si>
    <t>Location on Racks</t>
  </si>
  <si>
    <t>Date</t>
  </si>
  <si>
    <t>Invoice Number</t>
  </si>
  <si>
    <t>Supplier Name</t>
  </si>
  <si>
    <t>Bill Number</t>
  </si>
  <si>
    <t>Cost</t>
  </si>
  <si>
    <t>Marketplace</t>
  </si>
  <si>
    <t>Sale Price</t>
  </si>
  <si>
    <t>Order ID / Sub Order ID</t>
  </si>
  <si>
    <t>Name of Customer</t>
  </si>
  <si>
    <t>Customer's State</t>
  </si>
  <si>
    <t>Manifest ID</t>
  </si>
  <si>
    <t>Piece Condition</t>
  </si>
  <si>
    <t>Advance</t>
  </si>
  <si>
    <t/>
  </si>
  <si>
    <t>Balance</t>
  </si>
  <si>
    <t>Inwarded</t>
  </si>
  <si>
    <t>RB2132_622_58</t>
  </si>
  <si>
    <t>A1</t>
  </si>
  <si>
    <t>Barnala Trading</t>
  </si>
  <si>
    <t>1971/16-17</t>
  </si>
  <si>
    <t>3117/16-17</t>
  </si>
  <si>
    <t>RB2140_1187_50</t>
  </si>
  <si>
    <t>1997/16-17</t>
  </si>
  <si>
    <t>RB2180_616587_49</t>
  </si>
  <si>
    <t>197116-17</t>
  </si>
  <si>
    <t>RB3025_0013E_58</t>
  </si>
  <si>
    <t>RB3025_0014F_58</t>
  </si>
  <si>
    <t>1973/16-17</t>
  </si>
  <si>
    <t>A2</t>
  </si>
  <si>
    <t>RB3025_00151_62</t>
  </si>
  <si>
    <t>RB3025_00158_55</t>
  </si>
  <si>
    <t>4304/17-18</t>
  </si>
  <si>
    <t>RB3025_00232_55</t>
  </si>
  <si>
    <t>RB3025_00251_58</t>
  </si>
  <si>
    <t>535/16-17</t>
  </si>
  <si>
    <t>RB3025_0033F_55</t>
  </si>
  <si>
    <t>RB3025_004_58</t>
  </si>
  <si>
    <t>RB3025_00478_58</t>
  </si>
  <si>
    <t>2930/15-16</t>
  </si>
  <si>
    <t>RB3025_02930_58</t>
  </si>
  <si>
    <t>4288/17-18</t>
  </si>
  <si>
    <t>RB3025_11217_55</t>
  </si>
  <si>
    <t>A3</t>
  </si>
  <si>
    <t>RB3025_11219_55</t>
  </si>
  <si>
    <t>RB3025_181_62</t>
  </si>
  <si>
    <t>RB3025_11269_58</t>
  </si>
  <si>
    <t>AMAZON</t>
  </si>
  <si>
    <t>STOCK JOURNAL</t>
  </si>
  <si>
    <t>RB3025_11293_58</t>
  </si>
  <si>
    <t>SEH</t>
  </si>
  <si>
    <t>STOCK TRANSFER</t>
  </si>
  <si>
    <t>RB3025_177_58</t>
  </si>
  <si>
    <t>RB3025_R1072_58</t>
  </si>
  <si>
    <t>RB3025_W3276_58</t>
  </si>
  <si>
    <t>RB3025_L9797_58</t>
  </si>
  <si>
    <t>RB3025_L2823_58</t>
  </si>
  <si>
    <t>2072/16-17</t>
  </si>
  <si>
    <t>RB3025_L2928_58</t>
  </si>
  <si>
    <t>A4</t>
  </si>
  <si>
    <t>RB3025_019Z2_58</t>
  </si>
  <si>
    <t>0784/15-16</t>
  </si>
  <si>
    <t>KK sales</t>
  </si>
  <si>
    <t>RB3029_L2112_62</t>
  </si>
  <si>
    <t>RB3029_9001A5_62</t>
  </si>
  <si>
    <t>RB3029_19771_62</t>
  </si>
  <si>
    <t>0554/17-18</t>
  </si>
  <si>
    <t>RB3387_00113_64</t>
  </si>
  <si>
    <t>2216/16-17</t>
  </si>
  <si>
    <t>RB3379_004_64</t>
  </si>
  <si>
    <t>NOT CLEAR</t>
  </si>
  <si>
    <t>RB3447_112Z2_50</t>
  </si>
  <si>
    <t>RB3471_00113_32</t>
  </si>
  <si>
    <t>2110/16-17</t>
  </si>
  <si>
    <t>RB3529_0299A_58</t>
  </si>
  <si>
    <t>4201/17-18</t>
  </si>
  <si>
    <t>RB4105_601S2K_50</t>
  </si>
  <si>
    <t>2210/16-17</t>
  </si>
  <si>
    <t>RB4147_71051_56</t>
  </si>
  <si>
    <t xml:space="preserve">AMAZON </t>
  </si>
  <si>
    <t>RB4147_617187_60</t>
  </si>
  <si>
    <t>RB4147_613713_56</t>
  </si>
  <si>
    <t>A5</t>
  </si>
  <si>
    <t>RB4194_60171_53</t>
  </si>
  <si>
    <t>RB4187_60155_54</t>
  </si>
  <si>
    <t>2374/16-17</t>
  </si>
  <si>
    <t>RB4175_87730_57</t>
  </si>
  <si>
    <t>RB4205_6018G_56</t>
  </si>
  <si>
    <t>RB4226_618871_56</t>
  </si>
  <si>
    <t>2110-16-17</t>
  </si>
  <si>
    <t>RB4227_60528G_55</t>
  </si>
  <si>
    <t>RB4227_619388_55</t>
  </si>
  <si>
    <t>RB4228_618588_58</t>
  </si>
  <si>
    <t>RB4251_71013_56</t>
  </si>
  <si>
    <t>RB4251_623311_56</t>
  </si>
  <si>
    <t>1997 16-17</t>
  </si>
  <si>
    <t>RB4232_619671_57</t>
  </si>
  <si>
    <t>2110 16-17</t>
  </si>
  <si>
    <t>RB4251_6018G_56</t>
  </si>
  <si>
    <t>RB4211_601S71_56</t>
  </si>
  <si>
    <t>Ganpati</t>
  </si>
  <si>
    <t>RB4251_6019A_56</t>
  </si>
  <si>
    <t>RB4251_71071_56</t>
  </si>
  <si>
    <t>A6</t>
  </si>
  <si>
    <t>1973  16-17</t>
  </si>
  <si>
    <t>4201 17-18</t>
  </si>
  <si>
    <t>RX6325_2841_53</t>
  </si>
  <si>
    <t>CECO</t>
  </si>
  <si>
    <t>Order</t>
  </si>
  <si>
    <t>CHD</t>
  </si>
  <si>
    <t>RB4252_623419_51</t>
  </si>
  <si>
    <t>RB4265_6015J_62</t>
  </si>
  <si>
    <t>2374 16-17</t>
  </si>
  <si>
    <t>RB4258_60171_50</t>
  </si>
  <si>
    <t>RB4258_71073_50</t>
  </si>
  <si>
    <t>3058 16_17</t>
  </si>
  <si>
    <t>2216 16-17</t>
  </si>
  <si>
    <t>RX6049_2500_55</t>
  </si>
  <si>
    <t>RX6304_2501_52</t>
  </si>
  <si>
    <t>3370 16-17</t>
  </si>
  <si>
    <t>RX6324_2500_54</t>
  </si>
  <si>
    <t>RX6325_2502_55</t>
  </si>
  <si>
    <t>RX6326_2500_54</t>
  </si>
  <si>
    <t>RX6391_2500_55</t>
  </si>
  <si>
    <t>3078 16-17</t>
  </si>
  <si>
    <t>RX7033_5419_52</t>
  </si>
  <si>
    <t>RX7027_2000_54</t>
  </si>
  <si>
    <t>RX6391_2553_55</t>
  </si>
  <si>
    <t>1971 16-17</t>
  </si>
  <si>
    <t>RB7060_62048G_54</t>
  </si>
  <si>
    <t>RC515S_01B_62</t>
  </si>
  <si>
    <t>B1</t>
  </si>
  <si>
    <t>251 16-17</t>
  </si>
  <si>
    <t>RC583S_89Z_64</t>
  </si>
  <si>
    <t>RC788S_01B_54</t>
  </si>
  <si>
    <t>PR13QS_2AU6S1_54</t>
  </si>
  <si>
    <t>A7</t>
  </si>
  <si>
    <t>1888 16-17</t>
  </si>
  <si>
    <t>PS57RS_1BC0A7_59</t>
  </si>
  <si>
    <t>1965 16-17</t>
  </si>
  <si>
    <t>VE3226_GB1_51</t>
  </si>
  <si>
    <t>2184 16-17</t>
  </si>
  <si>
    <t>VE4313_517713_57</t>
  </si>
  <si>
    <t>2141 16-17</t>
  </si>
  <si>
    <t>VE2165_13718G_58</t>
  </si>
  <si>
    <t>2166 16-17</t>
  </si>
  <si>
    <t>VE4321_GB187_58</t>
  </si>
  <si>
    <t>VE4316_GB111_57</t>
  </si>
  <si>
    <t>VE4303_10813_58</t>
  </si>
  <si>
    <t>VE4264B_GB111_57</t>
  </si>
  <si>
    <t>VE3206_GB1_54</t>
  </si>
  <si>
    <t>VE1238_1002_54</t>
  </si>
  <si>
    <t>Modern Optical</t>
  </si>
  <si>
    <t>VE2161_100287_42</t>
  </si>
  <si>
    <t>VE4316_520088_57</t>
  </si>
  <si>
    <t>VE1231_1002_52</t>
  </si>
  <si>
    <t>VE1225B_1355_51</t>
  </si>
  <si>
    <t>2074 16-17</t>
  </si>
  <si>
    <t>DG1231_488_54</t>
  </si>
  <si>
    <t>DG2155_129313_56</t>
  </si>
  <si>
    <t>2238 16-17</t>
  </si>
  <si>
    <t>DG6087_502T5_55</t>
  </si>
  <si>
    <t>1888  16-17</t>
  </si>
  <si>
    <t>DG5115_090_50</t>
  </si>
  <si>
    <t>DG1238P_1169_54</t>
  </si>
  <si>
    <t>FC7224_C2_63</t>
  </si>
  <si>
    <t>B2</t>
  </si>
  <si>
    <t>725 16-17</t>
  </si>
  <si>
    <t>FC7311_C4_62</t>
  </si>
  <si>
    <t>EA4063_5465T3_58</t>
  </si>
  <si>
    <t>A8</t>
  </si>
  <si>
    <t>EA3069_5473_53</t>
  </si>
  <si>
    <t>EA3073_5026_54</t>
  </si>
  <si>
    <t>EA1052_3155_53</t>
  </si>
  <si>
    <t>EA3091_5500_53</t>
  </si>
  <si>
    <t>EA3025_5017_54</t>
  </si>
  <si>
    <t>EA2034_3158E_54</t>
  </si>
  <si>
    <t>EA3091_5509_55</t>
  </si>
  <si>
    <t>EA3076_5026_52</t>
  </si>
  <si>
    <t>EA1002_3010_53</t>
  </si>
  <si>
    <t>EA3013_5026_52</t>
  </si>
  <si>
    <t>EA2039_302073_62</t>
  </si>
  <si>
    <t>EA4057_54598G_56</t>
  </si>
  <si>
    <t>EA3055_5063_53</t>
  </si>
  <si>
    <t>EA2033_313187_64</t>
  </si>
  <si>
    <t>EA1041_3131_55</t>
  </si>
  <si>
    <t>EA4079_550455_57</t>
  </si>
  <si>
    <t>EA4077_50658G_58</t>
  </si>
  <si>
    <t>EA2024_300113_58</t>
  </si>
  <si>
    <t>EA3089_5535_54</t>
  </si>
  <si>
    <t>EA1042_3128_53</t>
  </si>
  <si>
    <t>EA4037_501713_57</t>
  </si>
  <si>
    <t>1999 16-17</t>
  </si>
  <si>
    <t>EA1050_3001_55</t>
  </si>
  <si>
    <t>EA4062_54631Z_49</t>
  </si>
  <si>
    <t>EA4075_502613_57</t>
  </si>
  <si>
    <t>EA3079_5026_49</t>
  </si>
  <si>
    <t>EA4073_501711_56</t>
  </si>
  <si>
    <t>1965/16-17</t>
  </si>
  <si>
    <t>EA3063_5017_55</t>
  </si>
  <si>
    <t>EA4072_550287_52</t>
  </si>
  <si>
    <t>EA2001_3010181_64</t>
  </si>
  <si>
    <t>OO9175_17_55</t>
  </si>
  <si>
    <t>A9</t>
  </si>
  <si>
    <t>OO9096_A6_60</t>
  </si>
  <si>
    <t>OX3165_3118_53</t>
  </si>
  <si>
    <t>OO9135_25_56</t>
  </si>
  <si>
    <t>OO9315_02_55</t>
  </si>
  <si>
    <t>OO9315_03_55</t>
  </si>
  <si>
    <t>OO9156_19_71</t>
  </si>
  <si>
    <t>OO9262_04_57</t>
  </si>
  <si>
    <t>OO4054_14_60</t>
  </si>
  <si>
    <t>OO9320_04_53</t>
  </si>
  <si>
    <t>RJ9054S_18687_51</t>
  </si>
  <si>
    <t>602300144 17-18</t>
  </si>
  <si>
    <t>1Return</t>
  </si>
  <si>
    <t>order</t>
  </si>
  <si>
    <t>A10</t>
  </si>
  <si>
    <t>O</t>
  </si>
  <si>
    <t>A11</t>
  </si>
  <si>
    <t>1ORDER</t>
  </si>
  <si>
    <t>FTP222_GRI_M</t>
  </si>
  <si>
    <t>A12</t>
  </si>
  <si>
    <t>60230044 17-18</t>
  </si>
  <si>
    <t>602300144  17-18</t>
  </si>
  <si>
    <t>FTP201_BR2_M</t>
  </si>
  <si>
    <t>3 ORDER</t>
  </si>
  <si>
    <t>TH5647_C6_50</t>
  </si>
  <si>
    <t>D1</t>
  </si>
  <si>
    <t>211 16-17</t>
  </si>
  <si>
    <t>TH5643_C3_52</t>
  </si>
  <si>
    <t>211/16-17</t>
  </si>
  <si>
    <t>TH5221_C4_51</t>
  </si>
  <si>
    <t>TH5687_C3_52</t>
  </si>
  <si>
    <t>TH5296_C1_51</t>
  </si>
  <si>
    <t>TH5604_C4_53</t>
  </si>
  <si>
    <t>TH5680_C2GD_51</t>
  </si>
  <si>
    <t>TH5690_C4_52</t>
  </si>
  <si>
    <t>TH5680_C1_51</t>
  </si>
  <si>
    <t>TH5704_C1_52</t>
  </si>
  <si>
    <t>TH5637_C2_54</t>
  </si>
  <si>
    <t>TH5240_C1_50</t>
  </si>
  <si>
    <t>TH5233_C1_51</t>
  </si>
  <si>
    <t>G163_PUALS_63</t>
  </si>
  <si>
    <t>604400428 17-18</t>
  </si>
  <si>
    <t>Marriya energy system.</t>
  </si>
  <si>
    <t>G182_CLFLAC_60</t>
  </si>
  <si>
    <t>MARRIYA Energy System</t>
  </si>
  <si>
    <t>G209_LTML9D_55</t>
  </si>
  <si>
    <t>604400428 /17-18</t>
  </si>
  <si>
    <t>Marriya energy system</t>
  </si>
  <si>
    <t>G246_PTMLMA_58</t>
  </si>
  <si>
    <t>604400428/17-18</t>
  </si>
  <si>
    <t>Marriya Energy System</t>
  </si>
  <si>
    <t>G259_PTMLMB_59</t>
  </si>
  <si>
    <t>604400428/16-17</t>
  </si>
  <si>
    <t>G244_PTFLTA_53</t>
  </si>
  <si>
    <t>G006_SAMSUA_66</t>
  </si>
  <si>
    <t>G192_PLMLME_</t>
  </si>
  <si>
    <t>G243_PTMLTC_54</t>
  </si>
  <si>
    <t>Marriya energy syatem</t>
  </si>
  <si>
    <t>G225_PTALTC_58</t>
  </si>
  <si>
    <t>G256_PTMLMB_60</t>
  </si>
  <si>
    <t>G210_LTML9A_57</t>
  </si>
  <si>
    <t>G232_PTMLC_54</t>
  </si>
  <si>
    <t>G248_PTMLAB_57</t>
  </si>
  <si>
    <t>Marriya Energy system</t>
  </si>
  <si>
    <t>G213_LTMLMC_60</t>
  </si>
  <si>
    <t>604400428/16--17</t>
  </si>
  <si>
    <t>G211_LTMLMB_60</t>
  </si>
  <si>
    <t>TH7970_C4_60</t>
  </si>
  <si>
    <t>650/16-17</t>
  </si>
  <si>
    <t>TH7900_C4_60</t>
  </si>
  <si>
    <t>TH7945_C5_57</t>
  </si>
  <si>
    <t>TH7957_C2_60</t>
  </si>
  <si>
    <t>TH7915_C2_55</t>
  </si>
  <si>
    <t>TH7882_C6_62</t>
  </si>
  <si>
    <t>TH7906_C2_55</t>
  </si>
  <si>
    <t>TH7917_C1_60</t>
  </si>
  <si>
    <t>TH7918_C5_51</t>
  </si>
  <si>
    <t>TH7983_C4_60</t>
  </si>
  <si>
    <t>TH7969_C4_60</t>
  </si>
  <si>
    <t>650 /16-17</t>
  </si>
  <si>
    <t>TH7945_C4_57</t>
  </si>
  <si>
    <t>TH7905_C4_56</t>
  </si>
  <si>
    <t>TH808_C1_59</t>
  </si>
  <si>
    <t>CK1217_001_60</t>
  </si>
  <si>
    <t>683/16-17</t>
  </si>
  <si>
    <t>CK4182S_002_54</t>
  </si>
  <si>
    <t>CK2145_060_60</t>
  </si>
  <si>
    <t>CK1155_030_59</t>
  </si>
  <si>
    <t>D</t>
  </si>
  <si>
    <t>CK1155_272_59</t>
  </si>
  <si>
    <t>CK3154_285_62</t>
  </si>
  <si>
    <t>CK4151S_001_56</t>
  </si>
  <si>
    <t>CK4256S_110_57</t>
  </si>
  <si>
    <t>CK1145S_975_59</t>
  </si>
  <si>
    <t>CK1089S_028_58</t>
  </si>
  <si>
    <t>CK3152_001_57</t>
  </si>
  <si>
    <t>CK4194SP_001_57</t>
  </si>
  <si>
    <t>CK4194S_004_57</t>
  </si>
  <si>
    <t>CK5387_001_53</t>
  </si>
  <si>
    <t>CK5364A_028_51</t>
  </si>
  <si>
    <t>CK5351_044_52</t>
  </si>
  <si>
    <t>CK5327_060_51</t>
  </si>
  <si>
    <t>CK5366A_097_52</t>
  </si>
  <si>
    <t>CK5365_046_51</t>
  </si>
  <si>
    <t>CK5327_714_51</t>
  </si>
  <si>
    <t>CK5351_060_52</t>
  </si>
  <si>
    <t>683/16-27</t>
  </si>
  <si>
    <t>CK5367_403_52</t>
  </si>
  <si>
    <t>CK4260_196_55</t>
  </si>
  <si>
    <t>6140/17-18</t>
  </si>
  <si>
    <t>CK1209SA_001_62</t>
  </si>
  <si>
    <t>CK4261_060_55</t>
  </si>
  <si>
    <t>CK3154S_214_62</t>
  </si>
  <si>
    <t>CK1209_003_62</t>
  </si>
  <si>
    <t>CK1209A_010_62</t>
  </si>
  <si>
    <t>CK4216S_320_56</t>
  </si>
  <si>
    <t>CK1209A_714_62</t>
  </si>
  <si>
    <t>Offline at Dhuri</t>
  </si>
  <si>
    <t>ADV SOHI</t>
  </si>
  <si>
    <t>PUNJAB</t>
  </si>
  <si>
    <t>1888/16-17</t>
  </si>
  <si>
    <t>Adv.Sohi</t>
  </si>
  <si>
    <t>Punjab</t>
  </si>
  <si>
    <t>Jaspreet Singh</t>
  </si>
  <si>
    <t>RX6385_2502_53</t>
  </si>
  <si>
    <t>E1</t>
  </si>
  <si>
    <t>3078/17-18</t>
  </si>
  <si>
    <t>RX5337_5529_54</t>
  </si>
  <si>
    <t>1315/17-18</t>
  </si>
  <si>
    <t>RX6385_2509_51</t>
  </si>
  <si>
    <t>RX6326_2501_54</t>
  </si>
  <si>
    <t>1653/17-18</t>
  </si>
  <si>
    <t>RX5346_5505_52</t>
  </si>
  <si>
    <t>RX5338_5536_53</t>
  </si>
  <si>
    <t>RX7027_2012_54</t>
  </si>
  <si>
    <t>3195/17-18</t>
  </si>
  <si>
    <t>RX6384_2502_52</t>
  </si>
  <si>
    <t>RX5338_5529_51</t>
  </si>
  <si>
    <t>RX6389_2501_57</t>
  </si>
  <si>
    <t>RX7017_2000_54</t>
  </si>
  <si>
    <t>RX7033_2000_52</t>
  </si>
  <si>
    <t>RX7028_5392_55</t>
  </si>
  <si>
    <t>RX7014_5068_54</t>
  </si>
  <si>
    <t>F1</t>
  </si>
  <si>
    <t>0076/15-16</t>
  </si>
  <si>
    <t>PA7085_CO2_M</t>
  </si>
  <si>
    <t>167/16-17</t>
  </si>
  <si>
    <t>PA7093_CO3_60</t>
  </si>
  <si>
    <t>181/16-17</t>
  </si>
  <si>
    <t>PA7086_CO2_M</t>
  </si>
  <si>
    <t>PA7091_CO2_M</t>
  </si>
  <si>
    <t>0017/15-16</t>
  </si>
  <si>
    <t>718/16-17</t>
  </si>
  <si>
    <t>PR4096_CO3</t>
  </si>
  <si>
    <t>VO2770S_W4411_56</t>
  </si>
  <si>
    <t>G1</t>
  </si>
  <si>
    <t>V-1100/16-17</t>
  </si>
  <si>
    <t>VO2778_W4487_58</t>
  </si>
  <si>
    <t>2234/15-16</t>
  </si>
  <si>
    <t>VO2729S_W65613_57</t>
  </si>
  <si>
    <t>V-83/16-17</t>
  </si>
  <si>
    <t>VO2795S_W65613_53</t>
  </si>
  <si>
    <t>V-54/16-17</t>
  </si>
  <si>
    <t>VO2894SB_W4411_56</t>
  </si>
  <si>
    <t>551/16-17</t>
  </si>
  <si>
    <t>TI-111/16-17</t>
  </si>
  <si>
    <t>VO2870S_235913_52</t>
  </si>
  <si>
    <t>G2</t>
  </si>
  <si>
    <t>TI-162/16-17</t>
  </si>
  <si>
    <t>VO2843S_W65613_53</t>
  </si>
  <si>
    <t>V-2508/15-16</t>
  </si>
  <si>
    <t>V-930/15-16</t>
  </si>
  <si>
    <t>VO2843S_227913_56</t>
  </si>
  <si>
    <t>VO2871S_W4411_56</t>
  </si>
  <si>
    <t>TI-149/16-17</t>
  </si>
  <si>
    <t>VO2915_228713_53</t>
  </si>
  <si>
    <t>V-551/16-17</t>
  </si>
  <si>
    <t>V-291/16-17</t>
  </si>
  <si>
    <t>TI-167/16-17</t>
  </si>
  <si>
    <t>VO2915B_W4411_53</t>
  </si>
  <si>
    <t>G3</t>
  </si>
  <si>
    <t>VO2959_230213_54</t>
  </si>
  <si>
    <t>VO2940SM_229648_58</t>
  </si>
  <si>
    <t>V-2234/15-16</t>
  </si>
  <si>
    <t>VO2940_W4471_58</t>
  </si>
  <si>
    <t>291/16-17</t>
  </si>
  <si>
    <t>VO2943SB_201148_56</t>
  </si>
  <si>
    <t>VI-83/16-17</t>
  </si>
  <si>
    <t>VO2778_W65613_58</t>
  </si>
  <si>
    <t>T1-111/16-17</t>
  </si>
  <si>
    <t>Ti-111/16-17</t>
  </si>
  <si>
    <t>VO2941S_W65613_56</t>
  </si>
  <si>
    <t>G4</t>
  </si>
  <si>
    <t>VO2916SB_W4411_58</t>
  </si>
  <si>
    <t>Vi-111/16-17</t>
  </si>
  <si>
    <t>TI-111/1617</t>
  </si>
  <si>
    <t>VO3972S_89768_58</t>
  </si>
  <si>
    <t>Ti-184/16-17</t>
  </si>
  <si>
    <t>VO3950SD_323S11_58</t>
  </si>
  <si>
    <t>Ti184/16-17</t>
  </si>
  <si>
    <t>VO4010S_3235R_54</t>
  </si>
  <si>
    <t>F2</t>
  </si>
  <si>
    <t>Ti-223/16-17</t>
  </si>
  <si>
    <t>VO5007B_W4411_57</t>
  </si>
  <si>
    <t>VO5008S_236214_57</t>
  </si>
  <si>
    <t>VO5118S_W65613_57</t>
  </si>
  <si>
    <t>Ti-149/16-17</t>
  </si>
  <si>
    <t>VO5118S_W4411_57</t>
  </si>
  <si>
    <t>VO5118S_247214_57</t>
  </si>
  <si>
    <t>V-2234/15--16</t>
  </si>
  <si>
    <t>VO3991S_81314_58</t>
  </si>
  <si>
    <t>VO2896S_22258F_54</t>
  </si>
  <si>
    <t>V-200/15-16</t>
  </si>
  <si>
    <t>VO2606S_228668_52</t>
  </si>
  <si>
    <t>VO2789B_W656_52</t>
  </si>
  <si>
    <t>H1</t>
  </si>
  <si>
    <t>EWV-83/17-18</t>
  </si>
  <si>
    <t>VO2787_W44_51</t>
  </si>
  <si>
    <t>H2</t>
  </si>
  <si>
    <t>Ti-24/16-17</t>
  </si>
  <si>
    <t>VO2906_2249_53</t>
  </si>
  <si>
    <t>VO2908_2257_51</t>
  </si>
  <si>
    <t>VO2909_W44_54</t>
  </si>
  <si>
    <t>Ewv-83/17-18</t>
  </si>
  <si>
    <t>VO2925_W827_53</t>
  </si>
  <si>
    <t>602300144/17-18</t>
  </si>
  <si>
    <t>Snapdeal</t>
  </si>
  <si>
    <t>AKASH JAISWAL</t>
  </si>
  <si>
    <t>MAHARASHTRA</t>
  </si>
  <si>
    <t>SM127506519</t>
  </si>
  <si>
    <t>HEMALATHA</t>
  </si>
  <si>
    <t>Andhra Pradesh</t>
  </si>
  <si>
    <t>SM127280980</t>
  </si>
  <si>
    <t>VO2816_W745_52</t>
  </si>
  <si>
    <t>VO2816_2182_52</t>
  </si>
  <si>
    <t>VO3763_352_52</t>
  </si>
  <si>
    <t>TI-83/16-17</t>
  </si>
  <si>
    <t>VO3843_756_50</t>
  </si>
  <si>
    <t>VO3845B_548_50</t>
  </si>
  <si>
    <t>VO3893_280_52</t>
  </si>
  <si>
    <t>H3</t>
  </si>
  <si>
    <t>TI-98/16-17</t>
  </si>
  <si>
    <t>TI-184/16-17</t>
  </si>
  <si>
    <t>VO3980_323S_54</t>
  </si>
  <si>
    <t>VO4003_352S_54</t>
  </si>
  <si>
    <t>VO4015B_5009_51</t>
  </si>
  <si>
    <t>EMV-83/17-18</t>
  </si>
  <si>
    <t>TI-249/16-17</t>
  </si>
  <si>
    <t>TI-282/16-17</t>
  </si>
  <si>
    <t>VO3991S_8978H_58</t>
  </si>
  <si>
    <t>F3</t>
  </si>
  <si>
    <t>EWG-211/17-18</t>
  </si>
  <si>
    <t>VO5120_W656_52</t>
  </si>
  <si>
    <t>EWG-212/17-18</t>
  </si>
  <si>
    <t>VO5094B_2465_52</t>
  </si>
  <si>
    <t>VO2993SW_65613_57</t>
  </si>
  <si>
    <t>EWG269/17-18</t>
  </si>
  <si>
    <t>VO2941SW_4411_56</t>
  </si>
  <si>
    <t>VO3894_916_53</t>
  </si>
  <si>
    <t>V291/16-17</t>
  </si>
  <si>
    <t>VO2896S_W4411_54</t>
  </si>
  <si>
    <t>EWG211/17-18</t>
  </si>
  <si>
    <t>VO2993S_1880T33_57</t>
  </si>
  <si>
    <t>EWG212/17-18</t>
  </si>
  <si>
    <t>VO2491S_25355R_56</t>
  </si>
  <si>
    <t>ID965_C3_50</t>
  </si>
  <si>
    <t>IT</t>
  </si>
  <si>
    <t>KAMAL</t>
  </si>
  <si>
    <t>0016/14-15</t>
  </si>
  <si>
    <t>ID738_C2_54</t>
  </si>
  <si>
    <t>ID737_C4_52</t>
  </si>
  <si>
    <t>ID734_C3_50</t>
  </si>
  <si>
    <t>016/14-15</t>
  </si>
  <si>
    <t>ID829_C4_51</t>
  </si>
  <si>
    <t>ID911_C2_52</t>
  </si>
  <si>
    <t>ID706_C4_52</t>
  </si>
  <si>
    <t>ID1000_C4_52</t>
  </si>
  <si>
    <t>ID884_C3_51</t>
  </si>
  <si>
    <t>ID997_C2_52</t>
  </si>
  <si>
    <t>ID915_C3_52</t>
  </si>
  <si>
    <t>KAAML</t>
  </si>
  <si>
    <t>ID916_C3_53</t>
  </si>
  <si>
    <t>ID739_C3_55</t>
  </si>
  <si>
    <t>0028/14-15</t>
  </si>
  <si>
    <t>ID721_C2_52</t>
  </si>
  <si>
    <t>ID892_C1_52</t>
  </si>
  <si>
    <t>ID1002_C2_52</t>
  </si>
  <si>
    <t>ID733_C4_52</t>
  </si>
  <si>
    <t>ID1047_C3_51</t>
  </si>
  <si>
    <t>ID941_C1_51</t>
  </si>
  <si>
    <t>ID1191_C3_52</t>
  </si>
  <si>
    <t>ID780_C4_58</t>
  </si>
  <si>
    <t>ID952-C2_53</t>
  </si>
  <si>
    <t>ID890_C3_51</t>
  </si>
  <si>
    <t>ID827_C1_53</t>
  </si>
  <si>
    <t>ID1047_C4_51</t>
  </si>
  <si>
    <t>ID856_C1_51</t>
  </si>
  <si>
    <t>ID1160_C3_51</t>
  </si>
  <si>
    <t>ID698_C1_M</t>
  </si>
  <si>
    <t>ID1142_C2_52</t>
  </si>
  <si>
    <t>ID730_C1_53</t>
  </si>
  <si>
    <t>ID1001_C1_M</t>
  </si>
  <si>
    <t>ID1147_C4_M</t>
  </si>
  <si>
    <t>ID1135_C4_M</t>
  </si>
  <si>
    <t>ID1142_C5_52</t>
  </si>
  <si>
    <t>ID1207_C3_53</t>
  </si>
  <si>
    <t>ID842_C1_52</t>
  </si>
  <si>
    <t>ID857_C1_53</t>
  </si>
  <si>
    <t>ID886_C3_51</t>
  </si>
  <si>
    <t>ID1027_C3_53</t>
  </si>
  <si>
    <t>ID949_C1_52</t>
  </si>
  <si>
    <t>ID874_C3_52</t>
  </si>
  <si>
    <t>ID893_C3_52</t>
  </si>
  <si>
    <t>ID907_C2_51</t>
  </si>
  <si>
    <t>ID950_C4_M</t>
  </si>
  <si>
    <t>ID735_C2_52</t>
  </si>
  <si>
    <t>ID1157_C2_52</t>
  </si>
  <si>
    <t>ID706_C3_52</t>
  </si>
  <si>
    <t>ID1002_C3_52</t>
  </si>
  <si>
    <t>ID1038_C1_51</t>
  </si>
  <si>
    <t>ID740_C2_54</t>
  </si>
  <si>
    <t>ID911_C3_52</t>
  </si>
  <si>
    <t>ID869_C2_52</t>
  </si>
  <si>
    <t>ID1159_C1_53</t>
  </si>
  <si>
    <t>IM2327_C1_57</t>
  </si>
  <si>
    <t>00019/13-14</t>
  </si>
  <si>
    <t>00019/14-15</t>
  </si>
  <si>
    <t>IM2328_C1-52</t>
  </si>
  <si>
    <t>KAMAK</t>
  </si>
  <si>
    <t>000019/13-14</t>
  </si>
  <si>
    <t>IM2333_C1_52</t>
  </si>
  <si>
    <t>IM2333_C3_53</t>
  </si>
  <si>
    <t>IM2351_C3-52</t>
  </si>
  <si>
    <t>ID735_C1_52</t>
  </si>
  <si>
    <t>00028/14-15</t>
  </si>
  <si>
    <t>ID916_C1_53</t>
  </si>
  <si>
    <t>ID738_C3_54</t>
  </si>
  <si>
    <t>ID1159-C3_53</t>
  </si>
  <si>
    <t>SC4732_C2_54</t>
  </si>
  <si>
    <t>SC748_C561_51</t>
  </si>
  <si>
    <t>IB</t>
  </si>
  <si>
    <t>SC4746_C2_54</t>
  </si>
  <si>
    <t>SC905_C2_54</t>
  </si>
  <si>
    <t>00028/16-17</t>
  </si>
  <si>
    <t>SC4750_C1_51</t>
  </si>
  <si>
    <t>SC4740_C1_51</t>
  </si>
  <si>
    <t>TB</t>
  </si>
  <si>
    <t>SC722_C543_52</t>
  </si>
  <si>
    <t>SC4732_C1_54</t>
  </si>
  <si>
    <t>SC4715_C2-52</t>
  </si>
  <si>
    <t>SC736_C536_51</t>
  </si>
  <si>
    <t>SC4731_C3_53</t>
  </si>
  <si>
    <t>PA7069_CO3_M</t>
  </si>
  <si>
    <t>J1</t>
  </si>
  <si>
    <t>KR</t>
  </si>
  <si>
    <t>PA7093_CO1_60</t>
  </si>
  <si>
    <t>IDS1821_C3_M</t>
  </si>
  <si>
    <t>IDS1754_C02_M</t>
  </si>
  <si>
    <t>0028/13-14</t>
  </si>
  <si>
    <t>IDS1765_C1_M</t>
  </si>
  <si>
    <t>IDS1821_C1_60</t>
  </si>
  <si>
    <t>IDS1655_COL2_F</t>
  </si>
  <si>
    <t>JI</t>
  </si>
  <si>
    <t>001/13-14</t>
  </si>
  <si>
    <t>IDS1602_C1_55</t>
  </si>
  <si>
    <t>PR4063_C01_M</t>
  </si>
  <si>
    <t>PA7099_C01_M</t>
  </si>
  <si>
    <t>PA7099_C03_M</t>
  </si>
  <si>
    <t>PA7069_C01_M</t>
  </si>
  <si>
    <t>PA7106_CO3_M</t>
  </si>
  <si>
    <t>0017/14-15</t>
  </si>
  <si>
    <t>PA7089_CO3_58</t>
  </si>
  <si>
    <t>PA7097_CO2_M</t>
  </si>
  <si>
    <t>PA7093_C01_M</t>
  </si>
  <si>
    <t>ID1500_C1_50</t>
  </si>
  <si>
    <t>8072/17-18</t>
  </si>
  <si>
    <t>ID1525_C1_55</t>
  </si>
  <si>
    <t>ITS</t>
  </si>
  <si>
    <t>ID1499_C7_53</t>
  </si>
  <si>
    <t>ID1499_C2_53</t>
  </si>
  <si>
    <t>ID1500_C5_50</t>
  </si>
  <si>
    <t>ID1529_C2_54</t>
  </si>
  <si>
    <t>ID1405_C2_48</t>
  </si>
  <si>
    <t>ID1525_C2_55</t>
  </si>
  <si>
    <t>ID1523)C4_52</t>
  </si>
  <si>
    <t>ID1521_C1_51</t>
  </si>
  <si>
    <t>ID1507_C3_48</t>
  </si>
  <si>
    <t>ID1518_C3_53</t>
  </si>
  <si>
    <t>ID1527_C3_52</t>
  </si>
  <si>
    <t>ID1532_C1_53</t>
  </si>
  <si>
    <t>ID1506_C2_51</t>
  </si>
  <si>
    <t>ID1507_C1_48</t>
  </si>
  <si>
    <t>ID1518_C2_49</t>
  </si>
  <si>
    <t>ID1502_C2_49</t>
  </si>
  <si>
    <t>ID1482_C1_51</t>
  </si>
  <si>
    <t>ID1499_C3_53</t>
  </si>
  <si>
    <t>ID1430_C3_52</t>
  </si>
  <si>
    <t>1086/14-15</t>
  </si>
  <si>
    <t>1186/14-15</t>
  </si>
  <si>
    <t>OP3023_C04_51</t>
  </si>
  <si>
    <t>1185/14-15</t>
  </si>
  <si>
    <t>OP3024_C01_51</t>
  </si>
  <si>
    <t>IMAGE2348_C1_49</t>
  </si>
  <si>
    <t>image277_c3_M</t>
  </si>
  <si>
    <t>IDS1700_C5_M</t>
  </si>
  <si>
    <t>PA7102_C01_M</t>
  </si>
  <si>
    <t>167/14-15</t>
  </si>
  <si>
    <t>00028/13-14</t>
  </si>
  <si>
    <t>ID871_C3_50</t>
  </si>
  <si>
    <t>ID954_C2_51</t>
  </si>
  <si>
    <t>ID709_C1_50</t>
  </si>
  <si>
    <t>ID888_C1_52</t>
  </si>
  <si>
    <t>00016/13-14</t>
  </si>
  <si>
    <t>ID745_C1_54</t>
  </si>
  <si>
    <t>00015/13-14</t>
  </si>
  <si>
    <t>000028/13-14</t>
  </si>
  <si>
    <t>ID909_C3_51</t>
  </si>
  <si>
    <t>0132/14-15</t>
  </si>
  <si>
    <t>0019/14-15</t>
  </si>
  <si>
    <t>1086/15-16</t>
  </si>
  <si>
    <t>ID950_C1_51</t>
  </si>
  <si>
    <t>0015/13-14</t>
  </si>
  <si>
    <t>f1</t>
  </si>
  <si>
    <t>ewv-83/17-18</t>
  </si>
  <si>
    <t>VO2899_W65613_54</t>
  </si>
  <si>
    <t>VO2915S_231148_53</t>
  </si>
  <si>
    <t>ti_107/16-17</t>
  </si>
  <si>
    <t>ti-149/16-17</t>
  </si>
  <si>
    <t>24/15-16</t>
  </si>
  <si>
    <t>VO3691B_756_50</t>
  </si>
  <si>
    <t>83/17-18</t>
  </si>
  <si>
    <t>SL234T_C3_51</t>
  </si>
  <si>
    <t>ITB</t>
  </si>
  <si>
    <t>622/16-17</t>
  </si>
  <si>
    <t>SL2304T_C2_51</t>
  </si>
  <si>
    <t>SL2305T_C3_51</t>
  </si>
  <si>
    <t>SL55110_C3_52</t>
  </si>
  <si>
    <t>SL55102_C4_51</t>
  </si>
  <si>
    <t>SL55112_C1_53</t>
  </si>
  <si>
    <t>SL55090_C2_52</t>
  </si>
  <si>
    <t>DJ2001_C11_50</t>
  </si>
  <si>
    <t>J3</t>
  </si>
  <si>
    <t>136/15-16</t>
  </si>
  <si>
    <t>203/15-16</t>
  </si>
  <si>
    <t>DJ3683_140_53</t>
  </si>
  <si>
    <t>DJ15T128_C2_52</t>
  </si>
  <si>
    <t>KAM,AL</t>
  </si>
  <si>
    <t>DJ15T158_C1_53</t>
  </si>
  <si>
    <t>DJ2003_C19_51</t>
  </si>
  <si>
    <t>DJ9068_C1_53</t>
  </si>
  <si>
    <t>144/17-18</t>
  </si>
  <si>
    <t>DJ2037C_92E_49</t>
  </si>
  <si>
    <t>DJ1057_C6_48</t>
  </si>
  <si>
    <t>DJ9069_C4_52</t>
  </si>
  <si>
    <t>140/17-18</t>
  </si>
  <si>
    <t>DJ1098_C5_49</t>
  </si>
  <si>
    <t>DJ9068_C2_53</t>
  </si>
  <si>
    <t>DJ9043_C4_50</t>
  </si>
  <si>
    <t>DJ301_52</t>
  </si>
  <si>
    <t>DJ2012_C8_53</t>
  </si>
  <si>
    <t>DJ3107_C4_54</t>
  </si>
  <si>
    <t>DJ2026_C41_53</t>
  </si>
  <si>
    <t>206/16-17</t>
  </si>
  <si>
    <t>DJ2010-C47_53</t>
  </si>
  <si>
    <t>J4</t>
  </si>
  <si>
    <t>DJ2003_C13_51</t>
  </si>
  <si>
    <t>DJ2012_C32_53</t>
  </si>
  <si>
    <t>DJ6671_C7_54</t>
  </si>
  <si>
    <t>203/14-15</t>
  </si>
  <si>
    <t>DJ2346_52</t>
  </si>
  <si>
    <t>DJ2039_C287_52</t>
  </si>
  <si>
    <t>DJ9058_C3_53</t>
  </si>
  <si>
    <t>DJ2036_C12_48</t>
  </si>
  <si>
    <t>JITENDER KUMAR ARYA</t>
  </si>
  <si>
    <t>BIHAR</t>
  </si>
  <si>
    <t>SM128375776</t>
  </si>
  <si>
    <t>CHUDAMANI AR</t>
  </si>
  <si>
    <t>KARNATAKA</t>
  </si>
  <si>
    <t>SM128588647</t>
  </si>
  <si>
    <t>DJ0301_GUN_55</t>
  </si>
  <si>
    <t>DJ502_IT_53</t>
  </si>
  <si>
    <t>DJ3568_53</t>
  </si>
  <si>
    <t>DJ2010_C6_51</t>
  </si>
  <si>
    <t>DJ16T143_C1_53</t>
  </si>
  <si>
    <t>KA MAL</t>
  </si>
  <si>
    <t>DJ8235_130_53</t>
  </si>
  <si>
    <t>DJ16T150_C2_51</t>
  </si>
  <si>
    <t>DJ2025_C53_54</t>
  </si>
  <si>
    <t>DJ2001_C2_55</t>
  </si>
  <si>
    <t>6230044/17-18</t>
  </si>
  <si>
    <t>S6D9F0/1000156</t>
  </si>
  <si>
    <t>IMRAN MOHMMAD</t>
  </si>
  <si>
    <t>HYD</t>
  </si>
  <si>
    <t>SM137570927</t>
  </si>
  <si>
    <t>S0D9F0/1000155</t>
  </si>
  <si>
    <t>JASPAL SINGH</t>
  </si>
  <si>
    <t>CIVIC EYECARE CHD</t>
  </si>
  <si>
    <t>a3</t>
  </si>
  <si>
    <t>bill no2</t>
  </si>
  <si>
    <t>civic eye care</t>
  </si>
  <si>
    <t>chd</t>
  </si>
  <si>
    <t>bill no 2</t>
  </si>
  <si>
    <t>b1</t>
  </si>
  <si>
    <t>SHEET FRAMES 2</t>
  </si>
  <si>
    <t>T.</t>
  </si>
  <si>
    <t>Aditya</t>
  </si>
  <si>
    <t>Dhuri</t>
  </si>
  <si>
    <t>METAL FRAME 1</t>
  </si>
  <si>
    <t>T</t>
  </si>
  <si>
    <t>Ramjan Khan</t>
  </si>
  <si>
    <t>METAL FRAME 2</t>
  </si>
  <si>
    <t>Mithu Singh</t>
  </si>
  <si>
    <t>Rampura Phool</t>
  </si>
  <si>
    <t>Civic eye care</t>
  </si>
  <si>
    <t>BILL NO 2</t>
  </si>
  <si>
    <t xml:space="preserve"> BILL NO 3</t>
  </si>
  <si>
    <t>BILL NO</t>
  </si>
  <si>
    <t>BILL NO.</t>
  </si>
  <si>
    <t>FTP161_BR2F_M</t>
  </si>
  <si>
    <t xml:space="preserve">BILL NO. </t>
  </si>
  <si>
    <t>291 16-17</t>
  </si>
  <si>
    <t>f</t>
  </si>
  <si>
    <t>Daljeet Kaur</t>
  </si>
  <si>
    <t>Amandeep</t>
  </si>
  <si>
    <t>Charanjit Kaur</t>
  </si>
  <si>
    <t>BABY FRAMES SHEET</t>
  </si>
  <si>
    <t>Satwinder</t>
  </si>
  <si>
    <t>METAL FRAME NEW</t>
  </si>
  <si>
    <t xml:space="preserve">Jaspreet </t>
  </si>
  <si>
    <t>Nachhatter Singh</t>
  </si>
  <si>
    <t>Vandit</t>
  </si>
  <si>
    <t xml:space="preserve">Nisha </t>
  </si>
  <si>
    <t>Harbhajan Kaur</t>
  </si>
  <si>
    <t>Babli</t>
  </si>
  <si>
    <t>Karanvir</t>
  </si>
  <si>
    <t>ID 1527_C3_52</t>
  </si>
  <si>
    <t>8072 17-18</t>
  </si>
  <si>
    <t>c/o Adv. Bansal</t>
  </si>
  <si>
    <t>Ashpreet</t>
  </si>
  <si>
    <t>SHEET FRAMES 1</t>
  </si>
  <si>
    <t>Surjeet Kaur</t>
  </si>
  <si>
    <t>Chandni  Devi</t>
  </si>
  <si>
    <t>DJ 3107_C4_54</t>
  </si>
  <si>
    <t>144 17-18</t>
  </si>
  <si>
    <t>Adish Singla</t>
  </si>
  <si>
    <t xml:space="preserve">Om karjot </t>
  </si>
  <si>
    <t>Bill no7</t>
  </si>
  <si>
    <t>1086 14-15</t>
  </si>
  <si>
    <t>Surbhi Jain</t>
  </si>
  <si>
    <t>Haryana</t>
  </si>
  <si>
    <t>SM139765666</t>
  </si>
  <si>
    <t>Namarta Gupta</t>
  </si>
  <si>
    <t>Uttar Pradesh</t>
  </si>
  <si>
    <t>SM139468480</t>
  </si>
  <si>
    <t>B</t>
  </si>
  <si>
    <t>IS6353_C3_48</t>
  </si>
  <si>
    <t>IS6351_C2_52</t>
  </si>
  <si>
    <t>Walnut Fab</t>
  </si>
  <si>
    <t>b</t>
  </si>
  <si>
    <t>Walnut Pro</t>
  </si>
  <si>
    <t>Walnut +</t>
  </si>
  <si>
    <t>S6D9F0/18/3</t>
  </si>
  <si>
    <t>SNAPDEAL</t>
  </si>
  <si>
    <t>No damage</t>
  </si>
  <si>
    <t>Akashdeep</t>
  </si>
  <si>
    <t>Sarabjeet</t>
  </si>
  <si>
    <t>SHEET FRAMES 3</t>
  </si>
  <si>
    <t>Vicky</t>
  </si>
  <si>
    <t>Ranjit  Kumar</t>
  </si>
  <si>
    <t>BRAND SUPRA</t>
  </si>
  <si>
    <t>Kamaljeet Kaur</t>
  </si>
  <si>
    <t>Rajji</t>
  </si>
  <si>
    <t>SC909_C2_52</t>
  </si>
  <si>
    <t>Mandeep</t>
  </si>
  <si>
    <t>Amarjeet Kaur</t>
  </si>
  <si>
    <t>Sehajpreet</t>
  </si>
  <si>
    <t>Manpreet</t>
  </si>
  <si>
    <t>Kuldeep Singh</t>
  </si>
  <si>
    <t>Sonu</t>
  </si>
  <si>
    <t>Chd</t>
  </si>
  <si>
    <t>Santosh Rani</t>
  </si>
  <si>
    <t xml:space="preserve">Ashok </t>
  </si>
  <si>
    <t>Gurjit</t>
  </si>
  <si>
    <t xml:space="preserve">Sandeep </t>
  </si>
  <si>
    <t>ID1534_C2_50</t>
  </si>
  <si>
    <t>8084/17-18</t>
  </si>
  <si>
    <t>ID1542_C3_53</t>
  </si>
  <si>
    <t xml:space="preserve">  </t>
  </si>
  <si>
    <t>ID1543 _C3_54</t>
  </si>
  <si>
    <t>ID1545_C4_54</t>
  </si>
  <si>
    <t>ID1549_C1_53</t>
  </si>
  <si>
    <t>ID1536_C3_51</t>
  </si>
  <si>
    <t>ID1535_C7_51</t>
  </si>
  <si>
    <t>ID1543_C1_54</t>
  </si>
  <si>
    <t>ID 1546_C3_52</t>
  </si>
  <si>
    <t>ID1535_C2_51</t>
  </si>
  <si>
    <t>Jagriti Kumar</t>
  </si>
  <si>
    <t>Ludhiana</t>
  </si>
  <si>
    <t>SM140427323</t>
  </si>
  <si>
    <t>Michael Simon</t>
  </si>
  <si>
    <t>CK4195S_001_57</t>
  </si>
  <si>
    <t>Anirudh Gupta</t>
  </si>
  <si>
    <t>Jammu Kashmir</t>
  </si>
  <si>
    <t>SM140427342</t>
  </si>
  <si>
    <t>RB3025_00332_55</t>
  </si>
  <si>
    <t>Chaandigarh</t>
  </si>
  <si>
    <t xml:space="preserve">CIVIC EYE CARE </t>
  </si>
  <si>
    <t>CHANDIGARH</t>
  </si>
  <si>
    <t>Sumandeep</t>
  </si>
  <si>
    <t xml:space="preserve">Gurleen </t>
  </si>
  <si>
    <t>Sahil</t>
  </si>
  <si>
    <t>Jatin</t>
  </si>
  <si>
    <t>Harnoor</t>
  </si>
  <si>
    <t>Sudager Singh</t>
  </si>
  <si>
    <t>METAL FRAMES 1</t>
  </si>
  <si>
    <t>Guddo Rani</t>
  </si>
  <si>
    <t>Srabjit Kaur</t>
  </si>
  <si>
    <t>Civic  eye care</t>
  </si>
  <si>
    <t>Chandigarh</t>
  </si>
  <si>
    <t>602300144 /17-18</t>
  </si>
  <si>
    <t>Nachatter Kaur</t>
  </si>
  <si>
    <t>Faizgarh</t>
  </si>
  <si>
    <t>Harbans Kaur</t>
  </si>
  <si>
    <t>Herike</t>
  </si>
  <si>
    <t xml:space="preserve">Kamlesh </t>
  </si>
  <si>
    <t>Harman</t>
  </si>
  <si>
    <t>Dirba</t>
  </si>
  <si>
    <t>C/o Kuldeep Kaur</t>
  </si>
  <si>
    <t>Budlada</t>
  </si>
  <si>
    <t>Kuldeep Kaur</t>
  </si>
  <si>
    <t>Balvir Singh</t>
  </si>
  <si>
    <t>S6D9F6/18/8</t>
  </si>
  <si>
    <t>SUNIL KUMAR</t>
  </si>
  <si>
    <t>DELHI</t>
  </si>
  <si>
    <t>SM140910214</t>
  </si>
  <si>
    <t>S6D9F0/18/9</t>
  </si>
  <si>
    <t>SYED SAMIULLA</t>
  </si>
  <si>
    <t>KARNATKA</t>
  </si>
  <si>
    <t>Bill no. 80</t>
  </si>
  <si>
    <t>Jaspreet Kaur</t>
  </si>
  <si>
    <t>Pedhni</t>
  </si>
  <si>
    <t>Manjot Kaur</t>
  </si>
  <si>
    <t>Lovepreet Kaur</t>
  </si>
  <si>
    <t>Dhandra</t>
  </si>
  <si>
    <t>3078/16-17</t>
  </si>
  <si>
    <t>AFSAR AHMED SHARIFF</t>
  </si>
  <si>
    <t>Parmajeet Kaur</t>
  </si>
  <si>
    <t>Kaheru</t>
  </si>
  <si>
    <t>\</t>
  </si>
  <si>
    <t>Rani</t>
  </si>
  <si>
    <t>Hassanpur</t>
  </si>
  <si>
    <t>Damanjeet Kaur</t>
  </si>
  <si>
    <t>Ghanauri</t>
  </si>
  <si>
    <t>Sumanpreet Kaur</t>
  </si>
  <si>
    <t>Bhullarheri</t>
  </si>
  <si>
    <t>Mehakpreet</t>
  </si>
  <si>
    <t xml:space="preserve">Sukhdev Sharma </t>
  </si>
  <si>
    <t>Shivani</t>
  </si>
  <si>
    <t>t</t>
  </si>
  <si>
    <t>Neelam</t>
  </si>
  <si>
    <t xml:space="preserve">Balraj </t>
  </si>
  <si>
    <t>Anu</t>
  </si>
  <si>
    <t>Bill no 91</t>
  </si>
  <si>
    <t>Paramvir</t>
  </si>
  <si>
    <t>Jashanjot</t>
  </si>
  <si>
    <t>OX8034_11_53</t>
  </si>
  <si>
    <t>Shiv Goyal</t>
  </si>
  <si>
    <t>555/16-17</t>
  </si>
  <si>
    <t>6023000144/16-17</t>
  </si>
  <si>
    <t>Civc eye care</t>
  </si>
  <si>
    <t>602300144/16-17</t>
  </si>
  <si>
    <t>A Sandeep Reddy</t>
  </si>
  <si>
    <t>Telangana</t>
  </si>
  <si>
    <t>SM141486393</t>
  </si>
  <si>
    <t>Swarnjit Kaur</t>
  </si>
  <si>
    <t>Sherpur</t>
  </si>
  <si>
    <t>Karnail Kaur</t>
  </si>
  <si>
    <t xml:space="preserve">Manjot </t>
  </si>
  <si>
    <t>Manna</t>
  </si>
  <si>
    <t>Jai Parkash</t>
  </si>
  <si>
    <t>Uttrakhand</t>
  </si>
  <si>
    <t>AFSAR AHMED SHARIF</t>
  </si>
  <si>
    <t>PA7069_CO2_M</t>
  </si>
  <si>
    <t>CHANDAN KUMAR</t>
  </si>
  <si>
    <t>SM141768557</t>
  </si>
  <si>
    <t xml:space="preserve">Civic eye Care </t>
  </si>
  <si>
    <t>Civic eye Care</t>
  </si>
  <si>
    <t>Atma Singh</t>
  </si>
  <si>
    <t>Alipur Khalsa</t>
  </si>
  <si>
    <t>Tibba</t>
  </si>
  <si>
    <t>Khushpreet Kaur</t>
  </si>
  <si>
    <t xml:space="preserve">Dirba </t>
  </si>
  <si>
    <t>Gurdev Kaur</t>
  </si>
  <si>
    <t>Kaulseri</t>
  </si>
  <si>
    <t>Shiksha Devi</t>
  </si>
  <si>
    <t>TH7900_C1_60</t>
  </si>
  <si>
    <t>850/16-17</t>
  </si>
  <si>
    <t>RAYBAN TYPE</t>
  </si>
  <si>
    <t>Gurnam Singh</t>
  </si>
  <si>
    <t xml:space="preserve">Benra </t>
  </si>
  <si>
    <t>Bugga Singh</t>
  </si>
  <si>
    <t>Bahaderpur</t>
  </si>
  <si>
    <t>Abhishek</t>
  </si>
  <si>
    <t>Pal Kaur</t>
  </si>
  <si>
    <t>Paramjeet Singh</t>
  </si>
  <si>
    <t xml:space="preserve">Kurd </t>
  </si>
  <si>
    <t>Taranjeet</t>
  </si>
  <si>
    <t>Megh Singh</t>
  </si>
  <si>
    <t>Beerwanti</t>
  </si>
  <si>
    <t>Charanjeet Kaur</t>
  </si>
  <si>
    <t xml:space="preserve">Sukhvir </t>
  </si>
  <si>
    <t>Changli</t>
  </si>
  <si>
    <t>Pragati</t>
  </si>
  <si>
    <t>Harbans Singh</t>
  </si>
  <si>
    <t>Sukhvir Kaur</t>
  </si>
  <si>
    <t>Arshdeep</t>
  </si>
  <si>
    <t>Jatimazra</t>
  </si>
  <si>
    <t>Meshampur</t>
  </si>
  <si>
    <t>Harsimrat</t>
  </si>
  <si>
    <t>Babbanpur</t>
  </si>
  <si>
    <t>Maninder Singh</t>
  </si>
  <si>
    <t>RB4251_623311_58</t>
  </si>
  <si>
    <t>METAL FRAME 3</t>
  </si>
  <si>
    <t>Jagdeep Kaur</t>
  </si>
  <si>
    <t>Ranjeet Kaur</t>
  </si>
  <si>
    <t>Jagdeep Singh</t>
  </si>
  <si>
    <t>Katron</t>
  </si>
  <si>
    <t>Gurcharan Singh</t>
  </si>
  <si>
    <t>Ghanaur</t>
  </si>
  <si>
    <t xml:space="preserve">Manpreet </t>
  </si>
  <si>
    <t xml:space="preserve">Shobha </t>
  </si>
  <si>
    <t>Jaswinder Kaur</t>
  </si>
  <si>
    <t>OO9223_15_55</t>
  </si>
  <si>
    <t>TH7871_C1_60</t>
  </si>
  <si>
    <t>Anmol Wadekar</t>
  </si>
  <si>
    <t>Maharashtra</t>
  </si>
  <si>
    <t>SM142234723</t>
  </si>
  <si>
    <t>Achumlo Dimapur</t>
  </si>
  <si>
    <t>SM142478255</t>
  </si>
  <si>
    <t xml:space="preserve">Ginthianlun </t>
  </si>
  <si>
    <t xml:space="preserve">Manipur </t>
  </si>
  <si>
    <t>SM142765958</t>
  </si>
  <si>
    <t>Civic eye hospital</t>
  </si>
  <si>
    <t>RB3025_R0202_58</t>
  </si>
  <si>
    <t>H.C.Singla</t>
  </si>
  <si>
    <t>Djhuri</t>
  </si>
  <si>
    <t>Vikramjeet</t>
  </si>
  <si>
    <t>Amarjeet Singh</t>
  </si>
  <si>
    <t>Manjeet Kaur</t>
  </si>
  <si>
    <t>ID1157_C3_52</t>
  </si>
  <si>
    <t>Simardeep Kaur</t>
  </si>
  <si>
    <t>Gurmeet Kaur</t>
  </si>
  <si>
    <t>Darshan Kaur</t>
  </si>
  <si>
    <t>DJ2347_C3_52</t>
  </si>
  <si>
    <t>Narinder Singh</t>
  </si>
  <si>
    <t>Praveer Kumar Mandal</t>
  </si>
  <si>
    <t>SM143311458</t>
  </si>
  <si>
    <t>PG CR.</t>
  </si>
  <si>
    <t>Harjeet Kaur</t>
  </si>
  <si>
    <t>CR KT</t>
  </si>
  <si>
    <t>Ram Singh</t>
  </si>
  <si>
    <t>Amandeep Singh</t>
  </si>
  <si>
    <t xml:space="preserve">Shiv Raj </t>
  </si>
  <si>
    <t>Charanjeet Singh</t>
  </si>
  <si>
    <t>Paul</t>
  </si>
  <si>
    <t>Delhi</t>
  </si>
  <si>
    <t>SM143512313</t>
  </si>
  <si>
    <t>PR7069_C02_M</t>
  </si>
  <si>
    <t xml:space="preserve">Chandan Kumar </t>
  </si>
  <si>
    <t>Bihar</t>
  </si>
  <si>
    <t>Malkeet Kaur</t>
  </si>
  <si>
    <t>Piara Lal</t>
  </si>
  <si>
    <t>Jaspreet</t>
  </si>
  <si>
    <t>Akansha</t>
  </si>
  <si>
    <t>CR HC.</t>
  </si>
  <si>
    <t>Balwinder Kaur</t>
  </si>
  <si>
    <t xml:space="preserve">Ajay </t>
  </si>
  <si>
    <t>Parinoor</t>
  </si>
  <si>
    <t>Kanta Devi</t>
  </si>
  <si>
    <t>Rashandeep</t>
  </si>
  <si>
    <t>Naresh</t>
  </si>
  <si>
    <t xml:space="preserve">Karan </t>
  </si>
  <si>
    <t>Punnawal</t>
  </si>
  <si>
    <t>Sandeep Dabas</t>
  </si>
  <si>
    <t>SM143675777</t>
  </si>
  <si>
    <t>Durga Singh</t>
  </si>
  <si>
    <t>Upkar Singh</t>
  </si>
  <si>
    <t>DJ1089_C2_52</t>
  </si>
  <si>
    <t>Harmanjeet Kaur</t>
  </si>
  <si>
    <t>Jaspal Kaur</t>
  </si>
  <si>
    <t>Sukhwinder Kaur</t>
  </si>
  <si>
    <t>ID1531_C3_54</t>
  </si>
  <si>
    <t>VO2925_W44_51</t>
  </si>
  <si>
    <t>VE3243_5117_53</t>
  </si>
  <si>
    <t>FR4298/18-19</t>
  </si>
  <si>
    <t>VE3252_GB1_54</t>
  </si>
  <si>
    <t>S6DF018/14</t>
  </si>
  <si>
    <t>Amol Wadekar</t>
  </si>
  <si>
    <t>Maharasstra</t>
  </si>
  <si>
    <t>S6D9F018/10</t>
  </si>
  <si>
    <t>Afsar Ahmed Sharif</t>
  </si>
  <si>
    <t>Karnataka</t>
  </si>
  <si>
    <t>FTC084_PK2F_M</t>
  </si>
  <si>
    <t>Deepak OR Ankur</t>
  </si>
  <si>
    <t xml:space="preserve">Vandhana Rana </t>
  </si>
  <si>
    <t xml:space="preserve">Tannu </t>
  </si>
  <si>
    <t>Gurdeep Kaur</t>
  </si>
  <si>
    <t>Rajpal Kaur</t>
  </si>
  <si>
    <t>Rajwinder Kaur</t>
  </si>
  <si>
    <t>Satinder Singh</t>
  </si>
  <si>
    <t>Disney</t>
  </si>
  <si>
    <t xml:space="preserve">Ankur </t>
  </si>
  <si>
    <t xml:space="preserve">Dhuri </t>
  </si>
  <si>
    <t xml:space="preserve">Amandeep </t>
  </si>
  <si>
    <t xml:space="preserve">Lovish </t>
  </si>
  <si>
    <t>Lakhwinder Kaur</t>
  </si>
  <si>
    <t xml:space="preserve">Harmandeep </t>
  </si>
  <si>
    <t>Manpreet Kaur</t>
  </si>
  <si>
    <t>Harmandeep Kaur</t>
  </si>
  <si>
    <t>Megh Raj</t>
  </si>
  <si>
    <t>Maya Delhi</t>
  </si>
  <si>
    <t>AR8011_502613_53</t>
  </si>
  <si>
    <t>DJ1059_C4_50</t>
  </si>
  <si>
    <t>DJ1305_C1_51</t>
  </si>
  <si>
    <t>DJ1306_C3_51</t>
  </si>
  <si>
    <t>DJ16T150_C3_51</t>
  </si>
  <si>
    <t>DJ1902_C6_54</t>
  </si>
  <si>
    <t>DJ2002_C4_55</t>
  </si>
  <si>
    <t>DJ2010_C47_53</t>
  </si>
  <si>
    <t>DJ2025_C129_54</t>
  </si>
  <si>
    <t>DJ21007_C2_52</t>
  </si>
  <si>
    <t>DJ3132_CO3_52</t>
  </si>
  <si>
    <t>DJ3134_C1_51</t>
  </si>
  <si>
    <t>DJ501_135_50</t>
  </si>
  <si>
    <t>DJ502_138_53</t>
  </si>
  <si>
    <t>DJ503_135_49</t>
  </si>
  <si>
    <t>DJ8235_OP_53</t>
  </si>
  <si>
    <t>SANDEEP OPTICAL</t>
  </si>
  <si>
    <t>RB D FRAME</t>
  </si>
  <si>
    <t>T2 Opticals</t>
  </si>
  <si>
    <t>MAC STALLIN</t>
  </si>
  <si>
    <t>THREE PIECE</t>
  </si>
  <si>
    <t>AZETA SHEET</t>
  </si>
  <si>
    <t>DJ15T162_C1_52</t>
  </si>
  <si>
    <t>DJ1832_C1_51</t>
  </si>
  <si>
    <t>DJ2037_C243_48</t>
  </si>
  <si>
    <t>DJ2037_C92_49</t>
  </si>
  <si>
    <t>DJ2003_C17_51</t>
  </si>
  <si>
    <t>DJ9059_C5_51</t>
  </si>
  <si>
    <t>DJ3568_C_53</t>
  </si>
  <si>
    <t>DJ5901_31_48</t>
  </si>
  <si>
    <t>DJ1099_C1_52</t>
  </si>
  <si>
    <t>DJ1086_C1_54</t>
  </si>
  <si>
    <t>DJ3683_53_M</t>
  </si>
  <si>
    <t>DJ3177_C1_52</t>
  </si>
  <si>
    <t>DJ2039_C281_52</t>
  </si>
  <si>
    <t>DJ3132_C3_52</t>
  </si>
  <si>
    <t>DJ3122_C_49</t>
  </si>
  <si>
    <t>DJ2024_C99_53</t>
  </si>
  <si>
    <t>DJ1098_C6_49</t>
  </si>
  <si>
    <t>ID1518_C2_53</t>
  </si>
  <si>
    <t>ID1727_C3_52</t>
  </si>
  <si>
    <t>CK4223S_001_52</t>
  </si>
  <si>
    <t>CK5365A_001_51</t>
  </si>
  <si>
    <t>ID1147_C4_52</t>
  </si>
  <si>
    <t>ID1156_C2_53</t>
  </si>
  <si>
    <t>ID1191_C2_52</t>
  </si>
  <si>
    <t>ID1203_C2_52</t>
  </si>
  <si>
    <t>ID698_C1_53</t>
  </si>
  <si>
    <t>ID735_C3_52</t>
  </si>
  <si>
    <t>ID946_C3_51</t>
  </si>
  <si>
    <t>ID950_C4_51</t>
  </si>
  <si>
    <t>IZ105P_0313_COL1</t>
  </si>
  <si>
    <t>SANDEEP  OPTICAL</t>
  </si>
  <si>
    <t>IZ233_0114_COL2</t>
  </si>
  <si>
    <t>IZ233_0114-COL3</t>
  </si>
  <si>
    <t>IZ258_0114_COL3</t>
  </si>
  <si>
    <t>IZ278_0314-COL2</t>
  </si>
  <si>
    <t>IZ281_0314_COL1</t>
  </si>
  <si>
    <t>IZ303_0414-COL2</t>
  </si>
  <si>
    <t>IZ398_1214_COL1</t>
  </si>
  <si>
    <t>IZ398_1214_COL3</t>
  </si>
  <si>
    <t>IZ485_0415_COL2</t>
  </si>
  <si>
    <t>IZ500_09_52</t>
  </si>
  <si>
    <t>IZ508_0915_COL1</t>
  </si>
  <si>
    <t>IZ508_0915_COL2</t>
  </si>
  <si>
    <t>IZ518_915_COL 3</t>
  </si>
  <si>
    <t>IZ523_09_50</t>
  </si>
  <si>
    <t>IZ523_09_52</t>
  </si>
  <si>
    <t>IZ525_09_52</t>
  </si>
  <si>
    <t>IZ588_12_50</t>
  </si>
  <si>
    <t>IZ607_00168_58</t>
  </si>
  <si>
    <t>IZDRIVING_3_COL2</t>
  </si>
  <si>
    <t>KX7646_1001_51</t>
  </si>
  <si>
    <t>ID1500_C7_50</t>
  </si>
  <si>
    <t>ID1367_C4_50</t>
  </si>
  <si>
    <t>ID974_C1_55</t>
  </si>
  <si>
    <t>ID1139_C4_53</t>
  </si>
  <si>
    <t>VO5148_W656_53</t>
  </si>
  <si>
    <t>VO5148_2539_53</t>
  </si>
  <si>
    <t>VO5145_W656_53</t>
  </si>
  <si>
    <t>PR4063_C03_60</t>
  </si>
  <si>
    <t>RB2132_902_58</t>
  </si>
  <si>
    <t>RB3025_0014F_55</t>
  </si>
  <si>
    <t>RB3025_0024W_62</t>
  </si>
  <si>
    <t>RB3025_1124D_58</t>
  </si>
  <si>
    <t>RB3025_L0205_58</t>
  </si>
  <si>
    <t>RB3025JM_1684E_55</t>
  </si>
  <si>
    <t>RB3025JM_171_55</t>
  </si>
  <si>
    <t>RB3025JM_172_55</t>
  </si>
  <si>
    <t>RB3026_00368_62</t>
  </si>
  <si>
    <t>RB3379_01457_64</t>
  </si>
  <si>
    <t>RB3411_001_60</t>
  </si>
  <si>
    <t>RB3447_00190_50</t>
  </si>
  <si>
    <t>RB3498_00413_61</t>
  </si>
  <si>
    <t>RB3509_00113_63</t>
  </si>
  <si>
    <t>RB3524_02971_57</t>
  </si>
  <si>
    <t>RB3524_0299A_57</t>
  </si>
  <si>
    <t>RB3526_0198G_63</t>
  </si>
  <si>
    <t>RB3528_02988_58</t>
  </si>
  <si>
    <t>RB3528_19071_58</t>
  </si>
  <si>
    <t>RB3529_02988_58</t>
  </si>
  <si>
    <t>RB4105_90257_50</t>
  </si>
  <si>
    <t>RB4188_6019A_63</t>
  </si>
  <si>
    <t>RB4191_610813_57</t>
  </si>
  <si>
    <t>RB4199_60171_61</t>
  </si>
  <si>
    <t>RB4210_1546Q_54</t>
  </si>
  <si>
    <t>RB4201_62255_59</t>
  </si>
  <si>
    <t>RB4210_612213_50</t>
  </si>
  <si>
    <t>RB4214_60171_59</t>
  </si>
  <si>
    <t>RB4257_60171_50</t>
  </si>
  <si>
    <t>RB8041_086_58</t>
  </si>
  <si>
    <t>RX7098_2012_50</t>
  </si>
  <si>
    <t>SC721_C1_53</t>
  </si>
  <si>
    <t>Kudeep Singh</t>
  </si>
  <si>
    <t>Amar</t>
  </si>
  <si>
    <t xml:space="preserve">Raman </t>
  </si>
  <si>
    <t xml:space="preserve">Dhandra </t>
  </si>
  <si>
    <t>Kanta Rani</t>
  </si>
  <si>
    <t>Baldev Kaur</t>
  </si>
  <si>
    <t xml:space="preserve">Parsenjeet </t>
  </si>
  <si>
    <t>Shinder Kaur</t>
  </si>
  <si>
    <t>Gurpreet Kaur</t>
  </si>
  <si>
    <t>Pramveer Singh</t>
  </si>
  <si>
    <t xml:space="preserve">Savita </t>
  </si>
  <si>
    <t>Ranwinder Kaur</t>
  </si>
  <si>
    <t>Karamjeet Kaur</t>
  </si>
  <si>
    <t>Sardar Kaur</t>
  </si>
  <si>
    <t>Kartar Kaur</t>
  </si>
  <si>
    <t>Saroj Bala</t>
  </si>
  <si>
    <t>Krishna Devi</t>
  </si>
  <si>
    <t>PG CR KT</t>
  </si>
  <si>
    <t>Gurmail Singh</t>
  </si>
  <si>
    <t>Maerkotlla</t>
  </si>
  <si>
    <t>Shinderpal</t>
  </si>
  <si>
    <t>Sukhmanpreet</t>
  </si>
  <si>
    <t>Shamsher Singh</t>
  </si>
  <si>
    <t>Karam Singh</t>
  </si>
  <si>
    <t>Gaurav</t>
  </si>
  <si>
    <t xml:space="preserve">Gurshaan </t>
  </si>
  <si>
    <t>Rajnish Goyal</t>
  </si>
  <si>
    <t>FR435518-19</t>
  </si>
  <si>
    <t>Kulvir Kaur</t>
  </si>
  <si>
    <t>Jaswinder Singh</t>
  </si>
  <si>
    <t>Mukhtiar Kaur</t>
  </si>
  <si>
    <t>Hamir Kaur</t>
  </si>
  <si>
    <t>Manjeet Singh</t>
  </si>
  <si>
    <t>DJ18796_C4_52</t>
  </si>
  <si>
    <t>Gurshaan Singh</t>
  </si>
  <si>
    <t>Harpal Kaur</t>
  </si>
  <si>
    <t xml:space="preserve">Amanpreet </t>
  </si>
  <si>
    <t xml:space="preserve">Sanket </t>
  </si>
  <si>
    <t>VO5010_2362_53</t>
  </si>
  <si>
    <t>SG3553/18-19</t>
  </si>
  <si>
    <t>SG3552/18-19</t>
  </si>
  <si>
    <t>RB3025_11269_55</t>
  </si>
  <si>
    <t>RB3025_18171_58</t>
  </si>
  <si>
    <t>SG-3552/18-19</t>
  </si>
  <si>
    <t>RB3044_L2848_52</t>
  </si>
  <si>
    <t>RB3334_001_61</t>
  </si>
  <si>
    <t>RB3334_002_61</t>
  </si>
  <si>
    <t>RB3334_004_61</t>
  </si>
  <si>
    <t>RB3342_00451_63</t>
  </si>
  <si>
    <t>RB3432_002_59</t>
  </si>
  <si>
    <t>SG355218-19</t>
  </si>
  <si>
    <t>RB3431_004_64</t>
  </si>
  <si>
    <t>Subramanyam Thallapaka</t>
  </si>
  <si>
    <t>Andra pradesh</t>
  </si>
  <si>
    <t>sm145603036</t>
  </si>
  <si>
    <t xml:space="preserve">Manna </t>
  </si>
  <si>
    <t>Sohalveer</t>
  </si>
  <si>
    <t xml:space="preserve">Navpreet </t>
  </si>
  <si>
    <t xml:space="preserve">Kanchan </t>
  </si>
  <si>
    <t>Harmanjeet</t>
  </si>
  <si>
    <t>Pritam Singh</t>
  </si>
  <si>
    <t>Bharpur Kaur</t>
  </si>
  <si>
    <t>Harmanjot</t>
  </si>
  <si>
    <t>Ram Shanker</t>
  </si>
  <si>
    <t>Gurdeep Singh</t>
  </si>
  <si>
    <t>Jatinder Singh</t>
  </si>
  <si>
    <t>Shelza</t>
  </si>
  <si>
    <t>Pritima</t>
  </si>
  <si>
    <t>G153S_PFSCB_60</t>
  </si>
  <si>
    <t>ID1160_C2_51</t>
  </si>
  <si>
    <t>IM2324_C2_54</t>
  </si>
  <si>
    <t>IM2324_C2_49</t>
  </si>
  <si>
    <t>IMAGE362P_C2</t>
  </si>
  <si>
    <t>OO4101_06_59</t>
  </si>
  <si>
    <t>OO9013_76_55</t>
  </si>
  <si>
    <t>OO9013_77_55</t>
  </si>
  <si>
    <t>OO9223_05_55</t>
  </si>
  <si>
    <t>OO9239_02_60</t>
  </si>
  <si>
    <t>OO9239_12_60</t>
  </si>
  <si>
    <t>OO9307_04_132</t>
  </si>
  <si>
    <t>OO9341_01_57</t>
  </si>
  <si>
    <t>OO9342_09_57</t>
  </si>
  <si>
    <t>OO9350_08_59</t>
  </si>
  <si>
    <t>OX3131_0653_53</t>
  </si>
  <si>
    <t>OX3131_1053_53</t>
  </si>
  <si>
    <t>OX3165_0353_53</t>
  </si>
  <si>
    <t>OX8078_01_54</t>
  </si>
  <si>
    <t>OX8090_0855_55</t>
  </si>
  <si>
    <t>PR4096_C04_58</t>
  </si>
  <si>
    <t>RB2132_62423F_58</t>
  </si>
  <si>
    <t>B4</t>
  </si>
  <si>
    <t>SequinzeSheet</t>
  </si>
  <si>
    <t>SEQUINZESupra</t>
  </si>
  <si>
    <t>SHEETFRAMES</t>
  </si>
  <si>
    <t>SL2305T_C3-51</t>
  </si>
  <si>
    <t>TH5234_C1_52</t>
  </si>
  <si>
    <t>TH5240_C1_51</t>
  </si>
  <si>
    <t>TH5245_C3_53</t>
  </si>
  <si>
    <t>TH5245_C5_53</t>
  </si>
  <si>
    <t>TH5704_C4_53</t>
  </si>
  <si>
    <t>VE3226B_GB1_51</t>
  </si>
  <si>
    <t>VO2763_2279_51</t>
  </si>
  <si>
    <t>VO2767_W656_52</t>
  </si>
  <si>
    <t>VO2866_2269_53</t>
  </si>
  <si>
    <t>VO2896_W6565R_54</t>
  </si>
  <si>
    <t>VO2899_W44_53</t>
  </si>
  <si>
    <t>VO2906_2249_54</t>
  </si>
  <si>
    <t>VO2925_W44_53</t>
  </si>
  <si>
    <t>VO2941S_25355R_56</t>
  </si>
  <si>
    <t>VO2941S_W4411_56</t>
  </si>
  <si>
    <t>VO2943_201148_55</t>
  </si>
  <si>
    <t>VO2950_W827_53</t>
  </si>
  <si>
    <t>VO2993_W4411_57</t>
  </si>
  <si>
    <t>VO2993S_1880T3_57</t>
  </si>
  <si>
    <t>VO3844_352_52</t>
  </si>
  <si>
    <t>VO3845B_548_52</t>
  </si>
  <si>
    <t>VO3919S_5484V_57</t>
  </si>
  <si>
    <t>VO3950_323S11_58</t>
  </si>
  <si>
    <t>VO3955_352_51</t>
  </si>
  <si>
    <t>VO3965_848S_55</t>
  </si>
  <si>
    <t>VO3980I_352S_52</t>
  </si>
  <si>
    <t>VO3991S_28013_58</t>
  </si>
  <si>
    <t>VO4003_352_54</t>
  </si>
  <si>
    <t>VO4010S_3235R_57</t>
  </si>
  <si>
    <t>VO4015_352_53</t>
  </si>
  <si>
    <t>VO4015_5009_51</t>
  </si>
  <si>
    <t>VO4016_848_53</t>
  </si>
  <si>
    <t>VO4037I_280_52</t>
  </si>
  <si>
    <t>VO5008S_W4411_57</t>
  </si>
  <si>
    <t>VO5010_W44_53</t>
  </si>
  <si>
    <t>VO5012_W44_54</t>
  </si>
  <si>
    <t>VO5013_2048_52</t>
  </si>
  <si>
    <t>VO5013_W44_52</t>
  </si>
  <si>
    <t>VO5042_W44_53</t>
  </si>
  <si>
    <t>VO5118SI_247214_57</t>
  </si>
  <si>
    <t>VO5118SI_W65613_57</t>
  </si>
  <si>
    <t>VO5120_W44_52</t>
  </si>
  <si>
    <t>VO5145_W656_52</t>
  </si>
  <si>
    <t xml:space="preserve"> YOUNGSTEN</t>
  </si>
  <si>
    <t>VO4001_499S_50</t>
  </si>
  <si>
    <t>VO5013_2048_54</t>
  </si>
  <si>
    <t>VO2915S_228713_53</t>
  </si>
  <si>
    <t>VO3955B_280_49</t>
  </si>
  <si>
    <t>Hanso</t>
  </si>
  <si>
    <t>Rajinder Singh</t>
  </si>
  <si>
    <t>Pritam Kaur</t>
  </si>
  <si>
    <t>PAYALPREET</t>
  </si>
  <si>
    <t>Gurinder Kaur</t>
  </si>
  <si>
    <t>Bant dass</t>
  </si>
  <si>
    <t>Shakuntla Devi</t>
  </si>
  <si>
    <t>Bahader Singh</t>
  </si>
  <si>
    <t xml:space="preserve">Sulekha </t>
  </si>
  <si>
    <t>Paramjeet Kaur</t>
  </si>
  <si>
    <t>Inderjeet Kaur</t>
  </si>
  <si>
    <t>Veerpal Kaur</t>
  </si>
  <si>
    <t xml:space="preserve">Dig Vijay Rana </t>
  </si>
  <si>
    <t>SM146082907</t>
  </si>
  <si>
    <t>Mansi Sanghvi</t>
  </si>
  <si>
    <t>Maharastra</t>
  </si>
  <si>
    <t>SIDDHARTHA ROYCHOWDHURY</t>
  </si>
  <si>
    <t>WEST BENGAL</t>
  </si>
  <si>
    <t>Cvic eye care</t>
  </si>
  <si>
    <t>DR. Manpreet</t>
  </si>
  <si>
    <t xml:space="preserve">Patiala </t>
  </si>
  <si>
    <t>Ceco</t>
  </si>
  <si>
    <t>Rajan</t>
  </si>
  <si>
    <t>ADV. Grewal</t>
  </si>
  <si>
    <t>Sangrur</t>
  </si>
  <si>
    <t>FTPC002_BK2_M</t>
  </si>
  <si>
    <t xml:space="preserve">CECO </t>
  </si>
  <si>
    <t>EA3026_5017_54</t>
  </si>
  <si>
    <t>Channdigarh</t>
  </si>
  <si>
    <t xml:space="preserve">DR. Manpreet </t>
  </si>
  <si>
    <t>RB3025__00253F_55</t>
  </si>
  <si>
    <t>SG/3675/18-19</t>
  </si>
  <si>
    <t>RB3129_W0226_58</t>
  </si>
  <si>
    <t>SG.3675/18-19</t>
  </si>
  <si>
    <t>RX6306_2500_52</t>
  </si>
  <si>
    <t>FR/4499/18-19</t>
  </si>
  <si>
    <t>RX7047_5196_54</t>
  </si>
  <si>
    <t xml:space="preserve">Shashi </t>
  </si>
  <si>
    <t xml:space="preserve">Balwinder Rani </t>
  </si>
  <si>
    <t xml:space="preserve">Gurdev Kaur </t>
  </si>
  <si>
    <t xml:space="preserve">Harpreet Kaur </t>
  </si>
  <si>
    <t xml:space="preserve">Walnut Pro </t>
  </si>
  <si>
    <t>Sweety</t>
  </si>
  <si>
    <t>Bawa Singh</t>
  </si>
  <si>
    <t xml:space="preserve">Alipur Khalsa </t>
  </si>
  <si>
    <t xml:space="preserve">Sehajpreet </t>
  </si>
  <si>
    <t xml:space="preserve">Sherpur </t>
  </si>
  <si>
    <t>Manak Chand</t>
  </si>
  <si>
    <t xml:space="preserve">Rekha </t>
  </si>
  <si>
    <t xml:space="preserve">Prince </t>
  </si>
  <si>
    <t xml:space="preserve">Civic eye care </t>
  </si>
  <si>
    <t xml:space="preserve">Chandigarh </t>
  </si>
  <si>
    <t>RB3025_00253F_55</t>
  </si>
  <si>
    <t>IDS1899_C1_64</t>
  </si>
  <si>
    <t>IDS2429_C6P_57</t>
  </si>
  <si>
    <t>IDS2440_C1_67</t>
  </si>
  <si>
    <t>IDS2415_C2_M</t>
  </si>
  <si>
    <t>IDS2415_C2_57</t>
  </si>
  <si>
    <t>IDS2405_C2_57</t>
  </si>
  <si>
    <t xml:space="preserve">Ranjeet Kaur </t>
  </si>
  <si>
    <t>Malkeet Singh</t>
  </si>
  <si>
    <t>Darshan Singh</t>
  </si>
  <si>
    <t xml:space="preserve">Jeet Kaur </t>
  </si>
  <si>
    <t xml:space="preserve">Navdeep </t>
  </si>
  <si>
    <t>Dara Singh</t>
  </si>
  <si>
    <t>Balwant Kaur</t>
  </si>
  <si>
    <t>ST10120_C1_54</t>
  </si>
  <si>
    <t>Sukhwinder Singh</t>
  </si>
  <si>
    <t xml:space="preserve">Jatinder Kaur </t>
  </si>
  <si>
    <t xml:space="preserve">Jasvir kaur </t>
  </si>
  <si>
    <t>Gurpreet Singh</t>
  </si>
  <si>
    <t>Sukhdev Ram</t>
  </si>
  <si>
    <t xml:space="preserve">Sangrur </t>
  </si>
  <si>
    <t>IDS2366_C4_61</t>
  </si>
  <si>
    <t>IDS2364_C3_52</t>
  </si>
  <si>
    <t>IDS2363_C3P_53</t>
  </si>
  <si>
    <t>IDS2364_C2_52</t>
  </si>
  <si>
    <t>IDS2376_C3_53</t>
  </si>
  <si>
    <t>IDS2361_C2_59</t>
  </si>
  <si>
    <t>IDS2394_C6P_61</t>
  </si>
  <si>
    <t>IDS2394_C5P_61</t>
  </si>
  <si>
    <t>IDS2393_C4P_51</t>
  </si>
  <si>
    <t>IDS1899_C4_64</t>
  </si>
  <si>
    <t>3727 /18-19</t>
  </si>
  <si>
    <t>IDS2341_C3_61</t>
  </si>
  <si>
    <t>3727/18-19</t>
  </si>
  <si>
    <t>IDS2361_C1_59</t>
  </si>
  <si>
    <t>IDS2363_C5P_53</t>
  </si>
  <si>
    <t>IDS2366_C3_61</t>
  </si>
  <si>
    <t>IDS2373_C1</t>
  </si>
  <si>
    <t>IDS2380_C1_M</t>
  </si>
  <si>
    <t>IDS2380_C3_M</t>
  </si>
  <si>
    <t>IDS2390_C1P_52</t>
  </si>
  <si>
    <t>IDS2390_C2P_52</t>
  </si>
  <si>
    <t>IDS2390_C3P_52</t>
  </si>
  <si>
    <t>3727//18-19</t>
  </si>
  <si>
    <t>IDS2391_C1_47</t>
  </si>
  <si>
    <t>IDS2391_C2_47</t>
  </si>
  <si>
    <t>3772/18-19</t>
  </si>
  <si>
    <t>IDS2391_C3_47</t>
  </si>
  <si>
    <t>IDS2391_C4_47</t>
  </si>
  <si>
    <t>IDS2392_C1_49</t>
  </si>
  <si>
    <t>IDS2392_C3_49</t>
  </si>
  <si>
    <t>IDS2393_C1P_51</t>
  </si>
  <si>
    <t>IDS2393_C3P_51</t>
  </si>
  <si>
    <t>IDS2393_C5P_51</t>
  </si>
  <si>
    <t>IDS2394_C1_61</t>
  </si>
  <si>
    <t>ID2394_C2_61</t>
  </si>
  <si>
    <t>IDS2394_C3_61</t>
  </si>
  <si>
    <t>IDS2394_C4_61</t>
  </si>
  <si>
    <t>IDS2394_C7P_61</t>
  </si>
  <si>
    <t>IDS2407_C2_57</t>
  </si>
  <si>
    <t>IDS2436_C1_60</t>
  </si>
  <si>
    <t>IDS2436_C2_60</t>
  </si>
  <si>
    <t>3737/18-19</t>
  </si>
  <si>
    <t>IDS2436_C3_60</t>
  </si>
  <si>
    <t>IDS2438_C3_57</t>
  </si>
  <si>
    <t>IDS1899_C2_64</t>
  </si>
  <si>
    <t>IDS1899_C5_64</t>
  </si>
  <si>
    <t>IDS1899_C6_64</t>
  </si>
  <si>
    <t>3627/18-19</t>
  </si>
  <si>
    <t>IDS2405_C1_57</t>
  </si>
  <si>
    <t>IDS2415_C1_57</t>
  </si>
  <si>
    <t>IDS2418_C1P_52</t>
  </si>
  <si>
    <t>IDS2418_C3P_52</t>
  </si>
  <si>
    <t>IDS2423_C1_53</t>
  </si>
  <si>
    <t>IDS2423_C3_53</t>
  </si>
  <si>
    <t>IDS2426_C3_53</t>
  </si>
  <si>
    <t>IDS2426_C5_53</t>
  </si>
  <si>
    <t>IDS2429_C4P_57</t>
  </si>
  <si>
    <t>IDS2429_C5P_57</t>
  </si>
  <si>
    <t>RB2132_622_55</t>
  </si>
  <si>
    <t>3721/18-19</t>
  </si>
  <si>
    <t>RB2132_901_52</t>
  </si>
  <si>
    <t>RB2132_901_58</t>
  </si>
  <si>
    <t>RB2180_60171_49</t>
  </si>
  <si>
    <t>RB3342_00458_63</t>
  </si>
  <si>
    <t>RB3471_00471_32</t>
  </si>
  <si>
    <t>RB3539_0028G_54</t>
  </si>
  <si>
    <t>RB4165_86588_55</t>
  </si>
  <si>
    <t>RB4187_85613_54</t>
  </si>
  <si>
    <t>EA4086_501711_54</t>
  </si>
  <si>
    <t>3721/18_19</t>
  </si>
  <si>
    <t>EA4086_55528G_54</t>
  </si>
  <si>
    <t>EA4086_567713_54</t>
  </si>
  <si>
    <t>EA4092_501711_53</t>
  </si>
  <si>
    <t>EA4093_504287_52</t>
  </si>
  <si>
    <t>EA4093_508987_52</t>
  </si>
  <si>
    <t>EA4094_501711_56</t>
  </si>
  <si>
    <t>EA4095_50176G_56</t>
  </si>
  <si>
    <t>EA4095_50265A_56</t>
  </si>
  <si>
    <t>EA4097_501787_56</t>
  </si>
  <si>
    <t>EA4099_556783_56</t>
  </si>
  <si>
    <t>EA4099_55728G_56</t>
  </si>
  <si>
    <t>EA4101_556611_56</t>
  </si>
  <si>
    <t>EA4103_501781_56</t>
  </si>
  <si>
    <t>EA4103_50265A_56</t>
  </si>
  <si>
    <t>EA4103_55966G_56</t>
  </si>
  <si>
    <t>Walnut Excl</t>
  </si>
  <si>
    <t>330/18-19</t>
  </si>
  <si>
    <t>RB3442_004_59</t>
  </si>
  <si>
    <t>VO2870_2359_52</t>
  </si>
  <si>
    <t>IDS2394_C2_61</t>
  </si>
  <si>
    <t>IDS2392_C4_49</t>
  </si>
  <si>
    <t>S6D9F0/18/25</t>
  </si>
  <si>
    <t>Pankej Joshi</t>
  </si>
  <si>
    <t>Uttarpradesh</t>
  </si>
  <si>
    <t>sm147282681</t>
  </si>
  <si>
    <t>S6D9F0/18/27</t>
  </si>
  <si>
    <t>DR.K.Ramamoorthy</t>
  </si>
  <si>
    <t>Tamil Nadu</t>
  </si>
  <si>
    <t>S6D9F018/26</t>
  </si>
  <si>
    <t>Sumit Gaikwad</t>
  </si>
  <si>
    <t>S6D9F018/28</t>
  </si>
  <si>
    <t>Jithesh Adhikarath</t>
  </si>
  <si>
    <t xml:space="preserve">Karnatka </t>
  </si>
  <si>
    <t>SM148385517</t>
  </si>
  <si>
    <t>S6D9F018/29</t>
  </si>
  <si>
    <t xml:space="preserve">Varun Gunti </t>
  </si>
  <si>
    <t xml:space="preserve">Telangana </t>
  </si>
  <si>
    <t>IDS1655_COL2_</t>
  </si>
  <si>
    <t>Moll chand</t>
  </si>
  <si>
    <t>Jolly</t>
  </si>
  <si>
    <t xml:space="preserve">Surjeet Kaur </t>
  </si>
  <si>
    <t>Harnek Singh</t>
  </si>
  <si>
    <t>Iqbal Singh</t>
  </si>
  <si>
    <t xml:space="preserve">IDEE </t>
  </si>
  <si>
    <t>Bhinder Kaur</t>
  </si>
  <si>
    <t xml:space="preserve">Arshpreet </t>
  </si>
  <si>
    <t xml:space="preserve">Anita </t>
  </si>
  <si>
    <t xml:space="preserve">Navneet Kaur </t>
  </si>
  <si>
    <t>Swarnjeet Kaur</t>
  </si>
  <si>
    <t>IST9453_C3_48</t>
  </si>
  <si>
    <t>Harwinder Kaur</t>
  </si>
  <si>
    <t>Chandugah</t>
  </si>
  <si>
    <t>IDS2393_CIP_61</t>
  </si>
  <si>
    <t>4385/18-19</t>
  </si>
  <si>
    <t>TH6136_C3_51</t>
  </si>
  <si>
    <t>TH3171_C6_53</t>
  </si>
  <si>
    <t>TH3157_C4_53</t>
  </si>
  <si>
    <t>TH6130_C3_50</t>
  </si>
  <si>
    <t>TH6137_C3_48</t>
  </si>
  <si>
    <t>TH6133_C2_48</t>
  </si>
  <si>
    <t>TH6149_C4_51</t>
  </si>
  <si>
    <t>TH6151_C3_52</t>
  </si>
  <si>
    <t>TH6132_C6_50</t>
  </si>
  <si>
    <t>TH6130_C2_50</t>
  </si>
  <si>
    <t>TH3162_C1_52</t>
  </si>
  <si>
    <t>TH1009_C2_53</t>
  </si>
  <si>
    <t>TH3168_C1_51</t>
  </si>
  <si>
    <t>TH3165_C3_52</t>
  </si>
  <si>
    <t>TH6112_C3_52</t>
  </si>
  <si>
    <t>TH6138_C1_50</t>
  </si>
  <si>
    <t>TH6153_C1_52</t>
  </si>
  <si>
    <t>TH6141_C3_55</t>
  </si>
  <si>
    <t>SL10109_C4_54</t>
  </si>
  <si>
    <t>SL10109_C3_54</t>
  </si>
  <si>
    <t>SL10112_C2_51</t>
  </si>
  <si>
    <t>SL10100_C2_52</t>
  </si>
  <si>
    <t>SL10111_C1_49</t>
  </si>
  <si>
    <t>SL10111_C9_49</t>
  </si>
  <si>
    <t>SL55094_C1_52</t>
  </si>
  <si>
    <t>SL10120_C1_54</t>
  </si>
  <si>
    <t>SL55095_C1_51</t>
  </si>
  <si>
    <t>SL10120_C4_54</t>
  </si>
  <si>
    <t>SL10121_C3_52</t>
  </si>
  <si>
    <t>SL10098_C3_51</t>
  </si>
  <si>
    <t>SL55093_C4_52</t>
  </si>
  <si>
    <t>SL10101_C2_51</t>
  </si>
  <si>
    <t>SL55095_C2_51</t>
  </si>
  <si>
    <t>TH6123_C2_55</t>
  </si>
  <si>
    <t>a4</t>
  </si>
  <si>
    <t>SG/3896/18-19</t>
  </si>
  <si>
    <t>EA4099_556687_56</t>
  </si>
  <si>
    <t>sg/3896/18-19</t>
  </si>
  <si>
    <t>RB4187_6228G_54</t>
  </si>
  <si>
    <t>3896/18-`19</t>
  </si>
  <si>
    <t>VO5007_W4411_58</t>
  </si>
  <si>
    <t>S6D9F018/130</t>
  </si>
  <si>
    <t xml:space="preserve">Arup Patra </t>
  </si>
  <si>
    <t>West Bengal</t>
  </si>
  <si>
    <t>sm149040643</t>
  </si>
  <si>
    <t>S6D9F018/32</t>
  </si>
  <si>
    <t xml:space="preserve">Karthick Se.Van </t>
  </si>
  <si>
    <t xml:space="preserve">Orissa </t>
  </si>
  <si>
    <t>SM149747447</t>
  </si>
  <si>
    <t>S6D9F018/31</t>
  </si>
  <si>
    <t xml:space="preserve">Johring </t>
  </si>
  <si>
    <t>Assam</t>
  </si>
  <si>
    <t>SM149677069</t>
  </si>
  <si>
    <t>S6D9F018/33</t>
  </si>
  <si>
    <t>Mahesha</t>
  </si>
  <si>
    <t>SM149911842</t>
  </si>
  <si>
    <t>S6D9F18/29</t>
  </si>
  <si>
    <t>Varun Gunti</t>
  </si>
  <si>
    <t>S6D9F018/30</t>
  </si>
  <si>
    <t>Siddanthapu Srinivasarao Vasu</t>
  </si>
  <si>
    <t>SM150046695</t>
  </si>
  <si>
    <t xml:space="preserve">Sukhdev Kumar </t>
  </si>
  <si>
    <t>Amritpal Kaur</t>
  </si>
  <si>
    <t xml:space="preserve">Kiranjeet Kaur </t>
  </si>
  <si>
    <t xml:space="preserve">Changli </t>
  </si>
  <si>
    <t xml:space="preserve">Libra </t>
  </si>
  <si>
    <t xml:space="preserve">Nirbhai Kumar </t>
  </si>
  <si>
    <t>Harmesh Kaur</t>
  </si>
  <si>
    <t xml:space="preserve">Sukhwinder Kaur </t>
  </si>
  <si>
    <t>Meemsa</t>
  </si>
  <si>
    <t xml:space="preserve">Simaranjeet </t>
  </si>
  <si>
    <t xml:space="preserve">Sheela </t>
  </si>
  <si>
    <t xml:space="preserve">Jagsir </t>
  </si>
  <si>
    <t>VO5010_2362_51</t>
  </si>
  <si>
    <t>Rajesh Kumar</t>
  </si>
  <si>
    <t xml:space="preserve">Ushab Mandal </t>
  </si>
  <si>
    <t xml:space="preserve">Mehakpreet Kaur </t>
  </si>
  <si>
    <t>Rishu</t>
  </si>
  <si>
    <t xml:space="preserve">Sonia </t>
  </si>
  <si>
    <t>S6D9F018/35</t>
  </si>
  <si>
    <t xml:space="preserve">Totan Shil </t>
  </si>
  <si>
    <t xml:space="preserve">Bengal </t>
  </si>
  <si>
    <t>sm150320858</t>
  </si>
  <si>
    <t>RB2132_901L_55</t>
  </si>
  <si>
    <t>3948/18-19</t>
  </si>
  <si>
    <t>RB2132_63083F_55</t>
  </si>
  <si>
    <t>RB2140_90251_50</t>
  </si>
  <si>
    <t>RB3016_W0365_51</t>
  </si>
  <si>
    <t>RB3016_W0366_51</t>
  </si>
  <si>
    <t>RB3025_0024D_58</t>
  </si>
  <si>
    <t>RB3025_0014L_58</t>
  </si>
  <si>
    <t>RB3025_00232_58</t>
  </si>
  <si>
    <t>RB3025_00258_58</t>
  </si>
  <si>
    <t>RB3025_0065_55</t>
  </si>
  <si>
    <t>RB3025_11285_58</t>
  </si>
  <si>
    <t>RB3025_0013F_62</t>
  </si>
  <si>
    <t>RB3025_00158_62</t>
  </si>
  <si>
    <t>3938/18-19</t>
  </si>
  <si>
    <t>RB3025_00157_62</t>
  </si>
  <si>
    <t>RB3025_0033F_62</t>
  </si>
  <si>
    <t>RB3025_18171_62</t>
  </si>
  <si>
    <t>RB3026_W2027_62</t>
  </si>
  <si>
    <t>RB3129_W1504_58</t>
  </si>
  <si>
    <t>RB3129_W0228_58</t>
  </si>
  <si>
    <t>RB3136_181_58</t>
  </si>
  <si>
    <t>RB3412_004_63</t>
  </si>
  <si>
    <t>RB3412_001_63</t>
  </si>
  <si>
    <t>RB3412_002_63</t>
  </si>
  <si>
    <t>RB3432_001_59</t>
  </si>
  <si>
    <t>RB3449_00113_59</t>
  </si>
  <si>
    <t>RB3552_00173_58</t>
  </si>
  <si>
    <t>RB3553_00173_58</t>
  </si>
  <si>
    <t>RB3553_0049A_59</t>
  </si>
  <si>
    <t>RB3561_0013F_57</t>
  </si>
  <si>
    <t>RB3569_900873_59</t>
  </si>
  <si>
    <t>RB3569_90048G_59</t>
  </si>
  <si>
    <t>RB3570_900813_58</t>
  </si>
  <si>
    <t>RB4147_71051_60</t>
  </si>
  <si>
    <t>RB4165_6018G_55</t>
  </si>
  <si>
    <t>RB4165_71013_58</t>
  </si>
  <si>
    <t>RB4171_6228G_54</t>
  </si>
  <si>
    <t>RB4171_86513_54</t>
  </si>
  <si>
    <t>RB4171_710T5_54</t>
  </si>
  <si>
    <t>RB4205_6019A_56</t>
  </si>
  <si>
    <t>RB4231_60171_65</t>
  </si>
  <si>
    <t>RB4252_6018G_51</t>
  </si>
  <si>
    <t>RB4263_6015J_55</t>
  </si>
  <si>
    <t>RB4269_6018G_56</t>
  </si>
  <si>
    <t>RB4269_71013_56</t>
  </si>
  <si>
    <t>RB4252_6019A_51</t>
  </si>
  <si>
    <t>RB4251_71051_56</t>
  </si>
  <si>
    <t xml:space="preserve">CHD </t>
  </si>
  <si>
    <t>ID1539_C4_53</t>
  </si>
  <si>
    <t xml:space="preserve">Civic eye care   </t>
  </si>
  <si>
    <t xml:space="preserve">Jithesh adhikarath </t>
  </si>
  <si>
    <t xml:space="preserve">Karnataka </t>
  </si>
  <si>
    <t>S6DPF018/37</t>
  </si>
  <si>
    <t xml:space="preserve">Sunil Bohra </t>
  </si>
  <si>
    <t>SM150523801</t>
  </si>
  <si>
    <t>S6D9F018/37</t>
  </si>
  <si>
    <t xml:space="preserve">Kanagadevi Ramesh </t>
  </si>
  <si>
    <t xml:space="preserve">Tamil Nadu </t>
  </si>
  <si>
    <t>SM150855317</t>
  </si>
  <si>
    <t>OMK10101_10011_54</t>
  </si>
  <si>
    <t>3975/18-19</t>
  </si>
  <si>
    <t>OEA4092_50898G_53</t>
  </si>
  <si>
    <t xml:space="preserve">Maharashtra </t>
  </si>
  <si>
    <t xml:space="preserve">Tejpal </t>
  </si>
  <si>
    <t xml:space="preserve">Varinderpal </t>
  </si>
  <si>
    <t>Charnjeet Kaur</t>
  </si>
  <si>
    <t>Baltej Singh</t>
  </si>
  <si>
    <t xml:space="preserve">Bugra </t>
  </si>
  <si>
    <t xml:space="preserve">Shivpal </t>
  </si>
  <si>
    <t xml:space="preserve">Tarisha </t>
  </si>
  <si>
    <t xml:space="preserve">Charanjeet Kaur </t>
  </si>
  <si>
    <t>Bachan Kaur</t>
  </si>
  <si>
    <t>Chanchal</t>
  </si>
  <si>
    <t>Jaswant Singh</t>
  </si>
  <si>
    <t>Nabha</t>
  </si>
  <si>
    <t>VO2925B_2065_51</t>
  </si>
  <si>
    <t>LX-306</t>
  </si>
  <si>
    <t>VO5145_W44_52</t>
  </si>
  <si>
    <t>VO2924_W44_53</t>
  </si>
  <si>
    <t>VO2886_W656_51</t>
  </si>
  <si>
    <t>VO5010_W44_51</t>
  </si>
  <si>
    <t>VO3950SD_935S36_58</t>
  </si>
  <si>
    <t>VO5182_W4411_54</t>
  </si>
  <si>
    <t>VO3950SD_812S14_58</t>
  </si>
  <si>
    <t>S6D9F0/18/38</t>
  </si>
  <si>
    <t xml:space="preserve">Debapriya De Basu </t>
  </si>
  <si>
    <t>S6D9F0/18/39</t>
  </si>
  <si>
    <t>Ravindra Bidasra</t>
  </si>
  <si>
    <t xml:space="preserve">Rajasthan </t>
  </si>
  <si>
    <t>SM151706445</t>
  </si>
  <si>
    <t>S6D9F0/18/35</t>
  </si>
  <si>
    <t xml:space="preserve">West Bengal </t>
  </si>
  <si>
    <t xml:space="preserve">Karthick Sevan </t>
  </si>
  <si>
    <t>Orissa</t>
  </si>
  <si>
    <t>S6D9F018/40</t>
  </si>
  <si>
    <t xml:space="preserve">Surendra </t>
  </si>
  <si>
    <t xml:space="preserve">Madhya Pradesh </t>
  </si>
  <si>
    <t xml:space="preserve">Jain </t>
  </si>
  <si>
    <t xml:space="preserve">Balpreet Kaur </t>
  </si>
  <si>
    <t>Navjot Kaur</t>
  </si>
  <si>
    <t>Harvir Kaur</t>
  </si>
  <si>
    <t>Baldev Krishan</t>
  </si>
  <si>
    <t xml:space="preserve">Mitlesh </t>
  </si>
  <si>
    <t xml:space="preserve">Rajwinder Kaur </t>
  </si>
  <si>
    <t>Gurvir Singh</t>
  </si>
  <si>
    <t xml:space="preserve">Chuhana </t>
  </si>
  <si>
    <t xml:space="preserve">Mukul </t>
  </si>
  <si>
    <t>Gurmukh Singh</t>
  </si>
  <si>
    <t>Baljeet Singh</t>
  </si>
  <si>
    <t xml:space="preserve">Malkeet Kaur </t>
  </si>
  <si>
    <t xml:space="preserve">Ladda </t>
  </si>
  <si>
    <t>Ranvir Singh</t>
  </si>
  <si>
    <t xml:space="preserve">Lakhvir Singh </t>
  </si>
  <si>
    <t xml:space="preserve">Harmesh </t>
  </si>
  <si>
    <t>Vinay</t>
  </si>
  <si>
    <t xml:space="preserve">H.C.Singla </t>
  </si>
  <si>
    <t xml:space="preserve">Harwinder Kaur </t>
  </si>
  <si>
    <t xml:space="preserve">Jyoti </t>
  </si>
  <si>
    <t xml:space="preserve">Dhadhogal </t>
  </si>
  <si>
    <t>Rajvir Kaur</t>
  </si>
  <si>
    <t xml:space="preserve">Ramandeep Kaur </t>
  </si>
  <si>
    <t xml:space="preserve">Mukhtiar Kaur </t>
  </si>
  <si>
    <t>Gurdial Kaur</t>
  </si>
  <si>
    <t>Navtej Singh</t>
  </si>
  <si>
    <t xml:space="preserve">Gurmeet Kaur </t>
  </si>
  <si>
    <t>IDEE SG.</t>
  </si>
  <si>
    <t>4012/18-19</t>
  </si>
  <si>
    <t>4814/18-19</t>
  </si>
  <si>
    <t>RX5312_5213_52</t>
  </si>
  <si>
    <t>RX5312_2477_54</t>
  </si>
  <si>
    <t>RX5346_5504_52</t>
  </si>
  <si>
    <t>RX5346_5504_54</t>
  </si>
  <si>
    <t>RX6266_2500_53</t>
  </si>
  <si>
    <t>RX6302_2509_52</t>
  </si>
  <si>
    <t>RX6304_2501_54</t>
  </si>
  <si>
    <t>RX6304_2502_54</t>
  </si>
  <si>
    <t>RX6304_2509_54</t>
  </si>
  <si>
    <t>RX6323_2500_52</t>
  </si>
  <si>
    <t>RX6323_2502_52</t>
  </si>
  <si>
    <t>RX7127_2000_53</t>
  </si>
  <si>
    <t>RX7127_2012_53</t>
  </si>
  <si>
    <t>RX7129_5419_54</t>
  </si>
  <si>
    <t>TH7984_C1_59</t>
  </si>
  <si>
    <t>SS102_C4_51</t>
  </si>
  <si>
    <t>SS110_C3_52</t>
  </si>
  <si>
    <t>SS112_C1_53</t>
  </si>
  <si>
    <t xml:space="preserve">Baljeet Kaur </t>
  </si>
  <si>
    <t xml:space="preserve">Harnoor </t>
  </si>
  <si>
    <t xml:space="preserve">Paramjeet Kaur </t>
  </si>
  <si>
    <t xml:space="preserve">Gaman </t>
  </si>
  <si>
    <t>Jagdev Singh</t>
  </si>
  <si>
    <t>Aktar Ali</t>
  </si>
  <si>
    <t xml:space="preserve">Arshdeep </t>
  </si>
  <si>
    <t>Ramanvir</t>
  </si>
  <si>
    <t>Kandargarh</t>
  </si>
  <si>
    <t>Sarbjeet Kaur</t>
  </si>
  <si>
    <t>Gurjant Singh</t>
  </si>
  <si>
    <t xml:space="preserve">Mahinder Kaur </t>
  </si>
  <si>
    <t>Mahinder Singh</t>
  </si>
  <si>
    <t xml:space="preserve">Mandeep Kaur </t>
  </si>
  <si>
    <t xml:space="preserve">Daljeet Kaur </t>
  </si>
  <si>
    <t>Jyoti</t>
  </si>
  <si>
    <t>Jamuna devi</t>
  </si>
  <si>
    <t xml:space="preserve">Munshi </t>
  </si>
  <si>
    <t>Darshna Devi</t>
  </si>
  <si>
    <t xml:space="preserve">Suresh Rani </t>
  </si>
  <si>
    <t>Duggan</t>
  </si>
  <si>
    <t xml:space="preserve">Gagandeep </t>
  </si>
  <si>
    <t xml:space="preserve">Reena </t>
  </si>
  <si>
    <t>Poonam</t>
  </si>
  <si>
    <t xml:space="preserve">Rajesh </t>
  </si>
  <si>
    <t xml:space="preserve">Gurwinder Kaur </t>
  </si>
  <si>
    <t xml:space="preserve">Gyatri </t>
  </si>
  <si>
    <t xml:space="preserve">Salma </t>
  </si>
  <si>
    <t xml:space="preserve">Jaswinder Kaur </t>
  </si>
  <si>
    <t>Nikka Singh</t>
  </si>
  <si>
    <t xml:space="preserve">Kanjla </t>
  </si>
  <si>
    <t xml:space="preserve">Plasour </t>
  </si>
  <si>
    <t>Ravitosh</t>
  </si>
  <si>
    <t>Mandeep Kaur</t>
  </si>
  <si>
    <t>Navdeep</t>
  </si>
  <si>
    <t xml:space="preserve">Baljinder Kaur </t>
  </si>
  <si>
    <t xml:space="preserve">Napinder </t>
  </si>
  <si>
    <t>Sunil Bohra</t>
  </si>
  <si>
    <t>S6D9F0/18/45</t>
  </si>
  <si>
    <t>FAIZ</t>
  </si>
  <si>
    <t>SM153133767</t>
  </si>
  <si>
    <t>S6D9F018/42</t>
  </si>
  <si>
    <t>Arnab Majumdar</t>
  </si>
  <si>
    <t>S6D9F0/18/33</t>
  </si>
  <si>
    <t>Karnatka</t>
  </si>
  <si>
    <t>S6D9F018/43</t>
  </si>
  <si>
    <t>Kune Lamare</t>
  </si>
  <si>
    <t>S6D9F018/41</t>
  </si>
  <si>
    <t>Keya Debnath</t>
  </si>
  <si>
    <t>Chhattisgarh</t>
  </si>
  <si>
    <t>SM152439709</t>
  </si>
  <si>
    <t>OO9343_05_45</t>
  </si>
  <si>
    <t>Civic eye  care</t>
  </si>
  <si>
    <t>OO9272_02_56</t>
  </si>
  <si>
    <t>OO9211_05</t>
  </si>
  <si>
    <t>RX7027_5196_54</t>
  </si>
  <si>
    <t>4908/18-19</t>
  </si>
  <si>
    <t>CK3154_001_62</t>
  </si>
  <si>
    <t>CK3161S_001_58</t>
  </si>
  <si>
    <t>CK4191_004_57</t>
  </si>
  <si>
    <t>CK4223S_377_52</t>
  </si>
  <si>
    <t>487/18-19</t>
  </si>
  <si>
    <t>491/18-19</t>
  </si>
  <si>
    <t>IDS1994_C7_56</t>
  </si>
  <si>
    <t xml:space="preserve">Inderjeet Kaur </t>
  </si>
  <si>
    <t>IST9146_53</t>
  </si>
  <si>
    <t>Sunil Kansal</t>
  </si>
  <si>
    <t xml:space="preserve">Jasmeet Kaur </t>
  </si>
  <si>
    <t>Ranike</t>
  </si>
  <si>
    <t>Harshdeep</t>
  </si>
  <si>
    <t>Vikas Singla</t>
  </si>
  <si>
    <t xml:space="preserve">Gurjeet Kaur </t>
  </si>
  <si>
    <t>Amrinder Singh</t>
  </si>
  <si>
    <t>Kala</t>
  </si>
  <si>
    <t xml:space="preserve">Sehajdeep </t>
  </si>
  <si>
    <t>Krish</t>
  </si>
  <si>
    <t>Naib Singh</t>
  </si>
  <si>
    <t>Baljinder Kaur</t>
  </si>
  <si>
    <t xml:space="preserve">Neha </t>
  </si>
  <si>
    <t>Bhawanpreet</t>
  </si>
  <si>
    <t>Surinder Kaur</t>
  </si>
  <si>
    <t xml:space="preserve">Kajal </t>
  </si>
  <si>
    <t>Avleen Kaur</t>
  </si>
  <si>
    <t>VO2950_W827_51</t>
  </si>
  <si>
    <t>S6D9F/018/48</t>
  </si>
  <si>
    <t>Naureen Mustafa</t>
  </si>
  <si>
    <t>SM154808896</t>
  </si>
  <si>
    <t>Pooja Garg</t>
  </si>
  <si>
    <t>OO9102_51_55</t>
  </si>
  <si>
    <t>S6D9F018/53</t>
  </si>
  <si>
    <t>Varun Harshath</t>
  </si>
  <si>
    <t>S6D9F018/49</t>
  </si>
  <si>
    <t>Sager Sharma</t>
  </si>
  <si>
    <t>SM154852302</t>
  </si>
  <si>
    <t>S6D9F018/51</t>
  </si>
  <si>
    <t>Arjun</t>
  </si>
  <si>
    <t>SM155276418</t>
  </si>
  <si>
    <t>S6DF018/52</t>
  </si>
  <si>
    <t xml:space="preserve">Arjun </t>
  </si>
  <si>
    <t>Andra Pradesh</t>
  </si>
  <si>
    <t>SM155326801</t>
  </si>
  <si>
    <t>4979/18-19</t>
  </si>
  <si>
    <t>ID1543_C2_53</t>
  </si>
  <si>
    <t>ID1543_C4_54</t>
  </si>
  <si>
    <t>ID1543_C5_54</t>
  </si>
  <si>
    <t>ID1543_C7_54</t>
  </si>
  <si>
    <t>ID1476_C3_52</t>
  </si>
  <si>
    <t>ID1562_C2_51</t>
  </si>
  <si>
    <t>ID1544_C5_52</t>
  </si>
  <si>
    <t>ID1494_C3_52</t>
  </si>
  <si>
    <t>ID1484_C4_51</t>
  </si>
  <si>
    <t>ID1484_C5_51</t>
  </si>
  <si>
    <t>ID1484_C6_51</t>
  </si>
  <si>
    <t>ID1545_C1_54</t>
  </si>
  <si>
    <t>ID1545_C3_54</t>
  </si>
  <si>
    <t>4979/`18-19</t>
  </si>
  <si>
    <t>ID1546_C1_52</t>
  </si>
  <si>
    <t>ID1546_C4_52</t>
  </si>
  <si>
    <t>ID1546_C5_52</t>
  </si>
  <si>
    <t>ID1519_C3_49</t>
  </si>
  <si>
    <t>ID1519_C2_49</t>
  </si>
  <si>
    <t>ID1525_C3_55</t>
  </si>
  <si>
    <t>ID1490_C2_53</t>
  </si>
  <si>
    <t>ID1447_C2_51</t>
  </si>
  <si>
    <t>ID1470_C6_52</t>
  </si>
  <si>
    <t>ID1517_C1_55</t>
  </si>
  <si>
    <t>ID1517_C3_55</t>
  </si>
  <si>
    <t>ID1504_C2_52</t>
  </si>
  <si>
    <t>ID1504_C4_52</t>
  </si>
  <si>
    <t>ID1482_C1_50</t>
  </si>
  <si>
    <t>ID1482_C4_50</t>
  </si>
  <si>
    <t>ID1482_C5_50</t>
  </si>
  <si>
    <t>ID1477_C4_53</t>
  </si>
  <si>
    <t>ID1460_C1_51</t>
  </si>
  <si>
    <t>ID1560_C3_51</t>
  </si>
  <si>
    <t>ID1559_C3_51</t>
  </si>
  <si>
    <t>ID1559_C5_51</t>
  </si>
  <si>
    <t>ID1520_C2_50</t>
  </si>
  <si>
    <t>ID1520_C3_50</t>
  </si>
  <si>
    <t xml:space="preserve">Nayjot Kaur </t>
  </si>
  <si>
    <t>Sandeep Kaur</t>
  </si>
  <si>
    <t>Joginder Yadav</t>
  </si>
  <si>
    <t>Pragya</t>
  </si>
  <si>
    <t>Kanjla</t>
  </si>
  <si>
    <t xml:space="preserve">Sharuti </t>
  </si>
  <si>
    <t>Jagjit Singh</t>
  </si>
  <si>
    <t xml:space="preserve">Manjeet Kaur </t>
  </si>
  <si>
    <t>Balyal</t>
  </si>
  <si>
    <t>Santokh Singh</t>
  </si>
  <si>
    <t>Krishan Yadav</t>
  </si>
  <si>
    <t>Jasmeet Singh</t>
  </si>
  <si>
    <t>OO9135_11_56</t>
  </si>
  <si>
    <t>S6D9F018/54</t>
  </si>
  <si>
    <t>Shabir Ali Lone</t>
  </si>
  <si>
    <t>SM156762358</t>
  </si>
  <si>
    <t>S6D9F018/55</t>
  </si>
  <si>
    <t>Taniya Maini</t>
  </si>
  <si>
    <t>SM156960626</t>
  </si>
  <si>
    <t>VO5133S_W4411_53</t>
  </si>
  <si>
    <t>VO4070_50597B_52</t>
  </si>
  <si>
    <t>VO5136S_W65613_52</t>
  </si>
  <si>
    <t>VO5132S_25677B_52</t>
  </si>
  <si>
    <t>VO4049_84813_55</t>
  </si>
  <si>
    <t>VO2789_1941_52</t>
  </si>
  <si>
    <t>Komaldeep</t>
  </si>
  <si>
    <t>dhuri</t>
  </si>
  <si>
    <t>Swran Kaur</t>
  </si>
  <si>
    <t>Rudla Singh</t>
  </si>
  <si>
    <t>Sezal</t>
  </si>
  <si>
    <t>Meharonisha</t>
  </si>
  <si>
    <t>Jagtar Singh</t>
  </si>
  <si>
    <t>Rupinder Kaur</t>
  </si>
  <si>
    <t xml:space="preserve">Dalvir </t>
  </si>
  <si>
    <t>Singh</t>
  </si>
  <si>
    <t>Nishaan</t>
  </si>
  <si>
    <t>Suresh Kumar</t>
  </si>
  <si>
    <t>Mahinder Kaur</t>
  </si>
  <si>
    <t xml:space="preserve">Harpal Kaur </t>
  </si>
  <si>
    <t>Naresh Kumar</t>
  </si>
  <si>
    <t>Wazidke</t>
  </si>
  <si>
    <t xml:space="preserve">Gurvir </t>
  </si>
  <si>
    <t>Rajia</t>
  </si>
  <si>
    <t>Paramvir Singh</t>
  </si>
  <si>
    <t>Ram Nath</t>
  </si>
  <si>
    <t xml:space="preserve">Husanpreet </t>
  </si>
  <si>
    <t>Jashanpreet</t>
  </si>
  <si>
    <t>Jasvir Kaur</t>
  </si>
  <si>
    <t xml:space="preserve">Steward Metal </t>
  </si>
  <si>
    <t>Dharamjeet Kaur</t>
  </si>
  <si>
    <t>Satish Kumar</t>
  </si>
  <si>
    <t>Harpreet Singh</t>
  </si>
  <si>
    <t xml:space="preserve">Parminder </t>
  </si>
  <si>
    <t>Progressive CR</t>
  </si>
  <si>
    <t>Avtar Singh</t>
  </si>
  <si>
    <t>Jarnail Kaur</t>
  </si>
  <si>
    <t xml:space="preserve">Pooja </t>
  </si>
  <si>
    <t xml:space="preserve">Amanjot </t>
  </si>
  <si>
    <t xml:space="preserve">Surjeet Singh </t>
  </si>
  <si>
    <t>Abdul</t>
  </si>
  <si>
    <t>Muzida</t>
  </si>
  <si>
    <t>Rajinder Kaur</t>
  </si>
  <si>
    <t>Jahangir</t>
  </si>
  <si>
    <t>Tarsem Singh</t>
  </si>
  <si>
    <t xml:space="preserve">Dailpur </t>
  </si>
  <si>
    <t xml:space="preserve">CR HC. </t>
  </si>
  <si>
    <t>Farhan Ali</t>
  </si>
  <si>
    <t>Niru</t>
  </si>
  <si>
    <t>Malerkotla</t>
  </si>
  <si>
    <t>Progressive ARC</t>
  </si>
  <si>
    <t xml:space="preserve">Rajnish Uppal </t>
  </si>
  <si>
    <t>Kalsi</t>
  </si>
  <si>
    <t>ID721_C2_54</t>
  </si>
  <si>
    <t>Jaya prakash</t>
  </si>
  <si>
    <t>M Siv A Subramaniam</t>
  </si>
  <si>
    <t>Andaman</t>
  </si>
  <si>
    <t>S6D9F018/59</t>
  </si>
  <si>
    <t>Rakesh</t>
  </si>
  <si>
    <t xml:space="preserve">Vinay </t>
  </si>
  <si>
    <t xml:space="preserve">Vipin </t>
  </si>
  <si>
    <t>C.Lens</t>
  </si>
  <si>
    <t>Hathan</t>
  </si>
  <si>
    <t xml:space="preserve">Geeta </t>
  </si>
  <si>
    <t xml:space="preserve">Prabhjot </t>
  </si>
  <si>
    <t>Sukhmanjot Kaur</t>
  </si>
  <si>
    <t>CRIZAL UV.</t>
  </si>
  <si>
    <t xml:space="preserve">Vikrant </t>
  </si>
  <si>
    <t>Sarbhjeet Kaur</t>
  </si>
  <si>
    <t xml:space="preserve">Meenakshi </t>
  </si>
  <si>
    <t>Usha Rani</t>
  </si>
  <si>
    <t>Jaswant  Kaur</t>
  </si>
  <si>
    <t>Kamalpreet</t>
  </si>
  <si>
    <t xml:space="preserve">Gurkaran </t>
  </si>
  <si>
    <t>Amargarh</t>
  </si>
  <si>
    <t>Sajjan Ali</t>
  </si>
  <si>
    <t>Mrs. Mittal</t>
  </si>
  <si>
    <t>Shaurya</t>
  </si>
  <si>
    <t>Husanpreet</t>
  </si>
  <si>
    <t xml:space="preserve">Maninder Kaur </t>
  </si>
  <si>
    <t xml:space="preserve">Harmanpreet </t>
  </si>
  <si>
    <t xml:space="preserve">Parneet </t>
  </si>
  <si>
    <t>Akash</t>
  </si>
  <si>
    <t>Harmanpreet</t>
  </si>
  <si>
    <t xml:space="preserve">Komalpreet </t>
  </si>
  <si>
    <t xml:space="preserve">Jaskaran </t>
  </si>
  <si>
    <t>Mrs. Bali</t>
  </si>
  <si>
    <t xml:space="preserve">Sudha </t>
  </si>
  <si>
    <t>Joginder Singh</t>
  </si>
  <si>
    <t>Balial</t>
  </si>
  <si>
    <t>Jappanjot</t>
  </si>
  <si>
    <t>Pargat Singh</t>
  </si>
  <si>
    <t>Rani bagam</t>
  </si>
  <si>
    <t>Ladda</t>
  </si>
  <si>
    <t xml:space="preserve">Rani </t>
  </si>
  <si>
    <t>Harchandpur</t>
  </si>
  <si>
    <t xml:space="preserve">Rakshit </t>
  </si>
  <si>
    <t xml:space="preserve">Latika </t>
  </si>
  <si>
    <t xml:space="preserve">Shabir Ali Lone </t>
  </si>
  <si>
    <t>S6D9F0/18/60</t>
  </si>
  <si>
    <t>Jyotiram</t>
  </si>
  <si>
    <t>SM159539236</t>
  </si>
  <si>
    <t>FEDEX</t>
  </si>
  <si>
    <t>Seems</t>
  </si>
  <si>
    <t>SM160191644</t>
  </si>
  <si>
    <t>Kamalpreet Kaur</t>
  </si>
  <si>
    <t>Mr. Lalit Goyal</t>
  </si>
  <si>
    <t>Gurdial Singh</t>
  </si>
  <si>
    <t>Benra</t>
  </si>
  <si>
    <t>Dawinder Singh</t>
  </si>
  <si>
    <t>Sanjana</t>
  </si>
  <si>
    <t>Kulwinder Kaur</t>
  </si>
  <si>
    <t xml:space="preserve">Mehakpreet </t>
  </si>
  <si>
    <t>Baljeet Kaur</t>
  </si>
  <si>
    <t>VO4036S_65614_57</t>
  </si>
  <si>
    <t>LX-460</t>
  </si>
  <si>
    <t>VO4010S_35211_57</t>
  </si>
  <si>
    <t>VO4010S_99713_57</t>
  </si>
  <si>
    <t>LX-461</t>
  </si>
  <si>
    <t>Sunita Rani</t>
  </si>
  <si>
    <t>Jonty</t>
  </si>
  <si>
    <t>Nachater Kaur</t>
  </si>
  <si>
    <t xml:space="preserve">Yogesh Sharma </t>
  </si>
  <si>
    <t>Mr. Sanjiv Kumar</t>
  </si>
  <si>
    <t>S6D9F018/63</t>
  </si>
  <si>
    <t>Jecky Dalbehera</t>
  </si>
  <si>
    <t>SM160599032</t>
  </si>
  <si>
    <t xml:space="preserve">DR.Manpreet </t>
  </si>
  <si>
    <t>Patiala</t>
  </si>
  <si>
    <t>S6D9F0/18/64</t>
  </si>
  <si>
    <t xml:space="preserve">Surendra Kumar </t>
  </si>
  <si>
    <t>SM161201920</t>
  </si>
  <si>
    <t>Manoj Panda</t>
  </si>
  <si>
    <t>Sukhwant Kaur</t>
  </si>
  <si>
    <t>Bhagwant Singh</t>
  </si>
  <si>
    <t>Nirmal Kaur</t>
  </si>
  <si>
    <t>Ujjaggar Singh</t>
  </si>
  <si>
    <t>Sarabhjeet Kaur</t>
  </si>
  <si>
    <t xml:space="preserve">Sehajvir </t>
  </si>
  <si>
    <t xml:space="preserve">L CHAND </t>
  </si>
  <si>
    <t>Amrit Kumar</t>
  </si>
  <si>
    <t xml:space="preserve">Haryana </t>
  </si>
  <si>
    <t>CK4251S_001_56</t>
  </si>
  <si>
    <t>COL.GLASS</t>
  </si>
  <si>
    <t>Kurd</t>
  </si>
  <si>
    <t>Lovely</t>
  </si>
  <si>
    <t>Binder Singh</t>
  </si>
  <si>
    <t>Varinder</t>
  </si>
  <si>
    <t>Bhagwan Singh</t>
  </si>
  <si>
    <t>Tanvi</t>
  </si>
  <si>
    <t>Harleen Kaur</t>
  </si>
  <si>
    <t>Lovpreet</t>
  </si>
  <si>
    <t>Madhan lal</t>
  </si>
  <si>
    <t>Amar Kaur</t>
  </si>
  <si>
    <t>Chandigarrh</t>
  </si>
  <si>
    <t>OO9266_03</t>
  </si>
  <si>
    <t>VO2778SB_W4487_58</t>
  </si>
  <si>
    <t>RB4147_71051_50</t>
  </si>
  <si>
    <t>OO9266_02_59</t>
  </si>
  <si>
    <t>VO5166S_265613_51</t>
  </si>
  <si>
    <t>VO2870_235913_52</t>
  </si>
  <si>
    <t>VO3893_280_54</t>
  </si>
  <si>
    <t>VO2924B_2065_51</t>
  </si>
  <si>
    <t>VO3990S_81314_58</t>
  </si>
  <si>
    <t>VO2906_2048_51</t>
  </si>
  <si>
    <t>OO9208_02</t>
  </si>
  <si>
    <t>Progressiv PG.</t>
  </si>
  <si>
    <t>Hari Ram</t>
  </si>
  <si>
    <t>Sukhdev Muni</t>
  </si>
  <si>
    <t>Ramanpreet</t>
  </si>
  <si>
    <t>Kakarwal</t>
  </si>
  <si>
    <t>Chotti Kaur</t>
  </si>
  <si>
    <t>Priyanshi</t>
  </si>
  <si>
    <t xml:space="preserve">Ishu </t>
  </si>
  <si>
    <t>Kamla Rani</t>
  </si>
  <si>
    <t xml:space="preserve">Rashpreet </t>
  </si>
  <si>
    <t xml:space="preserve">Damanpreet </t>
  </si>
  <si>
    <t>Harcharan Kaur</t>
  </si>
  <si>
    <t>Garry</t>
  </si>
  <si>
    <t>Parveen</t>
  </si>
  <si>
    <t>Raj Singh</t>
  </si>
  <si>
    <t>Parminder Kaur</t>
  </si>
  <si>
    <t>Harjot Kaur</t>
  </si>
  <si>
    <t xml:space="preserve">Vishal </t>
  </si>
  <si>
    <t>Amanpreet Kaur</t>
  </si>
  <si>
    <t>Japji</t>
  </si>
  <si>
    <t>Harsh</t>
  </si>
  <si>
    <t>KRBL</t>
  </si>
  <si>
    <t xml:space="preserve">Lovepreet </t>
  </si>
  <si>
    <t>Abhi Sharma</t>
  </si>
  <si>
    <t>Saroj</t>
  </si>
  <si>
    <t xml:space="preserve">Haripal </t>
  </si>
  <si>
    <t>Gyanti Devi</t>
  </si>
  <si>
    <t xml:space="preserve">Melo </t>
  </si>
  <si>
    <t>Boha</t>
  </si>
  <si>
    <t>Harwinder Singh</t>
  </si>
  <si>
    <t xml:space="preserve">Seema </t>
  </si>
  <si>
    <t>Salma</t>
  </si>
  <si>
    <t>Mehakpreet Kaur</t>
  </si>
  <si>
    <t>Jugal Kishor</t>
  </si>
  <si>
    <t>Varinder Singh</t>
  </si>
  <si>
    <t xml:space="preserve">Himtana </t>
  </si>
  <si>
    <t>RB4147_710_60</t>
  </si>
  <si>
    <t>VO2843B_201148_55</t>
  </si>
  <si>
    <t>s6d9f0/18/71</t>
  </si>
  <si>
    <t>chogyal</t>
  </si>
  <si>
    <t>Sikkim</t>
  </si>
  <si>
    <t>SM167292275</t>
  </si>
  <si>
    <t>vijay</t>
  </si>
  <si>
    <t>Deeksha</t>
  </si>
  <si>
    <t>Ritu Garg</t>
  </si>
  <si>
    <t>Civic Eyecare</t>
  </si>
  <si>
    <t>RB3025_00115_55</t>
  </si>
  <si>
    <t>Civic eyecare</t>
  </si>
  <si>
    <t xml:space="preserve">Kulwant Kaur </t>
  </si>
  <si>
    <t>Kashavi</t>
  </si>
  <si>
    <t>Karamjeet Singh</t>
  </si>
  <si>
    <t>Gopal krishan</t>
  </si>
  <si>
    <t>D.K Mittal</t>
  </si>
  <si>
    <t xml:space="preserve">Pushpinder Kaur </t>
  </si>
  <si>
    <t>Pirtpal Kaur</t>
  </si>
  <si>
    <t xml:space="preserve">Sukhdev Kaur </t>
  </si>
  <si>
    <t>RB7129_5419_54</t>
  </si>
  <si>
    <t>DR.Daya Ram</t>
  </si>
  <si>
    <t>Udayvir Singh</t>
  </si>
  <si>
    <t>VO2941S_2535R_56</t>
  </si>
  <si>
    <t>S6D9F0/18/72</t>
  </si>
  <si>
    <t>Nipun Mehta</t>
  </si>
  <si>
    <t>SM168589114</t>
  </si>
  <si>
    <t>ID1557_C4_52</t>
  </si>
  <si>
    <t>ID1563_C5_53</t>
  </si>
  <si>
    <t>ID1564_C6_50</t>
  </si>
  <si>
    <t>ID1567_C6_51</t>
  </si>
  <si>
    <t>RBTYPE</t>
  </si>
  <si>
    <t xml:space="preserve">Akashdeep </t>
  </si>
  <si>
    <t>Sawarn Kaur</t>
  </si>
  <si>
    <t>Sunridhi</t>
  </si>
  <si>
    <t>Rittu Garg</t>
  </si>
  <si>
    <t>Sardara Begam</t>
  </si>
  <si>
    <t>Baljinder Singh</t>
  </si>
  <si>
    <t>Arshdeep Kaur</t>
  </si>
  <si>
    <t>Tarshan Singh</t>
  </si>
  <si>
    <t>Harpreet</t>
  </si>
  <si>
    <t>Amreen</t>
  </si>
  <si>
    <t>Ruksana</t>
  </si>
  <si>
    <t>Gurdian Kaur</t>
  </si>
  <si>
    <t>Mohan Singh</t>
  </si>
  <si>
    <t>Babalpreet</t>
  </si>
  <si>
    <t xml:space="preserve">Sezal </t>
  </si>
  <si>
    <t>Mehardin</t>
  </si>
  <si>
    <t>Pushpinder Kaur</t>
  </si>
  <si>
    <t>Ridhi Bansal</t>
  </si>
  <si>
    <t>IDS2195_C4_49</t>
  </si>
  <si>
    <t>Saruchi Bansal</t>
  </si>
  <si>
    <t>Sukhjeet Kaur</t>
  </si>
  <si>
    <t>Plasour</t>
  </si>
  <si>
    <t>Baseeran</t>
  </si>
  <si>
    <t xml:space="preserve">Satyam </t>
  </si>
  <si>
    <t>Palwinder Singh</t>
  </si>
  <si>
    <t>Nachhater Singh</t>
  </si>
  <si>
    <t>Aasiana</t>
  </si>
  <si>
    <t>Bhawar Bansal</t>
  </si>
  <si>
    <t>C.S.Musafir</t>
  </si>
  <si>
    <t>Chandgarh</t>
  </si>
  <si>
    <t>4525/18-19</t>
  </si>
  <si>
    <t>RB3025_11219_58</t>
  </si>
  <si>
    <t>RB3025_0015_55</t>
  </si>
  <si>
    <t>RB3025_01451_55</t>
  </si>
  <si>
    <t>RB4147_613713_60</t>
  </si>
  <si>
    <t>925/18-19</t>
  </si>
  <si>
    <t>926/18-19</t>
  </si>
  <si>
    <t>927/18-19</t>
  </si>
  <si>
    <t>RB3432_002_58</t>
  </si>
  <si>
    <t xml:space="preserve">C/o Balvir </t>
  </si>
  <si>
    <t>Parwez Bling</t>
  </si>
  <si>
    <t>Harjinder Singh</t>
  </si>
  <si>
    <t>Anjali</t>
  </si>
  <si>
    <t>Gagandeep</t>
  </si>
  <si>
    <t>Rekha</t>
  </si>
  <si>
    <t>Sukhpal Singh</t>
  </si>
  <si>
    <t xml:space="preserve">Yuvreet </t>
  </si>
  <si>
    <t>Parameet Kaur</t>
  </si>
  <si>
    <t>Banka</t>
  </si>
  <si>
    <t>Virpal Kaur</t>
  </si>
  <si>
    <t>Bhajan Kaur</t>
  </si>
  <si>
    <t xml:space="preserve">Pushpa </t>
  </si>
  <si>
    <t>RB3432_001_58</t>
  </si>
  <si>
    <t>928/18-19</t>
  </si>
  <si>
    <t>000929/18-19</t>
  </si>
  <si>
    <t>OO9013_24-297_55</t>
  </si>
  <si>
    <t>ID1544_C7_52</t>
  </si>
  <si>
    <t>Harjinder Kaur</t>
  </si>
  <si>
    <t>Makhan Singh</t>
  </si>
  <si>
    <t>Parsin Kaur</t>
  </si>
  <si>
    <t>Dhadhogal</t>
  </si>
  <si>
    <t xml:space="preserve">Mandeep </t>
  </si>
  <si>
    <t>Vimal Muni</t>
  </si>
  <si>
    <t>Jasmine Kaur</t>
  </si>
  <si>
    <t>Sahbina</t>
  </si>
  <si>
    <t>FR/5525/18-19</t>
  </si>
  <si>
    <t>RX6426_2975_53</t>
  </si>
  <si>
    <t>VO3982S_84813_58</t>
  </si>
  <si>
    <t>Bhupinder Singh</t>
  </si>
  <si>
    <t>Prem Rani</t>
  </si>
  <si>
    <t>LC.Joshish</t>
  </si>
  <si>
    <t xml:space="preserve">Gurpreet </t>
  </si>
  <si>
    <t>Yash</t>
  </si>
  <si>
    <t>OO9272_08</t>
  </si>
  <si>
    <t>974/18-19</t>
  </si>
  <si>
    <t>Madhan Lal</t>
  </si>
  <si>
    <t>Sarita Joshi</t>
  </si>
  <si>
    <t>5578/18-19</t>
  </si>
  <si>
    <t>RX5363_5529_51</t>
  </si>
  <si>
    <t>RX6589_2500_56</t>
  </si>
  <si>
    <t>RX3610_2500_58</t>
  </si>
  <si>
    <t xml:space="preserve">THREE PIECE </t>
  </si>
  <si>
    <t>Sawarnjeet Kaur</t>
  </si>
  <si>
    <t xml:space="preserve">Parwinder </t>
  </si>
  <si>
    <t xml:space="preserve">Simranjeet </t>
  </si>
  <si>
    <t xml:space="preserve">Satinder </t>
  </si>
  <si>
    <t>Gurpreet</t>
  </si>
  <si>
    <t>Simranjeet</t>
  </si>
  <si>
    <t>Parneet Kaur</t>
  </si>
  <si>
    <t>Harshita</t>
  </si>
  <si>
    <t>Kulwinder</t>
  </si>
  <si>
    <t>Asha Rani</t>
  </si>
  <si>
    <t>Najar Singh</t>
  </si>
  <si>
    <t>Gian Singh</t>
  </si>
  <si>
    <t>Malwinder Kaur</t>
  </si>
  <si>
    <t>Inderjeet Kumar</t>
  </si>
  <si>
    <t>Ram Dial</t>
  </si>
  <si>
    <t>Keshav</t>
  </si>
  <si>
    <t>Ujjagar Singh</t>
  </si>
  <si>
    <t>Bhumi</t>
  </si>
  <si>
    <t>RB3306_001_60</t>
  </si>
  <si>
    <t>918/18-19</t>
  </si>
  <si>
    <t>RB3026_L2928_58</t>
  </si>
  <si>
    <t>922/18-19</t>
  </si>
  <si>
    <t>RB4210_154G_54</t>
  </si>
  <si>
    <t>933/18-19</t>
  </si>
  <si>
    <t>995/18-19</t>
  </si>
  <si>
    <t>Roop Singh</t>
  </si>
  <si>
    <t>Balwinder Singh</t>
  </si>
  <si>
    <t>Binder Kaur</t>
  </si>
  <si>
    <t>Jugal Pandit</t>
  </si>
  <si>
    <t>Gurmail Kaur</t>
  </si>
  <si>
    <t>Babu Singh</t>
  </si>
  <si>
    <t>1/2 Pair</t>
  </si>
  <si>
    <t>Gursimran Singh</t>
  </si>
  <si>
    <t>Kiranjot</t>
  </si>
  <si>
    <t>Harpreet Kaur</t>
  </si>
  <si>
    <t>Simranjeet Kaur</t>
  </si>
  <si>
    <t xml:space="preserve">Riya </t>
  </si>
  <si>
    <t>Rupinder Singh</t>
  </si>
  <si>
    <t>Parmeshwari Devi</t>
  </si>
  <si>
    <t>Nanjot Kaur</t>
  </si>
  <si>
    <t>0000996/18-19</t>
  </si>
  <si>
    <t>Jaswant Kaur</t>
  </si>
  <si>
    <t>Ved Parkash</t>
  </si>
  <si>
    <t>Satpal Singh</t>
  </si>
  <si>
    <t xml:space="preserve">Mrs. Sharma </t>
  </si>
  <si>
    <t>Nina Rani</t>
  </si>
  <si>
    <t>S6D9F0/18/75</t>
  </si>
  <si>
    <t>Mahesh</t>
  </si>
  <si>
    <t>SM177431410</t>
  </si>
  <si>
    <t>Modhan Singh</t>
  </si>
  <si>
    <t xml:space="preserve">MR. Raja </t>
  </si>
  <si>
    <t>Gurman Singh</t>
  </si>
  <si>
    <t xml:space="preserve">Amit Bansal </t>
  </si>
  <si>
    <t xml:space="preserve">Harleen </t>
  </si>
  <si>
    <t>Vinod Garg</t>
  </si>
  <si>
    <t>PG CR</t>
  </si>
  <si>
    <t>Khushmeen</t>
  </si>
  <si>
    <t>Sukhpal Kaur</t>
  </si>
  <si>
    <t>Nahar Singh</t>
  </si>
  <si>
    <t>Dr. Balian</t>
  </si>
  <si>
    <t>Dr.Balian</t>
  </si>
  <si>
    <t>Mohamadgarh</t>
  </si>
  <si>
    <t>S6D9F0/18/76</t>
  </si>
  <si>
    <t>Smitarani Das</t>
  </si>
  <si>
    <t>SM179109996</t>
  </si>
  <si>
    <t>Rajni</t>
  </si>
  <si>
    <t>Adarshpreet</t>
  </si>
  <si>
    <t>Ishaan</t>
  </si>
  <si>
    <t>Kirandeep</t>
  </si>
  <si>
    <t>Deepa</t>
  </si>
  <si>
    <t>1093/18-19</t>
  </si>
  <si>
    <t>RB3447JM_172_50</t>
  </si>
  <si>
    <t>Bhasour</t>
  </si>
  <si>
    <t>Anmolpreet</t>
  </si>
  <si>
    <t>S6D9F018/75</t>
  </si>
  <si>
    <t>S6D9F0/18/77</t>
  </si>
  <si>
    <t>PRASHANT DILIPBHAI KHUNT</t>
  </si>
  <si>
    <t>GUJARAT</t>
  </si>
  <si>
    <t>SM180230542</t>
  </si>
  <si>
    <t>MOHINDER KAUR</t>
  </si>
  <si>
    <t>punjab</t>
  </si>
  <si>
    <t>IDS2190_C3_53</t>
  </si>
  <si>
    <t>INB2610B_Cat.3 S</t>
  </si>
  <si>
    <t>INB2620A_Cat.3 S</t>
  </si>
  <si>
    <t>INB2710A_Cat3 S</t>
  </si>
  <si>
    <t>Karamjeet</t>
  </si>
  <si>
    <t>Niranjan Singh</t>
  </si>
  <si>
    <t>Kamaljeet</t>
  </si>
  <si>
    <t xml:space="preserve">Pardeep </t>
  </si>
  <si>
    <t>Sehaj</t>
  </si>
  <si>
    <t>Rashpinder Kaur</t>
  </si>
  <si>
    <t>Dalvir Singh</t>
  </si>
  <si>
    <t>Spectacle Corrective</t>
  </si>
  <si>
    <t>393/18-19</t>
  </si>
  <si>
    <t>Supra NV.</t>
  </si>
  <si>
    <t>METAL FRAME Code AX</t>
  </si>
  <si>
    <t>395/18-19</t>
  </si>
  <si>
    <t>SHEET FRAME Code CT</t>
  </si>
  <si>
    <t>Navneet Kaur</t>
  </si>
  <si>
    <t>Amrajeet Singh</t>
  </si>
  <si>
    <t>Moh. Kushdil</t>
  </si>
  <si>
    <t>Moh.Khushdil</t>
  </si>
  <si>
    <t>Subhkaraman</t>
  </si>
  <si>
    <t>Subhkarman</t>
  </si>
  <si>
    <t xml:space="preserve">Ramandeep </t>
  </si>
  <si>
    <t>Ramandeep</t>
  </si>
  <si>
    <t>Sulekha</t>
  </si>
  <si>
    <t>Nittu</t>
  </si>
  <si>
    <t>MR.Amjad Ali</t>
  </si>
  <si>
    <t>Kavita</t>
  </si>
  <si>
    <t xml:space="preserve">Spectacle Corrective </t>
  </si>
  <si>
    <t xml:space="preserve">MR.Kala </t>
  </si>
  <si>
    <t>A.P. Dhuri</t>
  </si>
  <si>
    <t>ID1557_C4_54</t>
  </si>
  <si>
    <t>Aishpreet Kaur</t>
  </si>
  <si>
    <t>Aishpreet kaur</t>
  </si>
  <si>
    <t>ID1564_C1_50</t>
  </si>
  <si>
    <t xml:space="preserve">Tapeshwer </t>
  </si>
  <si>
    <t>Ramesh Kumar</t>
  </si>
  <si>
    <t>Abdul Rehman</t>
  </si>
  <si>
    <t xml:space="preserve">Kavita </t>
  </si>
  <si>
    <t>Sher Singh</t>
  </si>
  <si>
    <t xml:space="preserve">CRKT </t>
  </si>
  <si>
    <t xml:space="preserve">Satanjala </t>
  </si>
  <si>
    <t>Harjeet</t>
  </si>
  <si>
    <t>Bamal</t>
  </si>
  <si>
    <t>Sajan Singh</t>
  </si>
  <si>
    <t>Shoudan</t>
  </si>
  <si>
    <t>Darougewal</t>
  </si>
  <si>
    <t>Mehakpreet Singh</t>
  </si>
  <si>
    <t>MEHAKPREET SINGH</t>
  </si>
  <si>
    <t>DHURI</t>
  </si>
  <si>
    <t>PURAN RAM</t>
  </si>
  <si>
    <t>Kulwinder kaur</t>
  </si>
  <si>
    <t>Preeti Sharma</t>
  </si>
  <si>
    <t>Ghanauri Kalan</t>
  </si>
  <si>
    <t>Sukhwinder SIngh</t>
  </si>
  <si>
    <t>Haneef</t>
  </si>
  <si>
    <t>JASKAMAL</t>
  </si>
  <si>
    <t>KATRON</t>
  </si>
  <si>
    <t>AKASHPREET SINGH</t>
  </si>
  <si>
    <t>PARAMJEET KAUR</t>
  </si>
  <si>
    <t>BHURTHAN MANDAIR</t>
  </si>
  <si>
    <t>SANDEEP KAUR</t>
  </si>
  <si>
    <t>BAMAL</t>
  </si>
  <si>
    <t>BUDH SINGH</t>
  </si>
  <si>
    <t>GHANAUR</t>
  </si>
  <si>
    <t>BALJEET KAUR</t>
  </si>
  <si>
    <t>ANJANA SINGLA</t>
  </si>
  <si>
    <t>HARMOHINDER SINGH</t>
  </si>
  <si>
    <t>MALKEET KAUR</t>
  </si>
  <si>
    <t>READ ULTRA</t>
  </si>
  <si>
    <t>JASWANT KAUR</t>
  </si>
  <si>
    <t>NIJAMMIWAG</t>
  </si>
  <si>
    <t>JUST READ ULTRA</t>
  </si>
  <si>
    <t>Sukhjinder singh</t>
  </si>
  <si>
    <t>NATT</t>
  </si>
  <si>
    <t>Sukhwinder kaur</t>
  </si>
  <si>
    <t>Pushpa Devi</t>
  </si>
  <si>
    <t>Bugra</t>
  </si>
  <si>
    <t>Manjot Singh</t>
  </si>
  <si>
    <t>Gurjeet Kaur</t>
  </si>
  <si>
    <t>Kandargarh Channa</t>
  </si>
  <si>
    <t>Baldev Singh</t>
  </si>
  <si>
    <t>6line PGKT</t>
  </si>
  <si>
    <t>DR.T P SINGH</t>
  </si>
  <si>
    <t>BHASAUR</t>
  </si>
  <si>
    <t>MAYA DEVI</t>
  </si>
  <si>
    <t>MANVIR SINGH</t>
  </si>
  <si>
    <t xml:space="preserve">SEHAJPREET </t>
  </si>
  <si>
    <t>WHITE GLASS</t>
  </si>
  <si>
    <t>RAJNI</t>
  </si>
  <si>
    <t xml:space="preserve">CIVIC EYECARE </t>
  </si>
  <si>
    <t>INB1915C_Cat.3 S</t>
  </si>
  <si>
    <t>SG/4911/18-19</t>
  </si>
  <si>
    <t>INB2802A_Cat.3 S</t>
  </si>
  <si>
    <t>INB1913B_Cat.3 S</t>
  </si>
  <si>
    <t>INB2940B_Cat.1 S</t>
  </si>
  <si>
    <t>INB1907C_Cat.3 S</t>
  </si>
  <si>
    <t>INB2901E_Cat.2 S</t>
  </si>
  <si>
    <t>INB2946B_Cat.3 S</t>
  </si>
  <si>
    <t>INB1907D_Cat.3 S</t>
  </si>
  <si>
    <t>INB1917B_Cat.3 S</t>
  </si>
  <si>
    <t xml:space="preserve"> FT_M035GY1_M</t>
  </si>
  <si>
    <t xml:space="preserve"> FT_M101BR3P_M</t>
  </si>
  <si>
    <t>PREM SINGH</t>
  </si>
  <si>
    <t>JAGWINDER KAUR</t>
  </si>
  <si>
    <t>SURJIT KAUR</t>
  </si>
  <si>
    <t>MEEMSA</t>
  </si>
  <si>
    <t>RAJINDER SINGH</t>
  </si>
  <si>
    <t>GHANAURI KALAN</t>
  </si>
  <si>
    <t>KULWINDER SINGH</t>
  </si>
  <si>
    <t xml:space="preserve">JOBENPREET </t>
  </si>
  <si>
    <t>VANSHIKA</t>
  </si>
  <si>
    <t>PAWAN KUMAR</t>
  </si>
  <si>
    <t>HARJOT SINGH</t>
  </si>
  <si>
    <t>DHANDRA</t>
  </si>
  <si>
    <t>MITTALI RAM</t>
  </si>
  <si>
    <t>ADV. GREWAL</t>
  </si>
  <si>
    <t>SANGRUR</t>
  </si>
  <si>
    <t>HARJINDER SINGH</t>
  </si>
  <si>
    <t>BARDWAL</t>
  </si>
  <si>
    <t>RANJEET KAUR</t>
  </si>
  <si>
    <t>ARWINDER SINGH</t>
  </si>
  <si>
    <t>TIBBA</t>
  </si>
  <si>
    <t>ANMOLPREET SINGH</t>
  </si>
  <si>
    <t>HATHAN</t>
  </si>
  <si>
    <t>URMILA DEVI</t>
  </si>
  <si>
    <t>SUKHDEV KAUR</t>
  </si>
  <si>
    <t>DOLLY SHARMA</t>
  </si>
  <si>
    <t>NARINDER KAUR</t>
  </si>
  <si>
    <t>DHURA</t>
  </si>
  <si>
    <t>GURMUKH SINGH</t>
  </si>
  <si>
    <t xml:space="preserve">PG CRKT </t>
  </si>
  <si>
    <t>NIRMAL SINGH</t>
  </si>
  <si>
    <t>PUNNAWAL</t>
  </si>
  <si>
    <t xml:space="preserve">RAM SINGH </t>
  </si>
  <si>
    <t xml:space="preserve">DR.INDERJEET </t>
  </si>
  <si>
    <t>RENU BALA</t>
  </si>
  <si>
    <t xml:space="preserve">BRAND FULL </t>
  </si>
  <si>
    <t>AMARJEET KAUR</t>
  </si>
  <si>
    <t>LADY GOGGLE</t>
  </si>
  <si>
    <t>MANPREET KAUR</t>
  </si>
  <si>
    <t>NAJMA</t>
  </si>
  <si>
    <t>PARVEEN AKTRA</t>
  </si>
  <si>
    <t>HIMTANA</t>
  </si>
  <si>
    <t>CIVIC EYE CARE</t>
  </si>
  <si>
    <t>civic Eyecare</t>
  </si>
  <si>
    <t>ChandigARH</t>
  </si>
  <si>
    <t>00024</t>
  </si>
  <si>
    <t>PUNAM MANDAL</t>
  </si>
  <si>
    <t>JASPREET KAUR</t>
  </si>
  <si>
    <t>MANNA</t>
  </si>
  <si>
    <t>RITA SINGLA</t>
  </si>
  <si>
    <t>BIMLA DEVI</t>
  </si>
  <si>
    <t>BABANPUR</t>
  </si>
  <si>
    <t>KHALIL KHAN</t>
  </si>
  <si>
    <t>VEERPAL KAUR</t>
  </si>
  <si>
    <t>KUMBERWAL</t>
  </si>
  <si>
    <t>GOGGLE</t>
  </si>
  <si>
    <t>PATIENT</t>
  </si>
  <si>
    <t>SUCHA SINGH</t>
  </si>
  <si>
    <t>NIZAMIWALA</t>
  </si>
  <si>
    <t>KIRAN DEVI</t>
  </si>
  <si>
    <t>SUNAM</t>
  </si>
  <si>
    <t>JAKHALAN</t>
  </si>
  <si>
    <t>NACHATTAR SINGH</t>
  </si>
  <si>
    <t>KAULSERI</t>
  </si>
  <si>
    <t>SHAMSHER SINGH</t>
  </si>
  <si>
    <t>SURJIT SINGH</t>
  </si>
  <si>
    <t>LALITA RANI</t>
  </si>
  <si>
    <t>KULDEEP KAUR</t>
  </si>
  <si>
    <t xml:space="preserve">PAL KAUR </t>
  </si>
  <si>
    <t>MUKHTIAR KAUR</t>
  </si>
  <si>
    <t>ISSI</t>
  </si>
  <si>
    <t xml:space="preserve">KAUR SINGH </t>
  </si>
  <si>
    <t>KALERAN</t>
  </si>
  <si>
    <t>SURJEET SINGH</t>
  </si>
  <si>
    <t xml:space="preserve">AMAR SINGH </t>
  </si>
  <si>
    <t xml:space="preserve">SUGAL CHAND </t>
  </si>
  <si>
    <t>GURBACHAN KAUR</t>
  </si>
  <si>
    <t>KRISHAN ANAND</t>
  </si>
  <si>
    <t>GURDEV KAUR</t>
  </si>
  <si>
    <t>SUKHWINDER KAUR</t>
  </si>
  <si>
    <t>JAGAR SINGH</t>
  </si>
  <si>
    <t>JANGIRO</t>
  </si>
  <si>
    <t>NAND SINGH</t>
  </si>
  <si>
    <t>GHANAURI</t>
  </si>
  <si>
    <t>MUKAL</t>
  </si>
  <si>
    <t>SUPROL ARC</t>
  </si>
  <si>
    <t>ISHWAR RANI</t>
  </si>
  <si>
    <t>HAMIR KAUR</t>
  </si>
  <si>
    <t>KAKARWAL</t>
  </si>
  <si>
    <t xml:space="preserve">AVLEEN </t>
  </si>
  <si>
    <t>SONY MANDER</t>
  </si>
  <si>
    <t>BURJ</t>
  </si>
  <si>
    <t>KARNAIL KAUR</t>
  </si>
  <si>
    <t>RAMPURA</t>
  </si>
  <si>
    <t>GURMAIL KAUR</t>
  </si>
  <si>
    <t>SHAKILA</t>
  </si>
  <si>
    <t>DUGNI</t>
  </si>
  <si>
    <t xml:space="preserve">NAZMA </t>
  </si>
  <si>
    <t>PARKASH KAUR</t>
  </si>
  <si>
    <t>MANJEET KAUR</t>
  </si>
  <si>
    <t>NACHATTAR KAUR</t>
  </si>
  <si>
    <t>SURINDER KAUR</t>
  </si>
  <si>
    <t>BALBIR KAUR</t>
  </si>
  <si>
    <t>JAKHLAN</t>
  </si>
  <si>
    <t>HANS RAM</t>
  </si>
  <si>
    <t>ANMOLDEEP SINGH</t>
  </si>
  <si>
    <t>1/2 PAIR</t>
  </si>
  <si>
    <t>RAM SINGH</t>
  </si>
  <si>
    <t>GOGI</t>
  </si>
  <si>
    <t>KAHERU</t>
  </si>
  <si>
    <t>GURDIAL SINGH</t>
  </si>
  <si>
    <t>BADI GHANAURI</t>
  </si>
  <si>
    <t>KRISHNA RANI</t>
  </si>
  <si>
    <t xml:space="preserve">RAMESH </t>
  </si>
  <si>
    <t>BALDEV KAUR</t>
  </si>
  <si>
    <t>JEEWAN SINGH</t>
  </si>
  <si>
    <t>SARON</t>
  </si>
  <si>
    <t>VEERPAL</t>
  </si>
  <si>
    <t>BALJEET SINGH</t>
  </si>
  <si>
    <t>LADDA</t>
  </si>
  <si>
    <t>PRITAM SINGH</t>
  </si>
  <si>
    <t>NISHANT SINGH</t>
  </si>
  <si>
    <t>JAHANGIR</t>
  </si>
  <si>
    <t>LAZWANTI</t>
  </si>
  <si>
    <t xml:space="preserve">KANTA DEVI </t>
  </si>
  <si>
    <t>JUNG SINGH</t>
  </si>
  <si>
    <t>KILA HAKIMA</t>
  </si>
  <si>
    <t>RANJIT KAUR</t>
  </si>
  <si>
    <t>JAINPUR</t>
  </si>
  <si>
    <t>SADHU SINGH</t>
  </si>
  <si>
    <t xml:space="preserve">LUDHIANA </t>
  </si>
  <si>
    <t>KUNTA DEVI</t>
  </si>
  <si>
    <t>TARA CHAND</t>
  </si>
  <si>
    <t>RATAN BALA</t>
  </si>
  <si>
    <t>MADNA RANI</t>
  </si>
  <si>
    <t xml:space="preserve">BUGGAR SINGH </t>
  </si>
  <si>
    <t>DHOULA</t>
  </si>
  <si>
    <t>BEENA RANI</t>
  </si>
  <si>
    <t>JAKHUB KHAN</t>
  </si>
  <si>
    <t>VE 3226B_GB1_51</t>
  </si>
  <si>
    <t xml:space="preserve"> FT_P357BK2_M</t>
  </si>
  <si>
    <t xml:space="preserve"> FT_P157BR1F_M</t>
  </si>
  <si>
    <t>SEETHALASIVARAM</t>
  </si>
  <si>
    <t>ANDHRA PRADESH</t>
  </si>
  <si>
    <t>ID_SM188709042</t>
  </si>
  <si>
    <t>DR.MANPREET</t>
  </si>
  <si>
    <t>PATIALA</t>
  </si>
  <si>
    <t>CUP Goggles</t>
  </si>
  <si>
    <t>SHASHIKANT D KHEDEKAR</t>
  </si>
  <si>
    <t>SM187427858</t>
  </si>
  <si>
    <t>COL SAMARENDRA JHA</t>
  </si>
  <si>
    <t>SAINATH SHANKAR CHOPADE</t>
  </si>
  <si>
    <t>SHERPUR</t>
  </si>
  <si>
    <t>DARSHAN SINGH</t>
  </si>
  <si>
    <t>BHULLARHERI</t>
  </si>
  <si>
    <t>NACHHATTAR KAUR</t>
  </si>
  <si>
    <t>PALASAUR</t>
  </si>
  <si>
    <t>RAJ RANI</t>
  </si>
  <si>
    <t>HARVINDER KAUR</t>
  </si>
  <si>
    <t>SURESH DEVI</t>
  </si>
  <si>
    <t>Bhadalwad</t>
  </si>
  <si>
    <t>JAGGA</t>
  </si>
  <si>
    <t>BIHARI LAL</t>
  </si>
  <si>
    <t>MAZI</t>
  </si>
  <si>
    <t>HARJA</t>
  </si>
  <si>
    <t>KALERA</t>
  </si>
  <si>
    <t>RANJIT SINGH</t>
  </si>
  <si>
    <t>KAILASH RANI</t>
  </si>
  <si>
    <t>HASSANPUR</t>
  </si>
  <si>
    <t>KANJLA</t>
  </si>
  <si>
    <t>TEJ KAUR</t>
  </si>
  <si>
    <t>JASWINDER SINGH</t>
  </si>
  <si>
    <t>KARTAR SINGH</t>
  </si>
  <si>
    <t>SHAFI MOHAMAD</t>
  </si>
  <si>
    <t>BALWINDER KAUR</t>
  </si>
  <si>
    <t>NASIB KAUR</t>
  </si>
  <si>
    <t>HARMAIL KAUR</t>
  </si>
  <si>
    <t>PIARA SINGH</t>
  </si>
  <si>
    <t>DODRA</t>
  </si>
  <si>
    <t>JARNAIL SINGH</t>
  </si>
  <si>
    <t>aditya</t>
  </si>
  <si>
    <t>ADITYA</t>
  </si>
  <si>
    <t>BHAGWANTI</t>
  </si>
  <si>
    <t>I/2 PAIR</t>
  </si>
  <si>
    <t>KAMU</t>
  </si>
  <si>
    <t>GAGANDEEP</t>
  </si>
  <si>
    <t>BADSHAHPUR</t>
  </si>
  <si>
    <t>GAGANPREET</t>
  </si>
  <si>
    <t>cup goggle</t>
  </si>
  <si>
    <t>mohamad rafik</t>
  </si>
  <si>
    <t>BUNGA</t>
  </si>
  <si>
    <t>SUMITRA</t>
  </si>
  <si>
    <t>BIMLA</t>
  </si>
  <si>
    <t xml:space="preserve"> EA4094_501711_56</t>
  </si>
  <si>
    <t xml:space="preserve"> EA1042_3128_53</t>
  </si>
  <si>
    <t>OO9247_09_57</t>
  </si>
  <si>
    <t>VIJAY LAXMI</t>
  </si>
  <si>
    <t>NEK SINGH</t>
  </si>
  <si>
    <t>SARABJEET KAUR</t>
  </si>
  <si>
    <t>MEJAR SINGH</t>
  </si>
  <si>
    <t>BHALWAN</t>
  </si>
  <si>
    <t>SAVITRI</t>
  </si>
  <si>
    <t xml:space="preserve">SUMANPREET KAUR </t>
  </si>
  <si>
    <t>NAZZAR SINGH</t>
  </si>
  <si>
    <t>BALA RANI</t>
  </si>
  <si>
    <t>JANGIR KAUR</t>
  </si>
  <si>
    <t>DHRUV</t>
  </si>
  <si>
    <t>ASHA RANI</t>
  </si>
  <si>
    <t>KAMALJEET KAUR</t>
  </si>
  <si>
    <t>BALDEV SINGH</t>
  </si>
  <si>
    <t xml:space="preserve">BIMLA </t>
  </si>
  <si>
    <t>2 PAIR</t>
  </si>
  <si>
    <t>COVER</t>
  </si>
  <si>
    <t>5PACKET</t>
  </si>
  <si>
    <t>LENS</t>
  </si>
  <si>
    <t>SELVET</t>
  </si>
  <si>
    <t>KARAM SINGH</t>
  </si>
  <si>
    <t>KAPIAL</t>
  </si>
  <si>
    <t>1/2</t>
  </si>
  <si>
    <t>JUGAL KISHORE</t>
  </si>
  <si>
    <t>SAKULA</t>
  </si>
  <si>
    <t xml:space="preserve">SATYAM </t>
  </si>
  <si>
    <t>RAJINDER KAUR</t>
  </si>
  <si>
    <t>BUGRA</t>
  </si>
  <si>
    <t xml:space="preserve">TARANJEET </t>
  </si>
  <si>
    <t>MUKHTIAR SINGH</t>
  </si>
  <si>
    <t>AMARGARH</t>
  </si>
  <si>
    <t>GURMEET KAUR</t>
  </si>
  <si>
    <t>CHARANJIT KAUR</t>
  </si>
  <si>
    <t>KASHISH SHARMA</t>
  </si>
  <si>
    <t xml:space="preserve">1/2 </t>
  </si>
  <si>
    <t>BIOMEDICS 55</t>
  </si>
  <si>
    <t>1 BOX</t>
  </si>
  <si>
    <t>MARA RAM</t>
  </si>
  <si>
    <t>RANCHANA</t>
  </si>
  <si>
    <t>SITO</t>
  </si>
  <si>
    <t>HARBANS SINGH</t>
  </si>
  <si>
    <t>LUDHIANA</t>
  </si>
  <si>
    <t xml:space="preserve">JAGROOP </t>
  </si>
  <si>
    <t>AJIT KAUR</t>
  </si>
  <si>
    <t>ATMA SINGH</t>
  </si>
  <si>
    <t>BAGRIAN</t>
  </si>
  <si>
    <t>JAGTAR SINGH</t>
  </si>
  <si>
    <t>JAGTAR KAUR</t>
  </si>
  <si>
    <t>ISSRA</t>
  </si>
  <si>
    <t>SUNITA</t>
  </si>
  <si>
    <t>SEHAJPREET KAUR</t>
  </si>
  <si>
    <t>MAHINDER KAUR</t>
  </si>
  <si>
    <t>KULVIR KAUR</t>
  </si>
  <si>
    <t>BARNALA</t>
  </si>
  <si>
    <t>AKASHDEEP</t>
  </si>
  <si>
    <t>GURDEV SINGH</t>
  </si>
  <si>
    <t>CRKTPG</t>
  </si>
  <si>
    <t>JASVEER KAUR</t>
  </si>
  <si>
    <t>6 PAIR</t>
  </si>
  <si>
    <t xml:space="preserve">RAMANPREET </t>
  </si>
  <si>
    <t xml:space="preserve">MEHAKPREET </t>
  </si>
  <si>
    <t>KHERI</t>
  </si>
  <si>
    <t>JASVEER SINGH</t>
  </si>
  <si>
    <t>IKJOT KAUR</t>
  </si>
  <si>
    <t>ARC HC. 1.56 -6/-2.00</t>
  </si>
  <si>
    <t>CR HC.1.56 +4/+2</t>
  </si>
  <si>
    <t>ARC HC.1.56 P/CYL -4.00 CYLCRHC</t>
  </si>
  <si>
    <t>CR HC. 1.56 -6/-2.00</t>
  </si>
  <si>
    <t>CR HC. 1.56 +4/+2.00</t>
  </si>
  <si>
    <t>SULTANPUR</t>
  </si>
  <si>
    <t>ROOP SINGH</t>
  </si>
  <si>
    <t>CRKTPG  NO -2PWR</t>
  </si>
  <si>
    <t>CHARANJEET SINGH</t>
  </si>
  <si>
    <t>ELECTRA HD</t>
  </si>
  <si>
    <t>CRKT PG GREY +3/PWR</t>
  </si>
  <si>
    <t>CRKT PG HC.</t>
  </si>
  <si>
    <t>SANTOSH KAUR</t>
  </si>
  <si>
    <t>CRKT P/CYL ST AXIS</t>
  </si>
  <si>
    <t>GURMAIL SINGH</t>
  </si>
  <si>
    <t>MALERKOTLA</t>
  </si>
  <si>
    <t>AVNEET KAUR</t>
  </si>
  <si>
    <t>CR HC 1.56+4\+2 HC/6.5</t>
  </si>
  <si>
    <t>JOGINDER KAUR</t>
  </si>
  <si>
    <t>CRKT COMP ST AXIS HC/1.5</t>
  </si>
  <si>
    <t>PUSHPA DEVI</t>
  </si>
  <si>
    <t>USHA RANI</t>
  </si>
  <si>
    <t>NAHAR SINGH</t>
  </si>
  <si>
    <t>MOHINDER KUMAR</t>
  </si>
  <si>
    <t>RAJ KUMAR</t>
  </si>
  <si>
    <t>CR ARC</t>
  </si>
  <si>
    <t>CRKT PG</t>
  </si>
  <si>
    <t>SUMAN</t>
  </si>
  <si>
    <t>ARTI TALWAR</t>
  </si>
  <si>
    <t>HARI PAL</t>
  </si>
  <si>
    <t>ROHIT</t>
  </si>
  <si>
    <t>HARDEV KAUR</t>
  </si>
  <si>
    <t xml:space="preserve">KARMJEET </t>
  </si>
  <si>
    <t>SUNEHARI DEVI</t>
  </si>
  <si>
    <t xml:space="preserve">HARI PAL </t>
  </si>
  <si>
    <t>GFW</t>
  </si>
  <si>
    <t>SUKHPREET SINGH</t>
  </si>
  <si>
    <t xml:space="preserve">CR HC. BROWN COATING </t>
  </si>
  <si>
    <t>MILAN</t>
  </si>
  <si>
    <t>Sunglasses</t>
  </si>
  <si>
    <t>SUKHDEEP KAUR</t>
  </si>
  <si>
    <t>NEHA</t>
  </si>
  <si>
    <t>MEJOR SINGH</t>
  </si>
  <si>
    <t>mejor singh</t>
  </si>
  <si>
    <t>bhalwan</t>
  </si>
  <si>
    <t>metal frame 2</t>
  </si>
  <si>
    <t>rolu singh</t>
  </si>
  <si>
    <t>hassanpur</t>
  </si>
  <si>
    <t>hasanpur</t>
  </si>
  <si>
    <t>amarjeet kaur</t>
  </si>
  <si>
    <t>PROGESSIVE HC</t>
  </si>
  <si>
    <t>Number</t>
  </si>
  <si>
    <t>PRINCE SHARMA</t>
  </si>
  <si>
    <t>PG CRKT</t>
  </si>
  <si>
    <t>GURDEEP SINGH</t>
  </si>
  <si>
    <t>MULLOWAL</t>
  </si>
  <si>
    <t>DAVINDER KAUR</t>
  </si>
  <si>
    <t>KULVEER KAUR</t>
  </si>
  <si>
    <t>ATLA KHURAD</t>
  </si>
  <si>
    <t>metal frame 1</t>
  </si>
  <si>
    <t>lakhwinder kumar</t>
  </si>
  <si>
    <t>ghanauri kalan</t>
  </si>
  <si>
    <t>METAL FRAME2</t>
  </si>
  <si>
    <t>KHERI JATTA</t>
  </si>
  <si>
    <t>HARSIMARANPREET</t>
  </si>
  <si>
    <t xml:space="preserve">HARSIMARANPREET </t>
  </si>
  <si>
    <t>CUP GOGGLE</t>
  </si>
  <si>
    <t>OT USE</t>
  </si>
  <si>
    <t>CHANGLI</t>
  </si>
  <si>
    <t>PRABHJOT KAUR</t>
  </si>
  <si>
    <t>MALKIT KAUR</t>
  </si>
  <si>
    <t>SUKHCHAIN SINGH</t>
  </si>
  <si>
    <t>GURMEET SINGH</t>
  </si>
  <si>
    <t>RAJOMAZRA</t>
  </si>
  <si>
    <t>ANITA</t>
  </si>
  <si>
    <t>ARC CRKT</t>
  </si>
  <si>
    <t>SHUBHAM</t>
  </si>
  <si>
    <t>GURJEET SINGH</t>
  </si>
  <si>
    <t>PARAMVIR SINGH</t>
  </si>
  <si>
    <t>DHANDIWAL</t>
  </si>
  <si>
    <t>VOGUE D</t>
  </si>
  <si>
    <t>SUKHWINDER</t>
  </si>
  <si>
    <t>PUNE</t>
  </si>
  <si>
    <t>FT_P365GR2_M</t>
  </si>
  <si>
    <t>C077BR2</t>
  </si>
  <si>
    <t>BABLU</t>
  </si>
  <si>
    <t>MANGHI</t>
  </si>
  <si>
    <t>NABHA</t>
  </si>
  <si>
    <t>CR HC</t>
  </si>
  <si>
    <t>BALJNDER SINGH</t>
  </si>
  <si>
    <t>BALJINDER SINGH</t>
  </si>
  <si>
    <t>SHEET FRAME 2</t>
  </si>
  <si>
    <t>KANWARJEET SINGH</t>
  </si>
  <si>
    <t>JASKARANPREET</t>
  </si>
  <si>
    <t>MELA SINGH</t>
  </si>
  <si>
    <t>BANDAGE LENS</t>
  </si>
  <si>
    <t>PG KT</t>
  </si>
  <si>
    <t>KAMLESH LATA</t>
  </si>
  <si>
    <t>JAGSIR SINGH</t>
  </si>
  <si>
    <t>SHEET FRAME 1</t>
  </si>
  <si>
    <t xml:space="preserve">BINDERJEET </t>
  </si>
  <si>
    <t xml:space="preserve">RANDHIR </t>
  </si>
  <si>
    <t>BARADWAL</t>
  </si>
  <si>
    <t>NAVDEEP SINGH</t>
  </si>
  <si>
    <t>RANGIAN</t>
  </si>
  <si>
    <t>PGCR</t>
  </si>
  <si>
    <t>SADIQ</t>
  </si>
  <si>
    <t>MURTI KAUR</t>
  </si>
  <si>
    <t>RACHWANTI</t>
  </si>
  <si>
    <t>JASMEET SINGH</t>
  </si>
  <si>
    <t>CIVIC EYECARE</t>
  </si>
  <si>
    <t>RB3029_18171_62</t>
  </si>
  <si>
    <t>VE4316B_520088_57</t>
  </si>
  <si>
    <t>FT_M083GYIF_M</t>
  </si>
  <si>
    <t>FT_C077BR2_M</t>
  </si>
  <si>
    <t xml:space="preserve">SILKLENS </t>
  </si>
  <si>
    <t>P157BR1F</t>
  </si>
  <si>
    <t>BALVIR SINGH</t>
  </si>
  <si>
    <t>RAMANDEEP KAUR</t>
  </si>
  <si>
    <t>PGCRKT</t>
  </si>
  <si>
    <t>TH6148_C1_50</t>
  </si>
  <si>
    <t>TH6141_C3_53</t>
  </si>
  <si>
    <t>00025</t>
  </si>
  <si>
    <t>ANIL KUMAR</t>
  </si>
  <si>
    <t>DHANWANTI</t>
  </si>
  <si>
    <t>HC CR.</t>
  </si>
  <si>
    <t>RAJPAL</t>
  </si>
  <si>
    <t>ROSHNI</t>
  </si>
  <si>
    <t>JAGDISH KAUR</t>
  </si>
  <si>
    <t>SHEEL FRAME 2</t>
  </si>
  <si>
    <t>GURDEEP KAUR</t>
  </si>
  <si>
    <t>RAJWANT</t>
  </si>
  <si>
    <t>MALUGARH</t>
  </si>
  <si>
    <t>AMANPREET SINGH JASSAL</t>
  </si>
  <si>
    <t>KAJAL RANI</t>
  </si>
  <si>
    <t>SEIO</t>
  </si>
  <si>
    <t>RAKESH KUMAR</t>
  </si>
  <si>
    <t>BAHADUR SINGH</t>
  </si>
  <si>
    <t>RUDGARH</t>
  </si>
  <si>
    <t>PREM LATA</t>
  </si>
  <si>
    <t xml:space="preserve">GUNJANPREET </t>
  </si>
  <si>
    <t>GUNJANPREET</t>
  </si>
  <si>
    <t>MANJU GOYAL</t>
  </si>
  <si>
    <t>KULJEET KAUR</t>
  </si>
  <si>
    <t>AMANIDER KAUR</t>
  </si>
  <si>
    <t>NISHA RANI</t>
  </si>
  <si>
    <t>DHURI (PUNJAB)</t>
  </si>
  <si>
    <t>P222BR2</t>
  </si>
  <si>
    <t>S6D9F0/18/81</t>
  </si>
  <si>
    <t>S6D9F0/18/B3</t>
  </si>
  <si>
    <t>MUNDHVA MAYUR</t>
  </si>
  <si>
    <t>SM194414002</t>
  </si>
  <si>
    <t>RX7074_5365_52</t>
  </si>
  <si>
    <t>RANBIR SINGH</t>
  </si>
  <si>
    <t xml:space="preserve">CRIZAL UV </t>
  </si>
  <si>
    <t>RAJ</t>
  </si>
  <si>
    <t>ASHOK (CA)</t>
  </si>
  <si>
    <t>JASWANT SINGH</t>
  </si>
  <si>
    <t>BABY SHEET FRAME</t>
  </si>
  <si>
    <t>RINKU</t>
  </si>
  <si>
    <t>RAJPREET KAUR</t>
  </si>
  <si>
    <t>HARCHANDPUR</t>
  </si>
  <si>
    <t>KHUSHDEEP SINGH</t>
  </si>
  <si>
    <t>HARDEEP SINGH</t>
  </si>
  <si>
    <t>JASWINDER KAUR</t>
  </si>
  <si>
    <t>MESHAMPUR</t>
  </si>
  <si>
    <t>ARCHNA</t>
  </si>
  <si>
    <t>MANJOT SINGH</t>
  </si>
  <si>
    <t>KARAM</t>
  </si>
  <si>
    <t>HARJINDERPAL</t>
  </si>
  <si>
    <t>KANDARGARH CHANNA</t>
  </si>
  <si>
    <t>NIRMAL KAUR</t>
  </si>
  <si>
    <t>VIJAY BANK</t>
  </si>
  <si>
    <t>VARINDER KUMAR</t>
  </si>
  <si>
    <t>GAGANPREET KAUR</t>
  </si>
  <si>
    <t>PLASAUR</t>
  </si>
  <si>
    <t>6line PG</t>
  </si>
  <si>
    <t>JARNAIL KAUR</t>
  </si>
  <si>
    <t>BOXES</t>
  </si>
  <si>
    <t xml:space="preserve">5 PACKET </t>
  </si>
  <si>
    <t>CRIZAL UV KT</t>
  </si>
  <si>
    <t>GURDIAL KAUR</t>
  </si>
  <si>
    <t>GAGAN KAUR</t>
  </si>
  <si>
    <t>CRHC.</t>
  </si>
  <si>
    <t>HARJINDER KAUR</t>
  </si>
  <si>
    <t>HANSO</t>
  </si>
  <si>
    <t>0.5 PAIR</t>
  </si>
  <si>
    <t xml:space="preserve"> 0.5 PAIR</t>
  </si>
  <si>
    <t xml:space="preserve">  3 PAIR    </t>
  </si>
  <si>
    <t xml:space="preserve">  0.5 PAIR</t>
  </si>
  <si>
    <t>RAYBAN TYPE FRAME</t>
  </si>
  <si>
    <t>HARBANS KAUR</t>
  </si>
  <si>
    <t>SIMRANPREET</t>
  </si>
  <si>
    <t>MAAN KAUR</t>
  </si>
  <si>
    <t xml:space="preserve">PARAMJEET </t>
  </si>
  <si>
    <t>RAVINDER KAUR</t>
  </si>
  <si>
    <t xml:space="preserve">PGCR </t>
  </si>
  <si>
    <t>LAXMI DEVI</t>
  </si>
  <si>
    <t>SARBJEET SINGH</t>
  </si>
  <si>
    <t xml:space="preserve">MANPREET </t>
  </si>
  <si>
    <t>HARPINDER SINGH</t>
  </si>
  <si>
    <t>S6D9F0/18/83</t>
  </si>
  <si>
    <t>ASHIYA</t>
  </si>
  <si>
    <t>LALMATI</t>
  </si>
  <si>
    <t>BANGAWALI</t>
  </si>
  <si>
    <t>AVTAR SINGH</t>
  </si>
  <si>
    <t>SHANTI DEVI</t>
  </si>
  <si>
    <t>GURJANT SINGH</t>
  </si>
  <si>
    <t>PEDNI</t>
  </si>
  <si>
    <t>NACHHATAR SINGH</t>
  </si>
  <si>
    <t>FULDY</t>
  </si>
  <si>
    <t xml:space="preserve"> MRS .SHINGARA SINGH</t>
  </si>
  <si>
    <t>ID1567_C3_51</t>
  </si>
  <si>
    <t>SHINGARA SINGH</t>
  </si>
  <si>
    <t>PG ARCKT PROGRESSIVE</t>
  </si>
  <si>
    <t>S/O GHANDI ADVOCATE</t>
  </si>
  <si>
    <t>2 UNIT</t>
  </si>
  <si>
    <t>PREETI</t>
  </si>
  <si>
    <t xml:space="preserve">SUKHWINDER </t>
  </si>
  <si>
    <t>TH7922_C3_60</t>
  </si>
  <si>
    <t>NAVDEEP (CANARA BANK MANAGER)</t>
  </si>
  <si>
    <t>SEEMA RANI</t>
  </si>
  <si>
    <t>ROBINPREET</t>
  </si>
  <si>
    <t>MANJU</t>
  </si>
  <si>
    <t>CRIZAL UV PROGRESSIVE</t>
  </si>
  <si>
    <t>DR NAVITA (SUBHASH)</t>
  </si>
  <si>
    <t>MANAT (D/O VIKRAM)</t>
  </si>
  <si>
    <t>BENRA</t>
  </si>
  <si>
    <t>AMRIK SINGH</t>
  </si>
  <si>
    <t>VICKY</t>
  </si>
  <si>
    <t>SONIA</t>
  </si>
  <si>
    <t>HEMLATA SHARMA</t>
  </si>
  <si>
    <t>KAPIL TAYAGI</t>
  </si>
  <si>
    <t>GURSEWAK SINGH</t>
  </si>
  <si>
    <t>RIYA KANGRA</t>
  </si>
  <si>
    <t>4 PAIR</t>
  </si>
  <si>
    <t>NAGESH</t>
  </si>
  <si>
    <t xml:space="preserve"> SHEET FRAME 2</t>
  </si>
  <si>
    <t>SHALU RANI</t>
  </si>
  <si>
    <t>JEET SINGH</t>
  </si>
  <si>
    <t>KAJAL</t>
  </si>
  <si>
    <t>AMANDEEP SINGH</t>
  </si>
  <si>
    <t>TH6128_C3_48</t>
  </si>
  <si>
    <t>AMRINDER SINGH</t>
  </si>
  <si>
    <t>SATNAM SINGH</t>
  </si>
  <si>
    <t>DOHLA</t>
  </si>
  <si>
    <t>HARSHDEEP KAUR</t>
  </si>
  <si>
    <t xml:space="preserve">SINDER PAL </t>
  </si>
  <si>
    <t>SHIV KUMAR</t>
  </si>
  <si>
    <t>1 PAIR</t>
  </si>
  <si>
    <t>14 PAIR</t>
  </si>
  <si>
    <t>16 PAIR</t>
  </si>
  <si>
    <t>7 PAIR</t>
  </si>
  <si>
    <t>29 PAIR</t>
  </si>
  <si>
    <t>3 PAIR</t>
  </si>
  <si>
    <t>PIYUSH BANSAL</t>
  </si>
  <si>
    <t>PREETPAL KAUR</t>
  </si>
  <si>
    <t>RANCHNA</t>
  </si>
  <si>
    <t>MESHUPUR</t>
  </si>
  <si>
    <t>LAXMI</t>
  </si>
  <si>
    <t>MATTRAN</t>
  </si>
  <si>
    <t>BHOLU DAS</t>
  </si>
  <si>
    <t xml:space="preserve">SHAKUNTLA DEVI </t>
  </si>
  <si>
    <t>AHMADGARH</t>
  </si>
  <si>
    <t>SHAKUNTLA DEVI</t>
  </si>
  <si>
    <t>SWARANJEET SINGH</t>
  </si>
  <si>
    <t>CRIZAL PREVENCIA OPTIFOG</t>
  </si>
  <si>
    <t>SUBHPREET</t>
  </si>
  <si>
    <t>HONEY JINDAL</t>
  </si>
  <si>
    <t>PROGRESSIVE CR</t>
  </si>
  <si>
    <t>khushpreet kaur</t>
  </si>
  <si>
    <t>BABBANPUR</t>
  </si>
  <si>
    <t xml:space="preserve">PROGRESSIVE </t>
  </si>
  <si>
    <t>KULWANT SINGH</t>
  </si>
  <si>
    <t>AMARJIT KAUR</t>
  </si>
  <si>
    <t>IL9459_C4_51</t>
  </si>
  <si>
    <t>IDS1736_C3_58</t>
  </si>
  <si>
    <t>LABH KAUR</t>
  </si>
  <si>
    <t>POONAM</t>
  </si>
  <si>
    <t>PAEDEEP KUMAR</t>
  </si>
  <si>
    <t>PARDEEP KUMAR</t>
  </si>
  <si>
    <t>550/28-2-19</t>
  </si>
  <si>
    <t>PARAMVEER SINGH</t>
  </si>
  <si>
    <t xml:space="preserve">JASHANJOT </t>
  </si>
  <si>
    <t>JASHANJOT</t>
  </si>
  <si>
    <t>JAGSEER  SINGH</t>
  </si>
  <si>
    <t>PG ARC</t>
  </si>
  <si>
    <t>JAGSEER SINGH</t>
  </si>
  <si>
    <t>KIRAN</t>
  </si>
  <si>
    <t>S6D9F0/18/85</t>
  </si>
  <si>
    <t>HENA AHMED</t>
  </si>
  <si>
    <t>GORAKHPUR (UP)</t>
  </si>
  <si>
    <t>SM201266650</t>
  </si>
  <si>
    <t>SUKHDEV RAM (CHACHA JI)</t>
  </si>
  <si>
    <t>DEV SORAN</t>
  </si>
  <si>
    <t>DEV SARON</t>
  </si>
  <si>
    <t>SHYAM NATH</t>
  </si>
  <si>
    <t>SHOBIYA</t>
  </si>
  <si>
    <t>BABU RAM</t>
  </si>
  <si>
    <t>VIJAY KUMAR</t>
  </si>
  <si>
    <t>MRS RAGHUVEER</t>
  </si>
  <si>
    <t xml:space="preserve"> FRAME BOSS D </t>
  </si>
  <si>
    <t xml:space="preserve"> MR.RAGHUVEER</t>
  </si>
  <si>
    <t>MR. RAGHUVEER</t>
  </si>
  <si>
    <t>INDERESH  BHARDWAJ</t>
  </si>
  <si>
    <t>INDERESH BHARDWAJ</t>
  </si>
  <si>
    <t>RAJWINDER KAUR</t>
  </si>
  <si>
    <t xml:space="preserve">MANVEER </t>
  </si>
  <si>
    <t xml:space="preserve">YAKHUB KHAN </t>
  </si>
  <si>
    <t>TARANDEEP SINGH</t>
  </si>
  <si>
    <t>GURJEET KAUR</t>
  </si>
  <si>
    <t>QILA HAKIMA</t>
  </si>
  <si>
    <t>BALVEER SINGH</t>
  </si>
  <si>
    <t>KIRANJOT KAUR</t>
  </si>
  <si>
    <t>KULDEEP SINGH</t>
  </si>
  <si>
    <t>PG ARC KT</t>
  </si>
  <si>
    <t>KULDDEP SINGH</t>
  </si>
  <si>
    <t>20/2/19  1400</t>
  </si>
  <si>
    <t>3 PEICE FRAME</t>
  </si>
  <si>
    <t>KULDEEP SINGH SIDHU</t>
  </si>
  <si>
    <t>HARPREET SINGH</t>
  </si>
  <si>
    <t>PROGRESSIVE KT</t>
  </si>
  <si>
    <t>AVTAR  SINGH</t>
  </si>
  <si>
    <t>KOOP KALAN</t>
  </si>
  <si>
    <t xml:space="preserve"> METAL FRAME 2</t>
  </si>
  <si>
    <t>21/2/19  500</t>
  </si>
  <si>
    <t>JASMAIL KAUR</t>
  </si>
  <si>
    <t>21/2/19 100</t>
  </si>
  <si>
    <t>MAHEKPREET</t>
  </si>
  <si>
    <t>MEHAKPREET</t>
  </si>
  <si>
    <t>PROGRESSIVE ARC</t>
  </si>
  <si>
    <t>200/25/2/19-1200</t>
  </si>
  <si>
    <t>TANVEER SINGH</t>
  </si>
  <si>
    <t>ISSAPUR</t>
  </si>
  <si>
    <t>MEENU</t>
  </si>
  <si>
    <t>BALDEEP SINGH</t>
  </si>
  <si>
    <t>SALEMPUR</t>
  </si>
  <si>
    <t>BALDEEP KAUR</t>
  </si>
  <si>
    <t>KARAMJEET KAUR</t>
  </si>
  <si>
    <t>2 pair</t>
  </si>
  <si>
    <t>PREM LATA SHARMA</t>
  </si>
  <si>
    <t>GURWINDER SINGH</t>
  </si>
  <si>
    <t>21/2/19 300</t>
  </si>
  <si>
    <t>RAJVEER KAUR</t>
  </si>
  <si>
    <t>MANAL</t>
  </si>
  <si>
    <t>MAMTA RANI</t>
  </si>
  <si>
    <t>SARBJEET KAUR</t>
  </si>
  <si>
    <t>PARAMJEET SINGH</t>
  </si>
  <si>
    <t>KRISHNA GARG</t>
  </si>
  <si>
    <t>MEERUT</t>
  </si>
  <si>
    <t>HARLEEN KAUR</t>
  </si>
  <si>
    <t>AMARPALI</t>
  </si>
  <si>
    <t>SUNIL DUTT</t>
  </si>
  <si>
    <t>GAGGAN SHARMA</t>
  </si>
  <si>
    <t>6 LINE PGKT</t>
  </si>
  <si>
    <t>MAJOR KHAN</t>
  </si>
  <si>
    <t>RURHGARH</t>
  </si>
  <si>
    <t>500-1/3/19</t>
  </si>
  <si>
    <t>PRIYANKA</t>
  </si>
  <si>
    <t>CHEEMA</t>
  </si>
  <si>
    <t>PGKT ARC</t>
  </si>
  <si>
    <t>1400/28-2-19</t>
  </si>
  <si>
    <t>SURINDERJEET</t>
  </si>
  <si>
    <t>SAHAJPREET KAUR</t>
  </si>
  <si>
    <t>DALJEET KAUR</t>
  </si>
  <si>
    <t>ALIPUR KHALSA</t>
  </si>
  <si>
    <t>1200/28-2-19</t>
  </si>
  <si>
    <t>DILJOT KAUR</t>
  </si>
  <si>
    <t>ARTI</t>
  </si>
  <si>
    <t>400/28-2-19</t>
  </si>
  <si>
    <t>SATVIR SINGH</t>
  </si>
  <si>
    <t>SHEET FRAME 3</t>
  </si>
  <si>
    <t>PARVEEN</t>
  </si>
  <si>
    <t xml:space="preserve">PAWAN </t>
  </si>
  <si>
    <t>GUMTI</t>
  </si>
  <si>
    <t>CATARAY GLASSES</t>
  </si>
  <si>
    <t>6/3/19-1000</t>
  </si>
  <si>
    <t>5/3/19-600</t>
  </si>
  <si>
    <t>MANU JINDAL</t>
  </si>
  <si>
    <t>3/3/19-400</t>
  </si>
  <si>
    <t>ANU</t>
  </si>
  <si>
    <t>GYAN CHAND</t>
  </si>
  <si>
    <t>BHARPUR KAUR</t>
  </si>
  <si>
    <t>KISAN LAL</t>
  </si>
  <si>
    <t>BADI BEGAM</t>
  </si>
  <si>
    <t>1/3/19 -100</t>
  </si>
  <si>
    <t>PARMINDER KAUR</t>
  </si>
  <si>
    <t>5/3/19-1100</t>
  </si>
  <si>
    <t>MAJOR SINGH</t>
  </si>
  <si>
    <t>5/3/19-300</t>
  </si>
  <si>
    <t>RACHAVANTI DEVI</t>
  </si>
  <si>
    <t>SUKHPAL KAUR</t>
  </si>
  <si>
    <t>SONI</t>
  </si>
  <si>
    <t>SAVITA</t>
  </si>
  <si>
    <t>SURJEET KAUR</t>
  </si>
  <si>
    <t>400-1/3/19</t>
  </si>
  <si>
    <t>500/-1/3/19</t>
  </si>
  <si>
    <t>PARMILA</t>
  </si>
  <si>
    <t>KULWINDER KAUR</t>
  </si>
  <si>
    <t>PROGRESSIVE PGCR</t>
  </si>
  <si>
    <t>JASWINDERN SINGH</t>
  </si>
  <si>
    <t>JAMER KAUR</t>
  </si>
  <si>
    <t>SUPRA METAL</t>
  </si>
  <si>
    <t>DISNEYMK156_C697_48</t>
  </si>
  <si>
    <t>MEHREEN</t>
  </si>
  <si>
    <t>BABY FRAME SHEET</t>
  </si>
  <si>
    <t>MANVEER</t>
  </si>
  <si>
    <t>MANVEER SINGH</t>
  </si>
  <si>
    <t>BHADUR SINGH</t>
  </si>
  <si>
    <t>5/3/19 1200</t>
  </si>
  <si>
    <t>JAGGA SINGH</t>
  </si>
  <si>
    <t>6/3/19-700</t>
  </si>
  <si>
    <t>6/3/19-500</t>
  </si>
  <si>
    <t>SIMRANJEET KAUR</t>
  </si>
  <si>
    <t>LAKHVEER SINGH</t>
  </si>
  <si>
    <t>VEENA RANI</t>
  </si>
  <si>
    <t>SITA RANI</t>
  </si>
  <si>
    <t>2/3/19-150</t>
  </si>
  <si>
    <t>KAMLESH</t>
  </si>
  <si>
    <t>5/3/19-400</t>
  </si>
  <si>
    <t>7-3-19-300</t>
  </si>
  <si>
    <t>GYAN SINGH</t>
  </si>
  <si>
    <t>KARAMGARH</t>
  </si>
  <si>
    <t>6/3/19-150</t>
  </si>
  <si>
    <t>RUPINDER KAUR</t>
  </si>
  <si>
    <t>7/3/19-400</t>
  </si>
  <si>
    <t>IQBAL KAUR</t>
  </si>
  <si>
    <t>SHEET  FRAME 2</t>
  </si>
  <si>
    <t>BABITA SHARMA</t>
  </si>
  <si>
    <t>SHANKAR SINGH</t>
  </si>
  <si>
    <t>JAL KAUR</t>
  </si>
  <si>
    <t>10/3/19-300</t>
  </si>
  <si>
    <t>RAHUL</t>
  </si>
  <si>
    <t>HARDILJOT</t>
  </si>
  <si>
    <t>TANVEER KAUR</t>
  </si>
  <si>
    <t>35/3/19-150</t>
  </si>
  <si>
    <t>5/3/19-2000</t>
  </si>
  <si>
    <t>AMANAT</t>
  </si>
  <si>
    <t>5/3/10-1500</t>
  </si>
  <si>
    <t>JASNOOR</t>
  </si>
  <si>
    <t>HARMEET KAUR</t>
  </si>
  <si>
    <t>HARI CHAND</t>
  </si>
  <si>
    <t>MANDIP</t>
  </si>
  <si>
    <t>JATTIMAZRA</t>
  </si>
  <si>
    <t>SHIVTOSH</t>
  </si>
  <si>
    <t xml:space="preserve">SHIVTOSH </t>
  </si>
  <si>
    <t>FARWAHI</t>
  </si>
  <si>
    <t>MANISHA</t>
  </si>
  <si>
    <t>SARABJEET</t>
  </si>
  <si>
    <t>BASANTI</t>
  </si>
  <si>
    <t>BABBU</t>
  </si>
  <si>
    <t>NARWANA</t>
  </si>
  <si>
    <t>15/3/19-100</t>
  </si>
  <si>
    <t xml:space="preserve"> NARWANA</t>
  </si>
  <si>
    <t>12/3/19-80</t>
  </si>
  <si>
    <t>RAJAN GARG</t>
  </si>
  <si>
    <t>CHAMKAUR SINGH</t>
  </si>
  <si>
    <t>YOGESH</t>
  </si>
  <si>
    <t>KHAGI SARA</t>
  </si>
  <si>
    <t xml:space="preserve">OT USE </t>
  </si>
  <si>
    <t>SPECTACLE FRAMES</t>
  </si>
  <si>
    <t>2018/19-614</t>
  </si>
  <si>
    <t>H.K ENTERPRISES</t>
  </si>
  <si>
    <t>SPECTACLE FRAME</t>
  </si>
  <si>
    <t>SUN GLASSES PROTECTIVE (CUP GOGGLE)</t>
  </si>
  <si>
    <t>GAURAV (VIJAY BANK)</t>
  </si>
  <si>
    <t>GAURAV ( VIJAY BANK)</t>
  </si>
  <si>
    <t>PARAMPREET SINGH</t>
  </si>
  <si>
    <t>LEELA DEVI</t>
  </si>
  <si>
    <t>HEENA SINGLA</t>
  </si>
  <si>
    <t>CHAMPA DEVI</t>
  </si>
  <si>
    <t>15/3/19-400</t>
  </si>
  <si>
    <t>CHARANJEET KAUR</t>
  </si>
  <si>
    <t>15/3/19-300</t>
  </si>
  <si>
    <t>PA7090_C01_58</t>
  </si>
  <si>
    <t>SAHAJPREET</t>
  </si>
  <si>
    <t>HIRA LAL</t>
  </si>
  <si>
    <t>HIMANSHI WADHWA</t>
  </si>
  <si>
    <t xml:space="preserve"> CRKT</t>
  </si>
  <si>
    <t>JAGRAJ</t>
  </si>
  <si>
    <t>12/3/19-300</t>
  </si>
  <si>
    <t>ANIL</t>
  </si>
  <si>
    <t>DUGGA</t>
  </si>
  <si>
    <t>KASHMIR SINGH</t>
  </si>
  <si>
    <t>BANT SINGH</t>
  </si>
  <si>
    <t>RAJWANSH</t>
  </si>
  <si>
    <t>16/3/19-100</t>
  </si>
  <si>
    <t>13/3/19-300</t>
  </si>
  <si>
    <t>SUPINDER KAUR</t>
  </si>
  <si>
    <t>16/3/19-500</t>
  </si>
  <si>
    <t>SANGEETA BANSAL</t>
  </si>
  <si>
    <t>SAROJ RANI</t>
  </si>
  <si>
    <t>16/3/2019-200</t>
  </si>
  <si>
    <t>BHAJAN KAUR</t>
  </si>
  <si>
    <t>RB3447N_00190_50</t>
  </si>
  <si>
    <t>18/3/19-200</t>
  </si>
  <si>
    <t>RAMANPREET KAUR</t>
  </si>
  <si>
    <t>BHARHI MANSA</t>
  </si>
  <si>
    <t>14/3/19-900</t>
  </si>
  <si>
    <t>16/3/19-400</t>
  </si>
  <si>
    <t>PARLADH</t>
  </si>
  <si>
    <t>VINOD</t>
  </si>
  <si>
    <t>24.50 PAIR</t>
  </si>
  <si>
    <t>12 PAIR</t>
  </si>
  <si>
    <t>SANDEEP</t>
  </si>
  <si>
    <t>SUKHDEV SINGH</t>
  </si>
  <si>
    <t>BHAJOWALI</t>
  </si>
  <si>
    <t>KHERIJATTA</t>
  </si>
  <si>
    <t>ANITA RANI</t>
  </si>
  <si>
    <t>PALWAN</t>
  </si>
  <si>
    <t>RAGHU PANDIT</t>
  </si>
  <si>
    <t>19/3/19-500</t>
  </si>
  <si>
    <t>JASANPREET</t>
  </si>
  <si>
    <t>19/3/19-150</t>
  </si>
  <si>
    <t>KAMLA DEVI</t>
  </si>
  <si>
    <t>KULDDEP KAUR</t>
  </si>
  <si>
    <t>18/3/19-500</t>
  </si>
  <si>
    <t>17/3/19-100</t>
  </si>
  <si>
    <t>BAWANDEEP SINGH</t>
  </si>
  <si>
    <t>18/3/19-300</t>
  </si>
  <si>
    <t>SIMPLA RANI</t>
  </si>
  <si>
    <t>17/3/19-200</t>
  </si>
  <si>
    <t>ANGREJ KAUR</t>
  </si>
  <si>
    <t>GURDEV</t>
  </si>
  <si>
    <t>SOMA</t>
  </si>
  <si>
    <t>LOHARMAZRA</t>
  </si>
  <si>
    <t>AMANDEEP KAUR</t>
  </si>
  <si>
    <t>FT_M140BU2_58</t>
  </si>
  <si>
    <t>00029</t>
  </si>
  <si>
    <t>HARNOOR KAUR</t>
  </si>
  <si>
    <t>KIRANJEET KAUR</t>
  </si>
  <si>
    <t>HARJEET KAUR</t>
  </si>
  <si>
    <t>BAMALGARH</t>
  </si>
  <si>
    <t>VIMALPREET KAUR</t>
  </si>
  <si>
    <t>AMRITPAL</t>
  </si>
  <si>
    <t>AMRITPAL SINGH</t>
  </si>
  <si>
    <t xml:space="preserve">KARAM </t>
  </si>
  <si>
    <t>MOHINDER SINGH</t>
  </si>
  <si>
    <t>JAKHLA</t>
  </si>
  <si>
    <t>ID1534_C1_50</t>
  </si>
  <si>
    <t>SEELAM</t>
  </si>
  <si>
    <t>MOHAN LAL</t>
  </si>
  <si>
    <t>22/3/19-500</t>
  </si>
  <si>
    <t>SWARNA</t>
  </si>
  <si>
    <t>GURNAM KAUR</t>
  </si>
  <si>
    <t>SANDEEP SINGH</t>
  </si>
  <si>
    <t>ROLDU RAM</t>
  </si>
  <si>
    <t>BALWINDER SINGH</t>
  </si>
  <si>
    <t>KHUSHMEEN KAUR</t>
  </si>
  <si>
    <t>DHADOGAL</t>
  </si>
  <si>
    <t>BHULARHERI</t>
  </si>
  <si>
    <t>ANAMIKA</t>
  </si>
  <si>
    <t>SUMANPREET KAUR</t>
  </si>
  <si>
    <t>JASVEER</t>
  </si>
  <si>
    <t>RAMESH ARYA</t>
  </si>
  <si>
    <t>BHATINDA</t>
  </si>
  <si>
    <t>POONAM SHARMA</t>
  </si>
  <si>
    <t>SULEKHA</t>
  </si>
  <si>
    <t>RAVNEET SINGH</t>
  </si>
  <si>
    <t>KALEWAL</t>
  </si>
  <si>
    <t>CHETAN</t>
  </si>
  <si>
    <t>SUKHJINDER KAUR</t>
  </si>
  <si>
    <t>18 PAIR</t>
  </si>
  <si>
    <t>5 PAIR</t>
  </si>
  <si>
    <t>1.5 PAIR</t>
  </si>
  <si>
    <t>10 PAIR</t>
  </si>
  <si>
    <t>24 PAIR</t>
  </si>
  <si>
    <t>DILPREET KAUR</t>
  </si>
  <si>
    <t>MONIKA</t>
  </si>
  <si>
    <t>SUKHWINDER SINGH</t>
  </si>
  <si>
    <t>SALOCHNA RANI</t>
  </si>
  <si>
    <t>KIRPAL SINGH</t>
  </si>
  <si>
    <t>BANARSI KHAN</t>
  </si>
  <si>
    <t>NATTA</t>
  </si>
  <si>
    <t>SOHAN LAL</t>
  </si>
  <si>
    <t>SE1273_C1_52</t>
  </si>
  <si>
    <t>PARGAT SINGH</t>
  </si>
  <si>
    <t>DR MATHARU</t>
  </si>
  <si>
    <t>DR MATHRU</t>
  </si>
  <si>
    <t>SUNITA RANI</t>
  </si>
  <si>
    <t>HERIKE</t>
  </si>
  <si>
    <t xml:space="preserve">DR MANPREET </t>
  </si>
  <si>
    <t>OO9102_36_55</t>
  </si>
  <si>
    <t>BHUPINDER KAUR</t>
  </si>
  <si>
    <t>CHHAHAR</t>
  </si>
  <si>
    <t>MALKIT SINGH</t>
  </si>
  <si>
    <t>PUNJAB (DHURI)</t>
  </si>
  <si>
    <t>S6DF0/18/86</t>
  </si>
  <si>
    <t>PANKAJ DAS</t>
  </si>
  <si>
    <t>SIKHA</t>
  </si>
  <si>
    <t>GURDARSHAN SINGH</t>
  </si>
  <si>
    <t>TEJO</t>
  </si>
  <si>
    <t>H C SINGLA</t>
  </si>
  <si>
    <t>KANDHARGARH CHANNA</t>
  </si>
  <si>
    <t>HARABANS KAUR</t>
  </si>
  <si>
    <t>GURNOOR KAUR</t>
  </si>
  <si>
    <t>BARHI SINGH</t>
  </si>
  <si>
    <t>BARHI MANSA</t>
  </si>
  <si>
    <t>GYAN KAUR</t>
  </si>
  <si>
    <t>DAULATPUR</t>
  </si>
  <si>
    <t>KATU BALIAN</t>
  </si>
  <si>
    <t>HARJIT KAUR</t>
  </si>
  <si>
    <t>KANDHARGARH</t>
  </si>
  <si>
    <t>MISHRA SINGH</t>
  </si>
  <si>
    <t>BITO DEVI</t>
  </si>
  <si>
    <t>ASHIMA</t>
  </si>
  <si>
    <t>KOTKALAN</t>
  </si>
  <si>
    <t>PRITAM KAUR</t>
  </si>
  <si>
    <t>ASHUTOSH</t>
  </si>
  <si>
    <t>DARBARA SINGH</t>
  </si>
  <si>
    <t>MANWI</t>
  </si>
  <si>
    <t>PREM KUMAR</t>
  </si>
  <si>
    <t>RAHIM KHAN</t>
  </si>
  <si>
    <t>TARSEEM KUMAR</t>
  </si>
  <si>
    <t>SINDER PAL KAUR</t>
  </si>
  <si>
    <t xml:space="preserve">VIPANDEEP </t>
  </si>
  <si>
    <t>RAMANDEEO KAUR</t>
  </si>
  <si>
    <t>SHEET FRAME  1</t>
  </si>
  <si>
    <t>AMAR SINGH</t>
  </si>
  <si>
    <t>SHIV RAJ KUMAR</t>
  </si>
  <si>
    <t>AMRIN TOOR</t>
  </si>
  <si>
    <t>SAVITRI DEVI</t>
  </si>
  <si>
    <t>SAVITRI  DEVI</t>
  </si>
  <si>
    <t>SALU DEVI</t>
  </si>
  <si>
    <t>15.50 PAIR</t>
  </si>
  <si>
    <t>23 PAIR</t>
  </si>
  <si>
    <t>CK5364A_028_M</t>
  </si>
  <si>
    <t>MAHAKDEEP KAUR</t>
  </si>
  <si>
    <t>MAKAKDEEP KAUR</t>
  </si>
  <si>
    <t>DEEKSHA</t>
  </si>
  <si>
    <t>VO5147_W4411_55</t>
  </si>
  <si>
    <t>PREM DEVI</t>
  </si>
  <si>
    <t xml:space="preserve">BANITA </t>
  </si>
  <si>
    <t>BANITA</t>
  </si>
  <si>
    <t>DARSHNA  DEVI</t>
  </si>
  <si>
    <t>PARVEEN KAUR</t>
  </si>
  <si>
    <t>SIRHIND</t>
  </si>
  <si>
    <t>SHASHI PAL</t>
  </si>
  <si>
    <t>DALIP KAUR</t>
  </si>
  <si>
    <t>MERHERI</t>
  </si>
  <si>
    <t>VIDYA DEVI</t>
  </si>
  <si>
    <t>LONGSHRI</t>
  </si>
  <si>
    <t>AMARJEET KHAN</t>
  </si>
  <si>
    <t>GAILAN</t>
  </si>
  <si>
    <t>AMARJIT KHAN</t>
  </si>
  <si>
    <t>SANTOSH</t>
  </si>
  <si>
    <t>DARSHNA DEVI</t>
  </si>
  <si>
    <t>PHOOLWATI</t>
  </si>
  <si>
    <t>RIPANJOT KAUR</t>
  </si>
  <si>
    <t>BEDI RAM</t>
  </si>
  <si>
    <t>S/O VIKRAM</t>
  </si>
  <si>
    <t>0001/19-20</t>
  </si>
  <si>
    <t>CHNDIGARH</t>
  </si>
  <si>
    <t>AMRINDER KAUR</t>
  </si>
  <si>
    <t>PARDEEP KAUR</t>
  </si>
  <si>
    <t>AADESH</t>
  </si>
  <si>
    <t>KAUR  SINGH</t>
  </si>
  <si>
    <t>ACHARA SINGH</t>
  </si>
  <si>
    <t>PRITAM RAM</t>
  </si>
  <si>
    <t>MOC00182</t>
  </si>
  <si>
    <t>0002/19-20</t>
  </si>
  <si>
    <t>RB4205_71013_56</t>
  </si>
  <si>
    <t>SARIFFA</t>
  </si>
  <si>
    <t>AKABAR KHAN</t>
  </si>
  <si>
    <t>AKBAR KHAN</t>
  </si>
  <si>
    <t>SINDERPAL KAUR</t>
  </si>
  <si>
    <t>DHANNA SINGH</t>
  </si>
  <si>
    <t>JAMALPUR</t>
  </si>
  <si>
    <t>SHHET FRAME 1</t>
  </si>
  <si>
    <t>LOHGARH</t>
  </si>
  <si>
    <t>PG ARCKT</t>
  </si>
  <si>
    <t>ARSHDEEP KAUR</t>
  </si>
  <si>
    <t>KARTAR KAUR</t>
  </si>
  <si>
    <t>SHER SINGH</t>
  </si>
  <si>
    <t>BHADARGARH</t>
  </si>
  <si>
    <t>JASBIR SINGH</t>
  </si>
  <si>
    <t>JASBIR KAUR</t>
  </si>
  <si>
    <t>SHAMSHER KAUR</t>
  </si>
  <si>
    <t>GINDER SINGH</t>
  </si>
  <si>
    <t>PARKASH SINGH</t>
  </si>
  <si>
    <t>KALA BOLA</t>
  </si>
  <si>
    <t>NACCHATTAR KAUR</t>
  </si>
  <si>
    <t>AMRO</t>
  </si>
  <si>
    <t>SARABJIT KAUR</t>
  </si>
  <si>
    <t>PREM CHAND</t>
  </si>
  <si>
    <t>BHADURGARH</t>
  </si>
  <si>
    <t>JEETO</t>
  </si>
  <si>
    <t>KALAWATI</t>
  </si>
  <si>
    <t>RAM SAROOP</t>
  </si>
  <si>
    <t>BALBIR SINGH</t>
  </si>
  <si>
    <t>MANPREET SINGH</t>
  </si>
  <si>
    <t>KAILASHO</t>
  </si>
  <si>
    <t>METAK FRAME 1</t>
  </si>
  <si>
    <t>SONA DEVI</t>
  </si>
  <si>
    <t>KARNAIL SINGH</t>
  </si>
  <si>
    <t>KARNAIL  SINGH</t>
  </si>
  <si>
    <t>BAHADURGARH</t>
  </si>
  <si>
    <t>SALEEMPUR</t>
  </si>
  <si>
    <t>BOHATI</t>
  </si>
  <si>
    <t>SANT KAUR</t>
  </si>
  <si>
    <t>HARNAM KAUR</t>
  </si>
  <si>
    <t>ROLDHU SINGH WALA</t>
  </si>
  <si>
    <t>RANIKE</t>
  </si>
  <si>
    <t>SATBIR SINGH</t>
  </si>
  <si>
    <t>MALKEET SINGH</t>
  </si>
  <si>
    <t>DALWARA SINGH</t>
  </si>
  <si>
    <t>NACHHATAR KAUR</t>
  </si>
  <si>
    <t>MANPRRET KAUR</t>
  </si>
  <si>
    <t>BHOLA SINGH</t>
  </si>
  <si>
    <t>MOC00409</t>
  </si>
  <si>
    <t>M0C00409</t>
  </si>
  <si>
    <t>MOC00494</t>
  </si>
  <si>
    <t>RB3553_00173_59</t>
  </si>
  <si>
    <t>0102/19-29</t>
  </si>
  <si>
    <t>ID1564_C6_51</t>
  </si>
  <si>
    <t>0102/19-20</t>
  </si>
  <si>
    <t>ID1560_C3_54</t>
  </si>
  <si>
    <t>ID1558_C4_53</t>
  </si>
  <si>
    <t>GAGAN</t>
  </si>
  <si>
    <t>BALJINDER KAUR</t>
  </si>
  <si>
    <t>SINDER KAUR</t>
  </si>
  <si>
    <t>PRABHJOT</t>
  </si>
  <si>
    <t xml:space="preserve">GAGAN </t>
  </si>
  <si>
    <t>TRIPTA RANI</t>
  </si>
  <si>
    <t>BEANT KAUR</t>
  </si>
  <si>
    <t>SUKHJEET SINGH</t>
  </si>
  <si>
    <t xml:space="preserve">ARC </t>
  </si>
  <si>
    <t>INB2620A_CAT3_S</t>
  </si>
  <si>
    <t>VO5164S_25578H_52</t>
  </si>
  <si>
    <t>IDS2262_C1_51</t>
  </si>
  <si>
    <t>0103/19-20</t>
  </si>
  <si>
    <t>IDS2197_C2_56</t>
  </si>
  <si>
    <t>IDS1961_C3P_M</t>
  </si>
  <si>
    <t>PRIYANKA (GAS ANGENCY)</t>
  </si>
  <si>
    <t>PRIYANKA (GAS AGENCY)</t>
  </si>
  <si>
    <t>BHOLLA SINGH</t>
  </si>
  <si>
    <t xml:space="preserve">NIRMLA DEVI </t>
  </si>
  <si>
    <t>METAL FRAME  2</t>
  </si>
  <si>
    <t>JATINDER KUMAR</t>
  </si>
  <si>
    <t>MOC00648</t>
  </si>
  <si>
    <t>MOC00701</t>
  </si>
  <si>
    <t>RANBIR KAUR</t>
  </si>
  <si>
    <t>RANVIR KAUR</t>
  </si>
  <si>
    <t>BABU KHAN</t>
  </si>
  <si>
    <t>DIVANSH  (LAB.BABU)</t>
  </si>
  <si>
    <t>MANNAT GOYAL (LAB. BABU)</t>
  </si>
  <si>
    <t>0117/19-20</t>
  </si>
  <si>
    <t>RASHPAL</t>
  </si>
  <si>
    <t>JOGINDER SINGH</t>
  </si>
  <si>
    <t>0121/19-20</t>
  </si>
  <si>
    <t>ID1557_C5_52</t>
  </si>
  <si>
    <t>0120/19-20</t>
  </si>
  <si>
    <t>120/19-20</t>
  </si>
  <si>
    <t>SEHNAJ</t>
  </si>
  <si>
    <t>KHER JATTA</t>
  </si>
  <si>
    <t>OO9175_01_55</t>
  </si>
  <si>
    <t>0144/19-20</t>
  </si>
  <si>
    <t>GUDI</t>
  </si>
  <si>
    <t>ASHU</t>
  </si>
  <si>
    <t>CHANDO</t>
  </si>
  <si>
    <t>AMRITPAL KAUR</t>
  </si>
  <si>
    <t>NIRMLA DEVI</t>
  </si>
  <si>
    <t>KAPOOR KHAN</t>
  </si>
  <si>
    <t>KRISHAN</t>
  </si>
  <si>
    <t>KHUSPREET KAUR</t>
  </si>
  <si>
    <t>RASIDAN</t>
  </si>
  <si>
    <t>METAL  FRAME 1</t>
  </si>
  <si>
    <t>AJEET SINGH</t>
  </si>
  <si>
    <t>1049/19-20</t>
  </si>
  <si>
    <t>ID1558_C1_53</t>
  </si>
  <si>
    <t>0149/19-20</t>
  </si>
  <si>
    <t>ID1563_C4_53</t>
  </si>
  <si>
    <t>IDS2440_C2_67</t>
  </si>
  <si>
    <t>IDS2441_C3_72</t>
  </si>
  <si>
    <t>HARPAL SINGH</t>
  </si>
  <si>
    <t>SHERPUR SODIAN</t>
  </si>
  <si>
    <t>RAJ BALA</t>
  </si>
  <si>
    <t>GAMANDEEP SHARMA</t>
  </si>
  <si>
    <t>RAJINDER PAL</t>
  </si>
  <si>
    <t>4 UNIT</t>
  </si>
  <si>
    <t>MOC01097</t>
  </si>
  <si>
    <t>27 PAIR</t>
  </si>
  <si>
    <t>90 PAIR</t>
  </si>
  <si>
    <t>57 PAIR</t>
  </si>
  <si>
    <t>MOC01104</t>
  </si>
  <si>
    <t>11 PAIR</t>
  </si>
  <si>
    <t>RAJ KAUR</t>
  </si>
  <si>
    <t>BHATIA KALAN</t>
  </si>
  <si>
    <t>SADEEHAN</t>
  </si>
  <si>
    <t>CHANNA</t>
  </si>
  <si>
    <t>SADEEKAN</t>
  </si>
  <si>
    <t>GURWINDER KAUR</t>
  </si>
  <si>
    <t>SUBHASH JINDAL</t>
  </si>
  <si>
    <t>BUDLADDA</t>
  </si>
  <si>
    <t>GAFURAN</t>
  </si>
  <si>
    <t>MUJAHIR</t>
  </si>
  <si>
    <t>DHURI  (AP)</t>
  </si>
  <si>
    <t>DHURI (AP)</t>
  </si>
  <si>
    <t>SANTOKHI DEVI</t>
  </si>
  <si>
    <t>JEETPATI</t>
  </si>
  <si>
    <t>RANI</t>
  </si>
  <si>
    <t>JASVEER SNGH</t>
  </si>
  <si>
    <t>KARAMJEET</t>
  </si>
  <si>
    <t>JOGESH SHARMA</t>
  </si>
  <si>
    <t xml:space="preserve">TEJPAL </t>
  </si>
  <si>
    <t>ARC KT</t>
  </si>
  <si>
    <t>TEJPAL</t>
  </si>
  <si>
    <t xml:space="preserve">BABY SHEET FRAME </t>
  </si>
  <si>
    <t>JASPREET SINGH</t>
  </si>
  <si>
    <t>DHAMGARH</t>
  </si>
  <si>
    <t>SUKHMANDEEP KAUR</t>
  </si>
  <si>
    <t>SATPAL SHARMA</t>
  </si>
  <si>
    <t>HARDEEP KAUR</t>
  </si>
  <si>
    <t>ANJU</t>
  </si>
  <si>
    <t>GURCHARAN SINGH</t>
  </si>
  <si>
    <t>METEL FRAME 1</t>
  </si>
  <si>
    <t>PUSHPINDER KAUR</t>
  </si>
  <si>
    <t>BURJ GOHRA</t>
  </si>
  <si>
    <t>CHRANJIT KAUR</t>
  </si>
  <si>
    <t>BADI</t>
  </si>
  <si>
    <t>HUSHANPREET KAUR</t>
  </si>
  <si>
    <t>BALPREET KAUR</t>
  </si>
  <si>
    <t>RASHDEEP SINGH</t>
  </si>
  <si>
    <t>SUKHVIR KAUR</t>
  </si>
  <si>
    <t>SANTPURA</t>
  </si>
  <si>
    <t>KULWANT KAUR</t>
  </si>
  <si>
    <t>KAUSHLYA DEVI</t>
  </si>
  <si>
    <t>LAKHVIR KAUR</t>
  </si>
  <si>
    <t>HARI RAM</t>
  </si>
  <si>
    <t>PHULWANTI</t>
  </si>
  <si>
    <t>HARWINDER KAUR</t>
  </si>
  <si>
    <t>ID1490_C1_53</t>
  </si>
  <si>
    <t>0223/19-20</t>
  </si>
  <si>
    <t>ID1159_C3_53</t>
  </si>
  <si>
    <t>ID1480_C8_51</t>
  </si>
  <si>
    <t>0164/19-20</t>
  </si>
  <si>
    <t>ID1562_C1_51</t>
  </si>
  <si>
    <t>IDS1899_C3_64</t>
  </si>
  <si>
    <t>IDS2412_C3_57</t>
  </si>
  <si>
    <t>IDS2440_C3_67</t>
  </si>
  <si>
    <t>IDS2438_C1_57</t>
  </si>
  <si>
    <t>IDS2427_C1_61</t>
  </si>
  <si>
    <t>IDS2438_C4_57</t>
  </si>
  <si>
    <t>IDS2409_C4P_58</t>
  </si>
  <si>
    <t>IDS2423_C2_53</t>
  </si>
  <si>
    <t>0178/19-20</t>
  </si>
  <si>
    <t>0196/19-20</t>
  </si>
  <si>
    <t>INB2710A_CAT3_S</t>
  </si>
  <si>
    <t>AMARJEET KAR</t>
  </si>
  <si>
    <t>BUDDA</t>
  </si>
  <si>
    <t xml:space="preserve">BUDDA </t>
  </si>
  <si>
    <t>HV210_COL09_64</t>
  </si>
  <si>
    <t>JITENDER SHARMA</t>
  </si>
  <si>
    <t>HV210_COL05_64</t>
  </si>
  <si>
    <t>KHUSHPREET KAUR</t>
  </si>
  <si>
    <t>MALA</t>
  </si>
  <si>
    <t>MALA DEVI</t>
  </si>
  <si>
    <t>BANSO</t>
  </si>
  <si>
    <t>MRS GOURAV (VIJAY BANK)</t>
  </si>
  <si>
    <t>MR GOURAV (VIJAY BANK)</t>
  </si>
  <si>
    <t>NISHA</t>
  </si>
  <si>
    <t>BHAWANA</t>
  </si>
  <si>
    <t>SUMANDEEP KAUR</t>
  </si>
  <si>
    <t>KARAMJEET SINGH</t>
  </si>
  <si>
    <t>0253/19-20</t>
  </si>
  <si>
    <t>ID1490_C3_53</t>
  </si>
  <si>
    <t>0153/19-20</t>
  </si>
  <si>
    <t>ID1514_C2_52</t>
  </si>
  <si>
    <t>0263/19-20</t>
  </si>
  <si>
    <t>JAGDEEP INDER KAUR</t>
  </si>
  <si>
    <t>PARNEET KAUR</t>
  </si>
  <si>
    <t>PUNITPAL</t>
  </si>
  <si>
    <t xml:space="preserve">PUNITPAL </t>
  </si>
  <si>
    <t xml:space="preserve">CREAST FRAME </t>
  </si>
  <si>
    <t>SHAKUNTLA</t>
  </si>
  <si>
    <t>BABU SINGH</t>
  </si>
  <si>
    <t>PRABHDEEP</t>
  </si>
  <si>
    <t>GUDDI DEVI</t>
  </si>
  <si>
    <t>0269/19-20</t>
  </si>
  <si>
    <t>IDS2467_C1_51</t>
  </si>
  <si>
    <t>IDS2500_C28_58</t>
  </si>
  <si>
    <t>IDS2500_C24_58</t>
  </si>
  <si>
    <t>IDS2500_C51_58</t>
  </si>
  <si>
    <t>IDS2500_C53_58</t>
  </si>
  <si>
    <t>IDS2503_C2_58</t>
  </si>
  <si>
    <t>NIRMAL</t>
  </si>
  <si>
    <t>PARAMJEET</t>
  </si>
  <si>
    <t>SNEH LATA</t>
  </si>
  <si>
    <t>AMANDEEP</t>
  </si>
  <si>
    <t xml:space="preserve">BHUPINDER </t>
  </si>
  <si>
    <t>ALIPUR  KHALSA</t>
  </si>
  <si>
    <t>ARSHPREET</t>
  </si>
  <si>
    <t>BHULLAER HERI</t>
  </si>
  <si>
    <t>RASHANDEEP</t>
  </si>
  <si>
    <t xml:space="preserve">                         </t>
  </si>
  <si>
    <t>PANKAJ</t>
  </si>
  <si>
    <t>FR/4084/19-20</t>
  </si>
  <si>
    <t>ID1561_C2_51</t>
  </si>
  <si>
    <t>ID1542_C6_53</t>
  </si>
  <si>
    <t>ID1504_C3_52</t>
  </si>
  <si>
    <t>ID1508_C4_54</t>
  </si>
  <si>
    <t>2+1</t>
  </si>
  <si>
    <t>ID1508_C2_54</t>
  </si>
  <si>
    <t>ID1544_C2_52</t>
  </si>
  <si>
    <t xml:space="preserve"> ID1560_C1_54</t>
  </si>
  <si>
    <t>AJAY</t>
  </si>
  <si>
    <t>SAINGALI</t>
  </si>
  <si>
    <t>AKASHDEEP SHARMA</t>
  </si>
  <si>
    <t>JEEVANLATA</t>
  </si>
  <si>
    <t>JAGDEV SINGH</t>
  </si>
  <si>
    <t>FATEHGARH</t>
  </si>
  <si>
    <t>IDS2436_C4P_60</t>
  </si>
  <si>
    <t>SG/3071/19-20</t>
  </si>
  <si>
    <t>IDS2430_C1_55</t>
  </si>
  <si>
    <t>IDS2413_C2_62</t>
  </si>
  <si>
    <t>IDS2409_C5P_58</t>
  </si>
  <si>
    <t>IDS2413_C3_62</t>
  </si>
  <si>
    <t>IDS2427_C3_61</t>
  </si>
  <si>
    <t>IDS2407_C5P_57</t>
  </si>
  <si>
    <t>IDS2428_C1_49</t>
  </si>
  <si>
    <t>IDS2427_C5_61</t>
  </si>
  <si>
    <t>IDS2409_C3P_58</t>
  </si>
  <si>
    <t>IDS2440_C3_57</t>
  </si>
  <si>
    <t>DAMAN</t>
  </si>
  <si>
    <t>MANAN VERMA</t>
  </si>
  <si>
    <t>DEV SINGH</t>
  </si>
  <si>
    <t>DEEPANVEER SINGH</t>
  </si>
  <si>
    <t>JUGADVEER SINGH</t>
  </si>
  <si>
    <t>BALDEV  SINGH</t>
  </si>
  <si>
    <t>ALIGARH</t>
  </si>
  <si>
    <t>VEER SINGH</t>
  </si>
  <si>
    <t>NAVDEEP KAUR</t>
  </si>
  <si>
    <t>MANIDERJOT KAUR</t>
  </si>
  <si>
    <t>IDS2423_C7P_53</t>
  </si>
  <si>
    <t>IDS2427_C4_61</t>
  </si>
  <si>
    <t>SG/3103/19-20</t>
  </si>
  <si>
    <t>IDS2353_C1_56</t>
  </si>
  <si>
    <t>IDS2353_C2_56</t>
  </si>
  <si>
    <t>IDS2353_C4_56</t>
  </si>
  <si>
    <t>IDS2397_C1_54</t>
  </si>
  <si>
    <t>IDS2397_C2_54</t>
  </si>
  <si>
    <t>IDS2397_C3_54</t>
  </si>
  <si>
    <t>IDS2397_C4_54</t>
  </si>
  <si>
    <t>IDS2401_C1_52</t>
  </si>
  <si>
    <t>IDS2401_C5_52</t>
  </si>
  <si>
    <t>IDS2435_C1_52</t>
  </si>
  <si>
    <t>IDS2435_C2_52</t>
  </si>
  <si>
    <t>IDS2435_C3_52</t>
  </si>
  <si>
    <t>IDS2435_C4_52</t>
  </si>
  <si>
    <t>IDS2466_C1P_54</t>
  </si>
  <si>
    <t>IDS2466_C2P_54</t>
  </si>
  <si>
    <t>IDS2466_C3P_54</t>
  </si>
  <si>
    <t>IDS2467_C2_51</t>
  </si>
  <si>
    <t>IDS2468_C1_54</t>
  </si>
  <si>
    <t>IDS2468_C2_54</t>
  </si>
  <si>
    <t>IDS2472_C1_52</t>
  </si>
  <si>
    <t>IDS2472_C3_52</t>
  </si>
  <si>
    <t>IDS2477_C1_56</t>
  </si>
  <si>
    <t>IDS2477_C3_56</t>
  </si>
  <si>
    <t>IDS2479_C2_51</t>
  </si>
  <si>
    <t>IDS2479_C3_51</t>
  </si>
  <si>
    <t>IDS2481_C8_59</t>
  </si>
  <si>
    <t>MANJOT KAUR</t>
  </si>
  <si>
    <t>IDS2486_C1_53</t>
  </si>
  <si>
    <t>IDS2486_C3_53</t>
  </si>
  <si>
    <t>IDS2489_C1_59</t>
  </si>
  <si>
    <t>IDS2489_C2_59</t>
  </si>
  <si>
    <t>IDS2489_C3_59</t>
  </si>
  <si>
    <t>IDS2489_C4_59</t>
  </si>
  <si>
    <t>IDS2490_C1_60</t>
  </si>
  <si>
    <t>IDS2490_C2_60</t>
  </si>
  <si>
    <t>IDS2490_C3_60</t>
  </si>
  <si>
    <t>IDS2491_C2_57</t>
  </si>
  <si>
    <t>IDS2500_C10_58</t>
  </si>
  <si>
    <t>IDS2500_C11_58</t>
  </si>
  <si>
    <t>IDS2500_C26_58</t>
  </si>
  <si>
    <t>IDS2500_C29_58</t>
  </si>
  <si>
    <t>IDS2500_C32_58</t>
  </si>
  <si>
    <t>IDS2500_C33_58</t>
  </si>
  <si>
    <t>IDS2500_C37_58</t>
  </si>
  <si>
    <t>IDS2500_C38_58</t>
  </si>
  <si>
    <t>IDS2500_C39_58</t>
  </si>
  <si>
    <t>IDS2500_C40_58</t>
  </si>
  <si>
    <t xml:space="preserve">SG/3103/19-20 </t>
  </si>
  <si>
    <t>IDS2500_C41_58</t>
  </si>
  <si>
    <t>IDS2500_C42_58</t>
  </si>
  <si>
    <t>IDS2500_C46_58</t>
  </si>
  <si>
    <t>IDS2500_C49_58</t>
  </si>
  <si>
    <t>IDS2500_C50_58</t>
  </si>
  <si>
    <t>IDS2500_C55_58</t>
  </si>
  <si>
    <t>IDS2500_C57_58</t>
  </si>
  <si>
    <t>IDS2500_C9P_58</t>
  </si>
  <si>
    <t>IDS2502_C1P_55</t>
  </si>
  <si>
    <t>IDS2502_C2P_55</t>
  </si>
  <si>
    <t>IDS2502_C3P_55</t>
  </si>
  <si>
    <t>IDS2502_C4P_55</t>
  </si>
  <si>
    <t>IDS2503_C1_58</t>
  </si>
  <si>
    <t>IDS2508_C10P_58</t>
  </si>
  <si>
    <t>IDS2508_C11P_58</t>
  </si>
  <si>
    <t>IDS2508_C3_58</t>
  </si>
  <si>
    <t>IDS2508_C8_58</t>
  </si>
  <si>
    <t>IDS2509_C1_57</t>
  </si>
  <si>
    <t>IDS2509_C3_57</t>
  </si>
  <si>
    <t>IDS2509_C5_57</t>
  </si>
  <si>
    <t>IDS2509_C6_57</t>
  </si>
  <si>
    <t>2019/20-032</t>
  </si>
  <si>
    <t>2019/20-32</t>
  </si>
  <si>
    <t>SUNGLASSES,PROTACTIVE</t>
  </si>
  <si>
    <t>SARTHIK GOYAL</t>
  </si>
  <si>
    <t xml:space="preserve">RADHEY </t>
  </si>
  <si>
    <t>RADHEY</t>
  </si>
  <si>
    <t>VARINDER SINGH</t>
  </si>
  <si>
    <t>WHITE GLASS KT</t>
  </si>
  <si>
    <t>HARMEET SINGH</t>
  </si>
  <si>
    <t>SHILPA</t>
  </si>
  <si>
    <t>BALAMGARH</t>
  </si>
  <si>
    <t>PURAMJOT KAUR</t>
  </si>
  <si>
    <t>KHANG</t>
  </si>
  <si>
    <t>MANINDERJOT KAUR</t>
  </si>
  <si>
    <t>JAGIR KAUR</t>
  </si>
  <si>
    <t>0306/19-20</t>
  </si>
  <si>
    <t xml:space="preserve">CIVIC EYECARE			</t>
  </si>
  <si>
    <t xml:space="preserve"> CHANDIGARH		</t>
  </si>
  <si>
    <t xml:space="preserve">IDS2401_C4_52						</t>
  </si>
  <si>
    <t>IDS2509_C7_57</t>
  </si>
  <si>
    <t>IDS2427_C2_61</t>
  </si>
  <si>
    <t>0305/19-20</t>
  </si>
  <si>
    <t>ID1508_C1_54</t>
  </si>
  <si>
    <t>ID1508_C3_54</t>
  </si>
  <si>
    <t>IDS2441_C1_72</t>
  </si>
  <si>
    <t>0321/19-20</t>
  </si>
  <si>
    <t>IDS2427_C9P_61</t>
  </si>
  <si>
    <t>TI_G153SPFSCB_60</t>
  </si>
  <si>
    <t>ID1543_C3_54</t>
  </si>
  <si>
    <t>0328/19-20</t>
  </si>
  <si>
    <t>IDS2332_C2_56</t>
  </si>
  <si>
    <t>IDS2414_C3_62</t>
  </si>
  <si>
    <t>INDERPAL SINGH</t>
  </si>
  <si>
    <t>NIRANJAN KAUR</t>
  </si>
  <si>
    <t>BANBAURI</t>
  </si>
  <si>
    <t>RAJIV BANSAL</t>
  </si>
  <si>
    <t>RAJINDER KUMAR</t>
  </si>
  <si>
    <t>TANVI</t>
  </si>
  <si>
    <t>CHARAN</t>
  </si>
  <si>
    <t>SUKHPAL SINGH</t>
  </si>
  <si>
    <t>LOVELY</t>
  </si>
  <si>
    <t>HARJANT SINGH</t>
  </si>
  <si>
    <t>KANTA DEVI</t>
  </si>
  <si>
    <t xml:space="preserve">SUDESH </t>
  </si>
  <si>
    <t>GAYATRI</t>
  </si>
  <si>
    <t>SURINDER SINGH</t>
  </si>
  <si>
    <t>RAJPAL SINGH</t>
  </si>
  <si>
    <t>RAJO DEVI</t>
  </si>
  <si>
    <t xml:space="preserve">MAYA </t>
  </si>
  <si>
    <t>DARSHNA KAUR</t>
  </si>
  <si>
    <t>SURAIN KANSAL</t>
  </si>
  <si>
    <t>PRIYANKA KANSAL</t>
  </si>
  <si>
    <t>NEETU</t>
  </si>
  <si>
    <t>KHALIL MUHAMAD</t>
  </si>
  <si>
    <t>MUBARKPUR CHUNGA</t>
  </si>
  <si>
    <t>MUSKANDEEP KAUR</t>
  </si>
  <si>
    <t>SHAMEEM</t>
  </si>
  <si>
    <t>0334/19-20</t>
  </si>
  <si>
    <t>AMANJOT KAUR</t>
  </si>
  <si>
    <t>JATIMAZRA</t>
  </si>
  <si>
    <t>0373/19-20</t>
  </si>
  <si>
    <t>JASANDEEP KAUR</t>
  </si>
  <si>
    <t>AKASHDEEP KAUR</t>
  </si>
  <si>
    <t>KARAMJEET  KAUR</t>
  </si>
  <si>
    <t>MEETPAL SINGH</t>
  </si>
  <si>
    <t xml:space="preserve">AMANDEEP </t>
  </si>
  <si>
    <t>SUMANPREET</t>
  </si>
  <si>
    <t xml:space="preserve">VO4091BI_84873_56 </t>
  </si>
  <si>
    <t>LUX0072</t>
  </si>
  <si>
    <t>VO4101SI_84813_55</t>
  </si>
  <si>
    <t>VO4106S_84880_55</t>
  </si>
  <si>
    <t>VO4106S_84813_55</t>
  </si>
  <si>
    <t>LUX0070</t>
  </si>
  <si>
    <t>VO5119SI_W65613_56</t>
  </si>
  <si>
    <t>VO4092BI_507448_56</t>
  </si>
  <si>
    <t>VO4101SI_84811_55</t>
  </si>
  <si>
    <t>VO5119SI_W4411_56</t>
  </si>
  <si>
    <t>VO5119SI_W445A_56</t>
  </si>
  <si>
    <t>VO5271S_272611_53</t>
  </si>
  <si>
    <t>VO5271S_272813_53</t>
  </si>
  <si>
    <t>VO5271S_272920_53</t>
  </si>
  <si>
    <t>VO5271S_238673_53</t>
  </si>
  <si>
    <t>VO5280SB_W4487_57</t>
  </si>
  <si>
    <t>LUN0072</t>
  </si>
  <si>
    <t>VO5269SI_W4411_56</t>
  </si>
  <si>
    <t>VO5269SI_W65613_56</t>
  </si>
  <si>
    <t>VO5211S_W4487_57</t>
  </si>
  <si>
    <t>VO5270S_W4487_57</t>
  </si>
  <si>
    <t>VO5270S_27004Q_57</t>
  </si>
  <si>
    <t>lux0072</t>
  </si>
  <si>
    <t>VO5230S_25547E_54</t>
  </si>
  <si>
    <t>VO5205S_2547E_62</t>
  </si>
  <si>
    <t>VO5283S_272573_54</t>
  </si>
  <si>
    <t>VO5284S_W44AE_32</t>
  </si>
  <si>
    <t>VO5284S_267911_32</t>
  </si>
  <si>
    <t>VO5283S_W4484_54</t>
  </si>
  <si>
    <t>VO5282S_272276_54</t>
  </si>
  <si>
    <t>VO5282S_260569_54</t>
  </si>
  <si>
    <t>VO5282SB_269384_54</t>
  </si>
  <si>
    <t>VO5165S_W65613_55</t>
  </si>
  <si>
    <t>0072</t>
  </si>
  <si>
    <t>VO5183SI_W4411_58</t>
  </si>
  <si>
    <t>VO5009BI_18678H_58</t>
  </si>
  <si>
    <t>VO5051S_25395A_52</t>
  </si>
  <si>
    <t>VO5033S_238836_54</t>
  </si>
  <si>
    <t>VO4140_280_53</t>
  </si>
  <si>
    <t>VO4104S_2807A_57</t>
  </si>
  <si>
    <t>VO4002S_934S13-55</t>
  </si>
  <si>
    <t>VO4092BI_507514_56</t>
  </si>
  <si>
    <t>VO4002S_995S11_55</t>
  </si>
  <si>
    <t>VO4097S_84813_58</t>
  </si>
  <si>
    <t>VO3990SI_28013_55</t>
  </si>
  <si>
    <t>VO3990SI_54836_55</t>
  </si>
  <si>
    <t>VO3990SI_84811_55</t>
  </si>
  <si>
    <t>VO3991SI_28013_58</t>
  </si>
  <si>
    <t>VO3991SI_35211_58</t>
  </si>
  <si>
    <t>VO2934SB_W4411_55</t>
  </si>
  <si>
    <t>2993S_18808E_57</t>
  </si>
  <si>
    <t>VO2695S_234611</t>
  </si>
  <si>
    <t>VO3991SI_81314_58</t>
  </si>
  <si>
    <t>VO4089S_3526G_60</t>
  </si>
  <si>
    <t>VO4081S_32387_55</t>
  </si>
  <si>
    <t>VO4089S_84813_60</t>
  </si>
  <si>
    <t>VO4081S_84813_55</t>
  </si>
  <si>
    <t>FR/4152/19-20</t>
  </si>
  <si>
    <t>ID1331_C2_46</t>
  </si>
  <si>
    <t>FR?4152/19-20</t>
  </si>
  <si>
    <t>ID1426_C2_53</t>
  </si>
  <si>
    <t>ID1426_C4_53</t>
  </si>
  <si>
    <t>ID1427_C5_53</t>
  </si>
  <si>
    <t>ID1428_C1_42</t>
  </si>
  <si>
    <t>ID1428_C2_42</t>
  </si>
  <si>
    <t>VO5008SI_236214_57</t>
  </si>
  <si>
    <t>CIVIC EYE CARE CHD</t>
  </si>
  <si>
    <t>VO2870_235811_52</t>
  </si>
  <si>
    <t>VO5013I_2048_54</t>
  </si>
  <si>
    <t>IDS2404_C7P_57</t>
  </si>
  <si>
    <t xml:space="preserve"> ID1213c2_54</t>
  </si>
  <si>
    <t>ID1256_C5_53</t>
  </si>
  <si>
    <t>ID1474_C7_54</t>
  </si>
  <si>
    <t>ID1471_C5_50</t>
  </si>
  <si>
    <t>ID1485_C6_49</t>
  </si>
  <si>
    <t>FR/5152/19-20</t>
  </si>
  <si>
    <t>Dr. Manpreet Singh</t>
  </si>
  <si>
    <t>VO5269S_1887H9_56</t>
  </si>
  <si>
    <t>DR. MANPREET SINGH</t>
  </si>
  <si>
    <t>ID1508_C5_54</t>
  </si>
  <si>
    <t>SG3145/19-20</t>
  </si>
  <si>
    <t>HEAVANJOT SINGH</t>
  </si>
  <si>
    <t>MANVEER KAUR</t>
  </si>
  <si>
    <t>ID1541-C5_53</t>
  </si>
  <si>
    <t>ID1546_C6_52</t>
  </si>
  <si>
    <t>ID152_C5_51</t>
  </si>
  <si>
    <t>ID1542_C1_54</t>
  </si>
  <si>
    <t>ID1483_C1_50</t>
  </si>
  <si>
    <t>ID1559_C2_51</t>
  </si>
  <si>
    <t>ID1561_C3_51</t>
  </si>
  <si>
    <t>ID1562_C4_51</t>
  </si>
  <si>
    <t>ID1562_C5_51</t>
  </si>
  <si>
    <t>ID1562_C6_51</t>
  </si>
  <si>
    <t>ID1562_C7_51</t>
  </si>
  <si>
    <t>ID1426_C1_53</t>
  </si>
  <si>
    <t>ID1427_C1_53</t>
  </si>
  <si>
    <t>ID1296_C4_50</t>
  </si>
  <si>
    <t>ID1441_C3_49</t>
  </si>
  <si>
    <t>ID1562_C3_51</t>
  </si>
  <si>
    <t>ID1425_C4_48</t>
  </si>
  <si>
    <t>SG/3145/19-20</t>
  </si>
  <si>
    <t>CRHC</t>
  </si>
  <si>
    <t>FULL SHEET</t>
  </si>
  <si>
    <t>SANJEEV KUMAR</t>
  </si>
  <si>
    <t>PLANO KTPG</t>
  </si>
  <si>
    <t>GURKAMALJOT KAUR</t>
  </si>
  <si>
    <t>ANMOL</t>
  </si>
  <si>
    <t>KARTIK</t>
  </si>
  <si>
    <t>OM PARKASH</t>
  </si>
  <si>
    <t>NAVJOT</t>
  </si>
  <si>
    <t xml:space="preserve">NAVJOT </t>
  </si>
  <si>
    <t>Plaino KT</t>
  </si>
  <si>
    <t xml:space="preserve">PARKASH </t>
  </si>
  <si>
    <t>PARKASHO</t>
  </si>
  <si>
    <t>DR BHAWANA (DR RISHI WIFE)</t>
  </si>
  <si>
    <t>KHUSHPAL SHARMA</t>
  </si>
  <si>
    <t>INDERJEET KAUR</t>
  </si>
  <si>
    <t>TARO DEVI</t>
  </si>
  <si>
    <t>HARPREET KAUR</t>
  </si>
  <si>
    <t>HARMANDEEP</t>
  </si>
  <si>
    <t xml:space="preserve">HARMANDEEP </t>
  </si>
  <si>
    <t>PAIR</t>
  </si>
  <si>
    <t>MOC02923</t>
  </si>
  <si>
    <t>0387/19-20</t>
  </si>
  <si>
    <t>0386/19-20</t>
  </si>
  <si>
    <t>MAMTA</t>
  </si>
  <si>
    <t xml:space="preserve">RASHPAL </t>
  </si>
  <si>
    <t>SHUSHMA</t>
  </si>
  <si>
    <t>SUSHMA</t>
  </si>
  <si>
    <t>ID1548_C3_51</t>
  </si>
  <si>
    <t>ID1512_C4_46</t>
  </si>
  <si>
    <t>NIRPAL KAUR</t>
  </si>
  <si>
    <t>FAIZGARH</t>
  </si>
  <si>
    <t>TAKKAR</t>
  </si>
  <si>
    <t>MRS ANWAR</t>
  </si>
  <si>
    <t>GURFATEH SINGH</t>
  </si>
  <si>
    <t>SADIKAN</t>
  </si>
  <si>
    <t>YASHANPREET KAUR</t>
  </si>
  <si>
    <t>KAUR SINGH</t>
  </si>
  <si>
    <t>0418/19-20</t>
  </si>
  <si>
    <t>BABY SHEET FRAME 1</t>
  </si>
  <si>
    <t>YASH</t>
  </si>
  <si>
    <t>SANIA</t>
  </si>
  <si>
    <t>INDERPREET KAUR</t>
  </si>
  <si>
    <t>ARSHDEEP SINGH</t>
  </si>
  <si>
    <t>KDM/1920/0239</t>
  </si>
  <si>
    <t>KAMAL DISTRIBUTORS</t>
  </si>
  <si>
    <t>DJ3179_C5_51</t>
  </si>
  <si>
    <t>KDM/1920/0236</t>
  </si>
  <si>
    <t>DJ3178_C1_49</t>
  </si>
  <si>
    <t>DJ9075_C1_51</t>
  </si>
  <si>
    <t>DJ9075_C2_51</t>
  </si>
  <si>
    <t>DJ9075_C3_51</t>
  </si>
  <si>
    <t>DJ9071_C1_47</t>
  </si>
  <si>
    <t>DJ9071_C2_47</t>
  </si>
  <si>
    <t>DJ9122_C2_50</t>
  </si>
  <si>
    <t>DJ9101_C2_50</t>
  </si>
  <si>
    <t>DJ9038_C1_57</t>
  </si>
  <si>
    <t>DJ9038_C2_57</t>
  </si>
  <si>
    <t>DJ9105_C2_51</t>
  </si>
  <si>
    <t>DJ9135_C5_48</t>
  </si>
  <si>
    <t>DJ2070_C1_49</t>
  </si>
  <si>
    <t>DJ2062_C1_53</t>
  </si>
  <si>
    <t>DJ2062_548_53</t>
  </si>
  <si>
    <t>DJ2018_C650_48</t>
  </si>
  <si>
    <t>DJ2100_C1_49</t>
  </si>
  <si>
    <t>DJ1809_C1_53</t>
  </si>
  <si>
    <t>DJ1809_C219_53</t>
  </si>
  <si>
    <t>DJ1809_C605_53</t>
  </si>
  <si>
    <t>DJ1801_C1_53</t>
  </si>
  <si>
    <t>DJ1801_C146_53</t>
  </si>
  <si>
    <t>DJ1801_C326_53</t>
  </si>
  <si>
    <t>DJ1801_C592_53</t>
  </si>
  <si>
    <t>DJ1801_C604_53</t>
  </si>
  <si>
    <t>DJ1801_C701_53</t>
  </si>
  <si>
    <t>DJ2098_C1_49</t>
  </si>
  <si>
    <t>DJ2098_C226_49</t>
  </si>
  <si>
    <t>DJ2096_C1_50</t>
  </si>
  <si>
    <t>DJ2096_C225_50</t>
  </si>
  <si>
    <t>DJ2050_C1_48</t>
  </si>
  <si>
    <t>DJ2050_C225_48</t>
  </si>
  <si>
    <t>DJ2050_C372_48</t>
  </si>
  <si>
    <t>DJ2084_C227_47</t>
  </si>
  <si>
    <t>DJ3197_C1_53</t>
  </si>
  <si>
    <t>DJ2076_C1_50</t>
  </si>
  <si>
    <t>DJ2076_C371_50</t>
  </si>
  <si>
    <t>DJ2076_C225_50</t>
  </si>
  <si>
    <t>DJ2074_C13_52</t>
  </si>
  <si>
    <t>DJ2074_C219_54</t>
  </si>
  <si>
    <t>DJ2126_C39_52</t>
  </si>
  <si>
    <t>DJ2126_C640_50</t>
  </si>
  <si>
    <t>AG1110_C2_53</t>
  </si>
  <si>
    <t>AG1147_C1_51</t>
  </si>
  <si>
    <t>AG1148_C4_52</t>
  </si>
  <si>
    <t>AG1152_C3_53</t>
  </si>
  <si>
    <t>AG1086_C1_54</t>
  </si>
  <si>
    <t>AG8004_C3_49</t>
  </si>
  <si>
    <t>AG8004_C4_49</t>
  </si>
  <si>
    <t>AG1115_C1_52</t>
  </si>
  <si>
    <t>AG1115_C2_52</t>
  </si>
  <si>
    <t>AG1138_C1_53</t>
  </si>
  <si>
    <t>AG4018_D_52</t>
  </si>
  <si>
    <t>AG4018_BLK_52</t>
  </si>
  <si>
    <t>AG4018_BD_52</t>
  </si>
  <si>
    <t>AG1131_C5_52</t>
  </si>
  <si>
    <t>AG1111_C4_53</t>
  </si>
  <si>
    <t>AG1094_C3_53</t>
  </si>
  <si>
    <t>AG1094_C4_53</t>
  </si>
  <si>
    <t>AG1140_C3_52</t>
  </si>
  <si>
    <t>AG1141_C1_52</t>
  </si>
  <si>
    <t>AG4017_BLK_52</t>
  </si>
  <si>
    <t>AG4017_D_52</t>
  </si>
  <si>
    <t>AG2038_C578_50</t>
  </si>
  <si>
    <t>AG2042_C296_53</t>
  </si>
  <si>
    <t>AG2103_C1_50</t>
  </si>
  <si>
    <t>AG2041_C319_52</t>
  </si>
  <si>
    <t>AG1149_C2_52</t>
  </si>
  <si>
    <t xml:space="preserve">HARMANJOT </t>
  </si>
  <si>
    <t>HARMANJOT</t>
  </si>
  <si>
    <t>JUNG BAHADUR</t>
  </si>
  <si>
    <t>JUMMA SINGH</t>
  </si>
  <si>
    <t>BHAWANIGARH</t>
  </si>
  <si>
    <t xml:space="preserve">MANDEEP </t>
  </si>
  <si>
    <t>PALASSAUR</t>
  </si>
  <si>
    <t xml:space="preserve"> 6 LINE KT</t>
  </si>
  <si>
    <t>PRIYA SHARMA</t>
  </si>
  <si>
    <t xml:space="preserve">KIRAN SHARMA </t>
  </si>
  <si>
    <t>KIRAN SHARMA</t>
  </si>
  <si>
    <t>SITA DEVI</t>
  </si>
  <si>
    <t xml:space="preserve">WALNUT PRO </t>
  </si>
  <si>
    <t>RAJNEESH GARG</t>
  </si>
  <si>
    <t>BAWINDER KAUR</t>
  </si>
  <si>
    <t>GURMAH</t>
  </si>
  <si>
    <t xml:space="preserve">KARAMJEET </t>
  </si>
  <si>
    <t>TARANJOT KAUR</t>
  </si>
  <si>
    <t>RIMSHA</t>
  </si>
  <si>
    <t>NAMOL</t>
  </si>
  <si>
    <t xml:space="preserve">MANJEET KAUR </t>
  </si>
  <si>
    <t>HARWINDER  KAUR</t>
  </si>
  <si>
    <t>GURPREET SINGH</t>
  </si>
  <si>
    <t>DR MANPREET SINGH</t>
  </si>
  <si>
    <t>HARJIDER KAUR</t>
  </si>
  <si>
    <t>RUPAHERI</t>
  </si>
  <si>
    <t>SUNGLASS TRAY</t>
  </si>
  <si>
    <t>0206</t>
  </si>
  <si>
    <t>VIVID VISION INTERNATIONAL</t>
  </si>
  <si>
    <t>CLEANING CLOTH</t>
  </si>
  <si>
    <t>BHOJOWALI</t>
  </si>
  <si>
    <t>STRATU</t>
  </si>
  <si>
    <t>BURAJ GOHRA</t>
  </si>
  <si>
    <t>READING CHARGE SIDE</t>
  </si>
  <si>
    <t>SUNITA DEVI</t>
  </si>
  <si>
    <t xml:space="preserve">AMARJEET </t>
  </si>
  <si>
    <t>MALT THICK</t>
  </si>
  <si>
    <t>PRITIKA</t>
  </si>
  <si>
    <t>PUSHPINDER SHARMA</t>
  </si>
  <si>
    <t>JUNIOR ROUND METAL</t>
  </si>
  <si>
    <t>KOMDEEP SINGH</t>
  </si>
  <si>
    <t>0470/19-20</t>
  </si>
  <si>
    <t>ID1487_C7_51</t>
  </si>
  <si>
    <t>00001</t>
  </si>
  <si>
    <t>FT_P161BK2_M</t>
  </si>
  <si>
    <t>S6D9F0/19/1</t>
  </si>
  <si>
    <t>ISHA JAMALTA</t>
  </si>
  <si>
    <t>SHIMLA</t>
  </si>
  <si>
    <t>PCS EXCHANGE WITH FT_P161BR1F_M</t>
  </si>
  <si>
    <t>TANVIR KAUR</t>
  </si>
  <si>
    <t xml:space="preserve">SMARLECH </t>
  </si>
  <si>
    <t xml:space="preserve">DUMONT </t>
  </si>
  <si>
    <t>EXCHANGE PCS AS PER ORDER DR.SIR</t>
  </si>
  <si>
    <t>GURLAL</t>
  </si>
  <si>
    <t xml:space="preserve">LAKHWINDER </t>
  </si>
  <si>
    <t>PEDNI KALAN</t>
  </si>
  <si>
    <t>REPLACEMENT</t>
  </si>
  <si>
    <t>REPLACED</t>
  </si>
  <si>
    <t>PROGRESSIVE PG</t>
  </si>
  <si>
    <t>KARAMJIT KAUR</t>
  </si>
  <si>
    <t>GURSIMRAN KAUR</t>
  </si>
  <si>
    <t>U EYEWEAR</t>
  </si>
  <si>
    <t>MAGGI RANI</t>
  </si>
  <si>
    <t>Sultanpur</t>
  </si>
  <si>
    <t>LOUIS</t>
  </si>
  <si>
    <t>AMARINDER SINGH</t>
  </si>
  <si>
    <t>DULLA SINGH</t>
  </si>
  <si>
    <t>PAYAL</t>
  </si>
  <si>
    <t xml:space="preserve">PALWINDER </t>
  </si>
  <si>
    <t>NEENU RANI</t>
  </si>
  <si>
    <t>AS PER DR.SIR ORDER</t>
  </si>
  <si>
    <t>MONIKA RANI</t>
  </si>
  <si>
    <t>DAWINDER KAUR</t>
  </si>
  <si>
    <t>TEENAGER</t>
  </si>
  <si>
    <t xml:space="preserve">ANNU </t>
  </si>
  <si>
    <t xml:space="preserve">KULJEET </t>
  </si>
  <si>
    <t>METAL FULL FRAMES</t>
  </si>
  <si>
    <t>NARDEEP KAUR</t>
  </si>
  <si>
    <t>CHHINTANWALA</t>
  </si>
  <si>
    <t>SEEK</t>
  </si>
  <si>
    <t>PREET KAUR</t>
  </si>
  <si>
    <t>RODENSTOCK</t>
  </si>
  <si>
    <t>ALAL</t>
  </si>
  <si>
    <t>RUPINDER</t>
  </si>
  <si>
    <t>DALTON</t>
  </si>
  <si>
    <t>JILOPPI</t>
  </si>
  <si>
    <t>FAMANS AVIATOR</t>
  </si>
  <si>
    <t>2PAIR</t>
  </si>
  <si>
    <t>MEGHA</t>
  </si>
  <si>
    <t>HARWINDER SINGH</t>
  </si>
  <si>
    <t xml:space="preserve">TIKKA DEVI </t>
  </si>
  <si>
    <t>INDRESH BHARDWAJ</t>
  </si>
  <si>
    <t>RB4068_601_60</t>
  </si>
  <si>
    <t>DR.DUGGAL</t>
  </si>
  <si>
    <t>JALANDHAR</t>
  </si>
  <si>
    <t>TH5709_C1_52</t>
  </si>
  <si>
    <t>00002</t>
  </si>
  <si>
    <t>TH5705_C5_52</t>
  </si>
  <si>
    <t>TH5704_C2_51</t>
  </si>
  <si>
    <t>REI18517_NSZ</t>
  </si>
  <si>
    <t>VIVIAN</t>
  </si>
  <si>
    <t>GURPREET KAUR</t>
  </si>
  <si>
    <t>SAMUNDGARH</t>
  </si>
  <si>
    <t xml:space="preserve">VEENA </t>
  </si>
  <si>
    <t>FANCY METAL</t>
  </si>
  <si>
    <t>MANAN SINGLA</t>
  </si>
  <si>
    <t>SA</t>
  </si>
  <si>
    <t>CHINTANWAL</t>
  </si>
  <si>
    <t>LASOI</t>
  </si>
  <si>
    <t>CR HC .</t>
  </si>
  <si>
    <t>SYTIL</t>
  </si>
  <si>
    <t>SHIVGARH</t>
  </si>
  <si>
    <t>NEBERFIT</t>
  </si>
  <si>
    <t>KHUSHI</t>
  </si>
  <si>
    <t>EXXNON/ALOXCI</t>
  </si>
  <si>
    <t>CHARAN KAUR</t>
  </si>
  <si>
    <t>CANTY</t>
  </si>
  <si>
    <t>COMPANY</t>
  </si>
  <si>
    <t>ALDERPRO</t>
  </si>
  <si>
    <t>PAINT</t>
  </si>
  <si>
    <t>BROOKLYN</t>
  </si>
  <si>
    <t>SEHABJOT SINGH</t>
  </si>
  <si>
    <t>FISTER</t>
  </si>
  <si>
    <t>SARLA GOYAL</t>
  </si>
  <si>
    <t>0464/19-20</t>
  </si>
  <si>
    <t>ID1482_C4_51</t>
  </si>
  <si>
    <t>0484/19-20</t>
  </si>
  <si>
    <t xml:space="preserve">0484/19-20 </t>
  </si>
  <si>
    <t>ID1485_C4_50</t>
  </si>
  <si>
    <t xml:space="preserve">DG1238P_1169_54       </t>
  </si>
  <si>
    <t>VO5284S_W44AE_44</t>
  </si>
  <si>
    <t>0528/19-20</t>
  </si>
  <si>
    <t>VO5282SB_269384_M</t>
  </si>
  <si>
    <t>VO5132S_249813_52</t>
  </si>
  <si>
    <t>0493/19-20</t>
  </si>
  <si>
    <t>VO5166S_25677B_51</t>
  </si>
  <si>
    <t>VO5211_S_W4487_54</t>
  </si>
  <si>
    <t>VO5283S_260513_M</t>
  </si>
  <si>
    <t>VO5269S_W4411_44</t>
  </si>
  <si>
    <t>VO5269S_W65613_M</t>
  </si>
  <si>
    <t>VO5271S_272611_M</t>
  </si>
  <si>
    <t>0504/19-20</t>
  </si>
  <si>
    <t>VO5271S_272813_M</t>
  </si>
  <si>
    <t>VO5271S_238673_M</t>
  </si>
  <si>
    <t>VO5271S_W4487_44</t>
  </si>
  <si>
    <t>VO5283S_272573_M</t>
  </si>
  <si>
    <t>VO5282SB_W4487_44</t>
  </si>
  <si>
    <t>VO5282SB_260569_M</t>
  </si>
  <si>
    <t>VO5282SB_272276_M</t>
  </si>
  <si>
    <t>0515/19-20</t>
  </si>
  <si>
    <t>VO5284S_267911_M</t>
  </si>
  <si>
    <t>VO5282SB_260480_M</t>
  </si>
  <si>
    <t>VO5284S_27210K_M</t>
  </si>
  <si>
    <t>CHANIGARH</t>
  </si>
  <si>
    <t>VO5284S_27206V_M</t>
  </si>
  <si>
    <t>ROTM</t>
  </si>
  <si>
    <t>TWINKLE</t>
  </si>
  <si>
    <t>VISIT</t>
  </si>
  <si>
    <t>HAKAM SINGH</t>
  </si>
  <si>
    <t>KOMALPREET KAUR</t>
  </si>
  <si>
    <t xml:space="preserve">MIDODIA </t>
  </si>
  <si>
    <t>RASHPINDER SINGH</t>
  </si>
  <si>
    <t>BHUDAN</t>
  </si>
  <si>
    <t>WHITE GLASS PGCR</t>
  </si>
  <si>
    <t>NAVJOT KAUR SIDHU ( CANARA BANK)</t>
  </si>
  <si>
    <t>NAVJOT KAUR SIDHU (CANARA BANK)</t>
  </si>
  <si>
    <t>GURDEEP  SINGH</t>
  </si>
  <si>
    <t>SIKANDER RAM</t>
  </si>
  <si>
    <t>SEHAJPREET</t>
  </si>
  <si>
    <t>HAVE</t>
  </si>
  <si>
    <t>SUKHJEET KAUR</t>
  </si>
  <si>
    <t>AL LADIES FRAME</t>
  </si>
  <si>
    <t>PARWINDER KAUR</t>
  </si>
  <si>
    <t>HAR BOUR</t>
  </si>
  <si>
    <t>SHEET WITH ALU SIDE</t>
  </si>
  <si>
    <t>SATWINDER SINGH</t>
  </si>
  <si>
    <t>SATYA RANI</t>
  </si>
  <si>
    <t>KANSAL (DAUGHTER)</t>
  </si>
  <si>
    <t>GIRDHARI LAL</t>
  </si>
  <si>
    <t>0557/19-20</t>
  </si>
  <si>
    <t>VO2993S_18808E_57</t>
  </si>
  <si>
    <t>VO4002S_934S13_55</t>
  </si>
  <si>
    <t>0556/19-20</t>
  </si>
  <si>
    <t>VO5119S_W4411_56</t>
  </si>
  <si>
    <t>ID1552_C5_51</t>
  </si>
  <si>
    <t>SHEET M SIDE</t>
  </si>
  <si>
    <t>SACHIN</t>
  </si>
  <si>
    <t>SURINDER  KAUR</t>
  </si>
  <si>
    <t>FANCY ROUND M SIDE</t>
  </si>
  <si>
    <t>0239/19-20</t>
  </si>
  <si>
    <t>0240/19-20</t>
  </si>
  <si>
    <t>MISSHA</t>
  </si>
  <si>
    <t>KANTA RANI</t>
  </si>
  <si>
    <t>ARAV BANSAL</t>
  </si>
  <si>
    <t>STCOKCAR</t>
  </si>
  <si>
    <t>GURSEWAK  SINGH</t>
  </si>
  <si>
    <t>KONDING</t>
  </si>
  <si>
    <t>RIDHI ( RAJNISH GARG)</t>
  </si>
  <si>
    <t>TOP FLEX</t>
  </si>
  <si>
    <t>STEWART METAL</t>
  </si>
  <si>
    <t>DAVINDER  KASHYAP</t>
  </si>
  <si>
    <t>DAVINDER KASHYAP</t>
  </si>
  <si>
    <t>DARSHAN KAUR</t>
  </si>
  <si>
    <t>GURLEEN KAUR</t>
  </si>
  <si>
    <t>DR. SAIHDEEP</t>
  </si>
  <si>
    <t>MALERKOLTA</t>
  </si>
  <si>
    <t>0598/19-20</t>
  </si>
  <si>
    <t>VO5119_W65613_56</t>
  </si>
  <si>
    <t>VO3991S_35211_58</t>
  </si>
  <si>
    <t>VO3950S_323S11_58</t>
  </si>
  <si>
    <t>VO3950S_935S36_58</t>
  </si>
  <si>
    <t>V03991_8978H_58</t>
  </si>
  <si>
    <t>6 UNIT</t>
  </si>
  <si>
    <t>MOC04687</t>
  </si>
  <si>
    <t>69 UNIT</t>
  </si>
  <si>
    <t>48 UNIT</t>
  </si>
  <si>
    <t>16 UNIT</t>
  </si>
  <si>
    <t>50 UNIT</t>
  </si>
  <si>
    <t xml:space="preserve"> 2 UNIT</t>
  </si>
  <si>
    <t>1 UNIT</t>
  </si>
  <si>
    <t>LUX0151</t>
  </si>
  <si>
    <t>VO5272_2727_49</t>
  </si>
  <si>
    <t>VO2925BI_1887_53</t>
  </si>
  <si>
    <t>VO2925BI_W44_51</t>
  </si>
  <si>
    <t>VO2925BI_2362_53</t>
  </si>
  <si>
    <t>VO2925BI_W44_53</t>
  </si>
  <si>
    <t>VO2925B_1887_51</t>
  </si>
  <si>
    <t>VO3955BI_280_51</t>
  </si>
  <si>
    <t>VO2925BI_2048_51</t>
  </si>
  <si>
    <t>VO5042I_W44_51</t>
  </si>
  <si>
    <t>VO5010I_2395_51</t>
  </si>
  <si>
    <t>VO5247I_W656_49</t>
  </si>
  <si>
    <t>VO5263BI_2703-52</t>
  </si>
  <si>
    <t>VO5010I_W656_51</t>
  </si>
  <si>
    <t>VO2843_227811_56</t>
  </si>
  <si>
    <t>ANISH GOYAL</t>
  </si>
  <si>
    <t>VO5268I_2702_51</t>
  </si>
  <si>
    <t>LUX0152</t>
  </si>
  <si>
    <t>VO5010I_W656_53</t>
  </si>
  <si>
    <t>VO4125I_5115_53</t>
  </si>
  <si>
    <t>VO4125I_352_53</t>
  </si>
  <si>
    <t>VO5272_2731_49</t>
  </si>
  <si>
    <t>VO5276_W44_51</t>
  </si>
  <si>
    <t>IDS2216_C7_49</t>
  </si>
  <si>
    <t>BARNALA TARDING  COMPANY</t>
  </si>
  <si>
    <t>Piece Damaged</t>
  </si>
  <si>
    <t>IDS2192_C2_56</t>
  </si>
  <si>
    <t>BARANALA TRAIDING COMPANY</t>
  </si>
  <si>
    <t>IDS2384_C7_53</t>
  </si>
  <si>
    <t>VEERAWANTI</t>
  </si>
  <si>
    <t>VO5269S_1887H9_M</t>
  </si>
  <si>
    <t>MODERN OPTICAL CO.</t>
  </si>
  <si>
    <t>vo3969I_934_50</t>
  </si>
  <si>
    <t>LUX0181</t>
  </si>
  <si>
    <t>VO5204I_2477_52</t>
  </si>
  <si>
    <t>VO3955BI_812_51</t>
  </si>
  <si>
    <t>VO5276_2736_53</t>
  </si>
  <si>
    <t>VO5204I_W656_52</t>
  </si>
  <si>
    <t>VO5042I_1647_51</t>
  </si>
  <si>
    <t>DR DUGGAL</t>
  </si>
  <si>
    <t>JALANDER</t>
  </si>
  <si>
    <t>LUX0193</t>
  </si>
  <si>
    <t>VO5166S_W4411_51</t>
  </si>
  <si>
    <t>VO3990S_81314_55</t>
  </si>
  <si>
    <t>VO5031S_238613_58</t>
  </si>
  <si>
    <t>VO5222S_238613_52</t>
  </si>
  <si>
    <t>VO5164S_W65613_52</t>
  </si>
  <si>
    <t>VO5183S_W65613_58</t>
  </si>
  <si>
    <t>VO4130S_50740L_56</t>
  </si>
  <si>
    <t>ISSHAN</t>
  </si>
  <si>
    <t>SUSHIL GOYAL</t>
  </si>
  <si>
    <t>DN0090</t>
  </si>
  <si>
    <t>5 (DN)</t>
  </si>
  <si>
    <t>MODERN OPTICAL</t>
  </si>
  <si>
    <t>LUTHIANA</t>
  </si>
  <si>
    <t>YASHIKA (HUKUM CHAND SINGLA )</t>
  </si>
  <si>
    <t>BABY SUNGLASS</t>
  </si>
  <si>
    <t>HUKUM CHAND SINGLA</t>
  </si>
  <si>
    <t>0626/19-20</t>
  </si>
  <si>
    <t>KKM/1920/0638</t>
  </si>
  <si>
    <t xml:space="preserve">INB4004B_C0L B_49 </t>
  </si>
  <si>
    <t>FR/4948/19-20</t>
  </si>
  <si>
    <t>VO2968_2326_54</t>
  </si>
  <si>
    <t>LUX0209</t>
  </si>
  <si>
    <t>VO2998_2409_54</t>
  </si>
  <si>
    <t>VO4119_5078_53</t>
  </si>
  <si>
    <t>VO3839I_352S_51</t>
  </si>
  <si>
    <t>VO2998_2407_52</t>
  </si>
  <si>
    <t>VO5002B_2321_52</t>
  </si>
  <si>
    <t>VO2787_2061_51</t>
  </si>
  <si>
    <t>VO3930BI_848_52</t>
  </si>
  <si>
    <t>VO4013_997_53</t>
  </si>
  <si>
    <t>VO4008I_548_53</t>
  </si>
  <si>
    <t>VO4008_5012_51</t>
  </si>
  <si>
    <t>VO3768I_812S_50</t>
  </si>
  <si>
    <t>VO3768I_352_50</t>
  </si>
  <si>
    <t>VO2890_W827_51</t>
  </si>
  <si>
    <t>VO2908_W656_53</t>
  </si>
  <si>
    <t>LUX0210</t>
  </si>
  <si>
    <t>VO5230S_W65613_54</t>
  </si>
  <si>
    <t>0624/19-20</t>
  </si>
  <si>
    <t>FT_P383BR5_M</t>
  </si>
  <si>
    <t>MOC06717</t>
  </si>
  <si>
    <t>2 UNITS</t>
  </si>
  <si>
    <t>10 UNITS</t>
  </si>
  <si>
    <t>6 UNITS</t>
  </si>
  <si>
    <t>B&amp;L SOFTLENS TORIC</t>
  </si>
  <si>
    <t>0625/19-20</t>
  </si>
  <si>
    <t>YASHMI</t>
  </si>
  <si>
    <t>DL5134V_A05_53</t>
  </si>
  <si>
    <t>FR/5037/19-20</t>
  </si>
  <si>
    <t>DL5122V_005_53</t>
  </si>
  <si>
    <t>DL5072O_052_53</t>
  </si>
  <si>
    <t>DL5107O_002_55</t>
  </si>
  <si>
    <t>INB3909C_019_55</t>
  </si>
  <si>
    <t>INB4004_COLC_49</t>
  </si>
  <si>
    <t>DL5092_001_53</t>
  </si>
  <si>
    <t>DL5134V_A56_53</t>
  </si>
  <si>
    <t>S6D9F0/19/2</t>
  </si>
  <si>
    <t>RANJEET KUMAR</t>
  </si>
  <si>
    <t>SM237015241</t>
  </si>
  <si>
    <t>FT_P256PR2F_M</t>
  </si>
  <si>
    <t>VO4001_999S_50</t>
  </si>
  <si>
    <t>ID709_C1_M</t>
  </si>
  <si>
    <t>CK3154S_001_62</t>
  </si>
  <si>
    <t>VO4016BI_848_53</t>
  </si>
  <si>
    <t>RX5337_2012_52</t>
  </si>
  <si>
    <t>GURTEJ SINGH GAREWAL</t>
  </si>
  <si>
    <t>CUP GIGGLE</t>
  </si>
  <si>
    <t>NEELAM RANA</t>
  </si>
  <si>
    <t>GEETA</t>
  </si>
  <si>
    <t>AVLEEN</t>
  </si>
  <si>
    <t>00007</t>
  </si>
  <si>
    <t>S6D9F0/19/3</t>
  </si>
  <si>
    <t>SAJID MUGHAL</t>
  </si>
  <si>
    <t>JAMMU KASHMIR</t>
  </si>
  <si>
    <t>MOC08257</t>
  </si>
  <si>
    <t>RAJAT</t>
  </si>
  <si>
    <t>ID1564_C1_51</t>
  </si>
  <si>
    <t>MONPREET</t>
  </si>
  <si>
    <t>00008</t>
  </si>
  <si>
    <t>MOC08353</t>
  </si>
  <si>
    <t>S6D9F0/19/4</t>
  </si>
  <si>
    <t>BASWAJIT SARDAR</t>
  </si>
  <si>
    <t>KOLKATA</t>
  </si>
  <si>
    <t>SM241172521</t>
  </si>
  <si>
    <t>RUPINDER SINGH</t>
  </si>
  <si>
    <t>RB3025_00451_62</t>
  </si>
  <si>
    <t>CK1145SK_975_59</t>
  </si>
  <si>
    <t>MOC08536</t>
  </si>
  <si>
    <t>MOC08539</t>
  </si>
  <si>
    <t>MOC08640</t>
  </si>
  <si>
    <t>0779/19-20</t>
  </si>
  <si>
    <t>IN-1</t>
  </si>
  <si>
    <t>Amazon</t>
  </si>
  <si>
    <t>402-10893359599550</t>
  </si>
  <si>
    <t>YURI SANTIBANEZ GONALEZ</t>
  </si>
  <si>
    <t>ODISHA</t>
  </si>
  <si>
    <t>IN-2</t>
  </si>
  <si>
    <t>402-6142455-4093941</t>
  </si>
  <si>
    <t>RIK</t>
  </si>
  <si>
    <t>JHARKHAND</t>
  </si>
  <si>
    <t>PG 6LINE</t>
  </si>
  <si>
    <t>MOC08954</t>
  </si>
  <si>
    <t>JASANJOT</t>
  </si>
  <si>
    <t>18 UNIT</t>
  </si>
  <si>
    <t>MOC09172</t>
  </si>
  <si>
    <t>3 UNIT</t>
  </si>
  <si>
    <t>FT_P264BU1_M</t>
  </si>
  <si>
    <t>FT_P357BK5P_M</t>
  </si>
  <si>
    <t>FT_P360GR1_M</t>
  </si>
  <si>
    <t>TH1502_C2_55</t>
  </si>
  <si>
    <t>00016</t>
  </si>
  <si>
    <t>TH2519_C2_54</t>
  </si>
  <si>
    <t>TH826_C3_52</t>
  </si>
  <si>
    <t>00014</t>
  </si>
  <si>
    <t>TH828_C1S_52</t>
  </si>
  <si>
    <t>TH828_C2_57</t>
  </si>
  <si>
    <t>TH828_C3_57</t>
  </si>
  <si>
    <t>TH843_C1_52</t>
  </si>
  <si>
    <t>TH843_C2_52</t>
  </si>
  <si>
    <t>TH843_C4_52</t>
  </si>
  <si>
    <t>TH843_C5_52</t>
  </si>
  <si>
    <t>TH844_C2_53</t>
  </si>
  <si>
    <t>TH844_C4_53</t>
  </si>
  <si>
    <t>TH846_C1_58</t>
  </si>
  <si>
    <t>TH6118_C1_47</t>
  </si>
  <si>
    <t>00013</t>
  </si>
  <si>
    <t>TH7898_C5_55</t>
  </si>
  <si>
    <t>TH7910_C4_55</t>
  </si>
  <si>
    <t>TH7912_C3_60</t>
  </si>
  <si>
    <t>TH7976_C2_52</t>
  </si>
  <si>
    <t>TH815_C1_48</t>
  </si>
  <si>
    <t>TH817_C2_52</t>
  </si>
  <si>
    <t>TH826_C1_52</t>
  </si>
  <si>
    <t>TH826_C2_52</t>
  </si>
  <si>
    <t>TH2536_C1_55</t>
  </si>
  <si>
    <t>00012</t>
  </si>
  <si>
    <t>TH2538_C1_59</t>
  </si>
  <si>
    <t>TH2543_C1_59</t>
  </si>
  <si>
    <t>TH2544_C2_60</t>
  </si>
  <si>
    <t>TH3159_C2_51</t>
  </si>
  <si>
    <t>TH3166_C5_47</t>
  </si>
  <si>
    <t>TH5709_C2_52</t>
  </si>
  <si>
    <t>TH5709_C5_52</t>
  </si>
  <si>
    <t>TH5709_C6_52</t>
  </si>
  <si>
    <t>TH6000_C6_52</t>
  </si>
  <si>
    <t>TH846_C2_58</t>
  </si>
  <si>
    <t>00017</t>
  </si>
  <si>
    <t>TH846_C3_58</t>
  </si>
  <si>
    <t>TH846_C4_47</t>
  </si>
  <si>
    <t>TH846_C5_58</t>
  </si>
  <si>
    <t>TH846_C6_58</t>
  </si>
  <si>
    <t>TH846_C7_58</t>
  </si>
  <si>
    <t>TH9000_C2_57</t>
  </si>
  <si>
    <t>TH9711_C3_53</t>
  </si>
  <si>
    <t>TH9711_C4_53</t>
  </si>
  <si>
    <t>VO5002B_W44_52</t>
  </si>
  <si>
    <t>LUX0286</t>
  </si>
  <si>
    <t>VO5002B_W656_54</t>
  </si>
  <si>
    <t>IDS2427_C4_M</t>
  </si>
  <si>
    <t>00010</t>
  </si>
  <si>
    <t>IDS1899_C4_M</t>
  </si>
  <si>
    <t>IDS2353_C1_M</t>
  </si>
  <si>
    <t>IDS2353_C4_M</t>
  </si>
  <si>
    <t>IDS2435_C1_M</t>
  </si>
  <si>
    <t>IDS2500_C24_M</t>
  </si>
  <si>
    <t>IDS2500_C28_M</t>
  </si>
  <si>
    <t>IDS2500_C29_M</t>
  </si>
  <si>
    <t>IDS2500_C30_M</t>
  </si>
  <si>
    <t>IDS2500_C40_M</t>
  </si>
  <si>
    <t>IDS2500_C48_M</t>
  </si>
  <si>
    <t>IDS2500_C51_M</t>
  </si>
  <si>
    <t>IDS2500_C52_M</t>
  </si>
  <si>
    <t>IDS2500_C54_M</t>
  </si>
  <si>
    <t>IDS2509_C1_M</t>
  </si>
  <si>
    <t>VO2795SM_W4411_53</t>
  </si>
  <si>
    <t>VO3983_964S11_58</t>
  </si>
  <si>
    <t>VO3990S_54836_55</t>
  </si>
  <si>
    <t>VO5009B_16478H_58</t>
  </si>
  <si>
    <t>VO4092B_507448_56</t>
  </si>
  <si>
    <t>VO4091B_84873_56</t>
  </si>
  <si>
    <t>VO4055S_502214_57</t>
  </si>
  <si>
    <t>VO4055S_99613_57</t>
  </si>
  <si>
    <t>VO3990S_84811_55</t>
  </si>
  <si>
    <t>VO5205S_25547_66</t>
  </si>
  <si>
    <t>TI_G163PAVL9G_63</t>
  </si>
  <si>
    <t>IDS2399_C3_M</t>
  </si>
  <si>
    <t>AMAZON SELLER SERVICES PVT.LTD</t>
  </si>
  <si>
    <t>IDS2405_C5P_57</t>
  </si>
  <si>
    <t>IDS2441_C2_72</t>
  </si>
  <si>
    <t>IDS2423_C5_53</t>
  </si>
  <si>
    <t>VO4008I_5012_51</t>
  </si>
  <si>
    <t xml:space="preserve"> AMAZON SELLER SERVICES PVT.LTD</t>
  </si>
  <si>
    <t>IDS2399_C3_49</t>
  </si>
  <si>
    <t>OX8090_08_55</t>
  </si>
  <si>
    <t>Biotrue_60</t>
  </si>
  <si>
    <t>Renu_LensSolution_120</t>
  </si>
  <si>
    <t>Renu_LensSolution_60</t>
  </si>
  <si>
    <t>TH822_C1_52</t>
  </si>
  <si>
    <t>FT_P260BR1_70</t>
  </si>
  <si>
    <t>FT_M068BK8P_65</t>
  </si>
  <si>
    <t>FT_C088RD3_M</t>
  </si>
  <si>
    <t>FT_M035BK4P_M</t>
  </si>
  <si>
    <t>FT_M050GR3_64</t>
  </si>
  <si>
    <t>FT_M186GR2P_M</t>
  </si>
  <si>
    <t>FT_P300GR3_M</t>
  </si>
  <si>
    <t>FT_P323BK1_M</t>
  </si>
  <si>
    <t>FT_PC001BR23_53</t>
  </si>
  <si>
    <t>FT_PC001BU15_54</t>
  </si>
  <si>
    <t>FT_U005YL5F_M</t>
  </si>
  <si>
    <t>Duplicate</t>
  </si>
  <si>
    <t>0839/19-20</t>
  </si>
  <si>
    <t>CIVIC EYECARE CHANDIGARH</t>
  </si>
  <si>
    <t>MOC09979</t>
  </si>
  <si>
    <t>AMAZON SELLER SERVICES PVT LTD</t>
  </si>
  <si>
    <t>FT_PC001BU15_M</t>
  </si>
  <si>
    <t>IZ_C2 DRIVING_M</t>
  </si>
  <si>
    <t>PA7093_C03_60</t>
  </si>
  <si>
    <t>VO3969I_352_50</t>
  </si>
  <si>
    <t>YURI SANTIBANEZ GONZALEZ</t>
  </si>
  <si>
    <t>SATA-1</t>
  </si>
  <si>
    <t>ANUP MINDA</t>
  </si>
  <si>
    <t>SATA-2</t>
  </si>
  <si>
    <t>VIJAY PATRICK</t>
  </si>
  <si>
    <t>TAMIL NADU</t>
  </si>
  <si>
    <t>SATA-3</t>
  </si>
  <si>
    <t>JAYASHRI D BHOPATE</t>
  </si>
  <si>
    <t>SATA-4</t>
  </si>
  <si>
    <t>LALDUHAWMI</t>
  </si>
  <si>
    <t>MIZORAM</t>
  </si>
  <si>
    <t>SATA-7</t>
  </si>
  <si>
    <t>MARIYAM MIZNA</t>
  </si>
  <si>
    <t>KERALA</t>
  </si>
  <si>
    <t>SATA-6</t>
  </si>
  <si>
    <t>SUSHANT KUMAR SAHU</t>
  </si>
  <si>
    <t>SATA-10</t>
  </si>
  <si>
    <t>RAMANDEEP SACHDEVA</t>
  </si>
  <si>
    <t>UTTAR PRADESH</t>
  </si>
  <si>
    <t>SATA-5</t>
  </si>
  <si>
    <t>404-0550901-5396303</t>
  </si>
  <si>
    <t>RASHIDA MUMTAZ</t>
  </si>
  <si>
    <t>NEW DELHI</t>
  </si>
  <si>
    <t>SATA-8</t>
  </si>
  <si>
    <t>171-8718978-4660327</t>
  </si>
  <si>
    <t>MINI SAINANI</t>
  </si>
  <si>
    <t>HARYANA</t>
  </si>
  <si>
    <t>SATA-9</t>
  </si>
  <si>
    <t>407-6772818-2402727</t>
  </si>
  <si>
    <t>VIVEK</t>
  </si>
  <si>
    <t>SATA-11</t>
  </si>
  <si>
    <t>403-5675192-1664304</t>
  </si>
  <si>
    <t>SANJAY CHAUDHARY</t>
  </si>
  <si>
    <t>SATA-12</t>
  </si>
  <si>
    <t>403-3695612-0083513</t>
  </si>
  <si>
    <t>ALO DEY</t>
  </si>
  <si>
    <t>SATA-13</t>
  </si>
  <si>
    <t>408-7100551-0869957</t>
  </si>
  <si>
    <t>SHARAD TIWARI</t>
  </si>
  <si>
    <t>SATA-14</t>
  </si>
  <si>
    <t>171-8857686-7782711</t>
  </si>
  <si>
    <t>HETAL S PUROHIT</t>
  </si>
  <si>
    <t>SATA-15</t>
  </si>
  <si>
    <t>404-7702566-0583500</t>
  </si>
  <si>
    <t>AKSHAY PAVALE</t>
  </si>
  <si>
    <t>MOC10572</t>
  </si>
  <si>
    <t>AARYAN KANSAL</t>
  </si>
  <si>
    <t>BLUECUT</t>
  </si>
  <si>
    <t>SG/4212/19-20</t>
  </si>
  <si>
    <t>RX6324_2509_54</t>
  </si>
  <si>
    <t>RX2547V_2000_53</t>
  </si>
  <si>
    <t>RX6390_2928_53</t>
  </si>
  <si>
    <t>SUKHMAN SHAIBI</t>
  </si>
  <si>
    <t>DR.SHARMA</t>
  </si>
  <si>
    <t>SG/4283/19-20</t>
  </si>
  <si>
    <t>RX7033I_5419_52</t>
  </si>
  <si>
    <t>KC1234_053F_62</t>
  </si>
  <si>
    <t>VO3955_280_49</t>
  </si>
  <si>
    <t>MOC11947</t>
  </si>
  <si>
    <t>PGCR.</t>
  </si>
  <si>
    <t>1020/19-20</t>
  </si>
  <si>
    <t xml:space="preserve">CIVIC EYE CARE  </t>
  </si>
  <si>
    <t>MOC12256</t>
  </si>
  <si>
    <t>SG/4303/19-20</t>
  </si>
  <si>
    <t>RX6303_2509_53</t>
  </si>
  <si>
    <t>FT_P383PR11_M</t>
  </si>
  <si>
    <t>TH2544_C1_60</t>
  </si>
  <si>
    <t xml:space="preserve">FT_C060BK2_M					</t>
  </si>
  <si>
    <t xml:space="preserve">FT_M035GY1_M					</t>
  </si>
  <si>
    <t xml:space="preserve">FT_M050BU2_M					</t>
  </si>
  <si>
    <t xml:space="preserve">FT_M062BR3_M					</t>
  </si>
  <si>
    <t xml:space="preserve">FT_M068BK8P_65					</t>
  </si>
  <si>
    <t xml:space="preserve">FT_M101BR3P_M					</t>
  </si>
  <si>
    <t xml:space="preserve">FT_M102BR1_M			</t>
  </si>
  <si>
    <t xml:space="preserve">FT_M154BR2_M					</t>
  </si>
  <si>
    <t xml:space="preserve">FT_M165YL7_M					</t>
  </si>
  <si>
    <t xml:space="preserve">FT_P101BK1_M					</t>
  </si>
  <si>
    <t xml:space="preserve">FT_P101BR2_M					</t>
  </si>
  <si>
    <t xml:space="preserve">FT_P180BR1F_M					</t>
  </si>
  <si>
    <t xml:space="preserve">FT_P223GR3P_M					</t>
  </si>
  <si>
    <t xml:space="preserve">FT_P230BK1_M					</t>
  </si>
  <si>
    <t xml:space="preserve">FT_P241BK1_M					</t>
  </si>
  <si>
    <t xml:space="preserve">FT_P265BR2_58					</t>
  </si>
  <si>
    <t xml:space="preserve">FT_P294BU2_M					</t>
  </si>
  <si>
    <t xml:space="preserve">FT_P304BR1P_M					</t>
  </si>
  <si>
    <t xml:space="preserve">FT_P313PR2F_M					</t>
  </si>
  <si>
    <t xml:space="preserve">FT_P314BR3_M					</t>
  </si>
  <si>
    <t xml:space="preserve">FT_P322BK3P_M					</t>
  </si>
  <si>
    <t xml:space="preserve">FT_P329BK2_M					</t>
  </si>
  <si>
    <t xml:space="preserve">FT_P335BR1F_M					</t>
  </si>
  <si>
    <t xml:space="preserve">FT_P360BR4_M					</t>
  </si>
  <si>
    <t xml:space="preserve">FT_P383PR11_M					</t>
  </si>
  <si>
    <t xml:space="preserve">FT_PC001BK5_M					</t>
  </si>
  <si>
    <t xml:space="preserve">FT_PC001OR18_M					</t>
  </si>
  <si>
    <t xml:space="preserve">ID1520_C3_50					</t>
  </si>
  <si>
    <t xml:space="preserve">TH2515_C3_50					</t>
  </si>
  <si>
    <t xml:space="preserve">TH2529_C3_49					</t>
  </si>
  <si>
    <t xml:space="preserve">TH2529_C4_49					</t>
  </si>
  <si>
    <t xml:space="preserve">TH2530_C2_51					</t>
  </si>
  <si>
    <t xml:space="preserve">TH2543_C3_59					</t>
  </si>
  <si>
    <t xml:space="preserve">TH2544_C1_60					</t>
  </si>
  <si>
    <t xml:space="preserve">VO2819S_W4411_58					</t>
  </si>
  <si>
    <t xml:space="preserve">VO2906_2249_52					</t>
  </si>
  <si>
    <t xml:space="preserve">VO2915S_W4411_53					</t>
  </si>
  <si>
    <t xml:space="preserve">VO2993S_W4411_57					</t>
  </si>
  <si>
    <t xml:space="preserve">VO2993S_W65613_57					</t>
  </si>
  <si>
    <t xml:space="preserve">VO3843_756_50					</t>
  </si>
  <si>
    <t xml:space="preserve">VO3955_352_51					</t>
  </si>
  <si>
    <t xml:space="preserve">VO3982S_84813_58					</t>
  </si>
  <si>
    <t xml:space="preserve">VO3991S_81314_58					</t>
  </si>
  <si>
    <t xml:space="preserve">VO4016_848_53					</t>
  </si>
  <si>
    <t xml:space="preserve">VO5120_W44_52					</t>
  </si>
  <si>
    <t xml:space="preserve">VO5120_W656_52					</t>
  </si>
  <si>
    <t xml:space="preserve">FC7224_C2_63					</t>
  </si>
  <si>
    <t>1069/19-20</t>
  </si>
  <si>
    <t xml:space="preserve">FT_C057BR1F_M					</t>
  </si>
  <si>
    <t xml:space="preserve">FT_C077BK1_M					</t>
  </si>
  <si>
    <t xml:space="preserve">FT_C077BR2_M					</t>
  </si>
  <si>
    <t xml:space="preserve">FT_C078BR2F_M					</t>
  </si>
  <si>
    <t xml:space="preserve">FT_C078BR3F_M					</t>
  </si>
  <si>
    <t xml:space="preserve">FT_C078YL4F_M					</t>
  </si>
  <si>
    <t xml:space="preserve">FT_C084BK1F_M					</t>
  </si>
  <si>
    <t xml:space="preserve">FT_C088BU5_54					</t>
  </si>
  <si>
    <t xml:space="preserve">FT_M050BR5_M					</t>
  </si>
  <si>
    <t xml:space="preserve">FT_M062BK1_M					</t>
  </si>
  <si>
    <t xml:space="preserve">FT_M062GR2_M					</t>
  </si>
  <si>
    <t xml:space="preserve">FT_M069BR1_M					</t>
  </si>
  <si>
    <t xml:space="preserve">FT_M083BR2F_62					</t>
  </si>
  <si>
    <t xml:space="preserve">FT_M131BK1P_M					</t>
  </si>
  <si>
    <t xml:space="preserve">FT_M141BR2_M					</t>
  </si>
  <si>
    <t xml:space="preserve">FT_M142BR2P_M					</t>
  </si>
  <si>
    <t xml:space="preserve">FT_M146SL3F_M					</t>
  </si>
  <si>
    <t xml:space="preserve">FT_M149BR1_M					</t>
  </si>
  <si>
    <t xml:space="preserve">FT_M180SL3F_M					</t>
  </si>
  <si>
    <t xml:space="preserve">FT_M183BR1_M					</t>
  </si>
  <si>
    <t xml:space="preserve">FT_P089BR2_M					</t>
  </si>
  <si>
    <t xml:space="preserve">FT_P089WH4_M					</t>
  </si>
  <si>
    <t xml:space="preserve">FT_P176BR1FP_M					</t>
  </si>
  <si>
    <t xml:space="preserve">FT_P178BR3FP_M					</t>
  </si>
  <si>
    <t xml:space="preserve">FT_P180PR2F_M					</t>
  </si>
  <si>
    <t xml:space="preserve">FT_P182BK2F_M					</t>
  </si>
  <si>
    <t xml:space="preserve">FT_P188BR1F_M					</t>
  </si>
  <si>
    <t xml:space="preserve">FT_P190BK1_M					</t>
  </si>
  <si>
    <t xml:space="preserve">FT_P192BR2_M					</t>
  </si>
  <si>
    <t xml:space="preserve">FT_P192GR1_M					</t>
  </si>
  <si>
    <t xml:space="preserve">FT_P223BU2_M					</t>
  </si>
  <si>
    <t xml:space="preserve">FT_P299BU1_M					</t>
  </si>
  <si>
    <t xml:space="preserve">FT_P299OR2_M					</t>
  </si>
  <si>
    <t xml:space="preserve">FT_P300BR2_56					</t>
  </si>
  <si>
    <t xml:space="preserve">FT_P300GR3_M					</t>
  </si>
  <si>
    <t xml:space="preserve">FT_P302BK1_M					</t>
  </si>
  <si>
    <t xml:space="preserve">FT_P302BR2_M					</t>
  </si>
  <si>
    <t xml:space="preserve">FT_P308BR3F_M					</t>
  </si>
  <si>
    <t xml:space="preserve">FT_P315GR4P_M					</t>
  </si>
  <si>
    <t xml:space="preserve">FT_P315OR2_M					</t>
  </si>
  <si>
    <t xml:space="preserve">FT_P333BK1_M					</t>
  </si>
  <si>
    <t xml:space="preserve">FT_P335GR2F_M					</t>
  </si>
  <si>
    <t xml:space="preserve"> FT_P339BR1_M					</t>
  </si>
  <si>
    <t xml:space="preserve">FT_P341BK1_M					</t>
  </si>
  <si>
    <t xml:space="preserve">FT_P354BK2_M					</t>
  </si>
  <si>
    <t xml:space="preserve">FT_P357BR3_M					</t>
  </si>
  <si>
    <t xml:space="preserve">FT_P357BR6P_56					</t>
  </si>
  <si>
    <t xml:space="preserve">FT_P358BK4P_M					</t>
  </si>
  <si>
    <t xml:space="preserve">FT_PC001BK1_M					</t>
  </si>
  <si>
    <t xml:space="preserve">FT_PC001BK25_M					</t>
  </si>
  <si>
    <t xml:space="preserve">FT_PC001BK4_M					</t>
  </si>
  <si>
    <t xml:space="preserve">FT_PC001BR23_M					</t>
  </si>
  <si>
    <t xml:space="preserve">FT_PC003BK3_M					</t>
  </si>
  <si>
    <t xml:space="preserve">FT_U005YL5F_M					</t>
  </si>
  <si>
    <t xml:space="preserve">TH2514_C1_53					</t>
  </si>
  <si>
    <t xml:space="preserve">TH2514_C2_53					</t>
  </si>
  <si>
    <t xml:space="preserve">TH2514_C3_53					</t>
  </si>
  <si>
    <t xml:space="preserve">TH2536_C2_55					</t>
  </si>
  <si>
    <t xml:space="preserve">TH2536_C3_55					</t>
  </si>
  <si>
    <t xml:space="preserve">TH2543_C4_59					</t>
  </si>
  <si>
    <t xml:space="preserve">TH7920_C2_56					</t>
  </si>
  <si>
    <t xml:space="preserve">VO2870S_235811_52					</t>
  </si>
  <si>
    <t xml:space="preserve">VO2894SB_W4411_56					</t>
  </si>
  <si>
    <t xml:space="preserve">VO2896S_W4411_54					</t>
  </si>
  <si>
    <t xml:space="preserve">VO2906_W44_52					</t>
  </si>
  <si>
    <t xml:space="preserve">VO2950_2048_51					</t>
  </si>
  <si>
    <t xml:space="preserve"> VO3843_756_50					</t>
  </si>
  <si>
    <t xml:space="preserve">VO3843_813_50					</t>
  </si>
  <si>
    <t xml:space="preserve">VO3980_352S_52					</t>
  </si>
  <si>
    <t xml:space="preserve">VO3982SB_84813_58					</t>
  </si>
  <si>
    <t xml:space="preserve">VO4038_5033_54					</t>
  </si>
  <si>
    <t xml:space="preserve">VO5008S_236214_57					</t>
  </si>
  <si>
    <t xml:space="preserve">VO5010_W44_51					</t>
  </si>
  <si>
    <t xml:space="preserve">VO5119S_W445A_56					</t>
  </si>
  <si>
    <t>OO9096_909601_60</t>
  </si>
  <si>
    <t>SG/4358/19-20</t>
  </si>
  <si>
    <t>OO9102_910226_55</t>
  </si>
  <si>
    <t>OO9102_910236_55</t>
  </si>
  <si>
    <t>OO9154_915401_62</t>
  </si>
  <si>
    <t>OO9262_926268_57</t>
  </si>
  <si>
    <t>OO9154_915449_62</t>
  </si>
  <si>
    <t>OO9265_926501_53</t>
  </si>
  <si>
    <t>Amazon Seller Services Pvt Ltd</t>
  </si>
  <si>
    <t>FT_C084BK1F_M</t>
  </si>
  <si>
    <t>FT_C088BU5_54</t>
  </si>
  <si>
    <t xml:space="preserve"> FT_M050BU2_M</t>
  </si>
  <si>
    <t>FT_M183BR1_M</t>
  </si>
  <si>
    <t>TH2514_C3_53</t>
  </si>
  <si>
    <t>VO3980_352_52</t>
  </si>
  <si>
    <t>LUX0377</t>
  </si>
  <si>
    <t>VO2855SM_W4411_56</t>
  </si>
  <si>
    <t>VO2963S_228713_53</t>
  </si>
  <si>
    <t>VO2778SB_W65613_58</t>
  </si>
  <si>
    <t>VO2915S_225913_53</t>
  </si>
  <si>
    <t>VO4049S_84814_55</t>
  </si>
  <si>
    <t xml:space="preserve"> LUDHIANA</t>
  </si>
  <si>
    <t xml:space="preserve">DAMAGED PCS RETURN </t>
  </si>
  <si>
    <t>1130/19-20</t>
  </si>
  <si>
    <t>SG/4389/19-20</t>
  </si>
  <si>
    <t>OO9188_04_59</t>
  </si>
  <si>
    <t>OO9264_03_57</t>
  </si>
  <si>
    <t>OO9265_01_53</t>
  </si>
  <si>
    <t>OO9308_06_38</t>
  </si>
  <si>
    <t>OO9102_C1_55</t>
  </si>
  <si>
    <t>OO9265_05_53</t>
  </si>
  <si>
    <t>OO4060_02_61</t>
  </si>
  <si>
    <t>OO4075_05_60</t>
  </si>
  <si>
    <t>ID1152_C1_M</t>
  </si>
  <si>
    <t>ID1153_C4_M</t>
  </si>
  <si>
    <t>ID1508_C3_M</t>
  </si>
  <si>
    <t>ID1544_C1_M</t>
  </si>
  <si>
    <t>ID1544_C7_M</t>
  </si>
  <si>
    <t>ID892_C1_M</t>
  </si>
  <si>
    <t>IDS2404_C7P_M</t>
  </si>
  <si>
    <t>IDS2468_C1_M</t>
  </si>
  <si>
    <t>IDS2490_C1_M</t>
  </si>
  <si>
    <t>IDS2500_C11_M</t>
  </si>
  <si>
    <t>IDS2500_C37_M</t>
  </si>
  <si>
    <t>PC8829_MWI_56</t>
  </si>
  <si>
    <t>TI_G192PLMLME_61</t>
  </si>
  <si>
    <t>TI_G244PTFLTA_53</t>
  </si>
  <si>
    <t>VO2789BI_1941_52</t>
  </si>
  <si>
    <t>VO4016_848_51</t>
  </si>
  <si>
    <t>FT_M165BR15P_M</t>
  </si>
  <si>
    <t>ID1521_C3_M</t>
  </si>
  <si>
    <t>ID1531_C2_M</t>
  </si>
  <si>
    <t>OO9341_07_57</t>
  </si>
  <si>
    <t>TH2538_C3_59</t>
  </si>
  <si>
    <t>VO2894SB_19613_56</t>
  </si>
  <si>
    <t>MOC13788</t>
  </si>
  <si>
    <t>FT_C046BR3_63</t>
  </si>
  <si>
    <t>FT_M165GR1_M</t>
  </si>
  <si>
    <t>FT_M165GR17G_M</t>
  </si>
  <si>
    <t>FT_P190GR2_M</t>
  </si>
  <si>
    <t>FT_P307PR2F_M</t>
  </si>
  <si>
    <t>FT_P312BR1F_M</t>
  </si>
  <si>
    <t>FT_P380GR3P_M</t>
  </si>
  <si>
    <t>FT_P383BK13_M</t>
  </si>
  <si>
    <t xml:space="preserve">FT_PC003BK6_M								</t>
  </si>
  <si>
    <t xml:space="preserve">HA_BC1001								</t>
  </si>
  <si>
    <t xml:space="preserve">HA_BT6201								</t>
  </si>
  <si>
    <t xml:space="preserve">HA_FD5001								</t>
  </si>
  <si>
    <t xml:space="preserve">HA_NE6311								</t>
  </si>
  <si>
    <t xml:space="preserve">ID1470_C5_52								</t>
  </si>
  <si>
    <t xml:space="preserve">ID1471_C3_50								</t>
  </si>
  <si>
    <t xml:space="preserve">ID1482_C4_50								</t>
  </si>
  <si>
    <t xml:space="preserve">ID1484_C4_51								</t>
  </si>
  <si>
    <t xml:space="preserve">ID1489_C5_51								</t>
  </si>
  <si>
    <t xml:space="preserve">ID1519_C1_M								</t>
  </si>
  <si>
    <t xml:space="preserve">ID1521_C1_51								</t>
  </si>
  <si>
    <t xml:space="preserve">ID1544_C5_52								</t>
  </si>
  <si>
    <t xml:space="preserve">ID1544_C6_52								</t>
  </si>
  <si>
    <t xml:space="preserve">ID1546_C3_52								</t>
  </si>
  <si>
    <t xml:space="preserve">ID1562_C1_51								</t>
  </si>
  <si>
    <t xml:space="preserve">ID1559_C3_51								</t>
  </si>
  <si>
    <t xml:space="preserve">ID1563_C4_53								</t>
  </si>
  <si>
    <t xml:space="preserve">ID1564_C6_51								</t>
  </si>
  <si>
    <t xml:space="preserve">ID1545_C6_54								</t>
  </si>
  <si>
    <t xml:space="preserve">IDS2500_C56_58								</t>
  </si>
  <si>
    <t xml:space="preserve">OO9102_02_55								</t>
  </si>
  <si>
    <t xml:space="preserve">OO9179_26_57								</t>
  </si>
  <si>
    <t xml:space="preserve">OO9189_03_60								</t>
  </si>
  <si>
    <t xml:space="preserve">OO9189_30_60								</t>
  </si>
  <si>
    <t xml:space="preserve">OO9320_04_53								</t>
  </si>
  <si>
    <t xml:space="preserve">OO9342_09_57								</t>
  </si>
  <si>
    <t xml:space="preserve">OX1131_04_52								</t>
  </si>
  <si>
    <t xml:space="preserve">OX1131_06_52								</t>
  </si>
  <si>
    <t xml:space="preserve">TH2515_C2_50								</t>
  </si>
  <si>
    <t xml:space="preserve">TH2519_C1_54								</t>
  </si>
  <si>
    <t xml:space="preserve">TH2537_C1_55								</t>
  </si>
  <si>
    <t xml:space="preserve">TH7912_C1_60								</t>
  </si>
  <si>
    <t xml:space="preserve">TH7921_C3_55								</t>
  </si>
  <si>
    <t xml:space="preserve">TH813_C3_50								</t>
  </si>
  <si>
    <t xml:space="preserve">VO2866_W44_55								</t>
  </si>
  <si>
    <t xml:space="preserve">VO2886_W44_53								</t>
  </si>
  <si>
    <t xml:space="preserve">VO2899_W44_51								</t>
  </si>
  <si>
    <t xml:space="preserve">VO2916SB_W4411_58								</t>
  </si>
  <si>
    <t xml:space="preserve">VO2941S_227913_56								</t>
  </si>
  <si>
    <t xml:space="preserve">VO2943SB_201148_55								</t>
  </si>
  <si>
    <t xml:space="preserve">VO2993S_W65613_57								</t>
  </si>
  <si>
    <t xml:space="preserve">VO3838_352S_53								</t>
  </si>
  <si>
    <t xml:space="preserve">VO3955_352_51								</t>
  </si>
  <si>
    <t xml:space="preserve">VO3991S_28013_58								</t>
  </si>
  <si>
    <t xml:space="preserve">VO3991S_8978H_58								</t>
  </si>
  <si>
    <t xml:space="preserve">VO5119SI_W4411_56								</t>
  </si>
  <si>
    <t xml:space="preserve">VO5204I_2477_52								</t>
  </si>
  <si>
    <t xml:space="preserve">CK3161S_001_58								</t>
  </si>
  <si>
    <t xml:space="preserve">CK4191S_004_57								</t>
  </si>
  <si>
    <t xml:space="preserve">CK4216_320_56								</t>
  </si>
  <si>
    <t xml:space="preserve">CK4224_004_57								</t>
  </si>
  <si>
    <t xml:space="preserve">CK4256S_110_57								</t>
  </si>
  <si>
    <t xml:space="preserve">CK4260S_196_55								</t>
  </si>
  <si>
    <t xml:space="preserve">CK4261S_060_55								</t>
  </si>
  <si>
    <t xml:space="preserve">CK5327_060_M								</t>
  </si>
  <si>
    <t xml:space="preserve">CK5350_060_54								</t>
  </si>
  <si>
    <t xml:space="preserve">CK5351_044_52								</t>
  </si>
  <si>
    <t xml:space="preserve">EA4086_502613_54								</t>
  </si>
  <si>
    <t xml:space="preserve">EA4086_55528G_54								</t>
  </si>
  <si>
    <t xml:space="preserve">EA4086_567713_54								</t>
  </si>
  <si>
    <t xml:space="preserve">EA4086_56788Z_54								</t>
  </si>
  <si>
    <t xml:space="preserve">EA4094_502613_56								</t>
  </si>
  <si>
    <t xml:space="preserve">FT_M069BR1_M								</t>
  </si>
  <si>
    <t xml:space="preserve">FT_M083BR2F_M								</t>
  </si>
  <si>
    <t xml:space="preserve">FT_M101BR3P_M								</t>
  </si>
  <si>
    <t xml:space="preserve">FT_M131BK1P_M								</t>
  </si>
  <si>
    <t xml:space="preserve">FT_M138BK4_M								</t>
  </si>
  <si>
    <t xml:space="preserve">FT_M138BR6P_M								</t>
  </si>
  <si>
    <t xml:space="preserve">FT_M139BR1F_M								</t>
  </si>
  <si>
    <t xml:space="preserve">FT_M140BU2_M								</t>
  </si>
  <si>
    <t xml:space="preserve">FT_M141BR2_M								</t>
  </si>
  <si>
    <t xml:space="preserve">FT_M142BR2P_M								</t>
  </si>
  <si>
    <t xml:space="preserve">FT_M146SL3F_M								</t>
  </si>
  <si>
    <t xml:space="preserve">FT_M149BR1_M								</t>
  </si>
  <si>
    <t xml:space="preserve">FT_M150BK2_M								</t>
  </si>
  <si>
    <t xml:space="preserve">FT_M152BK1_M								</t>
  </si>
  <si>
    <t xml:space="preserve">FT_M154BR2_M								</t>
  </si>
  <si>
    <t xml:space="preserve">FT_M165BR12_M								</t>
  </si>
  <si>
    <t xml:space="preserve">FT_M165BR16P_M								</t>
  </si>
  <si>
    <t xml:space="preserve">FT_M165YL7_M								</t>
  </si>
  <si>
    <t xml:space="preserve">FT_M168BK2_M								</t>
  </si>
  <si>
    <t xml:space="preserve">FT_M168BK3_M								</t>
  </si>
  <si>
    <t xml:space="preserve">FT_M180SL3F_M								</t>
  </si>
  <si>
    <t xml:space="preserve">FT_M183GR5P_M								</t>
  </si>
  <si>
    <t xml:space="preserve">FT_M184SL1F_M								</t>
  </si>
  <si>
    <t xml:space="preserve">FT_P089GR5P_M								</t>
  </si>
  <si>
    <t xml:space="preserve">FT_P101BK1_M								</t>
  </si>
  <si>
    <t xml:space="preserve">FT_P117BK4P_M								</t>
  </si>
  <si>
    <t xml:space="preserve">FT_P161BK2F_M								</t>
  </si>
  <si>
    <t xml:space="preserve">FT_P176BR1FP_M								</t>
  </si>
  <si>
    <t xml:space="preserve">FT_P178BR3FP_M								</t>
  </si>
  <si>
    <t xml:space="preserve">FT_P180PR2F_M								</t>
  </si>
  <si>
    <t xml:space="preserve">FT_P182BK2F_M								</t>
  </si>
  <si>
    <t xml:space="preserve">FT_P185BR1F_M								</t>
  </si>
  <si>
    <t xml:space="preserve">FT_P190BK1_M								</t>
  </si>
  <si>
    <t xml:space="preserve">FT_P192BK4P_M								</t>
  </si>
  <si>
    <t xml:space="preserve">FT_P192BR2_M								</t>
  </si>
  <si>
    <t xml:space="preserve">FT_P192GR1_M								</t>
  </si>
  <si>
    <t xml:space="preserve">FT_P218BK1FP_M								</t>
  </si>
  <si>
    <t xml:space="preserve">FT_P218BR2FP_M								</t>
  </si>
  <si>
    <t xml:space="preserve">FT_P222BR2_M								</t>
  </si>
  <si>
    <t xml:space="preserve">FT_P223GR3P_M								</t>
  </si>
  <si>
    <t xml:space="preserve">FT_P230BK1_M								</t>
  </si>
  <si>
    <t xml:space="preserve">FT_P241BK1_M								</t>
  </si>
  <si>
    <t xml:space="preserve">FT_P256PR2F_M								</t>
  </si>
  <si>
    <t xml:space="preserve">ID1002_C2_52								</t>
  </si>
  <si>
    <t xml:space="preserve">ID1027_C3_M								</t>
  </si>
  <si>
    <t xml:space="preserve">ID1033_C4_M								</t>
  </si>
  <si>
    <t xml:space="preserve">ID1038_C1_51								</t>
  </si>
  <si>
    <t xml:space="preserve">ID1038_C4_M								</t>
  </si>
  <si>
    <t xml:space="preserve">ID1047_C1_M								</t>
  </si>
  <si>
    <t xml:space="preserve">ID1047_C2_M								</t>
  </si>
  <si>
    <t xml:space="preserve">ID1047_C3_M								</t>
  </si>
  <si>
    <t xml:space="preserve">ID1144_C2_53								</t>
  </si>
  <si>
    <t xml:space="preserve">ID1159_C3_53								</t>
  </si>
  <si>
    <t xml:space="preserve">ID1203_C4_52								</t>
  </si>
  <si>
    <t xml:space="preserve">ID1207_C3_M								</t>
  </si>
  <si>
    <t xml:space="preserve">ID1470_C7_52								</t>
  </si>
  <si>
    <t xml:space="preserve">ID1474_C2_54								</t>
  </si>
  <si>
    <t xml:space="preserve">ID1476_C3_M								</t>
  </si>
  <si>
    <t xml:space="preserve">ID1476_C4_M								</t>
  </si>
  <si>
    <t xml:space="preserve">ID1480_C8_51								</t>
  </si>
  <si>
    <t xml:space="preserve">ID1482_C5_50								</t>
  </si>
  <si>
    <t xml:space="preserve">ID1482_C6_51								</t>
  </si>
  <si>
    <t xml:space="preserve">ID1484_C6_51								</t>
  </si>
  <si>
    <t xml:space="preserve">ID1487_C7_51								</t>
  </si>
  <si>
    <t xml:space="preserve">ID1489_C4_51								</t>
  </si>
  <si>
    <t xml:space="preserve">IDS2438_C2_57								</t>
  </si>
  <si>
    <t xml:space="preserve">IDS2438_C3_57								</t>
  </si>
  <si>
    <t xml:space="preserve">IDS2438_C4_57								</t>
  </si>
  <si>
    <t xml:space="preserve">IDS2440_C2_67								</t>
  </si>
  <si>
    <t xml:space="preserve">IDS2441_C1_72								</t>
  </si>
  <si>
    <t xml:space="preserve">IDS2468_C2_54								</t>
  </si>
  <si>
    <t xml:space="preserve">IDS2472_C1_52								</t>
  </si>
  <si>
    <t xml:space="preserve">IDS2472_C2_52								</t>
  </si>
  <si>
    <t xml:space="preserve">IDS2479_C2_51								</t>
  </si>
  <si>
    <t xml:space="preserve">IDS2489_C1_59								</t>
  </si>
  <si>
    <t xml:space="preserve">IDS2490_C3_60								</t>
  </si>
  <si>
    <t xml:space="preserve">IDS2500_C28_58								</t>
  </si>
  <si>
    <t xml:space="preserve">IDS2500_C29_58								</t>
  </si>
  <si>
    <t xml:space="preserve">IDS2500_C30_58								</t>
  </si>
  <si>
    <t xml:space="preserve">IDS2500_C32_58								</t>
  </si>
  <si>
    <t xml:space="preserve">VO4010S_3235R_57								</t>
  </si>
  <si>
    <t xml:space="preserve">VO4015_352_53								</t>
  </si>
  <si>
    <t xml:space="preserve">VO4015_5009_51								</t>
  </si>
  <si>
    <t xml:space="preserve">VO4037_352_52								</t>
  </si>
  <si>
    <t xml:space="preserve">VO4038_5033_54								</t>
  </si>
  <si>
    <t xml:space="preserve">VO4038_548_54								</t>
  </si>
  <si>
    <t xml:space="preserve">VO4070S_50597B_57								</t>
  </si>
  <si>
    <t xml:space="preserve">VO4081S_32387_55								</t>
  </si>
  <si>
    <t xml:space="preserve">VO4081S_84813_55								</t>
  </si>
  <si>
    <t xml:space="preserve">VO4002S_934S13_55								</t>
  </si>
  <si>
    <t xml:space="preserve">VO4089S_3526G_60								</t>
  </si>
  <si>
    <t xml:space="preserve">VO4089S_84813_60								</t>
  </si>
  <si>
    <t xml:space="preserve">VO4112S_50757E_56								</t>
  </si>
  <si>
    <t xml:space="preserve">VO4112S_84813_56								</t>
  </si>
  <si>
    <t xml:space="preserve">VO2870S_235811_52								</t>
  </si>
  <si>
    <t xml:space="preserve">VO2896S_W4411_54								</t>
  </si>
  <si>
    <t xml:space="preserve">VO2896S_W65613_54								</t>
  </si>
  <si>
    <t xml:space="preserve">VO2899_W44_53								</t>
  </si>
  <si>
    <t xml:space="preserve">VO2906_2249_52								</t>
  </si>
  <si>
    <t xml:space="preserve">VO2906_W44_52								</t>
  </si>
  <si>
    <t xml:space="preserve">VO2908_2257_51								</t>
  </si>
  <si>
    <t xml:space="preserve">VO2915S_22618H_53								</t>
  </si>
  <si>
    <t xml:space="preserve">VO2915S_226214_53								</t>
  </si>
  <si>
    <t xml:space="preserve">VO2915S_231148_53								</t>
  </si>
  <si>
    <t xml:space="preserve">VO2915S_W4411_53								</t>
  </si>
  <si>
    <t xml:space="preserve">VO2925B_2048_53								</t>
  </si>
  <si>
    <t xml:space="preserve">TH7914_C3_48								</t>
  </si>
  <si>
    <t xml:space="preserve">TH7914_C4_48								</t>
  </si>
  <si>
    <t xml:space="preserve">TH7920_C2_56								</t>
  </si>
  <si>
    <t xml:space="preserve">TH7920_C3_56								</t>
  </si>
  <si>
    <t xml:space="preserve">TH7921_C1_55								</t>
  </si>
  <si>
    <t xml:space="preserve">TH7921_C2_55								</t>
  </si>
  <si>
    <t xml:space="preserve">TH7921_C4_55								</t>
  </si>
  <si>
    <t xml:space="preserve">TH7951_C4_59								</t>
  </si>
  <si>
    <t xml:space="preserve">TH7952_C1_59								</t>
  </si>
  <si>
    <t xml:space="preserve">TH7957_C2_60								</t>
  </si>
  <si>
    <t xml:space="preserve">TH7975_C3_50								</t>
  </si>
  <si>
    <t xml:space="preserve">TH7981_C1_58								</t>
  </si>
  <si>
    <t xml:space="preserve">TH7981_C3_58								</t>
  </si>
  <si>
    <t xml:space="preserve">TH7984_C1_59								</t>
  </si>
  <si>
    <t xml:space="preserve">TH813_C2_50								</t>
  </si>
  <si>
    <t xml:space="preserve">TH815_C2_48								</t>
  </si>
  <si>
    <t xml:space="preserve">TH7881_C2_59								</t>
  </si>
  <si>
    <t xml:space="preserve">VO2909_W44_54								</t>
  </si>
  <si>
    <t xml:space="preserve">TH7918_C1_51								</t>
  </si>
  <si>
    <t xml:space="preserve">TH7977_C1_56								</t>
  </si>
  <si>
    <t xml:space="preserve">TH5690_C1_52								</t>
  </si>
  <si>
    <t xml:space="preserve">TH7945_C4_57								</t>
  </si>
  <si>
    <t xml:space="preserve">VO4016_848_51					</t>
  </si>
  <si>
    <t>1135/19-20</t>
  </si>
  <si>
    <t xml:space="preserve">CHANDIGARH					</t>
  </si>
  <si>
    <t xml:space="preserve">VO3991S_28013_58					</t>
  </si>
  <si>
    <t xml:space="preserve">FT_R040BR2_M					</t>
  </si>
  <si>
    <t xml:space="preserve">CK3161S_001_58					</t>
  </si>
  <si>
    <t xml:space="preserve">VO2866_W44_55					</t>
  </si>
  <si>
    <t xml:space="preserve"> Ludhiana</t>
  </si>
  <si>
    <t>FT_M150BK2_M</t>
  </si>
  <si>
    <t>FT_M183GR5P_M</t>
  </si>
  <si>
    <t>FT_M184SL1F_M</t>
  </si>
  <si>
    <t>FT_P185BR1F_M</t>
  </si>
  <si>
    <t>SG/4425/19-20</t>
  </si>
  <si>
    <t>1161/19-20</t>
  </si>
  <si>
    <t>1162/19-20</t>
  </si>
  <si>
    <t>TH7920_C3_56</t>
  </si>
  <si>
    <t>VO2772S_W4411_59</t>
  </si>
  <si>
    <t>LUX0388</t>
  </si>
  <si>
    <t>LUX0386</t>
  </si>
  <si>
    <t>VO5167_2621_50</t>
  </si>
  <si>
    <t>VO5167_2554_52</t>
  </si>
  <si>
    <t>LUX0387</t>
  </si>
  <si>
    <t>VO5105S_W4487_55</t>
  </si>
  <si>
    <t>VO4106S_28087_55</t>
  </si>
  <si>
    <t>VO2915S_231214_53</t>
  </si>
  <si>
    <t xml:space="preserve">RX6049_2500_55					</t>
  </si>
  <si>
    <t xml:space="preserve">1176/19-20		</t>
  </si>
  <si>
    <t xml:space="preserve">CIVIC EYECARE 				</t>
  </si>
  <si>
    <t xml:space="preserve">CHANDIGARH	</t>
  </si>
  <si>
    <t xml:space="preserve">RX6324_2509_54					</t>
  </si>
  <si>
    <t>1176/19-20</t>
  </si>
  <si>
    <t xml:space="preserve">CHANDIGARH				</t>
  </si>
  <si>
    <t xml:space="preserve">RX7027_2000_54					</t>
  </si>
  <si>
    <t xml:space="preserve">RX6303_2509_53					</t>
  </si>
  <si>
    <t xml:space="preserve">1179/19-20		</t>
  </si>
  <si>
    <t xml:space="preserve">TH7905_C4_56					</t>
  </si>
  <si>
    <t xml:space="preserve">OO9189_03_60					</t>
  </si>
  <si>
    <t xml:space="preserve">1182/19-20		</t>
  </si>
  <si>
    <t xml:space="preserve">RX7033_5419_52					</t>
  </si>
  <si>
    <t>1185/19-20</t>
  </si>
  <si>
    <t xml:space="preserve">RX7017_5200_54					</t>
  </si>
  <si>
    <t xml:space="preserve">RX5346_5504_54					</t>
  </si>
  <si>
    <t xml:space="preserve">RX5312_5213_52					</t>
  </si>
  <si>
    <t xml:space="preserve">RX7047_5196_54					</t>
  </si>
  <si>
    <t xml:space="preserve">OO9102_36_55					</t>
  </si>
  <si>
    <t xml:space="preserve">OO9341_05_57					</t>
  </si>
  <si>
    <t xml:space="preserve">OO9135_25_56					</t>
  </si>
  <si>
    <t xml:space="preserve">OO9096_01_60					</t>
  </si>
  <si>
    <t xml:space="preserve">OO9342_09_57					</t>
  </si>
  <si>
    <t xml:space="preserve">RX6322_2503_53					</t>
  </si>
  <si>
    <t>1186/19-20</t>
  </si>
  <si>
    <t xml:space="preserve">RX5337_5528_54					</t>
  </si>
  <si>
    <t xml:space="preserve">RX3578V_2904_50					</t>
  </si>
  <si>
    <t xml:space="preserve">CIVIC EYECARE 			</t>
  </si>
  <si>
    <t xml:space="preserve">CHANDIGARH		</t>
  </si>
  <si>
    <t xml:space="preserve">FT_M152BK1_M					</t>
  </si>
  <si>
    <t>FT_M186GR2P_58</t>
  </si>
  <si>
    <t>AMAZON SATA</t>
  </si>
  <si>
    <t>IDS2408_C3_58</t>
  </si>
  <si>
    <t>FT_P300GR3_56</t>
  </si>
  <si>
    <t>VO4101S_84813_57</t>
  </si>
  <si>
    <t>RX6384I_2509_52</t>
  </si>
  <si>
    <t>SG/4482/19-20</t>
  </si>
  <si>
    <t>RX7127I_2475_53</t>
  </si>
  <si>
    <t>1211/19-20</t>
  </si>
  <si>
    <t>OO9102_02_55</t>
  </si>
  <si>
    <t>OO9102_26_55</t>
  </si>
  <si>
    <t xml:space="preserve"> OO9102_36_55</t>
  </si>
  <si>
    <t>1212/19-20</t>
  </si>
  <si>
    <t>OO9154_01_62</t>
  </si>
  <si>
    <t>CK4191S_004_57</t>
  </si>
  <si>
    <t>1213/19-20</t>
  </si>
  <si>
    <t>CK5327_060_M</t>
  </si>
  <si>
    <t>OO9102_D6_55</t>
  </si>
  <si>
    <t>FK RETURN PCS NO DAMAGE</t>
  </si>
  <si>
    <t>1236/19-20</t>
  </si>
  <si>
    <t xml:space="preserve"> FT_M165GR17G_M</t>
  </si>
  <si>
    <t>FT_M165BR16P_M</t>
  </si>
  <si>
    <t>1254/19-20</t>
  </si>
  <si>
    <t>1258/19-20</t>
  </si>
  <si>
    <t>1258/19_20</t>
  </si>
  <si>
    <t>TH7952_C1_59</t>
  </si>
  <si>
    <t>1270/19-20</t>
  </si>
  <si>
    <t>1288/19-20</t>
  </si>
  <si>
    <t>TH7921_C4_55</t>
  </si>
  <si>
    <t>TH7951_C4_59</t>
  </si>
  <si>
    <t>TH813_C2_50</t>
  </si>
  <si>
    <t>TH813_C3_50</t>
  </si>
  <si>
    <t>1292/19-20</t>
  </si>
  <si>
    <t>OO9179_26_57</t>
  </si>
  <si>
    <t>OO9189_30_60</t>
  </si>
  <si>
    <t>TH2515_C2_50</t>
  </si>
  <si>
    <t>TH2519_C1_54</t>
  </si>
  <si>
    <t>TH2537_C1_55</t>
  </si>
  <si>
    <t>TH7914_C3_48</t>
  </si>
  <si>
    <t>TH7921_C1_55</t>
  </si>
  <si>
    <t>TH7921_C2_55</t>
  </si>
  <si>
    <t>MOC16211</t>
  </si>
  <si>
    <t>BLUERAY ARC</t>
  </si>
  <si>
    <t>1304/19-20</t>
  </si>
  <si>
    <t>FT_M165BR12_M</t>
  </si>
  <si>
    <t>1306/19-20</t>
  </si>
  <si>
    <t>1308/19-20</t>
  </si>
  <si>
    <t>TH7918_C1_51</t>
  </si>
  <si>
    <t>1310/19-20</t>
  </si>
  <si>
    <t>TH815_C2_48</t>
  </si>
  <si>
    <t xml:space="preserve">TH828_C3_57						</t>
  </si>
  <si>
    <t xml:space="preserve">1311/19-20		</t>
  </si>
  <si>
    <t xml:space="preserve">TH844_C1S_53						</t>
  </si>
  <si>
    <t>1311/19-20</t>
  </si>
  <si>
    <t>1312/19-20</t>
  </si>
  <si>
    <t>ID1047_C1_M</t>
  </si>
  <si>
    <t>1325/19-20</t>
  </si>
  <si>
    <t>MOC17382</t>
  </si>
  <si>
    <t>190927K0I</t>
  </si>
  <si>
    <t xml:space="preserve">AMAZON SATA	</t>
  </si>
  <si>
    <t xml:space="preserve">190927K0I	</t>
  </si>
  <si>
    <t>1910231OHY</t>
  </si>
  <si>
    <t>1910271O77</t>
  </si>
  <si>
    <t>1394/19-20</t>
  </si>
  <si>
    <t>CK4224_004_57</t>
  </si>
  <si>
    <t xml:space="preserve"> CHANDIGARH</t>
  </si>
  <si>
    <t>HA_BC1001</t>
  </si>
  <si>
    <t>HA_BT6201</t>
  </si>
  <si>
    <t>HA_FD5001</t>
  </si>
  <si>
    <t>HA_NE6311</t>
  </si>
  <si>
    <t>ID1038_C4_M</t>
  </si>
  <si>
    <t>ID1207_C3_M</t>
  </si>
  <si>
    <t>IDS2327_C3_M</t>
  </si>
  <si>
    <t xml:space="preserve">CIVIC EYECARE	</t>
  </si>
  <si>
    <t>WITHOUT BILL SENT CHD</t>
  </si>
  <si>
    <t>FT_P428BK1_M</t>
  </si>
  <si>
    <t>AG1125_C5_52</t>
  </si>
  <si>
    <t>KDM/1920/1263</t>
  </si>
  <si>
    <t>AG1124_C1_56</t>
  </si>
  <si>
    <t>AG1137_C5_59</t>
  </si>
  <si>
    <t>AG1125_C2_52</t>
  </si>
  <si>
    <t>AG1123_C2_55</t>
  </si>
  <si>
    <t>AG1124_C4_56</t>
  </si>
  <si>
    <t>AG1104_C4_54</t>
  </si>
  <si>
    <t>AG1104_C3_54</t>
  </si>
  <si>
    <t>AG1123_C5_55</t>
  </si>
  <si>
    <t>AG1164_C1_52</t>
  </si>
  <si>
    <t>AG1171_C4_61</t>
  </si>
  <si>
    <t>AG1164_C2_52</t>
  </si>
  <si>
    <t>AG1175_C6_53</t>
  </si>
  <si>
    <t>AG1175_C3_53</t>
  </si>
  <si>
    <t>AG1171_C3_61</t>
  </si>
  <si>
    <t>AG1172_C1_58</t>
  </si>
  <si>
    <t>AG1172_C2_58</t>
  </si>
  <si>
    <t>DJ9176_C2_59</t>
  </si>
  <si>
    <t>DJ9167_C1_58</t>
  </si>
  <si>
    <t>DJ9128_C1_57</t>
  </si>
  <si>
    <t>DJ9175_C1_57</t>
  </si>
  <si>
    <t>AG1136_C4_60</t>
  </si>
  <si>
    <t>DJ9174_C5_58</t>
  </si>
  <si>
    <t>DJ9176_C1_59</t>
  </si>
  <si>
    <t>DJ9128_C3_57</t>
  </si>
  <si>
    <t>DJ9175_C3_57</t>
  </si>
  <si>
    <t>DJ9112_C1_61</t>
  </si>
  <si>
    <t>DJ9125_C2_57</t>
  </si>
  <si>
    <t>DJ9126_C1_59</t>
  </si>
  <si>
    <t>DJ9127_C7_56</t>
  </si>
  <si>
    <t>DJ9127_C3_56</t>
  </si>
  <si>
    <t>DJ9134_C4_55</t>
  </si>
  <si>
    <t>DJ9113_C1_54</t>
  </si>
  <si>
    <t>DJ9126_C6_59</t>
  </si>
  <si>
    <t>AG1144_C2_52</t>
  </si>
  <si>
    <t>AG1118_C1_52</t>
  </si>
  <si>
    <t>DJ9114_C5_59</t>
  </si>
  <si>
    <t>DJ9132_C1_57</t>
  </si>
  <si>
    <t>DJ9155_C2_59</t>
  </si>
  <si>
    <t>AG1118_C2_52</t>
  </si>
  <si>
    <t>AG1144_C4_52</t>
  </si>
  <si>
    <t>AG1153_C2_55</t>
  </si>
  <si>
    <t>DJ9111_C1_61</t>
  </si>
  <si>
    <t>DJ9155_C3_59</t>
  </si>
  <si>
    <t>DJ9132_C3_57</t>
  </si>
  <si>
    <t>ACCESSORIES(BOXES)</t>
  </si>
  <si>
    <t>2 PACKET</t>
  </si>
  <si>
    <t>MOC18709</t>
  </si>
  <si>
    <t>MOC18708</t>
  </si>
  <si>
    <t>1516/19-20</t>
  </si>
  <si>
    <t>VO3990SI_81314_55</t>
  </si>
  <si>
    <t>1517/19-20</t>
  </si>
  <si>
    <t>VO4070S_50597B_57</t>
  </si>
  <si>
    <t>FOCUS DAILIES VISITINT SPHERIC 30 - PA(DISPOSABLE CONTACT LENS)</t>
  </si>
  <si>
    <t>2 PACKET(60 PAIR)</t>
  </si>
  <si>
    <t>MOC18814</t>
  </si>
  <si>
    <t>RB3538_1879A_53</t>
  </si>
  <si>
    <t>RB3025_00251_55</t>
  </si>
  <si>
    <t>00026</t>
  </si>
  <si>
    <t>RB3025_0145_55</t>
  </si>
  <si>
    <t>RB3429M_001_58</t>
  </si>
  <si>
    <t>RB3429M_00133_58</t>
  </si>
  <si>
    <t>RB3429M_0013F_58</t>
  </si>
  <si>
    <t>00027</t>
  </si>
  <si>
    <t>RB3447_0024J_50</t>
  </si>
  <si>
    <t>RB3448_01457_63</t>
  </si>
  <si>
    <t>RB3449_0012Y_59</t>
  </si>
  <si>
    <t>00028</t>
  </si>
  <si>
    <t>RB3529_02988_61</t>
  </si>
  <si>
    <t>RB3533_00113_57</t>
  </si>
  <si>
    <t>RB4147_60132_56</t>
  </si>
  <si>
    <t>00030</t>
  </si>
  <si>
    <t>RB4147_61328G_56</t>
  </si>
  <si>
    <t>RB4147_60934M_60</t>
  </si>
  <si>
    <t>00031</t>
  </si>
  <si>
    <t>RB4165_60171_55</t>
  </si>
  <si>
    <t>RB4165_622T3_54</t>
  </si>
  <si>
    <t>RB4165_71013_55</t>
  </si>
  <si>
    <t>00032</t>
  </si>
  <si>
    <t>RB4181_601_57</t>
  </si>
  <si>
    <t>RB4181_60171_57</t>
  </si>
  <si>
    <t>RB4181_613671_58</t>
  </si>
  <si>
    <t>00033</t>
  </si>
  <si>
    <t>RB4231_894T5_65</t>
  </si>
  <si>
    <t>00034</t>
  </si>
  <si>
    <t>RB4256_60925A_49</t>
  </si>
  <si>
    <t>RB2140_90257_50</t>
  </si>
  <si>
    <t>00035</t>
  </si>
  <si>
    <t>00036</t>
  </si>
  <si>
    <t>00037</t>
  </si>
  <si>
    <t>CRKT.</t>
  </si>
  <si>
    <t>MOC19024</t>
  </si>
  <si>
    <t>MOC19115</t>
  </si>
  <si>
    <t xml:space="preserve">PROGRESSIVE PG </t>
  </si>
  <si>
    <t>MOC18860</t>
  </si>
  <si>
    <t>MOC18920</t>
  </si>
  <si>
    <t>CRHC.CROSS.</t>
  </si>
  <si>
    <t>MOC18925</t>
  </si>
  <si>
    <t>MOC19104</t>
  </si>
  <si>
    <t>MOC19205</t>
  </si>
  <si>
    <t>PGARC.</t>
  </si>
  <si>
    <t>MOC19283</t>
  </si>
  <si>
    <t>00038</t>
  </si>
  <si>
    <t>IZ279_C3_M</t>
  </si>
  <si>
    <t>DG1238_1169_54</t>
  </si>
  <si>
    <t>00039</t>
  </si>
  <si>
    <t>RB2132_6052_52</t>
  </si>
  <si>
    <t>RB2132_62423F_52</t>
  </si>
  <si>
    <t>RB2132_71051_52</t>
  </si>
  <si>
    <t>00040</t>
  </si>
  <si>
    <t>RB2132_89476_52</t>
  </si>
  <si>
    <t>00041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</si>
  <si>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</si>
  <si>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</si>
  <si>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</si>
  <si>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</si>
  <si>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</si>
  <si>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</si>
  <si>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</si>
  <si>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</si>
  <si>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</si>
  <si>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</si>
  <si>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RB3025_0024J_62</t>
  </si>
  <si>
    <t>WITHOUT BILL</t>
  </si>
  <si>
    <t>RB4179_60171_62</t>
  </si>
  <si>
    <t>DJ1817_C1_56</t>
  </si>
  <si>
    <t>KDM/1920/1265</t>
  </si>
  <si>
    <t>KAMAL DISIBUTERS ZIRAKPUR</t>
  </si>
  <si>
    <t>DJ1817_C219_56</t>
  </si>
  <si>
    <t>DJ1817_C410_56</t>
  </si>
  <si>
    <t>DJ1817_C755_56</t>
  </si>
  <si>
    <t>DJ1818_C1_55</t>
  </si>
  <si>
    <t>DJ1818_C219_53</t>
  </si>
  <si>
    <t>DJ1818_C410_53</t>
  </si>
  <si>
    <t>DJ1818_C610_55</t>
  </si>
  <si>
    <t>DJ1820_C1_52</t>
  </si>
  <si>
    <t>DJ1820_C605_54</t>
  </si>
  <si>
    <t>DJ1820_C760_54</t>
  </si>
  <si>
    <t>DJ1820_C762_54</t>
  </si>
  <si>
    <t>DJ1822_C1_50</t>
  </si>
  <si>
    <t>DJ1822_C2_52</t>
  </si>
  <si>
    <t>DJ1822_C219_52</t>
  </si>
  <si>
    <t>DJ1823_C1_54</t>
  </si>
  <si>
    <t>DJ1823_C410_54</t>
  </si>
  <si>
    <t>DJ1823_C755_55</t>
  </si>
  <si>
    <t>DJ1824_C1_53</t>
  </si>
  <si>
    <t>DJ1824_C524_54</t>
  </si>
  <si>
    <t>DJ1824_C772_54</t>
  </si>
  <si>
    <t>DJ1825_C1_55</t>
  </si>
  <si>
    <t>DJ1825_C2_55</t>
  </si>
  <si>
    <t>DJ1825_C219_53</t>
  </si>
  <si>
    <t>AB2113_C1_52</t>
  </si>
  <si>
    <t>AB2113_C369_52</t>
  </si>
  <si>
    <t>DJ2115_C227_50</t>
  </si>
  <si>
    <t>AB2117_C1_52</t>
  </si>
  <si>
    <t>AB2117_C619_54</t>
  </si>
  <si>
    <t>AB2116_C1_52</t>
  </si>
  <si>
    <t>AB2116_C588_50</t>
  </si>
  <si>
    <t>DJ2120_C1_52</t>
  </si>
  <si>
    <t>DJ2120_C493_50</t>
  </si>
  <si>
    <t>AB2109_C1_50</t>
  </si>
  <si>
    <t>AB2109_C13_52</t>
  </si>
  <si>
    <t>AB2109_C588_52</t>
  </si>
  <si>
    <t>AB2114_C1_51</t>
  </si>
  <si>
    <t>AB2114_C13_53</t>
  </si>
  <si>
    <t>DJ2112</t>
  </si>
  <si>
    <t>DJ2111_C1_52</t>
  </si>
  <si>
    <t>DJ2119_C627_52</t>
  </si>
  <si>
    <t>DJ2121_C1_52</t>
  </si>
  <si>
    <t>DJ2121_C637_54</t>
  </si>
  <si>
    <t>DJ2123_C1_49</t>
  </si>
  <si>
    <t>DJ2123_C595_49</t>
  </si>
  <si>
    <t>DJ2123_C635_47</t>
  </si>
  <si>
    <t>AB2125_C657_53</t>
  </si>
  <si>
    <t>AB2124_C455_50</t>
  </si>
  <si>
    <t>AB2124_C653_48</t>
  </si>
  <si>
    <t>DJ2126</t>
  </si>
  <si>
    <t>DJ2127_C668_49</t>
  </si>
  <si>
    <t>DJ2127</t>
  </si>
  <si>
    <t>DJ2128_C410_51</t>
  </si>
  <si>
    <t>DJ2128_C524_51</t>
  </si>
  <si>
    <t>DJ2129_C705_52</t>
  </si>
  <si>
    <t>DJ2131_C720_56</t>
  </si>
  <si>
    <t>AB2086_C234_53</t>
  </si>
  <si>
    <t>AB2086_C559_53</t>
  </si>
  <si>
    <t>AB2085_C1_53</t>
  </si>
  <si>
    <t>AB2085_C225_53</t>
  </si>
  <si>
    <t>AB2093_C455_51</t>
  </si>
  <si>
    <t>AB2093_C457_51</t>
  </si>
  <si>
    <t>DJ2107</t>
  </si>
  <si>
    <t>DJ2106_C227_48</t>
  </si>
  <si>
    <t>DJ2106</t>
  </si>
  <si>
    <t>DJ2105_C1_54</t>
  </si>
  <si>
    <t>DJ2105_C571_54</t>
  </si>
  <si>
    <t>DJ2105_C734_54</t>
  </si>
  <si>
    <t>DJ2104_C1_52</t>
  </si>
  <si>
    <t>DJ2104_C548_54</t>
  </si>
  <si>
    <t>DJ2104</t>
  </si>
  <si>
    <t>DJ1804_C606_52</t>
  </si>
  <si>
    <t>DJ1802_C112_52</t>
  </si>
  <si>
    <t>DJ1802_C593_52</t>
  </si>
  <si>
    <t>DJ1803_C603_53</t>
  </si>
  <si>
    <t>DJ1805_C589_51</t>
  </si>
  <si>
    <t>DJ1805_C611_51</t>
  </si>
  <si>
    <t>DJ1806_C219_53</t>
  </si>
  <si>
    <t>DJ1806_C605_55</t>
  </si>
  <si>
    <t>DJ1809_C610_53</t>
  </si>
  <si>
    <t>DJ1809</t>
  </si>
  <si>
    <t>DJ1808_C609_52</t>
  </si>
  <si>
    <t>DJ1808</t>
  </si>
  <si>
    <t>DJ1810_C613_48</t>
  </si>
  <si>
    <t>DJ1810</t>
  </si>
  <si>
    <t>DJ1811_C710_53</t>
  </si>
  <si>
    <t>DJ1811</t>
  </si>
  <si>
    <t>DJ1815_C1_56</t>
  </si>
  <si>
    <t>DJ1815_C219_56</t>
  </si>
  <si>
    <t>DJ1815_C410_56</t>
  </si>
  <si>
    <t>DJ1815_C524_56</t>
  </si>
  <si>
    <t>AB2082_C171_53</t>
  </si>
  <si>
    <t>AB2082</t>
  </si>
  <si>
    <t>AB2081_C456_51</t>
  </si>
  <si>
    <t>AB2081_C456_53</t>
  </si>
  <si>
    <t>AB2081_C458_53</t>
  </si>
  <si>
    <t>AB2081_C459_53</t>
  </si>
  <si>
    <t>AB2078_C307_52</t>
  </si>
  <si>
    <t>DJ2078</t>
  </si>
  <si>
    <t>DJ2079_ C2_55</t>
  </si>
  <si>
    <t>DJ2079_C409_53</t>
  </si>
  <si>
    <t>DJ2079_C572_55</t>
  </si>
  <si>
    <t>DJ2031_C268_52</t>
  </si>
  <si>
    <t>DJ2031_C334_52</t>
  </si>
  <si>
    <t>DJ2031</t>
  </si>
  <si>
    <t>DJ2030_C206_54</t>
  </si>
  <si>
    <t>DJ2030_C262_52</t>
  </si>
  <si>
    <t>DJ2030_C616_52</t>
  </si>
  <si>
    <t>DJ2029</t>
  </si>
  <si>
    <t>DJ2029_C223_53</t>
  </si>
  <si>
    <t>DJ2028_C262_52</t>
  </si>
  <si>
    <t>DJ2028_C395_52</t>
  </si>
  <si>
    <t>DJ2028</t>
  </si>
  <si>
    <t>DJ2027_C41_53</t>
  </si>
  <si>
    <t>DJ2027_C161_51</t>
  </si>
  <si>
    <t>AB2026_C42_53</t>
  </si>
  <si>
    <t>AB2026_C223_53</t>
  </si>
  <si>
    <t>AB2026_C262_53</t>
  </si>
  <si>
    <t>DJ2025_C157_54</t>
  </si>
  <si>
    <t>DJ2025_C262_52</t>
  </si>
  <si>
    <t>DJ2025</t>
  </si>
  <si>
    <t>DJ2021_C410_46</t>
  </si>
  <si>
    <t>DJ2021</t>
  </si>
  <si>
    <t>DJ2020</t>
  </si>
  <si>
    <t>DJ2018_C206_48</t>
  </si>
  <si>
    <t>DJ2018</t>
  </si>
  <si>
    <t>DJ2016_C76_53</t>
  </si>
  <si>
    <t>DJ2016_C79_53</t>
  </si>
  <si>
    <t>DJ2016_C181_53</t>
  </si>
  <si>
    <t>DJ2017</t>
  </si>
  <si>
    <t>DJ2015_C219_54</t>
  </si>
  <si>
    <t>DJ2015_C255_52</t>
  </si>
  <si>
    <t>DJ2015</t>
  </si>
  <si>
    <t>DJ2013_C1_52</t>
  </si>
  <si>
    <t>DJ2013_C1_54</t>
  </si>
  <si>
    <t>DJ2013</t>
  </si>
  <si>
    <t>DJ2012_C2_51</t>
  </si>
  <si>
    <t>DJ2012_C75_53</t>
  </si>
  <si>
    <t>DJ2012_C118_51</t>
  </si>
  <si>
    <t>DJ2011_C2_50</t>
  </si>
  <si>
    <t>DJ2011_C97_50</t>
  </si>
  <si>
    <t>DJ2011_C393_52</t>
  </si>
  <si>
    <t>DJ2138_C1_53</t>
  </si>
  <si>
    <t>DJ2138_C409_55</t>
  </si>
  <si>
    <t>DJ2138_C410_55</t>
  </si>
  <si>
    <t>DJ2139_C720_53</t>
  </si>
  <si>
    <t>DJ2139_C723_55</t>
  </si>
  <si>
    <t>DJ2139_C730_55</t>
  </si>
  <si>
    <t>DJ2134_C1_52</t>
  </si>
  <si>
    <t>DJ2134_C227_52</t>
  </si>
  <si>
    <t>DJ2134</t>
  </si>
  <si>
    <t>AB2145_C777_54</t>
  </si>
  <si>
    <t>AB2145_C1_52</t>
  </si>
  <si>
    <t>AB2145_C2_52</t>
  </si>
  <si>
    <t>AB2054_C369_53</t>
  </si>
  <si>
    <t>AB2054_C243_53</t>
  </si>
  <si>
    <t>DJ2053</t>
  </si>
  <si>
    <t>DJ2052_C1_50</t>
  </si>
  <si>
    <t>DJ2052_C225_50</t>
  </si>
  <si>
    <t>DJ2052_C226_50</t>
  </si>
  <si>
    <t>DJ2051_C697_52</t>
  </si>
  <si>
    <t>DJ2051</t>
  </si>
  <si>
    <t>AB2041_C318_52</t>
  </si>
  <si>
    <t>AB2041_C319_52</t>
  </si>
  <si>
    <t>AB2039_C575_52</t>
  </si>
  <si>
    <t>AB2039_C684_52</t>
  </si>
  <si>
    <t>AB2039_C685_52</t>
  </si>
  <si>
    <t>AB2038_C420_50</t>
  </si>
  <si>
    <t>DJ2047_C262_54</t>
  </si>
  <si>
    <t>DJ2046</t>
  </si>
  <si>
    <t>DJ2044_C8_51</t>
  </si>
  <si>
    <t>DJ2043_C259_53</t>
  </si>
  <si>
    <t>AB2042_C273_53</t>
  </si>
  <si>
    <t>AB2042_C296_53</t>
  </si>
  <si>
    <t>AB2042_C664_53</t>
  </si>
  <si>
    <t>DJ2034_C39_51</t>
  </si>
  <si>
    <t>DJ2034_C188_51</t>
  </si>
  <si>
    <t>AB2033_C161_52</t>
  </si>
  <si>
    <t>AB2033_C162_52</t>
  </si>
  <si>
    <t>AB2033_C171_52</t>
  </si>
  <si>
    <t>AB2033_C262_52</t>
  </si>
  <si>
    <t>DJ2036</t>
  </si>
  <si>
    <t>DJ2132_C1_55</t>
  </si>
  <si>
    <t>DJ2133_C1_53</t>
  </si>
  <si>
    <t>DJ2133_C645_55</t>
  </si>
  <si>
    <t>AB2135_C720_51</t>
  </si>
  <si>
    <t>AB2135_C738_51</t>
  </si>
  <si>
    <t>AB2135_C743_53</t>
  </si>
  <si>
    <t>DJ2137_C1_54</t>
  </si>
  <si>
    <t>DJ2137_C705_54</t>
  </si>
  <si>
    <t>DJ2137_C734_56</t>
  </si>
  <si>
    <t>AB2077_C241_52</t>
  </si>
  <si>
    <t>AB2077_C372_52</t>
  </si>
  <si>
    <t>DJ2075_C282_56</t>
  </si>
  <si>
    <t>DJ2075_C357_56</t>
  </si>
  <si>
    <t>DJ2074_C487_52</t>
  </si>
  <si>
    <t>DJ2073_C13_50</t>
  </si>
  <si>
    <t>DJ2073_C219_48</t>
  </si>
  <si>
    <t>DJ2073</t>
  </si>
  <si>
    <t>AB2071_C97_51</t>
  </si>
  <si>
    <t>AB2071_C386_51</t>
  </si>
  <si>
    <t>AB2071_C13_53</t>
  </si>
  <si>
    <t>AB2072_C389_50</t>
  </si>
  <si>
    <t>AB2072_C1_50</t>
  </si>
  <si>
    <t>DJ2069_C1_49</t>
  </si>
  <si>
    <t>AB2067_C338_52</t>
  </si>
  <si>
    <t>AB2067_C335_50</t>
  </si>
  <si>
    <t>DJ2065_C1_52</t>
  </si>
  <si>
    <t>DJ2065</t>
  </si>
  <si>
    <t>DJ2064</t>
  </si>
  <si>
    <t>DJ2063_C1_52</t>
  </si>
  <si>
    <t>DJ2063_C651_52</t>
  </si>
  <si>
    <t>DJ2062_C329_53</t>
  </si>
  <si>
    <t>DJ2062_C548_55</t>
  </si>
  <si>
    <t>DJ2062_C630_53</t>
  </si>
  <si>
    <t>AB2060_C1_50</t>
  </si>
  <si>
    <t>AB2060_C368_50</t>
  </si>
  <si>
    <t>AB2060_C559_52</t>
  </si>
  <si>
    <t>AB2059_C371_51</t>
  </si>
  <si>
    <t>AB2059_C240_51</t>
  </si>
  <si>
    <t>AB2059_C234_51</t>
  </si>
  <si>
    <t>AB2059_C236_51</t>
  </si>
  <si>
    <t>AB2059_C239_51</t>
  </si>
  <si>
    <t>AB2058_C1_53</t>
  </si>
  <si>
    <t>AB2058_C243_53</t>
  </si>
  <si>
    <t>AB2058_C559_53</t>
  </si>
  <si>
    <t>AB2058_C614_53</t>
  </si>
  <si>
    <t>AB2056_C245_53</t>
  </si>
  <si>
    <t>AB2056_C39_53</t>
  </si>
  <si>
    <t>AB2056_C244_51</t>
  </si>
  <si>
    <t>AB2027_C442_51</t>
  </si>
  <si>
    <t>DJ2032_C212_51</t>
  </si>
  <si>
    <t>DJ2032_C219_51</t>
  </si>
  <si>
    <t>DJ2032_C410_51</t>
  </si>
  <si>
    <t>OP2104_C31_M</t>
  </si>
  <si>
    <t>KDM/1920/1275</t>
  </si>
  <si>
    <t>OP2101_C109_M</t>
  </si>
  <si>
    <t>OP2105_C01_M</t>
  </si>
  <si>
    <t>OP2102_C31_M</t>
  </si>
  <si>
    <t>OP2134_C01_M</t>
  </si>
  <si>
    <t>OP2124_C04_M</t>
  </si>
  <si>
    <t>OP2134_C04_M</t>
  </si>
  <si>
    <t>OP2100_C01_M</t>
  </si>
  <si>
    <t>OP2124_C02_M</t>
  </si>
  <si>
    <t>OP2170_C44_M</t>
  </si>
  <si>
    <t>OP2171_C01_M</t>
  </si>
  <si>
    <t>OP2103_C94_M</t>
  </si>
  <si>
    <t>OP2170_C46_M</t>
  </si>
  <si>
    <t>OP2172_C01_M</t>
  </si>
  <si>
    <t xml:space="preserve"> KAMAL DISIBUTERS ZIRAKPUR</t>
  </si>
  <si>
    <t>KDM/1920/1288</t>
  </si>
  <si>
    <t>DJ9034_C2_46</t>
  </si>
  <si>
    <t>DJ9043_C2_50</t>
  </si>
  <si>
    <t>DJ9044_C1_49</t>
  </si>
  <si>
    <t>DJ9044_C3_49</t>
  </si>
  <si>
    <t>DJ9038_C3_46</t>
  </si>
  <si>
    <t>DJ9079_C3_52</t>
  </si>
  <si>
    <t>DJ9079_C4_52</t>
  </si>
  <si>
    <t>DJ9079_C5_52</t>
  </si>
  <si>
    <t>DJ9061_C2_53</t>
  </si>
  <si>
    <t>DJ9061_C3_53</t>
  </si>
  <si>
    <t>DJ9061_C4_53</t>
  </si>
  <si>
    <t>DJ9061_C5_53</t>
  </si>
  <si>
    <t>DJ9062_C1_54</t>
  </si>
  <si>
    <t>DJ9053_C1_50</t>
  </si>
  <si>
    <t>DJ9053_C6_50</t>
  </si>
  <si>
    <t>DJ9057_C1_54</t>
  </si>
  <si>
    <t>DJ9063_C1_53</t>
  </si>
  <si>
    <t>DJ9063_C5_53</t>
  </si>
  <si>
    <t>DJ9063</t>
  </si>
  <si>
    <t>DJ9051_C2_53</t>
  </si>
  <si>
    <t>DJ9051_C3_53</t>
  </si>
  <si>
    <t>DJ9051_C4_53</t>
  </si>
  <si>
    <t>AB1134_C4_52</t>
  </si>
  <si>
    <t>KDM/1920/1294</t>
  </si>
  <si>
    <t>DJ1088</t>
  </si>
  <si>
    <t>AB1093</t>
  </si>
  <si>
    <t>AB1101</t>
  </si>
  <si>
    <t>AB1105_C1_51</t>
  </si>
  <si>
    <t>AB1105</t>
  </si>
  <si>
    <t>AB1119_C1_55</t>
  </si>
  <si>
    <t>AB1122_C2_53</t>
  </si>
  <si>
    <t>AB1122_C4_53</t>
  </si>
  <si>
    <t>AB1122</t>
  </si>
  <si>
    <t>AB1126</t>
  </si>
  <si>
    <t>DJ9046_C2_47</t>
  </si>
  <si>
    <t>DJ9085_C5_48</t>
  </si>
  <si>
    <t>DJ9085_C6_48</t>
  </si>
  <si>
    <t>AB1134_C5_52</t>
  </si>
  <si>
    <t>AB1134_C6_52</t>
  </si>
  <si>
    <t>AB1087_C2_53</t>
  </si>
  <si>
    <t>AB1134</t>
  </si>
  <si>
    <t>DJ9091_C3_53</t>
  </si>
  <si>
    <t>DJ9097_C2_48</t>
  </si>
  <si>
    <t>DJ9058_C2_51</t>
  </si>
  <si>
    <t>DJ9049_C4_51</t>
  </si>
  <si>
    <t>DJ9115_C4_49</t>
  </si>
  <si>
    <t>DJ9141_C3_53</t>
  </si>
  <si>
    <t>DJ9050_C1_52</t>
  </si>
  <si>
    <t>DJ9050_C3_52</t>
  </si>
  <si>
    <t>DJ9050_C4_52</t>
  </si>
  <si>
    <t>DJ9048</t>
  </si>
  <si>
    <t>DJ5902_C2_53</t>
  </si>
  <si>
    <t>DJ5902_C3_53</t>
  </si>
  <si>
    <t>DJ5902_C4_53</t>
  </si>
  <si>
    <t>DJ9025_C1_54</t>
  </si>
  <si>
    <t>DJ9025_C2_54</t>
  </si>
  <si>
    <t>DJ9025_C3_54</t>
  </si>
  <si>
    <t>DJ9025_C5_54</t>
  </si>
  <si>
    <t>DJ9022_C4_53</t>
  </si>
  <si>
    <t>DJ9035_C4_54</t>
  </si>
  <si>
    <t>DJ9035</t>
  </si>
  <si>
    <t>AB1120_C4_50</t>
  </si>
  <si>
    <t>AB1120_C5_50</t>
  </si>
  <si>
    <t>AB1138_C1_52</t>
  </si>
  <si>
    <t>AB1110_C1_53</t>
  </si>
  <si>
    <t>AB1110_C5_53</t>
  </si>
  <si>
    <t>AB1131_C4_52</t>
  </si>
  <si>
    <t>AB1145_C5_47</t>
  </si>
  <si>
    <t>AB1145</t>
  </si>
  <si>
    <t>AB1133</t>
  </si>
  <si>
    <t>AB1142_C3_50</t>
  </si>
  <si>
    <t>AB1109</t>
  </si>
  <si>
    <t>AB1127_C2_53</t>
  </si>
  <si>
    <t>AB1127_C5_53</t>
  </si>
  <si>
    <t>AB1129_C1_54</t>
  </si>
  <si>
    <t>AB1132_C3_51</t>
  </si>
  <si>
    <t>AB1084_C1_53</t>
  </si>
  <si>
    <t>AB1084_C4_53</t>
  </si>
  <si>
    <t>AB1135_C3_51</t>
  </si>
  <si>
    <t>AB1135</t>
  </si>
  <si>
    <t>AB1094_C4_53</t>
  </si>
  <si>
    <t>DJ1094</t>
  </si>
  <si>
    <t>AB1143_C5_51</t>
  </si>
  <si>
    <t>AB1143</t>
  </si>
  <si>
    <t>DJ9088_C1_53</t>
  </si>
  <si>
    <t>DJ9088_C2_53</t>
  </si>
  <si>
    <t>DJ5913</t>
  </si>
  <si>
    <t>DJ5914_C1_46</t>
  </si>
  <si>
    <t>AB1168_C1_54</t>
  </si>
  <si>
    <t>AB1168_C2_54</t>
  </si>
  <si>
    <t>AB1168_C3_54</t>
  </si>
  <si>
    <t>AB1168_C5_54</t>
  </si>
  <si>
    <t>DJ9165_C2_55</t>
  </si>
  <si>
    <t>DJ9165_C4_55</t>
  </si>
  <si>
    <t>DJ9165_C5_55</t>
  </si>
  <si>
    <t>DJ9164_C1_57</t>
  </si>
  <si>
    <t>DJ9164</t>
  </si>
  <si>
    <t>AB1167_C1_53</t>
  </si>
  <si>
    <t>AB1167_C2_53</t>
  </si>
  <si>
    <t>AB1166_C4_54</t>
  </si>
  <si>
    <t>AB1166</t>
  </si>
  <si>
    <t>AB1169_C1_53</t>
  </si>
  <si>
    <t>AB1169_C2_53</t>
  </si>
  <si>
    <t>AB1169_C5_53</t>
  </si>
  <si>
    <t>AB1165_C2_55</t>
  </si>
  <si>
    <t>AB1165</t>
  </si>
  <si>
    <t>AB1173_C1_53</t>
  </si>
  <si>
    <t>AB1173_C2_53</t>
  </si>
  <si>
    <t>AB1173_C3_53</t>
  </si>
  <si>
    <t>DJ9154_C3_55</t>
  </si>
  <si>
    <t>DJ9154_C4_55</t>
  </si>
  <si>
    <t>DJ9166_C1_52</t>
  </si>
  <si>
    <t>DJ9166_C2_52</t>
  </si>
  <si>
    <t>DJ9166_C3_52</t>
  </si>
  <si>
    <t>DJ9166_C4_52</t>
  </si>
  <si>
    <t>DJ9171_C3_56</t>
  </si>
  <si>
    <t>DJ9171_C4_56</t>
  </si>
  <si>
    <t>DJ9172_C1_56</t>
  </si>
  <si>
    <t>DJ9172_C2_56</t>
  </si>
  <si>
    <t>DJ9172_C3_56</t>
  </si>
  <si>
    <t>DJ9172_C6_56</t>
  </si>
  <si>
    <t>DJ9172_C7_56</t>
  </si>
  <si>
    <t>DJ9203</t>
  </si>
  <si>
    <t>DJ9204</t>
  </si>
  <si>
    <t>DJ9205</t>
  </si>
  <si>
    <t>DJ9192_C1_59</t>
  </si>
  <si>
    <t>DJ9192_C2_59</t>
  </si>
  <si>
    <t>DJ9192_C3_59</t>
  </si>
  <si>
    <t>DJ9193_C1_54</t>
  </si>
  <si>
    <t>DJ9193_C2_54</t>
  </si>
  <si>
    <t>DJ9193_C3_54</t>
  </si>
  <si>
    <t>DJ9193_C4_54</t>
  </si>
  <si>
    <t>DJ9194_C1_48</t>
  </si>
  <si>
    <t>DJ9194_C2_48</t>
  </si>
  <si>
    <t>DJ9194_C3_48</t>
  </si>
  <si>
    <t>DJ9196_C2_54</t>
  </si>
  <si>
    <t>DJ9196_C3_54</t>
  </si>
  <si>
    <t>DJ9196_C4_54</t>
  </si>
  <si>
    <t>DJ9196_C5_54</t>
  </si>
  <si>
    <t>DJ9202_C1_49</t>
  </si>
  <si>
    <t>DJ9202_C2_49</t>
  </si>
  <si>
    <t>AB1158_C3_52</t>
  </si>
  <si>
    <t>AB1158_C4_52</t>
  </si>
  <si>
    <t>AB1159_C1_50</t>
  </si>
  <si>
    <t>AB1159_C2_50</t>
  </si>
  <si>
    <t>AB1159_C4_50</t>
  </si>
  <si>
    <t>AB1163_C3_52</t>
  </si>
  <si>
    <t>AB4012_DEMI_53</t>
  </si>
  <si>
    <t>AB4017_BLACK_52</t>
  </si>
  <si>
    <t>DJ9027_C2_54</t>
  </si>
  <si>
    <t>DJ9123_C1_49</t>
  </si>
  <si>
    <t>DJ9124_C3_52</t>
  </si>
  <si>
    <t>DJ9124_C6_52</t>
  </si>
  <si>
    <t>DJ9129_C1_55</t>
  </si>
  <si>
    <t>DJ9158_C1_48</t>
  </si>
  <si>
    <t>DJ9158_C2_48</t>
  </si>
  <si>
    <t>DJ9162_C3_50</t>
  </si>
  <si>
    <t>DJ9162_C4_50</t>
  </si>
  <si>
    <t>DJ9162_C6_50</t>
  </si>
  <si>
    <t>DJ9150_C4_53</t>
  </si>
  <si>
    <t>DJ9151_C3_54</t>
  </si>
  <si>
    <t>DJ9152_C2_55</t>
  </si>
  <si>
    <t>DJ9168</t>
  </si>
  <si>
    <t>DJ9177_C1_53</t>
  </si>
  <si>
    <t>DJ9177_C2_53</t>
  </si>
  <si>
    <t>DJ9177_C3_53</t>
  </si>
  <si>
    <t>DJ9177_C4_53</t>
  </si>
  <si>
    <t>DJ9177_C5_53</t>
  </si>
  <si>
    <t>DJ9182_C2_57</t>
  </si>
  <si>
    <t>DJ9182_C3_57</t>
  </si>
  <si>
    <t>DJ9182_C4_57</t>
  </si>
  <si>
    <t>DJ9182_C5_57</t>
  </si>
  <si>
    <t>DJ5917_C1_51</t>
  </si>
  <si>
    <t>DJ5917_C2_51</t>
  </si>
  <si>
    <t>AB1102_C3_53</t>
  </si>
  <si>
    <t xml:space="preserve">DJ1088 </t>
  </si>
  <si>
    <t xml:space="preserve">AB1093 </t>
  </si>
  <si>
    <t xml:space="preserve">AB1094 </t>
  </si>
  <si>
    <t xml:space="preserve">AB1100 </t>
  </si>
  <si>
    <t xml:space="preserve">AB1101 </t>
  </si>
  <si>
    <t xml:space="preserve">AB1124 </t>
  </si>
  <si>
    <t xml:space="preserve">AB1130 </t>
  </si>
  <si>
    <t>AB2026</t>
  </si>
  <si>
    <t>AB2027</t>
  </si>
  <si>
    <t>AB2039</t>
  </si>
  <si>
    <t>AB2041</t>
  </si>
  <si>
    <t>AB2054</t>
  </si>
  <si>
    <t>AB2056</t>
  </si>
  <si>
    <t>AB2059</t>
  </si>
  <si>
    <t>AB2060</t>
  </si>
  <si>
    <t>AB2072</t>
  </si>
  <si>
    <t>AB2077</t>
  </si>
  <si>
    <t>AB2081</t>
  </si>
  <si>
    <t>AB2085</t>
  </si>
  <si>
    <t>AB2086</t>
  </si>
  <si>
    <t>AB2113</t>
  </si>
  <si>
    <t>AB2135</t>
  </si>
  <si>
    <t>DJ1803</t>
  </si>
  <si>
    <t>DJ1804</t>
  </si>
  <si>
    <t>DJ1806</t>
  </si>
  <si>
    <t xml:space="preserve">DJ1810 </t>
  </si>
  <si>
    <t>DJ1817</t>
  </si>
  <si>
    <t>DJ1818</t>
  </si>
  <si>
    <t>DJ2012</t>
  </si>
  <si>
    <t>DJ2027</t>
  </si>
  <si>
    <t xml:space="preserve">DJ2032 </t>
  </si>
  <si>
    <t>AB2063</t>
  </si>
  <si>
    <t>DJ2105</t>
  </si>
  <si>
    <t>DJ2123</t>
  </si>
  <si>
    <t>DJ9034</t>
  </si>
  <si>
    <t>DJ9051</t>
  </si>
  <si>
    <t>DJ9061</t>
  </si>
  <si>
    <t>DJ9085</t>
  </si>
  <si>
    <t xml:space="preserve">DJ9113 </t>
  </si>
  <si>
    <t>DJ9126</t>
  </si>
  <si>
    <t>DJ9128</t>
  </si>
  <si>
    <t>DJ9158</t>
  </si>
  <si>
    <t>LUX0537</t>
  </si>
  <si>
    <t xml:space="preserve">LUX0537	</t>
  </si>
  <si>
    <t>Modern Optical(DAMAGE PCS)</t>
  </si>
  <si>
    <t xml:space="preserve">LUX0537		</t>
  </si>
  <si>
    <t xml:space="preserve">VO3845_548_52								</t>
  </si>
  <si>
    <t xml:space="preserve">VO3991S_35211_58								</t>
  </si>
  <si>
    <t>"LUX0537		"</t>
  </si>
  <si>
    <t xml:space="preserve">BLUECUT KT								</t>
  </si>
  <si>
    <t>3 Pcs.</t>
  </si>
  <si>
    <t xml:space="preserve">MOC20421		</t>
  </si>
  <si>
    <t xml:space="preserve">BLUERAY ARC 1.60								</t>
  </si>
  <si>
    <t>2 Pcs.</t>
  </si>
  <si>
    <t>MOC20421</t>
  </si>
  <si>
    <t xml:space="preserve">B &amp; L SOFTLENS TORIC								</t>
  </si>
  <si>
    <t xml:space="preserve">COATING								</t>
  </si>
  <si>
    <t>4 Pcs.</t>
  </si>
  <si>
    <t xml:space="preserve">MOC20718		</t>
  </si>
  <si>
    <t xml:space="preserve">ARC								</t>
  </si>
  <si>
    <t xml:space="preserve">CRKT								</t>
  </si>
  <si>
    <t xml:space="preserve">WHITE GLASS								</t>
  </si>
  <si>
    <t xml:space="preserve">CR HC								</t>
  </si>
  <si>
    <t>MOC21148</t>
  </si>
  <si>
    <t>MOC21081</t>
  </si>
  <si>
    <t>1655/19-20</t>
  </si>
  <si>
    <t>WITHOUT BILL PCS 31_1_2020</t>
  </si>
  <si>
    <t>RB7059_6018G_55</t>
  </si>
  <si>
    <t>MOC21669</t>
  </si>
  <si>
    <t>MOC21836</t>
  </si>
  <si>
    <t>6LINE PGKT</t>
  </si>
  <si>
    <t>MOC22043</t>
  </si>
  <si>
    <t>MOC22158</t>
  </si>
  <si>
    <t>BLUECUT ARC</t>
  </si>
  <si>
    <t>MOC22257</t>
  </si>
  <si>
    <t xml:space="preserve">ASPHERIC SUPROL CRHC. </t>
  </si>
  <si>
    <t>MOC22356</t>
  </si>
  <si>
    <t>SPECTACLE BOX</t>
  </si>
  <si>
    <t>MOC22695</t>
  </si>
  <si>
    <t>MOC22918</t>
  </si>
  <si>
    <t>MOC22917</t>
  </si>
  <si>
    <t xml:space="preserve">Amazon Seller Services Pvt Ltd					</t>
  </si>
  <si>
    <t xml:space="preserve">Amazon Seller Services Pvt Ltd	</t>
  </si>
  <si>
    <t xml:space="preserve">FT_C046BR3_M								</t>
  </si>
  <si>
    <t xml:space="preserve">DL5107O_002_55								</t>
  </si>
  <si>
    <t xml:space="preserve">DJ2010_C48_53								</t>
  </si>
  <si>
    <t xml:space="preserve">FT_C057BR1F_M								</t>
  </si>
  <si>
    <t xml:space="preserve">FT_P360BR4_M								</t>
  </si>
  <si>
    <t xml:space="preserve">TH2519_C2_54								</t>
  </si>
  <si>
    <t xml:space="preserve">FT_M035GY1_M								</t>
  </si>
  <si>
    <t xml:space="preserve">FT_P294BU2_M								</t>
  </si>
  <si>
    <t xml:space="preserve">VO2925BI_W44_51								</t>
  </si>
  <si>
    <t xml:space="preserve">VO5119S_W65613_56								</t>
  </si>
  <si>
    <t xml:space="preserve">VO5183S_W4411_58								</t>
  </si>
  <si>
    <t xml:space="preserve">VO3843_813_50								</t>
  </si>
  <si>
    <t xml:space="preserve">VO5119S_W445A_56								</t>
  </si>
  <si>
    <t xml:space="preserve">VO5166S_W4411_51								</t>
  </si>
  <si>
    <t xml:space="preserve">FT_M050BR5_M								</t>
  </si>
  <si>
    <t xml:space="preserve">VO3843_756_50								</t>
  </si>
  <si>
    <t xml:space="preserve">VO3982S_84813_58								</t>
  </si>
  <si>
    <t xml:space="preserve">VO3950S_323S11_58								</t>
  </si>
  <si>
    <t xml:space="preserve">VO3991S_81314_58								</t>
  </si>
  <si>
    <t xml:space="preserve">VO5008S_236214_57								</t>
  </si>
  <si>
    <t xml:space="preserve">VO5009BI_16478H_58								</t>
  </si>
  <si>
    <t xml:space="preserve">FT_P323BK1_M								</t>
  </si>
  <si>
    <t xml:space="preserve">FT_P299OR2_M								</t>
  </si>
  <si>
    <t xml:space="preserve">VO5120_W44_52								</t>
  </si>
  <si>
    <t xml:space="preserve">VO5118SI_247214_57								</t>
  </si>
  <si>
    <t xml:space="preserve">FT_P315GR4P_M								</t>
  </si>
  <si>
    <t xml:space="preserve">VO5211S_W4487_54								</t>
  </si>
  <si>
    <t xml:space="preserve">VO2950_2048_53								</t>
  </si>
  <si>
    <t xml:space="preserve">VO5205S_25547_66								</t>
  </si>
  <si>
    <t xml:space="preserve">FT_P308BR3F_M								</t>
  </si>
  <si>
    <t xml:space="preserve">FT_P322BK3P_M								</t>
  </si>
  <si>
    <t xml:space="preserve">VO2924BI_2065_51								</t>
  </si>
  <si>
    <t xml:space="preserve">FT_P315OR2_M								</t>
  </si>
  <si>
    <t xml:space="preserve">FT_P313PR2F_M								</t>
  </si>
  <si>
    <t xml:space="preserve">FT_P357BR3_M								</t>
  </si>
  <si>
    <t xml:space="preserve">TH2530_C2_51								</t>
  </si>
  <si>
    <t xml:space="preserve">IDS2508_C8_58								</t>
  </si>
  <si>
    <t xml:space="preserve">FT_M050BU2_M								</t>
  </si>
  <si>
    <t xml:space="preserve">FT_P314BR3_M								</t>
  </si>
  <si>
    <t xml:space="preserve">FT_P335BR1F_M								</t>
  </si>
  <si>
    <t xml:space="preserve">FT_P358BU3_M								</t>
  </si>
  <si>
    <t xml:space="preserve">FT_U005YL5F_M								</t>
  </si>
  <si>
    <t xml:space="preserve">KC0212_052_54								</t>
  </si>
  <si>
    <t xml:space="preserve">FT_PC001BK5_M								</t>
  </si>
  <si>
    <t xml:space="preserve">FT_P161BR1F_M								</t>
  </si>
  <si>
    <t xml:space="preserve">KC1253S_52F_60								</t>
  </si>
  <si>
    <t xml:space="preserve">VO2940S_229648_58								</t>
  </si>
  <si>
    <t xml:space="preserve"> KC1234_53F_62								</t>
  </si>
  <si>
    <t xml:space="preserve">VO2843S_227811_56								</t>
  </si>
  <si>
    <t xml:space="preserve">PA7058_C03_M								</t>
  </si>
  <si>
    <t xml:space="preserve">FT_PC001BR23_M								</t>
  </si>
  <si>
    <t xml:space="preserve">FT_P322BR2_M								</t>
  </si>
  <si>
    <t xml:space="preserve">FT_M143BK2_M								</t>
  </si>
  <si>
    <t xml:space="preserve">FT_P302BR2_M								</t>
  </si>
  <si>
    <t xml:space="preserve">FT_P323BU2_M								</t>
  </si>
  <si>
    <t xml:space="preserve">VO2950_2048_51								</t>
  </si>
  <si>
    <t xml:space="preserve">FT_P302BK1_M								</t>
  </si>
  <si>
    <t xml:space="preserve">KC1288_08B_58								</t>
  </si>
  <si>
    <t xml:space="preserve">IDS2351_C3_56								</t>
  </si>
  <si>
    <t xml:space="preserve">IDS2399_C3_49								</t>
  </si>
  <si>
    <t xml:space="preserve">TH2544_C1_60								</t>
  </si>
  <si>
    <t xml:space="preserve">TH2543_C4_59								</t>
  </si>
  <si>
    <t xml:space="preserve">TH9000_C4_49								</t>
  </si>
  <si>
    <t xml:space="preserve">TH2514_C2_53								</t>
  </si>
  <si>
    <t xml:space="preserve">TH2536_C1_55								</t>
  </si>
  <si>
    <t xml:space="preserve">TH2536_C2_55								</t>
  </si>
  <si>
    <t xml:space="preserve">IDS2508_C2_58								</t>
  </si>
  <si>
    <t xml:space="preserve">ID1520_C3_50								</t>
  </si>
  <si>
    <t xml:space="preserve">IDS2490_C1_60								</t>
  </si>
  <si>
    <t xml:space="preserve">IDS2401_C7_52								</t>
  </si>
  <si>
    <t xml:space="preserve">FT_PC001BK4_M								</t>
  </si>
  <si>
    <t>INB1913B_C3_S</t>
  </si>
  <si>
    <t>INB1912D_C2_S</t>
  </si>
  <si>
    <t>INB1907D_C3_S</t>
  </si>
  <si>
    <t>(in Bill Two Pc Rec. But Phy 1pc Rec)</t>
  </si>
  <si>
    <t>VO3955BI_280_49</t>
  </si>
  <si>
    <t xml:space="preserve">FT_P101BR2_M								</t>
  </si>
  <si>
    <t xml:space="preserve">IDS2489_C3_59 </t>
  </si>
  <si>
    <t>INB2802A_C3_S</t>
  </si>
  <si>
    <t>INB2940B_C1_S</t>
  </si>
  <si>
    <t>MOC21462</t>
  </si>
  <si>
    <t>MOC22453</t>
  </si>
  <si>
    <t>PROGRESSIVE PG ARC</t>
  </si>
  <si>
    <t>MOC23020</t>
  </si>
  <si>
    <t>MOC23197</t>
  </si>
  <si>
    <t>JUST Near Vision</t>
  </si>
  <si>
    <t>MOC23314</t>
  </si>
  <si>
    <t>PROGRESSIVE GREEN COATING</t>
  </si>
  <si>
    <t>MOC23514</t>
  </si>
  <si>
    <t xml:space="preserve">GREEN COATING COLOUR </t>
  </si>
  <si>
    <t>MOC23515</t>
  </si>
  <si>
    <t>SPECTACLE FRAMES (CODE-CT)</t>
  </si>
  <si>
    <t>2019/20-465</t>
  </si>
  <si>
    <t>H.K. ENTERPRISES</t>
  </si>
  <si>
    <t>SPECTACLE FRAMES (CODE-TX)</t>
  </si>
  <si>
    <t>SPECTACLE FRAMES (CODE-SX)</t>
  </si>
  <si>
    <t>CUP GOOGLES</t>
  </si>
  <si>
    <t>MOC23747</t>
  </si>
  <si>
    <t>SPECTACLE FRAMES (CODE-AX)</t>
  </si>
  <si>
    <t>2019/20-470</t>
  </si>
  <si>
    <t>SPECTACLE FRAMES (CODE-EXX)</t>
  </si>
  <si>
    <t>KDM/1920/1590</t>
  </si>
  <si>
    <t>AB1123_C5_55</t>
  </si>
  <si>
    <t>VO5280SB_206580_57</t>
  </si>
  <si>
    <t>LX0671</t>
  </si>
  <si>
    <t>VO5212S_W4487_55</t>
  </si>
  <si>
    <t>VO5284S_27180L_32</t>
  </si>
  <si>
    <t>VO5166S_W6565R_51</t>
  </si>
  <si>
    <t>MOC23531</t>
  </si>
  <si>
    <t>COATING</t>
  </si>
  <si>
    <t>MOC23836</t>
  </si>
  <si>
    <t>MOC23944</t>
  </si>
  <si>
    <t>LX0552</t>
  </si>
  <si>
    <t>VO2906I_W44_52</t>
  </si>
  <si>
    <t>VO2925BI_2048_53</t>
  </si>
  <si>
    <t>VO4016BI_848_51</t>
  </si>
  <si>
    <t>VO2906I_2249_52</t>
  </si>
  <si>
    <t>VO5120I_W44_52</t>
  </si>
  <si>
    <t>VO4038I_5033_54</t>
  </si>
  <si>
    <t>VO4038I_352_54</t>
  </si>
  <si>
    <t>VO5148I_W656_53</t>
  </si>
  <si>
    <t>ACCESSORIES</t>
  </si>
  <si>
    <t>MOC19312</t>
  </si>
  <si>
    <t>LX0553</t>
  </si>
  <si>
    <t>1531/19-20</t>
  </si>
  <si>
    <t xml:space="preserve">RB3538_18813_53 </t>
  </si>
  <si>
    <t>1534/19-20</t>
  </si>
  <si>
    <t>1540/19-20</t>
  </si>
  <si>
    <t>1553/19-20</t>
  </si>
  <si>
    <t>1555/19-20</t>
  </si>
  <si>
    <t>1560/19-20</t>
  </si>
  <si>
    <t>1565/19-20</t>
  </si>
  <si>
    <t>RB4165_622T3_55</t>
  </si>
  <si>
    <t>1571/19-20</t>
  </si>
  <si>
    <t>1573/19-20</t>
  </si>
  <si>
    <t>1576/19-20</t>
  </si>
  <si>
    <t>1578/19-20</t>
  </si>
  <si>
    <t>1581/19-20</t>
  </si>
  <si>
    <t>1589/19-20</t>
  </si>
  <si>
    <t>1592/19-20</t>
  </si>
  <si>
    <t>1594/19-20</t>
  </si>
  <si>
    <t>1599/19-20</t>
  </si>
  <si>
    <t>1602/19-20</t>
  </si>
  <si>
    <t>1642/19-20</t>
  </si>
  <si>
    <t>1649/19-20</t>
  </si>
  <si>
    <t>ID1047_C2_M</t>
  </si>
  <si>
    <t>ID1047_C3_M</t>
  </si>
  <si>
    <t>ID1476_C3_M</t>
  </si>
  <si>
    <t>ID1033_C4_M</t>
  </si>
  <si>
    <t>1653/19-20</t>
  </si>
  <si>
    <t>ID1027_C3_M</t>
  </si>
  <si>
    <t>ID1476_C4_M</t>
  </si>
  <si>
    <t>TH7948_C4_54</t>
  </si>
  <si>
    <t>1669/19-20</t>
  </si>
  <si>
    <t>1678/19-20</t>
  </si>
  <si>
    <t>1680/19-20</t>
  </si>
  <si>
    <t>1683/19-20</t>
  </si>
  <si>
    <t>1686/19-20</t>
  </si>
  <si>
    <t>1689/19-20</t>
  </si>
  <si>
    <t>1690/19-20</t>
  </si>
  <si>
    <t>Vo5010_W44_53</t>
  </si>
  <si>
    <t>1698/19-20</t>
  </si>
  <si>
    <t>1703/19-20</t>
  </si>
  <si>
    <t>ID1519_C1_M</t>
  </si>
  <si>
    <t>1718/19-20</t>
  </si>
  <si>
    <t>1726/19-20</t>
  </si>
  <si>
    <t>1731/19-20</t>
  </si>
  <si>
    <t>1735/19-20</t>
  </si>
  <si>
    <t>1737/19-20</t>
  </si>
  <si>
    <t>1743/19-20</t>
  </si>
  <si>
    <t>1750/19-20</t>
  </si>
  <si>
    <t>1755/19-20</t>
  </si>
  <si>
    <t>1760/19-20</t>
  </si>
  <si>
    <t>1765/19-20</t>
  </si>
  <si>
    <t>1782/19-20</t>
  </si>
  <si>
    <t>FABUFL2000001807</t>
  </si>
  <si>
    <t>FLIPKART</t>
  </si>
  <si>
    <t>OD117997651304414000</t>
  </si>
  <si>
    <t>VINU</t>
  </si>
  <si>
    <t>POLLACHI</t>
  </si>
  <si>
    <t>OD118024543051156000</t>
  </si>
  <si>
    <t>ABHISHEK SINGHAL</t>
  </si>
  <si>
    <t>MORENA</t>
  </si>
  <si>
    <t>FABUFL2000001842</t>
  </si>
  <si>
    <t>OD118001128863203000</t>
  </si>
  <si>
    <t>GANESH MUNDA</t>
  </si>
  <si>
    <t>RANCHI</t>
  </si>
  <si>
    <t>FABUFL2000001821</t>
  </si>
  <si>
    <t>OD117999571139712000</t>
  </si>
  <si>
    <t>BENGALURU</t>
  </si>
  <si>
    <t>FABUFL2000001888</t>
  </si>
  <si>
    <t>OD118044375879669000</t>
  </si>
  <si>
    <t>B.VIJAYA</t>
  </si>
  <si>
    <t>KADAPA</t>
  </si>
  <si>
    <t>FABUFL2000001885</t>
  </si>
  <si>
    <t>OD118035573488739000</t>
  </si>
  <si>
    <t>TAPAS BISWAS</t>
  </si>
  <si>
    <t>KRISHNANAGAR</t>
  </si>
  <si>
    <t>OD118008118153927000</t>
  </si>
  <si>
    <t>LATHA PAHICKER</t>
  </si>
  <si>
    <t>NOIDA</t>
  </si>
  <si>
    <t>OD118016293692217000</t>
  </si>
  <si>
    <t>JAGA PANDA</t>
  </si>
  <si>
    <t>BHADRAK</t>
  </si>
  <si>
    <t>FABUFL2000001786</t>
  </si>
  <si>
    <t>OD117991850288421000</t>
  </si>
  <si>
    <t>RIMCHI DAS</t>
  </si>
  <si>
    <t>BISWANATH CHARIALI</t>
  </si>
  <si>
    <t>DJ9206_C3_51</t>
  </si>
  <si>
    <t>SEA (RAJESH TALLY SUNAM)</t>
  </si>
  <si>
    <t xml:space="preserve">DR.RAMESH </t>
  </si>
  <si>
    <t>BLUECUT CRKT</t>
  </si>
  <si>
    <t>AMARJEET KAUR SIDHU</t>
  </si>
  <si>
    <t>ONLY FRAME CHANGE</t>
  </si>
  <si>
    <t>NITIN BANSAL</t>
  </si>
  <si>
    <t xml:space="preserve">ARAV BANSAL	</t>
  </si>
  <si>
    <t>AMREEN</t>
  </si>
  <si>
    <t xml:space="preserve">AMREEN	</t>
  </si>
  <si>
    <t>DJ9164_C3_57</t>
  </si>
  <si>
    <t>SAPINDER</t>
  </si>
  <si>
    <t xml:space="preserve">SAPINDER	</t>
  </si>
  <si>
    <t xml:space="preserve">KOMALPREET KAUR	</t>
  </si>
  <si>
    <t>RAVINDER SINGH</t>
  </si>
  <si>
    <t xml:space="preserve">RAVINDER SINGH	</t>
  </si>
  <si>
    <t>KANWARPAL</t>
  </si>
  <si>
    <t xml:space="preserve">KANWARPAL	</t>
  </si>
  <si>
    <t>AB1171S_C4_61</t>
  </si>
  <si>
    <t>CHAMKAUR</t>
  </si>
  <si>
    <t xml:space="preserve">CHAMKAUR	</t>
  </si>
  <si>
    <t>JAPLEEN KAUR</t>
  </si>
  <si>
    <t>BARHI</t>
  </si>
  <si>
    <t xml:space="preserve">JAPLEEN KAUR	</t>
  </si>
  <si>
    <t>AJAY KUMAR</t>
  </si>
  <si>
    <t xml:space="preserve">AJAY KUMAR	</t>
  </si>
  <si>
    <t>BHAGWAN SINGH</t>
  </si>
  <si>
    <t>NAKUL GARG</t>
  </si>
  <si>
    <t xml:space="preserve">NAKUL GARG	</t>
  </si>
  <si>
    <t xml:space="preserve">RADHE </t>
  </si>
  <si>
    <t xml:space="preserve">RADHE 	</t>
  </si>
  <si>
    <t>SARUCHI</t>
  </si>
  <si>
    <t xml:space="preserve">SARUCHI	</t>
  </si>
  <si>
    <t>DR.RISHI</t>
  </si>
  <si>
    <t>SARDAR'S</t>
  </si>
  <si>
    <t xml:space="preserve">SARDAR'S	</t>
  </si>
  <si>
    <t>ADV GREWAL</t>
  </si>
  <si>
    <t xml:space="preserve">ADV GREWAL	</t>
  </si>
  <si>
    <t>IS6342_C2_54</t>
  </si>
  <si>
    <t>HARMINDER SINGH</t>
  </si>
  <si>
    <t xml:space="preserve">HARMINDER SINGH	</t>
  </si>
  <si>
    <t>REPLACEMENT OF IS6342_C2_54 DAMAGED BY RAM SINGH</t>
  </si>
  <si>
    <t>KAASHVI</t>
  </si>
  <si>
    <t>CRIZAL</t>
  </si>
  <si>
    <t xml:space="preserve">KAASHVI	</t>
  </si>
  <si>
    <t>RX6426I_2975_53</t>
  </si>
  <si>
    <t>ARYAN KANSAL</t>
  </si>
  <si>
    <t xml:space="preserve">ARYAN KANSAL	</t>
  </si>
  <si>
    <t>SUKHMAN SHAIBI (DR.ANWAR)</t>
  </si>
  <si>
    <t xml:space="preserve">SUKHMAN SHAIBI (DR.ANWAR)	</t>
  </si>
  <si>
    <t>RX7027I_2000_54</t>
  </si>
  <si>
    <t>MEHUL BHARDWAJ</t>
  </si>
  <si>
    <t xml:space="preserve">MEHUL BHARDWAJ	</t>
  </si>
  <si>
    <t>DILJEET KAUR</t>
  </si>
  <si>
    <t xml:space="preserve">DILJEET KAUR	</t>
  </si>
  <si>
    <t>CUP GOGGLES</t>
  </si>
  <si>
    <t>JANGIR SINGH</t>
  </si>
  <si>
    <t>VIKAS</t>
  </si>
  <si>
    <t xml:space="preserve">GURMEET KAUR	</t>
  </si>
  <si>
    <t>GAURAV</t>
  </si>
  <si>
    <t>MICRO</t>
  </si>
  <si>
    <t>UJAGAR SINGH</t>
  </si>
  <si>
    <t>PHARWAHI</t>
  </si>
  <si>
    <t xml:space="preserve">UJAGAR SINGH	</t>
  </si>
  <si>
    <t>GSENEV AVIATORS</t>
  </si>
  <si>
    <t>HARDEV SINGH</t>
  </si>
  <si>
    <t>CHANGAL</t>
  </si>
  <si>
    <t xml:space="preserve">HARDEV SINGH	</t>
  </si>
  <si>
    <t>FARENHEIT READING FOLDABLE  +1.5</t>
  </si>
  <si>
    <t>KAKA R.K.PHARMA</t>
  </si>
  <si>
    <t>INDEPENDENT LADIES</t>
  </si>
  <si>
    <t xml:space="preserve">JASPREET KAUR	</t>
  </si>
  <si>
    <t>GHANAUR KALAN</t>
  </si>
  <si>
    <t>SUNIDHI</t>
  </si>
  <si>
    <t>POLO SPORT</t>
  </si>
  <si>
    <t>BALIAL</t>
  </si>
  <si>
    <t xml:space="preserve">SUKHWINDER KAUR	</t>
  </si>
  <si>
    <t>GURSEAWK SINGH</t>
  </si>
  <si>
    <t>INTACT SPRING</t>
  </si>
  <si>
    <t>NON SENSE PERSON</t>
  </si>
  <si>
    <t>NO PAYMENT AS PER DR.SIR ORDER</t>
  </si>
  <si>
    <t xml:space="preserve">RAJ KAUR	</t>
  </si>
  <si>
    <t>HUKUMCHAND</t>
  </si>
  <si>
    <t>ASHOK KUMAR</t>
  </si>
  <si>
    <t>FARENHEIT READING FOLDABLE   +3.0</t>
  </si>
  <si>
    <t>PAYMENT DUE AS PER  DR.SIR ORDER</t>
  </si>
  <si>
    <t>SANTOSH KUMAR</t>
  </si>
  <si>
    <t>HARIKE</t>
  </si>
  <si>
    <t>CANDARY</t>
  </si>
  <si>
    <t xml:space="preserve">RAKESH </t>
  </si>
  <si>
    <t>JAI KAUR</t>
  </si>
  <si>
    <t>BHARPOOR SINGH</t>
  </si>
  <si>
    <t>GHANAURI JATTAN</t>
  </si>
  <si>
    <t>ROTINO</t>
  </si>
  <si>
    <t xml:space="preserve">ONLY FRAME CHANGE </t>
  </si>
  <si>
    <t>ONLY GLASS CHANGE</t>
  </si>
  <si>
    <t>SWARAN LATA</t>
  </si>
  <si>
    <t>SARDARA BEGUM</t>
  </si>
  <si>
    <t>GHANAUR KHURD</t>
  </si>
  <si>
    <t xml:space="preserve">SARDARA BEGUM	</t>
  </si>
  <si>
    <t>KRISHNA DEVI</t>
  </si>
  <si>
    <t xml:space="preserve">KRISHNA DEVI	</t>
  </si>
  <si>
    <t>KHURSID AALAM</t>
  </si>
  <si>
    <t>HVBEWC</t>
  </si>
  <si>
    <t>BALVIR KAUR</t>
  </si>
  <si>
    <t>KOT KALAN</t>
  </si>
  <si>
    <t>MAGIC PLUS nv</t>
  </si>
  <si>
    <t>RAJ MUNI</t>
  </si>
  <si>
    <t>AMARJIT SINGH</t>
  </si>
  <si>
    <t>PARKASO DEVI</t>
  </si>
  <si>
    <t>MANSA</t>
  </si>
  <si>
    <t>MANISH VERMA</t>
  </si>
  <si>
    <t xml:space="preserve">GAGANDEEP </t>
  </si>
  <si>
    <t>B.B.BANSAL ADVOCATE</t>
  </si>
  <si>
    <t>RAYBAN 3PC</t>
  </si>
  <si>
    <t>INDRESH BHARDWAJ (MELON PATIALA)</t>
  </si>
  <si>
    <t xml:space="preserve">HARBANS KAUR	</t>
  </si>
  <si>
    <t xml:space="preserve">JASWINDER SINGH	</t>
  </si>
  <si>
    <t>ESCAPE+</t>
  </si>
  <si>
    <t xml:space="preserve">GURPREET KAUR	</t>
  </si>
  <si>
    <t>ONLY L/E 1/2 PAIR GLASS CHANGE</t>
  </si>
  <si>
    <t>KAMLESH RANI</t>
  </si>
  <si>
    <t>RAJAN KUMAR GARG</t>
  </si>
  <si>
    <t>PAYMENT DUE AS PER DR.SIR ORDER</t>
  </si>
  <si>
    <t xml:space="preserve">RAJAN KUMAR GARG	</t>
  </si>
  <si>
    <t>SADOPUR</t>
  </si>
  <si>
    <t xml:space="preserve">MALKEET KAUR	</t>
  </si>
  <si>
    <t>BOND</t>
  </si>
  <si>
    <t>PUSHPA</t>
  </si>
  <si>
    <t xml:space="preserve">PUSHPA	</t>
  </si>
  <si>
    <t>RAMESHWARI</t>
  </si>
  <si>
    <t xml:space="preserve">RAMESHWARI	</t>
  </si>
  <si>
    <t>PARKASH</t>
  </si>
  <si>
    <t>KANDARGARH</t>
  </si>
  <si>
    <t>PAL KAUR</t>
  </si>
  <si>
    <t>SAKAL RAM</t>
  </si>
  <si>
    <t>NIRMALA DEVI</t>
  </si>
  <si>
    <t>VICKY SINGH</t>
  </si>
  <si>
    <t>DATA SINGH</t>
  </si>
  <si>
    <t>GHABDAN</t>
  </si>
  <si>
    <t>SOM NATH</t>
  </si>
  <si>
    <t>PRABJOT SINGH</t>
  </si>
  <si>
    <t>READING CHANGE SIDE</t>
  </si>
  <si>
    <t xml:space="preserve">DAVINDER KAUR	</t>
  </si>
  <si>
    <t>AO 1.6CRHMC</t>
  </si>
  <si>
    <t>PAYMENT DUE AS PER  DR.SIR ORDER ONLY GLASS CHANGE</t>
  </si>
  <si>
    <t>CHANDO RANI</t>
  </si>
  <si>
    <t>FANCY METAL AVIATORS</t>
  </si>
  <si>
    <t xml:space="preserve"> PUNJAB</t>
  </si>
  <si>
    <t xml:space="preserve">GURDEV KAUR	</t>
  </si>
  <si>
    <t>HARDESH</t>
  </si>
  <si>
    <t xml:space="preserve">READER READING </t>
  </si>
  <si>
    <t>Baby goggles</t>
  </si>
  <si>
    <t>PARVESH PURI</t>
  </si>
  <si>
    <t xml:space="preserve">PARVESH PURI	</t>
  </si>
  <si>
    <t>FANCY SHEET  SQUARE</t>
  </si>
  <si>
    <t xml:space="preserve">SARBJEET KAUR	</t>
  </si>
  <si>
    <t xml:space="preserve">RAJNI	</t>
  </si>
  <si>
    <t>QUAMIAR</t>
  </si>
  <si>
    <t>ANMOL BANSAL</t>
  </si>
  <si>
    <t xml:space="preserve">ANMOL BANSAL	</t>
  </si>
  <si>
    <t>BIOTRUE  300 ML</t>
  </si>
  <si>
    <t>KAKA (R.K.PHARMA)</t>
  </si>
  <si>
    <t>BALWINDERPREET SINGH</t>
  </si>
  <si>
    <t>E-mail</t>
  </si>
  <si>
    <t>BATUHA</t>
  </si>
  <si>
    <t>VESSEL THIN SIDE</t>
  </si>
  <si>
    <t>DR.TARANJIT SINGH</t>
  </si>
  <si>
    <t xml:space="preserve">DR.TARANJIT SINGH	</t>
  </si>
  <si>
    <t>UPMA SINGLA</t>
  </si>
  <si>
    <t>BHADALWAD</t>
  </si>
  <si>
    <t xml:space="preserve">JAGGA SINGH	</t>
  </si>
  <si>
    <t>FANCY METAL ROUND</t>
  </si>
  <si>
    <t>ACCORDIAN</t>
  </si>
  <si>
    <t>KALAWATI DEVI</t>
  </si>
  <si>
    <t xml:space="preserve">KALAWATI DEVI	</t>
  </si>
  <si>
    <t>DARSHAN KUMAR</t>
  </si>
  <si>
    <t>SUKHDEV MUNNI JI</t>
  </si>
  <si>
    <t>BHUPINDER SINGH</t>
  </si>
  <si>
    <t xml:space="preserve">BHUPINDER SINGH	</t>
  </si>
  <si>
    <t>FASHION TV</t>
  </si>
  <si>
    <t xml:space="preserve">SANDEEP SINGH	</t>
  </si>
  <si>
    <t xml:space="preserve">SANJAY </t>
  </si>
  <si>
    <t>SALAMATE</t>
  </si>
  <si>
    <t xml:space="preserve">SALAMATE	</t>
  </si>
  <si>
    <t>MIRHERI</t>
  </si>
  <si>
    <t xml:space="preserve">PARMINDER KAUR	</t>
  </si>
  <si>
    <t xml:space="preserve">BHUPINDER KAUR	</t>
  </si>
  <si>
    <t xml:space="preserve">PARAMJEET KAUR	</t>
  </si>
  <si>
    <t>CONIVEY</t>
  </si>
  <si>
    <t>MANN SINGH</t>
  </si>
  <si>
    <t>NATTAN</t>
  </si>
  <si>
    <t xml:space="preserve">MANN SINGH	</t>
  </si>
  <si>
    <t>SHAM BABU</t>
  </si>
  <si>
    <t xml:space="preserve">SHAM BABU	</t>
  </si>
  <si>
    <t>SIMRANPREET KAUR</t>
  </si>
  <si>
    <t xml:space="preserve">SIMRANPREET KAUR	</t>
  </si>
  <si>
    <t>ROSE AVIATORS</t>
  </si>
  <si>
    <t>JAGGAR SINGH</t>
  </si>
  <si>
    <t xml:space="preserve">JAGGAR SINGH	</t>
  </si>
  <si>
    <t>PARTY</t>
  </si>
  <si>
    <t xml:space="preserve">JAL KAUR	</t>
  </si>
  <si>
    <t>KANGANWAL</t>
  </si>
  <si>
    <t>BANGANWALI</t>
  </si>
  <si>
    <t>BUGGAR SINGH</t>
  </si>
  <si>
    <t xml:space="preserve">KIRANDEEP </t>
  </si>
  <si>
    <t xml:space="preserve">KIRANDEEP 	</t>
  </si>
  <si>
    <t>PAL SHARMA</t>
  </si>
  <si>
    <t>PAL MEDICAL HALL (PAL UNCLE)</t>
  </si>
  <si>
    <t xml:space="preserve">PAYMENT DUE </t>
  </si>
  <si>
    <t>SATPAL (DR.SIR FRIEND)</t>
  </si>
  <si>
    <t>DJ5918_C2_54</t>
  </si>
  <si>
    <t>SANJAY LEHRI</t>
  </si>
  <si>
    <t>CRIZAL SAPPHIRE UV FOG ID SUN</t>
  </si>
  <si>
    <t xml:space="preserve">SANJAY LEHRI	</t>
  </si>
  <si>
    <t>DJ5917_C3_51</t>
  </si>
  <si>
    <t>GUPTA (DR.RISHI)</t>
  </si>
  <si>
    <t>FULL METAL SQUARE</t>
  </si>
  <si>
    <t xml:space="preserve">DR.RISHI	</t>
  </si>
  <si>
    <t>ROSEVALT</t>
  </si>
  <si>
    <t>FARENHEIT READING FOLDABLE   +2.5</t>
  </si>
  <si>
    <t xml:space="preserve">JASWANT RAI </t>
  </si>
  <si>
    <t>PAYMENT DUE  ONLY GLASS CHANGE</t>
  </si>
  <si>
    <t xml:space="preserve">PROGRESSIVE BROWN LIGHT SHADE </t>
  </si>
  <si>
    <t xml:space="preserve">SATPAL </t>
  </si>
  <si>
    <t xml:space="preserve">PROGRESSIVE DARK GREEN COATING </t>
  </si>
  <si>
    <t>CHARANJIT KUMAR</t>
  </si>
  <si>
    <t>BERLIN (GERMANY)</t>
  </si>
  <si>
    <t>GHANURI KALAN</t>
  </si>
  <si>
    <t>RAZIA</t>
  </si>
  <si>
    <t xml:space="preserve">RAZIA	</t>
  </si>
  <si>
    <t>HONG REN</t>
  </si>
  <si>
    <t>JAGJEET SINGH</t>
  </si>
  <si>
    <t xml:space="preserve">JAGJEET SINGH	</t>
  </si>
  <si>
    <t>ANGURI DEVI</t>
  </si>
  <si>
    <t>DHURI PIND</t>
  </si>
  <si>
    <t xml:space="preserve">ANGURI DEVI	</t>
  </si>
  <si>
    <t>HARNEK SINGH</t>
  </si>
  <si>
    <t>MAHINDER SINGH</t>
  </si>
  <si>
    <t xml:space="preserve">MAHINDER SINGH	</t>
  </si>
  <si>
    <t xml:space="preserve">MAYA DEVI	</t>
  </si>
  <si>
    <t xml:space="preserve">SUKHDEEP MOTHER </t>
  </si>
  <si>
    <t>NO PAYMENT AS PER  DR.SIR ORDER</t>
  </si>
  <si>
    <t xml:space="preserve">NANU </t>
  </si>
  <si>
    <t>AMAR NATH</t>
  </si>
  <si>
    <t>JASVIR SINGH</t>
  </si>
  <si>
    <t>CALLTIME</t>
  </si>
  <si>
    <t>LUCKY BHARDWAJ</t>
  </si>
  <si>
    <t xml:space="preserve">LUCKY BHARDWAJ	</t>
  </si>
  <si>
    <t>LABH SINGH</t>
  </si>
  <si>
    <t>TITANIUM</t>
  </si>
  <si>
    <t xml:space="preserve">RANJEET KAUR	</t>
  </si>
  <si>
    <t>MUMTAZ</t>
  </si>
  <si>
    <t>JASVIR KAUR</t>
  </si>
  <si>
    <t xml:space="preserve">JASVIR KAUR	</t>
  </si>
  <si>
    <t>SAHIL GARG</t>
  </si>
  <si>
    <t>SARFRAJ ALI</t>
  </si>
  <si>
    <t>PCS DAMAGED FRAME PAINT PROBLEM</t>
  </si>
  <si>
    <t>RODENSTOCK SUPRA</t>
  </si>
  <si>
    <t>DR.FARJAND</t>
  </si>
  <si>
    <t xml:space="preserve">DR.FARJAND	</t>
  </si>
  <si>
    <t>DAYAWANTI</t>
  </si>
  <si>
    <t>MAGIC SPORTS</t>
  </si>
  <si>
    <t>JAGWANT SINGH</t>
  </si>
  <si>
    <t>JILOPI</t>
  </si>
  <si>
    <t>JANAK RAJ</t>
  </si>
  <si>
    <t>CANDEY</t>
  </si>
  <si>
    <t xml:space="preserve">GURMAIL KAUR	</t>
  </si>
  <si>
    <t xml:space="preserve">6LINE </t>
  </si>
  <si>
    <t>SUKHDEV DASS</t>
  </si>
  <si>
    <t xml:space="preserve">JUNG SINGH	</t>
  </si>
  <si>
    <t>MEXAWS</t>
  </si>
  <si>
    <t xml:space="preserve">AMANJOT KAUR	</t>
  </si>
  <si>
    <t>KAMALPREET KAUR</t>
  </si>
  <si>
    <t>SR0811</t>
  </si>
  <si>
    <t>SUPROL CRHC.</t>
  </si>
  <si>
    <t>MOC23633</t>
  </si>
  <si>
    <t xml:space="preserve">BLUECUT </t>
  </si>
  <si>
    <t>sanaflex</t>
  </si>
  <si>
    <t>GUDDO</t>
  </si>
  <si>
    <t xml:space="preserve">GUDDO	</t>
  </si>
  <si>
    <t xml:space="preserve">TINKU </t>
  </si>
  <si>
    <t>BIOTRUE 120ML</t>
  </si>
  <si>
    <t>NV READING GLASS</t>
  </si>
  <si>
    <t>VINOD KUMAR</t>
  </si>
  <si>
    <t>FIFA</t>
  </si>
  <si>
    <t xml:space="preserve">YOGRAJ </t>
  </si>
  <si>
    <t>ESTEE AVIATORS</t>
  </si>
  <si>
    <t xml:space="preserve">GURJANT SINGH	</t>
  </si>
  <si>
    <t>LADDA KOTHI</t>
  </si>
  <si>
    <t xml:space="preserve">CHAMKAUR SINGH	</t>
  </si>
  <si>
    <t>IKBALJEET SINGH</t>
  </si>
  <si>
    <t>KHURD KURAR</t>
  </si>
  <si>
    <t xml:space="preserve">IKBALJEET SINGH	</t>
  </si>
  <si>
    <t>RAJASTHAN</t>
  </si>
  <si>
    <t>HARPAL KAUR</t>
  </si>
  <si>
    <t>RAJVIR SINGH</t>
  </si>
  <si>
    <t xml:space="preserve">RAJVIR SINGH	</t>
  </si>
  <si>
    <t xml:space="preserve">GURJEET KAUR	</t>
  </si>
  <si>
    <t>VELLY</t>
  </si>
  <si>
    <t>AMRINDERPAL SINGH</t>
  </si>
  <si>
    <t>SANGALI</t>
  </si>
  <si>
    <t xml:space="preserve">AMRINDERPAL SINGH	</t>
  </si>
  <si>
    <t>CALENTE</t>
  </si>
  <si>
    <t>YOGINDER YADAV</t>
  </si>
  <si>
    <t>SPORTS</t>
  </si>
  <si>
    <t>LAJWANTI KAUR</t>
  </si>
  <si>
    <t xml:space="preserve">LAJWANTI KAUR	</t>
  </si>
  <si>
    <t>SHAMSUDEEN</t>
  </si>
  <si>
    <t>JASWINDER SINGH KHURMI</t>
  </si>
  <si>
    <t>EDNO</t>
  </si>
  <si>
    <t>SACHREET KAUR</t>
  </si>
  <si>
    <t xml:space="preserve">SARBJEET </t>
  </si>
  <si>
    <t>Harike</t>
  </si>
  <si>
    <t>Image277_C3_M</t>
  </si>
  <si>
    <t>KULDEEP (MUSAFIR JI)</t>
  </si>
  <si>
    <t xml:space="preserve">JASWINDER KAUR	</t>
  </si>
  <si>
    <t xml:space="preserve">CHARANJEET  KAUR </t>
  </si>
  <si>
    <t xml:space="preserve">TOMMY MASTER </t>
  </si>
  <si>
    <t xml:space="preserve">BALVIR SINGH	</t>
  </si>
  <si>
    <t>MINDER SINGH</t>
  </si>
  <si>
    <t xml:space="preserve">PAWAN KUMAR	</t>
  </si>
  <si>
    <t>JAGDISH SINGH</t>
  </si>
  <si>
    <t xml:space="preserve">JAGDISH SINGH	</t>
  </si>
  <si>
    <t>RAMADEEP KAUR</t>
  </si>
  <si>
    <t xml:space="preserve">RAMADEEP KAUR	</t>
  </si>
  <si>
    <t xml:space="preserve">LOVELY	</t>
  </si>
  <si>
    <t>HARMINDER KAUR</t>
  </si>
  <si>
    <t xml:space="preserve">HARMINDER KAUR	</t>
  </si>
  <si>
    <t>UPDATE</t>
  </si>
  <si>
    <t xml:space="preserve">MANISHA	</t>
  </si>
  <si>
    <t xml:space="preserve">BEANT KAUR	</t>
  </si>
  <si>
    <t>HARBHAJAN KAUR</t>
  </si>
  <si>
    <t xml:space="preserve">HARBHAJAN KAUR	</t>
  </si>
  <si>
    <t>ADV.GREWAL (DAUTHER)</t>
  </si>
  <si>
    <t xml:space="preserve">ADV.GREWAL (DAUTHER)	</t>
  </si>
  <si>
    <t>Timmat</t>
  </si>
  <si>
    <t>AHMEDGARH</t>
  </si>
  <si>
    <t>SHINDER KAUR</t>
  </si>
  <si>
    <t>MINTA (WIFE)</t>
  </si>
  <si>
    <t>BARCELONA</t>
  </si>
  <si>
    <t>JASKARAN</t>
  </si>
  <si>
    <t xml:space="preserve">SEHAJPREET 	</t>
  </si>
  <si>
    <t>JAGPAL SINGH</t>
  </si>
  <si>
    <t>ASCELI</t>
  </si>
  <si>
    <t xml:space="preserve">SUKHPAL SINGH	</t>
  </si>
  <si>
    <t xml:space="preserve">SALOCHNA </t>
  </si>
  <si>
    <t xml:space="preserve">SALOCHNA 	</t>
  </si>
  <si>
    <t>SUPERL</t>
  </si>
  <si>
    <t>PARVEEN RANI</t>
  </si>
  <si>
    <t xml:space="preserve">PARVEEN RANI	</t>
  </si>
  <si>
    <t>MISSIFON</t>
  </si>
  <si>
    <t>JASSI MISTRI</t>
  </si>
  <si>
    <t xml:space="preserve">JASSI MISTRI	</t>
  </si>
  <si>
    <t>NAZAR SINGH</t>
  </si>
  <si>
    <t>JASPAL KAUR</t>
  </si>
  <si>
    <t xml:space="preserve">JASPAL KAUR	</t>
  </si>
  <si>
    <t xml:space="preserve">MANJOT </t>
  </si>
  <si>
    <t>MANJOT</t>
  </si>
  <si>
    <t>DITPUR</t>
  </si>
  <si>
    <t xml:space="preserve">RANJIT SINGH	</t>
  </si>
  <si>
    <t xml:space="preserve">AMRITPAL SINGH	</t>
  </si>
  <si>
    <t xml:space="preserve">GURMAIL SINGH	</t>
  </si>
  <si>
    <t>CARTIER METAL FULL</t>
  </si>
  <si>
    <t>ADV.GREWAL</t>
  </si>
  <si>
    <t xml:space="preserve">ADV.GREWAL	</t>
  </si>
  <si>
    <t>6LINE PG</t>
  </si>
  <si>
    <t>NAVJOT KAUR</t>
  </si>
  <si>
    <t xml:space="preserve">NAVJOT KAUR	</t>
  </si>
  <si>
    <t xml:space="preserve">KARAMJEET KAUR	</t>
  </si>
  <si>
    <t xml:space="preserve">NACHATTAR KAUR	</t>
  </si>
  <si>
    <t xml:space="preserve">REPLACEMENT FRAME OF RAM SINGH BROKEN NO PAYMENT </t>
  </si>
  <si>
    <t>30/5/19</t>
  </si>
  <si>
    <t>REMARKS</t>
  </si>
  <si>
    <t>CONDITION</t>
  </si>
  <si>
    <t>26/4/2022</t>
  </si>
  <si>
    <t xml:space="preserve"> LL;.</t>
  </si>
  <si>
    <t>CLEANING</t>
  </si>
  <si>
    <t>BE20030_COL01_60</t>
  </si>
  <si>
    <t>CHD RETURN</t>
  </si>
  <si>
    <t>WITHOUT COVER</t>
  </si>
  <si>
    <t>CK720S_240_57</t>
  </si>
  <si>
    <t>PLAIN GLASS CHANGE</t>
  </si>
  <si>
    <t>ADEESH</t>
  </si>
  <si>
    <t>WITOUT COVER</t>
  </si>
  <si>
    <t>DJ_C3</t>
  </si>
  <si>
    <t>DAVID JONES</t>
  </si>
  <si>
    <t>ALMIRA</t>
  </si>
  <si>
    <t>SCRATCH SUNGLASS</t>
  </si>
  <si>
    <t>FT_C060BU1_M</t>
  </si>
  <si>
    <t xml:space="preserve"> SUNGLASS</t>
  </si>
  <si>
    <t>FT_C071GR3P_M</t>
  </si>
  <si>
    <t>Damage</t>
  </si>
  <si>
    <t>FT_C072BK2_M</t>
  </si>
  <si>
    <t>SCRATCH SUNGLASS+CODE DAMAGE</t>
  </si>
  <si>
    <t>Glass Damage</t>
  </si>
  <si>
    <t>FT_M102BR2_M</t>
  </si>
  <si>
    <t>FT_M143BK1_M</t>
  </si>
  <si>
    <t>D4-1,BOX-1</t>
  </si>
  <si>
    <t>FT_M171BK1_M</t>
  </si>
  <si>
    <t>FT_M187BK1_M</t>
  </si>
  <si>
    <t>FT_N148BU1_M</t>
  </si>
  <si>
    <t>GLASSES MISSING SUNGLASS-1PCS+SCRATCH-1 PCS</t>
  </si>
  <si>
    <t>BOX-2</t>
  </si>
  <si>
    <t>FT_NBP300GR3_M</t>
  </si>
  <si>
    <t>BTOKEN FRAME/GLASSES SUNGLASS</t>
  </si>
  <si>
    <t>FT_NBP357BK5P_55</t>
  </si>
  <si>
    <t>FT_P046BK1_M</t>
  </si>
  <si>
    <t>DS2</t>
  </si>
  <si>
    <t>DAMAGE SUNGLASS</t>
  </si>
  <si>
    <t>DAM-1</t>
  </si>
  <si>
    <t>PCS OK</t>
  </si>
  <si>
    <t>GLASS MISSING SUNGLASS</t>
  </si>
  <si>
    <t>FT_P260BR1_M</t>
  </si>
  <si>
    <t>REPAIR</t>
  </si>
  <si>
    <t>CODE DAMAGE</t>
  </si>
  <si>
    <t>D4-1,Box-1</t>
  </si>
  <si>
    <t>FT_P321GR3_M</t>
  </si>
  <si>
    <t>PC OK SUNGLASS</t>
  </si>
  <si>
    <t>NANHE LAL(27/12)</t>
  </si>
  <si>
    <t>FT_P357BK1V_M</t>
  </si>
  <si>
    <t>Normal</t>
  </si>
  <si>
    <t>BOX SUNGLASS</t>
  </si>
  <si>
    <t>FT_P392BK2_M</t>
  </si>
  <si>
    <t>FASTRACK</t>
  </si>
  <si>
    <t>FT_P410BK2_M</t>
  </si>
  <si>
    <t>SUNGLASS BREAK</t>
  </si>
  <si>
    <t>FT_PC001RD13_M</t>
  </si>
  <si>
    <t>G170PYFL9B_60</t>
  </si>
  <si>
    <t>TITAN</t>
  </si>
  <si>
    <t>SCRATCH(SUNGLASS)</t>
  </si>
  <si>
    <t>C7R1</t>
  </si>
  <si>
    <t>ID1932_C4_62</t>
  </si>
  <si>
    <t>SCRATCH FRAME</t>
  </si>
  <si>
    <t>ID2001_C59P_58</t>
  </si>
  <si>
    <t>IDO208_C1_53</t>
  </si>
  <si>
    <t>IDS 1475_C2_1</t>
  </si>
  <si>
    <t>CODE</t>
  </si>
  <si>
    <t>IDS_C2_56</t>
  </si>
  <si>
    <t>SCRATCH+TEMPLE CODE DAMAGE</t>
  </si>
  <si>
    <t>SCRATCH CHD RETURN SUNGLASS</t>
  </si>
  <si>
    <t>IDS2942_C1_56</t>
  </si>
  <si>
    <t>IDS1745_C1_58</t>
  </si>
  <si>
    <t>IDS1745_C2_58</t>
  </si>
  <si>
    <t>IDS1844_C10_54</t>
  </si>
  <si>
    <t>TEMPLE BROKEN(SUNGLASS)</t>
  </si>
  <si>
    <t>C7R3</t>
  </si>
  <si>
    <t>IDS1947_C7_53</t>
  </si>
  <si>
    <t>IDS2045_C1_56</t>
  </si>
  <si>
    <t>C6R3B3</t>
  </si>
  <si>
    <t>Damaged</t>
  </si>
  <si>
    <t>IDS2408_C3_M</t>
  </si>
  <si>
    <t>IDS2415_C1_M</t>
  </si>
  <si>
    <t>IDS2470_C3P_52</t>
  </si>
  <si>
    <t>SUNGLASS PCS DAMAGE</t>
  </si>
  <si>
    <t>IDS2485_C11P_57</t>
  </si>
  <si>
    <t>IDS2486_C2_58</t>
  </si>
  <si>
    <t>IDS2500_C20_58</t>
  </si>
  <si>
    <t>IDS2500_C27_58</t>
  </si>
  <si>
    <t>DS2 2780</t>
  </si>
  <si>
    <t>IDS2508_c2_58</t>
  </si>
  <si>
    <t>IDS2553_C4_53</t>
  </si>
  <si>
    <t>FULLY PCS DAMAGE</t>
  </si>
  <si>
    <t>BOX</t>
  </si>
  <si>
    <t>WASTE</t>
  </si>
  <si>
    <t>IDS2607_C1_58</t>
  </si>
  <si>
    <t>Scratch</t>
  </si>
  <si>
    <t>IDSO203_C3_55</t>
  </si>
  <si>
    <t>DUPLICATE PCS</t>
  </si>
  <si>
    <t>WITHOUT BOX</t>
  </si>
  <si>
    <t>OO9102_36_57</t>
  </si>
  <si>
    <t>OO9102_C1_57</t>
  </si>
  <si>
    <t>OO9135_01_56</t>
  </si>
  <si>
    <t>OO9135_09_56</t>
  </si>
  <si>
    <t>DUPLICATE PCS SUNGLASS</t>
  </si>
  <si>
    <t>C7R2</t>
  </si>
  <si>
    <t>OO9154_54_62</t>
  </si>
  <si>
    <t>OO9262_01_57</t>
  </si>
  <si>
    <t>OO9262_27_57</t>
  </si>
  <si>
    <t>self</t>
  </si>
  <si>
    <t>1 SALE(12/2/2023)</t>
  </si>
  <si>
    <t>OO9263_05_65</t>
  </si>
  <si>
    <t>KALA ap</t>
  </si>
  <si>
    <t>OO9307_04_M</t>
  </si>
  <si>
    <t>SCRATCH ON SUNGLASS</t>
  </si>
  <si>
    <t>OO9350_07_59</t>
  </si>
  <si>
    <t>OO9402_0764_64</t>
  </si>
  <si>
    <t>OOB23_C2_56</t>
  </si>
  <si>
    <t>DUPLICATE(SUNGLASS)</t>
  </si>
  <si>
    <t>RB2027_W1847_62</t>
  </si>
  <si>
    <t>NT</t>
  </si>
  <si>
    <t>RB2140_1188R5_50</t>
  </si>
  <si>
    <t>RB2140_902_50</t>
  </si>
  <si>
    <t>RB2140_F955_52</t>
  </si>
  <si>
    <t>RB3016_90158_51</t>
  </si>
  <si>
    <t>RB3025_00132_55</t>
  </si>
  <si>
    <t>WITHOUT BOX SC</t>
  </si>
  <si>
    <t>RB3025_0013F_55</t>
  </si>
  <si>
    <t>RB3025_00145_55</t>
  </si>
  <si>
    <t>C6R1B1</t>
  </si>
  <si>
    <t>BOX 6</t>
  </si>
  <si>
    <t>SCRATCH (1 PCS GLASSES MISS)</t>
  </si>
  <si>
    <t>C5R4-2</t>
  </si>
  <si>
    <t>DS1</t>
  </si>
  <si>
    <t>RB3025_001M4_58</t>
  </si>
  <si>
    <t>GLASS DAMAGE</t>
  </si>
  <si>
    <t>RB3025_00237_58</t>
  </si>
  <si>
    <t>RB3025_0024J_58</t>
  </si>
  <si>
    <t>RB3025_0024W_58</t>
  </si>
  <si>
    <t>9490/10090</t>
  </si>
  <si>
    <t>RB3025_0025_55</t>
  </si>
  <si>
    <t>BROKEN GLASS</t>
  </si>
  <si>
    <t>RB3025_0029U_58</t>
  </si>
  <si>
    <t>RB3025_0045_55</t>
  </si>
  <si>
    <t>RB3025_03232_58</t>
  </si>
  <si>
    <t>box</t>
  </si>
  <si>
    <t>C6R1B2</t>
  </si>
  <si>
    <t>0yogesh</t>
  </si>
  <si>
    <t>RB3387_00482_64</t>
  </si>
  <si>
    <t>RB3387_0788G_64</t>
  </si>
  <si>
    <t>RB3429_0013F_58</t>
  </si>
  <si>
    <t>DR RAJ</t>
  </si>
  <si>
    <t>RB3447_002_50</t>
  </si>
  <si>
    <t>RB3479_00151_58</t>
  </si>
  <si>
    <t>RB3513_14713_58</t>
  </si>
  <si>
    <t>RB3539_00284_54</t>
  </si>
  <si>
    <t>BOX/SCRATCH</t>
  </si>
  <si>
    <t>RB3561_0029U_57</t>
  </si>
  <si>
    <t>without box</t>
  </si>
  <si>
    <t>RB4165_60171_54</t>
  </si>
  <si>
    <t>RB4179_601S9A_62</t>
  </si>
  <si>
    <t>RB4194L_71013_53</t>
  </si>
  <si>
    <t>C6R1B3</t>
  </si>
  <si>
    <t>display</t>
  </si>
  <si>
    <t>BOX(SCRATCH)</t>
  </si>
  <si>
    <t>RB8403_2620_59</t>
  </si>
  <si>
    <t>RJ9054_18687_51</t>
  </si>
  <si>
    <t>RJ950S_22011_50</t>
  </si>
  <si>
    <t>RB3383</t>
  </si>
  <si>
    <t>SM801_C2_66</t>
  </si>
  <si>
    <t>SUPERMAN</t>
  </si>
  <si>
    <t>TOMMY</t>
  </si>
  <si>
    <t>TH2546_C1_62</t>
  </si>
  <si>
    <t>TH6117_C2_M</t>
  </si>
  <si>
    <t>FRAME DEFECTIVE</t>
  </si>
  <si>
    <t>FRAME DAMAGE</t>
  </si>
  <si>
    <t>VO2685_W9158E_55</t>
  </si>
  <si>
    <t xml:space="preserve">SCRATCH SUNGLASS </t>
  </si>
  <si>
    <t>VO5008SI_W4411_57</t>
  </si>
  <si>
    <t>VO5147B_25395A_55</t>
  </si>
  <si>
    <t>EA4078_5063/87_62</t>
  </si>
  <si>
    <t>EMPORIO ARMANI</t>
  </si>
  <si>
    <t>FULLY CODE DAMAGE</t>
  </si>
  <si>
    <t>IS6285_C2_49</t>
  </si>
  <si>
    <t>PCS CRECK</t>
  </si>
  <si>
    <t>SECO</t>
  </si>
  <si>
    <t>CHECK</t>
  </si>
  <si>
    <t>AG16T150_C2_51</t>
  </si>
  <si>
    <t>AG4003_MV_51</t>
  </si>
  <si>
    <t>AG4018-BLK_52</t>
  </si>
  <si>
    <t>AG6671_C7_54</t>
  </si>
  <si>
    <t>BE3054_11293D_58</t>
  </si>
  <si>
    <t>BE3071_1005B2_57</t>
  </si>
  <si>
    <t>BE3072_100313_57</t>
  </si>
  <si>
    <t>BE3072_1003B2_57</t>
  </si>
  <si>
    <t>BE3072_1017B3_57</t>
  </si>
  <si>
    <t>BE3083_10085W_59</t>
  </si>
  <si>
    <t>BE4148_300273_55</t>
  </si>
  <si>
    <t>BE4153Q_34266H_58</t>
  </si>
  <si>
    <t>BE4170_300187_57</t>
  </si>
  <si>
    <t>BE4178_300111_58</t>
  </si>
  <si>
    <t>BE4190_300213_56</t>
  </si>
  <si>
    <t>BE4192_300213_56</t>
  </si>
  <si>
    <t>BE4193_300213_56</t>
  </si>
  <si>
    <t>BE4194_300187_58</t>
  </si>
  <si>
    <t>BE4201_300187_58</t>
  </si>
  <si>
    <t>BE4204_30025W_55</t>
  </si>
  <si>
    <t>BE4214_355487_55</t>
  </si>
  <si>
    <t>CARTIER/CREAST</t>
  </si>
  <si>
    <t>CK1217S_001_60</t>
  </si>
  <si>
    <t>CK3143_228_55</t>
  </si>
  <si>
    <t>CK3154S_047_62</t>
  </si>
  <si>
    <t>CK3161_001_58</t>
  </si>
  <si>
    <t>CK3161_004_58</t>
  </si>
  <si>
    <t>CK3201_412_56</t>
  </si>
  <si>
    <t>CK4182_004_54</t>
  </si>
  <si>
    <t>CK4194P_004_57</t>
  </si>
  <si>
    <t>CK4248A_323_58</t>
  </si>
  <si>
    <t>DG2075_03413_63</t>
  </si>
  <si>
    <t>DG2119_119013_62</t>
  </si>
  <si>
    <t>DG2143_026G_57</t>
  </si>
  <si>
    <t>DG2143_12538G_57</t>
  </si>
  <si>
    <t>DG2143_488T3_57</t>
  </si>
  <si>
    <t>DG3207_2867_53</t>
  </si>
  <si>
    <t>DG4195_5018G_56</t>
  </si>
  <si>
    <t>DG4257_50213_54</t>
  </si>
  <si>
    <t>DG6081_26168G_60</t>
  </si>
  <si>
    <t>DG6086_280587_56</t>
  </si>
  <si>
    <t>DG6086_280687_56</t>
  </si>
  <si>
    <t>DG6088_265213_59</t>
  </si>
  <si>
    <t>DJ15T126_C5_54</t>
  </si>
  <si>
    <t>DJ16T143_C2_53</t>
  </si>
  <si>
    <t>DJ2001_C1_53</t>
  </si>
  <si>
    <t>DJ2003_C3_51</t>
  </si>
  <si>
    <t>DJ2003_C4_49</t>
  </si>
  <si>
    <t>DJ2003-C117-51</t>
  </si>
  <si>
    <t>DJ2005_C5_58</t>
  </si>
  <si>
    <t>DJ2011_C36_52</t>
  </si>
  <si>
    <t>DJ2026_C106_53</t>
  </si>
  <si>
    <t>DJ2100_C4_54</t>
  </si>
  <si>
    <t>DJ2346N_C6_55</t>
  </si>
  <si>
    <t>DJ3106_C10_48</t>
  </si>
  <si>
    <t>DJ568_C3_53</t>
  </si>
  <si>
    <t>DJ7305_C1_52</t>
  </si>
  <si>
    <t>DJ7305_C2-52</t>
  </si>
  <si>
    <t>EA1051_3014_55</t>
  </si>
  <si>
    <t>EA2001_301081_64</t>
  </si>
  <si>
    <t>EA2031_31098G_62</t>
  </si>
  <si>
    <t>EA2031_3131187_64</t>
  </si>
  <si>
    <t>EA2032_312773_59</t>
  </si>
  <si>
    <t>EA2032_312887_59</t>
  </si>
  <si>
    <t>EA2034_31578E_54</t>
  </si>
  <si>
    <t>EA3005_5063_53</t>
  </si>
  <si>
    <t>EA3033_313187_64</t>
  </si>
  <si>
    <t>EA3083_5017_55</t>
  </si>
  <si>
    <t>EA3089_5042_56</t>
  </si>
  <si>
    <t>EA4001_506413_56</t>
  </si>
  <si>
    <t>EA4013_502683_59</t>
  </si>
  <si>
    <t>EA4013_506413_56</t>
  </si>
  <si>
    <t>EA4029_5063T3_64</t>
  </si>
  <si>
    <t>EA4029_521073_64</t>
  </si>
  <si>
    <t>EA4033_5229T3_56</t>
  </si>
  <si>
    <t>EA4037_502673_57</t>
  </si>
  <si>
    <t>EA4058_506381_58</t>
  </si>
  <si>
    <t>EA4060_54558H_56</t>
  </si>
  <si>
    <t>EA4060_5458H_56</t>
  </si>
  <si>
    <t>EA4078_506387_62</t>
  </si>
  <si>
    <t>FTM141_BK1P</t>
  </si>
  <si>
    <t>G006S_AMSUA_66</t>
  </si>
  <si>
    <t>G163P_AVL9G_63</t>
  </si>
  <si>
    <t>G182C_LFLAC_60</t>
  </si>
  <si>
    <t>G192_TMML_</t>
  </si>
  <si>
    <t>G200C_TFLAB_57</t>
  </si>
  <si>
    <t>G209C_TML9D_55</t>
  </si>
  <si>
    <t>G210C_TML9A_57</t>
  </si>
  <si>
    <t>G211C_TMLMB_60</t>
  </si>
  <si>
    <t>G213C_TMLMC_60</t>
  </si>
  <si>
    <t>G225P_TFLTC_58</t>
  </si>
  <si>
    <t>G232P_TMLMC_54</t>
  </si>
  <si>
    <t>G243P_TMLTC_58</t>
  </si>
  <si>
    <t>G244P_TELTA_53</t>
  </si>
  <si>
    <t>G246P_TMLMA_58</t>
  </si>
  <si>
    <t>G248P_TMLAB_57</t>
  </si>
  <si>
    <t>G256P_TMLMB_60</t>
  </si>
  <si>
    <t>G259P_TMLMB_59</t>
  </si>
  <si>
    <t>ID1001_C1_54</t>
  </si>
  <si>
    <t>ID1144_C6_53</t>
  </si>
  <si>
    <t>ID1159_C2_53</t>
  </si>
  <si>
    <t>ID1197_C2_51</t>
  </si>
  <si>
    <t>ID1507_C148</t>
  </si>
  <si>
    <t>ID1552_C2_65</t>
  </si>
  <si>
    <t>ID1609_C1_58</t>
  </si>
  <si>
    <t>ID1680_C1_58</t>
  </si>
  <si>
    <t>ID1721_C1_55</t>
  </si>
  <si>
    <t>ID1722_C2_55</t>
  </si>
  <si>
    <t>ID1725_C3_63</t>
  </si>
  <si>
    <t>ID1727_C2_46</t>
  </si>
  <si>
    <t>ID1775_C5_49</t>
  </si>
  <si>
    <t>ID709_C4_50</t>
  </si>
  <si>
    <t>ID721_C1_52</t>
  </si>
  <si>
    <t>ID722-C3_52</t>
  </si>
  <si>
    <t>ID734_C4_52</t>
  </si>
  <si>
    <t>ID873_C1_51</t>
  </si>
  <si>
    <t>ID875_C2_52</t>
  </si>
  <si>
    <t>ID886_C3-51</t>
  </si>
  <si>
    <t>IDS1602_C2_55</t>
  </si>
  <si>
    <t>IDS1609_C4_58</t>
  </si>
  <si>
    <t>IDS1655_COL3_60</t>
  </si>
  <si>
    <t>IDS1663_C2_59</t>
  </si>
  <si>
    <t>IDS1666P_C2_58</t>
  </si>
  <si>
    <t>IDS1695_C16_50</t>
  </si>
  <si>
    <t>IDS1695_C25_M</t>
  </si>
  <si>
    <t>IDS1695_C31_M</t>
  </si>
  <si>
    <t>IDS1700_C30_56</t>
  </si>
  <si>
    <t>IDS1700_C5_57</t>
  </si>
  <si>
    <t>IDS1720_C3_51</t>
  </si>
  <si>
    <t>IDS1721_C3_55</t>
  </si>
  <si>
    <t>IDS1734_C1_60</t>
  </si>
  <si>
    <t>IDS1734_C2_60</t>
  </si>
  <si>
    <t>IDS1736_C1_58</t>
  </si>
  <si>
    <t>IDS1736_C3_M</t>
  </si>
  <si>
    <t>IDS1737_C2_56</t>
  </si>
  <si>
    <t>IDS1739_C2_62</t>
  </si>
  <si>
    <t>IDS1739_C3_64</t>
  </si>
  <si>
    <t>IDS1744_C6_64</t>
  </si>
  <si>
    <t>IDS1744_C9_50</t>
  </si>
  <si>
    <t>IDS1744P_C16_49</t>
  </si>
  <si>
    <t>IDS1745_C1_M</t>
  </si>
  <si>
    <t>IDS1745_C2_60</t>
  </si>
  <si>
    <t>IDS1746_C2_57</t>
  </si>
  <si>
    <t>IDS1747P_C3_58</t>
  </si>
  <si>
    <t>IDS1749_C2_54</t>
  </si>
  <si>
    <t>IDS1750_C2_56</t>
  </si>
  <si>
    <t>IDS1752_C3_57</t>
  </si>
  <si>
    <t>IDS1754_C1_M</t>
  </si>
  <si>
    <t>IDS1754_C2_M</t>
  </si>
  <si>
    <t>IDS1756_C1_M</t>
  </si>
  <si>
    <t>IDS1757P_C3_60</t>
  </si>
  <si>
    <t>IDS1764P_C2_56</t>
  </si>
  <si>
    <t>IDS1766_C1_M</t>
  </si>
  <si>
    <t>IDS1769_C3_64</t>
  </si>
  <si>
    <t>IDS1779_C1_58</t>
  </si>
  <si>
    <t>IDS1783_C1_56</t>
  </si>
  <si>
    <t>IDS1802L_C1_57</t>
  </si>
  <si>
    <t>IDS1802L_C10_57</t>
  </si>
  <si>
    <t>IDS1802L_C3_57</t>
  </si>
  <si>
    <t>IDS1802L_C9_57</t>
  </si>
  <si>
    <t>IDS1805P_C2_61</t>
  </si>
  <si>
    <t>IDS1835_C3_58</t>
  </si>
  <si>
    <t>IDS1945_C3_51</t>
  </si>
  <si>
    <t>IDS1973_C5_56</t>
  </si>
  <si>
    <t>IM2356_C1-52</t>
  </si>
  <si>
    <t>IZ144_0713_00232</t>
  </si>
  <si>
    <t>IZ238_0114_COL2</t>
  </si>
  <si>
    <t>IZ277_0314_COL3</t>
  </si>
  <si>
    <t>IZ279_0314_COL2</t>
  </si>
  <si>
    <t>IZ488_0415_COL3</t>
  </si>
  <si>
    <t>IZ517_09_50</t>
  </si>
  <si>
    <t>IZ517_0915_COL2</t>
  </si>
  <si>
    <t>IZ518_0915_COL1</t>
  </si>
  <si>
    <t>IZ518_0915_COL2</t>
  </si>
  <si>
    <t>IZ589_12_53</t>
  </si>
  <si>
    <t>KX7646_1013_49</t>
  </si>
  <si>
    <t xml:space="preserve">LANZO LOUIS </t>
  </si>
  <si>
    <t>LL1927_C10_49</t>
  </si>
  <si>
    <t>LL3606-C2_53</t>
  </si>
  <si>
    <t>LL6230_C5_51</t>
  </si>
  <si>
    <t>LL6426_C2_52</t>
  </si>
  <si>
    <t>LL6936_C7_49</t>
  </si>
  <si>
    <t>LL8006_C1_M</t>
  </si>
  <si>
    <t>OO2043_02_56</t>
  </si>
  <si>
    <t>OO4054_15_60</t>
  </si>
  <si>
    <t>OO4054_16_60</t>
  </si>
  <si>
    <t>OO4060_03_61</t>
  </si>
  <si>
    <t>OO4063_04_63</t>
  </si>
  <si>
    <t>OO4086_06_61</t>
  </si>
  <si>
    <t>OO4102_01_58</t>
  </si>
  <si>
    <t>OO4102_02_58</t>
  </si>
  <si>
    <t>OO4102_03_58</t>
  </si>
  <si>
    <t>OO4119_03_60</t>
  </si>
  <si>
    <t>OO4119_07_60</t>
  </si>
  <si>
    <t>OO4119_08_60</t>
  </si>
  <si>
    <t>OO9013_50_55</t>
  </si>
  <si>
    <t>OO9096_01_60</t>
  </si>
  <si>
    <t>OO9096_A8_60</t>
  </si>
  <si>
    <t>OO9102_03_55</t>
  </si>
  <si>
    <t>OO9102_08_55</t>
  </si>
  <si>
    <t>OO9102_17_55</t>
  </si>
  <si>
    <t>OO9102_50_55</t>
  </si>
  <si>
    <t>OO9102_52_55</t>
  </si>
  <si>
    <t>OO9102_63_55</t>
  </si>
  <si>
    <t>OO9102_69_55</t>
  </si>
  <si>
    <t>OO9102_90_55</t>
  </si>
  <si>
    <t>OO9102_95_55</t>
  </si>
  <si>
    <t>OO9135_02_56</t>
  </si>
  <si>
    <t>OO9135_03_56</t>
  </si>
  <si>
    <t>OO9135_05_56</t>
  </si>
  <si>
    <t>OO9154_24_62</t>
  </si>
  <si>
    <t>OO9181_23_131</t>
  </si>
  <si>
    <t>OO9181_23_138</t>
  </si>
  <si>
    <t>OO9189_01_60</t>
  </si>
  <si>
    <t>OO9189_03_60</t>
  </si>
  <si>
    <t>OO9189_04_60</t>
  </si>
  <si>
    <t>OO9189_05_60</t>
  </si>
  <si>
    <t>OO9189_08_60</t>
  </si>
  <si>
    <t>OO9189_20_60</t>
  </si>
  <si>
    <t>OO9200_01_61</t>
  </si>
  <si>
    <t>OO9200_18_61</t>
  </si>
  <si>
    <t>OO9208_02_38</t>
  </si>
  <si>
    <t>OO9208_04_38</t>
  </si>
  <si>
    <t>OO9211_02_138</t>
  </si>
  <si>
    <t>OO9211_03_138</t>
  </si>
  <si>
    <t>OO9211_05_138</t>
  </si>
  <si>
    <t>OO9223_03_55</t>
  </si>
  <si>
    <t>OO9223_04_55</t>
  </si>
  <si>
    <t>OO9236_01_60</t>
  </si>
  <si>
    <t>OO9236_02_60</t>
  </si>
  <si>
    <t>OO9236_03_60</t>
  </si>
  <si>
    <t>OO9236_16_60</t>
  </si>
  <si>
    <t>OO9239_01_60</t>
  </si>
  <si>
    <t>OO9247_01_57</t>
  </si>
  <si>
    <t>OO9247_05_57</t>
  </si>
  <si>
    <t>OO9247_19_57</t>
  </si>
  <si>
    <t>OO9262_04_</t>
  </si>
  <si>
    <t>OO9263_01_65</t>
  </si>
  <si>
    <t>OO9263_15_65</t>
  </si>
  <si>
    <t>OO9265_03_53</t>
  </si>
  <si>
    <t>OO9265_04_53</t>
  </si>
  <si>
    <t>OO9265_06_53</t>
  </si>
  <si>
    <t>OO9266_01_59</t>
  </si>
  <si>
    <t>OO9266_03_59</t>
  </si>
  <si>
    <t>OO9272_03_56</t>
  </si>
  <si>
    <t>OO9272_04_56</t>
  </si>
  <si>
    <t>OO9272_07_56</t>
  </si>
  <si>
    <t>OO9272_08_56</t>
  </si>
  <si>
    <t>OO9331_03_58</t>
  </si>
  <si>
    <t>OO9341_02_57</t>
  </si>
  <si>
    <t>OO9343_03_145</t>
  </si>
  <si>
    <t>OO9343_06_145</t>
  </si>
  <si>
    <t>OO9350_03_59</t>
  </si>
  <si>
    <t>OO9353_01_52</t>
  </si>
  <si>
    <t>OO9353_03_52</t>
  </si>
  <si>
    <t>OP3024_C1_53</t>
  </si>
  <si>
    <t>OX3131_0253_53</t>
  </si>
  <si>
    <t>OX3135_02_53</t>
  </si>
  <si>
    <t>OX3180_0153_53</t>
  </si>
  <si>
    <t>P10010_15_51</t>
  </si>
  <si>
    <t>P12002_18_53</t>
  </si>
  <si>
    <t>P12010_17_52</t>
  </si>
  <si>
    <t>P1612_18_56</t>
  </si>
  <si>
    <t>PA7069_CO1_M</t>
  </si>
  <si>
    <t>PA7070_C01_55</t>
  </si>
  <si>
    <t>PA7070_C02_55</t>
  </si>
  <si>
    <t>PA7070_C03_55</t>
  </si>
  <si>
    <t>PA7072_C01_54</t>
  </si>
  <si>
    <t>PA7078_C03_60</t>
  </si>
  <si>
    <t>PA7083_C02_58</t>
  </si>
  <si>
    <t>PA7084_C01_M</t>
  </si>
  <si>
    <t>PA7084_C02_58</t>
  </si>
  <si>
    <t>PA7084_C03_M</t>
  </si>
  <si>
    <t>PA7087_C01_58</t>
  </si>
  <si>
    <t>PA7089_C02_58</t>
  </si>
  <si>
    <t>PA7089_C04_58</t>
  </si>
  <si>
    <t>PA7090_CO1_59</t>
  </si>
  <si>
    <t>PA7092_C01_61</t>
  </si>
  <si>
    <t>PA7093_CO2_M</t>
  </si>
  <si>
    <t>PA7095_C01_M</t>
  </si>
  <si>
    <t>PA7095_CO2_M</t>
  </si>
  <si>
    <t>PA7097_CO3_M</t>
  </si>
  <si>
    <t>PA7100_C03_58</t>
  </si>
  <si>
    <t>PA7100_CO3_M</t>
  </si>
  <si>
    <t>PB_18_52</t>
  </si>
  <si>
    <t>PD_17_52</t>
  </si>
  <si>
    <t>PR03SS_UEK0A7_54</t>
  </si>
  <si>
    <t>PR08OS_1AB0A7_57</t>
  </si>
  <si>
    <t>PR08OS_2AU6S1_57</t>
  </si>
  <si>
    <t>PR08OS_NAI1A1_57</t>
  </si>
  <si>
    <t>PR12QS_1AB0A7_54</t>
  </si>
  <si>
    <t>PR12QS_2AU6S1_54</t>
  </si>
  <si>
    <t>PR13QS_1AB0A7_54</t>
  </si>
  <si>
    <t>PR13QS_5AU6S1_54</t>
  </si>
  <si>
    <t>PR15QS_2AU0A7_53</t>
  </si>
  <si>
    <t>PR27NS_2AU6S1_55</t>
  </si>
  <si>
    <t>PR27OS_1AB3M1_54</t>
  </si>
  <si>
    <t>PR4073_C01_60</t>
  </si>
  <si>
    <t>PR4073_C03_58</t>
  </si>
  <si>
    <t>PR4085_C02_58</t>
  </si>
  <si>
    <t>PR4085_C03_56</t>
  </si>
  <si>
    <t>PR50PS_5AV2E2_63</t>
  </si>
  <si>
    <t>PR51RS_1BO0A7_60</t>
  </si>
  <si>
    <t>PR52PS_7AX0A7_61</t>
  </si>
  <si>
    <t>PR52PS_ZVN1X1_61</t>
  </si>
  <si>
    <t>PR53QS_1BC2A0_60</t>
  </si>
  <si>
    <t>PR53QS_5AV0A7_60</t>
  </si>
  <si>
    <t>PR53QS_ZVN1X1_60</t>
  </si>
  <si>
    <t>PS02QS_DG05Z1_62</t>
  </si>
  <si>
    <t>PS50PS_5AV2E2_63</t>
  </si>
  <si>
    <t>PS50PS_MA35I1_63</t>
  </si>
  <si>
    <t>PS51OS_TFZ2D2_62</t>
  </si>
  <si>
    <t>PS55QS_DG00A7_62</t>
  </si>
  <si>
    <t>PS570S1_BO4M1_64</t>
  </si>
  <si>
    <t>PS57OS_1BO4M1_64</t>
  </si>
  <si>
    <t>PS57S_1BO4M1_64</t>
  </si>
  <si>
    <t>PS58QS_DG00A7_60</t>
  </si>
  <si>
    <t>PS58QS_TFZ5W1_60</t>
  </si>
  <si>
    <t>PW_17_56</t>
  </si>
  <si>
    <t>RB2132_601S78_52</t>
  </si>
  <si>
    <t>RB2132_601S78_55</t>
  </si>
  <si>
    <t>RB2132_601S78_58</t>
  </si>
  <si>
    <t>RB2132_6179_55</t>
  </si>
  <si>
    <t>RB2132_6182_52</t>
  </si>
  <si>
    <t>RB2132_6182_55</t>
  </si>
  <si>
    <t>RB2132_61844E_52</t>
  </si>
  <si>
    <t>RB2132_61844E_55</t>
  </si>
  <si>
    <t>RB2132_7893F_55</t>
  </si>
  <si>
    <t>RB2132_90158_52</t>
  </si>
  <si>
    <t>RB2132_90158_58</t>
  </si>
  <si>
    <t>RB2140_1184_50</t>
  </si>
  <si>
    <t>RB2140_1185_50</t>
  </si>
  <si>
    <t>RB2140_901_50</t>
  </si>
  <si>
    <t>RB2140_90158_50</t>
  </si>
  <si>
    <t>RB3016_114519_51</t>
  </si>
  <si>
    <t>RB3016_114530_51</t>
  </si>
  <si>
    <t>RB3016_11594E_49</t>
  </si>
  <si>
    <t>RB3016_L0216_58</t>
  </si>
  <si>
    <t>RB3025_00115_58</t>
  </si>
  <si>
    <t>RB3025_00115_62</t>
  </si>
  <si>
    <t>RB3025_0013K_62</t>
  </si>
  <si>
    <t>RB3025_0013R_58</t>
  </si>
  <si>
    <t>RB3025_0014I_58</t>
  </si>
  <si>
    <t>RB3025_00153E_55</t>
  </si>
  <si>
    <t>RB3025_00154F_55</t>
  </si>
  <si>
    <t>RB3025_001M4_55</t>
  </si>
  <si>
    <t>RB3025_00359_58</t>
  </si>
  <si>
    <t>RB3025_004_55</t>
  </si>
  <si>
    <t>RB3025_00478_55</t>
  </si>
  <si>
    <t>RB3025_004G_58</t>
  </si>
  <si>
    <t>RB3025_019O5_58</t>
  </si>
  <si>
    <t>RB3025_03132_58</t>
  </si>
  <si>
    <t>RB3025_0883F_58</t>
  </si>
  <si>
    <t>RB3025_11219_62</t>
  </si>
  <si>
    <t>RB3025_1124L_58</t>
  </si>
  <si>
    <t>RB3025_11269_62</t>
  </si>
  <si>
    <t>RB3025_112P9_58</t>
  </si>
  <si>
    <t>RB3025_1671M_58</t>
  </si>
  <si>
    <t>RB3025_1672K_55</t>
  </si>
  <si>
    <t>RB3025_1672K_58</t>
  </si>
  <si>
    <t>RB3025_19771_58</t>
  </si>
  <si>
    <t>RB3025_L1744_58</t>
  </si>
  <si>
    <t>RB3025_W3172_55</t>
  </si>
  <si>
    <t>RB3025_W3274_55</t>
  </si>
  <si>
    <t>RB3025JM_001_58</t>
  </si>
  <si>
    <t>RB3025JM_0014M_58</t>
  </si>
  <si>
    <t>RB3025JM_1684E_58</t>
  </si>
  <si>
    <t>RB3025JM_169_58</t>
  </si>
  <si>
    <t>RB3025JM_172_58</t>
  </si>
  <si>
    <t>RB3026_L2821_62</t>
  </si>
  <si>
    <t>RB3029_181_62</t>
  </si>
  <si>
    <t>RB3029_900A5_62</t>
  </si>
  <si>
    <t>RB3030_L0216_58</t>
  </si>
  <si>
    <t>RB3030_L9500_58</t>
  </si>
  <si>
    <t>RB3136_002_58</t>
  </si>
  <si>
    <t>RB3136_16768_58</t>
  </si>
  <si>
    <t>RB3138_001_58</t>
  </si>
  <si>
    <t>RB3138_18171_62</t>
  </si>
  <si>
    <t>RB3145_002_55</t>
  </si>
  <si>
    <t>RB3147_001_56</t>
  </si>
  <si>
    <t>RB3267_0038G_64</t>
  </si>
  <si>
    <t>RB3306_002_60</t>
  </si>
  <si>
    <t>RB3306_004_60</t>
  </si>
  <si>
    <t>RB3342_004_63</t>
  </si>
  <si>
    <t>RB3342_00458_60</t>
  </si>
  <si>
    <t>RB3349_00113_59</t>
  </si>
  <si>
    <t>RB3364_00458_59</t>
  </si>
  <si>
    <t>RB3379_002_64</t>
  </si>
  <si>
    <t>RB3386_0029A_63</t>
  </si>
  <si>
    <t>RB3386_0038G_63</t>
  </si>
  <si>
    <t>RB3386_00471_67</t>
  </si>
  <si>
    <t>RB3386_00671_63</t>
  </si>
  <si>
    <t>RB3386_00679_63</t>
  </si>
  <si>
    <t>RB3386_02911_63</t>
  </si>
  <si>
    <t>RB3386_1078G_63</t>
  </si>
  <si>
    <t>RB3387_0029A_64</t>
  </si>
  <si>
    <t>RB3387_0038G_64</t>
  </si>
  <si>
    <t>RB3387_00413_64</t>
  </si>
  <si>
    <t>RB3387_0048E_64</t>
  </si>
  <si>
    <t>RB3404_00413_65</t>
  </si>
  <si>
    <t>RB3411_002_60</t>
  </si>
  <si>
    <t>RB3422Q_00332_55</t>
  </si>
  <si>
    <t>RB3426_00482_61</t>
  </si>
  <si>
    <t>RB3431_001_64</t>
  </si>
  <si>
    <t>RB3431_002_64</t>
  </si>
  <si>
    <t>RB3433_001_63</t>
  </si>
  <si>
    <t>RB3447_01930_50</t>
  </si>
  <si>
    <t>RB3447_1672K_50</t>
  </si>
  <si>
    <t>RB3447JM_169_50</t>
  </si>
  <si>
    <t>RB3447JM_170R5_50</t>
  </si>
  <si>
    <t>RB3447JM_171_50</t>
  </si>
  <si>
    <t>RB3448_004_63</t>
  </si>
  <si>
    <t>RB3448_01451_63</t>
  </si>
  <si>
    <t>RB3449_00330_59</t>
  </si>
  <si>
    <t>RB3449_0036G_56</t>
  </si>
  <si>
    <t>RB3449_0038G_59</t>
  </si>
  <si>
    <t>RB3454E_00113_65</t>
  </si>
  <si>
    <t>RB3465_01451_64</t>
  </si>
  <si>
    <t>RB3468E_00271_63</t>
  </si>
  <si>
    <t>RB3470E_00271_64</t>
  </si>
  <si>
    <t>RB3471_01968_32</t>
  </si>
  <si>
    <t>RB3471_02955_32</t>
  </si>
  <si>
    <t>RB3483_00668_60</t>
  </si>
  <si>
    <t>RB3498_0298G_64</t>
  </si>
  <si>
    <t>RB3498_029T5_61</t>
  </si>
  <si>
    <t>RB3498_029T5_64</t>
  </si>
  <si>
    <t>RB3502_00458_61</t>
  </si>
  <si>
    <t>RB3502_01971_61</t>
  </si>
  <si>
    <t>RB3509_0049A_63</t>
  </si>
  <si>
    <t>RB3513_14913_58</t>
  </si>
  <si>
    <t>RB3513_1548G_55</t>
  </si>
  <si>
    <t>RB3513_1548G_58</t>
  </si>
  <si>
    <t>RB3516_00113_59</t>
  </si>
  <si>
    <t>RB3522_00113_61</t>
  </si>
  <si>
    <t>RB3523_02971_59</t>
  </si>
  <si>
    <t>RB3524_0066G_57</t>
  </si>
  <si>
    <t>RB3527_0296G_61</t>
  </si>
  <si>
    <t>RB3527_02971_61</t>
  </si>
  <si>
    <t>RB3529_00671_61</t>
  </si>
  <si>
    <t>RB3530_00113_58</t>
  </si>
  <si>
    <t>RB4068_71051_60</t>
  </si>
  <si>
    <t>RB4125_71051_59</t>
  </si>
  <si>
    <t>RB4147_601_60</t>
  </si>
  <si>
    <t>RB4147_60934M_56</t>
  </si>
  <si>
    <t>RB4171_60155_54</t>
  </si>
  <si>
    <t>RB4175_877Z2_57</t>
  </si>
  <si>
    <t>RB4180_60171_58</t>
  </si>
  <si>
    <t>RB4180_601S9A_58</t>
  </si>
  <si>
    <t>RB4180_60852L_58</t>
  </si>
  <si>
    <t>RB4180_60874Q_58</t>
  </si>
  <si>
    <t>RB4181_6019A_57</t>
  </si>
  <si>
    <t>RB4181_613671_57</t>
  </si>
  <si>
    <t>RB4181_71051_57</t>
  </si>
  <si>
    <t>RB4187_60756G_54</t>
  </si>
  <si>
    <t>RB4187_65613_54</t>
  </si>
  <si>
    <t>RB4191_601813_57</t>
  </si>
  <si>
    <t>RB4194_6018G_53</t>
  </si>
  <si>
    <t>RB4194_6019A_53</t>
  </si>
  <si>
    <t>RB4194_6019A_56</t>
  </si>
  <si>
    <t>RB4194_601S4L_53</t>
  </si>
  <si>
    <t>RB4194_71013_53</t>
  </si>
  <si>
    <t>RB4195_60158G_52</t>
  </si>
  <si>
    <t>RB4195_60171_52</t>
  </si>
  <si>
    <t>RB4195_601S9A_52</t>
  </si>
  <si>
    <t>RB4197_6018G_56</t>
  </si>
  <si>
    <t>RB4197_6019A_56</t>
  </si>
  <si>
    <t>RB4197_601S4L_56</t>
  </si>
  <si>
    <t>RB4197_601S71_56</t>
  </si>
  <si>
    <t>RB4197_620113_56</t>
  </si>
  <si>
    <t>RB4201_6226G_59</t>
  </si>
  <si>
    <t>RB4201_6228G_59</t>
  </si>
  <si>
    <t>RB4201_89811_59</t>
  </si>
  <si>
    <t>RB4202_606971_55</t>
  </si>
  <si>
    <t>RB4202_60723R_55</t>
  </si>
  <si>
    <t>RB4202_607313_55</t>
  </si>
  <si>
    <t>RB4202_71471_55</t>
  </si>
  <si>
    <t>RB4203_604340_51</t>
  </si>
  <si>
    <t>RB4207_601S9A_55</t>
  </si>
  <si>
    <t>RB4207_609671_52</t>
  </si>
  <si>
    <t>RB4207_609811_52</t>
  </si>
  <si>
    <t>RB4207_609811_55</t>
  </si>
  <si>
    <t>RB4210_601S71_50</t>
  </si>
  <si>
    <t>RB4211_89413_56</t>
  </si>
  <si>
    <t>RB4213_60171_61</t>
  </si>
  <si>
    <t>RB4213_601S9A_61</t>
  </si>
  <si>
    <t>RB4214_609283_59</t>
  </si>
  <si>
    <t>RB4214_61296G_59</t>
  </si>
  <si>
    <t>RB4224_601S71_49</t>
  </si>
  <si>
    <t>RB4225_89413_52</t>
  </si>
  <si>
    <t>RB4226_61898G_56</t>
  </si>
  <si>
    <t>RB4242_620113_49</t>
  </si>
  <si>
    <t>RB6041_001_58</t>
  </si>
  <si>
    <t>RB7059_6019A_55</t>
  </si>
  <si>
    <t>RB7059_601S71_55</t>
  </si>
  <si>
    <t>RB7059_71013_55</t>
  </si>
  <si>
    <t>RB7060_6018G_54</t>
  </si>
  <si>
    <t>RB7060_71013_54</t>
  </si>
  <si>
    <t>RB8041_086M3_58</t>
  </si>
  <si>
    <t>RB8301_004N3_56</t>
  </si>
  <si>
    <t>RB8301_004N3_59</t>
  </si>
  <si>
    <t>RB8315_00271_63</t>
  </si>
  <si>
    <t>RB8316_002_62</t>
  </si>
  <si>
    <t>RB8316_004_62</t>
  </si>
  <si>
    <t>RB8316_012N6_62</t>
  </si>
  <si>
    <t>RB8316_029N8_62</t>
  </si>
  <si>
    <t>RC660S_05B_61</t>
  </si>
  <si>
    <t>RJ9051S_15471_51</t>
  </si>
  <si>
    <t>RJ9052S_10071_47</t>
  </si>
  <si>
    <t>RJ9052S_17880_47</t>
  </si>
  <si>
    <t>RX5337_5527_54</t>
  </si>
  <si>
    <t>RX5346_5506_52</t>
  </si>
  <si>
    <t>RX5352_2000_52</t>
  </si>
  <si>
    <t>RX6304_2500_54</t>
  </si>
  <si>
    <t>RX6306_2500_54</t>
  </si>
  <si>
    <t>RX6320_2500_52</t>
  </si>
  <si>
    <t>RX6323_2500_54</t>
  </si>
  <si>
    <t>RX6323I_2500_54</t>
  </si>
  <si>
    <t>RX6324_2500_56</t>
  </si>
  <si>
    <t>RX6325_2503_53</t>
  </si>
  <si>
    <t>RX6325_2503_55</t>
  </si>
  <si>
    <t>RX6325_2730_55</t>
  </si>
  <si>
    <t>RX6326_2500_52</t>
  </si>
  <si>
    <t>RX6363_2861_54</t>
  </si>
  <si>
    <t>RX6368_2500_52</t>
  </si>
  <si>
    <t>RX6384_2500_52</t>
  </si>
  <si>
    <t>RX6385_2500_53</t>
  </si>
  <si>
    <t>RX7017_5196_54</t>
  </si>
  <si>
    <t>RX7025_2077_55</t>
  </si>
  <si>
    <t>RX7027_2475_54</t>
  </si>
  <si>
    <t>RX7029_2077_53</t>
  </si>
  <si>
    <t>RX7033_2012_52</t>
  </si>
  <si>
    <t>RX7074_5365_50</t>
  </si>
  <si>
    <t>RX8724_1128_56</t>
  </si>
  <si>
    <t>SC4732_C4_54</t>
  </si>
  <si>
    <t>SC4740_C4-51</t>
  </si>
  <si>
    <t>SC728_C1_51</t>
  </si>
  <si>
    <t>SC748_C117_51</t>
  </si>
  <si>
    <t>SC904_C3_54</t>
  </si>
  <si>
    <t>SC909_C1_53</t>
  </si>
  <si>
    <t>SC909_C2_53</t>
  </si>
  <si>
    <t>SEQUINZESheet</t>
  </si>
  <si>
    <t>SL234T_C3-51</t>
  </si>
  <si>
    <t>SS090_C2_52</t>
  </si>
  <si>
    <t>TF231_25F_59</t>
  </si>
  <si>
    <t>TF285_52K_61</t>
  </si>
  <si>
    <t>TF374_15B_61</t>
  </si>
  <si>
    <t>TH2603_C1_60</t>
  </si>
  <si>
    <t>TH2603_C2_60</t>
  </si>
  <si>
    <t>TH5190_C5_51</t>
  </si>
  <si>
    <t>TH5545_C4_53</t>
  </si>
  <si>
    <t>TH5608_C8_52</t>
  </si>
  <si>
    <t>TH5615_C4_50</t>
  </si>
  <si>
    <t>TH5630_C3_51</t>
  </si>
  <si>
    <t>TH5648_C2_48</t>
  </si>
  <si>
    <t>TH5696_C1_51</t>
  </si>
  <si>
    <t>TH5708_C1_52</t>
  </si>
  <si>
    <t>TH5709_C9_52</t>
  </si>
  <si>
    <t>TH7835_C1_60</t>
  </si>
  <si>
    <t>TH7847_C1_60</t>
  </si>
  <si>
    <t>TH7847_C6_60</t>
  </si>
  <si>
    <t>TH7850_C1_62</t>
  </si>
  <si>
    <t>TH7856_C4_59</t>
  </si>
  <si>
    <t>TH7856_C5_59</t>
  </si>
  <si>
    <t>TH7866_C2_58</t>
  </si>
  <si>
    <t>TH7867_C2_59</t>
  </si>
  <si>
    <t>TH7867_C3_59</t>
  </si>
  <si>
    <t>TH7867_C5_59</t>
  </si>
  <si>
    <t>TH7868_C3_62</t>
  </si>
  <si>
    <t>TH7871_C2_60</t>
  </si>
  <si>
    <t>TH7871_C4_60</t>
  </si>
  <si>
    <t>TH7875_C1_55</t>
  </si>
  <si>
    <t>TH7877_C2_61</t>
  </si>
  <si>
    <t>TH7877_C4_61</t>
  </si>
  <si>
    <t>TH7877_C5_61</t>
  </si>
  <si>
    <t>TH7878_C2_55</t>
  </si>
  <si>
    <t>TH7881_C1_59</t>
  </si>
  <si>
    <t>TH7882_C1_62</t>
  </si>
  <si>
    <t>TH7882_C2_62</t>
  </si>
  <si>
    <t>TH7882_C5_62</t>
  </si>
  <si>
    <t>TH7884_C1_60</t>
  </si>
  <si>
    <t>TH7886_C1_59</t>
  </si>
  <si>
    <t>TH7886_C3_59</t>
  </si>
  <si>
    <t>TH7890_C5_56</t>
  </si>
  <si>
    <t>TH7891_C4_56</t>
  </si>
  <si>
    <t>TH7892_C2_58</t>
  </si>
  <si>
    <t>TH7893_C1_59</t>
  </si>
  <si>
    <t>TH7893_C4_59</t>
  </si>
  <si>
    <t>TH7894_C3_56</t>
  </si>
  <si>
    <t>TH7902_C3_56</t>
  </si>
  <si>
    <t>TH7906_C2_54</t>
  </si>
  <si>
    <t>TH7907_C1_55</t>
  </si>
  <si>
    <t>TH7907_C2_55</t>
  </si>
  <si>
    <t>TH7907_C3_55</t>
  </si>
  <si>
    <t>TH7907_C4_55</t>
  </si>
  <si>
    <t>TH7916_C2_57</t>
  </si>
  <si>
    <t>TH7922_C2_60</t>
  </si>
  <si>
    <t>TH7946_C4_59</t>
  </si>
  <si>
    <t>TH7957_C1_60</t>
  </si>
  <si>
    <t>TH7958_C1_62</t>
  </si>
  <si>
    <t>TH7964_C1_60</t>
  </si>
  <si>
    <t>TH7964_C3_60</t>
  </si>
  <si>
    <t>TH7969_C1_59</t>
  </si>
  <si>
    <t>TH7969_C2_59</t>
  </si>
  <si>
    <t>TH7970_C1_60</t>
  </si>
  <si>
    <t>TH7973_C4_60</t>
  </si>
  <si>
    <t>TH7977_C2_56</t>
  </si>
  <si>
    <t>TH7979_C2_58</t>
  </si>
  <si>
    <t>TH7983_C1_60</t>
  </si>
  <si>
    <t>TH808_C3_59</t>
  </si>
  <si>
    <t>TML192P_LMLME_61</t>
  </si>
  <si>
    <t>VE2151_125213_62</t>
  </si>
  <si>
    <t>VE2159B_125213_59</t>
  </si>
  <si>
    <t>VE4201_300273_58</t>
  </si>
  <si>
    <t>VE4260_GB111_58</t>
  </si>
  <si>
    <t>VE4262_GB111_57</t>
  </si>
  <si>
    <t>VE4292_GB18G_57</t>
  </si>
  <si>
    <t>VE4293B_GB113_57</t>
  </si>
  <si>
    <t>VE4295_GB111_57</t>
  </si>
  <si>
    <t>VE4299_GB171_58</t>
  </si>
  <si>
    <t>VE4306Q_10813_56</t>
  </si>
  <si>
    <t>VE4316B_GB111_57</t>
  </si>
  <si>
    <t>VO2660_223514_58</t>
  </si>
  <si>
    <t>VO2660S_W65613_58</t>
  </si>
  <si>
    <t>VO2685SE_W9158E_55</t>
  </si>
  <si>
    <t>VO2695_186468_59</t>
  </si>
  <si>
    <t>VO2714_2279_52</t>
  </si>
  <si>
    <t>VO2743S_W65613_54</t>
  </si>
  <si>
    <t>VO2763_2015_51</t>
  </si>
  <si>
    <t>VO2770_W4411_56</t>
  </si>
  <si>
    <t>VO2794S_W4487_55</t>
  </si>
  <si>
    <t>VO2816_2183_52</t>
  </si>
  <si>
    <t>VO2843_W65613_56</t>
  </si>
  <si>
    <t>VO2846SB_W65613_57</t>
  </si>
  <si>
    <t>VO2852SM_W4411_57</t>
  </si>
  <si>
    <t>VO2894_W65613_56</t>
  </si>
  <si>
    <t>VO2894SB_W65613_56</t>
  </si>
  <si>
    <t>VO2911_2132_51</t>
  </si>
  <si>
    <t>VO2911_2287_53</t>
  </si>
  <si>
    <t>VO2915_225913_53</t>
  </si>
  <si>
    <t>VO2916SB_W65613_58</t>
  </si>
  <si>
    <t>VO2929SM_227214_57</t>
  </si>
  <si>
    <t>VO2937_W656_53</t>
  </si>
  <si>
    <t>VO2938_B1941_54</t>
  </si>
  <si>
    <t>VO2938_W44_54</t>
  </si>
  <si>
    <t>VO2941_W65613_56</t>
  </si>
  <si>
    <t>VO2943S_W65613_54</t>
  </si>
  <si>
    <t>VO2944_W4411_57</t>
  </si>
  <si>
    <t>VO2944S_228668_57</t>
  </si>
  <si>
    <t>VO2944S_W4411_57</t>
  </si>
  <si>
    <t>VO2950_2084_51</t>
  </si>
  <si>
    <t>VO2950_W857_53</t>
  </si>
  <si>
    <t>VO2950I_2084_51</t>
  </si>
  <si>
    <t>VO2959S_W4411_54</t>
  </si>
  <si>
    <t>VO2959SB_W65613_58</t>
  </si>
  <si>
    <t>VO2960_2323_54</t>
  </si>
  <si>
    <t>VO2961_2019_51</t>
  </si>
  <si>
    <t>VO2991_W4411_56</t>
  </si>
  <si>
    <t>VO2999B_2344_52</t>
  </si>
  <si>
    <t>VO3893I_280_52</t>
  </si>
  <si>
    <t>VO3933_352S_51</t>
  </si>
  <si>
    <t>VO3937_W44_51</t>
  </si>
  <si>
    <t>VO3950S_812_58</t>
  </si>
  <si>
    <t>VO3955_323_51</t>
  </si>
  <si>
    <t>VO3971B_897S_51</t>
  </si>
  <si>
    <t>VO3972_35211_58</t>
  </si>
  <si>
    <t>VO3972S_97714_58</t>
  </si>
  <si>
    <t>VO3977S_35211_60</t>
  </si>
  <si>
    <t>VO3982_35211_58</t>
  </si>
  <si>
    <t>VO3982SB_32314_58</t>
  </si>
  <si>
    <t>VO3982SB_84813_56</t>
  </si>
  <si>
    <t>VO3992I_352_53</t>
  </si>
  <si>
    <t>VO5008S_204813_57</t>
  </si>
  <si>
    <t>VO5010I_2362_53</t>
  </si>
  <si>
    <t>VO5120_2288_52</t>
  </si>
  <si>
    <t>VO5139_1941_52</t>
  </si>
  <si>
    <t>YOUNGSTEN</t>
  </si>
  <si>
    <t>BI</t>
  </si>
  <si>
    <t>DL</t>
  </si>
  <si>
    <t>Diesel</t>
  </si>
  <si>
    <t>DAMAGED PIECES</t>
  </si>
  <si>
    <t>FT_P230_GR3P_M</t>
  </si>
  <si>
    <t>BE20030_COL01_55</t>
  </si>
  <si>
    <t>1</t>
  </si>
  <si>
    <t>?</t>
  </si>
  <si>
    <t>No contributing data for this category</t>
  </si>
  <si>
    <t xml:space="preserve">FK SKU </t>
  </si>
  <si>
    <t>Correct SKU</t>
  </si>
  <si>
    <t>TH2603_BlkTorC2_60</t>
  </si>
  <si>
    <t>VE4268G_1357</t>
  </si>
  <si>
    <t>VE4278B_51368G_57</t>
  </si>
  <si>
    <t>B4178_331613_58</t>
  </si>
  <si>
    <t>BE3071_1017B3_57</t>
  </si>
  <si>
    <t>DG21013_1362</t>
  </si>
  <si>
    <t>DG2138_1247T3_61</t>
  </si>
  <si>
    <t>DG2141_125113_61</t>
  </si>
  <si>
    <t>DG6081_265213_60</t>
  </si>
  <si>
    <t>DG6087_5018G_55</t>
  </si>
  <si>
    <t>IDS1680_C1_58</t>
  </si>
  <si>
    <t>CECOS1720C3</t>
  </si>
  <si>
    <t>ID1720_C3_51</t>
  </si>
  <si>
    <t>IDS1736_C1_59</t>
  </si>
  <si>
    <t>CECOS1744C6</t>
  </si>
  <si>
    <t>CECOS1745C2</t>
  </si>
  <si>
    <t>IDS1759P_C3_59</t>
  </si>
  <si>
    <t>IDS1802_C1_57</t>
  </si>
  <si>
    <t>CECOS1800C9</t>
  </si>
  <si>
    <t>CECOSGLDV46WMJFNRRDK</t>
  </si>
  <si>
    <t>OO9189_03_61</t>
  </si>
  <si>
    <t>PR01OS_1AB3M1_55</t>
  </si>
  <si>
    <t>PR15QS_1AB1A1_53</t>
  </si>
  <si>
    <t>PR20PS_1AB0A7_56</t>
  </si>
  <si>
    <t>PR273M1_1454</t>
  </si>
  <si>
    <t>PR7087_C01_60</t>
  </si>
  <si>
    <t>PA7087_C01_60</t>
  </si>
  <si>
    <t>PS05PS_1AB0A7_58</t>
  </si>
  <si>
    <t>PS58QS_DG00A7_63</t>
  </si>
  <si>
    <t>RB2132_901/58_55</t>
  </si>
  <si>
    <t>RB3016_114530_51F1</t>
  </si>
  <si>
    <t>RB3016_W0366_51F1</t>
  </si>
  <si>
    <t>RB30115_9458</t>
  </si>
  <si>
    <t>RB3025_0013F_55F1</t>
  </si>
  <si>
    <t>RB3025_0013F_62F1</t>
  </si>
  <si>
    <t>RB3025_0013K_58F1</t>
  </si>
  <si>
    <t>RB3025_00141_58</t>
  </si>
  <si>
    <t>RB3025_0015_55F1</t>
  </si>
  <si>
    <t>RB3025_00151_55F1</t>
  </si>
  <si>
    <t>RB30001_5864</t>
  </si>
  <si>
    <t>RB30001_5869</t>
  </si>
  <si>
    <t>RB30/57_7462</t>
  </si>
  <si>
    <t>RB3025_00157_62F1</t>
  </si>
  <si>
    <t>RB3025_00158_55F1</t>
  </si>
  <si>
    <t>RB3025_00158_58F1</t>
  </si>
  <si>
    <t>RB30001_6958</t>
  </si>
  <si>
    <t>RB3025_002/3F_58</t>
  </si>
  <si>
    <t>RB30002_5859</t>
  </si>
  <si>
    <t>RB3025_0025_55F1</t>
  </si>
  <si>
    <t>RB3025_00258_58F1</t>
  </si>
  <si>
    <t>RB3025_003/3F_62</t>
  </si>
  <si>
    <t>RB30003_5867</t>
  </si>
  <si>
    <t>RB3025_0033F_55F1</t>
  </si>
  <si>
    <t>RB3025_0033F_58F1</t>
  </si>
  <si>
    <t>RB3025_0045_55F1</t>
  </si>
  <si>
    <t>RB3025_00451_55F1</t>
  </si>
  <si>
    <t>RB30/51_5758</t>
  </si>
  <si>
    <t>RB3025_00451_62F1</t>
  </si>
  <si>
    <t>RB30004_5879</t>
  </si>
  <si>
    <t>RB3025_00478_55F1</t>
  </si>
  <si>
    <t>RB3025_00478_58F1</t>
  </si>
  <si>
    <t>RB3025_00478_62F1</t>
  </si>
  <si>
    <t>RB3025_004G_58F1</t>
  </si>
  <si>
    <t>RB3025_0145_55F1</t>
  </si>
  <si>
    <t>RB3025_019Z2_58F1</t>
  </si>
  <si>
    <t>RB3025_03232_58F1</t>
  </si>
  <si>
    <t>RB3025_11217_58F1</t>
  </si>
  <si>
    <t>RB3025_11269_58F1</t>
  </si>
  <si>
    <t>RB3025_11293_58F1</t>
  </si>
  <si>
    <t>RB3025_L1744_58F1</t>
  </si>
  <si>
    <t>RB30L29_5857</t>
  </si>
  <si>
    <t>RB30L97_5852</t>
  </si>
  <si>
    <t>RB3025_L9797_58F1</t>
  </si>
  <si>
    <t>RB3025_R0202_58F1</t>
  </si>
  <si>
    <t>RB3025_R1072_58F1</t>
  </si>
  <si>
    <t>RB30W32_5559</t>
  </si>
  <si>
    <t>RB30W32_5859</t>
  </si>
  <si>
    <t>RB30L02_5458</t>
  </si>
  <si>
    <t>RB3025JM_0014M_58F1</t>
  </si>
  <si>
    <t>RB30w204962</t>
  </si>
  <si>
    <t>RB3334_001_61F1</t>
  </si>
  <si>
    <t>RB3342_004_63F1</t>
  </si>
  <si>
    <t>RB3342_00451_63F1</t>
  </si>
  <si>
    <t>RB3342_00458_63F1</t>
  </si>
  <si>
    <t>RB3342_006_60F1</t>
  </si>
  <si>
    <t>RB3386_0029A_63F1</t>
  </si>
  <si>
    <t>RB3412_001_63F1</t>
  </si>
  <si>
    <t>RB3412_002_63F1</t>
  </si>
  <si>
    <t>RB3447_01930_50F1</t>
  </si>
  <si>
    <t>rb3447_112Z2_50</t>
  </si>
  <si>
    <t>RB3449_003/8G_59</t>
  </si>
  <si>
    <t>RB4165_601/8G_55</t>
  </si>
  <si>
    <t>RB4194_601/9A_53</t>
  </si>
  <si>
    <t>RB4197_6018G_55</t>
  </si>
  <si>
    <t>TH7850_BLKgunC1_62</t>
  </si>
  <si>
    <t>TH7866_BlkgnC2_58</t>
  </si>
  <si>
    <t>TH7868_Gdbr34C3_62</t>
  </si>
  <si>
    <t>TH7871_HAV34C@_60</t>
  </si>
  <si>
    <t>TH7951_HAVC4_59</t>
  </si>
  <si>
    <t>VE4260_10813_58</t>
  </si>
  <si>
    <t>VO2843S_W65613_56</t>
  </si>
  <si>
    <t>VO2993SB_W65613_57</t>
  </si>
  <si>
    <t>VO38483_756_50</t>
  </si>
  <si>
    <t>RB3404_00471_65</t>
  </si>
  <si>
    <t>RB3423_001_63</t>
  </si>
  <si>
    <t>ID1802_C10_57</t>
  </si>
  <si>
    <t>RB3320_0028G_64</t>
  </si>
  <si>
    <t>VO2915_W4411_53</t>
  </si>
  <si>
    <t>RB3306_004_60F1</t>
  </si>
  <si>
    <t>VE4264B_51278G_57</t>
  </si>
  <si>
    <t>VO2915_231148_53</t>
  </si>
  <si>
    <t>RB3386_02988_67</t>
  </si>
  <si>
    <t>RB3445_02971_61</t>
  </si>
  <si>
    <t>PS55QS_DGO0A7_64</t>
  </si>
  <si>
    <t>ID1775_C5_M</t>
  </si>
  <si>
    <t>IDS1775_C5_49</t>
  </si>
  <si>
    <t>PS02QS_UAW8Z1_62</t>
  </si>
  <si>
    <t>RB3498_00413_64</t>
  </si>
  <si>
    <t>RB3516_113_59</t>
  </si>
  <si>
    <t>RB3447JM_1684E_50</t>
  </si>
  <si>
    <t>OO9211_03_38</t>
  </si>
  <si>
    <t>VO2770S_W4411_58</t>
  </si>
  <si>
    <t>PA7078_C03_L</t>
  </si>
  <si>
    <t>EA4001_5064_56</t>
  </si>
  <si>
    <t>OO9126_26_55</t>
  </si>
  <si>
    <t>PA7070_C02_M</t>
  </si>
  <si>
    <t>RB3445_005K3_61</t>
  </si>
  <si>
    <t>RB3267_01483_69</t>
  </si>
  <si>
    <t>VE2145_100213_58</t>
  </si>
  <si>
    <t>RB3025_0014M_58</t>
  </si>
  <si>
    <t>9102_01_55</t>
  </si>
  <si>
    <t>RB6404_2500_54</t>
  </si>
  <si>
    <t>RB3016_1160_49</t>
  </si>
  <si>
    <t>PS55QS_DG00A7_59</t>
  </si>
  <si>
    <t>OO9211_02_38</t>
  </si>
  <si>
    <t>RB3498_00681_61</t>
  </si>
  <si>
    <t>OO9343_03_45</t>
  </si>
  <si>
    <t>RB3445_01451_64</t>
  </si>
  <si>
    <t>VO2963_228713_53</t>
  </si>
  <si>
    <t>OO9211_05_38</t>
  </si>
  <si>
    <t>IDS1721_C1_55</t>
  </si>
  <si>
    <t>PR53OS_5AV0A7_60</t>
  </si>
  <si>
    <t>OO9102_03-55</t>
  </si>
  <si>
    <t>RB3016_1157_51</t>
  </si>
  <si>
    <t>OO6189_03_60</t>
  </si>
  <si>
    <t>VO2795_W4411_53</t>
  </si>
  <si>
    <t>RB2132_622_55_F1</t>
  </si>
  <si>
    <t>RB4068_71051_60F1</t>
  </si>
  <si>
    <t>PA7092_C01_58</t>
  </si>
  <si>
    <t>RB41447_60132_56</t>
  </si>
  <si>
    <t>rb4147_60934M_56</t>
  </si>
  <si>
    <t>rb4195_60171_52</t>
  </si>
  <si>
    <t>RB4187_60786Q_54</t>
  </si>
  <si>
    <t>RB4180_60874q_58</t>
  </si>
  <si>
    <t>RB4197_60171_56</t>
  </si>
  <si>
    <t>vo2959_230213_54</t>
  </si>
  <si>
    <t>VO2778_w4487_58</t>
  </si>
  <si>
    <t>4197_6019A_56</t>
  </si>
  <si>
    <t>VO2915_22618H_53</t>
  </si>
  <si>
    <t>VO294201148</t>
  </si>
  <si>
    <t>VO2941_W4411_56</t>
  </si>
  <si>
    <t>VO3977_35211_60</t>
  </si>
  <si>
    <t>VO2941_227913_56</t>
  </si>
  <si>
    <t>RB3449_0038G_50</t>
  </si>
  <si>
    <t>RB3432_001_50</t>
  </si>
  <si>
    <t>OO9208_04_138</t>
  </si>
  <si>
    <t>RB3025_00258_62F1</t>
  </si>
  <si>
    <t>RB3412_004_63F1</t>
  </si>
  <si>
    <t>RB3129_W1504_58F1</t>
  </si>
  <si>
    <t>IZ517_COL2_54</t>
  </si>
  <si>
    <t>IZ517_C1_54</t>
  </si>
  <si>
    <t>IZ277_C3_M</t>
  </si>
  <si>
    <t>IZ488_C3_L</t>
  </si>
  <si>
    <t>TH7867_C2_50</t>
  </si>
  <si>
    <t>TH7958_C3_62</t>
  </si>
  <si>
    <t>5060S_W65613_53</t>
  </si>
  <si>
    <t>VO5060S_W65613_53</t>
  </si>
  <si>
    <t>VO2729S_209313_57</t>
  </si>
  <si>
    <t>0VO2817S_W44/11_53</t>
  </si>
  <si>
    <t>VO2817S_W4411_53</t>
  </si>
  <si>
    <t>IDS1982_C1_53</t>
  </si>
  <si>
    <t>0VO2872S_218668_50</t>
  </si>
  <si>
    <t>VO2872S_218668_50</t>
  </si>
  <si>
    <t>0VO2795S_204113_53</t>
  </si>
  <si>
    <t>VO2795S_204113_53</t>
  </si>
  <si>
    <t>0VO2757S_W4411_57</t>
  </si>
  <si>
    <t>VO2757S_W4411_57</t>
  </si>
  <si>
    <t>0VO2819S_211911_58</t>
  </si>
  <si>
    <t>VO2819S_211911_58</t>
  </si>
  <si>
    <t>ID2008_C6_M</t>
  </si>
  <si>
    <t>IDS2000_C9_57</t>
  </si>
  <si>
    <t>2794S_W65613_55</t>
  </si>
  <si>
    <t>VO2794S_W65613_55</t>
  </si>
  <si>
    <t>0VO2845S_W65613_56</t>
  </si>
  <si>
    <t>VO2845S_W65613_56</t>
  </si>
  <si>
    <t>VO2757S_W65613_57</t>
  </si>
  <si>
    <t>0VO2780S_202387_58</t>
  </si>
  <si>
    <t>VO2780S_202387_58</t>
  </si>
  <si>
    <t>VO2939S_22828H_55</t>
  </si>
  <si>
    <t>VO2740SB_21278D_60</t>
  </si>
  <si>
    <t>0VO2830SM_204813_57</t>
  </si>
  <si>
    <t>VO2830SM_204813_57</t>
  </si>
  <si>
    <t>0VO2829SM_204813_58</t>
  </si>
  <si>
    <t>VO2829SM_204813_58</t>
  </si>
  <si>
    <t>IDS2000_C10_57</t>
  </si>
  <si>
    <t>0VO2844S_215036_57</t>
  </si>
  <si>
    <t>VO2844S_215036_57</t>
  </si>
  <si>
    <t>VO2939S_228013_55</t>
  </si>
  <si>
    <t>IDS1859_C11_57</t>
  </si>
  <si>
    <t>0VO2677S_20936H_57</t>
  </si>
  <si>
    <t>VO2677S_20936H_57</t>
  </si>
  <si>
    <t>0VO2778SB_17541458_58</t>
  </si>
  <si>
    <t>VO2778SB_175414_58</t>
  </si>
  <si>
    <t>VO3967S_981S48_57</t>
  </si>
  <si>
    <t>VO2843S_21528F_56</t>
  </si>
  <si>
    <t>V02941S_W65613_56</t>
  </si>
  <si>
    <t>IDS1988_C4_54</t>
  </si>
  <si>
    <t>3997S_32311_58</t>
  </si>
  <si>
    <t>VO3997S_32311_58</t>
  </si>
  <si>
    <t>VO2757S_199848_57</t>
  </si>
  <si>
    <t>VO2778SB_20478E_58</t>
  </si>
  <si>
    <t>ID1995_C2P_65</t>
  </si>
  <si>
    <t>0VO2872S_W4411_50</t>
  </si>
  <si>
    <t>VO2872S_W4411_50</t>
  </si>
  <si>
    <t>IDS1758_C1_M</t>
  </si>
  <si>
    <t>0VO2844S_190913_57</t>
  </si>
  <si>
    <t>VO2844S_190913_57</t>
  </si>
  <si>
    <t>IDS2046_C1_55</t>
  </si>
  <si>
    <t>0VO2770S_211911_56</t>
  </si>
  <si>
    <t>VO2770S_211911_56</t>
  </si>
  <si>
    <t>0VO2845S_W44S11_56</t>
  </si>
  <si>
    <t>VO2845S_W44S11_56</t>
  </si>
  <si>
    <t>0VO2770S_150813_56</t>
  </si>
  <si>
    <t>VO2770S_150813_56</t>
  </si>
  <si>
    <t>TH7934_C4_54</t>
  </si>
  <si>
    <t>0VO3877S_352S71_58</t>
  </si>
  <si>
    <t>VO3877S_352S71_58</t>
  </si>
  <si>
    <t>0VO2638S_197814_60</t>
  </si>
  <si>
    <t>VO2638S_197814_60</t>
  </si>
  <si>
    <t>TH7850_C3_62</t>
  </si>
  <si>
    <t>0VO2916SB_23218H_58</t>
  </si>
  <si>
    <t>VO2916SB_23218H_58</t>
  </si>
  <si>
    <t>IDS2046_C3_55</t>
  </si>
  <si>
    <t>0VO2780S_202813_58</t>
  </si>
  <si>
    <t>VO2780S_202813_58</t>
  </si>
  <si>
    <t>0VO3832S_54813_57</t>
  </si>
  <si>
    <t>VO3832S_54813_57</t>
  </si>
  <si>
    <t>3990SI_28013_55</t>
  </si>
  <si>
    <t>VO3990S_28013_55</t>
  </si>
  <si>
    <t>VO3977S_93413_60</t>
  </si>
  <si>
    <t>0VO2677S_207855_57</t>
  </si>
  <si>
    <t>VO2677S_207855_57</t>
  </si>
  <si>
    <t>TH7962_C3_62</t>
  </si>
  <si>
    <t>0VO2852SM_W4411_57</t>
  </si>
  <si>
    <t>VO2704SB_150813_60</t>
  </si>
  <si>
    <t>0VO2872S_218714_50</t>
  </si>
  <si>
    <t>VO2872S_218714_50</t>
  </si>
  <si>
    <t>IDS1950_C5_58</t>
  </si>
  <si>
    <t>0VO2743S_168314_54</t>
  </si>
  <si>
    <t>VO2743S_168314_54</t>
  </si>
  <si>
    <t>0VO2852SM_21008H_57</t>
  </si>
  <si>
    <t>VO2852SM_21008H_57</t>
  </si>
  <si>
    <t>VO2826SM_209913_56</t>
  </si>
  <si>
    <t>0VO2818S_W65613_52</t>
  </si>
  <si>
    <t>VO2818S_W65613_52</t>
  </si>
  <si>
    <t>0VO2612S_175013_59</t>
  </si>
  <si>
    <t>VO2612S_175013_59</t>
  </si>
  <si>
    <t>0VO2832SB_W4411_57</t>
  </si>
  <si>
    <t>VO2832SB_W4411_57</t>
  </si>
  <si>
    <t>PS56QS_TIG3C2_56</t>
  </si>
  <si>
    <t>IDS2067_C4_60</t>
  </si>
  <si>
    <t>IDS1975_C3_57</t>
  </si>
  <si>
    <t>0VO2704SB_212532_60</t>
  </si>
  <si>
    <t>VO2704SB_212532_60</t>
  </si>
  <si>
    <t>0VO3846S_54836_55</t>
  </si>
  <si>
    <t>VO3846S_54836_55</t>
  </si>
  <si>
    <t>IDS1939_C5_57</t>
  </si>
  <si>
    <t>IDS2085_C1_L</t>
  </si>
  <si>
    <t>0VO2757S_W65613_57</t>
  </si>
  <si>
    <t>0VO2757S_209313_57</t>
  </si>
  <si>
    <t>VO2757S_209313_57</t>
  </si>
  <si>
    <t>VO2847S_215532_54</t>
  </si>
  <si>
    <t>TH7942_C5_56</t>
  </si>
  <si>
    <t>0VO3967S_35211_57</t>
  </si>
  <si>
    <t>VO3967S_35211_57</t>
  </si>
  <si>
    <t>0VO2846SB_W4411_57</t>
  </si>
  <si>
    <t>VO2846SB_W4411_57</t>
  </si>
  <si>
    <t>IDS2070_C2_48</t>
  </si>
  <si>
    <t>0VO2671S_W4487_58</t>
  </si>
  <si>
    <t>VO2671S_W4487_58</t>
  </si>
  <si>
    <t>0VO2827SM_19658H_56</t>
  </si>
  <si>
    <t>VO2827SM_19658H_56</t>
  </si>
  <si>
    <t>0VO2830SM_W4487_57</t>
  </si>
  <si>
    <t>VO2830SM_W4487_57</t>
  </si>
  <si>
    <t>0VO2844S_21518H_57</t>
  </si>
  <si>
    <t>VO2844S_21518H_57</t>
  </si>
  <si>
    <t>VO2941S_22778H_56</t>
  </si>
  <si>
    <t>IDS1939_C4_57</t>
  </si>
  <si>
    <t>IDS1774_C1_M</t>
  </si>
  <si>
    <t>V02971S_232548_50</t>
  </si>
  <si>
    <t>VO2971S_232548_50</t>
  </si>
  <si>
    <t>IDS1914_C12P_62</t>
  </si>
  <si>
    <t>0VO2872S_218548_50</t>
  </si>
  <si>
    <t>VO2872S_218548_50</t>
  </si>
  <si>
    <t>VO2843S_215336_56</t>
  </si>
  <si>
    <t>VO2852SM_204813_57</t>
  </si>
  <si>
    <t>TH7961_C4_59</t>
  </si>
  <si>
    <t>0VO2830SM_131214_57</t>
  </si>
  <si>
    <t>VO2830SM_131214_57</t>
  </si>
  <si>
    <t>5033S_238911_54</t>
  </si>
  <si>
    <t>VO5033S_238911_54</t>
  </si>
  <si>
    <t>0VO2844S_W4411_57</t>
  </si>
  <si>
    <t>VO2844S_W4411_57</t>
  </si>
  <si>
    <t>VO2896S_2279R5_54</t>
  </si>
  <si>
    <t>VO3972S_98248_58</t>
  </si>
  <si>
    <t>0VO2943SB_W4411_55</t>
  </si>
  <si>
    <t>VO2819S_21188H_58</t>
  </si>
  <si>
    <t>0VO5050S_W4411_54</t>
  </si>
  <si>
    <t>VO5050S_W4411_54</t>
  </si>
  <si>
    <t>0VO2832SB_21308F_57</t>
  </si>
  <si>
    <t>VO2832SB_21308F_57</t>
  </si>
  <si>
    <t>V02916SB_232314_58</t>
  </si>
  <si>
    <t>VO2916SB_232314_58</t>
  </si>
  <si>
    <t>TH7904_C2_57</t>
  </si>
  <si>
    <t>VO2940S_W4411_58</t>
  </si>
  <si>
    <t>TH7957_C3_60</t>
  </si>
  <si>
    <t>TH7859_C4_59</t>
  </si>
  <si>
    <t>IDEES1762C4_M</t>
  </si>
  <si>
    <t>IDS1762_C4_M</t>
  </si>
  <si>
    <t>IDS2032_C4_63</t>
  </si>
  <si>
    <t>0VO2730S_20308F_51</t>
  </si>
  <si>
    <t>VO2730S_20308F_51</t>
  </si>
  <si>
    <t>DG2139_110771_61</t>
  </si>
  <si>
    <t>0VO2827SM_W4411_</t>
  </si>
  <si>
    <t>VO2827SM_W4411_56</t>
  </si>
  <si>
    <t>0VO2778SB_175414_58</t>
  </si>
  <si>
    <t>TH7848_C4_57</t>
  </si>
  <si>
    <t>0V02918S_22561G_56</t>
  </si>
  <si>
    <t>VO2918S_22561G_56</t>
  </si>
  <si>
    <t>PS56QS_DG01A1_56</t>
  </si>
  <si>
    <t>VO2778SB_216073_58</t>
  </si>
  <si>
    <t>IDS1983_C1_55</t>
  </si>
  <si>
    <t>VO2917S_W65613_56</t>
  </si>
  <si>
    <t>IDS1990_C6_57</t>
  </si>
  <si>
    <t>IDS2067_C3_60</t>
  </si>
  <si>
    <t>TH7962_C2_62</t>
  </si>
  <si>
    <t>0VO3832S_81113_57</t>
  </si>
  <si>
    <t>VO3832S_81113_57</t>
  </si>
  <si>
    <t>0VO2818S_211411_52</t>
  </si>
  <si>
    <t>VO2818S_211411_52</t>
  </si>
  <si>
    <t>IDS2071_C7P_51</t>
  </si>
  <si>
    <t>IDS2032_C2_63</t>
  </si>
  <si>
    <t>VO2677S_197711_57</t>
  </si>
  <si>
    <t>0VO2847S_W44S71_54</t>
  </si>
  <si>
    <t>VO2847S_W44S71_54</t>
  </si>
  <si>
    <t>0VO2773S_203814_56</t>
  </si>
  <si>
    <t>VO2773S_203814_56</t>
  </si>
  <si>
    <t>TH7843_C5_57</t>
  </si>
  <si>
    <t>VO2780S_21596V_4290</t>
  </si>
  <si>
    <t>VO2780S_21596V_58</t>
  </si>
  <si>
    <t>IDS1981_C7_59</t>
  </si>
  <si>
    <t>TH7946_C1_59</t>
  </si>
  <si>
    <t>IDS2046_C2_55</t>
  </si>
  <si>
    <t>IDS1973_C8_56</t>
  </si>
  <si>
    <t>IDEE-1945-C2_51</t>
  </si>
  <si>
    <t>ID1945_C2_51</t>
  </si>
  <si>
    <t>0VO2743S_178368_54</t>
  </si>
  <si>
    <t>VO2743S_178368_54</t>
  </si>
  <si>
    <t>0VO3846S_54855_55</t>
  </si>
  <si>
    <t>VO3846S_54855_55</t>
  </si>
  <si>
    <t>IDS2034_C2_55</t>
  </si>
  <si>
    <t>TH7956_C2_59</t>
  </si>
  <si>
    <t>0VO2865_2187_52</t>
  </si>
  <si>
    <t>VO2865_2187_52</t>
  </si>
  <si>
    <t>0VO2677S_21244V_57</t>
  </si>
  <si>
    <t>VO2677S_21244V_57</t>
  </si>
  <si>
    <t>0VO2830SM_194713_57</t>
  </si>
  <si>
    <t>VO2830SM_194713_57</t>
  </si>
  <si>
    <t>0VO2677S_W65613_57</t>
  </si>
  <si>
    <t>VO2677S_W65613_57</t>
  </si>
  <si>
    <t>VE4275_GB187_56</t>
  </si>
  <si>
    <t>0VO2773S_203911_56</t>
  </si>
  <si>
    <t>VO2773S_203911_56</t>
  </si>
  <si>
    <t>0VO2778SB_215948_58</t>
  </si>
  <si>
    <t>VO2778SB_215948_58</t>
  </si>
  <si>
    <t>TH7859_C2_59</t>
  </si>
  <si>
    <t>TH7859_C1_59</t>
  </si>
  <si>
    <t>0VO2872S_218413_50</t>
  </si>
  <si>
    <t>VO2872S_218413_50</t>
  </si>
  <si>
    <t>IDS1776_C1_57</t>
  </si>
  <si>
    <t>TH7843_C3_57</t>
  </si>
  <si>
    <t>0VO2677S_W4411_57</t>
  </si>
  <si>
    <t>VO2677S_W4411_57</t>
  </si>
  <si>
    <t>VO2847S_20236V_54</t>
  </si>
  <si>
    <t>IDS2044_C6P_59</t>
  </si>
  <si>
    <t>TH7867_C3_59F1</t>
  </si>
  <si>
    <t>IDS1914_C7_62</t>
  </si>
  <si>
    <t>0VO3811SE_28013_59</t>
  </si>
  <si>
    <t>VO3811SE_28013_59</t>
  </si>
  <si>
    <t>IDS1993_C3_60</t>
  </si>
  <si>
    <t>0VO2826SM_W4487_56</t>
  </si>
  <si>
    <t>VO2826SM_W4487_56</t>
  </si>
  <si>
    <t>TH7961_C3_59</t>
  </si>
  <si>
    <t>VO2944S_228548_57</t>
  </si>
  <si>
    <t>0VO2827SM_204911_56</t>
  </si>
  <si>
    <t>VO2827SM_204911_56</t>
  </si>
  <si>
    <t>0VO2829SM_20658F_58</t>
  </si>
  <si>
    <t>VO2829SM_20658F_58</t>
  </si>
  <si>
    <t>IDS2107_C2_55</t>
  </si>
  <si>
    <t>IDS2001_C14P_M</t>
  </si>
  <si>
    <t>IDS1988_C1_54</t>
  </si>
  <si>
    <t>0VO2871S_150813_56</t>
  </si>
  <si>
    <t>VO2871S_150813_56</t>
  </si>
  <si>
    <t>IDS1983_C3_55</t>
  </si>
  <si>
    <t>IDS2091_C1_59</t>
  </si>
  <si>
    <t>0VO3883SB_548S48_60</t>
  </si>
  <si>
    <t>VO3883SB_548S48_60</t>
  </si>
  <si>
    <t>0VO2826SM_21008D_56</t>
  </si>
  <si>
    <t>VO2826SM_21008D_56</t>
  </si>
  <si>
    <t>V02795SM_229648_53</t>
  </si>
  <si>
    <t>VO2795SM_229648_53</t>
  </si>
  <si>
    <t>0VO2941S_22788F_56</t>
  </si>
  <si>
    <t>VO2941S_22788F_56</t>
  </si>
  <si>
    <t>0VO2743S_171711_54</t>
  </si>
  <si>
    <t>VO2743S_171711_54</t>
  </si>
  <si>
    <t>ID1982_C2_M</t>
  </si>
  <si>
    <t>IDS1845_C2_61</t>
  </si>
  <si>
    <t>VO2827SM_210113_56</t>
  </si>
  <si>
    <t>ID1812_C11P_M</t>
  </si>
  <si>
    <t>0VO2914S_W4471_57</t>
  </si>
  <si>
    <t>VO2914S_W4471_57</t>
  </si>
  <si>
    <t>VO2669S_W65613_58</t>
  </si>
  <si>
    <t>TH7866_C1_58</t>
  </si>
  <si>
    <t>0VO2729S_20328H_57</t>
  </si>
  <si>
    <t>VO2729S_20328H_57</t>
  </si>
  <si>
    <t>VO2729S_W446G_57</t>
  </si>
  <si>
    <t>0VO2943SB_13128H_55</t>
  </si>
  <si>
    <t>VO2943SB_13128H_55</t>
  </si>
  <si>
    <t>VO2939S_W4411_55</t>
  </si>
  <si>
    <t>TH7847_C8_60</t>
  </si>
  <si>
    <t>0VO2819S_W65613_58</t>
  </si>
  <si>
    <t>VO2819S_W65613_58</t>
  </si>
  <si>
    <t>IDS1666_C2_58</t>
  </si>
  <si>
    <t>DG6095_289687_55</t>
  </si>
  <si>
    <t>IDS1937_C3P_56</t>
  </si>
  <si>
    <t>0VO2844S_21498F_57</t>
  </si>
  <si>
    <t>VO2844S_21498F_57</t>
  </si>
  <si>
    <t>ID1899_C1_64</t>
  </si>
  <si>
    <t>0VO2819S_214814_58</t>
  </si>
  <si>
    <t>VO2819S_214814_58</t>
  </si>
  <si>
    <t>0VO2826SM_20988F_56</t>
  </si>
  <si>
    <t>VO2826SM_20988F_56</t>
  </si>
  <si>
    <t>0VO3799S_352S71_58</t>
  </si>
  <si>
    <t>VO3799S_352S71_58</t>
  </si>
  <si>
    <t>0VO3760SE_28013_64</t>
  </si>
  <si>
    <t>VO3760SE_28013_64</t>
  </si>
  <si>
    <t>V02897S_W65613_54</t>
  </si>
  <si>
    <t>VO2897S_W65613_54</t>
  </si>
  <si>
    <t>VO3977S_982S48_60</t>
  </si>
  <si>
    <t>TH7869_C2_60F1</t>
  </si>
  <si>
    <t>IDS2032_C3_63</t>
  </si>
  <si>
    <t>IDS2032_C5_63</t>
  </si>
  <si>
    <t>VO3950SD_981S8E_58</t>
  </si>
  <si>
    <t>TH7885_C1_55</t>
  </si>
  <si>
    <t>0VO2852SM_21098F_57</t>
  </si>
  <si>
    <t>VO2852SM_21098F_57</t>
  </si>
  <si>
    <t>TH7859_C3_59</t>
  </si>
  <si>
    <t>0V03972S_35211_58</t>
  </si>
  <si>
    <t>VO3972S_35211_58</t>
  </si>
  <si>
    <t>0VO2742S_21278D_57</t>
  </si>
  <si>
    <t>VO2742S_21278D_57</t>
  </si>
  <si>
    <t>TH7856_C3_59</t>
  </si>
  <si>
    <t>0VO2660S_W4411_58</t>
  </si>
  <si>
    <t>VO2660S_W4411_58</t>
  </si>
  <si>
    <t>VO2993S57_W65613_57</t>
  </si>
  <si>
    <t>VO2855SM_21638D_56</t>
  </si>
  <si>
    <t>0VO3846S_5484V_55</t>
  </si>
  <si>
    <t>VO3846S_5484V_55</t>
  </si>
  <si>
    <t>IDS1995_C5_65</t>
  </si>
  <si>
    <t>2940SM_W4411_58</t>
  </si>
  <si>
    <t>VO2940SM_W4411_58</t>
  </si>
  <si>
    <t>TH7861_C4_60</t>
  </si>
  <si>
    <t>IDS2065_C2_52</t>
  </si>
  <si>
    <t>0VO2845S_18668H_56</t>
  </si>
  <si>
    <t>VO2845S_18668H_56</t>
  </si>
  <si>
    <t>VO2927SM_W4411_57</t>
  </si>
  <si>
    <t>IDS1939_C6_57</t>
  </si>
  <si>
    <t>0VO3846S_54836_58</t>
  </si>
  <si>
    <t>VO3846S_54836_58</t>
  </si>
  <si>
    <t>OO9341_09_57</t>
  </si>
  <si>
    <t>OO9188_01_59</t>
  </si>
  <si>
    <t>OO9316_07_63</t>
  </si>
  <si>
    <t>OO9199_01_56</t>
  </si>
  <si>
    <t>OO9353_09_52</t>
  </si>
  <si>
    <t>OO9264_02_57</t>
  </si>
  <si>
    <t>OO9175_04_55</t>
  </si>
  <si>
    <t>OO9265_15_53</t>
  </si>
  <si>
    <t>OO9272_02_55</t>
  </si>
  <si>
    <t>OO9013_52_55</t>
  </si>
  <si>
    <t>OO9264_01_57</t>
  </si>
  <si>
    <t>OO9265_65_53</t>
  </si>
  <si>
    <t>OO9265_10_53</t>
  </si>
  <si>
    <t>OO9265_12_53</t>
  </si>
  <si>
    <t>OO9188_05_59</t>
  </si>
  <si>
    <t>OO2043_05_56</t>
  </si>
  <si>
    <t>OO9208_19_38</t>
  </si>
  <si>
    <t>OO9140_12_31</t>
  </si>
  <si>
    <t>OO9264_12_57</t>
  </si>
  <si>
    <t>OO9135_01_58</t>
  </si>
  <si>
    <t>OO9188_22_59</t>
  </si>
  <si>
    <t>OO9316_09_63</t>
  </si>
  <si>
    <t>OO9264_23_57</t>
  </si>
  <si>
    <t>OO9200_04_61</t>
  </si>
  <si>
    <t>OO9343_06_45</t>
  </si>
  <si>
    <t>OO9343_02_45</t>
  </si>
  <si>
    <t>OO9316_03_63</t>
  </si>
  <si>
    <t>OO9013_53_55</t>
  </si>
  <si>
    <t>OO9212_12_39</t>
  </si>
  <si>
    <t>OO9265_14_53</t>
  </si>
  <si>
    <t>OO9308_02_38</t>
  </si>
  <si>
    <t>OO9343_08_45</t>
  </si>
  <si>
    <t>OO9308_01_38</t>
  </si>
  <si>
    <t>0O4060_03_45</t>
  </si>
  <si>
    <t>OO4060_03_45</t>
  </si>
  <si>
    <t>OO9188_24_59</t>
  </si>
  <si>
    <t>OO9208_43_38</t>
  </si>
  <si>
    <t>OO9208_21_38</t>
  </si>
  <si>
    <t>OO9199_02_56</t>
  </si>
  <si>
    <t>OO9188_23_59</t>
  </si>
  <si>
    <t>OO9102_83_55</t>
  </si>
  <si>
    <t>OO9262_26_59</t>
  </si>
  <si>
    <t>RB3025_1671M_58F1</t>
  </si>
  <si>
    <t>RB4187_85613_54F1</t>
  </si>
  <si>
    <t>RB3148_001_59</t>
  </si>
  <si>
    <t>RB3412_002_63F2</t>
  </si>
  <si>
    <t>RB3449_00113_59F1</t>
  </si>
  <si>
    <t>RB3527_02971_61F1</t>
  </si>
  <si>
    <t>RB3025_181_62F1</t>
  </si>
  <si>
    <t>RB3132_001_56</t>
  </si>
  <si>
    <t>RB3131_001_59</t>
  </si>
  <si>
    <t>RB3030_L0216_58F1</t>
  </si>
  <si>
    <t>RB3362_001_59</t>
  </si>
  <si>
    <t>RB3025_W3274_55F1</t>
  </si>
  <si>
    <t>RB3025_W3274_55F2</t>
  </si>
  <si>
    <t>RB3548N_001_51</t>
  </si>
  <si>
    <t>RB3025_003_58F1</t>
  </si>
  <si>
    <t>RB4225_89413_52F1</t>
  </si>
  <si>
    <t>RB2132_6182_52F1</t>
  </si>
  <si>
    <t>RB3025_019O5_58F1</t>
  </si>
  <si>
    <t>RB4180_60171_58F1</t>
  </si>
  <si>
    <t>RB8301_004N3_59F1</t>
  </si>
  <si>
    <t>RB4171_6228G_54F1</t>
  </si>
  <si>
    <t>RB3016_1160_49F1</t>
  </si>
  <si>
    <t>RB3129_W0228_58F1</t>
  </si>
  <si>
    <t>RB4179_601S9A_62F1</t>
  </si>
  <si>
    <t>OO9102S_08_55</t>
  </si>
  <si>
    <t>RB3025_00251_55F1</t>
  </si>
  <si>
    <t>RB3447_1674K_50</t>
  </si>
  <si>
    <t>RB3025_00358_58F1</t>
  </si>
  <si>
    <t>RB3306_002_60F1</t>
  </si>
  <si>
    <t>RB3334_001_61F2</t>
  </si>
  <si>
    <t>RB3025_00332_58F1</t>
  </si>
  <si>
    <t>RB3025_1672K_58F1</t>
  </si>
  <si>
    <t>RB3025_L2928_58F1</t>
  </si>
  <si>
    <t>RB4165_85288_55</t>
  </si>
  <si>
    <t>RB3025JM_171_58</t>
  </si>
  <si>
    <t>OO9102_52_57</t>
  </si>
  <si>
    <t>RB3025_00237_58F1</t>
  </si>
  <si>
    <t>RX6344_2861_54</t>
  </si>
  <si>
    <t>RX6303_2500_53</t>
  </si>
  <si>
    <t>RB2132_601S78_55F1</t>
  </si>
  <si>
    <t>RB3044_R2952_52</t>
  </si>
  <si>
    <t>RB2132_7893F_52</t>
  </si>
  <si>
    <t>RB4068_71051_60F2</t>
  </si>
  <si>
    <t>RB2132_618371_55</t>
  </si>
  <si>
    <t>RB3449_00455_59</t>
  </si>
  <si>
    <t>RB3025_00162_58</t>
  </si>
  <si>
    <t>RB3025_0013E_62F1</t>
  </si>
  <si>
    <t>RB3025_00133_62</t>
  </si>
  <si>
    <t>RB3342_004_63F2</t>
  </si>
  <si>
    <t>RB3364_01451_59</t>
  </si>
  <si>
    <t>RB3025_0883F_58F1</t>
  </si>
  <si>
    <t>RB4224_601S71_49F1</t>
  </si>
  <si>
    <t>RB3454_00113_65</t>
  </si>
  <si>
    <t>RB4068_601_60F1</t>
  </si>
  <si>
    <t>RB3025_11269_62F1</t>
  </si>
  <si>
    <t>RB3025_11219_62F1</t>
  </si>
  <si>
    <t>DG6086_280587_56F1</t>
  </si>
  <si>
    <t>RB3025_1671M_58F2</t>
  </si>
  <si>
    <t>RB3386_0029A_63F2</t>
  </si>
  <si>
    <t>RB4165_6018G_51</t>
  </si>
  <si>
    <t>RB3025_00151_55F2</t>
  </si>
  <si>
    <t>RX6267_2500_54</t>
  </si>
  <si>
    <t>RB3025_0024O_62</t>
  </si>
  <si>
    <t>RB3016_W0365_49</t>
  </si>
  <si>
    <t>RB2132_618371_52</t>
  </si>
  <si>
    <t>VO2886_W656_53</t>
  </si>
  <si>
    <t>VO2763B_2279_53</t>
  </si>
  <si>
    <t>OO8034_11_53</t>
  </si>
  <si>
    <t>VO2763_2277_53</t>
  </si>
  <si>
    <t>VO3838_352_53</t>
  </si>
  <si>
    <t>OX3131_10_53</t>
  </si>
  <si>
    <t>VO5013_W44_54</t>
  </si>
  <si>
    <t>VO2789B_1941_52</t>
  </si>
  <si>
    <t>VO4053_352_54</t>
  </si>
  <si>
    <t>VO2789_W656_52</t>
  </si>
  <si>
    <t>VO2866-W656_53</t>
  </si>
  <si>
    <t>VO2866_W656_53</t>
  </si>
  <si>
    <t>CI_AW1060_08E</t>
  </si>
  <si>
    <t>CI_AO9024_08A</t>
  </si>
  <si>
    <t>CI_AN8130_53A</t>
  </si>
  <si>
    <t>CI_AO3008_07AF1</t>
  </si>
  <si>
    <t>CI_AO3008_07A</t>
  </si>
  <si>
    <t>CI_BM7130_58AF1</t>
  </si>
  <si>
    <t>CI_BM7130_58A</t>
  </si>
  <si>
    <t>CI_AO9003_16A</t>
  </si>
  <si>
    <t>CI_AN8154_55H</t>
  </si>
  <si>
    <t>CI_AW1264_59W</t>
  </si>
  <si>
    <t>CI_BF2012_08P</t>
  </si>
  <si>
    <t>CI_AG8352_59P</t>
  </si>
  <si>
    <t>CI_BM7264_51E</t>
  </si>
  <si>
    <t>CI_FE2074_59A</t>
  </si>
  <si>
    <t>CI_BU2040_56L</t>
  </si>
  <si>
    <t>CI_AO3005_56E</t>
  </si>
  <si>
    <t>HA_HD3201</t>
  </si>
  <si>
    <t>CI_AT2242_55E</t>
  </si>
  <si>
    <t>CI_AW1015_53E</t>
  </si>
  <si>
    <t>CI_ED8090_11D</t>
  </si>
  <si>
    <t>CI_BM7320_52H</t>
  </si>
  <si>
    <t>CI_AU1062_56E</t>
  </si>
  <si>
    <t>CI_AT2240_51E</t>
  </si>
  <si>
    <t>CI_BH1370_51A</t>
  </si>
  <si>
    <t>CI_BL5472_01E</t>
  </si>
  <si>
    <t>CI_ED8092_58D</t>
  </si>
  <si>
    <t>HA_HD3151</t>
  </si>
  <si>
    <t>CI_AP4010_54A</t>
  </si>
  <si>
    <t>CI_AO3009_04EF1</t>
  </si>
  <si>
    <t>CI_AO3009_04E</t>
  </si>
  <si>
    <t>CI_BI5014_58E</t>
  </si>
  <si>
    <t>CI_ED8114_57A</t>
  </si>
  <si>
    <t>CI_AN3420_00E</t>
  </si>
  <si>
    <t>HA_GS6251</t>
  </si>
  <si>
    <t>CI_AW1051_09W</t>
  </si>
  <si>
    <t>CI_CA0270_59E</t>
  </si>
  <si>
    <t>CI_AO9000_06BF1</t>
  </si>
  <si>
    <t>CI_AO9000_06B</t>
  </si>
  <si>
    <t>CI_EK1124_54D</t>
  </si>
  <si>
    <t>CI_EX1324_53A</t>
  </si>
  <si>
    <t>CI_CA0341_52A</t>
  </si>
  <si>
    <t>CI_BL8144_89H</t>
  </si>
  <si>
    <t>CI_AW0024_58L</t>
  </si>
  <si>
    <t>CI_AN9030_52L</t>
  </si>
  <si>
    <t>CI_BI1080_55E</t>
  </si>
  <si>
    <t>HA_BT6151C</t>
  </si>
  <si>
    <t>CI_AN3510_50A</t>
  </si>
  <si>
    <t>CI_EX0293_51A</t>
  </si>
  <si>
    <t>CI_AP4000_15L</t>
  </si>
  <si>
    <t>CI_AG8350_03E</t>
  </si>
  <si>
    <t>HA_PS7002</t>
  </si>
  <si>
    <t>CI_AT2242_55EF1</t>
  </si>
  <si>
    <t>CI_GA1052_55E</t>
  </si>
  <si>
    <t>CI_AN3440_02L</t>
  </si>
  <si>
    <t>CI_AT1183_07A</t>
  </si>
  <si>
    <t>CI_AW1360_04E</t>
  </si>
  <si>
    <t>HA_RS7101</t>
  </si>
  <si>
    <t>CI_AO3010_05A</t>
  </si>
  <si>
    <t>CI_CA0285_01E</t>
  </si>
  <si>
    <t>CI_CA0360_58A</t>
  </si>
  <si>
    <t>CI_AN8041_51E</t>
  </si>
  <si>
    <t>CI_AW1260_50A</t>
  </si>
  <si>
    <t>CI_AO9003_08E</t>
  </si>
  <si>
    <t>CI_EW1770_54E</t>
  </si>
  <si>
    <t>CI_CA0270_59EF1</t>
  </si>
  <si>
    <t>CI_CA4034_50F</t>
  </si>
  <si>
    <t>HA_RS7131</t>
  </si>
  <si>
    <t>CI_CA0286_08E</t>
  </si>
  <si>
    <t>CI_AO3005_56B</t>
  </si>
  <si>
    <t>CI_CA4120_50E</t>
  </si>
  <si>
    <t>CI_AW0010_01A</t>
  </si>
  <si>
    <t>CI_JZ1061_57E</t>
  </si>
  <si>
    <t>CI_EZ6312_52E</t>
  </si>
  <si>
    <t>VO2787_2306_51F1</t>
  </si>
  <si>
    <t>VO2767_W656_52F1</t>
  </si>
  <si>
    <t>VO4016_848_51F1</t>
  </si>
  <si>
    <t>VO2787_W44_51F1</t>
  </si>
  <si>
    <t>VO2866_W44_55F1</t>
  </si>
  <si>
    <t>RB3025_002_58</t>
  </si>
  <si>
    <t>RB3025_02971_58F1</t>
  </si>
  <si>
    <t>RB3025_02971_58</t>
  </si>
  <si>
    <t>RB3025_029P2_58</t>
  </si>
  <si>
    <t>RB3025_11269_58F2</t>
  </si>
  <si>
    <t>RB3025_00237_58F2</t>
  </si>
  <si>
    <t>RB3016_114530_49</t>
  </si>
  <si>
    <t>RB3025_001X3_58</t>
  </si>
  <si>
    <t>RB3025JM_001X3_58</t>
  </si>
  <si>
    <t>RB4256_60171_55</t>
  </si>
  <si>
    <t>RB2180_71073_49</t>
  </si>
  <si>
    <t>RB3025_001M4_62</t>
  </si>
  <si>
    <t>RB3025_00458_58F1</t>
  </si>
  <si>
    <t>RB3025_00332_55F1</t>
  </si>
  <si>
    <t>RB3025_11219_58F2</t>
  </si>
  <si>
    <t>RB2140_901_50F2</t>
  </si>
  <si>
    <t>RB2140_901_50F1</t>
  </si>
  <si>
    <t>RB3025_11219_58F1</t>
  </si>
  <si>
    <t>RB2132_89476_55</t>
  </si>
  <si>
    <t>RB3025_00276_58</t>
  </si>
  <si>
    <t>RB3025JM_14632_55</t>
  </si>
  <si>
    <t>RB3025JM_0013M_58</t>
  </si>
  <si>
    <t>RB3025_00340_62</t>
  </si>
  <si>
    <t>RB3025_00477_58</t>
  </si>
  <si>
    <t>RB3025_11206_58</t>
  </si>
  <si>
    <t>RB3025_112O6_58</t>
  </si>
  <si>
    <t>RB3025_001X4_58</t>
  </si>
  <si>
    <t>RB3025JM_001X4_58</t>
  </si>
  <si>
    <t>RB3025JM_14632_58</t>
  </si>
  <si>
    <t>RB2132_62219_55</t>
  </si>
  <si>
    <t>RB3025_00458_58F2</t>
  </si>
  <si>
    <t>RB2140_901_50F3</t>
  </si>
  <si>
    <t>RB3025_0063K_58</t>
  </si>
  <si>
    <t>TS4230_C8_M</t>
  </si>
  <si>
    <t>TS3014_BABYLIGHTPINK_M</t>
  </si>
  <si>
    <t>TSG180_BRN_M</t>
  </si>
  <si>
    <t>TS1552_C108PURL_M</t>
  </si>
  <si>
    <t>TS_JS110004_MBLU</t>
  </si>
  <si>
    <t>TS7122_DEMI_M</t>
  </si>
  <si>
    <t>TS759_C7_M</t>
  </si>
  <si>
    <t>TSYC8019_GLDBLKSIL_M</t>
  </si>
  <si>
    <t>TH2603_C2_60F1</t>
  </si>
  <si>
    <t>TS10197_BLK_M</t>
  </si>
  <si>
    <t>TS6013_SILBLU_M</t>
  </si>
  <si>
    <t>TSJS11001_BLK_M</t>
  </si>
  <si>
    <t>TH2603_C1_60F1</t>
  </si>
  <si>
    <t>RB2132_6179_52</t>
  </si>
  <si>
    <t>RB3305_002_58</t>
  </si>
  <si>
    <t>RB3306_002_60F2</t>
  </si>
  <si>
    <t>RB2132_87332_50</t>
  </si>
  <si>
    <t>FTP333-BR2_M</t>
  </si>
  <si>
    <t>RB2132_7893F_55F1</t>
  </si>
  <si>
    <t>RB4194_6018G_53F1</t>
  </si>
  <si>
    <t>SGLETGYVWB8YPP8F</t>
  </si>
  <si>
    <t>FTP182_PK2F_M</t>
  </si>
  <si>
    <t>FT_P182PK2F_M</t>
  </si>
  <si>
    <t>RB2132_6239_55</t>
  </si>
  <si>
    <t>RB2132_71051_52F1</t>
  </si>
  <si>
    <t>RB3016_114530_51F2</t>
  </si>
  <si>
    <t>RB3025_11217_55F1</t>
  </si>
  <si>
    <t>RB2176_901S7O_51</t>
  </si>
  <si>
    <t>RB3025_00332_55F2</t>
  </si>
  <si>
    <t>RB2447_11607O_49</t>
  </si>
  <si>
    <t>FTP089-WH4_M</t>
  </si>
  <si>
    <t>P089_BK1_M</t>
  </si>
  <si>
    <t>FTC065-BK2F_</t>
  </si>
  <si>
    <t>SGLETGYVRJGQVHZS</t>
  </si>
  <si>
    <t>RB4256_60923R_49</t>
  </si>
  <si>
    <t>RB3025_W0228_58</t>
  </si>
  <si>
    <t>RB3025_03232_55</t>
  </si>
  <si>
    <t>RB2132_901_52F2</t>
  </si>
  <si>
    <t>SGLEA6AMH33ZW6AK</t>
  </si>
  <si>
    <t>RB4175_8771M_57</t>
  </si>
  <si>
    <t>RB2132_901_52F1</t>
  </si>
  <si>
    <t>RB2132_614585_55</t>
  </si>
  <si>
    <t>SGLEB5YCHJENWAWM</t>
  </si>
  <si>
    <t>RB2132_7893F_52F1</t>
  </si>
  <si>
    <t>RB3541_0012Y_61</t>
  </si>
  <si>
    <t>SGLETGYV7YQASNHT</t>
  </si>
  <si>
    <t>RB3025_L0205_58F1</t>
  </si>
  <si>
    <t>RB3305_004_58</t>
  </si>
  <si>
    <t>RB3025_0024J_58F1</t>
  </si>
  <si>
    <t>RB3025_0024O_58F1</t>
  </si>
  <si>
    <t>SGLEM8652Y2HNZGF</t>
  </si>
  <si>
    <t>RB3530_00271_58</t>
  </si>
  <si>
    <t>RB2132_90158_55F1</t>
  </si>
  <si>
    <t>RB3025_0145_55F2</t>
  </si>
  <si>
    <t>RB3025_16768_58</t>
  </si>
  <si>
    <t>RB2140_902_50F1</t>
  </si>
  <si>
    <t>RB2132_710_52F1</t>
  </si>
  <si>
    <t>RB2132_710_52</t>
  </si>
  <si>
    <t>RB3305_001_58</t>
  </si>
  <si>
    <t>RB3362_001_59F1</t>
  </si>
  <si>
    <t>RB2132_81132_55</t>
  </si>
  <si>
    <t>RB3025_0024W_58F1</t>
  </si>
  <si>
    <t>RB3029_9001A5_62F1</t>
  </si>
  <si>
    <t>RB4194_71013_53F1</t>
  </si>
  <si>
    <t>RB3025_0023F_58F1</t>
  </si>
  <si>
    <t>SGLEBZ65WWWAZWMA</t>
  </si>
  <si>
    <t>SGLEV4WWNBBV4KUK</t>
  </si>
  <si>
    <t>RB3025_0883F_55</t>
  </si>
  <si>
    <t>SGLETGYV6QCRJA9S</t>
  </si>
  <si>
    <t>RB4256_609255_49</t>
  </si>
  <si>
    <t>SGLEM6QZVG7HG8VG</t>
  </si>
  <si>
    <t>FTPC006_BK6_M</t>
  </si>
  <si>
    <t>FT_PC006BK6_M</t>
  </si>
  <si>
    <t>RB3016_114519_51F1</t>
  </si>
  <si>
    <t>RB2132_605371_52</t>
  </si>
  <si>
    <t>RB3025_18171_58F2</t>
  </si>
  <si>
    <t>RB3025_0014I_58F1</t>
  </si>
  <si>
    <t>RB3016_1158R5_49</t>
  </si>
  <si>
    <t>RB3025_00451_55F2</t>
  </si>
  <si>
    <t>RB3025_18171_58F1</t>
  </si>
  <si>
    <t>RB3131_001_59F1</t>
  </si>
  <si>
    <t>RB2027_W1847_62F1</t>
  </si>
  <si>
    <t>RB3025_1671R_58</t>
  </si>
  <si>
    <t>RB2132_7893F_55F3</t>
  </si>
  <si>
    <t>RB7059_71013_55F1</t>
  </si>
  <si>
    <t>RB2132_902_52F2</t>
  </si>
  <si>
    <t>RB3029_181_62F1</t>
  </si>
  <si>
    <t>RB2132_902_52F1</t>
  </si>
  <si>
    <t>RB4147_60158_60F1</t>
  </si>
  <si>
    <t>SGLEB5CVP9ZHKKVW</t>
  </si>
  <si>
    <t>RB3025JM_1684E_58F1</t>
  </si>
  <si>
    <t>RB3025_11293_58F2</t>
  </si>
  <si>
    <t>RB2132_7893F_55F2</t>
  </si>
  <si>
    <t>RB3447_11258_50</t>
  </si>
  <si>
    <t>RB3016M_1179_51</t>
  </si>
  <si>
    <t>FT_P294BU2_65</t>
  </si>
  <si>
    <t>M_FT_P089BR2_M_950F1</t>
  </si>
  <si>
    <t>FT_M175BK2F_54</t>
  </si>
  <si>
    <t>FT_M132GR2_MF1</t>
  </si>
  <si>
    <t>FT_M083PR3F_MF1</t>
  </si>
  <si>
    <t>FT_M138BR2_MF1</t>
  </si>
  <si>
    <t>FTC066_BR1F_M</t>
  </si>
  <si>
    <t>FT_C066BR1F_M</t>
  </si>
  <si>
    <t>FT_P300BR2_56</t>
  </si>
  <si>
    <t>FTC046_BR3F_M</t>
  </si>
  <si>
    <t>FT_P150BK3F_67F2</t>
  </si>
  <si>
    <t>FT_P180PR2F_MF1</t>
  </si>
  <si>
    <t>FT_M102BR1_MF1</t>
  </si>
  <si>
    <t>FT_PC001OR18_MF1</t>
  </si>
  <si>
    <t>FT_PC003BR5_MF1</t>
  </si>
  <si>
    <t>FT_PC001RD17_MF1</t>
  </si>
  <si>
    <t>FT_P089BK1_63F2</t>
  </si>
  <si>
    <t>FT_PC001BK25_MF1</t>
  </si>
  <si>
    <t>FT_M101BK1P_66</t>
  </si>
  <si>
    <t>FT_PC003BK3_MF1</t>
  </si>
  <si>
    <t>FT_P185PR2F_MF2</t>
  </si>
  <si>
    <t>FT_M083BR2F_62</t>
  </si>
  <si>
    <t>FT_P315OR2_62</t>
  </si>
  <si>
    <t>FT_PC001BK22_MF1</t>
  </si>
  <si>
    <t>FT_P150BK3F_67</t>
  </si>
  <si>
    <t>FT_P223BU2_MF1</t>
  </si>
  <si>
    <t>FT_PC001BK20_MF1</t>
  </si>
  <si>
    <t>FT_P150BK3F_67F1</t>
  </si>
  <si>
    <t>FT_P101BK1_MF1</t>
  </si>
  <si>
    <t>FT_PC001GL27_54</t>
  </si>
  <si>
    <t>FT_P120BK1_MF1</t>
  </si>
  <si>
    <t>FT_P185PR2F_Mf1</t>
  </si>
  <si>
    <t>FT_P357BK1_56</t>
  </si>
  <si>
    <t>FT_P089BK1_63F1</t>
  </si>
  <si>
    <t>FT_M062GR2_MF1</t>
  </si>
  <si>
    <t>FT_M062BR3_MF1</t>
  </si>
  <si>
    <t>FT_M083BU5F_MF1</t>
  </si>
  <si>
    <t>FT_M101BR3P_MF1</t>
  </si>
  <si>
    <t>RB3447_001_47</t>
  </si>
  <si>
    <t>RB3025_00478_55F2</t>
  </si>
  <si>
    <t>RB2176_901_51</t>
  </si>
  <si>
    <t>RX6303_2509_53F1</t>
  </si>
  <si>
    <t>RB2180_62309_49</t>
  </si>
  <si>
    <t>RB2180_60171_51</t>
  </si>
  <si>
    <t>RB213262258_58</t>
  </si>
  <si>
    <t>RB3447N_001Z2_50</t>
  </si>
  <si>
    <t>RB3447N_0019O_50</t>
  </si>
  <si>
    <t>RB3264I_001_61</t>
  </si>
  <si>
    <t>RB3264_001_61</t>
  </si>
  <si>
    <t>RB3471_02913_32F1</t>
  </si>
  <si>
    <t>RB3471_02913_32</t>
  </si>
  <si>
    <t>RB3016_114530_51F3</t>
  </si>
  <si>
    <t>RB3025I_00451_55</t>
  </si>
  <si>
    <t>RB3447_0024J_50F1</t>
  </si>
  <si>
    <t>RB3447_5_1672K_50</t>
  </si>
  <si>
    <t>RB3447_01930_50F2</t>
  </si>
  <si>
    <t>RB3447N_00130_50</t>
  </si>
  <si>
    <t>RX6304_2500_54F1</t>
  </si>
  <si>
    <t>RB3447N_0018O_50</t>
  </si>
  <si>
    <t>RB3449_00455_59F1</t>
  </si>
  <si>
    <t>RB3449I_0038G_59</t>
  </si>
  <si>
    <t>RB3538_18671_53</t>
  </si>
  <si>
    <t>RB3539_9023B5_54</t>
  </si>
  <si>
    <t>RB3431I_004_64</t>
  </si>
  <si>
    <t>RB3429M_0024_55</t>
  </si>
  <si>
    <t>Rx5338_5536_53</t>
  </si>
  <si>
    <t>RB3447_900396_50</t>
  </si>
  <si>
    <t>RB3538__18813_53</t>
  </si>
  <si>
    <t>RB3447_112P9_53</t>
  </si>
  <si>
    <t>RB3538_186B1_53</t>
  </si>
  <si>
    <t>RB3447_9001A5_50</t>
  </si>
  <si>
    <t>OO9102_50_55F1</t>
  </si>
  <si>
    <t>RB3539_19313_54</t>
  </si>
  <si>
    <t>RB3429M_0013F_58F1</t>
  </si>
  <si>
    <t>RB3025I_00478_55</t>
  </si>
  <si>
    <t>RB3025I_0883F_58F1</t>
  </si>
  <si>
    <t>RB3447_0024O_50</t>
  </si>
  <si>
    <t>RB3025I_00253F_55F1</t>
  </si>
  <si>
    <t>RB3449I_0011_59</t>
  </si>
  <si>
    <t>OO9264_01_57F1</t>
  </si>
  <si>
    <t>RB3532_0033_53</t>
  </si>
  <si>
    <t>RB3532_00330_53</t>
  </si>
  <si>
    <t>RB3025I0025155_55</t>
  </si>
  <si>
    <t>RB3447_9002A_50</t>
  </si>
  <si>
    <t>RB3447_9002A6_50</t>
  </si>
  <si>
    <t>RB2180_6278A9_49</t>
  </si>
  <si>
    <t>RB3447_029_53</t>
  </si>
  <si>
    <t>RB3447_0024W_50</t>
  </si>
  <si>
    <t>RB3025I0025862_62</t>
  </si>
  <si>
    <t>RB3471_00113_32F1</t>
  </si>
  <si>
    <t>RB3025I_03132_58</t>
  </si>
  <si>
    <t>RB3025I_0033F_62</t>
  </si>
  <si>
    <t>RB3447_11258_50F1</t>
  </si>
  <si>
    <t>3025_11217_55</t>
  </si>
  <si>
    <t>RB3025I_01451_58</t>
  </si>
  <si>
    <t>RB3025I0033E58_58</t>
  </si>
  <si>
    <t>RB3471_00471_32F1</t>
  </si>
  <si>
    <t>RB3539_0028G_54F1</t>
  </si>
  <si>
    <t>RB3431I_002_64F1</t>
  </si>
  <si>
    <t>RB3025I0023255_55</t>
  </si>
  <si>
    <t>OO9102_52_55F1</t>
  </si>
  <si>
    <t>RB1006I_W19590_59</t>
  </si>
  <si>
    <t>RB1006_W19590_59</t>
  </si>
  <si>
    <t>RB3025I_00458_62F1</t>
  </si>
  <si>
    <t>RB3432I_001_59</t>
  </si>
  <si>
    <t>FT_P352BK3_60</t>
  </si>
  <si>
    <t>CK4185_285_55</t>
  </si>
  <si>
    <t>CK3152_233_57</t>
  </si>
  <si>
    <t>CK411_202_59</t>
  </si>
  <si>
    <t>CK106_020_60</t>
  </si>
  <si>
    <t>CK108_502_59</t>
  </si>
  <si>
    <t>CK4142_330_S</t>
  </si>
  <si>
    <t>CK3099_070_S</t>
  </si>
  <si>
    <t>CK716AF_202_S</t>
  </si>
  <si>
    <t>CK1186_714_61</t>
  </si>
  <si>
    <t>CK3064_004_S</t>
  </si>
  <si>
    <t>CK734_416_51</t>
  </si>
  <si>
    <t>CK3160_053_S</t>
  </si>
  <si>
    <t>CK1186_001_61</t>
  </si>
  <si>
    <t>CK411_600_59</t>
  </si>
  <si>
    <t>FT_P301BR2_50</t>
  </si>
  <si>
    <t>FT_PC001BR23_MF1</t>
  </si>
  <si>
    <t>CK4191S_001_57</t>
  </si>
  <si>
    <t>CKJ750S_215_56</t>
  </si>
  <si>
    <t>CK4149S_049_59</t>
  </si>
  <si>
    <t>CK4228A_001_59</t>
  </si>
  <si>
    <t>CK2111S_084_63</t>
  </si>
  <si>
    <t>CKJ710S_202_61</t>
  </si>
  <si>
    <t>CK4179SA_758_60</t>
  </si>
  <si>
    <t>CKJ750S_001_56</t>
  </si>
  <si>
    <t>CK7815S213_58</t>
  </si>
  <si>
    <t>CK7815S_213_58</t>
  </si>
  <si>
    <t>CK3062S_070_56</t>
  </si>
  <si>
    <t>CK7815S_006_58</t>
  </si>
  <si>
    <t>CK7811SP_001_57</t>
  </si>
  <si>
    <t>CK7883S_015_58</t>
  </si>
  <si>
    <t>CK7811SP_241_60</t>
  </si>
  <si>
    <t>CK7815S_316_58</t>
  </si>
  <si>
    <t>CK3165_001_54</t>
  </si>
  <si>
    <t>CK7333S_505_61</t>
  </si>
  <si>
    <t>CK7340SP_214_61</t>
  </si>
  <si>
    <t>CK3066S_004_57</t>
  </si>
  <si>
    <t>CK1056S_004_65</t>
  </si>
  <si>
    <t>CK3071_070_56</t>
  </si>
  <si>
    <t>CK7333S_278_61</t>
  </si>
  <si>
    <t>CK7869SP_001_59</t>
  </si>
  <si>
    <t>CK3130S_046_55</t>
  </si>
  <si>
    <t>CK4191S_00157_56</t>
  </si>
  <si>
    <t>FT_C085BK1F_M</t>
  </si>
  <si>
    <t>CK3099S_004_59</t>
  </si>
  <si>
    <t>CK7313SP_014_61</t>
  </si>
  <si>
    <t>CK4066S_273_64</t>
  </si>
  <si>
    <t>CK7822S_651_58</t>
  </si>
  <si>
    <t>CK3130S_040_55</t>
  </si>
  <si>
    <t>CK4142S_228_58</t>
  </si>
  <si>
    <t>CK3069S_004_54</t>
  </si>
  <si>
    <t>CK3130S_002_55</t>
  </si>
  <si>
    <t>CK7821S_214_59</t>
  </si>
  <si>
    <t>CK4222S_001_54</t>
  </si>
  <si>
    <t>FT_C085BK1F_MF1</t>
  </si>
  <si>
    <t>CK7333S_424_61</t>
  </si>
  <si>
    <t>CK3130S_211_55</t>
  </si>
  <si>
    <t>CK3071S_004_56</t>
  </si>
  <si>
    <t>CK1186S_001_61</t>
  </si>
  <si>
    <t>CK7333S_036_55</t>
  </si>
  <si>
    <t>CK7823S_001_59</t>
  </si>
  <si>
    <t>CK7811SP_241_57</t>
  </si>
  <si>
    <t>CK7340SP_014_61</t>
  </si>
  <si>
    <t>FT_C082BR1F_M</t>
  </si>
  <si>
    <t>CK4155S_002_53</t>
  </si>
  <si>
    <t>CK3130S_001_55</t>
  </si>
  <si>
    <t>CK3064S_070_56</t>
  </si>
  <si>
    <t>CK3063S_004_62</t>
  </si>
  <si>
    <t>CK3069_070_56</t>
  </si>
  <si>
    <t>CK4154S_071_55</t>
  </si>
  <si>
    <t>CK3065S_070_58</t>
  </si>
  <si>
    <t>CK7811SP_014_57</t>
  </si>
  <si>
    <t>CK7823S_511_59</t>
  </si>
  <si>
    <t>CK7865S_214_51</t>
  </si>
  <si>
    <t>CK7811SP_214_57</t>
  </si>
  <si>
    <t>CK4248AS_116_58</t>
  </si>
  <si>
    <t>CK3065S_004_58</t>
  </si>
  <si>
    <t>FT_C084PK2F_M</t>
  </si>
  <si>
    <t>FT_C082BK3F_M</t>
  </si>
  <si>
    <t>FT_P376BK4_M</t>
  </si>
  <si>
    <t>RB3016_W0365_49F1</t>
  </si>
  <si>
    <t>RB3412_002_63F4</t>
  </si>
  <si>
    <t>RB3025_L2848_52</t>
  </si>
  <si>
    <t>FT_P261BR2_M</t>
  </si>
  <si>
    <t>FT_M035BK7_67F1</t>
  </si>
  <si>
    <t>FT_M035BK7_67</t>
  </si>
  <si>
    <t>FT_C077BR2_55F1</t>
  </si>
  <si>
    <t>FT_C077BR2_55</t>
  </si>
  <si>
    <t>OO9135_02_56F1</t>
  </si>
  <si>
    <t>RB3429M_003R5_58</t>
  </si>
  <si>
    <t>RB3429M_00133_58F1</t>
  </si>
  <si>
    <t>RB3025_11217_58F2</t>
  </si>
  <si>
    <t>RB3025_0014F_58F1</t>
  </si>
  <si>
    <t>RB3129_W0226_58F2</t>
  </si>
  <si>
    <t>RB3129_W0226_58F4</t>
  </si>
  <si>
    <t>RB3334_001_61F3</t>
  </si>
  <si>
    <t>OO9102_63_57</t>
  </si>
  <si>
    <t>RB3412_004_63F3</t>
  </si>
  <si>
    <t>RB3026_W2027_62F1</t>
  </si>
  <si>
    <t>RB3025_W0879_58</t>
  </si>
  <si>
    <t>RB3429M_001_55</t>
  </si>
  <si>
    <t>RB3334_002_61F1</t>
  </si>
  <si>
    <t>FT_PC001GR11_53</t>
  </si>
  <si>
    <t>FT_C046BK1_MF1</t>
  </si>
  <si>
    <t>FT_P357BR6P_56</t>
  </si>
  <si>
    <t>FT_M035BK4P_65F1</t>
  </si>
  <si>
    <t>RB3342_00458_63F2</t>
  </si>
  <si>
    <t>RB3129_W0226_58F1</t>
  </si>
  <si>
    <t>RB3342_00451_63F2</t>
  </si>
  <si>
    <t>FT_P303BK1P_57</t>
  </si>
  <si>
    <t>FT_PC001BK19_53</t>
  </si>
  <si>
    <t>RB3412_004_63F2</t>
  </si>
  <si>
    <t>OO9102_17_55F1</t>
  </si>
  <si>
    <t>RB3025_00232_58F1</t>
  </si>
  <si>
    <t>RB3387_0048E_64F1</t>
  </si>
  <si>
    <t>RB3025_L1744_58F2</t>
  </si>
  <si>
    <t>FT_M068BK8P_65F1</t>
  </si>
  <si>
    <t>RB3412_014_63</t>
  </si>
  <si>
    <t>RB3025_00151_62F1</t>
  </si>
  <si>
    <t>RB3025_0013F_58F1</t>
  </si>
  <si>
    <t>RB3025_00151_55F3</t>
  </si>
  <si>
    <t>RB3025_L2823_58F1</t>
  </si>
  <si>
    <t>RB3025_00451_62F2</t>
  </si>
  <si>
    <t>RB3342_00458_60F1</t>
  </si>
  <si>
    <t>RB3025_R0202_58F2</t>
  </si>
  <si>
    <t>RB3025_0024O_62F1</t>
  </si>
  <si>
    <t>FT_M035BK4P_65</t>
  </si>
  <si>
    <t>RB3025_L0205_58F2</t>
  </si>
  <si>
    <t>RB3025_0015_55F2</t>
  </si>
  <si>
    <t>RB3025_0013E_58F1</t>
  </si>
  <si>
    <t>FT_P358BK4P_MF1</t>
  </si>
  <si>
    <t>RB3025_W3277_58F1</t>
  </si>
  <si>
    <t>RB3129_W0228_58F2</t>
  </si>
  <si>
    <t>FT_P222BR2_MF1</t>
  </si>
  <si>
    <t>RB3429M_00240_58</t>
  </si>
  <si>
    <t>RB3025_0014I_58F2</t>
  </si>
  <si>
    <t>RB3342_00451_63F3</t>
  </si>
  <si>
    <t>RB3025_11285_58F1</t>
  </si>
  <si>
    <t>RB3025_00158_62F1</t>
  </si>
  <si>
    <t>RB3025_0033F_55F2</t>
  </si>
  <si>
    <t>RB3387_00413_64F1</t>
  </si>
  <si>
    <t>RB3016_W0365_51F1</t>
  </si>
  <si>
    <t>RB3129_W0226_58F3</t>
  </si>
  <si>
    <t>RB3016_114519_49</t>
  </si>
  <si>
    <t>RB3016_114517_49</t>
  </si>
  <si>
    <t>RB3429M_00133_55</t>
  </si>
  <si>
    <t>RB3025_00458_58F3</t>
  </si>
  <si>
    <t>RB2447_901_49</t>
  </si>
  <si>
    <t>TI_G232PTMLMC_54</t>
  </si>
  <si>
    <t>TI_G259PTMLMB_59</t>
  </si>
  <si>
    <t>TI_G256PTMLMB_60</t>
  </si>
  <si>
    <t>TI_G248PTMLAB_57</t>
  </si>
  <si>
    <t>TI_G225PTFLTC_58</t>
  </si>
  <si>
    <t>TI_G182CLFLAC_60</t>
  </si>
  <si>
    <t>TI_G153SPFSCB_60F1</t>
  </si>
  <si>
    <t>TI_G211CTMLMB_60</t>
  </si>
  <si>
    <t>TI_G213CTMLMC_60</t>
  </si>
  <si>
    <t>TI_G006SAMSUA_66</t>
  </si>
  <si>
    <t>TI_G210CTML9A_57</t>
  </si>
  <si>
    <t>RB3025_0024J_62F1</t>
  </si>
  <si>
    <t>TI_G209CTML9D_55</t>
  </si>
  <si>
    <t>RB3025_W3240_55</t>
  </si>
  <si>
    <t>RB3025_01451_55F1</t>
  </si>
  <si>
    <t>VO2993SB_W65613_57F1</t>
  </si>
  <si>
    <t>RB3025_0045_55F2</t>
  </si>
  <si>
    <t>TI_G163PAUL9G_63</t>
  </si>
  <si>
    <t>TI_G246PTMLMA_58</t>
  </si>
  <si>
    <t>TI_G243PTMLTC_58</t>
  </si>
  <si>
    <t>OP_1480_C01_M</t>
  </si>
  <si>
    <t>OP1480_C01_M</t>
  </si>
  <si>
    <t>OP_P008_C02_M</t>
  </si>
  <si>
    <t>OPP008_C02_M</t>
  </si>
  <si>
    <t>OP_1506_C05_M</t>
  </si>
  <si>
    <t>OP1506_C05_M</t>
  </si>
  <si>
    <t>OP_P009_C01_M</t>
  </si>
  <si>
    <t>OPP009_C01_M</t>
  </si>
  <si>
    <t>OP_1484_C03_M</t>
  </si>
  <si>
    <t>OP1484_C03_M</t>
  </si>
  <si>
    <t>OP_1481_C02_M</t>
  </si>
  <si>
    <t>OP1481_C02_M</t>
  </si>
  <si>
    <t>OP_1287_C05_M</t>
  </si>
  <si>
    <t>OP1287_C05_M</t>
  </si>
  <si>
    <t>OP_1491_C02_M</t>
  </si>
  <si>
    <t>OP1491_C02_M</t>
  </si>
  <si>
    <t>OP_1489_C02_M</t>
  </si>
  <si>
    <t>OP1489_C02_M</t>
  </si>
  <si>
    <t>OP_P014_C03_M</t>
  </si>
  <si>
    <t>OPP014_C03_M</t>
  </si>
  <si>
    <t>OP_P006_C02_M</t>
  </si>
  <si>
    <t>OPP006_C02_M</t>
  </si>
  <si>
    <t>OP_P010_C03_M</t>
  </si>
  <si>
    <t>OPP010_C03_M</t>
  </si>
  <si>
    <t>OP_P010_C02_M</t>
  </si>
  <si>
    <t>OPP010_C02_M</t>
  </si>
  <si>
    <t>OP_1495_C02_M</t>
  </si>
  <si>
    <t>OP1495_C02_M</t>
  </si>
  <si>
    <t>OP_1478_C01_M</t>
  </si>
  <si>
    <t>OP1478_C01_M</t>
  </si>
  <si>
    <t>OP_1460_C01_M</t>
  </si>
  <si>
    <t>OP1460_C01_M</t>
  </si>
  <si>
    <t>OP_1472_C05_M</t>
  </si>
  <si>
    <t>OP1472_C05_M</t>
  </si>
  <si>
    <t>OP_1479_C03_M</t>
  </si>
  <si>
    <t>OP1479_C03_M</t>
  </si>
  <si>
    <t>OP_1475_C01_M</t>
  </si>
  <si>
    <t>OP1475_C01_M</t>
  </si>
  <si>
    <t>OP_P010_C01_M</t>
  </si>
  <si>
    <t>OPP010_C01_M</t>
  </si>
  <si>
    <t>OP_1429_C03_M</t>
  </si>
  <si>
    <t>OP1429_C03_M</t>
  </si>
  <si>
    <t>OP_P007_C03_M</t>
  </si>
  <si>
    <t>OPP007_C03_M</t>
  </si>
  <si>
    <t>OP_P011_02_M</t>
  </si>
  <si>
    <t>OPP011_C02_M</t>
  </si>
  <si>
    <t>OP_1485_C02_M</t>
  </si>
  <si>
    <t>OP1485_C02_M</t>
  </si>
  <si>
    <t>CK5365A_046_51</t>
  </si>
  <si>
    <t>OP_1479_C02_M</t>
  </si>
  <si>
    <t>OP1479_C02_M</t>
  </si>
  <si>
    <t>OP_P008_C03_M</t>
  </si>
  <si>
    <t>OPP008_C03_M</t>
  </si>
  <si>
    <t>OP_1392_C02_M</t>
  </si>
  <si>
    <t>OP1392_C02_M</t>
  </si>
  <si>
    <t>OP_1480_C03_M</t>
  </si>
  <si>
    <t>OP1480_C03_M</t>
  </si>
  <si>
    <t>OP_1396_C07_M</t>
  </si>
  <si>
    <t>OP1396_C07_M</t>
  </si>
  <si>
    <t>OP_1479_C01_M</t>
  </si>
  <si>
    <t>OP1479_C01_M</t>
  </si>
  <si>
    <t>OP_1495_C03_M</t>
  </si>
  <si>
    <t>OP1495_C03_M</t>
  </si>
  <si>
    <t>OP_1498_C03_M</t>
  </si>
  <si>
    <t>OP1498_C03_M</t>
  </si>
  <si>
    <t>OP_1476_C02_M</t>
  </si>
  <si>
    <t>OP1476_C02_M</t>
  </si>
  <si>
    <t>OP_1478_C02_M</t>
  </si>
  <si>
    <t>OP1478_C02_M</t>
  </si>
  <si>
    <t>OP_1417_C01_M</t>
  </si>
  <si>
    <t>OP1417_C01_M</t>
  </si>
  <si>
    <t>OP1491_C01_M</t>
  </si>
  <si>
    <t>OP_1509_C02</t>
  </si>
  <si>
    <t>OP1509_C02_M</t>
  </si>
  <si>
    <t>OP_P009_C02_M</t>
  </si>
  <si>
    <t>OPP009_C02_M</t>
  </si>
  <si>
    <t>OP_P011_C03_M</t>
  </si>
  <si>
    <t>OPP011_C03_M</t>
  </si>
  <si>
    <t>OP_1507_C01_M</t>
  </si>
  <si>
    <t>OP1507_C01_M</t>
  </si>
  <si>
    <t>OP_1429_C04_M</t>
  </si>
  <si>
    <t>OP1429_C04_M</t>
  </si>
  <si>
    <t>OP_1483_C01_M</t>
  </si>
  <si>
    <t>OP1483_C01_M</t>
  </si>
  <si>
    <t>OP_1475_C03_M</t>
  </si>
  <si>
    <t>OP1475_C03_M</t>
  </si>
  <si>
    <t>OP_1431_C02_M</t>
  </si>
  <si>
    <t>OP1431_C02_M</t>
  </si>
  <si>
    <t>OP_1507_C02_M</t>
  </si>
  <si>
    <t>OP1507_C02_M</t>
  </si>
  <si>
    <t>OP_1484_C02_M</t>
  </si>
  <si>
    <t>OP1484_C02_M</t>
  </si>
  <si>
    <t>OP_P006_C03</t>
  </si>
  <si>
    <t>OPP006_C03_M</t>
  </si>
  <si>
    <t>OP_1481_C01_M</t>
  </si>
  <si>
    <t>OP1481_C01_M</t>
  </si>
  <si>
    <t>OP_1478_C03_M</t>
  </si>
  <si>
    <t>OP1478_C03_M</t>
  </si>
  <si>
    <t>OP_P007-C02_M</t>
  </si>
  <si>
    <t>OPP007_C02_M</t>
  </si>
  <si>
    <t>OP_1417_C08_M</t>
  </si>
  <si>
    <t>OP1417_C08_M</t>
  </si>
  <si>
    <t>OP_1507_C03_M</t>
  </si>
  <si>
    <t>OP1507_C03_M</t>
  </si>
  <si>
    <t>OP_1509_C01_M</t>
  </si>
  <si>
    <t>OP1509_C01_M</t>
  </si>
  <si>
    <t>OP_1489_C03_M</t>
  </si>
  <si>
    <t>OP1489_C03_M</t>
  </si>
  <si>
    <t>OP_1508_C05_M</t>
  </si>
  <si>
    <t>OP1508_C05_M</t>
  </si>
  <si>
    <t>OP_1506_C02_M</t>
  </si>
  <si>
    <t>OP1506_C02_M</t>
  </si>
  <si>
    <t>OP_1506_C04_M</t>
  </si>
  <si>
    <t>OP1506_C04_M</t>
  </si>
  <si>
    <t>OP_1462_C03_M</t>
  </si>
  <si>
    <t>OP1462_C03_M</t>
  </si>
  <si>
    <t>OP_1516_C02_M</t>
  </si>
  <si>
    <t>OP1516_C02_M</t>
  </si>
  <si>
    <t>OP_1472_C03_M</t>
  </si>
  <si>
    <t>OP1472_C03_M</t>
  </si>
  <si>
    <t>OP_P011_C01_M</t>
  </si>
  <si>
    <t>OPP011_C01_M</t>
  </si>
  <si>
    <t>OP_P014_C01_M</t>
  </si>
  <si>
    <t>OPP014_C01_M</t>
  </si>
  <si>
    <t>OP_1509_C03_M</t>
  </si>
  <si>
    <t>OP1509_C03_M</t>
  </si>
  <si>
    <t>OP_1516_C01_M</t>
  </si>
  <si>
    <t>OP1516_C01_M</t>
  </si>
  <si>
    <t>OP_1498_C02_M</t>
  </si>
  <si>
    <t>OP1498_C02_M</t>
  </si>
  <si>
    <t>CK4194SP_004_57</t>
  </si>
  <si>
    <t>OP_1480_C02_M</t>
  </si>
  <si>
    <t>OP1480_C02_M</t>
  </si>
  <si>
    <t>OP_1357_C01_M</t>
  </si>
  <si>
    <t>OP1357_C01_M</t>
  </si>
  <si>
    <t>CK3154S_285_62</t>
  </si>
  <si>
    <t>CK4182S_004_55</t>
  </si>
  <si>
    <t>CK4248SA_323_58</t>
  </si>
  <si>
    <t>RB3379_01451_64</t>
  </si>
  <si>
    <t>RB3379_00458_64</t>
  </si>
  <si>
    <t>IDS2394_C6P_M</t>
  </si>
  <si>
    <t>IDS2147_C3P_M</t>
  </si>
  <si>
    <t>IDS1844_C10_M</t>
  </si>
  <si>
    <t>TH2520_C2_59</t>
  </si>
  <si>
    <t>IDS2436_C1_M</t>
  </si>
  <si>
    <t>PLD2047S_I46LM_57</t>
  </si>
  <si>
    <t>IDS1844_C11_M</t>
  </si>
  <si>
    <t>IDS1844_C4SG_M</t>
  </si>
  <si>
    <t>IDS2242_C3_M</t>
  </si>
  <si>
    <t>IDS2146_C3_M</t>
  </si>
  <si>
    <t>IDS2262_C4_M</t>
  </si>
  <si>
    <t>IDS2322_C4_M</t>
  </si>
  <si>
    <t>TH9009_C3_54</t>
  </si>
  <si>
    <t>IDS2191-C3_M</t>
  </si>
  <si>
    <t>IDS2191_C3_M</t>
  </si>
  <si>
    <t>IDS2350_C1_M</t>
  </si>
  <si>
    <t>TH825_C5_60</t>
  </si>
  <si>
    <t>IDS2009_C1_M</t>
  </si>
  <si>
    <t>IDS1929_C3_M</t>
  </si>
  <si>
    <t>IDS2192_C2_M</t>
  </si>
  <si>
    <t>IDS2001_C8_M</t>
  </si>
  <si>
    <t>PLD1015S_D28Y2_53</t>
  </si>
  <si>
    <t>IDEES2389-C4_M</t>
  </si>
  <si>
    <t>IDS2389_C4_M</t>
  </si>
  <si>
    <t>IDS1973_C6_M</t>
  </si>
  <si>
    <t>IDS2262_C1_M</t>
  </si>
  <si>
    <t>IDS2394_C3_M</t>
  </si>
  <si>
    <t>IDS2293_C2_M</t>
  </si>
  <si>
    <t>IDS2394_C2_M</t>
  </si>
  <si>
    <t>IDS2322_C5_M</t>
  </si>
  <si>
    <t>TH9715_C4_59</t>
  </si>
  <si>
    <t>IDS2159_C2_M</t>
  </si>
  <si>
    <t>IDS2246_C3_M</t>
  </si>
  <si>
    <t>TH2531_C3_57</t>
  </si>
  <si>
    <t>IDS1809_C4_M</t>
  </si>
  <si>
    <t>TH2517_C3_56</t>
  </si>
  <si>
    <t>IDS2399_C1_M</t>
  </si>
  <si>
    <t>IDS2376_C3_M</t>
  </si>
  <si>
    <t>TH2535_C3_54</t>
  </si>
  <si>
    <t>IDS2392_C3_M</t>
  </si>
  <si>
    <t>IDS2402_C4_M</t>
  </si>
  <si>
    <t>IDS2297_C1_M</t>
  </si>
  <si>
    <t>IDS2265_C3_M</t>
  </si>
  <si>
    <t>IDS2190_C3_MF1</t>
  </si>
  <si>
    <t>IDS2190_C3_M</t>
  </si>
  <si>
    <t>TH825_C4_60</t>
  </si>
  <si>
    <t>TH7913_C2_51</t>
  </si>
  <si>
    <t>IDS2027_C6P_M</t>
  </si>
  <si>
    <t>IDS2216_C8_M</t>
  </si>
  <si>
    <t>IDS1953_C5_M</t>
  </si>
  <si>
    <t>IDS2352_C2_M</t>
  </si>
  <si>
    <t>TH9712_C5_54</t>
  </si>
  <si>
    <t>IDS2394_C3_MF1</t>
  </si>
  <si>
    <t>IDS2295_C2_M</t>
  </si>
  <si>
    <t>IDS2399_C3SG_M</t>
  </si>
  <si>
    <t>IDS2170_C2_M</t>
  </si>
  <si>
    <t>IDS2363_C3P_M</t>
  </si>
  <si>
    <t>IDS2185_C1_M</t>
  </si>
  <si>
    <t>IDS2108_C4_M</t>
  </si>
  <si>
    <t>TH7887_C5_58</t>
  </si>
  <si>
    <t>IDS2361_C2_M</t>
  </si>
  <si>
    <t>IDS2000_C35_M</t>
  </si>
  <si>
    <t>IDEES2262_C2_M</t>
  </si>
  <si>
    <t>IDS2262_C2_M</t>
  </si>
  <si>
    <t>PLD3019S_DL5JY_55</t>
  </si>
  <si>
    <t>IDS2228_C2_M</t>
  </si>
  <si>
    <t>IDS2310_C3P_M</t>
  </si>
  <si>
    <t>TH9018_C2_50</t>
  </si>
  <si>
    <t>IDS2270_C2_M</t>
  </si>
  <si>
    <t>IDS2390_C2P_M</t>
  </si>
  <si>
    <t>IDS2271_C1_M</t>
  </si>
  <si>
    <t>TH2544_C5_60</t>
  </si>
  <si>
    <t>IDS2393_C1P_M</t>
  </si>
  <si>
    <t>IDS2186_C4_M</t>
  </si>
  <si>
    <t>PLD4044S_NHOIG_53</t>
  </si>
  <si>
    <t>IDS2364_C3_M</t>
  </si>
  <si>
    <t>IDS2348_C1_M</t>
  </si>
  <si>
    <t>TH822_C2_52</t>
  </si>
  <si>
    <t>IDS2267_C3_M</t>
  </si>
  <si>
    <t>TH819_C2_59</t>
  </si>
  <si>
    <t>TH2539_C1_60</t>
  </si>
  <si>
    <t>TH822_C3_52</t>
  </si>
  <si>
    <t>IDS2391_C1_M</t>
  </si>
  <si>
    <t>IDS1843_C2_M</t>
  </si>
  <si>
    <t>IDS2249_C1_M</t>
  </si>
  <si>
    <t>PLD4039S_D28Y2_51</t>
  </si>
  <si>
    <t>IDS2322_C1_M</t>
  </si>
  <si>
    <t>TH9000_C1_49</t>
  </si>
  <si>
    <t>IDS2394_C7P_M</t>
  </si>
  <si>
    <t>IDEES2319_C2_M</t>
  </si>
  <si>
    <t>IDS2319_C2_M</t>
  </si>
  <si>
    <t>TH7906_C5_54</t>
  </si>
  <si>
    <t>PLD4044S_CVSY2_53</t>
  </si>
  <si>
    <t>TH9713_C3_63</t>
  </si>
  <si>
    <t>TH7891_C2_56</t>
  </si>
  <si>
    <t>PLD5016S_LIMJR_58</t>
  </si>
  <si>
    <t>IDS2128_C3_M</t>
  </si>
  <si>
    <t>IDS2395_C1_M</t>
  </si>
  <si>
    <t>IDS2301_C5_M</t>
  </si>
  <si>
    <t>IDS2300_C4_M</t>
  </si>
  <si>
    <t>IDS2199_C4P_M</t>
  </si>
  <si>
    <t>IDS2257_C3_M</t>
  </si>
  <si>
    <t>PLD3018S_JJOLM_55</t>
  </si>
  <si>
    <t>IDS2185_C4_M</t>
  </si>
  <si>
    <t>IDS2228_C1_M</t>
  </si>
  <si>
    <t>TH7913_C1_51</t>
  </si>
  <si>
    <t>IDS2260_C3_M</t>
  </si>
  <si>
    <t>TH7976_C3_52</t>
  </si>
  <si>
    <t>IDS2299_C4_M</t>
  </si>
  <si>
    <t>TH2545_C4_51</t>
  </si>
  <si>
    <t>IDS2183_C4_M</t>
  </si>
  <si>
    <t>TH2533_C2_54</t>
  </si>
  <si>
    <t>IDS2166_C1_M</t>
  </si>
  <si>
    <t>PLD6003N_SLGPW_54</t>
  </si>
  <si>
    <t>IDS2390_C1P_M</t>
  </si>
  <si>
    <t>IDS2400_C2_M</t>
  </si>
  <si>
    <t>IDS2301_C23P_M</t>
  </si>
  <si>
    <t>TH7915_C3_55</t>
  </si>
  <si>
    <t>PLD2047S_R80UC_57</t>
  </si>
  <si>
    <t>IDS2314_C2P_M</t>
  </si>
  <si>
    <t>IDS2299_C2_M</t>
  </si>
  <si>
    <t>IDS2110_C2_M</t>
  </si>
  <si>
    <t>IDS2373_C1_M</t>
  </si>
  <si>
    <t>IDS2225_C3_M</t>
  </si>
  <si>
    <t>IDS2216_C3_M</t>
  </si>
  <si>
    <t>IDS2392_C4_M</t>
  </si>
  <si>
    <t>IDS2266_C3_M</t>
  </si>
  <si>
    <t>PLD2044S_807M9_60</t>
  </si>
  <si>
    <t>TH2538_C4_59</t>
  </si>
  <si>
    <t>IDS2213_C3P_M</t>
  </si>
  <si>
    <t>IDS2441_C3_M</t>
  </si>
  <si>
    <t>IDS2394_C8P_M</t>
  </si>
  <si>
    <t>IDS2064_C1_M</t>
  </si>
  <si>
    <t>TH7908_C1_57</t>
  </si>
  <si>
    <t>IDS2231_C3_M</t>
  </si>
  <si>
    <t>IDS2010_C4P_M</t>
  </si>
  <si>
    <t>IDS2267_C1_M</t>
  </si>
  <si>
    <t>IDS2392_C2_MF1</t>
  </si>
  <si>
    <t>IDS2392_C2_M</t>
  </si>
  <si>
    <t>IDS2296_C2_M</t>
  </si>
  <si>
    <t>IDS2394_C4_M</t>
  </si>
  <si>
    <t>IDS2232_C3_M</t>
  </si>
  <si>
    <t>PLD2045S_003LM_63</t>
  </si>
  <si>
    <t>IDS1899_C2_M</t>
  </si>
  <si>
    <t>IDS2319_C4_M</t>
  </si>
  <si>
    <t>IDS2398_C3_M</t>
  </si>
  <si>
    <t>IDS2241_C5_M</t>
  </si>
  <si>
    <t>IDS2100_C1_M</t>
  </si>
  <si>
    <t>IDS2402_C11_M</t>
  </si>
  <si>
    <t>IDS2186_C2_M</t>
  </si>
  <si>
    <t>IDS2001_C39P_M</t>
  </si>
  <si>
    <t>IDS2338_C1_M</t>
  </si>
  <si>
    <t>IDS2364_C2_M</t>
  </si>
  <si>
    <t>IDS2219_C2_M</t>
  </si>
  <si>
    <t>IDS2170_C4_M</t>
  </si>
  <si>
    <t>IDS2379_C2_M</t>
  </si>
  <si>
    <t>IDS2199_C1P_M</t>
  </si>
  <si>
    <t>IDS2322_C3_M</t>
  </si>
  <si>
    <t>IDS2193_C2_M</t>
  </si>
  <si>
    <t>IDS2301_C25P_M</t>
  </si>
  <si>
    <t>IDS2183_C3_M</t>
  </si>
  <si>
    <t>IDS2301_C22_M</t>
  </si>
  <si>
    <t>IDEES2378_C1_M</t>
  </si>
  <si>
    <t>IDS2378_C1_M</t>
  </si>
  <si>
    <t>IDS2184_C1_M</t>
  </si>
  <si>
    <t>IDS2195_C4_M</t>
  </si>
  <si>
    <t>IDS2197_C2_M</t>
  </si>
  <si>
    <t>IDS2216_C7_M</t>
  </si>
  <si>
    <t>IDS2242_C4_M</t>
  </si>
  <si>
    <t>IDS2069_C3_M</t>
  </si>
  <si>
    <t>PLD4035S_08694_54</t>
  </si>
  <si>
    <t>IDS2436_C3_M</t>
  </si>
  <si>
    <t>IDS2248_C2_M</t>
  </si>
  <si>
    <t>PLD3011S_LLQY2_57</t>
  </si>
  <si>
    <t>IDS2271_C3_M</t>
  </si>
  <si>
    <t>IDS2394_C1_M</t>
  </si>
  <si>
    <t>IDS2231_C4_M</t>
  </si>
  <si>
    <t>IDS2241_C1_M</t>
  </si>
  <si>
    <t>IDS2108_C1_M</t>
  </si>
  <si>
    <t>IDS2200_C1P_M</t>
  </si>
  <si>
    <t>IDS2184_C2_M</t>
  </si>
  <si>
    <t>IDS2001_C40P_M</t>
  </si>
  <si>
    <t>IDS2293_C3_M</t>
  </si>
  <si>
    <t>IDS2398_C4_M</t>
  </si>
  <si>
    <t>IDS2213_C1P_M</t>
  </si>
  <si>
    <t>IDS1899_C1_MF1</t>
  </si>
  <si>
    <t>IDS1899_C1_M</t>
  </si>
  <si>
    <t>IDS2343_C5_M</t>
  </si>
  <si>
    <t>IDS2224_C2_M</t>
  </si>
  <si>
    <t>TH7903_C4_56</t>
  </si>
  <si>
    <t>TH7975_C1_50</t>
  </si>
  <si>
    <t>IDS2199_C3_M</t>
  </si>
  <si>
    <t>IDS2247_C3SG_M</t>
  </si>
  <si>
    <t>IDS2247_C3_M</t>
  </si>
  <si>
    <t>TH7903_C3_56</t>
  </si>
  <si>
    <t>TH2531_C2_57</t>
  </si>
  <si>
    <t>IDS1809_C2_M</t>
  </si>
  <si>
    <t>PLD1028S_SAOSP_55</t>
  </si>
  <si>
    <t>TH2534_C4_53</t>
  </si>
  <si>
    <t>IDS2231_C2_M</t>
  </si>
  <si>
    <t>TH9713_C4_63</t>
  </si>
  <si>
    <t>IDS2272_C3_M</t>
  </si>
  <si>
    <t>TH9009_C4_54</t>
  </si>
  <si>
    <t>TH9009_C2_54</t>
  </si>
  <si>
    <t>IDS2391_C4_M</t>
  </si>
  <si>
    <t>TH9000_C2_49</t>
  </si>
  <si>
    <t>IDS2205_C2P_M</t>
  </si>
  <si>
    <t>IDS2294_C3_M</t>
  </si>
  <si>
    <t>IDS2265_C4_M</t>
  </si>
  <si>
    <t>PLD3019S_DL5Y2_55</t>
  </si>
  <si>
    <t>IDS2183_C2_M</t>
  </si>
  <si>
    <t>TH7906_C4_54</t>
  </si>
  <si>
    <t>TH2545_C5_51</t>
  </si>
  <si>
    <t>TH9000_C5_49</t>
  </si>
  <si>
    <t>IDS2000_C57_M</t>
  </si>
  <si>
    <t>IDS2216_C6_M</t>
  </si>
  <si>
    <t>IDS2241_C6_M</t>
  </si>
  <si>
    <t>IDS2390_C3P_M</t>
  </si>
  <si>
    <t>IDS2359_C2SG_M</t>
  </si>
  <si>
    <t>IDS2359_C2_M</t>
  </si>
  <si>
    <t>IDEES2355_C6_M</t>
  </si>
  <si>
    <t>IDS2355_C6_M</t>
  </si>
  <si>
    <t>IDS1809_C3_M</t>
  </si>
  <si>
    <t>IDS2393_C1P_MF1</t>
  </si>
  <si>
    <t>IDEES2366_C2_M</t>
  </si>
  <si>
    <t>IDS2366_C2_M</t>
  </si>
  <si>
    <t>IDS1864_C5_M</t>
  </si>
  <si>
    <t>IDS2104_C6_M</t>
  </si>
  <si>
    <t>IDS2209_C1_M</t>
  </si>
  <si>
    <t>IDEES2393_C4_M</t>
  </si>
  <si>
    <t>IDS2393_C4_M</t>
  </si>
  <si>
    <t>IDEES2366_C1_M</t>
  </si>
  <si>
    <t>IDS2366_C1_M</t>
  </si>
  <si>
    <t>TH2520_C1_59</t>
  </si>
  <si>
    <t>IDS2392_C3_MF1</t>
  </si>
  <si>
    <t>TH7902_C4_56</t>
  </si>
  <si>
    <t>IDS2302_C4P_M</t>
  </si>
  <si>
    <t>IDEES2302_C2_M</t>
  </si>
  <si>
    <t>IDS2302_C2_M</t>
  </si>
  <si>
    <t>TH821_C2_57</t>
  </si>
  <si>
    <t>IDS2129_C2_M</t>
  </si>
  <si>
    <t>TH2543_C2_59</t>
  </si>
  <si>
    <t>IDEES2407_C6_M</t>
  </si>
  <si>
    <t>IDS2407_C6_M</t>
  </si>
  <si>
    <t>PLD7008S_DL5Y2_54</t>
  </si>
  <si>
    <t>IDEES2392_C1_M</t>
  </si>
  <si>
    <t>IDS2392_C1_M</t>
  </si>
  <si>
    <t>IDS2361_C3_M</t>
  </si>
  <si>
    <t>IDS2114_C1_M</t>
  </si>
  <si>
    <t>IDS2216_C10_M</t>
  </si>
  <si>
    <t>IDS1844_C5_M</t>
  </si>
  <si>
    <t>IDS2063_C3_M</t>
  </si>
  <si>
    <t>PLD1020S_J5GY2_56</t>
  </si>
  <si>
    <t>IDS2240_C1P_M</t>
  </si>
  <si>
    <t>IDS2011_C6_M</t>
  </si>
  <si>
    <t>IDS2325_C1_M</t>
  </si>
  <si>
    <t>PLD2017S_KJ1Y2_62</t>
  </si>
  <si>
    <t>IDS2352_C1_M</t>
  </si>
  <si>
    <t>IDS2184_C4_M</t>
  </si>
  <si>
    <t>IDS2212_C3_M</t>
  </si>
  <si>
    <t>IDS1978_C5_M</t>
  </si>
  <si>
    <t>IDS2225_C2_M</t>
  </si>
  <si>
    <t>TH7897_C1_57</t>
  </si>
  <si>
    <t>IDS2394_C9P_M</t>
  </si>
  <si>
    <t>PLD4050S_086SP_58</t>
  </si>
  <si>
    <t>IDS2241_C4_M</t>
  </si>
  <si>
    <t>IDS2192_C1_M</t>
  </si>
  <si>
    <t>TH2537_C4_55</t>
  </si>
  <si>
    <t>IDS2407_C2_M</t>
  </si>
  <si>
    <t>IDS2332_C2_M</t>
  </si>
  <si>
    <t>IDS2318_C2_M</t>
  </si>
  <si>
    <t>IDS2159_C1_M</t>
  </si>
  <si>
    <t>IDS2100_C4_M</t>
  </si>
  <si>
    <t>TH820_C2_54</t>
  </si>
  <si>
    <t>IDS2210_C3P_M</t>
  </si>
  <si>
    <t>IDS2366_C3_M</t>
  </si>
  <si>
    <t>TH9711_C1_53</t>
  </si>
  <si>
    <t>IDS2010_C4_M</t>
  </si>
  <si>
    <t>IDS2392_C4_MF1</t>
  </si>
  <si>
    <t>PLD6003NS_V08LA_54</t>
  </si>
  <si>
    <t>IDS2246_C1_M</t>
  </si>
  <si>
    <t>IDS2393_C5P_M</t>
  </si>
  <si>
    <t>IDS2232_C1_M</t>
  </si>
  <si>
    <t>IDS1809_C1_M</t>
  </si>
  <si>
    <t>PLD4040S_D28Y2_54</t>
  </si>
  <si>
    <t>TH7971_C1_60</t>
  </si>
  <si>
    <t>IDS2438_C3_M</t>
  </si>
  <si>
    <t>PLD4046S_R978W_55</t>
  </si>
  <si>
    <t>IDS2393_C3P_M</t>
  </si>
  <si>
    <t>IDS2199_C2P_M</t>
  </si>
  <si>
    <t>IDS2240_C2P_M</t>
  </si>
  <si>
    <t>TH7891_C1_56</t>
  </si>
  <si>
    <t>PLD1020S_R80Y2_56</t>
  </si>
  <si>
    <t>PLD4035S_MRCIG_54</t>
  </si>
  <si>
    <t>IDS2296_C3_M</t>
  </si>
  <si>
    <t>PLD6003N_SOGRC_54</t>
  </si>
  <si>
    <t>IDS2402_C10P_M</t>
  </si>
  <si>
    <t>IDS2197_C3_M</t>
  </si>
  <si>
    <t>IDEES2378_C2_M</t>
  </si>
  <si>
    <t>IDS2378_C2_M</t>
  </si>
  <si>
    <t>TH2512_C2_53</t>
  </si>
  <si>
    <t>IDEES2325_C3_M</t>
  </si>
  <si>
    <t>IDS2325_C3_M</t>
  </si>
  <si>
    <t>IDS2363_C2P_M</t>
  </si>
  <si>
    <t>IDS1928_C6_M</t>
  </si>
  <si>
    <t>TH7908_C3_57</t>
  </si>
  <si>
    <t>IDS2162_C2_M</t>
  </si>
  <si>
    <t>IDS2399_C2_M</t>
  </si>
  <si>
    <t>IDS2246_C4_M</t>
  </si>
  <si>
    <t>IDEES2311_C3_M</t>
  </si>
  <si>
    <t>IDS2311_C3_M</t>
  </si>
  <si>
    <t>IDS2096_C4_M</t>
  </si>
  <si>
    <t>IDEES2408_C4P_M</t>
  </si>
  <si>
    <t>IDS2408_C4P_M</t>
  </si>
  <si>
    <t>IDS2195_C2_M</t>
  </si>
  <si>
    <t>IDS2394_C5P_M</t>
  </si>
  <si>
    <t>IDS2391_C3_M</t>
  </si>
  <si>
    <t>IDS2402_C3_M</t>
  </si>
  <si>
    <t>IDS2322_C2_M</t>
  </si>
  <si>
    <t>IDS2266_C2_M</t>
  </si>
  <si>
    <t>IDS2398_C1_M</t>
  </si>
  <si>
    <t>IDS2395_C4_M</t>
  </si>
  <si>
    <t>IDS2131_C4_M</t>
  </si>
  <si>
    <t>IDS2292_C2_M</t>
  </si>
  <si>
    <t>IDS2361_C1_M</t>
  </si>
  <si>
    <t>IDS2207_C2_M</t>
  </si>
  <si>
    <t>PLD2045S_807M9_63</t>
  </si>
  <si>
    <t>IDS2184_C3_M</t>
  </si>
  <si>
    <t>IDS2363_C5P_M</t>
  </si>
  <si>
    <t>IDS2366_C4_M</t>
  </si>
  <si>
    <t>IDS2247_C1_M</t>
  </si>
  <si>
    <t>IDS2192_C3_M</t>
  </si>
  <si>
    <t>PLD1025S_NHORC_54</t>
  </si>
  <si>
    <t>IDS2436_C2_M</t>
  </si>
  <si>
    <t>TH2535_C1_54</t>
  </si>
  <si>
    <t>IDS2400_C1_M</t>
  </si>
  <si>
    <t>IDS2185_C3_M</t>
  </si>
  <si>
    <t>PLD4049S_086SP_57</t>
  </si>
  <si>
    <t>IDS2186_C3_M</t>
  </si>
  <si>
    <t>IDS2352_C3_M</t>
  </si>
  <si>
    <t>IDS2438_C2_M</t>
  </si>
  <si>
    <t>IDS2238_C1_M</t>
  </si>
  <si>
    <t>TH2539_C3_60</t>
  </si>
  <si>
    <t>IDS2273_C2_M</t>
  </si>
  <si>
    <t>TH9009_C1_54</t>
  </si>
  <si>
    <t>PLD1012S_POVWJ_54</t>
  </si>
  <si>
    <t>IDS2269_C2_M</t>
  </si>
  <si>
    <t>IDS2000_C1_M</t>
  </si>
  <si>
    <t>PLD7007S_DL5Y2_63</t>
  </si>
  <si>
    <t>IDS2393_C2P_M</t>
  </si>
  <si>
    <t>PLD3015S_DL5Y2_63</t>
  </si>
  <si>
    <t>IDS2395_C3SG_M</t>
  </si>
  <si>
    <t>IDS2394_C4_MF1</t>
  </si>
  <si>
    <t>IDS2248_C3_M</t>
  </si>
  <si>
    <t>IDS2235_C1P_M</t>
  </si>
  <si>
    <t>TH7915_C4_55</t>
  </si>
  <si>
    <t>IDS2246_C5_M</t>
  </si>
  <si>
    <t>TH820_C1_54</t>
  </si>
  <si>
    <t>TH1502_C1_55</t>
  </si>
  <si>
    <t>IDEES2319_C3_M</t>
  </si>
  <si>
    <t>IDS2319_C3_M</t>
  </si>
  <si>
    <t>IDS2391_C2_M</t>
  </si>
  <si>
    <t>IDS2393_C4P_M</t>
  </si>
  <si>
    <t>TH2533_C5_54</t>
  </si>
  <si>
    <t>TH2535_C5_54</t>
  </si>
  <si>
    <t>IDS1459_C3P_M</t>
  </si>
  <si>
    <t>IDEES2378_C4_M</t>
  </si>
  <si>
    <t>IDS2378_C4_M</t>
  </si>
  <si>
    <t>TH9018_C1_50</t>
  </si>
  <si>
    <t>IDS2422_C7_M</t>
  </si>
  <si>
    <t>IDS2120_C1_M</t>
  </si>
  <si>
    <t>IDS2319_C1_M</t>
  </si>
  <si>
    <t>IDS2007_C7_M</t>
  </si>
  <si>
    <t>IDS2238_C4_M</t>
  </si>
  <si>
    <t>IDS2129_C3_M</t>
  </si>
  <si>
    <t>IDS2317_C3_M</t>
  </si>
  <si>
    <t>IDS2184_C1_MF1</t>
  </si>
  <si>
    <t>IDS2294_C1_M</t>
  </si>
  <si>
    <t>IDS2010_C3P_M</t>
  </si>
  <si>
    <t>IDS2330_C1_M</t>
  </si>
  <si>
    <t>IDS2018_C1_M</t>
  </si>
  <si>
    <t>ID1686_C3_M</t>
  </si>
  <si>
    <t>IDS2103_C1_M</t>
  </si>
  <si>
    <t>IDS2115_C3_M</t>
  </si>
  <si>
    <t>IDS2269_C1_M</t>
  </si>
  <si>
    <t>IDS2379_C1_M</t>
  </si>
  <si>
    <t>IDS2007_C6_M</t>
  </si>
  <si>
    <t>IDS2343_C8_M</t>
  </si>
  <si>
    <t>IDS2162_C1_M</t>
  </si>
  <si>
    <t>IDS2017-C3_M</t>
  </si>
  <si>
    <t>IDS1787_C7_M</t>
  </si>
  <si>
    <t>IDS1995_C1P_M</t>
  </si>
  <si>
    <t>IDS2310_C2_M</t>
  </si>
  <si>
    <t>IDEE-S2330C2</t>
  </si>
  <si>
    <t>IDS2330_C2_M</t>
  </si>
  <si>
    <t>IDS2018_C4_M</t>
  </si>
  <si>
    <t>IDS1994-C7_M</t>
  </si>
  <si>
    <t>IDS1994_C7_M</t>
  </si>
  <si>
    <t>IDS2158_C1_M</t>
  </si>
  <si>
    <t>IDS2294_C4_M</t>
  </si>
  <si>
    <t>IDS2320_C6P_M</t>
  </si>
  <si>
    <t>IDS2297_C3_M</t>
  </si>
  <si>
    <t>IDS2180_C2_M</t>
  </si>
  <si>
    <t>IDS1928_C6_MF1</t>
  </si>
  <si>
    <t>IDS2183-C4_M</t>
  </si>
  <si>
    <t>IDS2171_C4P_M</t>
  </si>
  <si>
    <t>IDS2011_C5_M</t>
  </si>
  <si>
    <t>IDS2212-C3_M</t>
  </si>
  <si>
    <t>IDS2209_C4_M</t>
  </si>
  <si>
    <t>IDS2192_C1_MF1</t>
  </si>
  <si>
    <t>IDS2110_C1_M</t>
  </si>
  <si>
    <t>IDS1844_C6_M</t>
  </si>
  <si>
    <t>IDS1844_C3_MF1</t>
  </si>
  <si>
    <t>IDS1844_C3_M</t>
  </si>
  <si>
    <t>IDS2320_C1_M</t>
  </si>
  <si>
    <t>IDS2317_C4_M</t>
  </si>
  <si>
    <t>IDS2266_C3_MF1</t>
  </si>
  <si>
    <t>IDS2205_C1P_M</t>
  </si>
  <si>
    <t>IDS2132_C1_M</t>
  </si>
  <si>
    <t>IDS2236_C4_M</t>
  </si>
  <si>
    <t>ID2017_C1_M</t>
  </si>
  <si>
    <t>IDS2080_C1P_M</t>
  </si>
  <si>
    <t>IDS2350_C4_M</t>
  </si>
  <si>
    <t>IDS2315_C2_M</t>
  </si>
  <si>
    <t>IDS1802_C2_M</t>
  </si>
  <si>
    <t>IDS2304_C2_M</t>
  </si>
  <si>
    <t>IDS2192_C2_MF1</t>
  </si>
  <si>
    <t>IDS1870_C1_M</t>
  </si>
  <si>
    <t>IDS2245_C4_M</t>
  </si>
  <si>
    <t>IDS2243_C1_M</t>
  </si>
  <si>
    <t>IDS2393_C2P_55</t>
  </si>
  <si>
    <t>IDS2280_C2_M</t>
  </si>
  <si>
    <t>IDS2225_C1_M</t>
  </si>
  <si>
    <t>IDS2207_C1_M</t>
  </si>
  <si>
    <t>IDS2294_C2_M</t>
  </si>
  <si>
    <t>IDS2310_C1_M</t>
  </si>
  <si>
    <t>IDS2343_C1_M</t>
  </si>
  <si>
    <t>IDS1914_C9_62</t>
  </si>
  <si>
    <t>IDS1914_C9_M</t>
  </si>
  <si>
    <t>IDS1809_C1_MF1</t>
  </si>
  <si>
    <t>IDS2170_C1_M</t>
  </si>
  <si>
    <t>IDS2001_C2_M</t>
  </si>
  <si>
    <t>IDS2303_C1_M</t>
  </si>
  <si>
    <t>IDS2186_C1_M</t>
  </si>
  <si>
    <t>IDS2295_C1_M</t>
  </si>
  <si>
    <t>IDS1929_C4_M</t>
  </si>
  <si>
    <t>IDS2212_C1_M</t>
  </si>
  <si>
    <t>IDS2163_C2P_M</t>
  </si>
  <si>
    <t>IDS2429_C6P_M</t>
  </si>
  <si>
    <t>IDS2426_C4_M</t>
  </si>
  <si>
    <t>IDS2405_C1_M</t>
  </si>
  <si>
    <t>IDS2426_C5_M</t>
  </si>
  <si>
    <t>IDS1899_C6_M</t>
  </si>
  <si>
    <t>IDS2440_C1_M</t>
  </si>
  <si>
    <t>IDS2384_C4_M</t>
  </si>
  <si>
    <t>IDS1899_C5_M</t>
  </si>
  <si>
    <t>IDS2429_C4P_M</t>
  </si>
  <si>
    <t>IDS2385_C1_M</t>
  </si>
  <si>
    <t>IDS2405_C2_M</t>
  </si>
  <si>
    <t>IDS2384_C6_M</t>
  </si>
  <si>
    <t>IDS2418_C1P_M</t>
  </si>
  <si>
    <t>IDS1899_C4_MF1</t>
  </si>
  <si>
    <t>IDS2418_C2P_M</t>
  </si>
  <si>
    <t>IDS2384_C5_M</t>
  </si>
  <si>
    <t>IDS2384_C7_M</t>
  </si>
  <si>
    <t>IDS2423_C3_M</t>
  </si>
  <si>
    <t>IDS2384_C3_M</t>
  </si>
  <si>
    <t>IDS2423_C1_M</t>
  </si>
  <si>
    <t>IDS2429_C5P_M</t>
  </si>
  <si>
    <t>IDS2418_C3P_M</t>
  </si>
  <si>
    <t>IDS2385_C4S_M</t>
  </si>
  <si>
    <t>IDS2384_C1_M</t>
  </si>
  <si>
    <t>IDS2384_C2_M</t>
  </si>
  <si>
    <t>IDS2385_C2_M</t>
  </si>
  <si>
    <t>IDS2385_C3_M</t>
  </si>
  <si>
    <t>IDS2372_C4_M</t>
  </si>
  <si>
    <t>IDS2374_C2_M</t>
  </si>
  <si>
    <t>IDS2371_C1_MF1</t>
  </si>
  <si>
    <t>IDS2371_C1_M</t>
  </si>
  <si>
    <t>IDS2370_C5_M</t>
  </si>
  <si>
    <t>IDS2374_C1_MF1</t>
  </si>
  <si>
    <t>IDS2374_C1_M</t>
  </si>
  <si>
    <t>IDS2382_C3_M</t>
  </si>
  <si>
    <t>IDS2383_C1_M</t>
  </si>
  <si>
    <t>IDS2375_C3_M</t>
  </si>
  <si>
    <t>IDS2378_C3_M</t>
  </si>
  <si>
    <t>IDS2375_C1_M</t>
  </si>
  <si>
    <t>IDS2374_C3_M</t>
  </si>
  <si>
    <t>IDS2376_C1_M</t>
  </si>
  <si>
    <t>IDS2381_C3_M</t>
  </si>
  <si>
    <t>IDS2376_C3_MF1</t>
  </si>
  <si>
    <t>IDS2379_C2_MF1</t>
  </si>
  <si>
    <t>IDS2383_C4_M</t>
  </si>
  <si>
    <t>IDS2373_C2_M</t>
  </si>
  <si>
    <t>IDS2374_C3_MF1</t>
  </si>
  <si>
    <t>IDS2371_C3_M</t>
  </si>
  <si>
    <t>IDS2370_C1_M</t>
  </si>
  <si>
    <t>IDS2371_C2_M</t>
  </si>
  <si>
    <t>IDS2383_C3_M</t>
  </si>
  <si>
    <t>IDS2371_C3_MF3</t>
  </si>
  <si>
    <t>IDS2377_C3_M</t>
  </si>
  <si>
    <t>IDS2372_C3_M</t>
  </si>
  <si>
    <t>IDS2372_C2_M</t>
  </si>
  <si>
    <t>IDS2377_C1_M</t>
  </si>
  <si>
    <t>IDS2372_C1_M</t>
  </si>
  <si>
    <t>IDS2377_C2_M</t>
  </si>
  <si>
    <t>IDS2373_C1_MF1</t>
  </si>
  <si>
    <t>IDS2382_C2_M</t>
  </si>
  <si>
    <t>IDS2381_C1_M</t>
  </si>
  <si>
    <t>IDS2380_C1_MF1</t>
  </si>
  <si>
    <t>IDS2380_C2_M</t>
  </si>
  <si>
    <t>IDS2375_C2_M</t>
  </si>
  <si>
    <t>IDS2382_C1_M</t>
  </si>
  <si>
    <t>IDS2389_C2_M</t>
  </si>
  <si>
    <t>IDS2376_C2_M</t>
  </si>
  <si>
    <t>IDS2380_C3_MF1</t>
  </si>
  <si>
    <t>IDS2379_C3_M</t>
  </si>
  <si>
    <t>IDS2374_C2_MF1</t>
  </si>
  <si>
    <t>IDS2382_C4_M</t>
  </si>
  <si>
    <t>IDS2389_C1_M</t>
  </si>
  <si>
    <t>IDS2381_C2_M</t>
  </si>
  <si>
    <t>IDS2370_C3_M</t>
  </si>
  <si>
    <t>IDS2373_C3_M</t>
  </si>
  <si>
    <t>IDS2379_C1_MF1</t>
  </si>
  <si>
    <t>IDS2383_C2_M</t>
  </si>
  <si>
    <t>IDS2370_C2_M</t>
  </si>
  <si>
    <t>IDS1821_C3_60</t>
  </si>
  <si>
    <t>ID950_C2_M</t>
  </si>
  <si>
    <t>ID1002_C3_M</t>
  </si>
  <si>
    <t>IDS1821_C1_M</t>
  </si>
  <si>
    <t>ID1203_C2_M</t>
  </si>
  <si>
    <t>ID1602_C1_M</t>
  </si>
  <si>
    <t>ID737_C4_53</t>
  </si>
  <si>
    <t>ID915_C3_M</t>
  </si>
  <si>
    <t>ID1700_C31_M</t>
  </si>
  <si>
    <t>ID941_C1_52</t>
  </si>
  <si>
    <t>ID736_C4_M</t>
  </si>
  <si>
    <t>ID1027_C2_M</t>
  </si>
  <si>
    <t>ID952_C2_53</t>
  </si>
  <si>
    <t>FOS2029S_BG4F8_51</t>
  </si>
  <si>
    <t>FOS2054S_HD18H_52</t>
  </si>
  <si>
    <t>ID1000_C4_M</t>
  </si>
  <si>
    <t>FT_P380GR2_M</t>
  </si>
  <si>
    <t>EA4063_546573_58</t>
  </si>
  <si>
    <t>FT_P402YL1IN_M</t>
  </si>
  <si>
    <t>FOS3063S_MOODB_53</t>
  </si>
  <si>
    <t>FT_P385RD4_M</t>
  </si>
  <si>
    <t>ID733_C4_M</t>
  </si>
  <si>
    <t>ID733_C4_54</t>
  </si>
  <si>
    <t>VO5166_256613_51</t>
  </si>
  <si>
    <t>FT_P360RD2_M</t>
  </si>
  <si>
    <t>FT_C082BK2F_M</t>
  </si>
  <si>
    <t>ID1047_C1_51F1</t>
  </si>
  <si>
    <t>DG5115_090_50F1</t>
  </si>
  <si>
    <t>ID1519_C2_49F1</t>
  </si>
  <si>
    <t>ID721_C2_52F1</t>
  </si>
  <si>
    <t>EA3025_5017_54F1</t>
  </si>
  <si>
    <t>ID1520_C1_50F1</t>
  </si>
  <si>
    <t>ID780_C4_58F1</t>
  </si>
  <si>
    <t>CK5367_044_52F1</t>
  </si>
  <si>
    <t>ID1484_C4_51F1</t>
  </si>
  <si>
    <t>ID1484_C6_51F1</t>
  </si>
  <si>
    <t>ID1546_C4_52F1</t>
  </si>
  <si>
    <t>ID1144_C2_53F1</t>
  </si>
  <si>
    <t>ID1543_C5_54F1</t>
  </si>
  <si>
    <t>ID1489_C5_51F1</t>
  </si>
  <si>
    <t>ID1160_C3_51F1</t>
  </si>
  <si>
    <t>ID1519_C3_49F1</t>
  </si>
  <si>
    <t>ID1544_C5_52F1</t>
  </si>
  <si>
    <t>ID1038_C4_MF1</t>
  </si>
  <si>
    <t>ID1517_C1_55F1</t>
  </si>
  <si>
    <t>ID856_C1_51F1</t>
  </si>
  <si>
    <t>ID1476_C3_52F1</t>
  </si>
  <si>
    <t>ID1471_C3_50F1</t>
  </si>
  <si>
    <t>CK5365A_046_51F1</t>
  </si>
  <si>
    <t>ID1470_C6_52F1</t>
  </si>
  <si>
    <t>ID698_C1_53F1</t>
  </si>
  <si>
    <t>EA3091_5500_53F1</t>
  </si>
  <si>
    <t>ID829_C4_51F1</t>
  </si>
  <si>
    <t>ID1545_C3_54F1</t>
  </si>
  <si>
    <t>ID1545_C4_54F1</t>
  </si>
  <si>
    <t>ID1521_C3_51F1</t>
  </si>
  <si>
    <t>CK5327_060_MF1</t>
  </si>
  <si>
    <t>ID1543_C4_54F1</t>
  </si>
  <si>
    <t>ID1520_C2_50F1</t>
  </si>
  <si>
    <t>ID1504_C2_52F1</t>
  </si>
  <si>
    <t>CK5366A_097_52F1</t>
  </si>
  <si>
    <t>ID1521_C1_MF1</t>
  </si>
  <si>
    <t>ID1500_C5_MF1</t>
  </si>
  <si>
    <t>ID1001_C1_54F1</t>
  </si>
  <si>
    <t>ID1517_C3_55F1</t>
  </si>
  <si>
    <t>ID1519_C1_49F1</t>
  </si>
  <si>
    <t>ID1531_C2_54F1</t>
  </si>
  <si>
    <t>ID1545_C1_54F1</t>
  </si>
  <si>
    <t>FT_R022GR1_MF1</t>
  </si>
  <si>
    <t>ID1546_C5_52F1</t>
  </si>
  <si>
    <t>ID1546_C2_52F1</t>
  </si>
  <si>
    <t>ID1521_C2_51F1</t>
  </si>
  <si>
    <t>ID698_C5_53F1</t>
  </si>
  <si>
    <t>ID1405_C2_MF1</t>
  </si>
  <si>
    <t>ID706_C3_52F1</t>
  </si>
  <si>
    <t>ID1525_C2_55F1</t>
  </si>
  <si>
    <t>ID1027_C3_53F1</t>
  </si>
  <si>
    <t>ID1000_C4_MF1</t>
  </si>
  <si>
    <t>DG1238P_1169_54F1</t>
  </si>
  <si>
    <t>ID1142_C2_52F1</t>
  </si>
  <si>
    <t>ID1545_C6_54F1</t>
  </si>
  <si>
    <t>CK5350_060_54F1</t>
  </si>
  <si>
    <t>ID1543_C1_54F1</t>
  </si>
  <si>
    <t>ID1447_C2_51F1</t>
  </si>
  <si>
    <t>CK5364A_028_MF1</t>
  </si>
  <si>
    <t>ID1520_C3_50F1</t>
  </si>
  <si>
    <t>ID1525_C3_55F1</t>
  </si>
  <si>
    <t>ID733_C4_MF1</t>
  </si>
  <si>
    <t>ID1047_C2_51F1</t>
  </si>
  <si>
    <t>ID1499_C7_MF1</t>
  </si>
  <si>
    <t>ID1139_C4_53F1</t>
  </si>
  <si>
    <t>ID706_C4_52F1</t>
  </si>
  <si>
    <t>ID736_C4_MF1</t>
  </si>
  <si>
    <t>ID1531_C3_MF1</t>
  </si>
  <si>
    <t>ID1504_C4_52F1</t>
  </si>
  <si>
    <t>ID1484_C5_51F1</t>
  </si>
  <si>
    <t>ID1203_C4_52F1</t>
  </si>
  <si>
    <t>ID1477_C4_53F1</t>
  </si>
  <si>
    <t>ID1546_C1_52F1</t>
  </si>
  <si>
    <t>ID1543_C7_54F1</t>
  </si>
  <si>
    <t>ID1543_C2_54F1</t>
  </si>
  <si>
    <t>EA3073_5026_54F1</t>
  </si>
  <si>
    <t>ID1002_C2_52F1</t>
  </si>
  <si>
    <t>ID827_C1_53F1</t>
  </si>
  <si>
    <t>EA3013_5026_52F1</t>
  </si>
  <si>
    <t>RX7027_2000_54F1</t>
  </si>
  <si>
    <t>VO5013_W44_52F1</t>
  </si>
  <si>
    <t>TH2515_C3_50F1</t>
  </si>
  <si>
    <t>TH5221_C4_51F1</t>
  </si>
  <si>
    <t>VO4037_352_52F1</t>
  </si>
  <si>
    <t>VO4038_548_54F1</t>
  </si>
  <si>
    <t>TH7976_C1_52F1</t>
  </si>
  <si>
    <t>ID946_C3_51F1</t>
  </si>
  <si>
    <t>VO5010_W44_53F1</t>
  </si>
  <si>
    <t>ID869_C2_52F1</t>
  </si>
  <si>
    <t>ID973_C2_51F1</t>
  </si>
  <si>
    <t>ID911_C2_52F1</t>
  </si>
  <si>
    <t>ID996_C3_51F1</t>
  </si>
  <si>
    <t>VO5042_W44_53F1</t>
  </si>
  <si>
    <t>ID950_C2_MF1</t>
  </si>
  <si>
    <t>ID997_C3_52F1</t>
  </si>
  <si>
    <t>ID961_C2_51F1</t>
  </si>
  <si>
    <t>VO3965_848S_55F1</t>
  </si>
  <si>
    <t>RX6384_2502_52F1</t>
  </si>
  <si>
    <t>VO3980_352S_52F1</t>
  </si>
  <si>
    <t>ID884_C3_51F1</t>
  </si>
  <si>
    <t>VO2950_2048_51F1</t>
  </si>
  <si>
    <t>ID941_C1_52F1</t>
  </si>
  <si>
    <t>VO2787_2406_53F1</t>
  </si>
  <si>
    <t>ID890_C3_51F1</t>
  </si>
  <si>
    <t>VO3844_352_52F1</t>
  </si>
  <si>
    <t>ID874_C3_52F1</t>
  </si>
  <si>
    <t>ID915_C3_MF1</t>
  </si>
  <si>
    <t>ID857_C1_53F1</t>
  </si>
  <si>
    <t>ID925_C3_51F1</t>
  </si>
  <si>
    <t>VO2714_2406_54F1</t>
  </si>
  <si>
    <t>VO2789B_W656_52F1</t>
  </si>
  <si>
    <t>ID916_C3_53F1</t>
  </si>
  <si>
    <t>RX7028_5392_55F1</t>
  </si>
  <si>
    <t>ID908_C2_50F1</t>
  </si>
  <si>
    <t>VO3893_280_52F1</t>
  </si>
  <si>
    <t>VO3763_352_52F1</t>
  </si>
  <si>
    <t>ID907_C2_51F1</t>
  </si>
  <si>
    <t>VO3845B_548_52F1</t>
  </si>
  <si>
    <t>ID997_C2_52F1</t>
  </si>
  <si>
    <t>ID911_C3_52F1</t>
  </si>
  <si>
    <t>ID950_C4_51F1</t>
  </si>
  <si>
    <t>VO4038_5033_54F1</t>
  </si>
  <si>
    <t>RX7014_5068_54F1</t>
  </si>
  <si>
    <t>VO5120_W656_52F1</t>
  </si>
  <si>
    <t>ID1490_C2_53F1</t>
  </si>
  <si>
    <t>ID1157_C2_52F1</t>
  </si>
  <si>
    <t>ID1460_C1_54F1</t>
  </si>
  <si>
    <t>ID1541_C2_53F1</t>
  </si>
  <si>
    <t>ID1482_C1_51F1</t>
  </si>
  <si>
    <t>ID1482_C4_51F1</t>
  </si>
  <si>
    <t>VO2937_W44_51F1</t>
  </si>
  <si>
    <t>ID1494_C3_52F1</t>
  </si>
  <si>
    <t>ID1482_C5_51F1</t>
  </si>
  <si>
    <t>VO2816_2182_52F1</t>
  </si>
  <si>
    <t>ID1559_C3_54F1</t>
  </si>
  <si>
    <t>ID1147_C4_52F1</t>
  </si>
  <si>
    <t>VO4037_280_52F1</t>
  </si>
  <si>
    <t>IDS2302_C3_M</t>
  </si>
  <si>
    <t>IDS2343_C9_M</t>
  </si>
  <si>
    <t>IDS2001_C41P_M</t>
  </si>
  <si>
    <t>IDS2001_C30_M</t>
  </si>
  <si>
    <t>IDS2237_C4P_M</t>
  </si>
  <si>
    <t>IDS2220_C1_M</t>
  </si>
  <si>
    <t>IDS2331_C1_M</t>
  </si>
  <si>
    <t>IDS2238_C3_M</t>
  </si>
  <si>
    <t>IDS2310_C4P_M</t>
  </si>
  <si>
    <t>IDS2261_C2_M</t>
  </si>
  <si>
    <t>IDS2082 _C1_M</t>
  </si>
  <si>
    <t>IDS2082_C1_M</t>
  </si>
  <si>
    <t>IDS2386_C2_M</t>
  </si>
  <si>
    <t>IDS2317_C1_M</t>
  </si>
  <si>
    <t>IDS2248_C1_M</t>
  </si>
  <si>
    <t>IDS2214_C4P_M</t>
  </si>
  <si>
    <t>IDS2305_C3P_M</t>
  </si>
  <si>
    <t>IDS2323_C1_M</t>
  </si>
  <si>
    <t>IDS2334_C3P_M</t>
  </si>
  <si>
    <t>IDS1965_C4_M</t>
  </si>
  <si>
    <t>IDS2001_C28_M</t>
  </si>
  <si>
    <t>IDS2083_C4_M</t>
  </si>
  <si>
    <t>IDS2355_C5_M</t>
  </si>
  <si>
    <t>IDS2324_C5P_M</t>
  </si>
  <si>
    <t>IDS2338_C3_M</t>
  </si>
  <si>
    <t>IDS2236_C3_M</t>
  </si>
  <si>
    <t>IDS2001C7_M</t>
  </si>
  <si>
    <t>IDS2001_C7_M</t>
  </si>
  <si>
    <t>IDS2363_C4P_M</t>
  </si>
  <si>
    <t>IDS2311_C4_M</t>
  </si>
  <si>
    <t>IDS2314_C6P_M</t>
  </si>
  <si>
    <t>IDS2340_C1_M</t>
  </si>
  <si>
    <t>IDS2339_C3_M</t>
  </si>
  <si>
    <t>IDS2340_C3_M</t>
  </si>
  <si>
    <t>IDS2104_C1_M</t>
  </si>
  <si>
    <t>IDS2340_C2_M</t>
  </si>
  <si>
    <t>IDS2334_C2P_M</t>
  </si>
  <si>
    <t>IDS2343_C6_M</t>
  </si>
  <si>
    <t>IDS2213 _C4P_M</t>
  </si>
  <si>
    <t>IDS2213_C4P_M</t>
  </si>
  <si>
    <t>IDS2311_C2_M</t>
  </si>
  <si>
    <t>IDS2209_C3_M</t>
  </si>
  <si>
    <t>IDS2155_C1P_M</t>
  </si>
  <si>
    <t>IDS2000_C44_M</t>
  </si>
  <si>
    <t>IDS2238_C2_M</t>
  </si>
  <si>
    <t>IDS2301_C4_M</t>
  </si>
  <si>
    <t>IDS2311_C1_M</t>
  </si>
  <si>
    <t>IDS2275_C2_M</t>
  </si>
  <si>
    <t>IDS2083 _C1_M</t>
  </si>
  <si>
    <t>IDS2083_C1_M</t>
  </si>
  <si>
    <t>IDS2227_C4_M</t>
  </si>
  <si>
    <t>IDS2320_C3_M</t>
  </si>
  <si>
    <t>IDS2257_C1_M</t>
  </si>
  <si>
    <t>Renu_LensSolution_500F3</t>
  </si>
  <si>
    <t>Renu_LensSolution_500</t>
  </si>
  <si>
    <t>IDS2223_C4_M</t>
  </si>
  <si>
    <t>IDS2133_C3P_M</t>
  </si>
  <si>
    <t>IDS2388_C3_M</t>
  </si>
  <si>
    <t>IDS2229_C1_M</t>
  </si>
  <si>
    <t>IDS2307_C2_M</t>
  </si>
  <si>
    <t>IDS2265_C1_M</t>
  </si>
  <si>
    <t>IDS2269_C3_M</t>
  </si>
  <si>
    <t>IDS2331_C3_M</t>
  </si>
  <si>
    <t>IDS2228_C3_M</t>
  </si>
  <si>
    <t>IDS2318_C1_M</t>
  </si>
  <si>
    <t>IDS2386_C4_M</t>
  </si>
  <si>
    <t>IDS2250_C3_M</t>
  </si>
  <si>
    <t>IDS2304C4_M</t>
  </si>
  <si>
    <t>IDS2304_C4_M</t>
  </si>
  <si>
    <t>IDS2244_C1_M</t>
  </si>
  <si>
    <t>IDS2219_C1_M</t>
  </si>
  <si>
    <t>IDS2236_C2_M</t>
  </si>
  <si>
    <t>IDS2270_C3_M</t>
  </si>
  <si>
    <t>IDS2245_C1_M</t>
  </si>
  <si>
    <t>IDS2244_C2_M</t>
  </si>
  <si>
    <t>IDS1814 _C1_M</t>
  </si>
  <si>
    <t>IDS1814_C1_M</t>
  </si>
  <si>
    <t>IDS2386_C3_M</t>
  </si>
  <si>
    <t>IDS2221_C5_M</t>
  </si>
  <si>
    <t>IDS2311_C6_M</t>
  </si>
  <si>
    <t>IDS2213 _C3P_M</t>
  </si>
  <si>
    <t>IDS2000_C36_M</t>
  </si>
  <si>
    <t>IDS2398_C2_M</t>
  </si>
  <si>
    <t>IDS2316_C4_M</t>
  </si>
  <si>
    <t>IDS2259_C1_M</t>
  </si>
  <si>
    <t>IDS2268_C2_M</t>
  </si>
  <si>
    <t>IDS2316_C5_M</t>
  </si>
  <si>
    <t>IDS2117_C2_M</t>
  </si>
  <si>
    <t>IDS2315_C3_M</t>
  </si>
  <si>
    <t>IDS2334_C1P_M</t>
  </si>
  <si>
    <t>IDS2396_C2_M</t>
  </si>
  <si>
    <t>IDS2001_C38P_M</t>
  </si>
  <si>
    <t>IDS2064_C2_M</t>
  </si>
  <si>
    <t>IDS2224_C1_M</t>
  </si>
  <si>
    <t>IDS2301_C19P_M</t>
  </si>
  <si>
    <t>IDS2224_C3_M</t>
  </si>
  <si>
    <t>IDS2252_C2_M</t>
  </si>
  <si>
    <t>IDS2401_C6_M</t>
  </si>
  <si>
    <t>IDS2202_C1P_M</t>
  </si>
  <si>
    <t>IDS2297_C2_M</t>
  </si>
  <si>
    <t>IDS230_1C24P_M</t>
  </si>
  <si>
    <t>IDS2301_C24P_M</t>
  </si>
  <si>
    <t>IDS2349_C1_M</t>
  </si>
  <si>
    <t>IDS2125_C6_M</t>
  </si>
  <si>
    <t>IDS2370-C5_M</t>
  </si>
  <si>
    <t>IDS2159_C4_M</t>
  </si>
  <si>
    <t>IDS2081_C3_M</t>
  </si>
  <si>
    <t>IDS2302_C5P_M</t>
  </si>
  <si>
    <t>IDS2303_C4P_M</t>
  </si>
  <si>
    <t>IDS2088_C4P_M</t>
  </si>
  <si>
    <t>IDS2308_C4_M</t>
  </si>
  <si>
    <t>IDS2368_C1_M</t>
  </si>
  <si>
    <t>IDS2264C2SG</t>
  </si>
  <si>
    <t>IDS2264_C2_M</t>
  </si>
  <si>
    <t>IDS2416-C2_M</t>
  </si>
  <si>
    <t>IDS2416_C2_M</t>
  </si>
  <si>
    <t>IDS2360_C1_M</t>
  </si>
  <si>
    <t>IDS2273_C1_M</t>
  </si>
  <si>
    <t>IDS2191_ C1_M</t>
  </si>
  <si>
    <t>IDS2191_C1_M</t>
  </si>
  <si>
    <t>IDS2370-C3_M</t>
  </si>
  <si>
    <t>IDS2394_C9_M</t>
  </si>
  <si>
    <t>IDS2085_C1_M</t>
  </si>
  <si>
    <t>IDS2157_C2_M</t>
  </si>
  <si>
    <t>IDS2301_C13_M</t>
  </si>
  <si>
    <t>IDS2355_C4_M</t>
  </si>
  <si>
    <t>IDS2306_C3P_M</t>
  </si>
  <si>
    <t>IDS2317_C5_M</t>
  </si>
  <si>
    <t>IDS2252_C5_M</t>
  </si>
  <si>
    <t>IDS1950_C5_M</t>
  </si>
  <si>
    <t>IDS2302_C7_M</t>
  </si>
  <si>
    <t>IDS2387_C3_M</t>
  </si>
  <si>
    <t>IDS2233_C3_M</t>
  </si>
  <si>
    <t>IDS2257_C2_M</t>
  </si>
  <si>
    <t>IDS2222_C2P_M</t>
  </si>
  <si>
    <t>IDS2234_C1P_M</t>
  </si>
  <si>
    <t>IDS2264_C3_M</t>
  </si>
  <si>
    <t>Renu_LensSolution_500F1</t>
  </si>
  <si>
    <t>IDS2301_C16P_M</t>
  </si>
  <si>
    <t>IDS2315_C1_M</t>
  </si>
  <si>
    <t>IDS2000_C39_M</t>
  </si>
  <si>
    <t>IDS2208_C3_M</t>
  </si>
  <si>
    <t>IDS2082_C2_M</t>
  </si>
  <si>
    <t>IDS2407-C1_M</t>
  </si>
  <si>
    <t>IDS2407_C1_M</t>
  </si>
  <si>
    <t>IDS2249_C2_M</t>
  </si>
  <si>
    <t>IDS2167_C2P_M</t>
  </si>
  <si>
    <t>IDS2282_C2_M</t>
  </si>
  <si>
    <t>Renu_LensSolution_355</t>
  </si>
  <si>
    <t>IDS2301_C1_M</t>
  </si>
  <si>
    <t>Renu_LensSolution_500F7</t>
  </si>
  <si>
    <t>IDS2245_C2_M</t>
  </si>
  <si>
    <t>Biotrue_300f3</t>
  </si>
  <si>
    <t>Biotrue_300</t>
  </si>
  <si>
    <t>Renu_LensSolution_500F2</t>
  </si>
  <si>
    <t>Renu_LensSolution_355F2</t>
  </si>
  <si>
    <t>Biotrue_120</t>
  </si>
  <si>
    <t>IDS2191_C2_M</t>
  </si>
  <si>
    <t>Renu_LensSolution_500F6</t>
  </si>
  <si>
    <t>Renu_LensSolution_355F3</t>
  </si>
  <si>
    <t>Biotrue_300F1</t>
  </si>
  <si>
    <t>Renu_LensSolution_500F5</t>
  </si>
  <si>
    <t>IDS2357_C1_M</t>
  </si>
  <si>
    <t>Renu_LensSolution_500F8</t>
  </si>
  <si>
    <t>IDS2252_C4_M</t>
  </si>
  <si>
    <t>Renu_LensSolution_355F1</t>
  </si>
  <si>
    <t>IDS1921_C3_57</t>
  </si>
  <si>
    <t>Renu_LensSolution_355F5</t>
  </si>
  <si>
    <t>IDS2300_C3_M</t>
  </si>
  <si>
    <t>IDS2232_C4_M</t>
  </si>
  <si>
    <t>IDS2301_C18_M</t>
  </si>
  <si>
    <t>Renu_LensSolution_355F6</t>
  </si>
  <si>
    <t>IDS2252_C3_M</t>
  </si>
  <si>
    <t>FT_P376BR1_M</t>
  </si>
  <si>
    <t>IDS2159_C2_MF1</t>
  </si>
  <si>
    <t>IDS2218_C6_M</t>
  </si>
  <si>
    <t>IDS2343_C13P_M</t>
  </si>
  <si>
    <t>IDS2161_C2_M</t>
  </si>
  <si>
    <t>IDS1917_C3_M</t>
  </si>
  <si>
    <t>IDS1782_C1_M</t>
  </si>
  <si>
    <t>IDS2210_C2P_M</t>
  </si>
  <si>
    <t>IDS2001_C25_M</t>
  </si>
  <si>
    <t>IDS2401_C5_M</t>
  </si>
  <si>
    <t>IDS2343_C15P_M</t>
  </si>
  <si>
    <t>IDS2204_C2P_M</t>
  </si>
  <si>
    <t>IDS2368_C2_M</t>
  </si>
  <si>
    <t>S2039_C3P_M</t>
  </si>
  <si>
    <t>IDS2039_C3P_M</t>
  </si>
  <si>
    <t>IDS2195_C3_M</t>
  </si>
  <si>
    <t>IDS2386_C1_M</t>
  </si>
  <si>
    <t>IDS2343_C3_M</t>
  </si>
  <si>
    <t>IDS2348_C3_M</t>
  </si>
  <si>
    <t>IDS2363_C5P_MF1</t>
  </si>
  <si>
    <t>IDS1809_C1_Mf2</t>
  </si>
  <si>
    <t>IDS2368_C3_M</t>
  </si>
  <si>
    <t>IDS2317_C4_MF1</t>
  </si>
  <si>
    <t>IDS2343_C10P_M</t>
  </si>
  <si>
    <t>IDS2387_C3_MF1</t>
  </si>
  <si>
    <t>RX7033_2000_52F1</t>
  </si>
  <si>
    <t>IDS2353_C2_M</t>
  </si>
  <si>
    <t>IDS2396_C3_M</t>
  </si>
  <si>
    <t>ID738_C3_MF1</t>
  </si>
  <si>
    <t>ID738_C3_M</t>
  </si>
  <si>
    <t>IDS2356_C1_M</t>
  </si>
  <si>
    <t>IDS2348_C2_M</t>
  </si>
  <si>
    <t>IDS2235_C4P_M</t>
  </si>
  <si>
    <t>IDS2077_C1P_M</t>
  </si>
  <si>
    <t>IDS2362_C2_M</t>
  </si>
  <si>
    <t>IDS2363_C2P_MF1</t>
  </si>
  <si>
    <t>IDS2363_C1P_M</t>
  </si>
  <si>
    <t>IDS2310_C2_MF1</t>
  </si>
  <si>
    <t>S2076_C2P_M</t>
  </si>
  <si>
    <t>IDS2076_C2P_M</t>
  </si>
  <si>
    <t>IDS2336_C3_M</t>
  </si>
  <si>
    <t>IDS2329_C1_M</t>
  </si>
  <si>
    <t>TH7920_C1_56F1</t>
  </si>
  <si>
    <t>IDS2362_C3_M</t>
  </si>
  <si>
    <t>IDS2001_C44_M</t>
  </si>
  <si>
    <t>IDS2231_C3_MF1</t>
  </si>
  <si>
    <t>IDS2076_C1P_M</t>
  </si>
  <si>
    <t>IDS2205_C2P_MF1</t>
  </si>
  <si>
    <t>IDS2362_C1_M</t>
  </si>
  <si>
    <t>IDS2354_C6P_M</t>
  </si>
  <si>
    <t>IDS2275_C4_M</t>
  </si>
  <si>
    <t>ID1560_C3_54F1</t>
  </si>
  <si>
    <t>IDS2237_C1P_M</t>
  </si>
  <si>
    <t>TH7983_C1_60F1</t>
  </si>
  <si>
    <t>ID1559_C5_54F1</t>
  </si>
  <si>
    <t>IDS2216_C1P_M</t>
  </si>
  <si>
    <t>IDS2343_C4_M</t>
  </si>
  <si>
    <t>IDS2354_C4P_M</t>
  </si>
  <si>
    <t>IDS2344_C3P_M</t>
  </si>
  <si>
    <t>IDS2364_C1_M</t>
  </si>
  <si>
    <t>IDS2406_C1_M</t>
  </si>
  <si>
    <t>IDS2311C3SG</t>
  </si>
  <si>
    <t>IDS2219_C5_M</t>
  </si>
  <si>
    <t>IDS2388_C4_M</t>
  </si>
  <si>
    <t>IDS2365_C4P_M</t>
  </si>
  <si>
    <t>IDS2344_C1P_M</t>
  </si>
  <si>
    <t>IDS2349_C3_M</t>
  </si>
  <si>
    <t>IDS2229_C3_M</t>
  </si>
  <si>
    <t>IDS2397_C3_M</t>
  </si>
  <si>
    <t>IDS2343C_12P_M</t>
  </si>
  <si>
    <t>IDS2365_C2P_M</t>
  </si>
  <si>
    <t>IDS2364_C4_M</t>
  </si>
  <si>
    <t>IDS2274_C3_M</t>
  </si>
  <si>
    <t>TH9018_C4_50F1</t>
  </si>
  <si>
    <t>IDS2399_C4_M</t>
  </si>
  <si>
    <t>IDS2159_C3_M</t>
  </si>
  <si>
    <t>IDS2243_C5_M</t>
  </si>
  <si>
    <t>IDS2344_C2P_M</t>
  </si>
  <si>
    <t>S2088_C5P_M</t>
  </si>
  <si>
    <t>IDS2088_C5P_M</t>
  </si>
  <si>
    <t>IDS2155C2PSG</t>
  </si>
  <si>
    <t>IDS2155_C2P_M</t>
  </si>
  <si>
    <t>IDS2355_C1_M</t>
  </si>
  <si>
    <t>IDS2268_C3_M</t>
  </si>
  <si>
    <t>IDS2367_C4_M</t>
  </si>
  <si>
    <t>ID1562_C2_55F1</t>
  </si>
  <si>
    <t>IDS2324_C3P_M</t>
  </si>
  <si>
    <t>IDS2301_C2_M</t>
  </si>
  <si>
    <t>IDS2260_C1_M</t>
  </si>
  <si>
    <t>IDS2251_C2P_M</t>
  </si>
  <si>
    <t>IDS2358_C3_M</t>
  </si>
  <si>
    <t>IDS2221_C4_M</t>
  </si>
  <si>
    <t>IDS2354_C1P_M</t>
  </si>
  <si>
    <t>IDS2221_C2_M</t>
  </si>
  <si>
    <t>IDS2001_C37_M</t>
  </si>
  <si>
    <t>IDS2344_C6P_M</t>
  </si>
  <si>
    <t>IDS2175_C2P_M</t>
  </si>
  <si>
    <t>IDS2335_C4_M</t>
  </si>
  <si>
    <t>IDS2193_C3_M</t>
  </si>
  <si>
    <t>IDS2241_C3_M</t>
  </si>
  <si>
    <t>IDS2181_C2_M</t>
  </si>
  <si>
    <t>IDS2363_C6P_M</t>
  </si>
  <si>
    <t>IDS2359_C4_M</t>
  </si>
  <si>
    <t>IDS2275_C1_M</t>
  </si>
  <si>
    <t>IDS2343_C2_M</t>
  </si>
  <si>
    <t>IDS2431_C3_M</t>
  </si>
  <si>
    <t>IDS2309_C4P_M</t>
  </si>
  <si>
    <t>IDS2176_C2P_M</t>
  </si>
  <si>
    <t>IDS2390_C4_M</t>
  </si>
  <si>
    <t>IDS2239_C1_M</t>
  </si>
  <si>
    <t>IDS2320_C1_MF1</t>
  </si>
  <si>
    <t>IDS2214_C3P_M</t>
  </si>
  <si>
    <t>IDS2363_C3P_MF1</t>
  </si>
  <si>
    <t>IDS2330_C3_M</t>
  </si>
  <si>
    <t>IDS2366_C3_MF1</t>
  </si>
  <si>
    <t>IDS2309_C1P_M</t>
  </si>
  <si>
    <t>IDS2316_C3_M</t>
  </si>
  <si>
    <t>IDS2319_C1_MF1</t>
  </si>
  <si>
    <t>IDS2125_C4_M</t>
  </si>
  <si>
    <t>IDS2386_C3P_M</t>
  </si>
  <si>
    <t>IDS2261_C1_M</t>
  </si>
  <si>
    <t>IDS2230_C2_M</t>
  </si>
  <si>
    <t>IDS2303_C2P_M</t>
  </si>
  <si>
    <t>IDS2311_C5_M</t>
  </si>
  <si>
    <t>IDS1995 _C5_M</t>
  </si>
  <si>
    <t>IDS1995_C5_M</t>
  </si>
  <si>
    <t>IDS2401_C2_M</t>
  </si>
  <si>
    <t>IDS2357_C3_M</t>
  </si>
  <si>
    <t>IDS2388_C1_M</t>
  </si>
  <si>
    <t>IDS2296_C1_M</t>
  </si>
  <si>
    <t>IDS2345_C4P_M</t>
  </si>
  <si>
    <t>IDS2231_C1_M</t>
  </si>
  <si>
    <t>IDS2242_C1_M</t>
  </si>
  <si>
    <t>IDS2302_C1_M</t>
  </si>
  <si>
    <t>IDS2312_C1P_M</t>
  </si>
  <si>
    <t>IDS2333_C2_M</t>
  </si>
  <si>
    <t>IDS2161_C2_MF1</t>
  </si>
  <si>
    <t>IDS2324_C3P_MF1</t>
  </si>
  <si>
    <t>IDS2263_C2_M</t>
  </si>
  <si>
    <t>IDS2339_C2_M</t>
  </si>
  <si>
    <t>IDS2337_C2_M</t>
  </si>
  <si>
    <t>IDS2341_C2_M</t>
  </si>
  <si>
    <t>IDS2250_C1_M</t>
  </si>
  <si>
    <t>IDS2229_C4_M</t>
  </si>
  <si>
    <t>IDS2313_C4_M</t>
  </si>
  <si>
    <t>IDS2440_C2_M</t>
  </si>
  <si>
    <t>IDS1809_C3_MF1</t>
  </si>
  <si>
    <t>IDS2327_C2_M</t>
  </si>
  <si>
    <t>IDS2335_C3_M</t>
  </si>
  <si>
    <t>IDS2304_C3_M</t>
  </si>
  <si>
    <t>IDS2367_C3_M</t>
  </si>
  <si>
    <t>IDS2267_C2_M</t>
  </si>
  <si>
    <t>IDS2337_C1_M</t>
  </si>
  <si>
    <t>IDS2322_C6_M</t>
  </si>
  <si>
    <t>IDS2422_C8P_M</t>
  </si>
  <si>
    <t>IDS2370_C1_MF1</t>
  </si>
  <si>
    <t>IDS2226_C1_M</t>
  </si>
  <si>
    <t>IDS2310_C1_MF1</t>
  </si>
  <si>
    <t>IDS2407_C3_M</t>
  </si>
  <si>
    <t>IDS2247_C4_M</t>
  </si>
  <si>
    <t>IDS2342_C3_M</t>
  </si>
  <si>
    <t>IDS2269_C1_MF1</t>
  </si>
  <si>
    <t>IDS2132_C3_M</t>
  </si>
  <si>
    <t>IDS2167_C1P_M</t>
  </si>
  <si>
    <t>IDS2081_C1_M</t>
  </si>
  <si>
    <t>IDS2001_C26_M</t>
  </si>
  <si>
    <t>IDS2248_C1_MF1</t>
  </si>
  <si>
    <t>IDS2360_C2_M</t>
  </si>
  <si>
    <t>IDS2366_C4_MF1</t>
  </si>
  <si>
    <t>TH7835_ C1_60</t>
  </si>
  <si>
    <t>IDS2384_C3P_M</t>
  </si>
  <si>
    <t>IDS2330_C1_MF1</t>
  </si>
  <si>
    <t>0VO3846S _54836_ 55</t>
  </si>
  <si>
    <t>0VO2773S _203814_56</t>
  </si>
  <si>
    <t>0VO2757S _209313 _57</t>
  </si>
  <si>
    <t>0VO2830SM_ 131214 _57</t>
  </si>
  <si>
    <t>VO2780S _21596V_4290</t>
  </si>
  <si>
    <t>0VO2872S_ 218714_50</t>
  </si>
  <si>
    <t>0VO2730S_ 20308F _51</t>
  </si>
  <si>
    <t>0VO2770S_ 150813_56</t>
  </si>
  <si>
    <t>0VO2827SM _W4411 _</t>
  </si>
  <si>
    <t>VO2827SM_W4411_</t>
  </si>
  <si>
    <t>0VO3832S _81113_ 57</t>
  </si>
  <si>
    <t>IDS1937_C3P _56</t>
  </si>
  <si>
    <t>VO2941S_ 22778H_56</t>
  </si>
  <si>
    <t>VO2941S_ W65613_56</t>
  </si>
  <si>
    <t>0VO2872S _218668_50</t>
  </si>
  <si>
    <t>ID1812_C11P _M</t>
  </si>
  <si>
    <t>CI_ EX0293_51A</t>
  </si>
  <si>
    <t>VO2944S _228668 _57</t>
  </si>
  <si>
    <t>IDS1981_ C7_59</t>
  </si>
  <si>
    <t>IDS1845_C2 _61</t>
  </si>
  <si>
    <t>IDS 1758_C1_M</t>
  </si>
  <si>
    <t>0VO2872S _218548_50</t>
  </si>
  <si>
    <t>IDS2046 _C1_55</t>
  </si>
  <si>
    <t>FT_ M117BK1_M</t>
  </si>
  <si>
    <t>VO2778SB_ 20478E_58</t>
  </si>
  <si>
    <t>IDEE S1762 C4 _M</t>
  </si>
  <si>
    <t>OO9341_02 _57</t>
  </si>
  <si>
    <t>IDS1988_ C4_54</t>
  </si>
  <si>
    <t>TS4230_C8 _M</t>
  </si>
  <si>
    <t>0VO2865 _2187_52</t>
  </si>
  <si>
    <t>IDS2067_ C4_60</t>
  </si>
  <si>
    <t>V02941S_ W65613_56</t>
  </si>
  <si>
    <t>IDS2000_C10_ 57</t>
  </si>
  <si>
    <t>0VO2729S _20328H_57</t>
  </si>
  <si>
    <t>0VO2778SB_ 175414_58</t>
  </si>
  <si>
    <t>0VO2778SB_ 215948 _58</t>
  </si>
  <si>
    <t>0VO2773S _203911_56</t>
  </si>
  <si>
    <t>0VO2830SM _194713_57</t>
  </si>
  <si>
    <t>0VO2844S _W4411_57</t>
  </si>
  <si>
    <t>0VO3760SE_ 28013 _64</t>
  </si>
  <si>
    <t>0VO2826SM_ 20988F_56</t>
  </si>
  <si>
    <t>0VO2671S_W4487 _58</t>
  </si>
  <si>
    <t>0VO2677S _21244V_57</t>
  </si>
  <si>
    <t>0VO2743S_ 178368_54</t>
  </si>
  <si>
    <t>0VO2742S_ 21278D_57</t>
  </si>
  <si>
    <t>0VO2818S_ W65613 _52</t>
  </si>
  <si>
    <t>V02916SB _232314_58</t>
  </si>
  <si>
    <t>0VO2826SM _W4487_56</t>
  </si>
  <si>
    <t>0VO2704SB_ 212532_60</t>
  </si>
  <si>
    <t>0VO3846S _54836_58</t>
  </si>
  <si>
    <t>0VO2827SM _204911_56</t>
  </si>
  <si>
    <t>0VO2826SM _21008D_56</t>
  </si>
  <si>
    <t>0VO2852SM _21098F_57</t>
  </si>
  <si>
    <t>0VO2872S _218413_50</t>
  </si>
  <si>
    <t>0V03972S_35211_ 58</t>
  </si>
  <si>
    <t>TH 7856_ C3 _59</t>
  </si>
  <si>
    <t>0VO2829SM_ 20658F_58</t>
  </si>
  <si>
    <t>0VO2818S _211411 _52</t>
  </si>
  <si>
    <t>0VO2743S_ 171711_54</t>
  </si>
  <si>
    <t>V02897S_ W65613_54</t>
  </si>
  <si>
    <t>0VO2832SB_ W4411_57</t>
  </si>
  <si>
    <t>0VO2845S_ 18668H_56</t>
  </si>
  <si>
    <t>0VO2832SB _21308F_57</t>
  </si>
  <si>
    <t>0VO3846S _5484V_55</t>
  </si>
  <si>
    <t>0VO2677S_ W65613_57</t>
  </si>
  <si>
    <t>0VO2844S_ 21498F_57</t>
  </si>
  <si>
    <t>TH7958_ C3 _62</t>
  </si>
  <si>
    <t>0VO2677S_ W4411 _57</t>
  </si>
  <si>
    <t>0VO 2916SB_23218H_ 58</t>
  </si>
  <si>
    <t>0VO 3799S_352S71_58</t>
  </si>
  <si>
    <t>0VO3883SB _548S48_60</t>
  </si>
  <si>
    <t>3997S_ 32311_58</t>
  </si>
  <si>
    <t>0VO2941S_22788F _56</t>
  </si>
  <si>
    <t>3990SI_ 28013_55</t>
  </si>
  <si>
    <t>0VO2819S_ 214814_58</t>
  </si>
  <si>
    <t>VO2757S_ W65613_57</t>
  </si>
  <si>
    <t>TH7843_ C5 _57</t>
  </si>
  <si>
    <t>0VO3967S_35211_ 57</t>
  </si>
  <si>
    <t>V02971S_ 232548_50</t>
  </si>
  <si>
    <t>0VO2819S_ W65613 _58</t>
  </si>
  <si>
    <t>2794S_ W65613_ 55</t>
  </si>
  <si>
    <t>0VO2846SB_ W4411_57</t>
  </si>
  <si>
    <t>TH7859 _C4_59</t>
  </si>
  <si>
    <t>0VO2677S_ 20936H_57</t>
  </si>
  <si>
    <t>0VO2832SB _ W4411_57</t>
  </si>
  <si>
    <t>0VO2830SM _W4487_57</t>
  </si>
  <si>
    <t>VO3972S_ 98248_58</t>
  </si>
  <si>
    <t>0VO2770S _211911 _56</t>
  </si>
  <si>
    <t>5033S_ 238911 _54</t>
  </si>
  <si>
    <t>TH7904 _C2_57</t>
  </si>
  <si>
    <t>0VO5050S_W4411 _54</t>
  </si>
  <si>
    <t>0VO2829SM _204813 _58</t>
  </si>
  <si>
    <t>0VO2795S_ 204113 _53</t>
  </si>
  <si>
    <t>0VO2845S _W65613_56</t>
  </si>
  <si>
    <t>0VO2827SM_ 19658H_56</t>
  </si>
  <si>
    <t>0VO2830SM_ 204813 _57</t>
  </si>
  <si>
    <t>0VO2817S _W44/11 _53</t>
  </si>
  <si>
    <t>VO2817S_W44/11_53</t>
  </si>
  <si>
    <t>VO2826SM_209913_ 56</t>
  </si>
  <si>
    <t>0VO2852SM_ 21008H _57</t>
  </si>
  <si>
    <t>0VO2914S _ W4471_57</t>
  </si>
  <si>
    <t>VO 2896S_2279R5_54</t>
  </si>
  <si>
    <t>0VO2943SB_ 13128H_55</t>
  </si>
  <si>
    <t>VO2845S_ W65613_56</t>
  </si>
  <si>
    <t>0VO2677S_ 207855_57</t>
  </si>
  <si>
    <t>0VO2743S_ 168314 _54</t>
  </si>
  <si>
    <t>0VO2844S_ 190913_57</t>
  </si>
  <si>
    <t>0VO2844S_ 21518H_57</t>
  </si>
  <si>
    <t>0VO2872S_ W4411_50</t>
  </si>
  <si>
    <t>0VO2819S_ 211911_58</t>
  </si>
  <si>
    <t>0VO2780S _202813_58</t>
  </si>
  <si>
    <t>0VO2638S _197814_60</t>
  </si>
  <si>
    <t>0VO3877S _352S71_58</t>
  </si>
  <si>
    <t>0VO2757S _W4411_57</t>
  </si>
  <si>
    <t>0VO2780S _202387_58</t>
  </si>
  <si>
    <t>0VO2845S_ W44S11 _56</t>
  </si>
  <si>
    <t>0VO2757S_ W65613_57</t>
  </si>
  <si>
    <t>0VO3832S_ 54813_57</t>
  </si>
  <si>
    <t>0VO2778SB_17541458 _58</t>
  </si>
  <si>
    <t>VO2778SB_17541458_58</t>
  </si>
  <si>
    <t>0VO2612S_ 175013_59</t>
  </si>
  <si>
    <t>FT_C088RD3_MF2</t>
  </si>
  <si>
    <t>FOS2057S_0039K_52F2</t>
  </si>
  <si>
    <t>FT_M164GR2_MF2</t>
  </si>
  <si>
    <t>FT_M164GR2_M</t>
  </si>
  <si>
    <t>VO5148B_2539_53F1</t>
  </si>
  <si>
    <t>FT_U005BR3F_MF2</t>
  </si>
  <si>
    <t>FT_U005BR3F_M</t>
  </si>
  <si>
    <t>TH7897_C1_57F1</t>
  </si>
  <si>
    <t>TH5648_C2_48F1</t>
  </si>
  <si>
    <t>VE1238_1002_54F1</t>
  </si>
  <si>
    <t>VE1210BM_1002_52F1</t>
  </si>
  <si>
    <t>DG1231_488_54F1</t>
  </si>
  <si>
    <t>VO2866_2269_53F1</t>
  </si>
  <si>
    <t>TH5233_C1_51F1</t>
  </si>
  <si>
    <t>VO2816_2183_52F1</t>
  </si>
  <si>
    <t>VE3215_617_52F1</t>
  </si>
  <si>
    <t>VO2899_W44_53f3</t>
  </si>
  <si>
    <t>RX7033_5624_52f3</t>
  </si>
  <si>
    <t>ID1489_C4_51f3</t>
  </si>
  <si>
    <t>TH5647_C6_50f3</t>
  </si>
  <si>
    <t>TH5240_C1_51f3</t>
  </si>
  <si>
    <t>ID1502_C2_Mf3</t>
  </si>
  <si>
    <t>ID1502_C2_M</t>
  </si>
  <si>
    <t>VE3226B_GB1_51f3</t>
  </si>
  <si>
    <t>RX6324_2509_54f3</t>
  </si>
  <si>
    <t>TH5643_C3_52f3</t>
  </si>
  <si>
    <t>VO2906_2249_54f3</t>
  </si>
  <si>
    <t>TH5245_C5_53f3</t>
  </si>
  <si>
    <t>OX1131_06_52f3</t>
  </si>
  <si>
    <t>TH5245_C3_53f3</t>
  </si>
  <si>
    <t>OX8078_01_54f3</t>
  </si>
  <si>
    <t>TH5704_C4_53f3</t>
  </si>
  <si>
    <t>OX8034_11_53f3</t>
  </si>
  <si>
    <t>ID738_C2_54f3</t>
  </si>
  <si>
    <t>TH5704_C1_52f3</t>
  </si>
  <si>
    <t>TH5687_C3_52f3</t>
  </si>
  <si>
    <t>ID740_C2_54f3</t>
  </si>
  <si>
    <t>TH5690_C4_52f3</t>
  </si>
  <si>
    <t>OX1131_04_52f3</t>
  </si>
  <si>
    <t>CK5327_714_51f3</t>
  </si>
  <si>
    <t>PC8808_DM3_55f3</t>
  </si>
  <si>
    <t>PC8808_DM3_55</t>
  </si>
  <si>
    <t>PC6817_KKM_56f3</t>
  </si>
  <si>
    <t>PC6817_KKM_56</t>
  </si>
  <si>
    <t>PC6186_LHD_53f3</t>
  </si>
  <si>
    <t>PC6186_LHD_53</t>
  </si>
  <si>
    <t>PC6186_4PN_55f3</t>
  </si>
  <si>
    <t>PC6186_4PN_55</t>
  </si>
  <si>
    <t>PC8806_LNI_53f3</t>
  </si>
  <si>
    <t>PC8806_LNI_53</t>
  </si>
  <si>
    <t>PC6194_807_55f3</t>
  </si>
  <si>
    <t>PC6194_807_55</t>
  </si>
  <si>
    <t>PC8824_EEI_55f3</t>
  </si>
  <si>
    <t>PC8824_EEI_55</t>
  </si>
  <si>
    <t>PC6830_WT2_56f3</t>
  </si>
  <si>
    <t>PC6830_WT2_56</t>
  </si>
  <si>
    <t>PC6817_KKV_56f3</t>
  </si>
  <si>
    <t>PC6817_KKV_56</t>
  </si>
  <si>
    <t>PC6827_SLB_54f3</t>
  </si>
  <si>
    <t>PC6827_SLB_54</t>
  </si>
  <si>
    <t>PC8827_03O_55f3</t>
  </si>
  <si>
    <t>PC8827_03O_55</t>
  </si>
  <si>
    <t>PC6827_SKL_54f3</t>
  </si>
  <si>
    <t>PC6827_SKL_54</t>
  </si>
  <si>
    <t>PC8808_DM4_55f3</t>
  </si>
  <si>
    <t>TH7970_C4_60F2</t>
  </si>
  <si>
    <t>FT_P191BR1F_Mf3</t>
  </si>
  <si>
    <t>FT_P264BU1_Mf2</t>
  </si>
  <si>
    <t>RB3386_00671_67f2</t>
  </si>
  <si>
    <t>OO9350_07_59f2</t>
  </si>
  <si>
    <t>FT_P264GR3_Mf2</t>
  </si>
  <si>
    <t>RB4105_601_50f2</t>
  </si>
  <si>
    <t>RB3498_00413_61f2</t>
  </si>
  <si>
    <t>OO9102_90_55f2</t>
  </si>
  <si>
    <t>RB4181_613671_58f2</t>
  </si>
  <si>
    <t>FT_P285PR1_Mf2</t>
  </si>
  <si>
    <t>RB4264_601SA1_58f2</t>
  </si>
  <si>
    <t>OO9262_26_57f2</t>
  </si>
  <si>
    <t>FT_P293AM4_Mf2</t>
  </si>
  <si>
    <t>OO9264_26_57f2</t>
  </si>
  <si>
    <t>VE2161_100287_42f2</t>
  </si>
  <si>
    <t>RB3025_90644C_58f2</t>
  </si>
  <si>
    <t>OO9102_02_57f2</t>
  </si>
  <si>
    <t>FT_P153BR1F_Mf3</t>
  </si>
  <si>
    <t>FT_P220BR2F_Mf3</t>
  </si>
  <si>
    <t>RB3016_90158_51f2</t>
  </si>
  <si>
    <t>FT_P222GR3P_Mf2</t>
  </si>
  <si>
    <t>FT_P190BK3P_Mf2</t>
  </si>
  <si>
    <t>FT_C052BK1_Mf2</t>
  </si>
  <si>
    <t>EA4099_55728G_56f3</t>
  </si>
  <si>
    <t>EA2039_302073_62f2</t>
  </si>
  <si>
    <t>FT_M192BK4F_Mf2</t>
  </si>
  <si>
    <t>FT_P241BK1_Mf2</t>
  </si>
  <si>
    <t>FT_P155BR3PF_Mf2</t>
  </si>
  <si>
    <t>RB2132_622_58f3</t>
  </si>
  <si>
    <t>FT_P230GR3P_Mf2</t>
  </si>
  <si>
    <t>FT_C062BR1F_Mf2</t>
  </si>
  <si>
    <t>FT_M150BK2_Mf2</t>
  </si>
  <si>
    <t>OO9247_09_57f3</t>
  </si>
  <si>
    <t>RB8041_001_58f3</t>
  </si>
  <si>
    <t>FT_M165YL7_Mf3</t>
  </si>
  <si>
    <t>RB3526_0198G_63f3</t>
  </si>
  <si>
    <t>FT_P185BR1F_Mf3</t>
  </si>
  <si>
    <t>RB3411_001_60f3</t>
  </si>
  <si>
    <t>RB3025JM_1684E_55f3</t>
  </si>
  <si>
    <t>OO9342_09_57f3</t>
  </si>
  <si>
    <t>RB3025_1124D_58f3</t>
  </si>
  <si>
    <t>FT_P389BK2_Mf3</t>
  </si>
  <si>
    <t>RB8041_086_58f3</t>
  </si>
  <si>
    <t>RB4105_601S2K_50f3</t>
  </si>
  <si>
    <t>RB3524_02971_57f3</t>
  </si>
  <si>
    <t>RB2180_616587_49f3</t>
  </si>
  <si>
    <t>RB3529_02988_61f3</t>
  </si>
  <si>
    <t>FT_P307PR2F_Mf3</t>
  </si>
  <si>
    <t>OO9331_03_61f3</t>
  </si>
  <si>
    <t>FT_P357BK5P_Mf3</t>
  </si>
  <si>
    <t>VE2165_13718G_58f3</t>
  </si>
  <si>
    <t>RB3561_9001A5_57f3</t>
  </si>
  <si>
    <t>FT_M165GR1_Mf3</t>
  </si>
  <si>
    <t>RB3025_181_58f3</t>
  </si>
  <si>
    <t>RB4188_6019A_63f3</t>
  </si>
  <si>
    <t>FT_P383BR7_Mf3</t>
  </si>
  <si>
    <t>OO4101_06_59f3</t>
  </si>
  <si>
    <t>RB4269_6018G_56f3</t>
  </si>
  <si>
    <t>FT_P190GR2_Mf3</t>
  </si>
  <si>
    <t>RB3548N_00258_51f3</t>
  </si>
  <si>
    <t>CK7815S 213_58</t>
  </si>
  <si>
    <t>CK4191S_001 57_56</t>
  </si>
  <si>
    <t>FT_PC002BK5_Mf3</t>
  </si>
  <si>
    <t>CK 4154S_071_55</t>
  </si>
  <si>
    <t>FT_PC001BR23_Mf3</t>
  </si>
  <si>
    <t>CK1217SA_001_60f3</t>
  </si>
  <si>
    <t>CK1217SA_001_60</t>
  </si>
  <si>
    <t>FT_P358BR1_Mf3</t>
  </si>
  <si>
    <t>FT_P354BK1_Mf3</t>
  </si>
  <si>
    <t>RB3509_00113_63F6</t>
  </si>
  <si>
    <t>FT_P222BR3_Mf4</t>
  </si>
  <si>
    <t>FT_P222BR3_M</t>
  </si>
  <si>
    <t>OO9102_C1_57f5</t>
  </si>
  <si>
    <t>FT_P283PR2F_Mf4</t>
  </si>
  <si>
    <t>FT_P283PR2F_M</t>
  </si>
  <si>
    <t>IDS1802L_C3_57f4</t>
  </si>
  <si>
    <t>TH2538_C3_59F2</t>
  </si>
  <si>
    <t>FT_P192BK4P_Mf4</t>
  </si>
  <si>
    <t>VO2915S_228713_53f3</t>
  </si>
  <si>
    <t>RC788S_01B_54f4</t>
  </si>
  <si>
    <t>PR4073_C03_58f3</t>
  </si>
  <si>
    <t>OO9102_A9_55f5</t>
  </si>
  <si>
    <t>OO9102_A9_55</t>
  </si>
  <si>
    <t>RB4214_60171_59F6</t>
  </si>
  <si>
    <t>TH2537_C1_55F2</t>
  </si>
  <si>
    <t>TH2543_C3_59F2</t>
  </si>
  <si>
    <t>TH2529_C4_49F2</t>
  </si>
  <si>
    <t>VO2941S_227913_56f3</t>
  </si>
  <si>
    <t>RB3025JM_171_55f5</t>
  </si>
  <si>
    <t>RB3561_0013F_57f4</t>
  </si>
  <si>
    <t>EA3091_5509_55f4</t>
  </si>
  <si>
    <t>VO5013_2048_54f4</t>
  </si>
  <si>
    <t>TH2536_C2_55F2</t>
  </si>
  <si>
    <t>EA1052_3155_53f4</t>
  </si>
  <si>
    <t>ID916_C1_53F2</t>
  </si>
  <si>
    <t>VO2660S_W65613_58f3</t>
  </si>
  <si>
    <t>RX6384_2509_52f4</t>
  </si>
  <si>
    <t>TH2533_C2_54F2</t>
  </si>
  <si>
    <t>VO2941S_W4411_56f3</t>
  </si>
  <si>
    <t>VO2943SB_201148_55f3</t>
  </si>
  <si>
    <t>FT_P237BU1F_Mf4</t>
  </si>
  <si>
    <t>FT_P237BU1F_M</t>
  </si>
  <si>
    <t>CK3161S_001_58f4</t>
  </si>
  <si>
    <t>TH7868_C3_62f3</t>
  </si>
  <si>
    <t>TH2529_C3_49F2</t>
  </si>
  <si>
    <t>OO9200_18_61f5</t>
  </si>
  <si>
    <t>TH2530_C2_51F2</t>
  </si>
  <si>
    <t>IDS1695_C25_Mf4</t>
  </si>
  <si>
    <t>OO9189_30_60f3</t>
  </si>
  <si>
    <t>OO4119_08_60f4</t>
  </si>
  <si>
    <t>OO6038_05_57f4</t>
  </si>
  <si>
    <t>OO6038_05_57</t>
  </si>
  <si>
    <t>TH2543_C2_59F2</t>
  </si>
  <si>
    <t>ID722_C3_52F2</t>
  </si>
  <si>
    <t>OO9239_12_60f3</t>
  </si>
  <si>
    <t>EA1041_3131_55f4</t>
  </si>
  <si>
    <t>OO9265_05_53f3</t>
  </si>
  <si>
    <t>OO9189_28_60f3</t>
  </si>
  <si>
    <t>OO9189_28_60</t>
  </si>
  <si>
    <t>FT_M187GR2_M</t>
  </si>
  <si>
    <t>FT_P359BR2_M</t>
  </si>
  <si>
    <t>TH6153_C1_52f2</t>
  </si>
  <si>
    <t>TH1009_C2_53f2</t>
  </si>
  <si>
    <t>TH5234_C1_52f2</t>
  </si>
  <si>
    <t>VO5147B_2539A_55</t>
  </si>
  <si>
    <t>TH6130_C3_50f2</t>
  </si>
  <si>
    <t>VO3919S_5484V_57f3</t>
  </si>
  <si>
    <t>CK5367_403_52f2</t>
  </si>
  <si>
    <t>EA1002_3010_53f2</t>
  </si>
  <si>
    <t>OO4119_10_60f3</t>
  </si>
  <si>
    <t>OO4119_10_60</t>
  </si>
  <si>
    <t>TH6130_C2_50f2</t>
  </si>
  <si>
    <t>FT_P309PR2F_M</t>
  </si>
  <si>
    <t>TH3157_C4_53f2</t>
  </si>
  <si>
    <t>TH6112_C3_52f2</t>
  </si>
  <si>
    <t>TH6133_C2_48f2</t>
  </si>
  <si>
    <t>TH6132_C6_50f2</t>
  </si>
  <si>
    <t>TH3171_C6_53f2</t>
  </si>
  <si>
    <t>IDS1695_C31_Mf3</t>
  </si>
  <si>
    <t>TH5637_C2_54f2</t>
  </si>
  <si>
    <t>TH6128_C3_48f2</t>
  </si>
  <si>
    <t>TH6148_C1_50f2</t>
  </si>
  <si>
    <t>PS57RS_1BC0A7_59f3</t>
  </si>
  <si>
    <t>EA1042_3128_53f2</t>
  </si>
  <si>
    <t>VO2908_2257_51f2</t>
  </si>
  <si>
    <t>VO3691B_756_50f2</t>
  </si>
  <si>
    <t>VO2816_W745_52f2</t>
  </si>
  <si>
    <t>TH6151_C3_52f2</t>
  </si>
  <si>
    <t>TH6136_C3_51f2</t>
  </si>
  <si>
    <t>TH6149_C4_51f2</t>
  </si>
  <si>
    <t>TH6141_C3_55f2</t>
  </si>
  <si>
    <t>FT_C060BU1_Mf3</t>
  </si>
  <si>
    <t>EA1050_3001_55f2</t>
  </si>
  <si>
    <t>TH6137_C3_48f2</t>
  </si>
  <si>
    <t>CK5387_001_53f2</t>
  </si>
  <si>
    <t>TH3168_C1_51f2</t>
  </si>
  <si>
    <t>EA3076_5026_52f2</t>
  </si>
  <si>
    <t>VO2941S_25355R_56f3</t>
  </si>
  <si>
    <t>EA3055_5063_53f2</t>
  </si>
  <si>
    <t>FT_M068BK5_M</t>
  </si>
  <si>
    <t>CK5351_044_52f2</t>
  </si>
  <si>
    <t>VO2993S_1880T3_57f3</t>
  </si>
  <si>
    <t>RC522S_01B_63f4</t>
  </si>
  <si>
    <t>RC583S_69Z_64f3</t>
  </si>
  <si>
    <t>FT_P089GR3_Mf5</t>
  </si>
  <si>
    <t>RC515S_01B_62f4</t>
  </si>
  <si>
    <t>FT_P312BR1F_Mf2</t>
  </si>
  <si>
    <t>FT_P230BK1_Mf2</t>
  </si>
  <si>
    <t>FT_P223YL5_Mf2</t>
  </si>
  <si>
    <t>FT_P223YL5_M</t>
  </si>
  <si>
    <t>FT_U005YL5F_Mf2</t>
  </si>
  <si>
    <t>FT_P303BU2_Mf2</t>
  </si>
  <si>
    <t>FT_P303BU2_M</t>
  </si>
  <si>
    <t>TH2536_C3_55F1</t>
  </si>
  <si>
    <t>FT_P223BR3_Mf2</t>
  </si>
  <si>
    <t>FT_P223BR3_M</t>
  </si>
  <si>
    <t>TH2531_C2_57F1</t>
  </si>
  <si>
    <t>FT_P323BK1_Mf2</t>
  </si>
  <si>
    <t>ID1899_C1 _64</t>
  </si>
  <si>
    <t>VO 2915_W4411_53</t>
  </si>
  <si>
    <t>VO2896S_W4411_54F2</t>
  </si>
  <si>
    <t>TH7835_C1_60F2</t>
  </si>
  <si>
    <t>TH7856_C4_59F2</t>
  </si>
  <si>
    <t>IDS1655_COL2_58</t>
  </si>
  <si>
    <t>RB8313_00151_58</t>
  </si>
  <si>
    <t>RB2140_11644M_50</t>
  </si>
  <si>
    <t>RB3447N_00451_50</t>
  </si>
  <si>
    <t>RB4259_71073_51</t>
  </si>
  <si>
    <t>RB3548N_001Z2_51</t>
  </si>
  <si>
    <t>RB2447_1244N9_49</t>
  </si>
  <si>
    <t>RB4265_710A2_62</t>
  </si>
  <si>
    <t>RB3447_9065V9_50</t>
  </si>
  <si>
    <t>RB3547N_0013F_54</t>
  </si>
  <si>
    <t>RB3583N_001X0_58</t>
  </si>
  <si>
    <t>RB3583N_001XO_58</t>
  </si>
  <si>
    <t>RB2448N_901_51</t>
  </si>
  <si>
    <t>RB2447_1247P2_49</t>
  </si>
  <si>
    <t>RB3447N_0019O_50F4</t>
  </si>
  <si>
    <t>RB3548N_00130_54</t>
  </si>
  <si>
    <t>RB3016_90158_49</t>
  </si>
  <si>
    <t>RB4246_990_51</t>
  </si>
  <si>
    <t>RB3593_0028G_58</t>
  </si>
  <si>
    <t>RB3561_910752_57</t>
  </si>
  <si>
    <t>RB2027_630062_62</t>
  </si>
  <si>
    <t>RB2132_710S5_52</t>
  </si>
  <si>
    <t>RB3574N_00330_59</t>
  </si>
  <si>
    <t>RB3183_0049A_63</t>
  </si>
  <si>
    <t>RB3581N_90387J_32</t>
  </si>
  <si>
    <t>RB4266_620113_49</t>
  </si>
  <si>
    <t>RB3560_00451_58</t>
  </si>
  <si>
    <t>RB2184_90131_57</t>
  </si>
  <si>
    <t>RB4147_71051_60F3</t>
  </si>
  <si>
    <t>RB3579N_00171_58</t>
  </si>
  <si>
    <t>RB3547N_00193_51</t>
  </si>
  <si>
    <t>RB3576N_90391U_41</t>
  </si>
  <si>
    <t>RB4314N_95433_54</t>
  </si>
  <si>
    <t>RB3214_004_63</t>
  </si>
  <si>
    <t>RB4298_6019A_57</t>
  </si>
  <si>
    <t>RB3593_00455_58</t>
  </si>
  <si>
    <t>RB3576N_90391U_47</t>
  </si>
  <si>
    <t>RB3647N_001_51</t>
  </si>
  <si>
    <t>RB4340_6014O_50</t>
  </si>
  <si>
    <t>RB4285_6372E8_55</t>
  </si>
  <si>
    <t>RB3648_00413_54</t>
  </si>
  <si>
    <t>RB3025_0013E_58F4</t>
  </si>
  <si>
    <t>RB3025_9065V7_58</t>
  </si>
  <si>
    <t>RB3588_906217_55</t>
  </si>
  <si>
    <t>RB3546_900985_49</t>
  </si>
  <si>
    <t>RB3593_00113_58</t>
  </si>
  <si>
    <t>RB3447_906515_50</t>
  </si>
  <si>
    <t>RB3547N_0018O_51</t>
  </si>
  <si>
    <t>RB3307_004_56</t>
  </si>
  <si>
    <t>RB3545_900411_51</t>
  </si>
  <si>
    <t>RB4202_63704L_55</t>
  </si>
  <si>
    <t>RB4380N_6357V0_37</t>
  </si>
  <si>
    <t>RB3561_9108P2_57</t>
  </si>
  <si>
    <t>RB4296_633118G_51</t>
  </si>
  <si>
    <t>RB3816_99033_51</t>
  </si>
  <si>
    <t>RB3594_9113F7_53</t>
  </si>
  <si>
    <t>RB3449_00113_56</t>
  </si>
  <si>
    <t>RB2168_90131_50</t>
  </si>
  <si>
    <t>RB3561_9105N9_57</t>
  </si>
  <si>
    <t>RB4346_901_51</t>
  </si>
  <si>
    <t>RB4255_6216O_60</t>
  </si>
  <si>
    <t>RB3561_9106W0_57</t>
  </si>
  <si>
    <t>RB4187_639276_54</t>
  </si>
  <si>
    <t>RB4299_71013_56</t>
  </si>
  <si>
    <t>RB2027_629932_62</t>
  </si>
  <si>
    <t>RB3648_001_54</t>
  </si>
  <si>
    <t>RB4314N_60131_54</t>
  </si>
  <si>
    <t>RB4264_8766O_58</t>
  </si>
  <si>
    <t>RB3025_90644C_58</t>
  </si>
  <si>
    <t>RB4313_6018G_58</t>
  </si>
  <si>
    <t>RB4251_71013_56F2</t>
  </si>
  <si>
    <t>RB3592_001I9_50</t>
  </si>
  <si>
    <t>RB3560_00258_58</t>
  </si>
  <si>
    <t>RB3540_90353F_53</t>
  </si>
  <si>
    <t>RB4253_60171_50</t>
  </si>
  <si>
    <t>RB4171_6338D1_54</t>
  </si>
  <si>
    <t>RB4298_60171_57</t>
  </si>
  <si>
    <t>RB4187_63932_54</t>
  </si>
  <si>
    <t>RB3574N_00171_59</t>
  </si>
  <si>
    <t>RB3412_001_63F2</t>
  </si>
  <si>
    <t>RB3570_90049A_58</t>
  </si>
  <si>
    <t>RB3449_0038G_56</t>
  </si>
  <si>
    <t>RB3383_001_60</t>
  </si>
  <si>
    <t>RB3307_001_56</t>
  </si>
  <si>
    <t>RB4297_601S11_51</t>
  </si>
  <si>
    <t>RB3538_18671_53F2</t>
  </si>
  <si>
    <t>RB4285_6018G_55</t>
  </si>
  <si>
    <t>RB4267_60171_59</t>
  </si>
  <si>
    <t>RB4279_71073_51</t>
  </si>
  <si>
    <t>RB3592_9035C6_55</t>
  </si>
  <si>
    <t>VO2993S_W4411_57F3</t>
  </si>
  <si>
    <t>RB3098_W0962_57</t>
  </si>
  <si>
    <t>RB4187_85613_54F2</t>
  </si>
  <si>
    <t>RB3647N_0019U_51</t>
  </si>
  <si>
    <t>RB3647N_9069A5_51</t>
  </si>
  <si>
    <t>RB3584N_15311_61</t>
  </si>
  <si>
    <t>RB4171_631513_54</t>
  </si>
  <si>
    <t>RB4293CH_601S5J_65</t>
  </si>
  <si>
    <t>RB3576N_04230_47</t>
  </si>
  <si>
    <t>RB3539_913476_54</t>
  </si>
  <si>
    <t>RB3447N_00271_53</t>
  </si>
  <si>
    <t>RB4290_71013_53</t>
  </si>
  <si>
    <t>RB4205I_60171_56</t>
  </si>
  <si>
    <t>RB3549_11213_61</t>
  </si>
  <si>
    <t>RB3447_90644C_50</t>
  </si>
  <si>
    <t>RB3560_0013F_61</t>
  </si>
  <si>
    <t>RB3545_9005A9_51</t>
  </si>
  <si>
    <t>RB4387_60171_56</t>
  </si>
  <si>
    <t>RB3549_002T3_58</t>
  </si>
  <si>
    <t>RB3025_00133_58F2</t>
  </si>
  <si>
    <t>RB3549_001T5_58</t>
  </si>
  <si>
    <t>0RB425_36052Y0_53</t>
  </si>
  <si>
    <t>RB4253_6052Y0_53</t>
  </si>
  <si>
    <t>RB344_79064V8_50</t>
  </si>
  <si>
    <t>RB3447_9064V8_50</t>
  </si>
  <si>
    <t>EA3063_5017_55F2</t>
  </si>
  <si>
    <t>RB3547N_001_54</t>
  </si>
  <si>
    <t>RB4246M_12179U_51</t>
  </si>
  <si>
    <t>FT_P312BR1F_58</t>
  </si>
  <si>
    <t>RB3587_0035J_61</t>
  </si>
  <si>
    <t>ID893_C3_52F2</t>
  </si>
  <si>
    <t>FT_P358BR1_57</t>
  </si>
  <si>
    <t>RB3560_00258_61</t>
  </si>
  <si>
    <t>RB8353_6353T3_56</t>
  </si>
  <si>
    <t>RB4303_71083_57</t>
  </si>
  <si>
    <t>RB3647N_90683F_51</t>
  </si>
  <si>
    <t>RB3025_00158_58F2</t>
  </si>
  <si>
    <t>RB3598_00432_50</t>
  </si>
  <si>
    <t>RB3584N_905130_58</t>
  </si>
  <si>
    <t>ID739_C3_55F2</t>
  </si>
  <si>
    <t>ID906_C4_50F2</t>
  </si>
  <si>
    <t>0RB2140_90158_50</t>
  </si>
  <si>
    <t>ID940_C2_52F2</t>
  </si>
  <si>
    <t>0RB3560_00451_61</t>
  </si>
  <si>
    <t>RB3560_00451_61</t>
  </si>
  <si>
    <t>RB3447_001_53</t>
  </si>
  <si>
    <t>RB2184_1252R5_57</t>
  </si>
  <si>
    <t>RB8317_029A1_58</t>
  </si>
  <si>
    <t>FT_M117BK1_62</t>
  </si>
  <si>
    <t>FT_P223GR3P_66</t>
  </si>
  <si>
    <t>EA3079_5026_49F2</t>
  </si>
  <si>
    <t>FT_PC002BK5_53</t>
  </si>
  <si>
    <t>RB354_6186_52</t>
  </si>
  <si>
    <t>RB3546_186_52</t>
  </si>
  <si>
    <t>RB3604_121A2_62</t>
  </si>
  <si>
    <t>RB4269_6019A_56</t>
  </si>
  <si>
    <t>RB4387_639980_56</t>
  </si>
  <si>
    <t>RB4187_6018G_51</t>
  </si>
  <si>
    <t>RB3513_15371_58</t>
  </si>
  <si>
    <t>FT_P392BK2_58</t>
  </si>
  <si>
    <t>FT_P376BR1_58</t>
  </si>
  <si>
    <t>RB4283_601A1_64</t>
  </si>
  <si>
    <t>RB3560_91034M_61</t>
  </si>
  <si>
    <t>FT_P223YL5_66</t>
  </si>
  <si>
    <t>RB3025_9065V7_55</t>
  </si>
  <si>
    <t>RB3025_11217_58F3</t>
  </si>
  <si>
    <t>FT_P223BR3_66</t>
  </si>
  <si>
    <t>ID1207_C3_53F2</t>
  </si>
  <si>
    <t>FT_P354BK1_64</t>
  </si>
  <si>
    <t>RB3584N_91400R_61</t>
  </si>
  <si>
    <t>FT_PC001BK30P_58</t>
  </si>
  <si>
    <t>RB3016_1223C4_49</t>
  </si>
  <si>
    <t>0RB2132_62423F_52</t>
  </si>
  <si>
    <t>RB3598_00131_50</t>
  </si>
  <si>
    <t>FT_PC001BK2_58</t>
  </si>
  <si>
    <t>RB4187_639175_54</t>
  </si>
  <si>
    <t>RB8319_9076K9_60</t>
  </si>
  <si>
    <t>ID1156_C2_53F2</t>
  </si>
  <si>
    <t>RB3025_90644_58</t>
  </si>
  <si>
    <t>RB3025_0025_55F2</t>
  </si>
  <si>
    <t>RB2132_63983L_52</t>
  </si>
  <si>
    <t>FT_P323BK1_57</t>
  </si>
  <si>
    <t>FT_P230BK1_58</t>
  </si>
  <si>
    <t>RB3447_9065V7_50</t>
  </si>
  <si>
    <t>0RB4299_601S55_56</t>
  </si>
  <si>
    <t>RB4299_601S55_56</t>
  </si>
  <si>
    <t>RB3578_9011A7_50</t>
  </si>
  <si>
    <t>RB3560_001_61</t>
  </si>
  <si>
    <t>FT_PC001BR31P_58</t>
  </si>
  <si>
    <t>RB2168_901P2_50</t>
  </si>
  <si>
    <t>RB3025_9065V9_55</t>
  </si>
  <si>
    <t>RB3382_014_55</t>
  </si>
  <si>
    <t>RB2168_90171_50</t>
  </si>
  <si>
    <t>RB429_160171_58</t>
  </si>
  <si>
    <t>ID1700_C31_58</t>
  </si>
  <si>
    <t>0RB4165_60171_55</t>
  </si>
  <si>
    <t>FT_P303BU2_57</t>
  </si>
  <si>
    <t>RB3592_9035C8_55</t>
  </si>
  <si>
    <t>RB3579N_91400R_58</t>
  </si>
  <si>
    <t>RB4202_63698H_55</t>
  </si>
  <si>
    <t>PGBARRY_C1_52</t>
  </si>
  <si>
    <t>0RB3598_00258_50</t>
  </si>
  <si>
    <t>RB3598_00258_50</t>
  </si>
  <si>
    <t>PG10010_C25_51</t>
  </si>
  <si>
    <t>0RB4263_6015J_55</t>
  </si>
  <si>
    <t>PGDREAM_C10_52</t>
  </si>
  <si>
    <t>PG1612_CM9_56</t>
  </si>
  <si>
    <t>RB359_2001T5_50</t>
  </si>
  <si>
    <t>RB3576N_1537V_47</t>
  </si>
  <si>
    <t>PG10010_C4_51</t>
  </si>
  <si>
    <t>RB3847N_9125A5_52</t>
  </si>
  <si>
    <t>PG12010_CM5_52</t>
  </si>
  <si>
    <t>RB4195_601S88_52</t>
  </si>
  <si>
    <t>PGDREAM_CM25_52</t>
  </si>
  <si>
    <t>RB4297_633183_51</t>
  </si>
  <si>
    <t>0RB3569_12111_59</t>
  </si>
  <si>
    <t>RB3569_12111_59</t>
  </si>
  <si>
    <t>MJ106S_D289O_54</t>
  </si>
  <si>
    <t>PLD2030S_MW4IG_59</t>
  </si>
  <si>
    <t>FT_PC002BR3_56</t>
  </si>
  <si>
    <t>PLD2048S_N9PUC_59</t>
  </si>
  <si>
    <t>TH5232_C1_52</t>
  </si>
  <si>
    <t>PLD3016S_X03C3_66</t>
  </si>
  <si>
    <t>MJ138S_CSAIR_51</t>
  </si>
  <si>
    <t>MJ111S_8079O_56</t>
  </si>
  <si>
    <t>PLD6012N_J5GJB_58</t>
  </si>
  <si>
    <t>PLD3017S_29JC3_62</t>
  </si>
  <si>
    <t>PLD4040S_VO8IG_54</t>
  </si>
  <si>
    <t>PLD1017SL_3YGH8_60</t>
  </si>
  <si>
    <t>FT_P089GR3_58</t>
  </si>
  <si>
    <t>PLD3017S_D28Y2_62</t>
  </si>
  <si>
    <t>MJ19_807_50</t>
  </si>
  <si>
    <t>PLD2035S_NHORC_58</t>
  </si>
  <si>
    <t>ID1558_C5_53</t>
  </si>
  <si>
    <t>PG10010_CM2_51</t>
  </si>
  <si>
    <t>PGDREAM_C41_52</t>
  </si>
  <si>
    <t>PGWINTER_CM40_56</t>
  </si>
  <si>
    <t>PG12002_C9_53</t>
  </si>
  <si>
    <t>PG1612_CM7_56</t>
  </si>
  <si>
    <t>PGDREAM_CM7_52</t>
  </si>
  <si>
    <t>DJ5901_C1_48</t>
  </si>
  <si>
    <t>PGQUEEN_C9_52</t>
  </si>
  <si>
    <t>PGWINTER_C22_56</t>
  </si>
  <si>
    <t>PGBARRY_C29_52</t>
  </si>
  <si>
    <t>PGWINTER_C105_56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</si>
</sst>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"/>
    <numFmt numFmtId="166" formatCode="m/d/yy"/>
    <numFmt numFmtId="167" formatCode="m/d/yyyy h:mm:ss"/>
    <numFmt numFmtId="168" formatCode="yyyy-mm-dd"/>
  </numFmts>
  <fonts count="48">
    <font>
      <sz val="10.0"/>
      <color rgb="FF000000"/>
      <name val="Arial"/>
    </font>
    <font>
      <color rgb="FFFFFFFF"/>
      <name val="Roboto"/>
    </font>
    <font/>
    <font>
      <sz val="1.0"/>
    </font>
    <font>
      <name val="Arial"/>
    </font>
    <font>
      <sz val="8.0"/>
    </font>
    <font>
      <sz val="16.0"/>
    </font>
    <font>
      <sz val="13.0"/>
    </font>
    <font>
      <sz val="14.0"/>
    </font>
    <font>
      <sz val="12.0"/>
    </font>
    <font>
      <b/>
    </font>
    <font>
      <b/>
      <sz val="12.0"/>
      <name val="Arial"/>
    </font>
    <font>
      <sz val="11.0"/>
      <color rgb="FF000000"/>
      <name val="Arial"/>
    </font>
    <font>
      <sz val="12.0"/>
      <name val="Arial"/>
    </font>
    <font>
      <sz val="11.0"/>
      <name val="Arial"/>
    </font>
    <font>
      <b/>
      <sz val="12.0"/>
    </font>
    <font>
      <sz val="12.0"/>
      <name val="Calibri"/>
    </font>
    <font>
      <b/>
      <sz val="12.0"/>
      <name val="Calibri"/>
    </font>
    <font>
      <b/>
      <sz val="11.0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1.0"/>
      <name val="Arial"/>
    </font>
    <font>
      <sz val="11.0"/>
    </font>
    <font>
      <sz val="12.0"/>
      <color rgb="FF000000"/>
    </font>
    <font>
      <sz val="12.0"/>
      <color rgb="FF000000"/>
      <name val="Cambria"/>
    </font>
    <font>
      <sz val="12.0"/>
      <color rgb="FF000000"/>
      <name val="Arial"/>
    </font>
    <font>
      <b/>
      <sz val="11.0"/>
      <color rgb="FF000000"/>
      <name val="Calibri"/>
    </font>
    <font>
      <sz val="12.0"/>
      <color rgb="FF1F1F1F"/>
      <name val="&quot;Google Sans&quot;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</font>
    <font>
      <b/>
      <sz val="12.0"/>
      <color rgb="FF000000"/>
      <name val="Calibri"/>
    </font>
    <font>
      <color rgb="FF000000"/>
      <name val="Roboto"/>
    </font>
    <font>
      <sz val="11.0"/>
      <color rgb="FF434343"/>
      <name val="Arial"/>
    </font>
    <font>
      <sz val="8.0"/>
      <color rgb="FF000000"/>
      <name val="Arial"/>
    </font>
    <font>
      <b/>
      <color rgb="FF000000"/>
      <name val="Arial"/>
    </font>
    <font>
      <b/>
      <name val="Arial"/>
    </font>
    <font>
      <b/>
      <sz val="12.0"/>
      <color rgb="FF1F1F1F"/>
      <name val="&quot;Google Sans&quot;"/>
    </font>
    <font>
      <b/>
      <sz val="10.0"/>
    </font>
    <font>
      <sz val="12.0"/>
      <color rgb="FFFF0000"/>
    </font>
    <font>
      <color rgb="FF000000"/>
    </font>
    <font>
      <sz val="12.0"/>
      <color rgb="FF000000"/>
      <name val="&quot;Google Sans&quot;"/>
    </font>
    <font>
      <color rgb="FF000000"/>
      <name val="Arial"/>
    </font>
    <font>
      <sz val="12.0"/>
      <color rgb="FFF3F3F3"/>
    </font>
    <font>
      <sz val="10.0"/>
    </font>
    <font>
      <b/>
      <sz val="14.0"/>
    </font>
    <font>
      <b/>
      <color rgb="FFFFFFFF"/>
    </font>
    <font>
      <color rgb="FF666666"/>
    </font>
  </fonts>
  <fills count="3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  <fill>
      <patternFill patternType="solid">
        <fgColor rgb="FFF9CB9C"/>
        <bgColor rgb="FFF9CB9C"/>
      </patternFill>
    </fill>
    <fill>
      <patternFill patternType="solid">
        <fgColor rgb="FF45818E"/>
        <bgColor rgb="FF45818E"/>
      </patternFill>
    </fill>
    <fill>
      <patternFill patternType="solid">
        <fgColor rgb="FF6D9EEB"/>
        <bgColor rgb="FF6D9EEB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84CCC6"/>
        <bgColor rgb="FF84CCC6"/>
      </patternFill>
    </fill>
    <fill>
      <patternFill patternType="solid">
        <fgColor rgb="FFE3E3E3"/>
        <bgColor rgb="FFE3E3E3"/>
      </patternFill>
    </fill>
    <fill>
      <patternFill patternType="solid">
        <fgColor rgb="FFA2C4C9"/>
        <bgColor rgb="FFA2C4C9"/>
      </patternFill>
    </fill>
  </fills>
  <borders count="13">
    <border/>
    <border>
      <right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0" fontId="5" numFmtId="0" xfId="0" applyFont="1"/>
    <xf borderId="0" fillId="5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0" fontId="6" numFmtId="0" xfId="0" applyAlignment="1" applyFont="1">
      <alignment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7" numFmtId="0" xfId="0" applyAlignment="1" applyFill="1" applyFont="1">
      <alignment readingOrder="0"/>
    </xf>
    <xf borderId="0" fillId="10" fontId="8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11" fontId="8" numFmtId="0" xfId="0" applyAlignment="1" applyFill="1" applyFont="1">
      <alignment readingOrder="0"/>
    </xf>
    <xf borderId="0" fillId="0" fontId="9" numFmtId="0" xfId="0" applyFont="1"/>
    <xf borderId="0" fillId="12" fontId="9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0" fontId="10" numFmtId="0" xfId="0" applyAlignment="1" applyFont="1">
      <alignment horizontal="center" readingOrder="0"/>
    </xf>
    <xf borderId="0" fillId="15" fontId="10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2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19" fontId="2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0" fontId="10" numFmtId="0" xfId="0" applyAlignment="1" applyFill="1" applyFont="1">
      <alignment horizontal="center" readingOrder="0"/>
    </xf>
    <xf borderId="0" fillId="21" fontId="10" numFmtId="0" xfId="0" applyAlignment="1" applyFill="1" applyFont="1">
      <alignment horizontal="center" readingOrder="0"/>
    </xf>
    <xf borderId="0" fillId="22" fontId="2" numFmtId="0" xfId="0" applyAlignment="1" applyFill="1" applyFont="1">
      <alignment readingOrder="0"/>
    </xf>
    <xf borderId="0" fillId="6" fontId="2" numFmtId="0" xfId="0" applyAlignment="1" applyFont="1">
      <alignment horizontal="center" readingOrder="0"/>
    </xf>
    <xf borderId="0" fillId="23" fontId="2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20" fontId="2" numFmtId="0" xfId="0" applyAlignment="1" applyFont="1">
      <alignment readingOrder="0"/>
    </xf>
    <xf borderId="0" fillId="24" fontId="2" numFmtId="0" xfId="0" applyAlignment="1" applyFill="1" applyFont="1">
      <alignment readingOrder="0"/>
    </xf>
    <xf borderId="0" fillId="25" fontId="2" numFmtId="0" xfId="0" applyAlignment="1" applyFill="1" applyFont="1">
      <alignment readingOrder="0"/>
    </xf>
    <xf borderId="0" fillId="26" fontId="2" numFmtId="0" xfId="0" applyAlignment="1" applyFill="1" applyFont="1">
      <alignment readingOrder="0"/>
    </xf>
    <xf borderId="0" fillId="27" fontId="2" numFmtId="0" xfId="0" applyAlignment="1" applyFill="1" applyFont="1">
      <alignment readingOrder="0"/>
    </xf>
    <xf borderId="0" fillId="28" fontId="2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6" fontId="11" numFmtId="0" xfId="0" applyAlignment="1" applyFont="1">
      <alignment readingOrder="0" vertical="bottom"/>
    </xf>
    <xf borderId="0" fillId="6" fontId="12" numFmtId="0" xfId="0" applyAlignment="1" applyFont="1">
      <alignment horizontal="left" readingOrder="0" vertical="bottom"/>
    </xf>
    <xf borderId="0" fillId="6" fontId="9" numFmtId="0" xfId="0" applyAlignment="1" applyFont="1">
      <alignment horizontal="center"/>
    </xf>
    <xf borderId="0" fillId="6" fontId="13" numFmtId="0" xfId="0" applyAlignment="1" applyFont="1">
      <alignment horizontal="center" vertical="bottom"/>
    </xf>
    <xf borderId="0" fillId="6" fontId="12" numFmtId="0" xfId="0" applyAlignment="1" applyFont="1">
      <alignment horizontal="center" readingOrder="0" vertical="bottom"/>
    </xf>
    <xf borderId="0" fillId="6" fontId="14" numFmtId="0" xfId="0" applyAlignment="1" applyFont="1">
      <alignment horizontal="center" vertical="bottom"/>
    </xf>
    <xf borderId="0" fillId="7" fontId="12" numFmtId="0" xfId="0" applyAlignment="1" applyFont="1">
      <alignment horizontal="center" readingOrder="0" vertical="bottom"/>
    </xf>
    <xf borderId="0" fillId="6" fontId="15" numFmtId="0" xfId="0" applyAlignment="1" applyFont="1">
      <alignment readingOrder="0"/>
    </xf>
    <xf borderId="0" fillId="6" fontId="15" numFmtId="0" xfId="0" applyFont="1"/>
    <xf borderId="0" fillId="6" fontId="16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0" fillId="6" fontId="17" numFmtId="0" xfId="0" applyAlignment="1" applyFont="1">
      <alignment vertical="bottom"/>
    </xf>
    <xf borderId="0" fillId="6" fontId="11" numFmtId="0" xfId="0" applyAlignment="1" applyFont="1">
      <alignment readingOrder="0" vertical="bottom"/>
    </xf>
    <xf borderId="0" fillId="6" fontId="11" numFmtId="0" xfId="0" applyAlignment="1" applyFont="1">
      <alignment vertical="bottom"/>
    </xf>
    <xf borderId="0" fillId="6" fontId="18" numFmtId="0" xfId="0" applyAlignment="1" applyFont="1">
      <alignment horizontal="left" readingOrder="0"/>
    </xf>
    <xf borderId="0" fillId="6" fontId="15" numFmtId="0" xfId="0" applyAlignment="1" applyFont="1">
      <alignment horizontal="center" readingOrder="0"/>
    </xf>
    <xf borderId="0" fillId="6" fontId="19" numFmtId="0" xfId="0" applyAlignment="1" applyFont="1">
      <alignment horizontal="center" readingOrder="0" shrinkToFit="0" vertical="bottom" wrapText="0"/>
    </xf>
    <xf borderId="0" fillId="6" fontId="11" numFmtId="0" xfId="0" applyAlignment="1" applyFont="1">
      <alignment horizontal="center" vertical="bottom"/>
    </xf>
    <xf borderId="0" fillId="6" fontId="20" numFmtId="0" xfId="0" applyAlignment="1" applyFont="1">
      <alignment horizontal="center" readingOrder="0" vertical="bottom"/>
    </xf>
    <xf borderId="0" fillId="6" fontId="20" numFmtId="166" xfId="0" applyAlignment="1" applyFont="1" applyNumberFormat="1">
      <alignment horizontal="center" readingOrder="0" vertical="bottom"/>
    </xf>
    <xf borderId="0" fillId="6" fontId="20" numFmtId="0" xfId="0" applyAlignment="1" applyFont="1">
      <alignment horizontal="left" readingOrder="0" vertical="bottom"/>
    </xf>
    <xf borderId="0" fillId="6" fontId="21" numFmtId="166" xfId="0" applyAlignment="1" applyFont="1" applyNumberFormat="1">
      <alignment horizontal="center" readingOrder="0" vertical="bottom"/>
    </xf>
    <xf borderId="0" fillId="6" fontId="12" numFmtId="165" xfId="0" applyAlignment="1" applyFont="1" applyNumberFormat="1">
      <alignment horizontal="center" readingOrder="0" vertical="bottom"/>
    </xf>
    <xf borderId="0" fillId="6" fontId="22" numFmtId="0" xfId="0" applyAlignment="1" applyFont="1">
      <alignment horizontal="left" readingOrder="0"/>
    </xf>
    <xf borderId="0" fillId="6" fontId="9" numFmtId="0" xfId="0" applyAlignment="1" applyFont="1">
      <alignment horizontal="center" readingOrder="0"/>
    </xf>
    <xf borderId="0" fillId="6" fontId="14" numFmtId="0" xfId="0" applyAlignment="1" applyFont="1">
      <alignment horizontal="center" readingOrder="0" vertical="bottom"/>
    </xf>
    <xf borderId="0" fillId="6" fontId="12" numFmtId="0" xfId="0" applyAlignment="1" applyFont="1">
      <alignment horizontal="center" vertical="bottom"/>
    </xf>
    <xf borderId="0" fillId="6" fontId="9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22" numFmtId="0" xfId="0" applyAlignment="1" applyFont="1">
      <alignment horizontal="center" readingOrder="0"/>
    </xf>
    <xf borderId="0" fillId="7" fontId="12" numFmtId="0" xfId="0" applyAlignment="1" applyFont="1">
      <alignment horizontal="center" vertical="bottom"/>
    </xf>
    <xf borderId="0" fillId="6" fontId="13" numFmtId="0" xfId="0" applyAlignment="1" applyFont="1">
      <alignment horizontal="center" readingOrder="0" vertical="bottom"/>
    </xf>
    <xf borderId="0" fillId="6" fontId="14" numFmtId="0" xfId="0" applyAlignment="1" applyFont="1">
      <alignment horizontal="center" vertical="bottom"/>
    </xf>
    <xf borderId="0" fillId="6" fontId="14" numFmtId="0" xfId="0" applyAlignment="1" applyFont="1">
      <alignment horizontal="center" readingOrder="0" vertical="bottom"/>
    </xf>
    <xf borderId="0" fillId="6" fontId="14" numFmtId="0" xfId="0" applyAlignment="1" applyFont="1">
      <alignment horizontal="center" readingOrder="0" vertical="bottom"/>
    </xf>
    <xf borderId="0" fillId="7" fontId="14" numFmtId="0" xfId="0" applyAlignment="1" applyFont="1">
      <alignment horizontal="center" readingOrder="0" vertical="bottom"/>
    </xf>
    <xf borderId="0" fillId="6" fontId="14" numFmtId="0" xfId="0" applyAlignment="1" applyFont="1">
      <alignment horizontal="center" vertical="bottom"/>
    </xf>
    <xf borderId="0" fillId="6" fontId="4" numFmtId="0" xfId="0" applyAlignment="1" applyFont="1">
      <alignment readingOrder="0" vertical="bottom"/>
    </xf>
    <xf borderId="0" fillId="6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6" fontId="4" numFmtId="0" xfId="0" applyAlignment="1" applyFont="1">
      <alignment horizontal="center" readingOrder="0" vertical="bottom"/>
    </xf>
    <xf borderId="0" fillId="29" fontId="12" numFmtId="0" xfId="0" applyAlignment="1" applyFill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6" fontId="12" numFmtId="0" xfId="0" applyAlignment="1" applyFont="1">
      <alignment horizontal="center" readingOrder="0" vertical="bottom"/>
    </xf>
    <xf borderId="0" fillId="6" fontId="23" numFmtId="0" xfId="0" applyAlignment="1" applyFont="1">
      <alignment horizontal="center" readingOrder="0"/>
    </xf>
    <xf borderId="0" fillId="6" fontId="14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6" fontId="25" numFmtId="0" xfId="0" applyAlignment="1" applyFont="1">
      <alignment horizontal="center" readingOrder="0" vertical="bottom"/>
    </xf>
    <xf borderId="0" fillId="7" fontId="14" numFmtId="0" xfId="0" applyAlignment="1" applyFont="1">
      <alignment horizontal="center" vertical="bottom"/>
    </xf>
    <xf borderId="0" fillId="6" fontId="14" numFmtId="0" xfId="0" applyAlignment="1" applyFont="1">
      <alignment horizontal="center" vertical="bottom"/>
    </xf>
    <xf borderId="0" fillId="6" fontId="14" numFmtId="0" xfId="0" applyAlignment="1" applyFont="1">
      <alignment horizontal="center" readingOrder="0" vertical="bottom"/>
    </xf>
    <xf borderId="1" fillId="6" fontId="12" numFmtId="0" xfId="0" applyAlignment="1" applyBorder="1" applyFont="1">
      <alignment horizontal="left" shrinkToFit="0" vertical="bottom" wrapText="0"/>
    </xf>
    <xf borderId="0" fillId="6" fontId="26" numFmtId="0" xfId="0" applyAlignment="1" applyFont="1">
      <alignment readingOrder="0" shrinkToFit="0" vertical="bottom" wrapText="0"/>
    </xf>
    <xf borderId="0" fillId="6" fontId="12" numFmtId="0" xfId="0" applyAlignment="1" applyFont="1">
      <alignment vertical="bottom"/>
    </xf>
    <xf borderId="0" fillId="6" fontId="25" numFmtId="0" xfId="0" applyAlignment="1" applyFont="1">
      <alignment horizontal="center" readingOrder="0"/>
    </xf>
    <xf borderId="0" fillId="6" fontId="27" numFmtId="0" xfId="0" applyAlignment="1" applyFont="1">
      <alignment horizontal="center" readingOrder="0"/>
    </xf>
    <xf borderId="0" fillId="6" fontId="28" numFmtId="0" xfId="0" applyAlignment="1" applyFont="1">
      <alignment readingOrder="0" shrinkToFit="0" vertical="bottom" wrapText="0"/>
    </xf>
    <xf borderId="0" fillId="6" fontId="29" numFmtId="0" xfId="0" applyAlignment="1" applyFont="1">
      <alignment readingOrder="0" shrinkToFit="0" vertical="bottom" wrapText="0"/>
    </xf>
    <xf borderId="0" fillId="6" fontId="13" numFmtId="0" xfId="0" applyAlignment="1" applyFont="1">
      <alignment horizontal="center" vertical="bottom"/>
    </xf>
    <xf borderId="0" fillId="29" fontId="14" numFmtId="0" xfId="0" applyAlignment="1" applyFont="1">
      <alignment horizontal="center" readingOrder="0" vertical="bottom"/>
    </xf>
    <xf borderId="0" fillId="29" fontId="14" numFmtId="0" xfId="0" applyAlignment="1" applyFont="1">
      <alignment horizontal="center" vertical="bottom"/>
    </xf>
    <xf borderId="0" fillId="6" fontId="12" numFmtId="0" xfId="0" applyAlignment="1" applyFont="1">
      <alignment horizontal="center" readingOrder="0"/>
    </xf>
    <xf borderId="0" fillId="6" fontId="25" numFmtId="0" xfId="0" applyAlignment="1" applyFont="1">
      <alignment horizontal="center" readingOrder="0" shrinkToFit="0" vertical="bottom" wrapText="0"/>
    </xf>
    <xf borderId="0" fillId="29" fontId="4" numFmtId="0" xfId="0" applyAlignment="1" applyFont="1">
      <alignment horizontal="center" readingOrder="0" vertical="bottom"/>
    </xf>
    <xf borderId="0" fillId="7" fontId="14" numFmtId="0" xfId="0" applyAlignment="1" applyFon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0" fillId="6" fontId="9" numFmtId="0" xfId="0" applyAlignment="1" applyFont="1">
      <alignment readingOrder="0"/>
    </xf>
    <xf borderId="0" fillId="6" fontId="22" numFmtId="0" xfId="0" applyAlignment="1" applyFont="1">
      <alignment readingOrder="0"/>
    </xf>
    <xf borderId="0" fillId="6" fontId="2" numFmtId="0" xfId="0" applyAlignment="1" applyFont="1">
      <alignment horizontal="left" readingOrder="0"/>
    </xf>
    <xf borderId="0" fillId="6" fontId="30" numFmtId="0" xfId="0" applyAlignment="1" applyFont="1">
      <alignment horizontal="left" readingOrder="0"/>
    </xf>
    <xf borderId="0" fillId="6" fontId="9" numFmtId="0" xfId="0" applyAlignment="1" applyFont="1">
      <alignment horizontal="left" readingOrder="0"/>
    </xf>
    <xf borderId="0" fillId="7" fontId="14" numFmtId="0" xfId="0" applyAlignment="1" applyFont="1">
      <alignment horizontal="center" vertical="bottom"/>
    </xf>
    <xf borderId="0" fillId="6" fontId="31" numFmtId="0" xfId="0" applyAlignment="1" applyFont="1">
      <alignment readingOrder="0" shrinkToFit="0" vertical="bottom" wrapText="0"/>
    </xf>
    <xf borderId="0" fillId="6" fontId="29" numFmtId="0" xfId="0" applyAlignment="1" applyFont="1">
      <alignment horizontal="center" readingOrder="0" shrinkToFit="0" vertical="bottom" wrapText="0"/>
    </xf>
    <xf borderId="0" fillId="29" fontId="22" numFmtId="0" xfId="0" applyAlignment="1" applyFont="1">
      <alignment horizontal="left" readingOrder="0"/>
    </xf>
    <xf borderId="0" fillId="29" fontId="25" numFmtId="0" xfId="0" applyAlignment="1" applyFont="1">
      <alignment horizontal="center" readingOrder="0"/>
    </xf>
    <xf borderId="0" fillId="29" fontId="12" numFmtId="0" xfId="0" applyAlignment="1" applyFont="1">
      <alignment horizontal="left" readingOrder="0" vertical="bottom"/>
    </xf>
    <xf borderId="0" fillId="29" fontId="9" numFmtId="0" xfId="0" applyAlignment="1" applyFont="1">
      <alignment horizontal="center"/>
    </xf>
    <xf borderId="0" fillId="29" fontId="13" numFmtId="0" xfId="0" applyAlignment="1" applyFont="1">
      <alignment horizontal="center" readingOrder="0" vertical="bottom"/>
    </xf>
    <xf borderId="0" fillId="29" fontId="9" numFmtId="0" xfId="0" applyAlignment="1" applyFont="1">
      <alignment horizontal="center" readingOrder="0"/>
    </xf>
    <xf borderId="0" fillId="29" fontId="13" numFmtId="0" xfId="0" applyAlignment="1" applyFont="1">
      <alignment horizontal="center" vertical="bottom"/>
    </xf>
    <xf borderId="0" fillId="6" fontId="1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6" fontId="25" numFmtId="0" xfId="0" applyAlignment="1" applyFont="1">
      <alignment horizontal="center" vertical="bottom"/>
    </xf>
    <xf borderId="0" fillId="6" fontId="32" numFmtId="0" xfId="0" applyAlignment="1" applyFont="1">
      <alignment readingOrder="0"/>
    </xf>
    <xf borderId="0" fillId="6" fontId="11" numFmtId="0" xfId="0" applyAlignment="1" applyFont="1">
      <alignment horizontal="center" readingOrder="0" vertical="bottom"/>
    </xf>
    <xf borderId="0" fillId="6" fontId="33" numFmtId="0" xfId="0" applyAlignment="1" applyFont="1">
      <alignment horizontal="left" readingOrder="0" vertical="bottom"/>
    </xf>
    <xf borderId="0" fillId="6" fontId="11" numFmtId="3" xfId="0" applyAlignment="1" applyFont="1" applyNumberFormat="1">
      <alignment horizontal="center" readingOrder="0" vertical="bottom"/>
    </xf>
    <xf borderId="0" fillId="29" fontId="4" numFmtId="0" xfId="0" applyAlignment="1" applyFont="1">
      <alignment horizontal="center" readingOrder="0" vertical="bottom"/>
    </xf>
    <xf borderId="0" fillId="30" fontId="14" numFmtId="0" xfId="0" applyAlignment="1" applyFill="1" applyFont="1">
      <alignment horizontal="center" readingOrder="0" vertical="bottom"/>
    </xf>
    <xf borderId="0" fillId="30" fontId="4" numFmtId="0" xfId="0" applyAlignment="1" applyFont="1">
      <alignment horizontal="center" readingOrder="0" vertical="bottom"/>
    </xf>
    <xf borderId="0" fillId="6" fontId="34" numFmtId="0" xfId="0" applyAlignment="1" applyFont="1">
      <alignment horizontal="left" readingOrder="0" vertical="bottom"/>
    </xf>
    <xf borderId="0" fillId="6" fontId="4" numFmtId="0" xfId="0" applyAlignment="1" applyFont="1">
      <alignment vertical="bottom"/>
    </xf>
    <xf borderId="0" fillId="7" fontId="4" numFmtId="0" xfId="0" applyAlignment="1" applyFont="1">
      <alignment horizontal="center" readingOrder="0" vertical="bottom"/>
    </xf>
    <xf borderId="0" fillId="6" fontId="10" numFmtId="0" xfId="0" applyAlignment="1" applyFont="1">
      <alignment readingOrder="0"/>
    </xf>
    <xf borderId="0" fillId="6" fontId="35" numFmtId="0" xfId="0" applyAlignment="1" applyFont="1">
      <alignment horizontal="left" readingOrder="0"/>
    </xf>
    <xf borderId="0" fillId="31" fontId="9" numFmtId="0" xfId="0" applyAlignment="1" applyFill="1" applyFont="1">
      <alignment horizontal="center" readingOrder="0"/>
    </xf>
    <xf borderId="0" fillId="6" fontId="11" numFmtId="0" xfId="0" applyAlignment="1" applyFont="1">
      <alignment horizontal="center" vertical="bottom"/>
    </xf>
    <xf borderId="0" fillId="6" fontId="36" numFmtId="0" xfId="0" applyAlignment="1" applyFont="1">
      <alignment horizontal="center" vertical="bottom"/>
    </xf>
    <xf borderId="0" fillId="6" fontId="13" numFmtId="0" xfId="0" applyAlignment="1" applyFont="1">
      <alignment horizontal="center" readingOrder="0" vertical="bottom"/>
    </xf>
    <xf borderId="0" fillId="6" fontId="5" numFmtId="0" xfId="0" applyAlignment="1" applyFont="1">
      <alignment horizontal="left" readingOrder="0"/>
    </xf>
    <xf borderId="0" fillId="6" fontId="13" numFmtId="0" xfId="0" applyAlignment="1" applyFont="1">
      <alignment horizontal="center" vertical="bottom"/>
    </xf>
    <xf borderId="0" fillId="6" fontId="34" numFmtId="0" xfId="0" applyAlignment="1" applyFont="1">
      <alignment horizontal="center" readingOrder="0" vertical="bottom"/>
    </xf>
    <xf borderId="0" fillId="6" fontId="37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0" fillId="7" fontId="4" numFmtId="0" xfId="0" applyAlignment="1" applyFont="1">
      <alignment horizontal="center" vertical="bottom"/>
    </xf>
    <xf borderId="0" fillId="6" fontId="38" numFmtId="0" xfId="0" applyAlignment="1" applyFont="1">
      <alignment horizontal="left" readingOrder="0"/>
    </xf>
    <xf borderId="0" fillId="6" fontId="25" numFmtId="0" xfId="0" applyAlignment="1" applyFont="1">
      <alignment horizontal="left" readingOrder="0" vertical="bottom"/>
    </xf>
    <xf borderId="0" fillId="6" fontId="15" numFmtId="0" xfId="0" applyAlignment="1" applyFont="1">
      <alignment horizontal="left" readingOrder="0"/>
    </xf>
    <xf borderId="0" fillId="6" fontId="11" numFmtId="0" xfId="0" applyAlignment="1" applyFont="1">
      <alignment vertical="bottom"/>
    </xf>
    <xf borderId="0" fillId="6" fontId="11" numFmtId="0" xfId="0" applyAlignment="1" applyFont="1">
      <alignment readingOrder="0" vertical="bottom"/>
    </xf>
    <xf borderId="0" fillId="7" fontId="11" numFmtId="0" xfId="0" applyAlignment="1" applyFont="1">
      <alignment horizontal="center" readingOrder="0" vertical="bottom"/>
    </xf>
    <xf borderId="0" fillId="6" fontId="13" numFmtId="0" xfId="0" applyAlignment="1" applyFont="1">
      <alignment vertical="bottom"/>
    </xf>
    <xf borderId="0" fillId="7" fontId="13" numFmtId="0" xfId="0" applyAlignment="1" applyFont="1">
      <alignment horizontal="center" readingOrder="0" vertical="bottom"/>
    </xf>
    <xf borderId="0" fillId="6" fontId="9" numFmtId="0" xfId="0" applyFont="1"/>
    <xf borderId="0" fillId="6" fontId="39" numFmtId="0" xfId="0" applyAlignment="1" applyFont="1">
      <alignment horizontal="center" readingOrder="0"/>
    </xf>
    <xf borderId="0" fillId="7" fontId="9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0" fillId="6" fontId="22" numFmtId="0" xfId="0" applyAlignment="1" applyFont="1">
      <alignment horizontal="center"/>
    </xf>
    <xf borderId="0" fillId="6" fontId="22" numFmtId="0" xfId="0" applyFont="1"/>
    <xf borderId="0" fillId="6" fontId="40" numFmtId="0" xfId="0" applyAlignment="1" applyFont="1">
      <alignment readingOrder="0"/>
    </xf>
    <xf borderId="0" fillId="6" fontId="40" numFmtId="0" xfId="0" applyAlignment="1" applyFont="1">
      <alignment horizontal="center" readingOrder="0"/>
    </xf>
    <xf borderId="0" fillId="6" fontId="40" numFmtId="0" xfId="0" applyAlignment="1" applyFont="1">
      <alignment horizontal="center"/>
    </xf>
    <xf borderId="0" fillId="6" fontId="40" numFmtId="0" xfId="0" applyFont="1"/>
    <xf borderId="0" fillId="7" fontId="40" numFmtId="0" xfId="0" applyAlignment="1" applyFont="1">
      <alignment horizontal="center" readingOrder="0"/>
    </xf>
    <xf borderId="0" fillId="6" fontId="4" numFmtId="0" xfId="0" applyAlignment="1" applyFont="1">
      <alignment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center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7" fontId="4" numFmtId="0" xfId="0" applyAlignment="1" applyFont="1">
      <alignment horizontal="center" shrinkToFit="0" vertical="bottom" wrapText="0"/>
    </xf>
    <xf borderId="0" fillId="6" fontId="4" numFmtId="0" xfId="0" applyAlignment="1" applyFont="1">
      <alignment readingOrder="0" vertical="bottom"/>
    </xf>
    <xf borderId="0" fillId="6" fontId="32" numFmtId="0" xfId="0" applyAlignment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6" fontId="4" numFmtId="0" xfId="0" applyAlignment="1" applyFont="1">
      <alignment vertical="bottom"/>
    </xf>
    <xf borderId="0" fillId="7" fontId="2" numFmtId="0" xfId="0" applyAlignment="1" applyFont="1">
      <alignment horizontal="center"/>
    </xf>
    <xf borderId="0" fillId="6" fontId="4" numFmtId="0" xfId="0" applyAlignment="1" applyFont="1">
      <alignment vertical="bottom"/>
    </xf>
    <xf borderId="0" fillId="6" fontId="4" numFmtId="0" xfId="0" applyAlignment="1" applyFont="1">
      <alignment horizontal="center" vertical="bottom"/>
    </xf>
    <xf borderId="0" fillId="6" fontId="41" numFmtId="0" xfId="0" applyAlignment="1" applyFont="1">
      <alignment horizontal="center" readingOrder="0"/>
    </xf>
    <xf borderId="2" fillId="6" fontId="42" numFmtId="0" xfId="0" applyAlignment="1" applyBorder="1" applyFont="1">
      <alignment horizontal="left" readingOrder="0" shrinkToFit="0" vertical="bottom" wrapText="0"/>
    </xf>
    <xf borderId="3" fillId="6" fontId="42" numFmtId="0" xfId="0" applyAlignment="1" applyBorder="1" applyFont="1">
      <alignment horizontal="left" shrinkToFit="0" vertical="bottom" wrapText="0"/>
    </xf>
    <xf borderId="3" fillId="6" fontId="42" numFmtId="0" xfId="0" applyAlignment="1" applyBorder="1" applyFont="1">
      <alignment horizontal="left" readingOrder="0" shrinkToFit="0" vertical="bottom" wrapText="0"/>
    </xf>
    <xf borderId="2" fillId="32" fontId="42" numFmtId="0" xfId="0" applyAlignment="1" applyBorder="1" applyFill="1" applyFont="1">
      <alignment horizontal="center" readingOrder="0" shrinkToFit="0" vertical="bottom" wrapText="0"/>
    </xf>
    <xf borderId="2" fillId="6" fontId="42" numFmtId="0" xfId="0" applyAlignment="1" applyBorder="1" applyFont="1">
      <alignment horizontal="center" readingOrder="0" shrinkToFit="0" vertical="bottom" wrapText="0"/>
    </xf>
    <xf borderId="2" fillId="6" fontId="42" numFmtId="0" xfId="0" applyAlignment="1" applyBorder="1" applyFont="1">
      <alignment horizontal="center" shrinkToFit="0" vertical="bottom" wrapText="0"/>
    </xf>
    <xf borderId="2" fillId="6" fontId="42" numFmtId="0" xfId="0" applyAlignment="1" applyBorder="1" applyFont="1">
      <alignment horizontal="left" shrinkToFit="0" vertical="bottom" wrapText="0"/>
    </xf>
    <xf borderId="2" fillId="6" fontId="42" numFmtId="0" xfId="0" applyAlignment="1" applyBorder="1" applyFont="1">
      <alignment horizontal="center" shrinkToFit="0" vertical="bottom" wrapText="0"/>
    </xf>
    <xf borderId="2" fillId="6" fontId="42" numFmtId="0" xfId="0" applyAlignment="1" applyBorder="1" applyFont="1">
      <alignment horizontal="left" shrinkToFit="0" vertical="bottom" wrapText="0"/>
    </xf>
    <xf borderId="2" fillId="33" fontId="42" numFmtId="0" xfId="0" applyAlignment="1" applyBorder="1" applyFill="1" applyFont="1">
      <alignment horizontal="center" shrinkToFit="0" vertical="bottom" wrapText="0"/>
    </xf>
    <xf borderId="2" fillId="6" fontId="42" numFmtId="0" xfId="0" applyAlignment="1" applyBorder="1" applyFont="1">
      <alignment horizontal="left" shrinkToFit="0" vertical="bottom" wrapText="0"/>
    </xf>
    <xf borderId="2" fillId="6" fontId="42" numFmtId="0" xfId="0" applyAlignment="1" applyBorder="1" applyFont="1">
      <alignment horizontal="center" shrinkToFit="0" vertical="bottom" wrapText="0"/>
    </xf>
    <xf borderId="2" fillId="6" fontId="42" numFmtId="0" xfId="0" applyAlignment="1" applyBorder="1" applyFont="1">
      <alignment horizontal="center" readingOrder="0" shrinkToFit="0" vertical="bottom" wrapText="0"/>
    </xf>
    <xf borderId="2" fillId="32" fontId="42" numFmtId="0" xfId="0" applyAlignment="1" applyBorder="1" applyFont="1">
      <alignment horizontal="center" shrinkToFit="0" vertical="bottom" wrapText="0"/>
    </xf>
    <xf borderId="0" fillId="0" fontId="18" numFmtId="0" xfId="0" applyAlignment="1" applyFont="1">
      <alignment horizontal="left" readingOrder="0"/>
    </xf>
    <xf borderId="0" fillId="0" fontId="12" numFmtId="0" xfId="0" applyAlignment="1" applyFont="1">
      <alignment horizontal="left" readingOrder="0" vertical="bottom"/>
    </xf>
    <xf borderId="0" fillId="0" fontId="20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9" numFmtId="14" xfId="0" applyAlignment="1" applyFont="1" applyNumberFormat="1">
      <alignment readingOrder="0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readingOrder="0"/>
    </xf>
    <xf borderId="0" fillId="8" fontId="9" numFmtId="0" xfId="0" applyAlignment="1" applyFont="1">
      <alignment readingOrder="0"/>
    </xf>
    <xf borderId="0" fillId="6" fontId="2" numFmtId="167" xfId="0" applyAlignment="1" applyFont="1" applyNumberFormat="1">
      <alignment readingOrder="0"/>
    </xf>
    <xf borderId="0" fillId="6" fontId="9" numFmtId="0" xfId="0" applyAlignment="1" applyFont="1">
      <alignment horizontal="right"/>
    </xf>
    <xf borderId="0" fillId="6" fontId="9" numFmtId="14" xfId="0" applyAlignment="1" applyFont="1" applyNumberFormat="1">
      <alignment readingOrder="0"/>
    </xf>
    <xf borderId="0" fillId="6" fontId="9" numFmtId="0" xfId="0" applyAlignment="1" applyFont="1">
      <alignment horizontal="right" readingOrder="0"/>
    </xf>
    <xf borderId="0" fillId="6" fontId="2" numFmtId="0" xfId="0" applyAlignment="1" applyFont="1">
      <alignment horizontal="left"/>
    </xf>
    <xf borderId="0" fillId="6" fontId="2" numFmtId="0" xfId="0" applyAlignment="1" applyFont="1">
      <alignment readingOrder="0"/>
    </xf>
    <xf borderId="0" fillId="6" fontId="9" numFmtId="0" xfId="0" applyAlignment="1" applyFont="1">
      <alignment horizontal="left"/>
    </xf>
    <xf borderId="0" fillId="6" fontId="9" numFmtId="0" xfId="0" applyAlignment="1" applyFont="1">
      <alignment horizontal="right"/>
    </xf>
    <xf borderId="0" fillId="6" fontId="43" numFmtId="0" xfId="0" applyAlignment="1" applyFont="1">
      <alignment horizontal="right" readingOrder="0"/>
    </xf>
    <xf borderId="0" fillId="6" fontId="39" numFmtId="0" xfId="0" applyAlignment="1" applyFont="1">
      <alignment horizontal="right" readingOrder="0"/>
    </xf>
    <xf borderId="0" fillId="0" fontId="15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4" fillId="30" fontId="23" numFmtId="0" xfId="0" applyAlignment="1" applyBorder="1" applyFont="1">
      <alignment readingOrder="0"/>
    </xf>
    <xf quotePrefix="1" borderId="0" fillId="0" fontId="9" numFmtId="0" xfId="0" applyAlignment="1" applyFont="1">
      <alignment readingOrder="0"/>
    </xf>
    <xf quotePrefix="1" borderId="0" fillId="0" fontId="9" numFmtId="0" xfId="0" applyAlignment="1" applyFont="1">
      <alignment horizontal="right" readingOrder="0"/>
    </xf>
    <xf borderId="0" fillId="0" fontId="2" numFmtId="168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29" fontId="2" numFmtId="167" xfId="0" applyAlignment="1" applyFont="1" applyNumberFormat="1">
      <alignment readingOrder="0"/>
    </xf>
    <xf borderId="0" fillId="29" fontId="9" numFmtId="0" xfId="0" applyAlignment="1" applyFont="1">
      <alignment readingOrder="0"/>
    </xf>
    <xf borderId="0" fillId="29" fontId="9" numFmtId="0" xfId="0" applyAlignment="1" applyFont="1">
      <alignment horizontal="right" readingOrder="0"/>
    </xf>
    <xf borderId="0" fillId="29" fontId="2" numFmtId="0" xfId="0" applyFont="1"/>
    <xf borderId="0" fillId="29" fontId="9" numFmtId="14" xfId="0" applyAlignment="1" applyFont="1" applyNumberFormat="1">
      <alignment readingOrder="0"/>
    </xf>
    <xf borderId="0" fillId="29" fontId="9" numFmtId="0" xfId="0" applyFont="1"/>
    <xf borderId="0" fillId="29" fontId="9" numFmtId="0" xfId="0" applyAlignment="1" applyFont="1">
      <alignment horizontal="left" readingOrder="0"/>
    </xf>
    <xf borderId="0" fillId="29" fontId="2" numFmtId="0" xfId="0" applyAlignment="1" applyFont="1">
      <alignment horizontal="left"/>
    </xf>
    <xf borderId="0" fillId="29" fontId="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29" fontId="9" numFmtId="0" xfId="0" applyAlignment="1" applyFont="1">
      <alignment horizontal="right"/>
    </xf>
    <xf borderId="0" fillId="29" fontId="9" numFmtId="0" xfId="0" applyAlignment="1" applyFont="1">
      <alignment horizontal="left"/>
    </xf>
    <xf borderId="0" fillId="6" fontId="13" numFmtId="164" xfId="0" applyAlignment="1" applyFont="1" applyNumberForma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6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lef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0" fillId="0" fontId="29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/>
    </xf>
    <xf borderId="0" fillId="0" fontId="2" numFmtId="1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166" xfId="0" applyAlignment="1" applyFont="1" applyNumberFormat="1">
      <alignment readingOrder="0"/>
    </xf>
    <xf borderId="0" fillId="24" fontId="2" numFmtId="0" xfId="0" applyFont="1"/>
    <xf borderId="0" fillId="20" fontId="2" numFmtId="0" xfId="0" applyAlignment="1" applyFont="1">
      <alignment horizontal="center" readingOrder="0"/>
    </xf>
    <xf borderId="0" fillId="6" fontId="44" numFmtId="0" xfId="0" applyAlignment="1" applyFont="1">
      <alignment horizontal="left" readingOrder="0"/>
    </xf>
    <xf borderId="0" fillId="6" fontId="13" numFmtId="0" xfId="0" applyAlignment="1" applyFont="1">
      <alignment readingOrder="0" vertical="bottom"/>
    </xf>
    <xf borderId="0" fillId="6" fontId="9" numFmtId="0" xfId="0" applyAlignment="1" applyFont="1">
      <alignment readingOrder="0"/>
    </xf>
    <xf borderId="5" fillId="6" fontId="25" numFmtId="0" xfId="0" applyAlignment="1" applyBorder="1" applyFont="1">
      <alignment horizontal="center" readingOrder="0" vertical="bottom"/>
    </xf>
    <xf borderId="0" fillId="6" fontId="2" numFmtId="0" xfId="0" applyAlignment="1" applyFont="1">
      <alignment horizontal="right" readingOrder="0"/>
    </xf>
    <xf borderId="0" fillId="6" fontId="13" numFmtId="0" xfId="0" applyAlignment="1" applyFont="1">
      <alignment readingOrder="0" vertical="bottom"/>
    </xf>
    <xf borderId="6" fillId="6" fontId="25" numFmtId="0" xfId="0" applyAlignment="1" applyBorder="1" applyFont="1">
      <alignment horizontal="center" readingOrder="0" vertical="bottom"/>
    </xf>
    <xf borderId="0" fillId="6" fontId="42" numFmtId="0" xfId="0" applyAlignment="1" applyFont="1">
      <alignment horizontal="center" readingOrder="0" shrinkToFit="0" vertical="bottom" wrapText="0"/>
    </xf>
    <xf borderId="0" fillId="6" fontId="42" numFmtId="0" xfId="0" applyAlignment="1" applyFont="1">
      <alignment horizontal="center" shrinkToFit="0" vertical="bottom" wrapText="0"/>
    </xf>
    <xf borderId="0" fillId="6" fontId="13" numFmtId="0" xfId="0" applyAlignment="1" applyFont="1">
      <alignment horizontal="right" readingOrder="0" vertical="bottom"/>
    </xf>
    <xf borderId="0" fillId="6" fontId="22" numFmtId="0" xfId="0" applyAlignment="1" applyFont="1">
      <alignment horizontal="right" readingOrder="0"/>
    </xf>
    <xf borderId="0" fillId="6" fontId="25" numFmtId="0" xfId="0" applyAlignment="1" applyFont="1">
      <alignment readingOrder="0" vertical="bottom"/>
    </xf>
    <xf borderId="0" fillId="6" fontId="25" numFmtId="0" xfId="0" applyAlignment="1" applyFont="1">
      <alignment vertical="bottom"/>
    </xf>
    <xf borderId="0" fillId="34" fontId="45" numFmtId="0" xfId="0" applyAlignment="1" applyFill="1" applyFont="1">
      <alignment readingOrder="0"/>
    </xf>
    <xf borderId="0" fillId="34" fontId="2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6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top"/>
    </xf>
    <xf borderId="0" fillId="6" fontId="13" numFmtId="49" xfId="0" applyAlignment="1" applyFont="1" applyNumberFormat="1">
      <alignment vertical="bottom"/>
    </xf>
    <xf borderId="7" fillId="0" fontId="46" numFmtId="0" xfId="0" applyAlignment="1" applyBorder="1" applyFont="1">
      <alignment horizontal="center"/>
    </xf>
    <xf borderId="8" fillId="0" fontId="46" numFmtId="0" xfId="0" applyAlignment="1" applyBorder="1" applyFont="1">
      <alignment horizontal="center" readingOrder="0"/>
    </xf>
    <xf borderId="9" fillId="0" fontId="46" numFmtId="0" xfId="0" applyAlignment="1" applyBorder="1" applyFont="1">
      <alignment horizontal="center" readingOrder="0"/>
    </xf>
    <xf borderId="10" fillId="0" fontId="2" numFmtId="167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0" fontId="2" numFmtId="14" xfId="0" applyAlignment="1" applyBorder="1" applyFont="1" applyNumberFormat="1">
      <alignment readingOrder="0"/>
    </xf>
    <xf borderId="11" fillId="0" fontId="2" numFmtId="0" xfId="0" applyBorder="1" applyFont="1"/>
    <xf borderId="12" fillId="0" fontId="2" numFmtId="0" xfId="0" applyAlignment="1" applyBorder="1" applyFont="1">
      <alignment readingOrder="0"/>
    </xf>
    <xf borderId="0" fillId="0" fontId="47" numFmtId="0" xfId="0" applyAlignment="1" applyFont="1">
      <alignment horizontal="center"/>
    </xf>
    <xf borderId="12" fillId="0" fontId="2" numFmtId="0" xfId="0" applyBorder="1" applyFont="1"/>
    <xf borderId="0" fillId="0" fontId="11" numFmtId="0" xfId="0" applyAlignment="1" applyFont="1">
      <alignment vertical="bottom"/>
    </xf>
    <xf borderId="0" fillId="8" fontId="13" numFmtId="0" xfId="0" applyAlignment="1" applyFont="1">
      <alignment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4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4-BABY FRAMES SHEET-Order-style">
      <tableStyleElement dxfId="6" type="headerRow"/>
      <tableStyleElement dxfId="7" type="firstRowStripe"/>
      <tableStyleElement dxfId="2" type="secondRowStripe"/>
    </tableStyle>
    <tableStyle count="3" pivot="0" name="Detail3-BABY FRAMES SHEET-Inwar-style">
      <tableStyleElement dxfId="6" type="headerRow"/>
      <tableStyleElement dxfId="7" type="firstRowStripe"/>
      <tableStyleElement dxfId="2" type="secondRowStripe"/>
    </tableStyle>
    <tableStyle count="3" pivot="0" name="Detail2-CK1145SK_975_59-Inwarde-style">
      <tableStyleElement dxfId="6" type="headerRow"/>
      <tableStyleElement dxfId="7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ye Hospital Sharma" id="{96708a22-a6e5-439e-89d3-cc80f195594a}" providerId="google-sheets"/>
  <x18tc:person displayName="Ramesh Sharma" id="{959e6f1c-4a64-452d-8e1f-81b05ba7506a}" providerId="google-sheets"/>
</x18tc:personList>
</file>

<file path=xl/tables/table1.xml><?xml version="1.0" encoding="utf-8"?>
<table xmlns="http://schemas.openxmlformats.org/spreadsheetml/2006/main" headerRowCount="0" ref="A1:B1" displayName="Form_Responses1" name="Form_Responses1" id="1">
  <tableColumns count="2">
    <tableColumn name="Column1" id="1"/>
    <tableColumn name="Column2" id="2"/>
  </tableColumns>
  <tableStyleInfo name="Form Responses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3" displayName="Table_1" name="Table_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etail4-BABY FRAMES SHEET-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R1" displayName="Table_2" name="Table_2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etail3-BABY FRAMES SHEET-Inw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R3" displayName="Table_3" name="Table_3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etail2-CK1145SK_975_59-Inward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9-05-15T06:44:17.00" personId="{959e6f1c-4a64-452d-8e1f-81b05ba7506a}" id="{725e1269-7976-4f1a-ba23-9221e0486afb}" done="0">
    <x18tc:text xml:space="preserve">mismatch due to unverified entry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440" dT="2018-01-10T11:00:32.00" personId="{96708a22-a6e5-439e-89d3-cc80f195594a}" id="{fc8c83e0-fdff-4516-a55f-a0aebe0d222f}" done="0">
    <x18tc:text xml:space="preserve">SM127506519</x18tc:text>
  </x18tc:threadedComment>
  <x18tc:threadedComment ref="A2893" dT="2018-11-13T12:27:48.00" personId="{96708a22-a6e5-439e-89d3-cc80f195594a}" id="{5416cf60-35e2-41bb-85f3-a8551458e779}" done="0">
    <x18tc:text xml:space="preserve">To be cehcked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4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6.13"/>
    <col customWidth="1" min="3" max="3" width="4.63"/>
    <col customWidth="1" min="4" max="4" width="10.5"/>
    <col customWidth="1" min="5" max="5" width="7.63"/>
    <col customWidth="1" min="6" max="6" width="8.0"/>
    <col customWidth="1" min="7" max="7" width="6.75"/>
    <col customWidth="1" min="8" max="8" width="5.5"/>
    <col customWidth="1" min="9" max="9" width="7.13"/>
    <col customWidth="1" min="10" max="10" width="7.25"/>
  </cols>
  <sheetData>
    <row r="1">
      <c r="A1" s="3"/>
      <c r="B1" s="3" t="s">
        <v>2</v>
      </c>
      <c r="E1" s="3" t="s">
        <v>3</v>
      </c>
      <c r="F1" s="3" t="s">
        <v>4</v>
      </c>
      <c r="G1" s="3" t="s">
        <v>5</v>
      </c>
    </row>
    <row r="2">
      <c r="A2" s="5" t="s">
        <v>6</v>
      </c>
      <c r="B2" s="3" t="s">
        <v>7</v>
      </c>
    </row>
    <row r="3">
      <c r="A3" s="6" t="s">
        <v>8</v>
      </c>
      <c r="B3" s="6">
        <v>8.0</v>
      </c>
      <c r="C3" s="6"/>
      <c r="E3" s="6"/>
      <c r="F3" s="7"/>
      <c r="G3" s="7"/>
    </row>
    <row r="4">
      <c r="A4" s="6">
        <v>-0.25</v>
      </c>
      <c r="B4" s="6">
        <v>3.0</v>
      </c>
      <c r="C4" s="7"/>
      <c r="D4" s="8"/>
      <c r="E4" s="7"/>
      <c r="F4" s="7"/>
      <c r="G4" s="7"/>
    </row>
    <row r="5">
      <c r="A5" s="6">
        <v>-0.5</v>
      </c>
      <c r="B5" s="6">
        <v>5.0</v>
      </c>
      <c r="C5" s="7"/>
      <c r="D5" s="7"/>
      <c r="E5" s="7"/>
      <c r="F5" s="7"/>
      <c r="G5" s="7"/>
    </row>
    <row r="6">
      <c r="A6" s="6">
        <v>-0.75</v>
      </c>
      <c r="B6" s="6">
        <v>4.0</v>
      </c>
      <c r="C6" s="7"/>
      <c r="D6" s="7"/>
      <c r="E6" s="7"/>
      <c r="F6" s="7"/>
      <c r="G6" s="7"/>
    </row>
    <row r="7">
      <c r="A7" s="6">
        <v>-1.0</v>
      </c>
      <c r="B7" s="6">
        <v>3.0</v>
      </c>
      <c r="C7" s="7"/>
      <c r="D7" s="7"/>
      <c r="E7" s="7"/>
      <c r="F7" s="7"/>
      <c r="G7" s="7"/>
    </row>
    <row r="8">
      <c r="A8" s="6">
        <v>-125.0</v>
      </c>
      <c r="B8" s="6">
        <v>6.0</v>
      </c>
      <c r="C8" s="7"/>
      <c r="D8" s="7"/>
      <c r="E8" s="7"/>
      <c r="F8" s="7"/>
      <c r="G8" s="7"/>
    </row>
    <row r="9">
      <c r="A9" s="6">
        <v>-1.5</v>
      </c>
      <c r="B9" s="6">
        <v>4.0</v>
      </c>
      <c r="C9" s="7"/>
      <c r="D9" s="7"/>
      <c r="E9" s="7"/>
      <c r="F9" s="7"/>
      <c r="G9" s="7"/>
    </row>
    <row r="10">
      <c r="A10" s="6">
        <v>-1.75</v>
      </c>
      <c r="B10" s="6">
        <v>6.0</v>
      </c>
      <c r="C10" s="7"/>
      <c r="D10" s="7"/>
      <c r="E10" s="7"/>
      <c r="F10" s="7"/>
      <c r="G10" s="7"/>
    </row>
    <row r="11">
      <c r="A11" s="6">
        <v>-2.0</v>
      </c>
      <c r="B11" s="6">
        <v>5.0</v>
      </c>
      <c r="C11" s="7"/>
      <c r="D11" s="7"/>
      <c r="E11" s="7"/>
      <c r="F11" s="7"/>
      <c r="G11" s="7"/>
    </row>
    <row r="12">
      <c r="A12" s="6">
        <v>-2.25</v>
      </c>
      <c r="B12" s="6">
        <v>9.0</v>
      </c>
      <c r="C12" s="7"/>
      <c r="D12" s="7"/>
      <c r="E12" s="7"/>
      <c r="F12" s="7"/>
      <c r="G12" s="7"/>
    </row>
    <row r="13">
      <c r="A13" s="6">
        <v>-2.5</v>
      </c>
      <c r="B13" s="6">
        <v>3.0</v>
      </c>
      <c r="C13" s="7"/>
      <c r="D13" s="7"/>
      <c r="E13" s="7"/>
      <c r="F13" s="7"/>
      <c r="G13" s="7"/>
    </row>
    <row r="14">
      <c r="A14" s="6">
        <v>-2.75</v>
      </c>
      <c r="B14" s="6">
        <v>3.0</v>
      </c>
      <c r="C14" s="7"/>
      <c r="D14" s="7"/>
      <c r="E14" s="7"/>
      <c r="F14" s="7"/>
      <c r="G14" s="7"/>
    </row>
    <row r="15">
      <c r="A15" s="6">
        <v>-300.0</v>
      </c>
      <c r="B15" s="6">
        <v>3.0</v>
      </c>
      <c r="C15" s="7"/>
      <c r="D15" s="7"/>
      <c r="E15" s="7"/>
      <c r="F15" s="7"/>
      <c r="G15" s="7"/>
    </row>
    <row r="16">
      <c r="A16" s="6">
        <v>-3.5</v>
      </c>
      <c r="B16" s="6">
        <v>1.0</v>
      </c>
      <c r="C16" s="7"/>
      <c r="D16" s="7"/>
      <c r="E16" s="7"/>
      <c r="F16" s="7"/>
      <c r="G16" s="7"/>
    </row>
    <row r="17">
      <c r="A17" s="6">
        <v>-4.0</v>
      </c>
      <c r="B17" s="6">
        <v>1.0</v>
      </c>
      <c r="C17" s="7"/>
      <c r="D17" s="7"/>
      <c r="E17" s="7"/>
      <c r="F17" s="7"/>
      <c r="G17" s="7"/>
    </row>
    <row r="18">
      <c r="A18" s="6">
        <v>-4.5</v>
      </c>
      <c r="B18" s="6">
        <v>1.0</v>
      </c>
      <c r="C18" s="7"/>
      <c r="D18" s="7"/>
      <c r="E18" s="7"/>
      <c r="F18" s="7"/>
      <c r="G18" s="7"/>
    </row>
    <row r="19">
      <c r="A19" s="6">
        <v>-5.25</v>
      </c>
      <c r="B19" s="6">
        <v>1.0</v>
      </c>
      <c r="C19" s="7"/>
      <c r="D19" s="7"/>
      <c r="E19" s="7"/>
      <c r="F19" s="7"/>
      <c r="G19" s="7"/>
    </row>
    <row r="20">
      <c r="A20" s="6">
        <v>-7.0</v>
      </c>
      <c r="B20" s="6">
        <v>1.0</v>
      </c>
      <c r="C20" s="7"/>
      <c r="D20" s="7"/>
      <c r="E20" s="7"/>
      <c r="F20" s="7"/>
      <c r="G20" s="7"/>
    </row>
    <row r="21">
      <c r="A21" s="6">
        <v>-10.0</v>
      </c>
      <c r="B21" s="6">
        <v>2.0</v>
      </c>
      <c r="C21" s="7"/>
      <c r="D21" s="7"/>
      <c r="E21" s="7"/>
      <c r="F21" s="7"/>
      <c r="G21" s="7"/>
    </row>
    <row r="22">
      <c r="A22" s="6">
        <v>-12.0</v>
      </c>
      <c r="B22" s="6">
        <v>2.0</v>
      </c>
      <c r="C22" s="7"/>
      <c r="D22" s="7"/>
      <c r="E22" s="6" t="s">
        <v>9</v>
      </c>
      <c r="F22" s="7"/>
      <c r="G22" s="7"/>
    </row>
    <row r="23">
      <c r="A23" s="10" t="s">
        <v>10</v>
      </c>
      <c r="B23" s="6" t="s">
        <v>11</v>
      </c>
      <c r="C23" s="7"/>
      <c r="D23" s="6" t="s">
        <v>12</v>
      </c>
      <c r="E23" s="7"/>
      <c r="F23" s="7"/>
      <c r="G23" s="7"/>
    </row>
    <row r="24">
      <c r="A24" s="6" t="s">
        <v>13</v>
      </c>
      <c r="B24" s="6">
        <v>11.0</v>
      </c>
      <c r="C24" s="7"/>
      <c r="D24" s="7"/>
      <c r="E24" s="7"/>
      <c r="F24" s="7"/>
      <c r="G24" s="7"/>
    </row>
    <row r="25">
      <c r="A25" s="6" t="s">
        <v>14</v>
      </c>
      <c r="B25" s="6">
        <v>3.0</v>
      </c>
      <c r="C25" s="7"/>
      <c r="D25" s="6">
        <v>2.0</v>
      </c>
      <c r="E25" s="6">
        <v>4.0</v>
      </c>
      <c r="F25" s="7"/>
      <c r="G25" s="7"/>
    </row>
    <row r="26">
      <c r="A26" s="6">
        <v>-0.75</v>
      </c>
      <c r="B26" s="6">
        <v>4.0</v>
      </c>
      <c r="C26" s="7"/>
      <c r="D26" s="7"/>
      <c r="E26" s="7"/>
      <c r="F26" s="6"/>
      <c r="G26" s="6">
        <v>4.0</v>
      </c>
    </row>
    <row r="27">
      <c r="A27" s="6">
        <v>-1.0</v>
      </c>
      <c r="B27" s="6">
        <v>7.0</v>
      </c>
      <c r="C27" s="7"/>
      <c r="D27" s="7"/>
      <c r="E27" s="7"/>
      <c r="F27" s="7"/>
      <c r="G27" s="7"/>
    </row>
    <row r="28">
      <c r="A28" s="6">
        <v>-1.25</v>
      </c>
      <c r="B28" s="6">
        <v>4.0</v>
      </c>
      <c r="C28" s="7"/>
      <c r="D28" s="7"/>
      <c r="E28" s="7"/>
      <c r="F28" s="7"/>
      <c r="G28" s="7"/>
    </row>
    <row r="29">
      <c r="A29" s="6">
        <v>-1.5</v>
      </c>
      <c r="B29" s="6">
        <v>4.0</v>
      </c>
      <c r="C29" s="7"/>
      <c r="D29" s="6">
        <v>1.0</v>
      </c>
      <c r="E29" s="7"/>
      <c r="F29" s="7"/>
      <c r="G29" s="7"/>
    </row>
    <row r="30">
      <c r="A30" s="6">
        <v>-1.75</v>
      </c>
      <c r="B30" s="6">
        <v>18.0</v>
      </c>
      <c r="C30" s="7"/>
      <c r="D30" s="7"/>
      <c r="E30" s="7"/>
      <c r="F30" s="7"/>
      <c r="G30" s="7"/>
    </row>
    <row r="31">
      <c r="A31" s="6">
        <v>-2.0</v>
      </c>
      <c r="B31" s="6">
        <v>4.0</v>
      </c>
      <c r="C31" s="7"/>
      <c r="D31" s="7"/>
      <c r="E31" s="7"/>
      <c r="F31" s="7"/>
      <c r="G31" s="7"/>
    </row>
    <row r="32">
      <c r="A32" s="6">
        <v>-2.25</v>
      </c>
      <c r="B32" s="6">
        <v>4.0</v>
      </c>
      <c r="C32" s="7"/>
      <c r="D32" s="7"/>
      <c r="E32" s="7"/>
      <c r="F32" s="7"/>
      <c r="G32" s="7"/>
    </row>
    <row r="33">
      <c r="A33" s="3">
        <v>-2.75</v>
      </c>
      <c r="B33" s="3">
        <v>4.0</v>
      </c>
    </row>
    <row r="34">
      <c r="A34" s="3">
        <v>-3.0</v>
      </c>
      <c r="B34" s="3">
        <v>3.0</v>
      </c>
    </row>
    <row r="35">
      <c r="A35" s="3">
        <v>-5.5</v>
      </c>
      <c r="B35" s="3">
        <v>1.0</v>
      </c>
    </row>
    <row r="36">
      <c r="A36" s="11" t="s">
        <v>15</v>
      </c>
      <c r="B36" s="3" t="s">
        <v>11</v>
      </c>
      <c r="F36" s="12"/>
    </row>
    <row r="37">
      <c r="A37" s="3" t="s">
        <v>16</v>
      </c>
    </row>
    <row r="38">
      <c r="A38" s="3" t="s">
        <v>17</v>
      </c>
    </row>
    <row r="39">
      <c r="A39" s="3" t="s">
        <v>18</v>
      </c>
      <c r="B39" s="3">
        <v>1.0</v>
      </c>
    </row>
    <row r="40">
      <c r="A40" s="3" t="s">
        <v>19</v>
      </c>
      <c r="B40" s="3">
        <v>1.0</v>
      </c>
    </row>
    <row r="41">
      <c r="A41" s="3" t="s">
        <v>20</v>
      </c>
    </row>
    <row r="42">
      <c r="A42" s="3" t="s">
        <v>21</v>
      </c>
    </row>
    <row r="43">
      <c r="A43" s="3" t="s">
        <v>22</v>
      </c>
      <c r="B43" s="3">
        <v>2.0</v>
      </c>
    </row>
    <row r="44">
      <c r="A44" s="3" t="s">
        <v>23</v>
      </c>
      <c r="B44" s="3">
        <v>2.0</v>
      </c>
    </row>
    <row r="45">
      <c r="A45" s="3" t="s">
        <v>24</v>
      </c>
      <c r="B45" s="3">
        <v>2.0</v>
      </c>
    </row>
    <row r="46">
      <c r="A46" s="3" t="s">
        <v>25</v>
      </c>
      <c r="B46" s="3">
        <v>2.0</v>
      </c>
    </row>
    <row r="47">
      <c r="A47" s="3" t="s">
        <v>26</v>
      </c>
      <c r="B47" s="3">
        <v>1.0</v>
      </c>
    </row>
    <row r="48">
      <c r="A48" s="3" t="s">
        <v>27</v>
      </c>
      <c r="B48" s="3">
        <v>1.0</v>
      </c>
    </row>
    <row r="49">
      <c r="A49" s="3" t="s">
        <v>28</v>
      </c>
      <c r="B49" s="3">
        <v>1.0</v>
      </c>
    </row>
    <row r="50">
      <c r="A50" s="3" t="s">
        <v>29</v>
      </c>
      <c r="B50" s="3">
        <v>1.0</v>
      </c>
    </row>
    <row r="51">
      <c r="A51" s="3" t="s">
        <v>30</v>
      </c>
      <c r="B51" s="3">
        <v>1.0</v>
      </c>
    </row>
    <row r="52">
      <c r="A52" s="3" t="s">
        <v>31</v>
      </c>
      <c r="B52" s="3">
        <v>1.0</v>
      </c>
    </row>
    <row r="53">
      <c r="A53" s="3" t="s">
        <v>32</v>
      </c>
      <c r="B53" s="3">
        <v>1.0</v>
      </c>
    </row>
    <row r="54">
      <c r="A54" s="3" t="s">
        <v>33</v>
      </c>
      <c r="B54" s="3">
        <v>1.0</v>
      </c>
    </row>
    <row r="55">
      <c r="A55" s="3" t="s">
        <v>34</v>
      </c>
      <c r="B55" s="3">
        <v>2.0</v>
      </c>
    </row>
    <row r="56">
      <c r="A56" s="3" t="s">
        <v>35</v>
      </c>
      <c r="B56" s="3">
        <v>2.0</v>
      </c>
    </row>
    <row r="57">
      <c r="A57" s="3" t="s">
        <v>36</v>
      </c>
      <c r="B57" s="3">
        <v>0.0</v>
      </c>
    </row>
    <row r="58">
      <c r="A58" s="3" t="s">
        <v>37</v>
      </c>
      <c r="B58" s="3">
        <v>1.0</v>
      </c>
    </row>
    <row r="59">
      <c r="A59" s="3" t="s">
        <v>38</v>
      </c>
      <c r="B59" s="3">
        <v>1.0</v>
      </c>
    </row>
    <row r="60">
      <c r="A60" s="3" t="s">
        <v>39</v>
      </c>
      <c r="B60" s="3">
        <v>1.0</v>
      </c>
    </row>
    <row r="61">
      <c r="A61" s="3" t="s">
        <v>40</v>
      </c>
      <c r="B61" s="3">
        <v>1.0</v>
      </c>
    </row>
    <row r="62">
      <c r="A62" s="3" t="s">
        <v>41</v>
      </c>
      <c r="B62" s="3">
        <v>3.0</v>
      </c>
    </row>
    <row r="63">
      <c r="A63" s="3" t="s">
        <v>42</v>
      </c>
      <c r="B63" s="3">
        <v>1.0</v>
      </c>
    </row>
    <row r="64">
      <c r="A64" s="3" t="s">
        <v>43</v>
      </c>
      <c r="B64" s="3">
        <v>2.0</v>
      </c>
    </row>
    <row r="65">
      <c r="A65" s="3" t="s">
        <v>44</v>
      </c>
      <c r="B65" s="3">
        <v>2.0</v>
      </c>
    </row>
    <row r="66">
      <c r="A66" s="3" t="s">
        <v>45</v>
      </c>
      <c r="B66" s="3">
        <v>1.0</v>
      </c>
    </row>
    <row r="67">
      <c r="A67" s="3" t="s">
        <v>46</v>
      </c>
      <c r="B67" s="3">
        <v>0.0</v>
      </c>
    </row>
    <row r="68">
      <c r="A68" s="3" t="s">
        <v>47</v>
      </c>
      <c r="B68" s="3">
        <v>0.0</v>
      </c>
    </row>
    <row r="69">
      <c r="A69" s="3" t="s">
        <v>48</v>
      </c>
      <c r="B69" s="3">
        <v>1.0</v>
      </c>
    </row>
    <row r="70">
      <c r="A70" s="3" t="s">
        <v>49</v>
      </c>
      <c r="B70" s="3">
        <v>1.0</v>
      </c>
    </row>
    <row r="71">
      <c r="A71" s="3" t="s">
        <v>50</v>
      </c>
      <c r="B71" s="3">
        <v>0.0</v>
      </c>
    </row>
    <row r="72">
      <c r="A72" s="3" t="s">
        <v>51</v>
      </c>
      <c r="B72" s="3">
        <v>0.0</v>
      </c>
    </row>
    <row r="73">
      <c r="A73" s="3" t="s">
        <v>52</v>
      </c>
      <c r="B73" s="3">
        <v>3.0</v>
      </c>
    </row>
    <row r="74">
      <c r="A74" s="3" t="s">
        <v>53</v>
      </c>
      <c r="B74" s="3">
        <v>2.0</v>
      </c>
    </row>
    <row r="75">
      <c r="A75" s="3" t="s">
        <v>54</v>
      </c>
      <c r="B75" s="3">
        <v>1.0</v>
      </c>
    </row>
    <row r="76">
      <c r="A76" s="3" t="s">
        <v>55</v>
      </c>
      <c r="B76" s="3">
        <v>1.0</v>
      </c>
    </row>
    <row r="77">
      <c r="A77" s="3" t="s">
        <v>56</v>
      </c>
      <c r="B77" s="3">
        <v>1.0</v>
      </c>
    </row>
    <row r="78">
      <c r="A78" s="3" t="s">
        <v>57</v>
      </c>
      <c r="B78" s="3">
        <v>1.0</v>
      </c>
    </row>
    <row r="79">
      <c r="A79" s="3" t="s">
        <v>58</v>
      </c>
      <c r="B79" s="3">
        <v>1.0</v>
      </c>
    </row>
    <row r="80">
      <c r="A80" s="3" t="s">
        <v>59</v>
      </c>
      <c r="B80" s="3">
        <v>1.0</v>
      </c>
    </row>
    <row r="81">
      <c r="A81" s="3" t="s">
        <v>60</v>
      </c>
      <c r="B81" s="3">
        <v>6.0</v>
      </c>
    </row>
    <row r="82">
      <c r="A82" s="3" t="s">
        <v>61</v>
      </c>
      <c r="B82" s="3">
        <v>1.0</v>
      </c>
    </row>
    <row r="83">
      <c r="A83" s="3" t="s">
        <v>62</v>
      </c>
      <c r="B83" s="3">
        <v>2.0</v>
      </c>
    </row>
    <row r="84">
      <c r="A84" s="3" t="s">
        <v>63</v>
      </c>
      <c r="B84" s="3">
        <v>2.0</v>
      </c>
    </row>
    <row r="85">
      <c r="A85" s="3" t="s">
        <v>64</v>
      </c>
      <c r="B85" s="3">
        <v>1.0</v>
      </c>
    </row>
    <row r="86">
      <c r="A86" s="3" t="s">
        <v>65</v>
      </c>
      <c r="B86" s="3">
        <v>5.0</v>
      </c>
    </row>
    <row r="87">
      <c r="A87" s="3" t="s">
        <v>66</v>
      </c>
      <c r="B87" s="3">
        <v>1.0</v>
      </c>
    </row>
    <row r="88">
      <c r="A88" s="3" t="s">
        <v>67</v>
      </c>
      <c r="B88" s="3">
        <v>2.0</v>
      </c>
    </row>
    <row r="89">
      <c r="A89" s="3" t="s">
        <v>68</v>
      </c>
      <c r="B89" s="3">
        <v>1.0</v>
      </c>
    </row>
    <row r="90">
      <c r="A90" s="3" t="s">
        <v>69</v>
      </c>
      <c r="B90" s="3">
        <v>1.0</v>
      </c>
    </row>
    <row r="91">
      <c r="A91" s="3" t="s">
        <v>70</v>
      </c>
      <c r="B91" s="3">
        <v>3.0</v>
      </c>
    </row>
    <row r="92">
      <c r="A92" s="3" t="s">
        <v>71</v>
      </c>
      <c r="B92" s="3">
        <v>3.0</v>
      </c>
    </row>
    <row r="93">
      <c r="A93" s="3" t="s">
        <v>72</v>
      </c>
      <c r="B93" s="3">
        <v>1.0</v>
      </c>
    </row>
    <row r="94">
      <c r="A94" s="3" t="s">
        <v>73</v>
      </c>
      <c r="B94" s="3">
        <v>6.0</v>
      </c>
    </row>
    <row r="95">
      <c r="A95" s="3" t="s">
        <v>74</v>
      </c>
      <c r="B95" s="3">
        <v>1.0</v>
      </c>
    </row>
    <row r="96">
      <c r="A96" s="3" t="s">
        <v>75</v>
      </c>
      <c r="B96" s="3">
        <v>4.0</v>
      </c>
    </row>
    <row r="97">
      <c r="A97" s="3" t="s">
        <v>76</v>
      </c>
      <c r="B97" s="3">
        <v>2.0</v>
      </c>
    </row>
    <row r="98">
      <c r="A98" s="3" t="s">
        <v>77</v>
      </c>
      <c r="B98" s="3">
        <v>2.0</v>
      </c>
    </row>
    <row r="99">
      <c r="A99" s="3" t="s">
        <v>78</v>
      </c>
      <c r="B99" s="3">
        <v>2.0</v>
      </c>
    </row>
    <row r="100">
      <c r="A100" s="3" t="s">
        <v>79</v>
      </c>
      <c r="B100" s="3">
        <v>1.0</v>
      </c>
    </row>
    <row r="101">
      <c r="A101" s="3" t="s">
        <v>80</v>
      </c>
      <c r="B101" s="3">
        <v>1.0</v>
      </c>
    </row>
    <row r="102">
      <c r="A102" s="3" t="s">
        <v>81</v>
      </c>
      <c r="B102" s="3">
        <v>0.0</v>
      </c>
    </row>
    <row r="103">
      <c r="A103" s="3" t="s">
        <v>82</v>
      </c>
      <c r="B103" s="3">
        <v>1.0</v>
      </c>
    </row>
    <row r="104">
      <c r="A104" s="3" t="s">
        <v>83</v>
      </c>
      <c r="B104" s="3">
        <v>0.0</v>
      </c>
    </row>
    <row r="105">
      <c r="A105" s="3" t="s">
        <v>84</v>
      </c>
      <c r="B105" s="3">
        <v>0.0</v>
      </c>
    </row>
    <row r="106">
      <c r="A106" s="3" t="s">
        <v>85</v>
      </c>
      <c r="B106" s="3">
        <v>8.0</v>
      </c>
    </row>
    <row r="107">
      <c r="A107" s="3" t="s">
        <v>86</v>
      </c>
      <c r="B107" s="3">
        <v>1.0</v>
      </c>
    </row>
    <row r="108">
      <c r="A108" s="3" t="s">
        <v>87</v>
      </c>
      <c r="B108" s="3">
        <v>5.0</v>
      </c>
    </row>
    <row r="109">
      <c r="A109" s="3" t="s">
        <v>88</v>
      </c>
      <c r="B109" s="3">
        <v>0.0</v>
      </c>
    </row>
    <row r="110">
      <c r="A110" s="3" t="s">
        <v>89</v>
      </c>
      <c r="B110" s="3">
        <v>2.0</v>
      </c>
    </row>
    <row r="111">
      <c r="A111" s="3" t="s">
        <v>90</v>
      </c>
      <c r="B111" s="3">
        <v>1.0</v>
      </c>
    </row>
    <row r="112">
      <c r="A112" s="3" t="s">
        <v>91</v>
      </c>
      <c r="B112" s="3">
        <v>6.0</v>
      </c>
    </row>
    <row r="113">
      <c r="A113" s="3" t="s">
        <v>92</v>
      </c>
      <c r="B113" s="3">
        <v>7.0</v>
      </c>
    </row>
    <row r="114">
      <c r="A114" s="3" t="s">
        <v>93</v>
      </c>
      <c r="B114" s="3">
        <v>1.0</v>
      </c>
    </row>
    <row r="115">
      <c r="A115" s="3" t="s">
        <v>94</v>
      </c>
      <c r="B115" s="3">
        <v>0.0</v>
      </c>
    </row>
    <row r="116">
      <c r="A116" s="3" t="s">
        <v>95</v>
      </c>
      <c r="B116" s="3">
        <v>6.0</v>
      </c>
    </row>
    <row r="117">
      <c r="A117" s="3" t="s">
        <v>96</v>
      </c>
      <c r="B117" s="3">
        <v>6.0</v>
      </c>
    </row>
    <row r="118">
      <c r="A118" s="3" t="s">
        <v>97</v>
      </c>
      <c r="B118" s="3">
        <v>3.0</v>
      </c>
    </row>
    <row r="119">
      <c r="A119" s="3" t="s">
        <v>98</v>
      </c>
      <c r="B119" s="3">
        <v>2.0</v>
      </c>
    </row>
    <row r="120">
      <c r="A120" s="3" t="s">
        <v>95</v>
      </c>
      <c r="B120" s="3">
        <v>6.0</v>
      </c>
    </row>
    <row r="121">
      <c r="A121" s="3" t="s">
        <v>99</v>
      </c>
      <c r="B121" s="3">
        <v>1.0</v>
      </c>
    </row>
    <row r="122">
      <c r="A122" s="3" t="s">
        <v>100</v>
      </c>
      <c r="B122" s="3">
        <v>1.0</v>
      </c>
    </row>
    <row r="123">
      <c r="A123" s="3" t="s">
        <v>101</v>
      </c>
      <c r="B123" s="3">
        <v>1.0</v>
      </c>
    </row>
    <row r="124">
      <c r="A124" s="3" t="s">
        <v>102</v>
      </c>
      <c r="B124" s="3">
        <v>7.0</v>
      </c>
    </row>
    <row r="125">
      <c r="A125" s="3" t="s">
        <v>103</v>
      </c>
      <c r="B125" s="3">
        <v>2.0</v>
      </c>
    </row>
    <row r="126">
      <c r="A126" s="3" t="s">
        <v>104</v>
      </c>
      <c r="B126" s="3">
        <v>1.0</v>
      </c>
    </row>
    <row r="127">
      <c r="A127" s="3" t="s">
        <v>105</v>
      </c>
      <c r="B127" s="3">
        <v>1.0</v>
      </c>
    </row>
    <row r="128">
      <c r="A128" s="3" t="s">
        <v>106</v>
      </c>
      <c r="B128" s="3">
        <v>2.0</v>
      </c>
    </row>
    <row r="129">
      <c r="A129" s="3" t="s">
        <v>107</v>
      </c>
      <c r="B129" s="3">
        <v>1.0</v>
      </c>
    </row>
    <row r="130">
      <c r="A130" s="3" t="s">
        <v>108</v>
      </c>
      <c r="B130" s="3">
        <v>1.0</v>
      </c>
    </row>
    <row r="131">
      <c r="A131" s="3" t="s">
        <v>109</v>
      </c>
      <c r="B131" s="3">
        <v>2.0</v>
      </c>
    </row>
    <row r="132">
      <c r="A132" s="3" t="s">
        <v>110</v>
      </c>
      <c r="B132" s="3">
        <v>1.0</v>
      </c>
    </row>
    <row r="133">
      <c r="A133" s="3" t="s">
        <v>111</v>
      </c>
      <c r="B133" s="3">
        <v>1.0</v>
      </c>
    </row>
    <row r="134">
      <c r="A134" s="3" t="s">
        <v>111</v>
      </c>
      <c r="B134" s="3">
        <v>1.0</v>
      </c>
    </row>
    <row r="135">
      <c r="A135" s="3" t="s">
        <v>112</v>
      </c>
      <c r="B135" s="3">
        <v>1.0</v>
      </c>
    </row>
    <row r="136">
      <c r="A136" s="3" t="s">
        <v>113</v>
      </c>
      <c r="B136" s="3">
        <v>2.0</v>
      </c>
    </row>
    <row r="137">
      <c r="A137" s="3" t="s">
        <v>114</v>
      </c>
      <c r="B137" s="3">
        <v>1.0</v>
      </c>
    </row>
    <row r="138">
      <c r="A138" s="3" t="s">
        <v>115</v>
      </c>
      <c r="B138" s="3">
        <v>3.0</v>
      </c>
    </row>
    <row r="139" ht="14.25" customHeight="1">
      <c r="A139" s="3" t="s">
        <v>116</v>
      </c>
      <c r="B139" s="3">
        <v>1.0</v>
      </c>
    </row>
    <row r="140" ht="14.25" customHeight="1">
      <c r="A140" s="3" t="s">
        <v>117</v>
      </c>
      <c r="B140" s="3">
        <v>1.0</v>
      </c>
    </row>
    <row r="141" ht="14.25" customHeight="1">
      <c r="A141" s="3" t="s">
        <v>118</v>
      </c>
      <c r="B141" s="3">
        <v>1.0</v>
      </c>
    </row>
    <row r="142" ht="14.25" customHeight="1">
      <c r="A142" s="3" t="s">
        <v>119</v>
      </c>
      <c r="B142" s="3">
        <v>1.0</v>
      </c>
    </row>
    <row r="143" ht="14.25" customHeight="1">
      <c r="A143" s="3" t="s">
        <v>120</v>
      </c>
      <c r="B143" s="3">
        <v>1.0</v>
      </c>
    </row>
    <row r="144" ht="14.25" customHeight="1">
      <c r="A144" s="3" t="s">
        <v>120</v>
      </c>
      <c r="B144" s="3">
        <v>1.0</v>
      </c>
    </row>
    <row r="145" ht="14.25" customHeight="1">
      <c r="A145" s="3" t="s">
        <v>121</v>
      </c>
      <c r="B145" s="3">
        <v>1.0</v>
      </c>
    </row>
    <row r="146" ht="14.25" customHeight="1">
      <c r="A146" s="3" t="s">
        <v>122</v>
      </c>
      <c r="B146" s="3">
        <v>1.0</v>
      </c>
    </row>
    <row r="147" ht="14.25" customHeight="1">
      <c r="A147" s="3" t="s">
        <v>123</v>
      </c>
      <c r="B147" s="3">
        <v>1.0</v>
      </c>
    </row>
    <row r="148" ht="14.25" customHeight="1">
      <c r="A148" s="3" t="s">
        <v>124</v>
      </c>
      <c r="B148" s="3">
        <v>1.0</v>
      </c>
    </row>
    <row r="149" ht="14.25" customHeight="1">
      <c r="A149" s="13" t="s">
        <v>125</v>
      </c>
      <c r="B149" s="3" t="s">
        <v>126</v>
      </c>
    </row>
    <row r="150" ht="14.25" customHeight="1">
      <c r="A150" s="3" t="s">
        <v>127</v>
      </c>
      <c r="B150" s="3">
        <v>1.0</v>
      </c>
    </row>
    <row r="151" ht="14.25" customHeight="1">
      <c r="A151" s="3" t="s">
        <v>128</v>
      </c>
      <c r="B151" s="3">
        <v>1.0</v>
      </c>
    </row>
    <row r="152" ht="14.25" customHeight="1">
      <c r="A152" s="3" t="s">
        <v>129</v>
      </c>
      <c r="B152" s="3">
        <v>1.0</v>
      </c>
    </row>
    <row r="153" ht="14.25" customHeight="1">
      <c r="A153" s="3" t="s">
        <v>130</v>
      </c>
      <c r="B153" s="3">
        <v>1.0</v>
      </c>
    </row>
    <row r="154" ht="14.25" customHeight="1">
      <c r="A154" s="3" t="s">
        <v>131</v>
      </c>
      <c r="B154" s="3">
        <v>1.0</v>
      </c>
    </row>
    <row r="155" ht="14.25" customHeight="1">
      <c r="A155" s="3" t="s">
        <v>132</v>
      </c>
      <c r="B155" s="3">
        <v>1.0</v>
      </c>
    </row>
    <row r="156" ht="14.25" customHeight="1">
      <c r="A156" s="3" t="s">
        <v>133</v>
      </c>
      <c r="B156" s="3">
        <v>1.0</v>
      </c>
    </row>
    <row r="157" ht="14.25" customHeight="1">
      <c r="A157" s="3" t="s">
        <v>134</v>
      </c>
      <c r="B157" s="3">
        <v>1.0</v>
      </c>
    </row>
    <row r="158" ht="14.25" customHeight="1">
      <c r="A158" s="14" t="s">
        <v>15</v>
      </c>
      <c r="B158" s="15"/>
      <c r="C158" s="16"/>
      <c r="D158" s="16"/>
      <c r="E158" s="16"/>
      <c r="F158" s="16"/>
      <c r="G158" s="16"/>
    </row>
    <row r="159" ht="14.25" customHeight="1">
      <c r="A159" s="15" t="s">
        <v>16</v>
      </c>
      <c r="B159" s="15">
        <v>1.0</v>
      </c>
      <c r="C159" s="16"/>
      <c r="D159" s="16"/>
      <c r="E159" s="16"/>
      <c r="F159" s="16"/>
      <c r="G159" s="16"/>
    </row>
    <row r="160" ht="14.25" customHeight="1">
      <c r="A160" s="15" t="s">
        <v>135</v>
      </c>
      <c r="B160" s="15">
        <v>1.0</v>
      </c>
      <c r="C160" s="16"/>
      <c r="D160" s="16"/>
      <c r="E160" s="16"/>
      <c r="F160" s="16"/>
      <c r="G160" s="16"/>
    </row>
    <row r="161">
      <c r="A161" s="17" t="s">
        <v>136</v>
      </c>
      <c r="B161" s="3" t="s">
        <v>12</v>
      </c>
    </row>
    <row r="162">
      <c r="A162" s="6">
        <v>-0.25</v>
      </c>
      <c r="B162" s="3">
        <v>6.0</v>
      </c>
    </row>
    <row r="163">
      <c r="A163" s="6">
        <v>-0.5</v>
      </c>
      <c r="B163" s="3">
        <v>7.0</v>
      </c>
      <c r="F163" s="3">
        <v>4.0</v>
      </c>
    </row>
    <row r="164">
      <c r="A164" s="6">
        <v>-0.75</v>
      </c>
      <c r="B164" s="3">
        <v>4.0</v>
      </c>
    </row>
    <row r="165">
      <c r="A165" s="6">
        <v>-1.0</v>
      </c>
      <c r="B165" s="3">
        <v>6.0</v>
      </c>
    </row>
    <row r="166">
      <c r="A166" s="6">
        <v>-1.25</v>
      </c>
      <c r="B166" s="3">
        <v>5.0</v>
      </c>
    </row>
    <row r="167">
      <c r="A167" s="6">
        <v>-1.5</v>
      </c>
      <c r="B167" s="3">
        <v>5.0</v>
      </c>
    </row>
    <row r="168">
      <c r="A168" s="6">
        <v>-1.75</v>
      </c>
      <c r="B168" s="3">
        <v>3.0</v>
      </c>
    </row>
    <row r="169">
      <c r="A169" s="6">
        <v>-2.0</v>
      </c>
      <c r="B169" s="3">
        <v>2.0</v>
      </c>
    </row>
    <row r="170">
      <c r="A170" s="6">
        <v>-2.25</v>
      </c>
      <c r="B170" s="3">
        <v>6.0</v>
      </c>
    </row>
    <row r="171">
      <c r="A171" s="6">
        <v>-2.5</v>
      </c>
      <c r="B171" s="3">
        <v>4.0</v>
      </c>
    </row>
    <row r="172">
      <c r="A172" s="6">
        <v>-2.75</v>
      </c>
      <c r="B172" s="3">
        <v>7.0</v>
      </c>
    </row>
    <row r="173">
      <c r="A173" s="6">
        <v>-3.0</v>
      </c>
      <c r="B173" s="3">
        <v>3.0</v>
      </c>
    </row>
    <row r="174">
      <c r="A174" s="6">
        <v>-3.25</v>
      </c>
      <c r="B174" s="3">
        <v>1.0</v>
      </c>
    </row>
    <row r="175">
      <c r="A175" s="6">
        <v>3.75</v>
      </c>
      <c r="B175" s="3">
        <v>1.0</v>
      </c>
    </row>
    <row r="176">
      <c r="A176" s="6"/>
      <c r="B176" s="3"/>
    </row>
    <row r="177">
      <c r="A177" s="18" t="s">
        <v>137</v>
      </c>
    </row>
    <row r="178">
      <c r="A178" s="6" t="s">
        <v>138</v>
      </c>
      <c r="B178" s="3">
        <v>3.0</v>
      </c>
    </row>
    <row r="179">
      <c r="A179" s="6" t="s">
        <v>139</v>
      </c>
      <c r="B179" s="3">
        <v>2.0</v>
      </c>
    </row>
    <row r="180">
      <c r="A180" s="6" t="s">
        <v>140</v>
      </c>
      <c r="B180" s="3">
        <v>3.0</v>
      </c>
    </row>
    <row r="181">
      <c r="A181" s="6" t="s">
        <v>141</v>
      </c>
      <c r="B181" s="3">
        <v>3.0</v>
      </c>
    </row>
    <row r="182">
      <c r="A182" s="6" t="s">
        <v>142</v>
      </c>
      <c r="B182" s="3">
        <v>3.0</v>
      </c>
    </row>
    <row r="183">
      <c r="A183" s="6" t="s">
        <v>143</v>
      </c>
      <c r="B183" s="3">
        <v>5.0</v>
      </c>
    </row>
    <row r="184">
      <c r="A184" s="6" t="s">
        <v>144</v>
      </c>
      <c r="B184" s="3">
        <v>3.0</v>
      </c>
    </row>
    <row r="185">
      <c r="A185" s="6" t="s">
        <v>145</v>
      </c>
      <c r="B185" s="3">
        <v>5.0</v>
      </c>
    </row>
    <row r="186">
      <c r="A186" s="6" t="s">
        <v>146</v>
      </c>
      <c r="B186" s="3">
        <v>6.0</v>
      </c>
    </row>
    <row r="187">
      <c r="A187" s="6" t="s">
        <v>147</v>
      </c>
      <c r="B187" s="3">
        <v>3.0</v>
      </c>
    </row>
    <row r="188">
      <c r="A188" s="6" t="s">
        <v>148</v>
      </c>
      <c r="B188" s="3">
        <v>4.0</v>
      </c>
    </row>
    <row r="189">
      <c r="A189" s="6" t="s">
        <v>149</v>
      </c>
      <c r="B189" s="3">
        <v>6.0</v>
      </c>
    </row>
    <row r="190">
      <c r="A190" s="6"/>
      <c r="B190" s="3"/>
    </row>
    <row r="191">
      <c r="A191" s="19" t="s">
        <v>15</v>
      </c>
      <c r="B191" s="3"/>
    </row>
    <row r="192">
      <c r="A192" s="6" t="s">
        <v>150</v>
      </c>
    </row>
    <row r="193">
      <c r="A193" s="6" t="s">
        <v>151</v>
      </c>
      <c r="B193" s="3">
        <v>2.0</v>
      </c>
    </row>
    <row r="194">
      <c r="A194" s="6" t="s">
        <v>152</v>
      </c>
    </row>
    <row r="195">
      <c r="A195" s="6" t="s">
        <v>153</v>
      </c>
      <c r="B195" s="3">
        <v>1.0</v>
      </c>
    </row>
    <row r="196">
      <c r="A196" s="6" t="s">
        <v>154</v>
      </c>
    </row>
    <row r="197">
      <c r="A197" s="6" t="s">
        <v>155</v>
      </c>
    </row>
    <row r="198">
      <c r="A198" s="6" t="s">
        <v>135</v>
      </c>
    </row>
    <row r="199">
      <c r="A199" s="6" t="s">
        <v>156</v>
      </c>
    </row>
    <row r="200">
      <c r="A200" s="6" t="s">
        <v>157</v>
      </c>
    </row>
    <row r="201">
      <c r="A201" s="3" t="s">
        <v>158</v>
      </c>
    </row>
    <row r="202">
      <c r="A202" s="3" t="s">
        <v>159</v>
      </c>
    </row>
    <row r="203">
      <c r="A203" s="3" t="s">
        <v>160</v>
      </c>
    </row>
    <row r="204">
      <c r="A204" s="3" t="s">
        <v>25</v>
      </c>
    </row>
    <row r="205">
      <c r="A205" s="3" t="s">
        <v>161</v>
      </c>
    </row>
    <row r="206">
      <c r="A206" s="3" t="s">
        <v>26</v>
      </c>
    </row>
    <row r="207">
      <c r="A207" s="3" t="s">
        <v>162</v>
      </c>
    </row>
    <row r="208">
      <c r="A208" s="3" t="s">
        <v>163</v>
      </c>
    </row>
    <row r="209">
      <c r="A209" s="3" t="s">
        <v>164</v>
      </c>
      <c r="B209" s="3">
        <v>2.0</v>
      </c>
    </row>
    <row r="210">
      <c r="A210" s="3" t="s">
        <v>27</v>
      </c>
    </row>
    <row r="211">
      <c r="A211" s="3" t="s">
        <v>165</v>
      </c>
    </row>
    <row r="212">
      <c r="A212" s="3" t="s">
        <v>166</v>
      </c>
    </row>
    <row r="213">
      <c r="A213" s="3" t="s">
        <v>167</v>
      </c>
    </row>
    <row r="214">
      <c r="A214" s="3" t="s">
        <v>168</v>
      </c>
    </row>
    <row r="215">
      <c r="A215" s="3" t="s">
        <v>169</v>
      </c>
    </row>
    <row r="216">
      <c r="A216" s="3" t="s">
        <v>32</v>
      </c>
      <c r="B216" s="3">
        <v>2.0</v>
      </c>
    </row>
    <row r="217">
      <c r="A217" s="3" t="s">
        <v>170</v>
      </c>
    </row>
    <row r="218">
      <c r="A218" s="3" t="s">
        <v>171</v>
      </c>
    </row>
    <row r="219">
      <c r="A219" s="3" t="s">
        <v>172</v>
      </c>
    </row>
    <row r="220">
      <c r="A220" s="3" t="s">
        <v>173</v>
      </c>
    </row>
    <row r="221">
      <c r="A221" s="3" t="s">
        <v>33</v>
      </c>
    </row>
    <row r="222">
      <c r="A222" s="3" t="s">
        <v>34</v>
      </c>
    </row>
    <row r="223">
      <c r="A223" s="3" t="s">
        <v>174</v>
      </c>
    </row>
    <row r="224">
      <c r="A224" s="3" t="s">
        <v>175</v>
      </c>
    </row>
    <row r="225">
      <c r="A225" s="3" t="s">
        <v>176</v>
      </c>
    </row>
    <row r="226">
      <c r="A226" s="3" t="s">
        <v>177</v>
      </c>
    </row>
    <row r="227">
      <c r="A227" s="3" t="s">
        <v>178</v>
      </c>
    </row>
    <row r="228">
      <c r="A228" s="3" t="s">
        <v>35</v>
      </c>
    </row>
    <row r="229">
      <c r="A229" s="3" t="s">
        <v>179</v>
      </c>
    </row>
    <row r="230">
      <c r="A230" s="3" t="s">
        <v>36</v>
      </c>
    </row>
    <row r="231">
      <c r="A231" s="3" t="s">
        <v>180</v>
      </c>
    </row>
    <row r="232">
      <c r="A232" s="3" t="s">
        <v>181</v>
      </c>
    </row>
    <row r="233">
      <c r="A233" s="3" t="s">
        <v>182</v>
      </c>
    </row>
    <row r="234">
      <c r="A234" s="3" t="s">
        <v>183</v>
      </c>
    </row>
    <row r="235">
      <c r="A235" s="3" t="s">
        <v>184</v>
      </c>
    </row>
    <row r="236">
      <c r="A236" s="3" t="s">
        <v>185</v>
      </c>
    </row>
    <row r="237">
      <c r="A237" s="3" t="s">
        <v>37</v>
      </c>
    </row>
    <row r="238">
      <c r="A238" s="3" t="s">
        <v>186</v>
      </c>
    </row>
    <row r="239">
      <c r="A239" s="3" t="s">
        <v>187</v>
      </c>
    </row>
    <row r="240">
      <c r="A240" s="3" t="s">
        <v>38</v>
      </c>
    </row>
    <row r="241">
      <c r="A241" s="3" t="s">
        <v>188</v>
      </c>
    </row>
    <row r="242">
      <c r="A242" s="3" t="s">
        <v>189</v>
      </c>
    </row>
    <row r="243">
      <c r="A243" s="3" t="s">
        <v>190</v>
      </c>
    </row>
    <row r="244">
      <c r="A244" s="3" t="s">
        <v>191</v>
      </c>
    </row>
    <row r="245">
      <c r="A245" s="3" t="s">
        <v>192</v>
      </c>
    </row>
    <row r="246">
      <c r="A246" s="3" t="s">
        <v>39</v>
      </c>
    </row>
    <row r="247">
      <c r="A247" s="3" t="s">
        <v>193</v>
      </c>
    </row>
    <row r="248">
      <c r="A248" s="3" t="s">
        <v>194</v>
      </c>
    </row>
    <row r="249">
      <c r="A249" s="3" t="s">
        <v>40</v>
      </c>
    </row>
    <row r="250">
      <c r="A250" s="3" t="s">
        <v>195</v>
      </c>
    </row>
    <row r="251">
      <c r="A251" s="3" t="s">
        <v>196</v>
      </c>
    </row>
    <row r="252">
      <c r="A252" s="3" t="s">
        <v>41</v>
      </c>
    </row>
    <row r="253">
      <c r="A253" s="3" t="s">
        <v>197</v>
      </c>
    </row>
    <row r="254">
      <c r="A254" s="3" t="s">
        <v>198</v>
      </c>
    </row>
    <row r="255">
      <c r="A255" s="3" t="s">
        <v>199</v>
      </c>
      <c r="B255" s="3">
        <v>2.0</v>
      </c>
    </row>
    <row r="256">
      <c r="A256" s="3" t="s">
        <v>200</v>
      </c>
    </row>
    <row r="257">
      <c r="A257" s="3" t="s">
        <v>201</v>
      </c>
    </row>
    <row r="258">
      <c r="A258" s="3" t="s">
        <v>202</v>
      </c>
    </row>
    <row r="259">
      <c r="A259" s="3" t="s">
        <v>203</v>
      </c>
    </row>
    <row r="260">
      <c r="A260" s="3" t="s">
        <v>204</v>
      </c>
    </row>
    <row r="261">
      <c r="A261" s="3" t="s">
        <v>42</v>
      </c>
    </row>
    <row r="262">
      <c r="A262" s="3" t="s">
        <v>205</v>
      </c>
    </row>
    <row r="263">
      <c r="A263" s="3" t="s">
        <v>206</v>
      </c>
    </row>
    <row r="264">
      <c r="A264" s="3" t="s">
        <v>43</v>
      </c>
    </row>
    <row r="265">
      <c r="A265" s="3" t="s">
        <v>44</v>
      </c>
    </row>
    <row r="266">
      <c r="A266" s="3" t="s">
        <v>45</v>
      </c>
    </row>
    <row r="267">
      <c r="A267" s="3" t="s">
        <v>46</v>
      </c>
    </row>
    <row r="268">
      <c r="A268" s="3" t="s">
        <v>47</v>
      </c>
    </row>
    <row r="269">
      <c r="A269" s="3" t="s">
        <v>48</v>
      </c>
    </row>
    <row r="270">
      <c r="A270" s="3" t="s">
        <v>49</v>
      </c>
    </row>
    <row r="271">
      <c r="A271" s="3" t="s">
        <v>50</v>
      </c>
    </row>
    <row r="272">
      <c r="A272" s="3" t="s">
        <v>51</v>
      </c>
    </row>
    <row r="273">
      <c r="A273" s="3" t="s">
        <v>52</v>
      </c>
    </row>
    <row r="274">
      <c r="A274" s="3" t="s">
        <v>207</v>
      </c>
    </row>
    <row r="275">
      <c r="A275" s="3" t="s">
        <v>208</v>
      </c>
    </row>
    <row r="276">
      <c r="A276" s="3" t="s">
        <v>53</v>
      </c>
    </row>
    <row r="277">
      <c r="A277" s="3" t="s">
        <v>209</v>
      </c>
      <c r="B277" s="3">
        <v>1.0</v>
      </c>
    </row>
    <row r="278">
      <c r="A278" s="3" t="s">
        <v>210</v>
      </c>
    </row>
    <row r="279">
      <c r="A279" s="3" t="s">
        <v>211</v>
      </c>
    </row>
    <row r="280">
      <c r="A280" s="3" t="s">
        <v>212</v>
      </c>
    </row>
    <row r="281">
      <c r="A281" s="3" t="s">
        <v>213</v>
      </c>
    </row>
    <row r="282">
      <c r="A282" s="3" t="s">
        <v>55</v>
      </c>
      <c r="B282" s="3">
        <v>1.0</v>
      </c>
    </row>
    <row r="283">
      <c r="A283" s="3" t="s">
        <v>214</v>
      </c>
    </row>
    <row r="284">
      <c r="A284" s="3" t="s">
        <v>215</v>
      </c>
    </row>
    <row r="285">
      <c r="A285" s="3" t="s">
        <v>216</v>
      </c>
    </row>
    <row r="286">
      <c r="A286" s="3" t="s">
        <v>217</v>
      </c>
    </row>
    <row r="287">
      <c r="A287" s="3" t="s">
        <v>218</v>
      </c>
    </row>
    <row r="288">
      <c r="A288" s="3" t="s">
        <v>60</v>
      </c>
    </row>
    <row r="289">
      <c r="A289" s="3" t="s">
        <v>219</v>
      </c>
    </row>
    <row r="290">
      <c r="A290" s="3" t="s">
        <v>61</v>
      </c>
    </row>
    <row r="291">
      <c r="A291" s="3" t="s">
        <v>220</v>
      </c>
    </row>
    <row r="292">
      <c r="A292" s="3" t="s">
        <v>62</v>
      </c>
    </row>
    <row r="293">
      <c r="A293" s="3" t="s">
        <v>221</v>
      </c>
    </row>
    <row r="294">
      <c r="A294" s="3" t="s">
        <v>63</v>
      </c>
    </row>
    <row r="295">
      <c r="A295" s="3" t="s">
        <v>222</v>
      </c>
    </row>
    <row r="296">
      <c r="A296" s="3" t="s">
        <v>223</v>
      </c>
    </row>
    <row r="297">
      <c r="A297" s="3" t="s">
        <v>64</v>
      </c>
    </row>
    <row r="298">
      <c r="A298" s="3" t="s">
        <v>224</v>
      </c>
    </row>
    <row r="299">
      <c r="A299" s="3" t="s">
        <v>225</v>
      </c>
    </row>
    <row r="300">
      <c r="A300" s="3" t="s">
        <v>65</v>
      </c>
    </row>
    <row r="301">
      <c r="A301" s="3" t="s">
        <v>66</v>
      </c>
    </row>
    <row r="302">
      <c r="A302" s="3" t="s">
        <v>67</v>
      </c>
    </row>
    <row r="303">
      <c r="A303" s="3" t="s">
        <v>68</v>
      </c>
    </row>
    <row r="304">
      <c r="A304" s="3" t="s">
        <v>69</v>
      </c>
    </row>
    <row r="305">
      <c r="A305" s="3" t="s">
        <v>226</v>
      </c>
    </row>
    <row r="306">
      <c r="A306" s="3" t="s">
        <v>70</v>
      </c>
    </row>
    <row r="307">
      <c r="A307" s="3" t="s">
        <v>71</v>
      </c>
    </row>
    <row r="308">
      <c r="A308" s="3" t="s">
        <v>227</v>
      </c>
    </row>
    <row r="309">
      <c r="A309" s="3" t="s">
        <v>72</v>
      </c>
    </row>
    <row r="310">
      <c r="A310" s="3" t="s">
        <v>228</v>
      </c>
    </row>
    <row r="311">
      <c r="A311" s="3" t="s">
        <v>229</v>
      </c>
    </row>
    <row r="312">
      <c r="A312" s="3" t="s">
        <v>73</v>
      </c>
    </row>
    <row r="313">
      <c r="A313" s="3" t="s">
        <v>74</v>
      </c>
    </row>
    <row r="314">
      <c r="A314" s="3" t="s">
        <v>75</v>
      </c>
    </row>
    <row r="315">
      <c r="A315" s="3" t="s">
        <v>76</v>
      </c>
    </row>
    <row r="316">
      <c r="A316" s="3" t="s">
        <v>77</v>
      </c>
    </row>
    <row r="317">
      <c r="A317" s="3" t="s">
        <v>78</v>
      </c>
    </row>
    <row r="318">
      <c r="A318" s="3" t="s">
        <v>79</v>
      </c>
    </row>
    <row r="319">
      <c r="A319" s="3" t="s">
        <v>80</v>
      </c>
    </row>
    <row r="320">
      <c r="A320" s="3" t="s">
        <v>81</v>
      </c>
    </row>
    <row r="321">
      <c r="A321" s="3" t="s">
        <v>82</v>
      </c>
    </row>
    <row r="322">
      <c r="A322" s="3" t="s">
        <v>83</v>
      </c>
    </row>
    <row r="323">
      <c r="A323" s="3" t="s">
        <v>84</v>
      </c>
    </row>
    <row r="324">
      <c r="A324" s="3" t="s">
        <v>85</v>
      </c>
    </row>
    <row r="325">
      <c r="A325" s="3" t="s">
        <v>86</v>
      </c>
    </row>
    <row r="326">
      <c r="A326" s="3" t="s">
        <v>87</v>
      </c>
    </row>
    <row r="327">
      <c r="A327" s="3" t="s">
        <v>88</v>
      </c>
    </row>
    <row r="328">
      <c r="A328" s="3" t="s">
        <v>89</v>
      </c>
    </row>
    <row r="329">
      <c r="A329" s="3" t="s">
        <v>90</v>
      </c>
    </row>
    <row r="330">
      <c r="A330" s="3" t="s">
        <v>230</v>
      </c>
    </row>
    <row r="331">
      <c r="A331" s="3" t="s">
        <v>231</v>
      </c>
    </row>
    <row r="332">
      <c r="A332" s="3" t="s">
        <v>232</v>
      </c>
    </row>
    <row r="333">
      <c r="A333" s="3" t="s">
        <v>233</v>
      </c>
    </row>
    <row r="334">
      <c r="A334" s="3" t="s">
        <v>234</v>
      </c>
    </row>
    <row r="335">
      <c r="A335" s="3" t="s">
        <v>235</v>
      </c>
    </row>
    <row r="336">
      <c r="A336" s="20" t="s">
        <v>236</v>
      </c>
    </row>
    <row r="337">
      <c r="A337" s="6">
        <v>-0.25</v>
      </c>
      <c r="B337" s="3">
        <v>4.0</v>
      </c>
    </row>
    <row r="338">
      <c r="A338" s="6">
        <v>-0.5</v>
      </c>
      <c r="B338" s="3">
        <v>5.0</v>
      </c>
    </row>
    <row r="339">
      <c r="A339" s="6">
        <v>-0.75</v>
      </c>
      <c r="B339" s="3">
        <v>3.0</v>
      </c>
    </row>
    <row r="340">
      <c r="A340" s="6">
        <v>-1.0</v>
      </c>
      <c r="B340" s="3">
        <v>9.0</v>
      </c>
    </row>
    <row r="341">
      <c r="A341" s="6">
        <v>-1.25</v>
      </c>
      <c r="B341" s="3">
        <v>10.0</v>
      </c>
    </row>
    <row r="342">
      <c r="A342" s="6">
        <v>-1.5</v>
      </c>
      <c r="B342" s="3">
        <v>3.0</v>
      </c>
    </row>
    <row r="343">
      <c r="A343" s="6">
        <v>-1.75</v>
      </c>
      <c r="B343" s="3">
        <v>7.0</v>
      </c>
    </row>
    <row r="344">
      <c r="A344" s="6">
        <v>-2.0</v>
      </c>
      <c r="B344" s="3">
        <v>5.0</v>
      </c>
    </row>
    <row r="345">
      <c r="A345" s="6">
        <v>-2.25</v>
      </c>
      <c r="B345" s="3">
        <v>16.0</v>
      </c>
    </row>
    <row r="346">
      <c r="A346" s="6">
        <v>-2.5</v>
      </c>
      <c r="B346" s="3">
        <v>3.0</v>
      </c>
    </row>
    <row r="347">
      <c r="A347" s="6">
        <v>-2.75</v>
      </c>
      <c r="B347" s="3">
        <v>19.0</v>
      </c>
    </row>
    <row r="348">
      <c r="A348" s="6">
        <v>-3.0</v>
      </c>
      <c r="B348" s="3">
        <v>2.0</v>
      </c>
    </row>
    <row r="349">
      <c r="A349" s="6">
        <v>-3.5</v>
      </c>
      <c r="B349" s="3">
        <v>3.0</v>
      </c>
    </row>
    <row r="350">
      <c r="A350" s="6"/>
    </row>
    <row r="351">
      <c r="A351" s="10" t="s">
        <v>10</v>
      </c>
    </row>
    <row r="352">
      <c r="A352" s="6" t="s">
        <v>138</v>
      </c>
      <c r="B352" s="3">
        <v>4.0</v>
      </c>
    </row>
    <row r="353">
      <c r="A353" s="6" t="s">
        <v>139</v>
      </c>
      <c r="B353" s="3">
        <v>6.0</v>
      </c>
    </row>
    <row r="354">
      <c r="A354" s="6" t="s">
        <v>140</v>
      </c>
      <c r="B354" s="3">
        <v>3.0</v>
      </c>
    </row>
    <row r="355">
      <c r="A355" s="6" t="s">
        <v>141</v>
      </c>
      <c r="B355" s="3">
        <v>2.0</v>
      </c>
    </row>
    <row r="356">
      <c r="A356" s="6" t="s">
        <v>237</v>
      </c>
      <c r="B356" s="3">
        <v>6.0</v>
      </c>
    </row>
    <row r="357">
      <c r="A357" s="6" t="s">
        <v>238</v>
      </c>
      <c r="B357" s="3">
        <v>4.0</v>
      </c>
    </row>
    <row r="358">
      <c r="A358" s="6" t="s">
        <v>239</v>
      </c>
      <c r="B358" s="3">
        <v>18.0</v>
      </c>
    </row>
    <row r="359">
      <c r="A359" s="6" t="s">
        <v>145</v>
      </c>
      <c r="B359" s="3">
        <v>3.0</v>
      </c>
    </row>
    <row r="360">
      <c r="A360" s="6" t="s">
        <v>146</v>
      </c>
      <c r="B360" s="3">
        <v>5.0</v>
      </c>
    </row>
    <row r="361">
      <c r="A361" s="6" t="s">
        <v>147</v>
      </c>
      <c r="B361" s="3">
        <v>6.0</v>
      </c>
    </row>
    <row r="362">
      <c r="A362" s="6" t="s">
        <v>148</v>
      </c>
      <c r="B362" s="3">
        <v>11.0</v>
      </c>
    </row>
    <row r="363">
      <c r="A363" s="6" t="s">
        <v>149</v>
      </c>
      <c r="B363" s="3">
        <v>2.0</v>
      </c>
    </row>
    <row r="364">
      <c r="A364" s="6" t="s">
        <v>240</v>
      </c>
      <c r="B364" s="3">
        <v>3.0</v>
      </c>
    </row>
    <row r="365">
      <c r="A365" s="6"/>
      <c r="B365" s="3"/>
    </row>
    <row r="366">
      <c r="A366" s="10" t="s">
        <v>15</v>
      </c>
      <c r="B366" s="3"/>
    </row>
    <row r="367">
      <c r="A367" s="6" t="s">
        <v>150</v>
      </c>
      <c r="B367" s="3">
        <v>1.0</v>
      </c>
    </row>
    <row r="368">
      <c r="A368" s="6" t="s">
        <v>151</v>
      </c>
    </row>
    <row r="369">
      <c r="A369" s="6" t="s">
        <v>152</v>
      </c>
    </row>
    <row r="370">
      <c r="A370" s="6" t="s">
        <v>153</v>
      </c>
    </row>
    <row r="371">
      <c r="A371" s="6" t="s">
        <v>154</v>
      </c>
    </row>
    <row r="372">
      <c r="A372" s="6" t="s">
        <v>155</v>
      </c>
    </row>
    <row r="373">
      <c r="A373" s="6" t="s">
        <v>135</v>
      </c>
    </row>
    <row r="374">
      <c r="A374" s="6" t="s">
        <v>156</v>
      </c>
    </row>
    <row r="375">
      <c r="A375" s="6" t="s">
        <v>157</v>
      </c>
    </row>
    <row r="376">
      <c r="A376" s="3" t="s">
        <v>158</v>
      </c>
    </row>
    <row r="377">
      <c r="A377" s="3" t="s">
        <v>159</v>
      </c>
    </row>
    <row r="378">
      <c r="A378" s="3" t="s">
        <v>160</v>
      </c>
    </row>
    <row r="379">
      <c r="A379" s="3" t="s">
        <v>25</v>
      </c>
      <c r="B379" s="3">
        <v>1.0</v>
      </c>
    </row>
    <row r="380">
      <c r="A380" s="3" t="s">
        <v>161</v>
      </c>
    </row>
    <row r="381">
      <c r="A381" s="3" t="s">
        <v>26</v>
      </c>
    </row>
    <row r="382">
      <c r="A382" s="3" t="s">
        <v>162</v>
      </c>
    </row>
    <row r="383">
      <c r="A383" s="3" t="s">
        <v>163</v>
      </c>
    </row>
    <row r="384">
      <c r="A384" s="3" t="s">
        <v>164</v>
      </c>
    </row>
    <row r="385">
      <c r="A385" s="3" t="s">
        <v>27</v>
      </c>
    </row>
    <row r="386">
      <c r="A386" s="3" t="s">
        <v>165</v>
      </c>
      <c r="B386" s="3">
        <v>1.0</v>
      </c>
    </row>
    <row r="387">
      <c r="A387" s="3" t="s">
        <v>166</v>
      </c>
    </row>
    <row r="388">
      <c r="A388" s="3" t="s">
        <v>167</v>
      </c>
    </row>
    <row r="389">
      <c r="A389" s="3" t="s">
        <v>168</v>
      </c>
    </row>
    <row r="390">
      <c r="A390" s="3" t="s">
        <v>169</v>
      </c>
    </row>
    <row r="391">
      <c r="A391" s="3" t="s">
        <v>32</v>
      </c>
    </row>
    <row r="392">
      <c r="A392" s="3" t="s">
        <v>170</v>
      </c>
      <c r="B392" s="3">
        <v>1.0</v>
      </c>
    </row>
    <row r="393">
      <c r="A393" s="3" t="s">
        <v>171</v>
      </c>
    </row>
    <row r="394">
      <c r="A394" s="3" t="s">
        <v>172</v>
      </c>
    </row>
    <row r="395">
      <c r="A395" s="3" t="s">
        <v>173</v>
      </c>
    </row>
    <row r="396">
      <c r="A396" s="3" t="s">
        <v>33</v>
      </c>
      <c r="B396" s="3">
        <v>1.0</v>
      </c>
    </row>
    <row r="397">
      <c r="A397" s="3" t="s">
        <v>34</v>
      </c>
    </row>
    <row r="398">
      <c r="A398" s="3" t="s">
        <v>174</v>
      </c>
      <c r="B398" s="3">
        <v>1.0</v>
      </c>
    </row>
    <row r="399">
      <c r="A399" s="3" t="s">
        <v>175</v>
      </c>
    </row>
    <row r="400">
      <c r="A400" s="3" t="s">
        <v>176</v>
      </c>
    </row>
    <row r="401">
      <c r="A401" s="3" t="s">
        <v>177</v>
      </c>
    </row>
    <row r="402">
      <c r="A402" s="3" t="s">
        <v>178</v>
      </c>
    </row>
    <row r="403">
      <c r="A403" s="3" t="s">
        <v>35</v>
      </c>
    </row>
    <row r="404">
      <c r="A404" s="3" t="s">
        <v>179</v>
      </c>
    </row>
    <row r="405">
      <c r="A405" s="3" t="s">
        <v>36</v>
      </c>
    </row>
    <row r="406">
      <c r="A406" s="3" t="s">
        <v>180</v>
      </c>
    </row>
    <row r="407">
      <c r="A407" s="3" t="s">
        <v>181</v>
      </c>
    </row>
    <row r="408">
      <c r="A408" s="3" t="s">
        <v>182</v>
      </c>
    </row>
    <row r="409">
      <c r="A409" s="3" t="s">
        <v>183</v>
      </c>
    </row>
    <row r="410">
      <c r="A410" s="3" t="s">
        <v>184</v>
      </c>
      <c r="B410" s="3">
        <v>1.0</v>
      </c>
    </row>
    <row r="411">
      <c r="A411" s="3" t="s">
        <v>185</v>
      </c>
    </row>
    <row r="412">
      <c r="A412" s="3" t="s">
        <v>37</v>
      </c>
    </row>
    <row r="413">
      <c r="A413" s="3" t="s">
        <v>186</v>
      </c>
    </row>
    <row r="414">
      <c r="A414" s="3" t="s">
        <v>187</v>
      </c>
    </row>
    <row r="415">
      <c r="A415" s="3" t="s">
        <v>38</v>
      </c>
    </row>
    <row r="416">
      <c r="A416" s="3" t="s">
        <v>188</v>
      </c>
    </row>
    <row r="417">
      <c r="A417" s="3" t="s">
        <v>189</v>
      </c>
    </row>
    <row r="418">
      <c r="A418" s="3" t="s">
        <v>190</v>
      </c>
    </row>
    <row r="419">
      <c r="A419" s="3" t="s">
        <v>191</v>
      </c>
    </row>
    <row r="420">
      <c r="A420" s="3" t="s">
        <v>192</v>
      </c>
    </row>
    <row r="421">
      <c r="A421" s="3" t="s">
        <v>39</v>
      </c>
    </row>
    <row r="422">
      <c r="A422" s="3" t="s">
        <v>193</v>
      </c>
    </row>
    <row r="423">
      <c r="A423" s="3" t="s">
        <v>194</v>
      </c>
    </row>
    <row r="424">
      <c r="A424" s="3" t="s">
        <v>40</v>
      </c>
    </row>
    <row r="425">
      <c r="A425" s="3" t="s">
        <v>195</v>
      </c>
    </row>
    <row r="426">
      <c r="A426" s="3" t="s">
        <v>196</v>
      </c>
    </row>
    <row r="427">
      <c r="A427" s="3" t="s">
        <v>41</v>
      </c>
    </row>
    <row r="428">
      <c r="A428" s="3" t="s">
        <v>197</v>
      </c>
    </row>
    <row r="429">
      <c r="A429" s="3" t="s">
        <v>198</v>
      </c>
    </row>
    <row r="430">
      <c r="A430" s="3" t="s">
        <v>199</v>
      </c>
    </row>
    <row r="431">
      <c r="A431" s="3" t="s">
        <v>200</v>
      </c>
    </row>
    <row r="432">
      <c r="A432" s="3" t="s">
        <v>201</v>
      </c>
    </row>
    <row r="433">
      <c r="A433" s="3" t="s">
        <v>202</v>
      </c>
    </row>
    <row r="434">
      <c r="A434" s="3" t="s">
        <v>203</v>
      </c>
      <c r="B434" s="3">
        <v>1.0</v>
      </c>
    </row>
    <row r="435">
      <c r="A435" s="3" t="s">
        <v>204</v>
      </c>
    </row>
    <row r="436">
      <c r="A436" s="3" t="s">
        <v>42</v>
      </c>
    </row>
    <row r="437">
      <c r="A437" s="3" t="s">
        <v>205</v>
      </c>
    </row>
    <row r="438">
      <c r="A438" s="3" t="s">
        <v>206</v>
      </c>
    </row>
    <row r="439">
      <c r="A439" s="3" t="s">
        <v>43</v>
      </c>
    </row>
    <row r="440">
      <c r="A440" s="3" t="s">
        <v>44</v>
      </c>
    </row>
    <row r="441">
      <c r="A441" s="3" t="s">
        <v>45</v>
      </c>
    </row>
    <row r="442">
      <c r="A442" s="3" t="s">
        <v>46</v>
      </c>
    </row>
    <row r="443">
      <c r="A443" s="3" t="s">
        <v>47</v>
      </c>
    </row>
    <row r="444">
      <c r="A444" s="3" t="s">
        <v>48</v>
      </c>
    </row>
    <row r="445">
      <c r="A445" s="3" t="s">
        <v>49</v>
      </c>
    </row>
    <row r="446">
      <c r="A446" s="3" t="s">
        <v>50</v>
      </c>
    </row>
    <row r="447">
      <c r="A447" s="3" t="s">
        <v>51</v>
      </c>
    </row>
    <row r="448">
      <c r="A448" s="3" t="s">
        <v>52</v>
      </c>
    </row>
    <row r="449">
      <c r="A449" s="3" t="s">
        <v>207</v>
      </c>
    </row>
    <row r="450">
      <c r="A450" s="3" t="s">
        <v>208</v>
      </c>
    </row>
    <row r="451">
      <c r="A451" s="3" t="s">
        <v>53</v>
      </c>
    </row>
    <row r="452">
      <c r="A452" s="3" t="s">
        <v>54</v>
      </c>
    </row>
    <row r="453">
      <c r="A453" s="3" t="s">
        <v>210</v>
      </c>
    </row>
    <row r="454">
      <c r="A454" s="3" t="s">
        <v>211</v>
      </c>
      <c r="B454" s="3">
        <v>1.0</v>
      </c>
    </row>
    <row r="455">
      <c r="A455" s="3" t="s">
        <v>212</v>
      </c>
    </row>
    <row r="456">
      <c r="A456" s="3" t="s">
        <v>213</v>
      </c>
    </row>
    <row r="457">
      <c r="A457" s="3" t="s">
        <v>55</v>
      </c>
    </row>
    <row r="458">
      <c r="A458" s="3" t="s">
        <v>214</v>
      </c>
    </row>
    <row r="459">
      <c r="A459" s="3" t="s">
        <v>215</v>
      </c>
    </row>
    <row r="460">
      <c r="A460" s="3" t="s">
        <v>216</v>
      </c>
    </row>
    <row r="461">
      <c r="A461" s="3" t="s">
        <v>217</v>
      </c>
    </row>
    <row r="462">
      <c r="A462" s="3" t="s">
        <v>218</v>
      </c>
    </row>
    <row r="463">
      <c r="A463" s="3" t="s">
        <v>60</v>
      </c>
    </row>
    <row r="464">
      <c r="A464" s="3" t="s">
        <v>219</v>
      </c>
    </row>
    <row r="465">
      <c r="A465" s="3" t="s">
        <v>61</v>
      </c>
    </row>
    <row r="466">
      <c r="A466" s="3" t="s">
        <v>220</v>
      </c>
    </row>
    <row r="467">
      <c r="A467" s="3" t="s">
        <v>62</v>
      </c>
    </row>
    <row r="468">
      <c r="A468" s="3" t="s">
        <v>221</v>
      </c>
    </row>
    <row r="469">
      <c r="A469" s="3" t="s">
        <v>63</v>
      </c>
    </row>
    <row r="470">
      <c r="A470" s="3" t="s">
        <v>222</v>
      </c>
    </row>
    <row r="471">
      <c r="A471" s="3" t="s">
        <v>223</v>
      </c>
    </row>
    <row r="472">
      <c r="A472" s="3" t="s">
        <v>64</v>
      </c>
    </row>
    <row r="473">
      <c r="A473" s="3" t="s">
        <v>224</v>
      </c>
    </row>
    <row r="474">
      <c r="A474" s="3" t="s">
        <v>225</v>
      </c>
    </row>
    <row r="475">
      <c r="A475" s="3" t="s">
        <v>65</v>
      </c>
    </row>
    <row r="476">
      <c r="A476" s="3" t="s">
        <v>66</v>
      </c>
    </row>
    <row r="477">
      <c r="A477" s="3" t="s">
        <v>67</v>
      </c>
    </row>
    <row r="478">
      <c r="A478" s="3" t="s">
        <v>68</v>
      </c>
    </row>
    <row r="479">
      <c r="A479" s="3" t="s">
        <v>69</v>
      </c>
    </row>
    <row r="480">
      <c r="A480" s="3" t="s">
        <v>226</v>
      </c>
    </row>
    <row r="481">
      <c r="A481" s="3" t="s">
        <v>70</v>
      </c>
    </row>
    <row r="482">
      <c r="A482" s="3" t="s">
        <v>71</v>
      </c>
    </row>
    <row r="483">
      <c r="A483" s="3" t="s">
        <v>227</v>
      </c>
    </row>
    <row r="484">
      <c r="A484" s="3" t="s">
        <v>72</v>
      </c>
    </row>
    <row r="485">
      <c r="A485" s="3" t="s">
        <v>228</v>
      </c>
    </row>
    <row r="486">
      <c r="A486" s="3" t="s">
        <v>229</v>
      </c>
    </row>
    <row r="487">
      <c r="A487" s="3" t="s">
        <v>73</v>
      </c>
    </row>
    <row r="488">
      <c r="A488" s="3" t="s">
        <v>74</v>
      </c>
    </row>
    <row r="489">
      <c r="A489" s="3" t="s">
        <v>75</v>
      </c>
    </row>
    <row r="490">
      <c r="A490" s="3" t="s">
        <v>76</v>
      </c>
    </row>
    <row r="491">
      <c r="A491" s="3" t="s">
        <v>77</v>
      </c>
    </row>
    <row r="492">
      <c r="A492" s="3" t="s">
        <v>78</v>
      </c>
    </row>
    <row r="493">
      <c r="A493" s="3" t="s">
        <v>79</v>
      </c>
    </row>
    <row r="494">
      <c r="A494" s="3" t="s">
        <v>80</v>
      </c>
    </row>
    <row r="495">
      <c r="A495" s="3" t="s">
        <v>81</v>
      </c>
    </row>
    <row r="496">
      <c r="A496" s="3" t="s">
        <v>82</v>
      </c>
    </row>
    <row r="497">
      <c r="A497" s="3" t="s">
        <v>83</v>
      </c>
    </row>
    <row r="498">
      <c r="A498" s="3" t="s">
        <v>84</v>
      </c>
    </row>
    <row r="499">
      <c r="A499" s="3" t="s">
        <v>85</v>
      </c>
    </row>
    <row r="500">
      <c r="A500" s="3" t="s">
        <v>86</v>
      </c>
    </row>
    <row r="501">
      <c r="A501" s="3" t="s">
        <v>87</v>
      </c>
    </row>
    <row r="502">
      <c r="A502" s="3" t="s">
        <v>88</v>
      </c>
    </row>
    <row r="503">
      <c r="A503" s="3" t="s">
        <v>89</v>
      </c>
    </row>
    <row r="504">
      <c r="A504" s="3" t="s">
        <v>90</v>
      </c>
    </row>
    <row r="505">
      <c r="A505" s="3" t="s">
        <v>230</v>
      </c>
    </row>
    <row r="506">
      <c r="A506" s="3" t="s">
        <v>231</v>
      </c>
    </row>
    <row r="507">
      <c r="A507" s="3" t="s">
        <v>232</v>
      </c>
    </row>
    <row r="508">
      <c r="A508" s="3" t="s">
        <v>233</v>
      </c>
    </row>
    <row r="509">
      <c r="A509" s="3" t="s">
        <v>234</v>
      </c>
    </row>
    <row r="510">
      <c r="A510" s="3" t="s">
        <v>235</v>
      </c>
    </row>
    <row r="511">
      <c r="A511" s="3" t="s">
        <v>241</v>
      </c>
      <c r="B511" s="3">
        <v>1.0</v>
      </c>
    </row>
    <row r="512">
      <c r="A512" s="21" t="s">
        <v>242</v>
      </c>
    </row>
    <row r="513">
      <c r="A513" s="3" t="s">
        <v>184</v>
      </c>
    </row>
    <row r="514">
      <c r="A514" s="3" t="s">
        <v>204</v>
      </c>
    </row>
    <row r="515">
      <c r="A515" s="3" t="s">
        <v>64</v>
      </c>
    </row>
    <row r="516">
      <c r="A516" s="3" t="s">
        <v>224</v>
      </c>
    </row>
    <row r="517">
      <c r="A517" s="3" t="s">
        <v>225</v>
      </c>
    </row>
    <row r="518">
      <c r="A518" s="3" t="s">
        <v>65</v>
      </c>
    </row>
    <row r="519">
      <c r="A519" s="3" t="s">
        <v>66</v>
      </c>
    </row>
    <row r="520">
      <c r="A520" s="3" t="s">
        <v>67</v>
      </c>
    </row>
    <row r="521">
      <c r="A521" s="3" t="s">
        <v>68</v>
      </c>
    </row>
    <row r="522">
      <c r="A522" s="3" t="s">
        <v>69</v>
      </c>
    </row>
    <row r="523">
      <c r="A523" s="3" t="s">
        <v>226</v>
      </c>
    </row>
    <row r="524">
      <c r="A524" s="3" t="s">
        <v>70</v>
      </c>
    </row>
    <row r="525">
      <c r="A525" s="3" t="s">
        <v>71</v>
      </c>
    </row>
    <row r="526">
      <c r="A526" s="3" t="s">
        <v>227</v>
      </c>
    </row>
    <row r="527">
      <c r="A527" s="3" t="s">
        <v>72</v>
      </c>
    </row>
    <row r="528">
      <c r="A528" s="3" t="s">
        <v>228</v>
      </c>
    </row>
    <row r="529">
      <c r="A529" s="3" t="s">
        <v>229</v>
      </c>
    </row>
    <row r="530">
      <c r="A530" s="3" t="s">
        <v>73</v>
      </c>
    </row>
    <row r="531">
      <c r="A531" s="3" t="s">
        <v>74</v>
      </c>
    </row>
    <row r="532">
      <c r="A532" s="3" t="s">
        <v>75</v>
      </c>
    </row>
    <row r="533">
      <c r="A533" s="3" t="s">
        <v>76</v>
      </c>
    </row>
    <row r="534">
      <c r="A534" s="3" t="s">
        <v>77</v>
      </c>
    </row>
    <row r="535">
      <c r="A535" s="3" t="s">
        <v>78</v>
      </c>
    </row>
    <row r="536">
      <c r="A536" s="3" t="s">
        <v>79</v>
      </c>
    </row>
    <row r="537">
      <c r="A537" s="3" t="s">
        <v>80</v>
      </c>
    </row>
    <row r="538">
      <c r="A538" s="3" t="s">
        <v>81</v>
      </c>
    </row>
    <row r="539">
      <c r="A539" s="3" t="s">
        <v>82</v>
      </c>
    </row>
    <row r="540">
      <c r="A540" s="3" t="s">
        <v>83</v>
      </c>
    </row>
    <row r="541">
      <c r="A541" s="3" t="s">
        <v>84</v>
      </c>
    </row>
    <row r="542">
      <c r="A542" s="3" t="s">
        <v>85</v>
      </c>
    </row>
    <row r="543">
      <c r="A543" s="3" t="s">
        <v>86</v>
      </c>
    </row>
    <row r="544">
      <c r="A544" s="3" t="s">
        <v>87</v>
      </c>
    </row>
    <row r="545">
      <c r="A545" s="3" t="s">
        <v>88</v>
      </c>
    </row>
    <row r="546">
      <c r="A546" s="3" t="s">
        <v>89</v>
      </c>
    </row>
    <row r="547">
      <c r="A547" s="3" t="s">
        <v>90</v>
      </c>
    </row>
    <row r="548">
      <c r="A548" s="3" t="s">
        <v>230</v>
      </c>
    </row>
    <row r="549">
      <c r="A549" s="3" t="s">
        <v>231</v>
      </c>
    </row>
    <row r="550">
      <c r="A550" s="3" t="s">
        <v>232</v>
      </c>
    </row>
    <row r="551">
      <c r="A551" s="3" t="s">
        <v>233</v>
      </c>
    </row>
    <row r="552">
      <c r="A552" s="3" t="s">
        <v>234</v>
      </c>
    </row>
    <row r="553">
      <c r="A553" s="3" t="s">
        <v>235</v>
      </c>
    </row>
    <row r="554">
      <c r="A554" s="22" t="s">
        <v>243</v>
      </c>
    </row>
    <row r="555">
      <c r="A555" s="6">
        <v>-0.25</v>
      </c>
    </row>
    <row r="556">
      <c r="A556" s="6">
        <v>-0.5</v>
      </c>
    </row>
    <row r="557">
      <c r="A557" s="6">
        <v>-0.75</v>
      </c>
    </row>
    <row r="558">
      <c r="A558" s="6">
        <v>-1.0</v>
      </c>
    </row>
    <row r="559">
      <c r="A559" s="6">
        <v>-1.25</v>
      </c>
    </row>
    <row r="560">
      <c r="A560" s="6">
        <v>-1.5</v>
      </c>
    </row>
    <row r="561">
      <c r="A561" s="6">
        <v>-1.75</v>
      </c>
    </row>
    <row r="562">
      <c r="A562" s="6">
        <v>-2.0</v>
      </c>
    </row>
    <row r="563">
      <c r="A563" s="6">
        <v>-2.25</v>
      </c>
    </row>
    <row r="564">
      <c r="A564" s="6">
        <v>-2.5</v>
      </c>
    </row>
    <row r="565">
      <c r="A565" s="6">
        <v>-2.75</v>
      </c>
    </row>
    <row r="566">
      <c r="A566" s="6">
        <v>-3.0</v>
      </c>
    </row>
    <row r="567">
      <c r="A567" s="6">
        <v>-3.25</v>
      </c>
    </row>
    <row r="568">
      <c r="A568" s="6">
        <v>-3.5</v>
      </c>
    </row>
    <row r="569">
      <c r="A569" s="6">
        <v>-3.75</v>
      </c>
    </row>
    <row r="570">
      <c r="A570" s="6">
        <v>-4.0</v>
      </c>
    </row>
    <row r="571">
      <c r="A571" s="6" t="s">
        <v>150</v>
      </c>
    </row>
    <row r="572">
      <c r="A572" s="6" t="s">
        <v>151</v>
      </c>
    </row>
    <row r="573">
      <c r="A573" s="6" t="s">
        <v>152</v>
      </c>
    </row>
    <row r="574">
      <c r="A574" s="6" t="s">
        <v>153</v>
      </c>
    </row>
    <row r="575">
      <c r="A575" s="6" t="s">
        <v>154</v>
      </c>
    </row>
    <row r="576">
      <c r="A576" s="6" t="s">
        <v>155</v>
      </c>
    </row>
    <row r="577">
      <c r="A577" s="6" t="s">
        <v>135</v>
      </c>
    </row>
    <row r="578">
      <c r="A578" s="6" t="s">
        <v>156</v>
      </c>
    </row>
    <row r="579">
      <c r="A579" s="6" t="s">
        <v>157</v>
      </c>
    </row>
    <row r="580">
      <c r="A580" s="3" t="s">
        <v>158</v>
      </c>
    </row>
    <row r="581">
      <c r="A581" s="3" t="s">
        <v>159</v>
      </c>
    </row>
    <row r="582">
      <c r="A582" s="3" t="s">
        <v>160</v>
      </c>
    </row>
    <row r="583">
      <c r="A583" s="3" t="s">
        <v>25</v>
      </c>
    </row>
    <row r="584">
      <c r="A584" s="3" t="s">
        <v>161</v>
      </c>
    </row>
    <row r="585">
      <c r="A585" s="3" t="s">
        <v>26</v>
      </c>
    </row>
    <row r="586">
      <c r="A586" s="3" t="s">
        <v>162</v>
      </c>
    </row>
    <row r="587">
      <c r="A587" s="3" t="s">
        <v>163</v>
      </c>
    </row>
    <row r="588">
      <c r="A588" s="3" t="s">
        <v>164</v>
      </c>
    </row>
    <row r="589">
      <c r="A589" s="3" t="s">
        <v>27</v>
      </c>
    </row>
    <row r="590">
      <c r="A590" s="3" t="s">
        <v>165</v>
      </c>
    </row>
    <row r="591">
      <c r="A591" s="3" t="s">
        <v>166</v>
      </c>
    </row>
    <row r="592">
      <c r="A592" s="3" t="s">
        <v>167</v>
      </c>
    </row>
    <row r="593">
      <c r="A593" s="3" t="s">
        <v>168</v>
      </c>
    </row>
    <row r="594">
      <c r="A594" s="3" t="s">
        <v>169</v>
      </c>
    </row>
    <row r="595">
      <c r="A595" s="3" t="s">
        <v>32</v>
      </c>
    </row>
    <row r="596">
      <c r="A596" s="3" t="s">
        <v>170</v>
      </c>
    </row>
    <row r="597">
      <c r="A597" s="3" t="s">
        <v>171</v>
      </c>
    </row>
    <row r="598">
      <c r="A598" s="3" t="s">
        <v>172</v>
      </c>
    </row>
    <row r="599">
      <c r="A599" s="3" t="s">
        <v>173</v>
      </c>
    </row>
    <row r="600">
      <c r="A600" s="3" t="s">
        <v>33</v>
      </c>
    </row>
    <row r="601">
      <c r="A601" s="3" t="s">
        <v>34</v>
      </c>
    </row>
    <row r="602">
      <c r="A602" s="3" t="s">
        <v>174</v>
      </c>
    </row>
    <row r="603">
      <c r="A603" s="3" t="s">
        <v>175</v>
      </c>
    </row>
    <row r="604">
      <c r="A604" s="3" t="s">
        <v>176</v>
      </c>
    </row>
    <row r="605">
      <c r="A605" s="3" t="s">
        <v>177</v>
      </c>
    </row>
    <row r="606">
      <c r="A606" s="3" t="s">
        <v>178</v>
      </c>
    </row>
    <row r="607">
      <c r="A607" s="3" t="s">
        <v>35</v>
      </c>
    </row>
    <row r="608">
      <c r="A608" s="3" t="s">
        <v>179</v>
      </c>
    </row>
    <row r="609">
      <c r="A609" s="3" t="s">
        <v>36</v>
      </c>
    </row>
    <row r="610">
      <c r="A610" s="3" t="s">
        <v>180</v>
      </c>
    </row>
    <row r="611">
      <c r="A611" s="3" t="s">
        <v>181</v>
      </c>
    </row>
    <row r="612">
      <c r="A612" s="3" t="s">
        <v>182</v>
      </c>
    </row>
    <row r="613">
      <c r="A613" s="3" t="s">
        <v>183</v>
      </c>
    </row>
    <row r="614">
      <c r="A614" s="3" t="s">
        <v>184</v>
      </c>
    </row>
    <row r="615">
      <c r="A615" s="3" t="s">
        <v>185</v>
      </c>
    </row>
    <row r="616">
      <c r="A616" s="3" t="s">
        <v>37</v>
      </c>
    </row>
    <row r="617">
      <c r="A617" s="3" t="s">
        <v>186</v>
      </c>
    </row>
    <row r="618">
      <c r="A618" s="3" t="s">
        <v>187</v>
      </c>
    </row>
    <row r="619">
      <c r="A619" s="3" t="s">
        <v>38</v>
      </c>
    </row>
    <row r="620">
      <c r="A620" s="3" t="s">
        <v>188</v>
      </c>
    </row>
    <row r="621">
      <c r="A621" s="3" t="s">
        <v>189</v>
      </c>
    </row>
    <row r="622">
      <c r="A622" s="3" t="s">
        <v>190</v>
      </c>
    </row>
    <row r="623">
      <c r="A623" s="3" t="s">
        <v>191</v>
      </c>
    </row>
    <row r="624">
      <c r="A624" s="3" t="s">
        <v>192</v>
      </c>
    </row>
    <row r="625">
      <c r="A625" s="3" t="s">
        <v>39</v>
      </c>
    </row>
    <row r="626">
      <c r="A626" s="3" t="s">
        <v>193</v>
      </c>
    </row>
    <row r="627">
      <c r="A627" s="3" t="s">
        <v>194</v>
      </c>
    </row>
    <row r="628">
      <c r="A628" s="3" t="s">
        <v>40</v>
      </c>
    </row>
    <row r="629">
      <c r="A629" s="3" t="s">
        <v>195</v>
      </c>
    </row>
    <row r="630">
      <c r="A630" s="3" t="s">
        <v>196</v>
      </c>
    </row>
    <row r="631">
      <c r="A631" s="3" t="s">
        <v>41</v>
      </c>
    </row>
    <row r="632">
      <c r="A632" s="3" t="s">
        <v>197</v>
      </c>
    </row>
    <row r="633">
      <c r="A633" s="3" t="s">
        <v>198</v>
      </c>
    </row>
    <row r="634">
      <c r="A634" s="3" t="s">
        <v>199</v>
      </c>
    </row>
    <row r="635">
      <c r="A635" s="3" t="s">
        <v>200</v>
      </c>
    </row>
    <row r="636">
      <c r="A636" s="3" t="s">
        <v>201</v>
      </c>
    </row>
    <row r="637">
      <c r="A637" s="23" t="s">
        <v>244</v>
      </c>
      <c r="B637" s="3" t="s">
        <v>245</v>
      </c>
    </row>
    <row r="638">
      <c r="A638" s="6">
        <v>-0.25</v>
      </c>
      <c r="B638" s="3">
        <v>1.25</v>
      </c>
      <c r="C638" s="3"/>
    </row>
    <row r="639">
      <c r="A639" s="6">
        <v>-0.25</v>
      </c>
      <c r="B639" s="3">
        <v>1.5</v>
      </c>
      <c r="C639" s="3">
        <v>1.0</v>
      </c>
    </row>
    <row r="640">
      <c r="A640" s="6" t="s">
        <v>246</v>
      </c>
      <c r="B640" s="3">
        <v>1.0</v>
      </c>
      <c r="C640" s="3">
        <v>1.0</v>
      </c>
    </row>
    <row r="641">
      <c r="A641" s="6" t="s">
        <v>247</v>
      </c>
      <c r="B641" s="3">
        <v>2.0</v>
      </c>
      <c r="C641" s="3">
        <v>1.0</v>
      </c>
    </row>
    <row r="642">
      <c r="A642" s="6" t="s">
        <v>248</v>
      </c>
      <c r="B642" s="3">
        <v>2.0</v>
      </c>
      <c r="C642" s="3">
        <v>1.0</v>
      </c>
    </row>
    <row r="643">
      <c r="A643" s="6">
        <v>-0.5</v>
      </c>
      <c r="B643" s="3">
        <v>1.25</v>
      </c>
      <c r="C643" s="3">
        <v>1.0</v>
      </c>
    </row>
    <row r="644">
      <c r="A644" s="6">
        <v>-0.5</v>
      </c>
      <c r="B644" s="3">
        <v>2.25</v>
      </c>
      <c r="C644" s="3">
        <v>1.0</v>
      </c>
    </row>
    <row r="645">
      <c r="A645" s="6" t="s">
        <v>249</v>
      </c>
      <c r="B645" s="3">
        <v>2.0</v>
      </c>
      <c r="C645" s="3">
        <v>1.0</v>
      </c>
    </row>
    <row r="646">
      <c r="A646" s="6" t="s">
        <v>250</v>
      </c>
      <c r="B646" s="3">
        <v>1.25</v>
      </c>
      <c r="C646" s="3">
        <v>1.0</v>
      </c>
    </row>
    <row r="647">
      <c r="A647" s="6" t="s">
        <v>251</v>
      </c>
      <c r="B647" s="3">
        <v>2.75</v>
      </c>
      <c r="C647" s="3">
        <v>1.0</v>
      </c>
    </row>
    <row r="648">
      <c r="A648" s="6" t="s">
        <v>252</v>
      </c>
      <c r="B648" s="3">
        <v>2.25</v>
      </c>
      <c r="C648" s="3">
        <v>1.0</v>
      </c>
    </row>
    <row r="649">
      <c r="A649" s="6" t="s">
        <v>253</v>
      </c>
      <c r="B649" s="3">
        <v>1.75</v>
      </c>
      <c r="C649" s="3">
        <v>1.0</v>
      </c>
    </row>
    <row r="650">
      <c r="A650" s="6" t="s">
        <v>254</v>
      </c>
      <c r="B650" s="3">
        <v>1.5</v>
      </c>
      <c r="C650" s="3">
        <v>1.0</v>
      </c>
    </row>
    <row r="651">
      <c r="A651" s="6" t="s">
        <v>255</v>
      </c>
      <c r="B651" s="3">
        <v>2.5</v>
      </c>
      <c r="C651" s="3">
        <v>1.0</v>
      </c>
    </row>
    <row r="652">
      <c r="A652" s="6" t="s">
        <v>256</v>
      </c>
      <c r="B652" s="3">
        <v>1.75</v>
      </c>
      <c r="C652" s="3">
        <v>1.0</v>
      </c>
    </row>
    <row r="653">
      <c r="A653" s="6" t="s">
        <v>175</v>
      </c>
      <c r="B653" s="3">
        <v>2.25</v>
      </c>
      <c r="C653" s="3">
        <v>1.0</v>
      </c>
    </row>
    <row r="654">
      <c r="A654" s="6">
        <v>-1.0</v>
      </c>
      <c r="B654" s="3">
        <v>1.75</v>
      </c>
      <c r="C654" s="3">
        <v>1.0</v>
      </c>
    </row>
    <row r="655">
      <c r="A655" s="6" t="s">
        <v>257</v>
      </c>
      <c r="B655" s="3">
        <v>2.5</v>
      </c>
      <c r="C655" s="3">
        <v>1.0</v>
      </c>
    </row>
    <row r="656">
      <c r="A656" s="6" t="s">
        <v>258</v>
      </c>
      <c r="B656" s="3">
        <v>2.5</v>
      </c>
      <c r="C656" s="3">
        <v>1.0</v>
      </c>
    </row>
    <row r="657">
      <c r="A657" s="6" t="s">
        <v>259</v>
      </c>
      <c r="B657" s="3">
        <v>2.25</v>
      </c>
      <c r="C657" s="3">
        <v>1.0</v>
      </c>
    </row>
    <row r="658">
      <c r="A658" s="6" t="s">
        <v>260</v>
      </c>
      <c r="B658" s="3">
        <v>1.0</v>
      </c>
      <c r="C658" s="3">
        <v>1.0</v>
      </c>
    </row>
    <row r="659">
      <c r="A659" s="6" t="s">
        <v>261</v>
      </c>
      <c r="B659" s="3">
        <v>2.5</v>
      </c>
      <c r="C659" s="3">
        <v>2.0</v>
      </c>
    </row>
    <row r="660">
      <c r="A660" s="6" t="s">
        <v>262</v>
      </c>
      <c r="B660" s="3">
        <v>1.0</v>
      </c>
      <c r="C660" s="3">
        <v>1.0</v>
      </c>
    </row>
    <row r="661">
      <c r="A661" s="6" t="s">
        <v>263</v>
      </c>
      <c r="B661" s="3">
        <v>1.75</v>
      </c>
      <c r="C661" s="3">
        <v>1.0</v>
      </c>
    </row>
    <row r="662">
      <c r="A662" s="6" t="s">
        <v>262</v>
      </c>
      <c r="B662" s="3">
        <v>2.5</v>
      </c>
      <c r="C662" s="3">
        <v>1.0</v>
      </c>
    </row>
    <row r="663">
      <c r="A663" s="6" t="s">
        <v>264</v>
      </c>
      <c r="B663" s="3">
        <v>2.0</v>
      </c>
      <c r="C663" s="3">
        <v>1.0</v>
      </c>
    </row>
    <row r="664">
      <c r="A664" s="6" t="s">
        <v>265</v>
      </c>
      <c r="B664" s="3">
        <v>2.5</v>
      </c>
      <c r="C664" s="3">
        <v>1.0</v>
      </c>
    </row>
    <row r="665">
      <c r="A665" s="6">
        <v>-1.25</v>
      </c>
      <c r="B665" s="3">
        <v>1.0</v>
      </c>
      <c r="C665" s="3">
        <v>1.0</v>
      </c>
    </row>
    <row r="666">
      <c r="A666" s="6">
        <v>-1.25</v>
      </c>
      <c r="B666" s="3">
        <v>1.5</v>
      </c>
      <c r="C666" s="3">
        <v>1.0</v>
      </c>
    </row>
    <row r="667">
      <c r="A667" s="6">
        <v>-1.25</v>
      </c>
      <c r="B667" s="3">
        <v>3.0</v>
      </c>
      <c r="C667" s="3">
        <v>1.0</v>
      </c>
    </row>
    <row r="668">
      <c r="A668" s="6">
        <v>-1.5</v>
      </c>
      <c r="B668" s="3">
        <v>2.75</v>
      </c>
      <c r="C668" s="3">
        <v>1.0</v>
      </c>
    </row>
    <row r="669">
      <c r="A669" s="6" t="s">
        <v>266</v>
      </c>
      <c r="B669" s="3">
        <v>2.0</v>
      </c>
      <c r="C669" s="3">
        <v>1.0</v>
      </c>
    </row>
    <row r="670">
      <c r="A670" s="6" t="s">
        <v>267</v>
      </c>
      <c r="B670" s="3">
        <v>3.0</v>
      </c>
      <c r="C670" s="3">
        <v>1.0</v>
      </c>
    </row>
    <row r="671">
      <c r="A671" s="6">
        <v>-1.75</v>
      </c>
    </row>
    <row r="672">
      <c r="A672" s="6" t="s">
        <v>268</v>
      </c>
      <c r="B672" s="3">
        <v>2.5</v>
      </c>
      <c r="C672" s="3">
        <v>1.0</v>
      </c>
    </row>
    <row r="673">
      <c r="A673" s="6" t="s">
        <v>269</v>
      </c>
      <c r="B673" s="3">
        <v>2.25</v>
      </c>
      <c r="C673" s="3">
        <v>1.0</v>
      </c>
    </row>
    <row r="674">
      <c r="A674" s="6">
        <v>-2.25</v>
      </c>
    </row>
    <row r="675">
      <c r="A675" s="6">
        <v>-2.75</v>
      </c>
      <c r="B675" s="3">
        <v>2.5</v>
      </c>
      <c r="C675" s="3">
        <v>1.0</v>
      </c>
    </row>
    <row r="676">
      <c r="A676" s="6">
        <v>-3.0</v>
      </c>
    </row>
    <row r="677">
      <c r="A677" s="6">
        <v>-3.25</v>
      </c>
    </row>
    <row r="678">
      <c r="A678" s="6">
        <v>-3.5</v>
      </c>
      <c r="B678" s="3">
        <v>2.5</v>
      </c>
      <c r="C678" s="3">
        <v>1.0</v>
      </c>
    </row>
    <row r="679">
      <c r="A679" s="6">
        <v>-3.75</v>
      </c>
    </row>
    <row r="680">
      <c r="A680" s="6">
        <v>-4.0</v>
      </c>
    </row>
    <row r="681">
      <c r="A681" s="6" t="s">
        <v>270</v>
      </c>
      <c r="B681" s="3">
        <v>1.5</v>
      </c>
      <c r="C681" s="3">
        <v>1.0</v>
      </c>
    </row>
    <row r="682">
      <c r="A682" s="6" t="s">
        <v>271</v>
      </c>
      <c r="B682" s="3">
        <v>2.0</v>
      </c>
      <c r="C682" s="3">
        <v>1.0</v>
      </c>
    </row>
    <row r="683">
      <c r="A683" s="6" t="s">
        <v>272</v>
      </c>
      <c r="B683" s="3">
        <v>2.0</v>
      </c>
      <c r="C683" s="3">
        <v>2.0</v>
      </c>
    </row>
    <row r="684">
      <c r="A684" s="6" t="s">
        <v>273</v>
      </c>
      <c r="B684" s="3">
        <v>2.0</v>
      </c>
      <c r="C684" s="3">
        <v>1.0</v>
      </c>
    </row>
    <row r="685">
      <c r="A685" s="6" t="s">
        <v>274</v>
      </c>
      <c r="B685" s="3">
        <v>2.5</v>
      </c>
      <c r="C685" s="3">
        <v>1.0</v>
      </c>
    </row>
    <row r="686">
      <c r="A686" s="6" t="s">
        <v>275</v>
      </c>
      <c r="B686" s="3">
        <v>1.0</v>
      </c>
      <c r="C686" s="3">
        <v>1.0</v>
      </c>
    </row>
    <row r="687">
      <c r="A687" s="6" t="s">
        <v>276</v>
      </c>
      <c r="B687" s="3">
        <v>1.5</v>
      </c>
      <c r="C687" s="3">
        <v>1.0</v>
      </c>
    </row>
    <row r="688">
      <c r="A688" s="6" t="s">
        <v>277</v>
      </c>
      <c r="B688" s="3">
        <v>1.5</v>
      </c>
      <c r="C688" s="3">
        <v>1.0</v>
      </c>
    </row>
    <row r="689">
      <c r="A689" s="6" t="s">
        <v>278</v>
      </c>
      <c r="B689" s="3">
        <v>2.5</v>
      </c>
      <c r="C689" s="3">
        <v>1.0</v>
      </c>
    </row>
    <row r="690">
      <c r="A690" s="6" t="s">
        <v>279</v>
      </c>
      <c r="B690" s="3">
        <v>1.5</v>
      </c>
      <c r="C690" s="3">
        <v>1.0</v>
      </c>
    </row>
    <row r="691">
      <c r="A691" s="6" t="s">
        <v>280</v>
      </c>
      <c r="B691" s="3">
        <v>2.5</v>
      </c>
      <c r="C691" s="3">
        <v>1.0</v>
      </c>
    </row>
    <row r="692">
      <c r="A692" s="6" t="s">
        <v>150</v>
      </c>
    </row>
    <row r="693">
      <c r="A693" s="6" t="s">
        <v>151</v>
      </c>
    </row>
    <row r="694">
      <c r="A694" s="6" t="s">
        <v>152</v>
      </c>
    </row>
    <row r="695">
      <c r="A695" s="6" t="s">
        <v>153</v>
      </c>
    </row>
    <row r="696">
      <c r="A696" s="6" t="s">
        <v>154</v>
      </c>
    </row>
    <row r="697">
      <c r="A697" s="6" t="s">
        <v>155</v>
      </c>
    </row>
    <row r="698">
      <c r="A698" s="6" t="s">
        <v>135</v>
      </c>
    </row>
    <row r="699">
      <c r="A699" s="6" t="s">
        <v>156</v>
      </c>
    </row>
    <row r="700">
      <c r="A700" s="6" t="s">
        <v>157</v>
      </c>
    </row>
    <row r="701">
      <c r="A701" s="3" t="s">
        <v>158</v>
      </c>
    </row>
    <row r="702">
      <c r="A702" s="3" t="s">
        <v>159</v>
      </c>
    </row>
    <row r="703">
      <c r="A703" s="3" t="s">
        <v>160</v>
      </c>
    </row>
    <row r="704">
      <c r="A704" s="3" t="s">
        <v>25</v>
      </c>
    </row>
    <row r="705">
      <c r="A705" s="3" t="s">
        <v>161</v>
      </c>
    </row>
    <row r="706">
      <c r="A706" s="3" t="s">
        <v>26</v>
      </c>
    </row>
    <row r="707">
      <c r="A707" s="3" t="s">
        <v>162</v>
      </c>
    </row>
    <row r="708">
      <c r="A708" s="3" t="s">
        <v>163</v>
      </c>
    </row>
    <row r="709">
      <c r="A709" s="3" t="s">
        <v>164</v>
      </c>
    </row>
    <row r="710">
      <c r="A710" s="3" t="s">
        <v>27</v>
      </c>
    </row>
    <row r="711">
      <c r="A711" s="3" t="s">
        <v>165</v>
      </c>
    </row>
    <row r="712">
      <c r="A712" s="3" t="s">
        <v>166</v>
      </c>
    </row>
    <row r="713">
      <c r="A713" s="3" t="s">
        <v>167</v>
      </c>
    </row>
    <row r="714">
      <c r="A714" s="3" t="s">
        <v>168</v>
      </c>
    </row>
    <row r="715">
      <c r="A715" s="3" t="s">
        <v>169</v>
      </c>
    </row>
    <row r="716">
      <c r="A716" s="3" t="s">
        <v>32</v>
      </c>
    </row>
    <row r="717">
      <c r="A717" s="3" t="s">
        <v>170</v>
      </c>
    </row>
    <row r="718">
      <c r="A718" s="3" t="s">
        <v>171</v>
      </c>
    </row>
    <row r="719">
      <c r="A719" s="3" t="s">
        <v>172</v>
      </c>
    </row>
    <row r="720">
      <c r="A720" s="3" t="s">
        <v>173</v>
      </c>
    </row>
    <row r="721">
      <c r="A721" s="3" t="s">
        <v>33</v>
      </c>
    </row>
    <row r="722">
      <c r="A722" s="3" t="s">
        <v>34</v>
      </c>
    </row>
    <row r="723">
      <c r="A723" s="3" t="s">
        <v>174</v>
      </c>
    </row>
    <row r="724">
      <c r="A724" s="3" t="s">
        <v>175</v>
      </c>
    </row>
    <row r="725">
      <c r="A725" s="3" t="s">
        <v>176</v>
      </c>
    </row>
    <row r="726">
      <c r="A726" s="3" t="s">
        <v>177</v>
      </c>
    </row>
    <row r="727">
      <c r="A727" s="3" t="s">
        <v>178</v>
      </c>
    </row>
    <row r="728">
      <c r="A728" s="3" t="s">
        <v>35</v>
      </c>
    </row>
    <row r="729">
      <c r="A729" s="3" t="s">
        <v>179</v>
      </c>
    </row>
    <row r="730">
      <c r="A730" s="3" t="s">
        <v>36</v>
      </c>
    </row>
    <row r="731">
      <c r="A731" s="3" t="s">
        <v>180</v>
      </c>
    </row>
    <row r="732">
      <c r="A732" s="3" t="s">
        <v>181</v>
      </c>
    </row>
    <row r="733">
      <c r="A733" s="3" t="s">
        <v>182</v>
      </c>
    </row>
    <row r="734">
      <c r="A734" s="3" t="s">
        <v>183</v>
      </c>
    </row>
    <row r="735">
      <c r="A735" s="3" t="s">
        <v>184</v>
      </c>
    </row>
    <row r="736">
      <c r="A736" s="3" t="s">
        <v>185</v>
      </c>
    </row>
    <row r="737">
      <c r="A737" s="3" t="s">
        <v>37</v>
      </c>
    </row>
    <row r="738">
      <c r="A738" s="3" t="s">
        <v>186</v>
      </c>
    </row>
    <row r="739">
      <c r="A739" s="3" t="s">
        <v>187</v>
      </c>
    </row>
    <row r="740">
      <c r="A740" s="3" t="s">
        <v>38</v>
      </c>
    </row>
    <row r="741">
      <c r="A741" s="3" t="s">
        <v>188</v>
      </c>
    </row>
    <row r="742">
      <c r="A742" s="3" t="s">
        <v>189</v>
      </c>
    </row>
    <row r="743">
      <c r="A743" s="3" t="s">
        <v>190</v>
      </c>
    </row>
    <row r="744">
      <c r="A744" s="3" t="s">
        <v>191</v>
      </c>
    </row>
    <row r="745">
      <c r="A745" s="3" t="s">
        <v>192</v>
      </c>
    </row>
    <row r="746">
      <c r="A746" s="3" t="s">
        <v>39</v>
      </c>
    </row>
    <row r="747">
      <c r="A747" s="3" t="s">
        <v>193</v>
      </c>
    </row>
    <row r="748">
      <c r="A748" s="3" t="s">
        <v>194</v>
      </c>
    </row>
    <row r="749">
      <c r="A749" s="3" t="s">
        <v>40</v>
      </c>
    </row>
    <row r="750">
      <c r="A750" s="3" t="s">
        <v>195</v>
      </c>
    </row>
    <row r="751">
      <c r="A751" s="3" t="s">
        <v>196</v>
      </c>
    </row>
    <row r="752">
      <c r="A752" s="3" t="s">
        <v>41</v>
      </c>
    </row>
    <row r="753">
      <c r="A753" s="3" t="s">
        <v>197</v>
      </c>
    </row>
    <row r="754">
      <c r="A754" s="3" t="s">
        <v>198</v>
      </c>
    </row>
    <row r="755">
      <c r="A755" s="3" t="s">
        <v>199</v>
      </c>
    </row>
    <row r="756">
      <c r="A756" s="3" t="s">
        <v>200</v>
      </c>
    </row>
    <row r="757">
      <c r="A757" s="3" t="s">
        <v>201</v>
      </c>
    </row>
    <row r="758">
      <c r="A758" s="3" t="s">
        <v>202</v>
      </c>
    </row>
    <row r="759">
      <c r="A759" s="3" t="s">
        <v>203</v>
      </c>
    </row>
    <row r="760">
      <c r="A760" s="3" t="s">
        <v>204</v>
      </c>
    </row>
    <row r="761">
      <c r="A761" s="3" t="s">
        <v>42</v>
      </c>
    </row>
    <row r="762">
      <c r="A762" s="3" t="s">
        <v>205</v>
      </c>
    </row>
    <row r="763">
      <c r="A763" s="3" t="s">
        <v>206</v>
      </c>
    </row>
    <row r="764">
      <c r="A764" s="3" t="s">
        <v>43</v>
      </c>
    </row>
    <row r="765">
      <c r="A765" s="3" t="s">
        <v>44</v>
      </c>
    </row>
    <row r="766">
      <c r="A766" s="3" t="s">
        <v>45</v>
      </c>
    </row>
    <row r="767">
      <c r="A767" s="3" t="s">
        <v>46</v>
      </c>
    </row>
    <row r="768">
      <c r="A768" s="3" t="s">
        <v>47</v>
      </c>
    </row>
    <row r="769">
      <c r="A769" s="3" t="s">
        <v>48</v>
      </c>
    </row>
    <row r="770">
      <c r="A770" s="3" t="s">
        <v>49</v>
      </c>
    </row>
    <row r="771">
      <c r="A771" s="3" t="s">
        <v>50</v>
      </c>
    </row>
    <row r="772">
      <c r="A772" s="3" t="s">
        <v>51</v>
      </c>
    </row>
    <row r="773">
      <c r="A773" s="3" t="s">
        <v>52</v>
      </c>
    </row>
    <row r="774">
      <c r="A774" s="3" t="s">
        <v>207</v>
      </c>
    </row>
    <row r="775">
      <c r="A775" s="3" t="s">
        <v>208</v>
      </c>
    </row>
    <row r="776">
      <c r="A776" s="3" t="s">
        <v>53</v>
      </c>
    </row>
    <row r="777">
      <c r="A777" s="3" t="s">
        <v>54</v>
      </c>
    </row>
    <row r="778">
      <c r="A778" s="3" t="s">
        <v>210</v>
      </c>
    </row>
    <row r="779">
      <c r="A779" s="3" t="s">
        <v>211</v>
      </c>
    </row>
    <row r="780">
      <c r="A780" s="3" t="s">
        <v>212</v>
      </c>
    </row>
    <row r="781">
      <c r="A781" s="3" t="s">
        <v>213</v>
      </c>
    </row>
    <row r="782">
      <c r="A782" s="3" t="s">
        <v>55</v>
      </c>
    </row>
    <row r="783">
      <c r="A783" s="3" t="s">
        <v>214</v>
      </c>
    </row>
    <row r="784">
      <c r="A784" s="3" t="s">
        <v>215</v>
      </c>
    </row>
    <row r="785">
      <c r="A785" s="3" t="s">
        <v>216</v>
      </c>
    </row>
    <row r="786">
      <c r="A786" s="3" t="s">
        <v>217</v>
      </c>
    </row>
    <row r="787">
      <c r="A787" s="3" t="s">
        <v>218</v>
      </c>
    </row>
    <row r="788">
      <c r="A788" s="3" t="s">
        <v>60</v>
      </c>
    </row>
    <row r="789">
      <c r="A789" s="3" t="s">
        <v>219</v>
      </c>
    </row>
    <row r="790">
      <c r="A790" s="3" t="s">
        <v>61</v>
      </c>
    </row>
    <row r="791">
      <c r="A791" s="3" t="s">
        <v>220</v>
      </c>
    </row>
    <row r="792">
      <c r="A792" s="3" t="s">
        <v>62</v>
      </c>
    </row>
    <row r="793">
      <c r="A793" s="3" t="s">
        <v>221</v>
      </c>
    </row>
    <row r="794">
      <c r="A794" s="3" t="s">
        <v>63</v>
      </c>
    </row>
    <row r="795">
      <c r="A795" s="3" t="s">
        <v>222</v>
      </c>
    </row>
    <row r="796">
      <c r="A796" s="3" t="s">
        <v>223</v>
      </c>
    </row>
    <row r="797">
      <c r="A797" s="3" t="s">
        <v>64</v>
      </c>
    </row>
    <row r="798">
      <c r="A798" s="3" t="s">
        <v>224</v>
      </c>
    </row>
    <row r="799">
      <c r="A799" s="3" t="s">
        <v>225</v>
      </c>
    </row>
    <row r="800">
      <c r="A800" s="3" t="s">
        <v>65</v>
      </c>
    </row>
    <row r="801">
      <c r="A801" s="3" t="s">
        <v>66</v>
      </c>
    </row>
    <row r="802">
      <c r="A802" s="3" t="s">
        <v>67</v>
      </c>
    </row>
    <row r="803">
      <c r="A803" s="3" t="s">
        <v>68</v>
      </c>
    </row>
    <row r="804">
      <c r="A804" s="3" t="s">
        <v>69</v>
      </c>
    </row>
    <row r="805">
      <c r="A805" s="3" t="s">
        <v>226</v>
      </c>
    </row>
    <row r="806">
      <c r="A806" s="3" t="s">
        <v>70</v>
      </c>
    </row>
    <row r="807">
      <c r="A807" s="3" t="s">
        <v>71</v>
      </c>
    </row>
    <row r="808">
      <c r="A808" s="3" t="s">
        <v>227</v>
      </c>
    </row>
    <row r="809">
      <c r="A809" s="3" t="s">
        <v>72</v>
      </c>
    </row>
    <row r="810">
      <c r="A810" s="3" t="s">
        <v>228</v>
      </c>
    </row>
    <row r="811">
      <c r="A811" s="3" t="s">
        <v>229</v>
      </c>
    </row>
    <row r="812">
      <c r="A812" s="3" t="s">
        <v>73</v>
      </c>
    </row>
    <row r="813">
      <c r="A813" s="3" t="s">
        <v>74</v>
      </c>
    </row>
    <row r="814">
      <c r="A814" s="3" t="s">
        <v>75</v>
      </c>
    </row>
    <row r="815">
      <c r="A815" s="3" t="s">
        <v>76</v>
      </c>
    </row>
    <row r="816">
      <c r="A816" s="3" t="s">
        <v>77</v>
      </c>
    </row>
    <row r="817">
      <c r="A817" s="3" t="s">
        <v>78</v>
      </c>
    </row>
    <row r="818">
      <c r="A818" s="3" t="s">
        <v>79</v>
      </c>
    </row>
    <row r="819">
      <c r="A819" s="3" t="s">
        <v>80</v>
      </c>
    </row>
    <row r="820">
      <c r="A820" s="3" t="s">
        <v>81</v>
      </c>
    </row>
    <row r="821">
      <c r="A821" s="3" t="s">
        <v>82</v>
      </c>
    </row>
    <row r="822">
      <c r="A822" s="3" t="s">
        <v>83</v>
      </c>
    </row>
    <row r="823">
      <c r="A823" s="3" t="s">
        <v>84</v>
      </c>
    </row>
    <row r="824">
      <c r="A824" s="3" t="s">
        <v>85</v>
      </c>
    </row>
    <row r="825">
      <c r="A825" s="3" t="s">
        <v>86</v>
      </c>
    </row>
    <row r="826">
      <c r="A826" s="3" t="s">
        <v>87</v>
      </c>
    </row>
    <row r="827">
      <c r="A827" s="3" t="s">
        <v>88</v>
      </c>
    </row>
    <row r="828">
      <c r="A828" s="3" t="s">
        <v>89</v>
      </c>
    </row>
    <row r="829">
      <c r="A829" s="3" t="s">
        <v>90</v>
      </c>
    </row>
    <row r="830">
      <c r="A830" s="3" t="s">
        <v>230</v>
      </c>
    </row>
    <row r="831">
      <c r="A831" s="3" t="s">
        <v>231</v>
      </c>
    </row>
    <row r="832">
      <c r="A832" s="3" t="s">
        <v>232</v>
      </c>
    </row>
    <row r="833">
      <c r="A833" s="3" t="s">
        <v>281</v>
      </c>
    </row>
    <row r="834">
      <c r="A834" s="3">
        <v>-0.25</v>
      </c>
      <c r="B834" s="3">
        <v>1.0</v>
      </c>
      <c r="C834" s="3">
        <v>1.0</v>
      </c>
    </row>
    <row r="835">
      <c r="A835" s="3" t="s">
        <v>282</v>
      </c>
      <c r="B835" s="3">
        <v>2.75</v>
      </c>
      <c r="C835" s="3">
        <v>1.0</v>
      </c>
    </row>
    <row r="836">
      <c r="A836" s="3" t="s">
        <v>275</v>
      </c>
      <c r="B836" s="3">
        <v>1.25</v>
      </c>
      <c r="C836" s="3">
        <v>1.0</v>
      </c>
    </row>
    <row r="837">
      <c r="A837" s="3" t="s">
        <v>260</v>
      </c>
      <c r="B837" s="3">
        <v>2.0</v>
      </c>
      <c r="C837" s="3">
        <v>1.0</v>
      </c>
    </row>
    <row r="838">
      <c r="A838" s="3">
        <v>-1.25</v>
      </c>
      <c r="B838" s="3">
        <v>2.0</v>
      </c>
      <c r="C838" s="3">
        <v>1.0</v>
      </c>
    </row>
    <row r="839">
      <c r="A839" s="3" t="s">
        <v>145</v>
      </c>
      <c r="B839" s="3">
        <v>2.25</v>
      </c>
      <c r="C839" s="3">
        <v>1.0</v>
      </c>
    </row>
    <row r="840">
      <c r="A840" s="3" t="s">
        <v>283</v>
      </c>
      <c r="B840" s="3">
        <v>2.5</v>
      </c>
      <c r="C840" s="3">
        <v>1.0</v>
      </c>
    </row>
    <row r="841">
      <c r="A841" s="3">
        <v>-2.5</v>
      </c>
      <c r="B841" s="3">
        <v>2.25</v>
      </c>
      <c r="C841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6.5"/>
  </cols>
  <sheetData>
    <row r="1">
      <c r="A1" s="24"/>
    </row>
    <row r="2">
      <c r="A2" s="25" t="s">
        <v>284</v>
      </c>
      <c r="B2" s="3" t="s">
        <v>285</v>
      </c>
    </row>
    <row r="3">
      <c r="A3" s="6" t="s">
        <v>8</v>
      </c>
    </row>
    <row r="4">
      <c r="A4" s="6">
        <v>-0.25</v>
      </c>
      <c r="B4" s="3">
        <v>1.0</v>
      </c>
    </row>
    <row r="5">
      <c r="A5" s="6">
        <v>-0.5</v>
      </c>
      <c r="B5" s="3">
        <v>2.0</v>
      </c>
    </row>
    <row r="6">
      <c r="A6" s="6">
        <v>-0.75</v>
      </c>
      <c r="B6" s="3">
        <v>3.0</v>
      </c>
    </row>
    <row r="7">
      <c r="A7" s="6">
        <v>-1.0</v>
      </c>
      <c r="B7" s="3">
        <v>3.0</v>
      </c>
    </row>
    <row r="8">
      <c r="A8" s="6">
        <v>-125.0</v>
      </c>
      <c r="B8" s="3">
        <v>2.0</v>
      </c>
    </row>
    <row r="9">
      <c r="A9" s="6">
        <v>-1.5</v>
      </c>
      <c r="B9" s="3">
        <v>4.0</v>
      </c>
    </row>
    <row r="10">
      <c r="A10" s="6">
        <v>-1.75</v>
      </c>
      <c r="B10" s="3">
        <v>5.0</v>
      </c>
    </row>
    <row r="11">
      <c r="A11" s="6">
        <v>-2.0</v>
      </c>
      <c r="B11" s="3">
        <v>2.0</v>
      </c>
    </row>
    <row r="12">
      <c r="A12" s="6">
        <v>-2.25</v>
      </c>
      <c r="B12" s="3">
        <v>1.0</v>
      </c>
    </row>
    <row r="13">
      <c r="A13" s="6">
        <v>-2.5</v>
      </c>
      <c r="B13" s="3">
        <v>2.0</v>
      </c>
    </row>
    <row r="14">
      <c r="A14" s="6">
        <v>-2.75</v>
      </c>
      <c r="B14" s="3">
        <v>2.0</v>
      </c>
    </row>
    <row r="15">
      <c r="A15" s="6">
        <v>-300.0</v>
      </c>
      <c r="B15" s="3">
        <v>3.0</v>
      </c>
    </row>
    <row r="16">
      <c r="A16" s="6">
        <v>-3.5</v>
      </c>
      <c r="B16" s="3">
        <v>2.0</v>
      </c>
    </row>
    <row r="17">
      <c r="A17" s="6">
        <v>-3.75</v>
      </c>
      <c r="B17" s="3">
        <v>2.0</v>
      </c>
    </row>
    <row r="18">
      <c r="A18" s="6">
        <v>-4.0</v>
      </c>
      <c r="B18" s="3">
        <v>1.0</v>
      </c>
    </row>
    <row r="19">
      <c r="A19" s="6">
        <v>-4.25</v>
      </c>
      <c r="B19" s="3">
        <v>1.0</v>
      </c>
    </row>
    <row r="20">
      <c r="A20" s="6">
        <v>-4.5</v>
      </c>
    </row>
    <row r="21">
      <c r="A21" s="6">
        <v>-4.75</v>
      </c>
      <c r="B21" s="3">
        <v>2.0</v>
      </c>
    </row>
    <row r="22">
      <c r="A22" s="6">
        <v>-5.0</v>
      </c>
      <c r="B22" s="3">
        <v>1.0</v>
      </c>
    </row>
    <row r="23">
      <c r="A23" s="6">
        <v>-5.25</v>
      </c>
      <c r="B23" s="3">
        <v>2.0</v>
      </c>
    </row>
    <row r="24">
      <c r="A24" s="6">
        <v>-7.0</v>
      </c>
      <c r="B24" s="3">
        <v>1.0</v>
      </c>
    </row>
    <row r="25">
      <c r="A25" s="6">
        <v>-8.0</v>
      </c>
      <c r="B25" s="3">
        <v>1.0</v>
      </c>
    </row>
    <row r="26">
      <c r="A26" s="6">
        <v>-10.0</v>
      </c>
      <c r="B26" s="3">
        <v>1.0</v>
      </c>
    </row>
    <row r="27">
      <c r="A27" s="6">
        <v>-12.0</v>
      </c>
      <c r="B27" s="3">
        <v>1.0</v>
      </c>
    </row>
    <row r="28">
      <c r="A28" s="10" t="s">
        <v>10</v>
      </c>
    </row>
    <row r="29">
      <c r="A29" s="6" t="s">
        <v>286</v>
      </c>
      <c r="B29" s="3">
        <v>1.0</v>
      </c>
    </row>
    <row r="30">
      <c r="A30" s="6" t="s">
        <v>287</v>
      </c>
      <c r="B30" s="3">
        <v>2.0</v>
      </c>
    </row>
    <row r="31">
      <c r="A31" s="6" t="s">
        <v>288</v>
      </c>
      <c r="B31" s="3">
        <v>2.0</v>
      </c>
    </row>
    <row r="32">
      <c r="A32" s="6" t="s">
        <v>289</v>
      </c>
      <c r="B32" s="3">
        <v>3.0</v>
      </c>
    </row>
    <row r="33">
      <c r="A33" s="6">
        <v>-1.25</v>
      </c>
      <c r="B33" s="3">
        <v>4.0</v>
      </c>
    </row>
    <row r="34">
      <c r="A34" s="6">
        <v>-1.5</v>
      </c>
      <c r="B34" s="3">
        <v>2.0</v>
      </c>
    </row>
    <row r="35">
      <c r="A35" s="6">
        <v>-1.75</v>
      </c>
      <c r="B35" s="3">
        <v>2.0</v>
      </c>
    </row>
    <row r="36">
      <c r="A36" s="6">
        <v>-2.0</v>
      </c>
      <c r="B36" s="3">
        <v>2.0</v>
      </c>
    </row>
    <row r="37">
      <c r="A37" s="6">
        <v>-2.25</v>
      </c>
      <c r="B37" s="3">
        <v>4.0</v>
      </c>
    </row>
    <row r="38">
      <c r="A38" s="3" t="s">
        <v>290</v>
      </c>
      <c r="B38" s="3">
        <v>2.0</v>
      </c>
    </row>
    <row r="39">
      <c r="A39" s="3" t="s">
        <v>291</v>
      </c>
      <c r="B39" s="3">
        <v>3.0</v>
      </c>
    </row>
    <row r="40">
      <c r="A40" s="3" t="s">
        <v>292</v>
      </c>
      <c r="B40" s="3">
        <v>3.0</v>
      </c>
    </row>
    <row r="41">
      <c r="A41" s="3" t="s">
        <v>293</v>
      </c>
    </row>
    <row r="42">
      <c r="A42" s="26" t="s">
        <v>15</v>
      </c>
    </row>
    <row r="43">
      <c r="A43" s="3" t="s">
        <v>16</v>
      </c>
    </row>
    <row r="44">
      <c r="A44" s="3" t="s">
        <v>17</v>
      </c>
    </row>
    <row r="45">
      <c r="A45" s="3" t="s">
        <v>18</v>
      </c>
      <c r="B45" s="3">
        <v>1.0</v>
      </c>
    </row>
    <row r="46">
      <c r="A46" s="3" t="s">
        <v>19</v>
      </c>
      <c r="B46" s="3">
        <v>1.0</v>
      </c>
    </row>
    <row r="47">
      <c r="A47" s="3" t="s">
        <v>20</v>
      </c>
    </row>
    <row r="48">
      <c r="A48" s="3" t="s">
        <v>21</v>
      </c>
      <c r="B48" s="3">
        <v>5.0</v>
      </c>
    </row>
    <row r="49">
      <c r="A49" s="3" t="s">
        <v>22</v>
      </c>
      <c r="B49" s="3">
        <v>3.0</v>
      </c>
    </row>
    <row r="50">
      <c r="A50" s="3" t="s">
        <v>23</v>
      </c>
      <c r="B50" s="3">
        <v>3.0</v>
      </c>
    </row>
    <row r="51">
      <c r="A51" s="3" t="s">
        <v>24</v>
      </c>
    </row>
    <row r="52">
      <c r="A52" s="3" t="s">
        <v>294</v>
      </c>
      <c r="B52" s="3">
        <v>1.0</v>
      </c>
    </row>
    <row r="53">
      <c r="A53" s="3" t="s">
        <v>25</v>
      </c>
      <c r="B53" s="3">
        <v>3.0</v>
      </c>
    </row>
    <row r="54">
      <c r="A54" s="3" t="s">
        <v>295</v>
      </c>
      <c r="B54" s="3">
        <v>2.0</v>
      </c>
    </row>
    <row r="55">
      <c r="A55" s="3" t="s">
        <v>166</v>
      </c>
      <c r="B55" s="3">
        <v>1.0</v>
      </c>
    </row>
    <row r="56">
      <c r="A56" s="3" t="s">
        <v>167</v>
      </c>
      <c r="B56" s="3">
        <v>2.0</v>
      </c>
    </row>
    <row r="57">
      <c r="A57" s="3" t="s">
        <v>31</v>
      </c>
    </row>
    <row r="58">
      <c r="A58" s="3" t="s">
        <v>32</v>
      </c>
    </row>
    <row r="59">
      <c r="A59" s="3" t="s">
        <v>173</v>
      </c>
      <c r="B59" s="3">
        <v>3.0</v>
      </c>
    </row>
    <row r="60">
      <c r="A60" s="3" t="s">
        <v>33</v>
      </c>
      <c r="B60" s="3">
        <v>3.0</v>
      </c>
    </row>
    <row r="61">
      <c r="A61" s="3" t="s">
        <v>34</v>
      </c>
      <c r="B61" s="3">
        <v>2.0</v>
      </c>
    </row>
    <row r="62">
      <c r="A62" s="3" t="s">
        <v>296</v>
      </c>
      <c r="B62" s="3">
        <v>2.0</v>
      </c>
    </row>
    <row r="63">
      <c r="A63" s="3" t="s">
        <v>35</v>
      </c>
      <c r="B63" s="3">
        <v>5.0</v>
      </c>
    </row>
    <row r="64">
      <c r="A64" s="3" t="s">
        <v>297</v>
      </c>
      <c r="B64" s="3">
        <v>1.0</v>
      </c>
    </row>
    <row r="65">
      <c r="A65" s="3" t="s">
        <v>298</v>
      </c>
      <c r="B65" s="3">
        <v>2.0</v>
      </c>
    </row>
    <row r="66">
      <c r="A66" s="3" t="s">
        <v>299</v>
      </c>
      <c r="B66" s="3">
        <v>1.0</v>
      </c>
    </row>
    <row r="67">
      <c r="A67" s="3" t="s">
        <v>38</v>
      </c>
      <c r="B67" s="3">
        <v>7.0</v>
      </c>
    </row>
    <row r="68">
      <c r="A68" s="3" t="s">
        <v>191</v>
      </c>
      <c r="B68" s="3">
        <v>3.0</v>
      </c>
    </row>
    <row r="69">
      <c r="A69" s="3" t="s">
        <v>300</v>
      </c>
      <c r="B69" s="3">
        <v>4.0</v>
      </c>
    </row>
    <row r="70">
      <c r="A70" s="3" t="s">
        <v>39</v>
      </c>
      <c r="B70" s="3">
        <v>2.0</v>
      </c>
    </row>
    <row r="71">
      <c r="A71" s="3" t="s">
        <v>301</v>
      </c>
      <c r="B71" s="3">
        <v>2.0</v>
      </c>
    </row>
    <row r="72">
      <c r="A72" s="3" t="s">
        <v>41</v>
      </c>
      <c r="B72" s="3">
        <v>6.0</v>
      </c>
    </row>
    <row r="73">
      <c r="A73" s="3" t="s">
        <v>302</v>
      </c>
      <c r="B73" s="3">
        <v>1.0</v>
      </c>
    </row>
    <row r="74">
      <c r="A74" s="3" t="s">
        <v>200</v>
      </c>
      <c r="B74" s="3">
        <v>2.0</v>
      </c>
    </row>
    <row r="75">
      <c r="A75" s="3" t="s">
        <v>303</v>
      </c>
      <c r="B75" s="3">
        <v>2.0</v>
      </c>
    </row>
    <row r="76">
      <c r="A76" s="3" t="s">
        <v>304</v>
      </c>
      <c r="B76" s="3">
        <v>2.0</v>
      </c>
    </row>
    <row r="77">
      <c r="A77" s="3" t="s">
        <v>43</v>
      </c>
      <c r="B77" s="3">
        <v>6.0</v>
      </c>
    </row>
    <row r="78">
      <c r="A78" s="3" t="s">
        <v>47</v>
      </c>
      <c r="B78" s="3">
        <v>1.0</v>
      </c>
    </row>
    <row r="79">
      <c r="A79" s="3" t="s">
        <v>48</v>
      </c>
    </row>
    <row r="80">
      <c r="A80" s="3" t="s">
        <v>49</v>
      </c>
    </row>
    <row r="81">
      <c r="A81" s="3" t="s">
        <v>50</v>
      </c>
    </row>
    <row r="82">
      <c r="A82" s="3" t="s">
        <v>51</v>
      </c>
    </row>
    <row r="83">
      <c r="A83" s="3" t="s">
        <v>52</v>
      </c>
    </row>
    <row r="84">
      <c r="A84" s="3" t="s">
        <v>53</v>
      </c>
    </row>
    <row r="85">
      <c r="A85" s="3" t="s">
        <v>54</v>
      </c>
    </row>
    <row r="86">
      <c r="A86" s="3" t="s">
        <v>55</v>
      </c>
    </row>
    <row r="87">
      <c r="A87" s="3" t="s">
        <v>57</v>
      </c>
    </row>
    <row r="88">
      <c r="A88" s="3" t="s">
        <v>218</v>
      </c>
    </row>
    <row r="89">
      <c r="A89" s="3" t="s">
        <v>60</v>
      </c>
    </row>
    <row r="90">
      <c r="A90" s="3" t="s">
        <v>61</v>
      </c>
    </row>
    <row r="91">
      <c r="A91" s="3" t="s">
        <v>62</v>
      </c>
    </row>
    <row r="92">
      <c r="A92" s="3" t="s">
        <v>63</v>
      </c>
    </row>
    <row r="93">
      <c r="A93" s="3" t="s">
        <v>64</v>
      </c>
    </row>
    <row r="94">
      <c r="A94" s="3" t="s">
        <v>65</v>
      </c>
    </row>
    <row r="95">
      <c r="A95" s="3" t="s">
        <v>66</v>
      </c>
    </row>
    <row r="96">
      <c r="A96" s="3" t="s">
        <v>67</v>
      </c>
    </row>
    <row r="97">
      <c r="A97" s="3" t="s">
        <v>68</v>
      </c>
    </row>
    <row r="98">
      <c r="A98" s="3" t="s">
        <v>69</v>
      </c>
    </row>
    <row r="99">
      <c r="A99" s="3" t="s">
        <v>226</v>
      </c>
      <c r="B99" s="3">
        <v>2.0</v>
      </c>
    </row>
    <row r="100">
      <c r="A100" s="3" t="s">
        <v>70</v>
      </c>
      <c r="B100" s="3">
        <v>2.0</v>
      </c>
    </row>
    <row r="101">
      <c r="A101" s="3" t="s">
        <v>71</v>
      </c>
      <c r="B101" s="3">
        <v>3.0</v>
      </c>
    </row>
    <row r="102">
      <c r="A102" s="3" t="s">
        <v>73</v>
      </c>
      <c r="B102" s="3">
        <v>6.0</v>
      </c>
    </row>
    <row r="103">
      <c r="A103" s="3" t="s">
        <v>74</v>
      </c>
      <c r="B103" s="3">
        <v>3.0</v>
      </c>
    </row>
    <row r="104">
      <c r="A104" s="3" t="s">
        <v>75</v>
      </c>
      <c r="B104" s="3">
        <v>2.0</v>
      </c>
    </row>
    <row r="105">
      <c r="A105" s="3" t="s">
        <v>76</v>
      </c>
      <c r="B105" s="3">
        <v>3.0</v>
      </c>
    </row>
    <row r="106">
      <c r="A106" s="3" t="s">
        <v>77</v>
      </c>
      <c r="B106" s="3">
        <v>3.0</v>
      </c>
    </row>
    <row r="107">
      <c r="A107" s="3" t="s">
        <v>78</v>
      </c>
      <c r="B107" s="3">
        <v>2.0</v>
      </c>
    </row>
    <row r="108">
      <c r="A108" s="3" t="s">
        <v>79</v>
      </c>
      <c r="B108" s="3">
        <v>2.0</v>
      </c>
    </row>
    <row r="109">
      <c r="A109" s="3" t="s">
        <v>80</v>
      </c>
    </row>
    <row r="110">
      <c r="A110" s="3" t="s">
        <v>81</v>
      </c>
    </row>
    <row r="111">
      <c r="A111" s="3" t="s">
        <v>82</v>
      </c>
    </row>
    <row r="112">
      <c r="A112" s="3" t="s">
        <v>83</v>
      </c>
    </row>
    <row r="113">
      <c r="A113" s="3" t="s">
        <v>84</v>
      </c>
    </row>
    <row r="114">
      <c r="A114" s="3" t="s">
        <v>85</v>
      </c>
    </row>
    <row r="115">
      <c r="A115" s="3" t="s">
        <v>86</v>
      </c>
    </row>
    <row r="116">
      <c r="A116" s="3" t="s">
        <v>87</v>
      </c>
      <c r="B116" s="3">
        <v>2.0</v>
      </c>
    </row>
    <row r="117">
      <c r="A117" s="3" t="s">
        <v>88</v>
      </c>
    </row>
    <row r="118">
      <c r="A118" s="3" t="s">
        <v>89</v>
      </c>
      <c r="B118" s="3">
        <v>1.0</v>
      </c>
    </row>
    <row r="119">
      <c r="A119" s="3" t="s">
        <v>90</v>
      </c>
      <c r="B119" s="3">
        <v>1.0</v>
      </c>
    </row>
    <row r="120">
      <c r="A120" s="3" t="s">
        <v>305</v>
      </c>
      <c r="B120" s="3">
        <v>2.0</v>
      </c>
    </row>
    <row r="121">
      <c r="A121" s="3" t="s">
        <v>91</v>
      </c>
    </row>
    <row r="122">
      <c r="A122" s="3" t="s">
        <v>92</v>
      </c>
      <c r="B122" s="3">
        <v>1.0</v>
      </c>
    </row>
    <row r="123">
      <c r="A123" s="3" t="s">
        <v>93</v>
      </c>
      <c r="B123" s="3">
        <v>1.0</v>
      </c>
    </row>
    <row r="124">
      <c r="A124" s="3" t="s">
        <v>94</v>
      </c>
    </row>
    <row r="125">
      <c r="A125" s="3" t="s">
        <v>96</v>
      </c>
    </row>
    <row r="126">
      <c r="A126" s="3" t="s">
        <v>97</v>
      </c>
    </row>
    <row r="127">
      <c r="A127" s="3" t="s">
        <v>306</v>
      </c>
      <c r="B127" s="3">
        <v>1.0</v>
      </c>
    </row>
    <row r="128">
      <c r="A128" s="3" t="s">
        <v>99</v>
      </c>
      <c r="B128" s="3">
        <v>1.0</v>
      </c>
    </row>
    <row r="129">
      <c r="A129" s="3" t="s">
        <v>101</v>
      </c>
      <c r="B129" s="3">
        <v>1.0</v>
      </c>
    </row>
    <row r="130">
      <c r="A130" s="3" t="s">
        <v>102</v>
      </c>
      <c r="B130" s="3">
        <v>4.0</v>
      </c>
    </row>
    <row r="131">
      <c r="A131" s="3" t="s">
        <v>103</v>
      </c>
    </row>
    <row r="132">
      <c r="A132" s="3" t="s">
        <v>307</v>
      </c>
      <c r="B132" s="3">
        <v>1.0</v>
      </c>
    </row>
    <row r="133">
      <c r="A133" s="3" t="s">
        <v>104</v>
      </c>
      <c r="B133" s="3">
        <v>1.0</v>
      </c>
    </row>
    <row r="134">
      <c r="A134" s="3" t="s">
        <v>105</v>
      </c>
    </row>
    <row r="135">
      <c r="A135" s="3" t="s">
        <v>106</v>
      </c>
    </row>
    <row r="136">
      <c r="A136" s="3" t="s">
        <v>107</v>
      </c>
    </row>
    <row r="137">
      <c r="A137" s="3" t="s">
        <v>108</v>
      </c>
    </row>
    <row r="138">
      <c r="A138" s="3" t="s">
        <v>109</v>
      </c>
    </row>
    <row r="139">
      <c r="A139" s="3" t="s">
        <v>308</v>
      </c>
    </row>
    <row r="140">
      <c r="A140" s="3" t="s">
        <v>111</v>
      </c>
    </row>
    <row r="141">
      <c r="A141" s="3" t="s">
        <v>111</v>
      </c>
    </row>
    <row r="142">
      <c r="A142" s="3" t="s">
        <v>309</v>
      </c>
      <c r="B142" s="3">
        <v>1.0</v>
      </c>
    </row>
    <row r="143">
      <c r="A143" s="3" t="s">
        <v>113</v>
      </c>
    </row>
    <row r="144">
      <c r="A144" s="3" t="s">
        <v>114</v>
      </c>
    </row>
    <row r="145">
      <c r="A145" s="3" t="s">
        <v>115</v>
      </c>
    </row>
    <row r="146">
      <c r="A146" s="3" t="s">
        <v>116</v>
      </c>
    </row>
    <row r="147">
      <c r="A147" s="3" t="s">
        <v>117</v>
      </c>
    </row>
    <row r="148">
      <c r="A148" s="3" t="s">
        <v>118</v>
      </c>
    </row>
    <row r="149">
      <c r="A149" s="3" t="s">
        <v>310</v>
      </c>
      <c r="B149" s="3">
        <v>3.0</v>
      </c>
    </row>
    <row r="150">
      <c r="A150" s="3" t="s">
        <v>311</v>
      </c>
      <c r="B150" s="3">
        <v>1.0</v>
      </c>
    </row>
    <row r="151">
      <c r="A151" s="3" t="s">
        <v>312</v>
      </c>
      <c r="B151" s="3">
        <v>1.0</v>
      </c>
    </row>
    <row r="152">
      <c r="A152" s="3" t="s">
        <v>120</v>
      </c>
    </row>
    <row r="153">
      <c r="A153" s="3" t="s">
        <v>121</v>
      </c>
    </row>
    <row r="154">
      <c r="A154" s="3" t="s">
        <v>122</v>
      </c>
    </row>
    <row r="155">
      <c r="A155" s="3" t="s">
        <v>123</v>
      </c>
    </row>
    <row r="156">
      <c r="A156" s="3" t="s">
        <v>124</v>
      </c>
    </row>
    <row r="157">
      <c r="A157" s="27" t="s">
        <v>125</v>
      </c>
    </row>
    <row r="158">
      <c r="A158" s="3" t="s">
        <v>127</v>
      </c>
    </row>
    <row r="159">
      <c r="A159" s="3" t="s">
        <v>294</v>
      </c>
      <c r="B159" s="3">
        <v>1.0</v>
      </c>
    </row>
    <row r="160">
      <c r="A160" s="3" t="s">
        <v>128</v>
      </c>
    </row>
    <row r="161">
      <c r="A161" s="3" t="s">
        <v>129</v>
      </c>
    </row>
    <row r="162">
      <c r="A162" s="3" t="s">
        <v>131</v>
      </c>
    </row>
    <row r="163">
      <c r="A163" s="3" t="s">
        <v>132</v>
      </c>
    </row>
    <row r="164">
      <c r="A164" s="3" t="s">
        <v>133</v>
      </c>
    </row>
    <row r="165">
      <c r="A165" s="3" t="s">
        <v>134</v>
      </c>
    </row>
    <row r="167">
      <c r="A167" s="3" t="s">
        <v>313</v>
      </c>
    </row>
    <row r="168">
      <c r="A168">
        <f>0.25</f>
        <v>0.25</v>
      </c>
      <c r="B168" s="6">
        <v>1.0</v>
      </c>
    </row>
    <row r="169">
      <c r="A169" s="3">
        <v>0.5</v>
      </c>
      <c r="B169" s="6">
        <v>3.0</v>
      </c>
    </row>
    <row r="170">
      <c r="A170" s="3">
        <v>0.75</v>
      </c>
      <c r="B170" s="6">
        <v>4.0</v>
      </c>
    </row>
    <row r="171">
      <c r="A171" s="3">
        <v>1.0</v>
      </c>
      <c r="B171" s="6">
        <v>1.0</v>
      </c>
    </row>
    <row r="172">
      <c r="A172" s="3">
        <v>1.25</v>
      </c>
      <c r="B172" s="6">
        <v>3.0</v>
      </c>
    </row>
    <row r="173">
      <c r="A173" s="3">
        <v>1.5</v>
      </c>
      <c r="B173" s="6">
        <v>2.0</v>
      </c>
    </row>
    <row r="174">
      <c r="A174" s="3">
        <v>1.75</v>
      </c>
      <c r="B174" s="6">
        <v>2.0</v>
      </c>
    </row>
    <row r="175">
      <c r="A175" s="3">
        <v>2.0</v>
      </c>
      <c r="B175" s="6">
        <v>3.0</v>
      </c>
    </row>
    <row r="176">
      <c r="A176" s="3">
        <v>2.25</v>
      </c>
      <c r="B176" s="6">
        <v>3.0</v>
      </c>
    </row>
    <row r="177">
      <c r="A177" s="3">
        <v>2.5</v>
      </c>
      <c r="B177" s="6">
        <v>3.0</v>
      </c>
    </row>
    <row r="178">
      <c r="A178" s="3">
        <v>2.75</v>
      </c>
      <c r="B178" s="6">
        <v>2.0</v>
      </c>
    </row>
    <row r="179">
      <c r="A179" s="3">
        <v>3.0</v>
      </c>
      <c r="B179" s="6">
        <v>3.0</v>
      </c>
    </row>
    <row r="180">
      <c r="A180" s="3">
        <v>3.25</v>
      </c>
      <c r="B180" s="6"/>
    </row>
    <row r="181">
      <c r="A181" s="28">
        <f>5.75</f>
        <v>5.75</v>
      </c>
      <c r="B181" s="6"/>
    </row>
    <row r="182">
      <c r="A182" s="29" t="s">
        <v>10</v>
      </c>
      <c r="B182" s="6" t="s">
        <v>11</v>
      </c>
    </row>
    <row r="183">
      <c r="A183" s="30" t="s">
        <v>314</v>
      </c>
      <c r="B183" s="6">
        <v>4.0</v>
      </c>
    </row>
    <row r="184">
      <c r="A184" s="3" t="s">
        <v>315</v>
      </c>
      <c r="B184" s="6">
        <v>5.0</v>
      </c>
    </row>
    <row r="185">
      <c r="A185" s="3" t="s">
        <v>316</v>
      </c>
      <c r="B185" s="6">
        <v>4.0</v>
      </c>
    </row>
    <row r="186">
      <c r="A186" s="3" t="s">
        <v>317</v>
      </c>
      <c r="B186" s="6">
        <v>5.0</v>
      </c>
    </row>
    <row r="187">
      <c r="A187" s="3" t="s">
        <v>318</v>
      </c>
      <c r="B187" s="6">
        <v>5.0</v>
      </c>
    </row>
    <row r="188">
      <c r="A188" s="3" t="s">
        <v>319</v>
      </c>
      <c r="B188" s="6">
        <v>3.0</v>
      </c>
    </row>
    <row r="189">
      <c r="A189" s="3" t="s">
        <v>320</v>
      </c>
      <c r="B189" s="6">
        <v>4.0</v>
      </c>
    </row>
    <row r="190">
      <c r="A190" s="3" t="s">
        <v>321</v>
      </c>
      <c r="B190" s="6">
        <v>7.0</v>
      </c>
    </row>
    <row r="191">
      <c r="A191" s="3" t="s">
        <v>322</v>
      </c>
      <c r="B191" s="6">
        <v>3.0</v>
      </c>
    </row>
    <row r="192">
      <c r="A192" s="3" t="s">
        <v>323</v>
      </c>
      <c r="B192" s="6">
        <v>7.0</v>
      </c>
    </row>
    <row r="193">
      <c r="A193" s="3" t="s">
        <v>324</v>
      </c>
      <c r="B193" s="6">
        <v>4.0</v>
      </c>
    </row>
    <row r="194">
      <c r="A194" s="3" t="s">
        <v>325</v>
      </c>
      <c r="B194" s="6">
        <v>2.0</v>
      </c>
    </row>
    <row r="195">
      <c r="A195" s="3" t="s">
        <v>326</v>
      </c>
      <c r="B195" s="6"/>
    </row>
    <row r="196">
      <c r="A196" s="3"/>
      <c r="B196" s="6"/>
    </row>
    <row r="198">
      <c r="A198" s="3" t="s">
        <v>327</v>
      </c>
      <c r="B198" s="3">
        <v>1.0</v>
      </c>
    </row>
    <row r="199">
      <c r="A199" s="3" t="s">
        <v>328</v>
      </c>
      <c r="B199" s="3">
        <v>1.0</v>
      </c>
    </row>
    <row r="200">
      <c r="A200" s="3" t="s">
        <v>329</v>
      </c>
      <c r="B200" s="3">
        <v>2.0</v>
      </c>
    </row>
    <row r="201">
      <c r="A201" s="3" t="s">
        <v>330</v>
      </c>
      <c r="B201" s="3">
        <v>2.0</v>
      </c>
    </row>
    <row r="202">
      <c r="A202" s="3" t="s">
        <v>331</v>
      </c>
      <c r="B202" s="3">
        <v>2.0</v>
      </c>
    </row>
    <row r="203">
      <c r="A203" s="3" t="s">
        <v>332</v>
      </c>
      <c r="B203" s="3">
        <v>4.0</v>
      </c>
    </row>
    <row r="204">
      <c r="A204" s="3" t="s">
        <v>333</v>
      </c>
      <c r="B204" s="3">
        <v>2.0</v>
      </c>
    </row>
    <row r="205">
      <c r="A205" s="3" t="s">
        <v>334</v>
      </c>
      <c r="B205" s="3">
        <v>2.0</v>
      </c>
    </row>
    <row r="206">
      <c r="A206" s="3" t="s">
        <v>335</v>
      </c>
      <c r="B206" s="3">
        <v>4.0</v>
      </c>
    </row>
    <row r="207">
      <c r="A207" s="3" t="s">
        <v>336</v>
      </c>
      <c r="B207" s="3">
        <v>2.0</v>
      </c>
    </row>
    <row r="208">
      <c r="A208" s="3" t="s">
        <v>337</v>
      </c>
      <c r="B208" s="3">
        <v>4.0</v>
      </c>
    </row>
    <row r="209">
      <c r="A209" s="3" t="s">
        <v>338</v>
      </c>
      <c r="B209" s="3">
        <v>1.0</v>
      </c>
    </row>
    <row r="210">
      <c r="A210" s="3" t="s">
        <v>339</v>
      </c>
      <c r="B210" s="3">
        <v>1.0</v>
      </c>
    </row>
    <row r="211">
      <c r="A211" s="3" t="s">
        <v>340</v>
      </c>
      <c r="B211" s="3">
        <v>1.0</v>
      </c>
    </row>
    <row r="212">
      <c r="A212" s="3" t="s">
        <v>57</v>
      </c>
      <c r="B212" s="3">
        <v>1.0</v>
      </c>
    </row>
    <row r="213">
      <c r="A213" s="3" t="s">
        <v>60</v>
      </c>
      <c r="B213" s="3">
        <v>6.0</v>
      </c>
    </row>
    <row r="214">
      <c r="A214" s="3" t="s">
        <v>220</v>
      </c>
      <c r="B214" s="3">
        <v>2.0</v>
      </c>
    </row>
    <row r="215">
      <c r="A215" s="3" t="s">
        <v>62</v>
      </c>
      <c r="B215" s="3">
        <v>2.0</v>
      </c>
    </row>
    <row r="216">
      <c r="A216" s="3" t="s">
        <v>63</v>
      </c>
      <c r="B216" s="3">
        <v>2.0</v>
      </c>
    </row>
    <row r="217">
      <c r="A217" s="3" t="s">
        <v>222</v>
      </c>
      <c r="B217" s="3">
        <v>2.0</v>
      </c>
    </row>
    <row r="218">
      <c r="A218" s="3" t="s">
        <v>341</v>
      </c>
      <c r="B218" s="3">
        <v>1.0</v>
      </c>
    </row>
    <row r="219">
      <c r="A219" s="3" t="s">
        <v>342</v>
      </c>
      <c r="B219" s="3">
        <v>6.0</v>
      </c>
    </row>
    <row r="220">
      <c r="A220" s="3" t="s">
        <v>343</v>
      </c>
      <c r="B220" s="3">
        <v>3.0</v>
      </c>
    </row>
    <row r="221">
      <c r="A221" s="3" t="s">
        <v>344</v>
      </c>
      <c r="B221" s="3">
        <v>1.0</v>
      </c>
    </row>
    <row r="222">
      <c r="A222" s="3" t="s">
        <v>343</v>
      </c>
      <c r="B222" s="3">
        <v>1.0</v>
      </c>
    </row>
    <row r="223">
      <c r="A223" s="3" t="s">
        <v>345</v>
      </c>
      <c r="B223" s="3">
        <v>1.0</v>
      </c>
    </row>
    <row r="224">
      <c r="A224" s="3" t="s">
        <v>346</v>
      </c>
      <c r="B224" s="3">
        <v>1.0</v>
      </c>
    </row>
    <row r="226">
      <c r="A226" s="31" t="s">
        <v>347</v>
      </c>
    </row>
    <row r="227">
      <c r="A227" s="3">
        <v>0.25</v>
      </c>
      <c r="B227" s="3">
        <v>2.0</v>
      </c>
    </row>
    <row r="228">
      <c r="A228" s="3">
        <v>-1.5</v>
      </c>
      <c r="B228" s="3">
        <v>1.0</v>
      </c>
    </row>
    <row r="230">
      <c r="A230" s="32" t="s">
        <v>348</v>
      </c>
    </row>
    <row r="231">
      <c r="A231" s="3">
        <v>-0.5</v>
      </c>
      <c r="B231" s="3">
        <v>2.25</v>
      </c>
      <c r="C231" s="3">
        <v>1.0</v>
      </c>
    </row>
    <row r="233">
      <c r="A233" s="3" t="s">
        <v>349</v>
      </c>
      <c r="B233" s="3">
        <v>1.0</v>
      </c>
    </row>
    <row r="234">
      <c r="A234" s="3" t="s">
        <v>350</v>
      </c>
      <c r="B234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2">
      <c r="A2" s="33" t="s">
        <v>351</v>
      </c>
      <c r="B2" s="3" t="s">
        <v>4</v>
      </c>
    </row>
    <row r="3">
      <c r="A3" s="3" t="s">
        <v>352</v>
      </c>
      <c r="B3" s="3">
        <v>1.0</v>
      </c>
    </row>
    <row r="4">
      <c r="A4" s="3" t="s">
        <v>353</v>
      </c>
      <c r="B4" s="3">
        <v>1.0</v>
      </c>
    </row>
    <row r="5">
      <c r="A5" s="3">
        <v>-0.5</v>
      </c>
      <c r="B5" s="3">
        <v>1.0</v>
      </c>
    </row>
    <row r="6">
      <c r="A6" s="3">
        <v>-0.75</v>
      </c>
      <c r="B6" s="3">
        <v>1.0</v>
      </c>
    </row>
    <row r="7">
      <c r="A7" s="3">
        <v>-1.25</v>
      </c>
      <c r="B7" s="3">
        <v>1.0</v>
      </c>
    </row>
    <row r="8">
      <c r="A8" s="3">
        <v>-1.75</v>
      </c>
      <c r="B8" s="3">
        <v>2.0</v>
      </c>
    </row>
    <row r="9">
      <c r="A9" s="3">
        <v>-2.0</v>
      </c>
      <c r="B9" s="3">
        <v>2.0</v>
      </c>
    </row>
    <row r="10">
      <c r="A10" s="3">
        <v>-2.5</v>
      </c>
      <c r="B10" s="3">
        <v>3.0</v>
      </c>
    </row>
    <row r="11">
      <c r="A11" s="3">
        <v>-2.75</v>
      </c>
      <c r="B11" s="3">
        <v>4.0</v>
      </c>
    </row>
    <row r="12">
      <c r="A12" s="3">
        <v>-3.0</v>
      </c>
      <c r="B12" s="3">
        <v>6.0</v>
      </c>
    </row>
    <row r="13">
      <c r="A13" s="3">
        <v>-3.25</v>
      </c>
      <c r="B13" s="3">
        <v>2.0</v>
      </c>
    </row>
    <row r="14">
      <c r="A14" s="3">
        <v>-3.5</v>
      </c>
      <c r="B14" s="3">
        <v>3.0</v>
      </c>
    </row>
    <row r="15">
      <c r="A15" s="3">
        <v>-3.75</v>
      </c>
      <c r="B15" s="3">
        <v>4.0</v>
      </c>
    </row>
    <row r="16">
      <c r="A16" s="3">
        <v>-4.0</v>
      </c>
      <c r="B16" s="3">
        <v>4.0</v>
      </c>
    </row>
    <row r="17">
      <c r="A17" s="3">
        <v>-4.25</v>
      </c>
      <c r="B17" s="3">
        <v>2.0</v>
      </c>
    </row>
    <row r="18">
      <c r="A18" s="3">
        <v>-4.5</v>
      </c>
      <c r="B18" s="3">
        <v>3.0</v>
      </c>
    </row>
    <row r="19">
      <c r="A19" s="3">
        <v>-4.75</v>
      </c>
      <c r="B19" s="3">
        <v>2.0</v>
      </c>
    </row>
    <row r="20">
      <c r="A20" s="3">
        <v>-5.0</v>
      </c>
      <c r="B20" s="3">
        <v>4.0</v>
      </c>
    </row>
    <row r="21">
      <c r="A21" s="3">
        <v>-5.5</v>
      </c>
      <c r="B21" s="3">
        <v>4.0</v>
      </c>
    </row>
    <row r="22">
      <c r="A22" s="3">
        <v>-5.75</v>
      </c>
      <c r="B22" s="3">
        <v>2.0</v>
      </c>
    </row>
    <row r="23">
      <c r="A23" s="3">
        <v>-6.0</v>
      </c>
      <c r="B23" s="3">
        <v>4.0</v>
      </c>
    </row>
    <row r="24">
      <c r="A24" s="3">
        <v>-7.5</v>
      </c>
      <c r="B24" s="3">
        <v>3.0</v>
      </c>
    </row>
    <row r="25">
      <c r="A25" s="3">
        <v>-8.0</v>
      </c>
      <c r="B25" s="3">
        <v>4.0</v>
      </c>
    </row>
    <row r="26">
      <c r="A26" s="3"/>
      <c r="B26" s="3">
        <f>SUM(B3:B25)</f>
        <v>63</v>
      </c>
    </row>
    <row r="27">
      <c r="A27" s="34" t="s">
        <v>10</v>
      </c>
    </row>
    <row r="28">
      <c r="A28" s="3" t="s">
        <v>138</v>
      </c>
      <c r="B28" s="3">
        <v>4.0</v>
      </c>
    </row>
    <row r="29">
      <c r="A29" s="3" t="s">
        <v>237</v>
      </c>
      <c r="B29" s="3">
        <v>1.0</v>
      </c>
    </row>
    <row r="30">
      <c r="A30" s="3" t="s">
        <v>143</v>
      </c>
      <c r="B30" s="3">
        <v>4.0</v>
      </c>
    </row>
    <row r="31">
      <c r="A31" s="3" t="s">
        <v>239</v>
      </c>
      <c r="B31" s="3">
        <v>4.0</v>
      </c>
    </row>
    <row r="32">
      <c r="A32" s="3" t="s">
        <v>145</v>
      </c>
      <c r="B32" s="3">
        <v>4.0</v>
      </c>
    </row>
    <row r="33">
      <c r="A33" s="3"/>
      <c r="B33" s="3">
        <v>17.0</v>
      </c>
    </row>
    <row r="34">
      <c r="A34" s="14" t="s">
        <v>15</v>
      </c>
    </row>
    <row r="35">
      <c r="A35" s="3" t="s">
        <v>354</v>
      </c>
      <c r="B35" s="3">
        <v>1.0</v>
      </c>
    </row>
    <row r="36">
      <c r="A36" s="3" t="s">
        <v>355</v>
      </c>
      <c r="B36" s="3">
        <v>1.0</v>
      </c>
    </row>
    <row r="37">
      <c r="A37" s="3" t="s">
        <v>152</v>
      </c>
      <c r="B37" s="3">
        <v>2.0</v>
      </c>
    </row>
    <row r="38">
      <c r="A38" s="3" t="s">
        <v>356</v>
      </c>
      <c r="B38" s="3">
        <v>2.0</v>
      </c>
    </row>
    <row r="39">
      <c r="A39" s="3" t="s">
        <v>154</v>
      </c>
      <c r="B39" s="3">
        <v>2.0</v>
      </c>
    </row>
    <row r="40">
      <c r="A40" s="3" t="s">
        <v>357</v>
      </c>
      <c r="B40" s="3">
        <v>2.0</v>
      </c>
    </row>
    <row r="41">
      <c r="A41" s="3" t="s">
        <v>135</v>
      </c>
      <c r="B41" s="3">
        <v>2.0</v>
      </c>
    </row>
    <row r="42">
      <c r="A42" s="3" t="s">
        <v>358</v>
      </c>
      <c r="B42" s="3">
        <v>1.0</v>
      </c>
    </row>
    <row r="43">
      <c r="A43" s="3" t="s">
        <v>359</v>
      </c>
      <c r="B43" s="3">
        <v>2.0</v>
      </c>
    </row>
    <row r="44">
      <c r="A44" s="3" t="s">
        <v>360</v>
      </c>
      <c r="B44" s="3">
        <v>2.0</v>
      </c>
    </row>
    <row r="45">
      <c r="A45" s="3" t="s">
        <v>361</v>
      </c>
      <c r="B45" s="3">
        <v>1.0</v>
      </c>
    </row>
    <row r="46">
      <c r="A46" s="3" t="s">
        <v>362</v>
      </c>
      <c r="B46" s="3">
        <v>2.0</v>
      </c>
    </row>
    <row r="47">
      <c r="A47" s="3" t="s">
        <v>363</v>
      </c>
      <c r="B47" s="3">
        <v>2.0</v>
      </c>
    </row>
    <row r="48">
      <c r="A48" s="3" t="s">
        <v>364</v>
      </c>
      <c r="B48" s="3">
        <v>2.0</v>
      </c>
    </row>
    <row r="49">
      <c r="A49" s="3" t="s">
        <v>365</v>
      </c>
      <c r="B49" s="3">
        <v>2.0</v>
      </c>
    </row>
    <row r="50">
      <c r="A50" s="3" t="s">
        <v>173</v>
      </c>
      <c r="B50" s="3">
        <v>2.0</v>
      </c>
    </row>
    <row r="51">
      <c r="A51" s="3" t="s">
        <v>366</v>
      </c>
      <c r="B51" s="3">
        <v>2.0</v>
      </c>
    </row>
    <row r="52">
      <c r="A52" s="3" t="s">
        <v>34</v>
      </c>
      <c r="B52" s="3">
        <v>2.0</v>
      </c>
    </row>
    <row r="53">
      <c r="A53" s="3" t="s">
        <v>367</v>
      </c>
      <c r="B53" s="3">
        <v>2.0</v>
      </c>
    </row>
    <row r="54">
      <c r="A54" s="3" t="s">
        <v>368</v>
      </c>
      <c r="B54" s="3">
        <v>1.0</v>
      </c>
    </row>
    <row r="55">
      <c r="A55" s="3" t="s">
        <v>369</v>
      </c>
      <c r="B55" s="3">
        <v>2.0</v>
      </c>
    </row>
    <row r="56">
      <c r="A56" s="3" t="s">
        <v>297</v>
      </c>
      <c r="B56" s="3">
        <v>4.0</v>
      </c>
    </row>
    <row r="57">
      <c r="A57" s="3" t="s">
        <v>370</v>
      </c>
      <c r="B57" s="3">
        <v>2.0</v>
      </c>
    </row>
    <row r="58">
      <c r="A58" s="3" t="s">
        <v>371</v>
      </c>
      <c r="B58" s="3">
        <v>2.0</v>
      </c>
    </row>
    <row r="59">
      <c r="A59" s="3" t="s">
        <v>189</v>
      </c>
      <c r="B59" s="3">
        <v>2.0</v>
      </c>
    </row>
    <row r="60">
      <c r="A60" s="3" t="s">
        <v>372</v>
      </c>
      <c r="B60" s="3">
        <v>2.0</v>
      </c>
    </row>
    <row r="61">
      <c r="A61" s="3" t="s">
        <v>191</v>
      </c>
      <c r="B61" s="3">
        <v>2.0</v>
      </c>
    </row>
    <row r="62">
      <c r="A62" s="3" t="s">
        <v>373</v>
      </c>
      <c r="B62" s="3">
        <v>2.0</v>
      </c>
    </row>
    <row r="63">
      <c r="A63" s="3" t="s">
        <v>39</v>
      </c>
      <c r="B63" s="3">
        <v>2.0</v>
      </c>
    </row>
    <row r="64">
      <c r="A64" s="3" t="s">
        <v>374</v>
      </c>
      <c r="B64" s="3">
        <v>2.0</v>
      </c>
    </row>
    <row r="65">
      <c r="A65" s="3" t="s">
        <v>375</v>
      </c>
      <c r="B65" s="3">
        <v>2.0</v>
      </c>
    </row>
    <row r="66">
      <c r="A66" s="3" t="s">
        <v>376</v>
      </c>
      <c r="B66" s="3">
        <v>2.0</v>
      </c>
    </row>
    <row r="67">
      <c r="A67" s="3" t="s">
        <v>377</v>
      </c>
      <c r="B67" s="3">
        <v>2.0</v>
      </c>
    </row>
    <row r="68">
      <c r="A68" s="3" t="s">
        <v>378</v>
      </c>
      <c r="B68" s="3">
        <v>2.0</v>
      </c>
    </row>
    <row r="69">
      <c r="A69" s="3" t="s">
        <v>379</v>
      </c>
      <c r="B69" s="3">
        <v>2.0</v>
      </c>
    </row>
    <row r="70">
      <c r="A70" s="3" t="s">
        <v>380</v>
      </c>
      <c r="B70" s="3">
        <v>2.0</v>
      </c>
    </row>
    <row r="71">
      <c r="A71" s="3" t="s">
        <v>381</v>
      </c>
      <c r="B71" s="3">
        <v>2.0</v>
      </c>
    </row>
    <row r="72">
      <c r="A72" s="3" t="s">
        <v>382</v>
      </c>
      <c r="B72" s="3">
        <v>2.0</v>
      </c>
    </row>
    <row r="73">
      <c r="A73" s="3" t="s">
        <v>209</v>
      </c>
      <c r="B73" s="3">
        <v>1.0</v>
      </c>
    </row>
    <row r="74">
      <c r="A74" s="3" t="s">
        <v>383</v>
      </c>
      <c r="B74" s="3">
        <v>2.0</v>
      </c>
    </row>
    <row r="75">
      <c r="A75" s="3" t="s">
        <v>384</v>
      </c>
      <c r="B75" s="3">
        <v>1.0</v>
      </c>
    </row>
    <row r="76">
      <c r="A76" s="3" t="s">
        <v>385</v>
      </c>
      <c r="B76" s="3">
        <v>2.0</v>
      </c>
    </row>
    <row r="77">
      <c r="A77" s="3" t="s">
        <v>61</v>
      </c>
      <c r="B77" s="3">
        <v>3.0</v>
      </c>
    </row>
    <row r="78">
      <c r="A78" s="3" t="s">
        <v>386</v>
      </c>
      <c r="B78" s="3">
        <v>2.0</v>
      </c>
    </row>
    <row r="79">
      <c r="A79" s="3" t="s">
        <v>387</v>
      </c>
      <c r="B79" s="3">
        <v>2.0</v>
      </c>
    </row>
    <row r="80">
      <c r="A80" s="3" t="s">
        <v>221</v>
      </c>
      <c r="B80" s="3">
        <v>2.0</v>
      </c>
    </row>
    <row r="81">
      <c r="A81" s="3" t="s">
        <v>62</v>
      </c>
      <c r="B81" s="3">
        <v>2.0</v>
      </c>
    </row>
    <row r="82">
      <c r="A82" s="3" t="s">
        <v>66</v>
      </c>
      <c r="B82" s="3">
        <v>2.0</v>
      </c>
    </row>
    <row r="83">
      <c r="A83" s="3" t="s">
        <v>67</v>
      </c>
      <c r="B83" s="3">
        <v>2.0</v>
      </c>
    </row>
    <row r="84">
      <c r="A84" s="3" t="s">
        <v>388</v>
      </c>
      <c r="B84" s="3">
        <v>2.0</v>
      </c>
    </row>
    <row r="85">
      <c r="A85" s="3" t="s">
        <v>389</v>
      </c>
      <c r="B85" s="3">
        <v>1.0</v>
      </c>
    </row>
    <row r="86">
      <c r="A86" s="3" t="s">
        <v>226</v>
      </c>
      <c r="B86" s="3">
        <v>2.0</v>
      </c>
    </row>
    <row r="87">
      <c r="A87" s="3" t="s">
        <v>70</v>
      </c>
      <c r="B87" s="3">
        <v>2.0</v>
      </c>
    </row>
    <row r="88">
      <c r="A88" s="3" t="s">
        <v>390</v>
      </c>
      <c r="B88" s="3">
        <v>2.0</v>
      </c>
    </row>
    <row r="89">
      <c r="A89" s="3" t="s">
        <v>74</v>
      </c>
      <c r="B89" s="3">
        <v>2.0</v>
      </c>
    </row>
    <row r="90">
      <c r="A90" s="3" t="s">
        <v>75</v>
      </c>
      <c r="B90" s="3">
        <v>2.0</v>
      </c>
    </row>
    <row r="91">
      <c r="A91" s="3" t="s">
        <v>391</v>
      </c>
      <c r="B91" s="3">
        <v>2.0</v>
      </c>
    </row>
    <row r="92">
      <c r="A92" s="3" t="s">
        <v>392</v>
      </c>
      <c r="B92" s="3">
        <v>3.0</v>
      </c>
    </row>
    <row r="93">
      <c r="A93" s="3" t="s">
        <v>79</v>
      </c>
      <c r="B93" s="3">
        <v>2.0</v>
      </c>
    </row>
    <row r="94">
      <c r="A94" s="3" t="s">
        <v>78</v>
      </c>
      <c r="B94" s="3">
        <v>2.0</v>
      </c>
    </row>
    <row r="95">
      <c r="A95" s="3" t="s">
        <v>393</v>
      </c>
      <c r="B95" s="3">
        <v>2.0</v>
      </c>
    </row>
    <row r="96">
      <c r="A96" s="3" t="s">
        <v>394</v>
      </c>
      <c r="B96" s="3">
        <v>2.0</v>
      </c>
    </row>
    <row r="97">
      <c r="A97" s="3" t="s">
        <v>395</v>
      </c>
      <c r="B97" s="3">
        <v>2.0</v>
      </c>
    </row>
    <row r="98">
      <c r="A98" s="3" t="s">
        <v>396</v>
      </c>
      <c r="B98" s="3">
        <v>2.0</v>
      </c>
    </row>
    <row r="99">
      <c r="A99" s="3" t="s">
        <v>397</v>
      </c>
      <c r="B99" s="3">
        <v>2.0</v>
      </c>
    </row>
    <row r="100">
      <c r="A100" s="3" t="s">
        <v>398</v>
      </c>
      <c r="B100" s="3">
        <v>2.0</v>
      </c>
    </row>
    <row r="101">
      <c r="A101" s="3" t="s">
        <v>305</v>
      </c>
      <c r="B101" s="3">
        <v>2.0</v>
      </c>
    </row>
    <row r="102">
      <c r="A102" s="3" t="s">
        <v>399</v>
      </c>
      <c r="B102" s="3">
        <v>1.0</v>
      </c>
    </row>
    <row r="103">
      <c r="A103" s="3" t="s">
        <v>400</v>
      </c>
      <c r="B103" s="3">
        <v>2.0</v>
      </c>
    </row>
    <row r="104">
      <c r="A104" s="3" t="s">
        <v>401</v>
      </c>
      <c r="B104" s="3">
        <v>2.0</v>
      </c>
    </row>
    <row r="105">
      <c r="A105" s="3" t="s">
        <v>402</v>
      </c>
      <c r="B105" s="3">
        <v>2.0</v>
      </c>
    </row>
    <row r="106">
      <c r="A106" s="3" t="s">
        <v>403</v>
      </c>
      <c r="B106" s="3">
        <v>2.0</v>
      </c>
    </row>
    <row r="107">
      <c r="A107" s="3" t="s">
        <v>404</v>
      </c>
      <c r="B107" s="3">
        <v>2.0</v>
      </c>
    </row>
    <row r="108">
      <c r="A108" s="3" t="s">
        <v>405</v>
      </c>
      <c r="B108" s="3">
        <v>2.0</v>
      </c>
    </row>
    <row r="109">
      <c r="A109" s="3" t="s">
        <v>306</v>
      </c>
      <c r="B109" s="3">
        <v>2.0</v>
      </c>
    </row>
    <row r="110">
      <c r="A110" s="3" t="s">
        <v>406</v>
      </c>
      <c r="B110" s="3">
        <v>2.0</v>
      </c>
    </row>
    <row r="111">
      <c r="A111" s="3" t="s">
        <v>407</v>
      </c>
      <c r="B111" s="3">
        <v>2.0</v>
      </c>
    </row>
    <row r="112">
      <c r="A112" s="3" t="s">
        <v>408</v>
      </c>
      <c r="B112" s="3">
        <v>2.0</v>
      </c>
    </row>
    <row r="113">
      <c r="A113" s="3" t="s">
        <v>409</v>
      </c>
      <c r="B113" s="3">
        <v>2.0</v>
      </c>
    </row>
    <row r="114">
      <c r="A114" s="3" t="s">
        <v>410</v>
      </c>
      <c r="B114" s="3">
        <v>2.0</v>
      </c>
    </row>
    <row r="115">
      <c r="A115" s="3" t="s">
        <v>307</v>
      </c>
      <c r="B115" s="3">
        <v>2.0</v>
      </c>
    </row>
    <row r="116">
      <c r="A116" s="3" t="s">
        <v>411</v>
      </c>
      <c r="B116" s="3">
        <v>2.0</v>
      </c>
    </row>
    <row r="117">
      <c r="A117" s="3" t="s">
        <v>412</v>
      </c>
      <c r="B117" s="3">
        <v>2.0</v>
      </c>
    </row>
    <row r="118">
      <c r="A118" s="3" t="s">
        <v>413</v>
      </c>
      <c r="B118" s="3">
        <v>2.0</v>
      </c>
    </row>
    <row r="119">
      <c r="A119" s="3" t="s">
        <v>414</v>
      </c>
      <c r="B119" s="3">
        <v>1.0</v>
      </c>
    </row>
    <row r="120">
      <c r="B120">
        <f>SUM(B35:B119)</f>
        <v>164</v>
      </c>
    </row>
    <row r="121">
      <c r="A121" s="5" t="s">
        <v>415</v>
      </c>
    </row>
    <row r="122">
      <c r="A122" s="3">
        <v>-0.25</v>
      </c>
      <c r="B122" s="3">
        <v>1.0</v>
      </c>
    </row>
    <row r="123">
      <c r="A123" s="3">
        <v>1.0</v>
      </c>
      <c r="B123" s="3">
        <v>1.0</v>
      </c>
    </row>
    <row r="124">
      <c r="A124" s="3">
        <v>1.25</v>
      </c>
      <c r="B124" s="3">
        <v>1.0</v>
      </c>
    </row>
    <row r="125">
      <c r="A125" s="3">
        <v>2.5</v>
      </c>
      <c r="B125" s="3">
        <v>2.0</v>
      </c>
    </row>
    <row r="126">
      <c r="A126" s="3">
        <v>2.75</v>
      </c>
      <c r="B126" s="3">
        <v>1.0</v>
      </c>
    </row>
    <row r="127">
      <c r="A127" s="3">
        <v>3.0</v>
      </c>
      <c r="B127" s="3">
        <v>1.0</v>
      </c>
    </row>
    <row r="128">
      <c r="A128" s="3" t="s">
        <v>138</v>
      </c>
      <c r="B128" s="3">
        <v>1.0</v>
      </c>
    </row>
    <row r="129">
      <c r="A129" s="3" t="s">
        <v>416</v>
      </c>
      <c r="B129" s="3">
        <v>2.0</v>
      </c>
    </row>
    <row r="130">
      <c r="A130" s="3">
        <v>-1.0</v>
      </c>
      <c r="B130" s="3">
        <v>1.0</v>
      </c>
    </row>
    <row r="131">
      <c r="A131" s="3">
        <v>-1.25</v>
      </c>
      <c r="B131" s="3">
        <v>1.0</v>
      </c>
    </row>
    <row r="132">
      <c r="A132" s="3">
        <v>-2.25</v>
      </c>
      <c r="B132" s="3">
        <v>2.0</v>
      </c>
    </row>
    <row r="133">
      <c r="A133" s="3">
        <v>-2.5</v>
      </c>
      <c r="B133" s="3">
        <v>2.0</v>
      </c>
    </row>
    <row r="134">
      <c r="A134" s="3" t="s">
        <v>417</v>
      </c>
      <c r="B134" s="3">
        <v>1.0</v>
      </c>
    </row>
    <row r="135">
      <c r="A135" s="3" t="s">
        <v>418</v>
      </c>
      <c r="B135" s="3">
        <v>1.0</v>
      </c>
    </row>
    <row r="136">
      <c r="A136" s="3" t="s">
        <v>419</v>
      </c>
      <c r="B136" s="3">
        <v>2.0</v>
      </c>
    </row>
    <row r="137">
      <c r="A137" s="3" t="s">
        <v>420</v>
      </c>
      <c r="B137" s="3">
        <v>1.0</v>
      </c>
    </row>
    <row r="138">
      <c r="A138" s="3" t="s">
        <v>421</v>
      </c>
      <c r="B138" s="3">
        <v>2.0</v>
      </c>
    </row>
    <row r="139">
      <c r="B139">
        <f>SUM(B122:B138)</f>
        <v>23</v>
      </c>
    </row>
    <row r="141">
      <c r="A141" s="35" t="s">
        <v>422</v>
      </c>
    </row>
    <row r="142">
      <c r="A142" s="3" t="s">
        <v>143</v>
      </c>
      <c r="B142" s="3">
        <v>1.0</v>
      </c>
    </row>
    <row r="143">
      <c r="B143" s="3">
        <v>1.0</v>
      </c>
    </row>
    <row r="144">
      <c r="A144" s="3" t="s">
        <v>423</v>
      </c>
    </row>
    <row r="145">
      <c r="A145" s="3" t="s">
        <v>424</v>
      </c>
      <c r="B145" s="3">
        <v>1.5</v>
      </c>
      <c r="C145" s="3">
        <v>1.0</v>
      </c>
    </row>
    <row r="147">
      <c r="A147" s="36" t="s">
        <v>425</v>
      </c>
    </row>
    <row r="148">
      <c r="A148" s="3">
        <v>-0.5</v>
      </c>
      <c r="B148" s="3">
        <v>1.0</v>
      </c>
    </row>
    <row r="149">
      <c r="A149" s="3">
        <v>-0.75</v>
      </c>
      <c r="B149" s="3">
        <v>1.0</v>
      </c>
    </row>
    <row r="150">
      <c r="A150" s="3">
        <v>-1.5</v>
      </c>
      <c r="B150" s="3">
        <v>2.0</v>
      </c>
    </row>
    <row r="151">
      <c r="A151" s="3">
        <v>-1.75</v>
      </c>
      <c r="B151" s="3">
        <v>2.0</v>
      </c>
    </row>
    <row r="152">
      <c r="A152" s="3">
        <v>-2.0</v>
      </c>
      <c r="B152" s="3">
        <v>1.0</v>
      </c>
    </row>
    <row r="153">
      <c r="A153" s="3">
        <v>-2.25</v>
      </c>
      <c r="B153" s="3">
        <v>1.0</v>
      </c>
    </row>
    <row r="154">
      <c r="A154" s="3">
        <v>-2.5</v>
      </c>
      <c r="B154" s="3">
        <v>1.0</v>
      </c>
    </row>
    <row r="155">
      <c r="A155" s="3">
        <v>-3.25</v>
      </c>
      <c r="B155" s="3">
        <v>4.0</v>
      </c>
    </row>
    <row r="156">
      <c r="A156" s="3">
        <v>-3.5</v>
      </c>
      <c r="B156" s="3">
        <v>2.0</v>
      </c>
    </row>
    <row r="157">
      <c r="A157" s="3">
        <v>-3.75</v>
      </c>
      <c r="B157" s="3">
        <v>3.0</v>
      </c>
    </row>
    <row r="158">
      <c r="A158" s="3">
        <v>-4.5</v>
      </c>
      <c r="B158" s="3">
        <v>4.0</v>
      </c>
    </row>
    <row r="159">
      <c r="A159" s="3">
        <v>-5.5</v>
      </c>
      <c r="B159" s="3">
        <v>6.0</v>
      </c>
    </row>
    <row r="160">
      <c r="A160" s="3" t="s">
        <v>426</v>
      </c>
      <c r="B160" s="3">
        <v>1.0</v>
      </c>
    </row>
    <row r="161">
      <c r="A161" s="3" t="s">
        <v>427</v>
      </c>
      <c r="B161" s="3">
        <v>1.0</v>
      </c>
    </row>
    <row r="162">
      <c r="A162" s="3" t="s">
        <v>417</v>
      </c>
      <c r="B162" s="3">
        <v>1.0</v>
      </c>
    </row>
    <row r="163">
      <c r="A163" s="3" t="s">
        <v>317</v>
      </c>
      <c r="B163" s="3">
        <v>2.0</v>
      </c>
    </row>
    <row r="164">
      <c r="A164" s="3" t="s">
        <v>428</v>
      </c>
      <c r="B164" s="3">
        <v>2.0</v>
      </c>
    </row>
    <row r="165">
      <c r="A165" s="3" t="s">
        <v>429</v>
      </c>
      <c r="B165" s="3">
        <v>2.0</v>
      </c>
    </row>
    <row r="166">
      <c r="A166" s="3" t="s">
        <v>430</v>
      </c>
      <c r="B166" s="3">
        <v>1.0</v>
      </c>
    </row>
    <row r="167">
      <c r="A167" s="3" t="s">
        <v>431</v>
      </c>
      <c r="B167" s="3"/>
    </row>
    <row r="168">
      <c r="A168" s="3" t="s">
        <v>432</v>
      </c>
      <c r="B168" s="3">
        <v>1.0</v>
      </c>
    </row>
    <row r="169">
      <c r="A169" s="3">
        <v>-4.5</v>
      </c>
      <c r="B169" s="3">
        <v>4.0</v>
      </c>
    </row>
    <row r="170">
      <c r="A170" s="3" t="s">
        <v>433</v>
      </c>
      <c r="B170" s="3">
        <v>2.0</v>
      </c>
    </row>
    <row r="171">
      <c r="A171" s="3">
        <v>2.75</v>
      </c>
      <c r="B171" s="3">
        <v>3.0</v>
      </c>
    </row>
    <row r="172">
      <c r="A172" s="3">
        <v>3.0</v>
      </c>
      <c r="B172" s="3">
        <v>1.0</v>
      </c>
    </row>
    <row r="173">
      <c r="A173" s="3">
        <v>3.5</v>
      </c>
      <c r="B173" s="3">
        <v>4.0</v>
      </c>
    </row>
    <row r="174">
      <c r="A174" s="3">
        <v>4.0</v>
      </c>
      <c r="B174" s="3">
        <v>2.0</v>
      </c>
    </row>
    <row r="175">
      <c r="A175" s="3">
        <v>4.75</v>
      </c>
      <c r="B175" s="3">
        <v>3.0</v>
      </c>
    </row>
    <row r="176">
      <c r="A176" s="3">
        <v>5.0</v>
      </c>
      <c r="B176" s="3">
        <v>2.0</v>
      </c>
    </row>
    <row r="177">
      <c r="A177" s="3">
        <v>-7.0</v>
      </c>
      <c r="B177" s="3">
        <v>1.0</v>
      </c>
    </row>
    <row r="178">
      <c r="A178" s="3" t="s">
        <v>434</v>
      </c>
      <c r="B178" s="3">
        <v>1.0</v>
      </c>
    </row>
    <row r="179">
      <c r="A179" s="3" t="s">
        <v>435</v>
      </c>
      <c r="B179" s="3">
        <v>1.0</v>
      </c>
    </row>
    <row r="180">
      <c r="A180" s="3" t="s">
        <v>436</v>
      </c>
      <c r="B180" s="3">
        <v>1.0</v>
      </c>
    </row>
    <row r="181">
      <c r="A181" s="3">
        <v>0.25</v>
      </c>
      <c r="B181" s="3">
        <v>1.0</v>
      </c>
    </row>
    <row r="182">
      <c r="A182" s="3">
        <v>0.75</v>
      </c>
      <c r="B182" s="3">
        <v>1.0</v>
      </c>
    </row>
    <row r="183">
      <c r="A183" s="3">
        <v>5.25</v>
      </c>
    </row>
    <row r="184">
      <c r="A184" s="3" t="s">
        <v>437</v>
      </c>
    </row>
    <row r="185">
      <c r="A185" s="3" t="s">
        <v>438</v>
      </c>
      <c r="B185" s="3">
        <v>2.0</v>
      </c>
    </row>
    <row r="186">
      <c r="A186" s="3">
        <v>0.25</v>
      </c>
      <c r="B186" s="3">
        <v>1.0</v>
      </c>
    </row>
    <row r="187">
      <c r="A187" s="3">
        <v>-0.5</v>
      </c>
      <c r="B187" s="3">
        <v>1.0</v>
      </c>
    </row>
    <row r="188">
      <c r="A188" s="3">
        <v>-0.75</v>
      </c>
      <c r="B188" s="3">
        <v>2.0</v>
      </c>
    </row>
    <row r="189">
      <c r="A189" s="3">
        <v>1.0</v>
      </c>
      <c r="B189" s="3">
        <v>1.0</v>
      </c>
    </row>
    <row r="190">
      <c r="A190" s="3">
        <v>-1.25</v>
      </c>
      <c r="B190" s="3">
        <v>1.0</v>
      </c>
    </row>
    <row r="191">
      <c r="A191" s="3">
        <v>-1.5</v>
      </c>
      <c r="B191" s="3">
        <v>13.0</v>
      </c>
    </row>
    <row r="192">
      <c r="A192" s="3">
        <v>1.75</v>
      </c>
      <c r="B192" s="3">
        <v>15.0</v>
      </c>
    </row>
    <row r="193">
      <c r="A193" s="3">
        <v>-2.25</v>
      </c>
      <c r="B193" s="3">
        <v>1.0</v>
      </c>
    </row>
    <row r="194">
      <c r="A194" s="3">
        <v>-2.5</v>
      </c>
      <c r="B194" s="3">
        <v>3.0</v>
      </c>
    </row>
    <row r="195">
      <c r="A195" s="3">
        <v>3.0</v>
      </c>
      <c r="B195" s="3">
        <v>1.0</v>
      </c>
    </row>
    <row r="196">
      <c r="A196" s="3">
        <v>-3.5</v>
      </c>
      <c r="B196" s="3">
        <v>1.0</v>
      </c>
    </row>
    <row r="197">
      <c r="A197" s="3">
        <v>-3.75</v>
      </c>
      <c r="B197" s="3">
        <v>3.0</v>
      </c>
    </row>
    <row r="198">
      <c r="A198" s="3">
        <v>-1.5</v>
      </c>
      <c r="B198" s="3">
        <v>12.0</v>
      </c>
    </row>
    <row r="199">
      <c r="A199" s="3" t="s">
        <v>427</v>
      </c>
      <c r="B199" s="3">
        <v>1.0</v>
      </c>
    </row>
    <row r="200">
      <c r="A200" s="3" t="s">
        <v>138</v>
      </c>
      <c r="B200" s="3">
        <v>2.0</v>
      </c>
    </row>
    <row r="201">
      <c r="A201" s="3" t="s">
        <v>139</v>
      </c>
      <c r="B201" s="3">
        <v>3.0</v>
      </c>
    </row>
    <row r="202">
      <c r="A202" s="3" t="s">
        <v>439</v>
      </c>
      <c r="B202" s="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13"/>
    <col customWidth="1" min="3" max="3" width="5.5"/>
    <col customWidth="1" min="4" max="4" width="9.5"/>
    <col customWidth="1" min="5" max="5" width="6.0"/>
    <col customWidth="1" min="6" max="6" width="7.13"/>
    <col customWidth="1" min="7" max="7" width="6.0"/>
    <col customWidth="1" min="8" max="8" width="3.25"/>
    <col customWidth="1" min="9" max="9" width="7.38"/>
    <col customWidth="1" min="10" max="10" width="4.63"/>
    <col customWidth="1" min="11" max="11" width="8.88"/>
    <col customWidth="1" min="12" max="12" width="6.75"/>
  </cols>
  <sheetData>
    <row r="1">
      <c r="A1" s="37" t="s">
        <v>440</v>
      </c>
      <c r="B1" s="28" t="s">
        <v>441</v>
      </c>
      <c r="C1" s="37" t="s">
        <v>11</v>
      </c>
      <c r="D1" s="37" t="s">
        <v>442</v>
      </c>
      <c r="E1" s="3" t="s">
        <v>443</v>
      </c>
      <c r="F1" s="3" t="s">
        <v>4</v>
      </c>
      <c r="G1" s="3" t="s">
        <v>444</v>
      </c>
    </row>
    <row r="2">
      <c r="A2" s="39" t="s">
        <v>445</v>
      </c>
      <c r="B2" s="6"/>
    </row>
    <row r="3">
      <c r="A3">
        <f>0.25</f>
        <v>0.25</v>
      </c>
      <c r="B3" s="6">
        <v>7.0</v>
      </c>
    </row>
    <row r="4">
      <c r="A4" s="3">
        <v>0.5</v>
      </c>
      <c r="B4" s="6">
        <v>7.0</v>
      </c>
    </row>
    <row r="5">
      <c r="A5" s="3">
        <v>0.75</v>
      </c>
      <c r="B5" s="6">
        <v>4.0</v>
      </c>
    </row>
    <row r="6">
      <c r="A6" s="3">
        <v>1.0</v>
      </c>
      <c r="B6" s="6">
        <v>2.0</v>
      </c>
      <c r="C6" s="3">
        <v>4.0</v>
      </c>
      <c r="D6" s="3">
        <v>4.0</v>
      </c>
    </row>
    <row r="7">
      <c r="A7" s="3">
        <v>1.25</v>
      </c>
      <c r="B7" s="6">
        <v>7.0</v>
      </c>
    </row>
    <row r="8">
      <c r="A8" s="3">
        <v>1.5</v>
      </c>
      <c r="B8" s="6">
        <v>6.0</v>
      </c>
    </row>
    <row r="9">
      <c r="A9" s="3">
        <v>1.75</v>
      </c>
      <c r="B9" s="6">
        <v>4.0</v>
      </c>
      <c r="D9" s="3">
        <v>4.0</v>
      </c>
    </row>
    <row r="10">
      <c r="A10" s="3">
        <v>2.0</v>
      </c>
      <c r="B10" s="6">
        <v>4.0</v>
      </c>
      <c r="F10" s="3">
        <v>4.0</v>
      </c>
    </row>
    <row r="11">
      <c r="A11" s="3">
        <v>2.25</v>
      </c>
      <c r="B11" s="6">
        <v>7.0</v>
      </c>
    </row>
    <row r="12">
      <c r="A12" s="3">
        <v>2.5</v>
      </c>
      <c r="B12" s="6">
        <v>5.0</v>
      </c>
    </row>
    <row r="13">
      <c r="A13" s="3">
        <v>2.75</v>
      </c>
      <c r="B13" s="6">
        <v>3.0</v>
      </c>
    </row>
    <row r="14">
      <c r="A14" s="3">
        <v>3.0</v>
      </c>
      <c r="B14" s="6">
        <v>4.0</v>
      </c>
    </row>
    <row r="15">
      <c r="A15" s="3">
        <v>3.25</v>
      </c>
      <c r="B15" s="6"/>
      <c r="C15" s="3">
        <v>2.0</v>
      </c>
      <c r="G15" s="3">
        <v>2.0</v>
      </c>
    </row>
    <row r="16">
      <c r="A16" s="3">
        <v>3.75</v>
      </c>
      <c r="B16" s="6">
        <v>2.0</v>
      </c>
      <c r="C16" s="3"/>
      <c r="G16" s="3"/>
    </row>
    <row r="17">
      <c r="A17" s="28">
        <f>5.75</f>
        <v>5.75</v>
      </c>
      <c r="B17" s="6">
        <v>1.0</v>
      </c>
    </row>
    <row r="18">
      <c r="A18" s="28"/>
      <c r="B18" s="6"/>
    </row>
    <row r="19">
      <c r="A19" s="40" t="s">
        <v>10</v>
      </c>
      <c r="B19" s="6" t="s">
        <v>11</v>
      </c>
    </row>
    <row r="20">
      <c r="A20" s="30" t="s">
        <v>314</v>
      </c>
      <c r="B20" s="6">
        <v>10.0</v>
      </c>
    </row>
    <row r="21">
      <c r="A21" s="3" t="s">
        <v>315</v>
      </c>
      <c r="B21" s="6">
        <v>5.0</v>
      </c>
      <c r="E21" s="3">
        <v>8.0</v>
      </c>
    </row>
    <row r="22">
      <c r="A22" s="3" t="s">
        <v>316</v>
      </c>
      <c r="B22" s="6">
        <v>5.0</v>
      </c>
    </row>
    <row r="23">
      <c r="A23" s="3" t="s">
        <v>317</v>
      </c>
      <c r="B23" s="6">
        <v>6.0</v>
      </c>
    </row>
    <row r="24">
      <c r="A24" s="3" t="s">
        <v>318</v>
      </c>
      <c r="B24" s="6">
        <v>3.0</v>
      </c>
    </row>
    <row r="25">
      <c r="A25" s="3" t="s">
        <v>319</v>
      </c>
      <c r="B25" s="6">
        <v>5.0</v>
      </c>
      <c r="F25" s="3">
        <v>4.0</v>
      </c>
    </row>
    <row r="26">
      <c r="A26" s="3" t="s">
        <v>320</v>
      </c>
      <c r="B26" s="6">
        <v>14.0</v>
      </c>
    </row>
    <row r="27">
      <c r="A27" s="3" t="s">
        <v>321</v>
      </c>
      <c r="B27" s="6">
        <v>5.0</v>
      </c>
    </row>
    <row r="28">
      <c r="A28" s="3" t="s">
        <v>322</v>
      </c>
      <c r="B28" s="6">
        <v>17.0</v>
      </c>
    </row>
    <row r="29">
      <c r="A29" s="3" t="s">
        <v>323</v>
      </c>
      <c r="B29" s="6">
        <v>3.0</v>
      </c>
    </row>
    <row r="30">
      <c r="A30" s="3" t="s">
        <v>324</v>
      </c>
      <c r="B30" s="6">
        <v>6.0</v>
      </c>
    </row>
    <row r="31">
      <c r="A31" s="3" t="s">
        <v>325</v>
      </c>
      <c r="B31" s="6">
        <v>3.0</v>
      </c>
    </row>
    <row r="32">
      <c r="A32" s="3" t="s">
        <v>326</v>
      </c>
      <c r="B32" s="6">
        <v>4.0</v>
      </c>
    </row>
    <row r="33">
      <c r="B33" s="6">
        <v>4.0</v>
      </c>
    </row>
    <row r="34">
      <c r="A34" s="41" t="s">
        <v>446</v>
      </c>
      <c r="B34" s="6"/>
    </row>
    <row r="35">
      <c r="A35" s="3" t="s">
        <v>354</v>
      </c>
      <c r="B35" s="6">
        <v>2.0</v>
      </c>
    </row>
    <row r="36">
      <c r="A36" s="3" t="s">
        <v>447</v>
      </c>
      <c r="B36" s="6">
        <v>1.0</v>
      </c>
    </row>
    <row r="37">
      <c r="A37" s="3" t="s">
        <v>448</v>
      </c>
      <c r="B37" s="6">
        <v>1.0</v>
      </c>
    </row>
    <row r="38">
      <c r="A38" s="3" t="s">
        <v>449</v>
      </c>
      <c r="B38" s="6">
        <v>2.0</v>
      </c>
    </row>
    <row r="39">
      <c r="A39" s="3" t="s">
        <v>450</v>
      </c>
      <c r="B39" s="6">
        <v>1.0</v>
      </c>
    </row>
    <row r="40">
      <c r="A40" s="3" t="s">
        <v>451</v>
      </c>
      <c r="B40" s="6">
        <v>1.0</v>
      </c>
    </row>
    <row r="41">
      <c r="A41" s="3" t="s">
        <v>452</v>
      </c>
      <c r="B41" s="6">
        <v>1.0</v>
      </c>
    </row>
    <row r="42">
      <c r="A42" s="3" t="s">
        <v>453</v>
      </c>
      <c r="B42" s="6">
        <v>0.0</v>
      </c>
    </row>
    <row r="43">
      <c r="A43" s="3" t="s">
        <v>454</v>
      </c>
      <c r="B43" s="6">
        <v>1.0</v>
      </c>
    </row>
    <row r="44">
      <c r="A44" s="3" t="s">
        <v>455</v>
      </c>
      <c r="B44" s="6">
        <v>1.0</v>
      </c>
    </row>
    <row r="45">
      <c r="A45" s="3" t="s">
        <v>456</v>
      </c>
      <c r="B45" s="6">
        <v>3.0</v>
      </c>
    </row>
    <row r="46">
      <c r="A46" s="3" t="s">
        <v>457</v>
      </c>
      <c r="B46" s="6">
        <v>1.0</v>
      </c>
    </row>
    <row r="47">
      <c r="A47" s="3" t="s">
        <v>458</v>
      </c>
      <c r="B47" s="6">
        <v>1.0</v>
      </c>
    </row>
    <row r="48">
      <c r="A48" s="3" t="s">
        <v>459</v>
      </c>
      <c r="B48" s="6">
        <v>3.0</v>
      </c>
    </row>
    <row r="49">
      <c r="A49" s="3" t="s">
        <v>460</v>
      </c>
      <c r="B49" s="6">
        <v>5.0</v>
      </c>
    </row>
    <row r="50">
      <c r="A50" s="3" t="s">
        <v>461</v>
      </c>
      <c r="B50" s="6">
        <v>4.0</v>
      </c>
    </row>
    <row r="51">
      <c r="A51" s="3" t="s">
        <v>462</v>
      </c>
      <c r="B51" s="6">
        <v>2.0</v>
      </c>
    </row>
    <row r="52">
      <c r="A52" s="3" t="s">
        <v>463</v>
      </c>
      <c r="B52" s="6">
        <v>1.0</v>
      </c>
    </row>
    <row r="53">
      <c r="A53" s="3" t="s">
        <v>464</v>
      </c>
      <c r="B53" s="6">
        <v>1.0</v>
      </c>
    </row>
    <row r="54">
      <c r="A54" s="3" t="s">
        <v>465</v>
      </c>
      <c r="B54" s="6">
        <v>7.0</v>
      </c>
    </row>
    <row r="55">
      <c r="A55" s="3" t="s">
        <v>466</v>
      </c>
      <c r="B55" s="6">
        <v>6.0</v>
      </c>
    </row>
    <row r="56">
      <c r="A56" s="3" t="s">
        <v>467</v>
      </c>
      <c r="B56" s="6">
        <v>6.0</v>
      </c>
    </row>
    <row r="57">
      <c r="A57" s="3" t="s">
        <v>468</v>
      </c>
      <c r="B57" s="6">
        <v>5.0</v>
      </c>
    </row>
    <row r="58">
      <c r="A58" s="3" t="s">
        <v>469</v>
      </c>
      <c r="B58" s="6">
        <v>2.0</v>
      </c>
    </row>
    <row r="59">
      <c r="A59" s="3" t="s">
        <v>470</v>
      </c>
      <c r="B59" s="6">
        <v>1.0</v>
      </c>
    </row>
    <row r="60">
      <c r="A60" s="3" t="s">
        <v>48</v>
      </c>
      <c r="B60" s="6">
        <v>1.0</v>
      </c>
    </row>
    <row r="61">
      <c r="A61" s="3" t="s">
        <v>471</v>
      </c>
      <c r="B61" s="6">
        <v>1.0</v>
      </c>
    </row>
    <row r="62">
      <c r="A62" s="3" t="s">
        <v>472</v>
      </c>
      <c r="B62" s="6">
        <v>1.0</v>
      </c>
    </row>
    <row r="63">
      <c r="A63" s="3" t="s">
        <v>210</v>
      </c>
      <c r="B63" s="6">
        <v>1.0</v>
      </c>
    </row>
    <row r="64">
      <c r="A64" s="3" t="s">
        <v>473</v>
      </c>
      <c r="B64" s="6">
        <v>1.0</v>
      </c>
    </row>
    <row r="65">
      <c r="A65" s="3" t="s">
        <v>474</v>
      </c>
      <c r="B65" s="6">
        <v>1.0</v>
      </c>
    </row>
    <row r="66">
      <c r="A66" s="3" t="s">
        <v>475</v>
      </c>
      <c r="B66" s="6">
        <v>2.0</v>
      </c>
    </row>
    <row r="67">
      <c r="A67" s="3" t="s">
        <v>476</v>
      </c>
      <c r="B67" s="6">
        <v>2.0</v>
      </c>
    </row>
    <row r="68">
      <c r="A68" s="3" t="s">
        <v>477</v>
      </c>
      <c r="B68" s="6">
        <v>1.0</v>
      </c>
    </row>
    <row r="69">
      <c r="A69" s="3" t="s">
        <v>478</v>
      </c>
      <c r="B69" s="6">
        <v>1.0</v>
      </c>
    </row>
    <row r="70">
      <c r="A70" s="3" t="s">
        <v>479</v>
      </c>
      <c r="B70" s="6">
        <v>1.0</v>
      </c>
    </row>
    <row r="71">
      <c r="A71" s="3" t="s">
        <v>480</v>
      </c>
      <c r="B71" s="6">
        <v>2.0</v>
      </c>
    </row>
    <row r="72">
      <c r="A72" s="3" t="s">
        <v>481</v>
      </c>
      <c r="B72" s="6">
        <v>2.0</v>
      </c>
    </row>
    <row r="73">
      <c r="A73" s="3" t="s">
        <v>482</v>
      </c>
      <c r="B73" s="6">
        <v>1.0</v>
      </c>
    </row>
    <row r="74">
      <c r="A74" s="3" t="s">
        <v>483</v>
      </c>
      <c r="B74" s="6">
        <v>2.0</v>
      </c>
    </row>
    <row r="75">
      <c r="A75" s="3" t="s">
        <v>484</v>
      </c>
      <c r="B75" s="6">
        <v>1.0</v>
      </c>
    </row>
    <row r="76">
      <c r="A76" s="3" t="s">
        <v>485</v>
      </c>
      <c r="B76" s="6">
        <v>2.0</v>
      </c>
    </row>
    <row r="77">
      <c r="A77" s="3" t="s">
        <v>486</v>
      </c>
      <c r="B77" s="6">
        <v>1.0</v>
      </c>
    </row>
    <row r="78">
      <c r="A78" s="3" t="s">
        <v>487</v>
      </c>
      <c r="B78" s="6">
        <v>2.0</v>
      </c>
    </row>
    <row r="79">
      <c r="A79" s="3" t="s">
        <v>488</v>
      </c>
      <c r="B79" s="6">
        <v>1.0</v>
      </c>
    </row>
    <row r="80">
      <c r="A80" s="3" t="s">
        <v>489</v>
      </c>
      <c r="B80" s="6">
        <v>1.0</v>
      </c>
    </row>
    <row r="81">
      <c r="A81" s="3" t="s">
        <v>490</v>
      </c>
      <c r="B81" s="6">
        <v>1.0</v>
      </c>
    </row>
    <row r="82">
      <c r="A82" s="3" t="s">
        <v>491</v>
      </c>
      <c r="B82" s="6">
        <v>2.0</v>
      </c>
    </row>
    <row r="83">
      <c r="A83" s="3" t="s">
        <v>492</v>
      </c>
      <c r="B83" s="6">
        <v>2.0</v>
      </c>
    </row>
    <row r="84">
      <c r="A84" s="3"/>
      <c r="B84" s="7"/>
    </row>
    <row r="85">
      <c r="A85" s="32" t="s">
        <v>493</v>
      </c>
      <c r="B85" s="6"/>
    </row>
    <row r="86">
      <c r="A86" s="3" t="s">
        <v>494</v>
      </c>
      <c r="B86" s="6">
        <v>13.0</v>
      </c>
    </row>
    <row r="87">
      <c r="A87" s="3" t="s">
        <v>495</v>
      </c>
      <c r="B87" s="6">
        <v>2.0</v>
      </c>
    </row>
    <row r="88">
      <c r="A88" s="3" t="s">
        <v>496</v>
      </c>
      <c r="B88" s="6">
        <v>1.0</v>
      </c>
    </row>
    <row r="89">
      <c r="A89" s="3" t="s">
        <v>497</v>
      </c>
      <c r="B89" s="6">
        <v>3.0</v>
      </c>
    </row>
    <row r="90">
      <c r="A90" s="3" t="s">
        <v>498</v>
      </c>
      <c r="B90" s="6">
        <v>1.0</v>
      </c>
    </row>
    <row r="91">
      <c r="A91" s="3" t="s">
        <v>499</v>
      </c>
      <c r="B91" s="6">
        <v>1.0</v>
      </c>
    </row>
    <row r="92">
      <c r="A92" s="3" t="s">
        <v>500</v>
      </c>
      <c r="B92" s="6">
        <v>2.0</v>
      </c>
    </row>
    <row r="93">
      <c r="A93" s="3" t="s">
        <v>499</v>
      </c>
      <c r="B93" s="6">
        <v>3.0</v>
      </c>
    </row>
    <row r="94" ht="13.5" customHeight="1">
      <c r="A94" s="3" t="s">
        <v>501</v>
      </c>
      <c r="B94" s="6">
        <v>1.0</v>
      </c>
    </row>
    <row r="95" ht="13.5" customHeight="1">
      <c r="A95" s="3" t="s">
        <v>327</v>
      </c>
      <c r="B95" s="6">
        <v>1.0</v>
      </c>
    </row>
    <row r="96" ht="13.5" customHeight="1">
      <c r="A96" s="3" t="s">
        <v>502</v>
      </c>
      <c r="B96" s="6">
        <v>1.0</v>
      </c>
    </row>
    <row r="97">
      <c r="A97" s="3" t="s">
        <v>503</v>
      </c>
      <c r="B97" s="6">
        <v>1.0</v>
      </c>
    </row>
    <row r="98">
      <c r="A98" s="3" t="s">
        <v>504</v>
      </c>
      <c r="B98" s="6">
        <v>1.0</v>
      </c>
    </row>
    <row r="99">
      <c r="A99" s="3" t="s">
        <v>505</v>
      </c>
      <c r="B99" s="6">
        <v>1.0</v>
      </c>
    </row>
    <row r="100">
      <c r="A100" s="3" t="s">
        <v>506</v>
      </c>
      <c r="B100" s="6">
        <v>1.0</v>
      </c>
    </row>
    <row r="101">
      <c r="A101" s="3" t="s">
        <v>507</v>
      </c>
      <c r="B101" s="6">
        <v>1.0</v>
      </c>
    </row>
    <row r="102">
      <c r="A102" s="3" t="s">
        <v>508</v>
      </c>
      <c r="B102" s="6">
        <v>1.0</v>
      </c>
    </row>
    <row r="103">
      <c r="A103" s="3" t="s">
        <v>420</v>
      </c>
      <c r="B103" s="6">
        <v>1.0</v>
      </c>
    </row>
    <row r="104">
      <c r="A104" s="3" t="s">
        <v>509</v>
      </c>
      <c r="B104" s="6">
        <v>1.0</v>
      </c>
    </row>
    <row r="105">
      <c r="A105" s="3" t="s">
        <v>510</v>
      </c>
      <c r="B105" s="6">
        <v>2.0</v>
      </c>
    </row>
    <row r="106">
      <c r="A106" s="3" t="s">
        <v>511</v>
      </c>
      <c r="B106" s="6">
        <v>2.0</v>
      </c>
    </row>
    <row r="107">
      <c r="A107" s="3" t="s">
        <v>512</v>
      </c>
      <c r="B107" s="6">
        <v>4.0</v>
      </c>
    </row>
    <row r="108">
      <c r="A108" s="3" t="s">
        <v>513</v>
      </c>
      <c r="B108" s="6">
        <v>1.0</v>
      </c>
    </row>
    <row r="109">
      <c r="A109" s="3" t="s">
        <v>514</v>
      </c>
      <c r="B109" s="6">
        <v>1.0</v>
      </c>
    </row>
    <row r="110">
      <c r="A110" s="3" t="s">
        <v>515</v>
      </c>
      <c r="B110" s="6">
        <v>1.0</v>
      </c>
    </row>
    <row r="111">
      <c r="A111" s="3" t="s">
        <v>516</v>
      </c>
      <c r="B111" s="6">
        <v>1.0</v>
      </c>
    </row>
    <row r="112">
      <c r="A112" s="3" t="s">
        <v>517</v>
      </c>
      <c r="B112" s="6">
        <v>1.0</v>
      </c>
    </row>
    <row r="113">
      <c r="A113" s="3" t="s">
        <v>518</v>
      </c>
      <c r="B113" s="6">
        <v>1.0</v>
      </c>
    </row>
    <row r="114">
      <c r="A114" s="3" t="s">
        <v>519</v>
      </c>
      <c r="B114" s="6">
        <v>1.0</v>
      </c>
    </row>
    <row r="115">
      <c r="A115" s="3" t="s">
        <v>520</v>
      </c>
      <c r="B115" s="6">
        <v>1.0</v>
      </c>
    </row>
    <row r="116">
      <c r="A116" s="3" t="s">
        <v>521</v>
      </c>
      <c r="B116" s="6">
        <v>1.0</v>
      </c>
    </row>
    <row r="117">
      <c r="A117" s="3" t="s">
        <v>522</v>
      </c>
      <c r="B117" s="6">
        <v>1.0</v>
      </c>
    </row>
    <row r="118">
      <c r="A118" s="3" t="s">
        <v>523</v>
      </c>
      <c r="B118" s="6">
        <v>1.0</v>
      </c>
    </row>
    <row r="119">
      <c r="A119" s="3" t="s">
        <v>524</v>
      </c>
      <c r="B119" s="6">
        <v>2.0</v>
      </c>
    </row>
    <row r="120">
      <c r="A120" s="3" t="s">
        <v>525</v>
      </c>
      <c r="B120" s="6">
        <v>1.0</v>
      </c>
    </row>
    <row r="121">
      <c r="A121" s="3" t="s">
        <v>526</v>
      </c>
      <c r="B121" s="6">
        <v>2.0</v>
      </c>
    </row>
    <row r="122">
      <c r="A122" s="3" t="s">
        <v>527</v>
      </c>
      <c r="B122" s="6">
        <v>1.0</v>
      </c>
    </row>
    <row r="123">
      <c r="A123" s="3" t="s">
        <v>528</v>
      </c>
      <c r="B123" s="6">
        <v>1.0</v>
      </c>
    </row>
    <row r="124">
      <c r="A124" s="3" t="s">
        <v>529</v>
      </c>
      <c r="B124" s="6">
        <v>2.0</v>
      </c>
    </row>
    <row r="125">
      <c r="A125" s="3" t="s">
        <v>530</v>
      </c>
      <c r="B125" s="6">
        <v>1.0</v>
      </c>
    </row>
    <row r="126">
      <c r="A126" s="3" t="s">
        <v>531</v>
      </c>
      <c r="B126" s="6">
        <v>1.0</v>
      </c>
    </row>
    <row r="127">
      <c r="A127" s="3" t="s">
        <v>532</v>
      </c>
      <c r="B127" s="6">
        <v>1.0</v>
      </c>
    </row>
    <row r="128">
      <c r="A128" s="3" t="s">
        <v>533</v>
      </c>
      <c r="B128" s="6">
        <v>1.0</v>
      </c>
    </row>
    <row r="129">
      <c r="A129" s="3" t="s">
        <v>534</v>
      </c>
      <c r="B129" s="6">
        <v>1.0</v>
      </c>
    </row>
    <row r="130">
      <c r="A130" s="3" t="s">
        <v>535</v>
      </c>
      <c r="B130" s="6">
        <v>2.0</v>
      </c>
    </row>
    <row r="131">
      <c r="A131" s="3" t="s">
        <v>536</v>
      </c>
      <c r="B131" s="6">
        <v>1.0</v>
      </c>
    </row>
    <row r="132">
      <c r="A132" s="15"/>
      <c r="B132" s="42"/>
      <c r="C132" s="16"/>
      <c r="D132" s="16"/>
      <c r="E132" s="16"/>
      <c r="F132" s="16"/>
      <c r="G132" s="16"/>
    </row>
    <row r="133">
      <c r="A133" s="32" t="s">
        <v>136</v>
      </c>
      <c r="B133" s="6"/>
    </row>
    <row r="134">
      <c r="A134" s="3" t="s">
        <v>537</v>
      </c>
      <c r="B134" s="6">
        <v>9.0</v>
      </c>
    </row>
    <row r="135">
      <c r="A135" s="3">
        <v>0.25</v>
      </c>
      <c r="B135" s="6">
        <v>6.0</v>
      </c>
      <c r="E135" s="3">
        <v>4.0</v>
      </c>
    </row>
    <row r="136">
      <c r="A136" s="3">
        <v>0.5</v>
      </c>
      <c r="B136" s="6">
        <v>3.0</v>
      </c>
    </row>
    <row r="137">
      <c r="A137" s="3">
        <v>0.75</v>
      </c>
      <c r="B137" s="6">
        <v>4.0</v>
      </c>
    </row>
    <row r="138">
      <c r="A138" s="3">
        <v>1.0</v>
      </c>
      <c r="B138" s="6">
        <v>5.0</v>
      </c>
    </row>
    <row r="139">
      <c r="A139" s="3">
        <v>1.25</v>
      </c>
      <c r="B139" s="6">
        <v>6.0</v>
      </c>
    </row>
    <row r="140">
      <c r="A140" s="3">
        <v>1.5</v>
      </c>
      <c r="B140" s="6">
        <v>6.0</v>
      </c>
    </row>
    <row r="141">
      <c r="A141" s="3">
        <v>1.75</v>
      </c>
      <c r="B141" s="6">
        <v>7.0</v>
      </c>
    </row>
    <row r="142">
      <c r="A142" s="3">
        <v>2.0</v>
      </c>
      <c r="B142" s="6">
        <v>3.0</v>
      </c>
    </row>
    <row r="143">
      <c r="A143" s="3">
        <v>2.25</v>
      </c>
      <c r="B143" s="6">
        <v>3.0</v>
      </c>
    </row>
    <row r="144">
      <c r="A144" s="3">
        <v>2.5</v>
      </c>
      <c r="B144" s="6">
        <v>5.0</v>
      </c>
    </row>
    <row r="145">
      <c r="A145" s="3">
        <v>2.75</v>
      </c>
      <c r="B145" s="6">
        <v>5.0</v>
      </c>
    </row>
    <row r="146">
      <c r="A146" s="3">
        <v>3.0</v>
      </c>
      <c r="B146" s="6">
        <v>6.0</v>
      </c>
    </row>
    <row r="147">
      <c r="A147" s="3">
        <v>4.0</v>
      </c>
      <c r="B147" s="6">
        <v>1.0</v>
      </c>
    </row>
    <row r="148">
      <c r="A148" s="43" t="s">
        <v>538</v>
      </c>
      <c r="B148" s="6"/>
    </row>
    <row r="149">
      <c r="A149" s="3" t="s">
        <v>427</v>
      </c>
      <c r="B149" s="6">
        <v>8.0</v>
      </c>
    </row>
    <row r="150">
      <c r="A150" s="3" t="s">
        <v>417</v>
      </c>
      <c r="B150" s="6">
        <v>4.0</v>
      </c>
    </row>
    <row r="151">
      <c r="A151" s="3" t="s">
        <v>316</v>
      </c>
      <c r="B151" s="6">
        <v>4.0</v>
      </c>
    </row>
    <row r="152">
      <c r="A152" s="3" t="s">
        <v>317</v>
      </c>
      <c r="B152" s="6">
        <v>5.0</v>
      </c>
    </row>
    <row r="153">
      <c r="A153" s="3" t="s">
        <v>539</v>
      </c>
      <c r="B153" s="6">
        <v>7.0</v>
      </c>
    </row>
    <row r="154">
      <c r="A154" s="3" t="s">
        <v>319</v>
      </c>
      <c r="B154" s="6">
        <v>7.0</v>
      </c>
    </row>
    <row r="155">
      <c r="A155" s="3" t="s">
        <v>320</v>
      </c>
      <c r="B155" s="6">
        <v>3.0</v>
      </c>
    </row>
    <row r="156">
      <c r="A156" s="3" t="s">
        <v>429</v>
      </c>
      <c r="B156" s="6">
        <v>6.0</v>
      </c>
    </row>
    <row r="157">
      <c r="A157" s="3" t="s">
        <v>322</v>
      </c>
      <c r="B157" s="6">
        <v>3.0</v>
      </c>
    </row>
    <row r="158">
      <c r="A158" s="3" t="s">
        <v>323</v>
      </c>
      <c r="B158" s="6">
        <v>3.0</v>
      </c>
    </row>
    <row r="159">
      <c r="A159" s="3" t="s">
        <v>324</v>
      </c>
      <c r="B159" s="6">
        <v>6.0</v>
      </c>
    </row>
    <row r="160">
      <c r="A160" s="3" t="s">
        <v>540</v>
      </c>
      <c r="B160" s="6">
        <v>2.0</v>
      </c>
    </row>
    <row r="161">
      <c r="A161" s="3"/>
      <c r="B161" s="6"/>
    </row>
    <row r="162">
      <c r="A162" s="41" t="s">
        <v>493</v>
      </c>
      <c r="B162" s="6"/>
    </row>
    <row r="163">
      <c r="A163" s="3" t="s">
        <v>498</v>
      </c>
      <c r="B163" s="6">
        <v>1.0</v>
      </c>
    </row>
    <row r="164">
      <c r="A164" s="3" t="s">
        <v>541</v>
      </c>
      <c r="B164" s="6">
        <v>1.0</v>
      </c>
    </row>
    <row r="165">
      <c r="A165" s="3" t="s">
        <v>542</v>
      </c>
      <c r="B165" s="6">
        <v>2.0</v>
      </c>
    </row>
    <row r="166">
      <c r="A166" s="3" t="s">
        <v>418</v>
      </c>
      <c r="B166" s="6">
        <v>1.0</v>
      </c>
    </row>
    <row r="167">
      <c r="A167" s="3" t="s">
        <v>419</v>
      </c>
      <c r="B167" s="6">
        <v>1.0</v>
      </c>
    </row>
    <row r="168">
      <c r="A168" s="3" t="s">
        <v>523</v>
      </c>
      <c r="B168" s="6">
        <v>1.0</v>
      </c>
    </row>
    <row r="169">
      <c r="A169" s="3" t="s">
        <v>529</v>
      </c>
      <c r="B169" s="6">
        <v>1.0</v>
      </c>
    </row>
    <row r="170">
      <c r="A170" s="3" t="s">
        <v>536</v>
      </c>
      <c r="B170" s="6">
        <v>1.0</v>
      </c>
    </row>
    <row r="171">
      <c r="B171" s="6"/>
    </row>
    <row r="172">
      <c r="A172" s="44" t="s">
        <v>446</v>
      </c>
      <c r="B172" s="6"/>
    </row>
    <row r="173">
      <c r="A173" s="3" t="s">
        <v>354</v>
      </c>
      <c r="B173" s="6">
        <v>1.0</v>
      </c>
    </row>
    <row r="174">
      <c r="A174" s="3" t="s">
        <v>461</v>
      </c>
      <c r="B174" s="6">
        <v>1.0</v>
      </c>
    </row>
    <row r="175">
      <c r="A175" s="3" t="s">
        <v>543</v>
      </c>
      <c r="B175" s="6">
        <v>4.0</v>
      </c>
    </row>
    <row r="176">
      <c r="A176" s="3" t="s">
        <v>544</v>
      </c>
      <c r="B176" s="6">
        <v>2.0</v>
      </c>
    </row>
    <row r="177">
      <c r="B177" s="6"/>
    </row>
    <row r="178">
      <c r="A178" s="45" t="s">
        <v>545</v>
      </c>
      <c r="B178" s="6"/>
    </row>
    <row r="179">
      <c r="A179" s="3" t="s">
        <v>352</v>
      </c>
      <c r="B179" s="6">
        <v>1.0</v>
      </c>
    </row>
    <row r="180">
      <c r="A180" s="3" t="s">
        <v>417</v>
      </c>
      <c r="B180" s="6">
        <v>1.0</v>
      </c>
    </row>
    <row r="181">
      <c r="A181" s="3"/>
      <c r="B181" s="6"/>
    </row>
    <row r="182">
      <c r="A182" s="46" t="s">
        <v>236</v>
      </c>
      <c r="B182" s="6"/>
    </row>
    <row r="183">
      <c r="A183" s="3" t="s">
        <v>537</v>
      </c>
      <c r="B183" s="6">
        <v>4.0</v>
      </c>
    </row>
    <row r="184">
      <c r="A184" s="3">
        <v>0.25</v>
      </c>
      <c r="B184" s="6">
        <v>9.0</v>
      </c>
    </row>
    <row r="185">
      <c r="A185" s="3">
        <v>0.5</v>
      </c>
      <c r="B185" s="6">
        <v>5.0</v>
      </c>
    </row>
    <row r="186">
      <c r="A186" s="3">
        <v>0.75</v>
      </c>
      <c r="B186" s="6">
        <v>4.0</v>
      </c>
    </row>
    <row r="187">
      <c r="A187" s="3">
        <v>1.0</v>
      </c>
      <c r="B187" s="6">
        <v>4.0</v>
      </c>
    </row>
    <row r="188">
      <c r="A188" s="3">
        <v>1.25</v>
      </c>
      <c r="B188" s="6">
        <v>7.0</v>
      </c>
    </row>
    <row r="189">
      <c r="A189" s="3">
        <v>1.5</v>
      </c>
      <c r="B189" s="6">
        <v>11.0</v>
      </c>
      <c r="F189" s="3">
        <v>4.0</v>
      </c>
    </row>
    <row r="190">
      <c r="A190" s="3">
        <v>1.75</v>
      </c>
      <c r="B190" s="6">
        <v>7.0</v>
      </c>
    </row>
    <row r="191">
      <c r="A191" s="3">
        <v>2.0</v>
      </c>
      <c r="B191" s="6">
        <v>3.0</v>
      </c>
    </row>
    <row r="192">
      <c r="A192" s="3">
        <v>2.25</v>
      </c>
      <c r="B192" s="6">
        <v>4.0</v>
      </c>
    </row>
    <row r="193">
      <c r="A193" s="3">
        <v>2.5</v>
      </c>
      <c r="B193" s="6">
        <v>3.0</v>
      </c>
    </row>
    <row r="194">
      <c r="A194" s="3">
        <v>2.75</v>
      </c>
      <c r="B194" s="6">
        <v>7.0</v>
      </c>
    </row>
    <row r="195">
      <c r="A195" s="3">
        <v>3.0</v>
      </c>
      <c r="B195" s="6">
        <v>5.0</v>
      </c>
    </row>
    <row r="196">
      <c r="A196" s="3">
        <v>3.25</v>
      </c>
      <c r="B196" s="6">
        <v>2.0</v>
      </c>
    </row>
    <row r="197">
      <c r="A197" s="3"/>
      <c r="B197" s="6"/>
    </row>
    <row r="198">
      <c r="A198" s="14" t="s">
        <v>446</v>
      </c>
      <c r="B198" s="6"/>
    </row>
    <row r="199">
      <c r="A199" s="3" t="s">
        <v>546</v>
      </c>
      <c r="B199" s="6">
        <v>1.0</v>
      </c>
    </row>
    <row r="200">
      <c r="A200" s="3"/>
      <c r="B200" s="6"/>
    </row>
    <row r="201">
      <c r="A201" s="47" t="s">
        <v>10</v>
      </c>
      <c r="B201" s="6"/>
    </row>
    <row r="202">
      <c r="A202" s="3" t="s">
        <v>427</v>
      </c>
      <c r="B202" s="6">
        <v>4.0</v>
      </c>
    </row>
    <row r="203">
      <c r="A203" s="3" t="s">
        <v>417</v>
      </c>
      <c r="B203" s="6">
        <v>5.0</v>
      </c>
    </row>
    <row r="204">
      <c r="A204" s="3" t="s">
        <v>316</v>
      </c>
      <c r="B204" s="6">
        <v>4.0</v>
      </c>
    </row>
    <row r="205" ht="18.0" customHeight="1">
      <c r="A205" s="3" t="s">
        <v>317</v>
      </c>
      <c r="B205" s="6">
        <v>4.0</v>
      </c>
    </row>
    <row r="206" ht="18.0" customHeight="1">
      <c r="A206" s="3" t="s">
        <v>539</v>
      </c>
      <c r="B206" s="6">
        <v>4.0</v>
      </c>
    </row>
    <row r="207" ht="18.0" customHeight="1">
      <c r="A207" s="3" t="s">
        <v>319</v>
      </c>
      <c r="B207" s="6"/>
    </row>
    <row r="208" ht="18.0" customHeight="1">
      <c r="A208" s="3" t="s">
        <v>320</v>
      </c>
      <c r="B208" s="6">
        <v>4.0</v>
      </c>
    </row>
    <row r="209" ht="18.0" customHeight="1">
      <c r="A209" s="3" t="s">
        <v>429</v>
      </c>
      <c r="B209" s="6">
        <v>6.0</v>
      </c>
    </row>
    <row r="210" ht="18.0" customHeight="1">
      <c r="A210" s="3" t="s">
        <v>322</v>
      </c>
      <c r="B210" s="6">
        <v>4.0</v>
      </c>
    </row>
    <row r="211" ht="18.0" customHeight="1">
      <c r="A211" s="3" t="s">
        <v>323</v>
      </c>
      <c r="B211" s="6">
        <v>3.0</v>
      </c>
    </row>
    <row r="212" ht="18.0" customHeight="1">
      <c r="A212" s="3" t="s">
        <v>324</v>
      </c>
      <c r="B212" s="6">
        <v>3.0</v>
      </c>
    </row>
    <row r="213" ht="18.0" customHeight="1">
      <c r="A213" s="3" t="s">
        <v>540</v>
      </c>
      <c r="B213" s="6">
        <v>2.0</v>
      </c>
    </row>
    <row r="214" ht="18.0" customHeight="1">
      <c r="A214" s="3"/>
      <c r="B214" s="6"/>
    </row>
    <row r="215" ht="18.0" customHeight="1">
      <c r="A215" s="45" t="s">
        <v>493</v>
      </c>
      <c r="B215" s="6"/>
    </row>
    <row r="216" ht="18.0" customHeight="1">
      <c r="A216" s="3" t="s">
        <v>547</v>
      </c>
      <c r="B216" s="6">
        <v>1.0</v>
      </c>
    </row>
    <row r="217" ht="18.0" customHeight="1">
      <c r="A217" s="3" t="s">
        <v>498</v>
      </c>
      <c r="B217" s="6">
        <v>1.0</v>
      </c>
    </row>
    <row r="218" ht="18.0" customHeight="1">
      <c r="A218" s="3" t="s">
        <v>499</v>
      </c>
      <c r="B218" s="6">
        <v>1.0</v>
      </c>
    </row>
    <row r="219" ht="18.0" customHeight="1">
      <c r="A219" s="6" t="s">
        <v>327</v>
      </c>
      <c r="B219" s="6">
        <v>2.0</v>
      </c>
    </row>
    <row r="220" ht="18.0" customHeight="1">
      <c r="A220" s="3" t="s">
        <v>548</v>
      </c>
      <c r="B220" s="6">
        <v>1.0</v>
      </c>
    </row>
    <row r="221" ht="18.0" customHeight="1">
      <c r="A221" s="3" t="s">
        <v>418</v>
      </c>
      <c r="B221" s="6">
        <v>1.0</v>
      </c>
    </row>
    <row r="222" ht="18.0" customHeight="1">
      <c r="A222" s="3" t="s">
        <v>426</v>
      </c>
      <c r="B222" s="6">
        <v>1.0</v>
      </c>
    </row>
    <row r="223" ht="18.0" customHeight="1">
      <c r="A223" s="3"/>
      <c r="B223" s="6"/>
    </row>
    <row r="224">
      <c r="A224" s="48" t="s">
        <v>244</v>
      </c>
      <c r="B224" s="6"/>
    </row>
    <row r="225">
      <c r="A225" s="3" t="s">
        <v>537</v>
      </c>
      <c r="B225" s="6">
        <v>1.5</v>
      </c>
      <c r="C225" s="3">
        <v>1.0</v>
      </c>
    </row>
    <row r="226">
      <c r="A226" s="3" t="s">
        <v>537</v>
      </c>
      <c r="B226" s="6">
        <v>3.0</v>
      </c>
      <c r="C226" s="3">
        <v>1.0</v>
      </c>
    </row>
    <row r="227">
      <c r="A227" s="3" t="s">
        <v>549</v>
      </c>
      <c r="B227" s="6">
        <v>2.0</v>
      </c>
      <c r="C227" s="3"/>
    </row>
    <row r="228">
      <c r="A228" s="3" t="s">
        <v>550</v>
      </c>
      <c r="B228" s="6">
        <v>1.25</v>
      </c>
      <c r="C228" s="3">
        <v>2.0</v>
      </c>
    </row>
    <row r="229">
      <c r="A229" s="3" t="s">
        <v>551</v>
      </c>
      <c r="B229" s="6">
        <v>1.5</v>
      </c>
      <c r="C229" s="3">
        <v>2.0</v>
      </c>
    </row>
    <row r="230">
      <c r="A230" s="3" t="s">
        <v>550</v>
      </c>
      <c r="B230" s="6">
        <v>1.75</v>
      </c>
      <c r="C230" s="3">
        <v>1.0</v>
      </c>
    </row>
    <row r="231">
      <c r="A231" s="3" t="s">
        <v>552</v>
      </c>
      <c r="B231" s="6">
        <v>1.25</v>
      </c>
      <c r="C231" s="3">
        <v>1.0</v>
      </c>
    </row>
    <row r="232">
      <c r="A232" s="3" t="s">
        <v>553</v>
      </c>
      <c r="B232" s="6">
        <v>1.5</v>
      </c>
      <c r="C232" s="3">
        <v>1.0</v>
      </c>
    </row>
    <row r="233">
      <c r="A233" s="3">
        <v>0.25</v>
      </c>
      <c r="B233" s="6">
        <v>1.25</v>
      </c>
      <c r="C233" s="3">
        <v>1.0</v>
      </c>
    </row>
    <row r="234">
      <c r="A234" s="3">
        <v>0.25</v>
      </c>
      <c r="B234" s="6">
        <v>3.0</v>
      </c>
      <c r="C234" s="3">
        <v>1.0</v>
      </c>
    </row>
    <row r="235">
      <c r="A235" s="3">
        <v>0.5</v>
      </c>
      <c r="B235" s="6">
        <v>3.0</v>
      </c>
      <c r="C235" s="3">
        <v>2.0</v>
      </c>
    </row>
    <row r="236">
      <c r="A236" s="3" t="s">
        <v>554</v>
      </c>
      <c r="B236" s="6">
        <v>2.5</v>
      </c>
      <c r="C236" s="3">
        <v>1.0</v>
      </c>
    </row>
    <row r="237">
      <c r="A237" s="3" t="s">
        <v>555</v>
      </c>
      <c r="B237" s="6">
        <v>1.0</v>
      </c>
      <c r="C237" s="3">
        <v>1.0</v>
      </c>
    </row>
    <row r="238">
      <c r="A238" s="3" t="s">
        <v>556</v>
      </c>
      <c r="B238" s="6">
        <v>1.25</v>
      </c>
      <c r="C238" s="3">
        <v>3.0</v>
      </c>
    </row>
    <row r="239">
      <c r="A239" s="3" t="s">
        <v>557</v>
      </c>
      <c r="B239" s="6">
        <v>1.5</v>
      </c>
      <c r="C239" s="3">
        <v>1.0</v>
      </c>
    </row>
    <row r="240">
      <c r="A240" s="3" t="s">
        <v>558</v>
      </c>
      <c r="B240" s="6">
        <v>1.5</v>
      </c>
      <c r="C240" s="3">
        <v>1.0</v>
      </c>
    </row>
    <row r="241">
      <c r="A241" s="3" t="s">
        <v>559</v>
      </c>
      <c r="B241" s="6">
        <v>1.75</v>
      </c>
      <c r="C241" s="3">
        <v>1.0</v>
      </c>
    </row>
    <row r="242">
      <c r="A242" s="3">
        <v>0.75</v>
      </c>
      <c r="B242" s="6">
        <v>2.25</v>
      </c>
      <c r="C242" s="3">
        <v>1.0</v>
      </c>
    </row>
    <row r="243">
      <c r="A243" s="3" t="s">
        <v>560</v>
      </c>
      <c r="B243" s="6">
        <v>1.75</v>
      </c>
      <c r="C243" s="3">
        <v>1.0</v>
      </c>
    </row>
    <row r="244">
      <c r="A244" s="3" t="s">
        <v>561</v>
      </c>
      <c r="B244" s="6">
        <v>2.5</v>
      </c>
      <c r="C244" s="3">
        <v>1.0</v>
      </c>
    </row>
    <row r="245">
      <c r="A245" s="3" t="s">
        <v>562</v>
      </c>
      <c r="B245" s="6">
        <v>1.5</v>
      </c>
      <c r="C245" s="3">
        <v>1.0</v>
      </c>
    </row>
    <row r="246">
      <c r="A246" s="3" t="s">
        <v>563</v>
      </c>
      <c r="B246" s="6">
        <v>2.5</v>
      </c>
      <c r="C246" s="3">
        <v>1.0</v>
      </c>
    </row>
    <row r="247">
      <c r="A247" s="3" t="s">
        <v>564</v>
      </c>
      <c r="B247" s="6">
        <v>1.5</v>
      </c>
      <c r="C247" s="3">
        <v>1.0</v>
      </c>
    </row>
    <row r="248">
      <c r="A248" s="3" t="s">
        <v>565</v>
      </c>
      <c r="B248" s="6">
        <v>1.25</v>
      </c>
      <c r="C248" s="3">
        <v>1.0</v>
      </c>
    </row>
    <row r="249">
      <c r="A249" s="3" t="s">
        <v>566</v>
      </c>
      <c r="B249" s="6">
        <v>2.0</v>
      </c>
      <c r="C249" s="3">
        <v>2.0</v>
      </c>
    </row>
    <row r="250">
      <c r="A250" s="3">
        <f>0.75</f>
        <v>0.75</v>
      </c>
      <c r="B250" s="6">
        <v>2.5</v>
      </c>
      <c r="C250" s="3">
        <v>1.0</v>
      </c>
    </row>
    <row r="251">
      <c r="A251" s="3" t="s">
        <v>567</v>
      </c>
      <c r="B251" s="6">
        <v>1.0</v>
      </c>
      <c r="C251" s="3">
        <v>3.0</v>
      </c>
    </row>
    <row r="252">
      <c r="A252" s="3">
        <v>0.75</v>
      </c>
      <c r="B252" s="6">
        <v>1.75</v>
      </c>
      <c r="C252" s="3">
        <v>1.0</v>
      </c>
    </row>
    <row r="253">
      <c r="A253" s="3">
        <v>1.0</v>
      </c>
      <c r="B253" s="6">
        <v>1.25</v>
      </c>
      <c r="C253" s="3">
        <v>1.0</v>
      </c>
    </row>
    <row r="254">
      <c r="A254" s="3" t="s">
        <v>568</v>
      </c>
      <c r="B254" s="6">
        <v>1.0</v>
      </c>
      <c r="C254" s="3">
        <v>1.0</v>
      </c>
    </row>
    <row r="255">
      <c r="A255" s="3" t="s">
        <v>569</v>
      </c>
      <c r="B255" s="6">
        <v>2.0</v>
      </c>
      <c r="C255" s="3">
        <v>2.0</v>
      </c>
    </row>
    <row r="256">
      <c r="A256" s="3">
        <v>1.0</v>
      </c>
      <c r="B256" s="6">
        <v>1.0</v>
      </c>
      <c r="C256" s="3">
        <v>1.0</v>
      </c>
    </row>
    <row r="257">
      <c r="A257" s="3" t="s">
        <v>570</v>
      </c>
      <c r="B257" s="6">
        <v>2.5</v>
      </c>
      <c r="C257" s="3">
        <v>1.0</v>
      </c>
    </row>
    <row r="258">
      <c r="A258" s="3" t="s">
        <v>571</v>
      </c>
      <c r="B258" s="6">
        <v>2.5</v>
      </c>
      <c r="C258" s="3">
        <v>2.0</v>
      </c>
    </row>
    <row r="259">
      <c r="A259" s="3" t="s">
        <v>572</v>
      </c>
      <c r="B259" s="6">
        <v>2.5</v>
      </c>
      <c r="C259" s="3">
        <v>2.0</v>
      </c>
    </row>
    <row r="260">
      <c r="A260">
        <f>1</f>
        <v>1</v>
      </c>
      <c r="B260" s="6">
        <v>2.25</v>
      </c>
      <c r="C260" s="3">
        <v>2.0</v>
      </c>
    </row>
    <row r="261">
      <c r="A261" s="3" t="s">
        <v>573</v>
      </c>
      <c r="B261" s="6">
        <v>2.75</v>
      </c>
      <c r="C261" s="3">
        <v>1.0</v>
      </c>
    </row>
    <row r="262">
      <c r="A262" s="3" t="s">
        <v>574</v>
      </c>
      <c r="B262" s="6">
        <v>1.75</v>
      </c>
      <c r="C262" s="3">
        <v>1.0</v>
      </c>
    </row>
    <row r="263">
      <c r="A263" s="3" t="s">
        <v>575</v>
      </c>
      <c r="B263" s="6">
        <v>2.5</v>
      </c>
      <c r="C263" s="3">
        <v>1.0</v>
      </c>
    </row>
    <row r="264">
      <c r="A264" s="3" t="s">
        <v>576</v>
      </c>
      <c r="B264" s="6">
        <v>2.5</v>
      </c>
      <c r="C264" s="3">
        <v>1.0</v>
      </c>
    </row>
    <row r="265">
      <c r="A265" s="3">
        <v>1.25</v>
      </c>
      <c r="B265" s="6">
        <v>2.75</v>
      </c>
      <c r="C265" s="3">
        <v>1.0</v>
      </c>
    </row>
    <row r="266">
      <c r="A266" s="3" t="s">
        <v>577</v>
      </c>
      <c r="B266" s="6">
        <v>1.75</v>
      </c>
      <c r="C266" s="3">
        <v>2.0</v>
      </c>
    </row>
    <row r="267">
      <c r="A267" s="3" t="s">
        <v>578</v>
      </c>
      <c r="B267" s="6">
        <v>2.0</v>
      </c>
      <c r="C267" s="3">
        <v>1.0</v>
      </c>
    </row>
    <row r="268">
      <c r="A268" s="3" t="s">
        <v>579</v>
      </c>
      <c r="B268" s="6">
        <v>1.0</v>
      </c>
      <c r="C268" s="3">
        <v>1.0</v>
      </c>
    </row>
    <row r="269">
      <c r="A269" s="3">
        <v>1.5</v>
      </c>
      <c r="B269" s="6">
        <v>3.0</v>
      </c>
      <c r="C269" s="3">
        <v>1.0</v>
      </c>
    </row>
    <row r="270">
      <c r="A270" s="3">
        <v>1.5</v>
      </c>
      <c r="B270" s="6">
        <v>2.75</v>
      </c>
      <c r="C270" s="3">
        <v>1.0</v>
      </c>
    </row>
    <row r="271">
      <c r="A271" s="3">
        <v>1.5</v>
      </c>
      <c r="B271" s="6">
        <v>3.0</v>
      </c>
      <c r="C271" s="3">
        <v>1.0</v>
      </c>
    </row>
    <row r="272">
      <c r="A272" s="3" t="s">
        <v>580</v>
      </c>
      <c r="B272" s="6">
        <v>2.25</v>
      </c>
      <c r="C272" s="3">
        <v>2.0</v>
      </c>
    </row>
    <row r="273">
      <c r="A273" s="3" t="s">
        <v>581</v>
      </c>
      <c r="B273" s="6">
        <v>2.25</v>
      </c>
      <c r="C273" s="3">
        <v>1.0</v>
      </c>
    </row>
    <row r="274">
      <c r="A274" s="3" t="s">
        <v>582</v>
      </c>
      <c r="B274" s="6">
        <v>2.25</v>
      </c>
      <c r="C274" s="3">
        <v>2.0</v>
      </c>
    </row>
    <row r="275">
      <c r="A275" s="3" t="s">
        <v>583</v>
      </c>
      <c r="B275" s="6">
        <v>2.5</v>
      </c>
      <c r="C275" s="3">
        <v>1.0</v>
      </c>
    </row>
    <row r="276">
      <c r="A276" s="3" t="s">
        <v>584</v>
      </c>
      <c r="B276" s="6">
        <v>2.5</v>
      </c>
      <c r="C276" s="3">
        <v>2.0</v>
      </c>
    </row>
    <row r="277">
      <c r="A277" s="3">
        <v>1.75</v>
      </c>
      <c r="B277" s="6">
        <v>1.75</v>
      </c>
      <c r="C277" s="3">
        <v>1.0</v>
      </c>
    </row>
    <row r="278">
      <c r="A278" s="3" t="s">
        <v>585</v>
      </c>
      <c r="B278" s="6">
        <v>2.5</v>
      </c>
      <c r="C278" s="3">
        <v>1.0</v>
      </c>
    </row>
    <row r="279">
      <c r="A279" s="3" t="s">
        <v>586</v>
      </c>
      <c r="B279" s="6">
        <v>2.25</v>
      </c>
      <c r="C279" s="3">
        <v>1.0</v>
      </c>
    </row>
    <row r="280">
      <c r="A280" s="3">
        <v>2.0</v>
      </c>
      <c r="B280" s="6">
        <v>1.5</v>
      </c>
      <c r="C280" s="3">
        <v>1.0</v>
      </c>
    </row>
    <row r="281">
      <c r="A281" s="3" t="s">
        <v>587</v>
      </c>
      <c r="B281" s="6">
        <v>2.25</v>
      </c>
      <c r="C281" s="3">
        <v>1.0</v>
      </c>
    </row>
    <row r="282">
      <c r="A282" s="3" t="s">
        <v>588</v>
      </c>
      <c r="B282" s="6">
        <v>2.5</v>
      </c>
      <c r="C282" s="3">
        <v>2.0</v>
      </c>
    </row>
    <row r="283">
      <c r="A283" s="3" t="s">
        <v>589</v>
      </c>
      <c r="B283" s="6">
        <v>3.0</v>
      </c>
      <c r="C283" s="3">
        <v>1.0</v>
      </c>
    </row>
    <row r="284">
      <c r="A284" s="3" t="s">
        <v>590</v>
      </c>
      <c r="B284" s="6">
        <v>2.25</v>
      </c>
      <c r="C284" s="3">
        <v>1.0</v>
      </c>
    </row>
    <row r="285">
      <c r="A285" s="3">
        <v>2.25</v>
      </c>
      <c r="B285" s="6">
        <f>2.5</f>
        <v>2.5</v>
      </c>
      <c r="C285" s="3">
        <v>1.0</v>
      </c>
    </row>
    <row r="286">
      <c r="A286" s="3">
        <v>2.25</v>
      </c>
      <c r="B286" s="6">
        <v>2.75</v>
      </c>
      <c r="C286" s="3">
        <v>1.0</v>
      </c>
    </row>
    <row r="287">
      <c r="A287" s="3" t="s">
        <v>591</v>
      </c>
      <c r="B287" s="6">
        <v>2.0</v>
      </c>
      <c r="C287" s="3">
        <v>1.0</v>
      </c>
    </row>
    <row r="288">
      <c r="A288" s="3">
        <v>2.5</v>
      </c>
      <c r="B288" s="6">
        <v>1.5</v>
      </c>
      <c r="C288" s="3">
        <v>1.0</v>
      </c>
    </row>
    <row r="289">
      <c r="A289" s="3">
        <v>1.75</v>
      </c>
      <c r="B289" s="6">
        <v>3.0</v>
      </c>
      <c r="C289" s="3">
        <v>2.0</v>
      </c>
    </row>
    <row r="290">
      <c r="A290" s="3">
        <v>2.25</v>
      </c>
      <c r="B290" s="6">
        <v>3.0</v>
      </c>
      <c r="C290" s="3">
        <v>1.0</v>
      </c>
    </row>
    <row r="291">
      <c r="A291" s="3">
        <v>2.25</v>
      </c>
      <c r="B291" s="6">
        <v>2.75</v>
      </c>
      <c r="C291" s="3">
        <v>1.0</v>
      </c>
    </row>
    <row r="292">
      <c r="A292" s="3">
        <v>2.5</v>
      </c>
      <c r="B292" s="6">
        <v>1.0</v>
      </c>
      <c r="C292" s="3">
        <v>4.0</v>
      </c>
    </row>
    <row r="293">
      <c r="A293" s="3">
        <v>2.5</v>
      </c>
      <c r="B293" s="6">
        <v>1.25</v>
      </c>
    </row>
    <row r="294">
      <c r="A294" s="3">
        <v>2.5</v>
      </c>
      <c r="B294" s="6">
        <v>1.5</v>
      </c>
      <c r="C294" s="3">
        <v>1.0</v>
      </c>
    </row>
    <row r="295">
      <c r="A295" s="3">
        <v>2.5</v>
      </c>
      <c r="B295" s="6">
        <v>1.0</v>
      </c>
      <c r="C295" s="3">
        <v>1.0</v>
      </c>
    </row>
    <row r="296">
      <c r="A296" s="3">
        <v>2.5</v>
      </c>
      <c r="B296" s="6">
        <v>1.75</v>
      </c>
      <c r="C296" s="3">
        <v>1.0</v>
      </c>
    </row>
    <row r="297">
      <c r="A297" s="3">
        <v>2.5</v>
      </c>
      <c r="B297" s="6">
        <v>2.25</v>
      </c>
      <c r="C297" s="3">
        <v>1.0</v>
      </c>
    </row>
    <row r="298">
      <c r="A298" s="3">
        <v>2.5</v>
      </c>
      <c r="B298" s="6">
        <v>2.5</v>
      </c>
      <c r="C298" s="3">
        <v>4.0</v>
      </c>
    </row>
    <row r="299">
      <c r="A299" s="3">
        <v>2.5</v>
      </c>
      <c r="B299" s="6">
        <v>3.0</v>
      </c>
      <c r="C299" s="3">
        <v>2.0</v>
      </c>
    </row>
    <row r="300">
      <c r="A300" s="3">
        <v>2.75</v>
      </c>
      <c r="B300" s="6">
        <v>1.25</v>
      </c>
      <c r="C300" s="3">
        <v>1.0</v>
      </c>
    </row>
    <row r="301">
      <c r="A301" s="3">
        <v>2.75</v>
      </c>
      <c r="B301" s="6">
        <v>1.5</v>
      </c>
      <c r="C301" s="3">
        <v>2.0</v>
      </c>
    </row>
    <row r="302">
      <c r="A302" s="3">
        <v>2.75</v>
      </c>
      <c r="B302" s="6">
        <v>2.75</v>
      </c>
      <c r="C302" s="3">
        <v>1.0</v>
      </c>
    </row>
    <row r="303">
      <c r="A303" s="3">
        <v>2.75</v>
      </c>
      <c r="B303" s="6">
        <v>2.0</v>
      </c>
      <c r="C303" s="3">
        <v>1.0</v>
      </c>
    </row>
    <row r="304">
      <c r="A304" s="3">
        <v>2.75</v>
      </c>
      <c r="B304" s="6">
        <v>2.25</v>
      </c>
      <c r="C304" s="3">
        <v>1.0</v>
      </c>
    </row>
    <row r="305">
      <c r="A305" s="3">
        <v>2.25</v>
      </c>
      <c r="B305" s="6">
        <v>3.0</v>
      </c>
      <c r="C305" s="3">
        <v>1.0</v>
      </c>
    </row>
    <row r="306">
      <c r="A306" s="3">
        <v>2.25</v>
      </c>
      <c r="B306" s="6">
        <v>2.75</v>
      </c>
      <c r="C306" s="3">
        <v>1.0</v>
      </c>
    </row>
    <row r="307">
      <c r="A307" s="3">
        <v>2.75</v>
      </c>
      <c r="B307" s="6">
        <v>1.25</v>
      </c>
      <c r="C307" s="3">
        <v>1.0</v>
      </c>
    </row>
    <row r="308">
      <c r="A308" s="3">
        <v>2.75</v>
      </c>
      <c r="B308" s="6">
        <v>1.5</v>
      </c>
      <c r="C308" s="3">
        <v>2.0</v>
      </c>
    </row>
    <row r="309">
      <c r="A309" s="3">
        <v>2.75</v>
      </c>
      <c r="B309" s="6">
        <v>2.75</v>
      </c>
      <c r="C309" s="3">
        <v>1.0</v>
      </c>
    </row>
    <row r="310">
      <c r="A310" s="3">
        <v>2.75</v>
      </c>
      <c r="B310" s="6">
        <v>2.0</v>
      </c>
      <c r="C310" s="3">
        <v>1.0</v>
      </c>
    </row>
    <row r="311">
      <c r="A311" s="3">
        <v>2.75</v>
      </c>
      <c r="B311" s="6">
        <v>2.25</v>
      </c>
      <c r="C311" s="3">
        <v>1.0</v>
      </c>
    </row>
    <row r="312">
      <c r="A312" s="3">
        <v>2.75</v>
      </c>
      <c r="B312" s="6">
        <v>2.75</v>
      </c>
      <c r="C312" s="3">
        <v>1.0</v>
      </c>
    </row>
    <row r="313">
      <c r="A313" s="3">
        <v>2.75</v>
      </c>
      <c r="B313" s="6">
        <v>3.0</v>
      </c>
      <c r="C313" s="3">
        <v>1.0</v>
      </c>
    </row>
    <row r="314">
      <c r="A314" s="3">
        <v>3.0</v>
      </c>
      <c r="B314" s="6">
        <v>1.0</v>
      </c>
      <c r="C314" s="3">
        <v>1.0</v>
      </c>
    </row>
    <row r="315">
      <c r="A315" s="3">
        <v>3.0</v>
      </c>
      <c r="B315" s="6">
        <v>1.25</v>
      </c>
      <c r="C315" s="3">
        <v>2.0</v>
      </c>
    </row>
    <row r="316">
      <c r="A316" s="3">
        <v>3.0</v>
      </c>
      <c r="B316" s="6">
        <v>3.0</v>
      </c>
      <c r="C316" s="3">
        <v>2.0</v>
      </c>
    </row>
    <row r="317">
      <c r="A317" s="15"/>
      <c r="B317" s="7"/>
    </row>
    <row r="318">
      <c r="A318" s="49" t="s">
        <v>592</v>
      </c>
      <c r="B318" s="7"/>
    </row>
    <row r="319">
      <c r="A319" s="3">
        <v>0.5</v>
      </c>
      <c r="B319" s="6">
        <v>2.0</v>
      </c>
      <c r="C319" s="3">
        <v>1.0</v>
      </c>
    </row>
    <row r="320">
      <c r="B320" s="6"/>
    </row>
    <row r="321">
      <c r="A321" s="14" t="s">
        <v>281</v>
      </c>
      <c r="B321" s="7"/>
    </row>
    <row r="322">
      <c r="A322" s="3" t="s">
        <v>593</v>
      </c>
      <c r="B322" s="6">
        <v>1.5</v>
      </c>
      <c r="C322" s="3">
        <v>1.0</v>
      </c>
    </row>
    <row r="323">
      <c r="A323" s="3" t="s">
        <v>594</v>
      </c>
      <c r="B323" s="6">
        <v>1.25</v>
      </c>
      <c r="C323" s="3">
        <v>1.0</v>
      </c>
    </row>
    <row r="324">
      <c r="A324" s="3">
        <v>0.5</v>
      </c>
      <c r="B324" s="6">
        <v>1.0</v>
      </c>
      <c r="C324" s="3">
        <v>1.0</v>
      </c>
    </row>
    <row r="325">
      <c r="A325" s="3">
        <v>0.5</v>
      </c>
      <c r="B325" s="6">
        <v>2.0</v>
      </c>
      <c r="C325" s="3">
        <v>2.0</v>
      </c>
    </row>
    <row r="326">
      <c r="A326" s="3">
        <v>1.0</v>
      </c>
      <c r="B326" s="6">
        <v>2.5</v>
      </c>
      <c r="C326" s="3">
        <v>1.0</v>
      </c>
    </row>
    <row r="327">
      <c r="A327" s="3" t="s">
        <v>559</v>
      </c>
      <c r="B327" s="6">
        <v>1.75</v>
      </c>
      <c r="C327" s="3">
        <v>1.0</v>
      </c>
    </row>
    <row r="328">
      <c r="A328" s="3" t="s">
        <v>555</v>
      </c>
      <c r="B328" s="6">
        <v>2.75</v>
      </c>
      <c r="C328" s="3">
        <v>1.0</v>
      </c>
    </row>
    <row r="329">
      <c r="A329" s="3" t="s">
        <v>595</v>
      </c>
      <c r="B329" s="6">
        <v>1.0</v>
      </c>
      <c r="C329" s="3">
        <v>1.0</v>
      </c>
    </row>
    <row r="330">
      <c r="A330" s="3" t="s">
        <v>596</v>
      </c>
      <c r="B330" s="6">
        <v>2.0</v>
      </c>
      <c r="C330" s="3">
        <v>2.0</v>
      </c>
    </row>
    <row r="331">
      <c r="A331" s="3" t="s">
        <v>597</v>
      </c>
      <c r="B331" s="6">
        <v>2.25</v>
      </c>
      <c r="C331" s="3">
        <v>2.0</v>
      </c>
    </row>
    <row r="332">
      <c r="A332" s="3" t="s">
        <v>598</v>
      </c>
      <c r="B332" s="6">
        <v>2.5</v>
      </c>
      <c r="C332" s="3">
        <v>1.0</v>
      </c>
    </row>
    <row r="333">
      <c r="A333" s="3">
        <v>2.5</v>
      </c>
      <c r="B333" s="6">
        <v>1.25</v>
      </c>
      <c r="C333" s="3">
        <v>1.0</v>
      </c>
    </row>
    <row r="334">
      <c r="A334" s="3">
        <v>2.5</v>
      </c>
      <c r="B334" s="6">
        <v>2.0</v>
      </c>
      <c r="C334" s="3">
        <v>2.0</v>
      </c>
    </row>
    <row r="335">
      <c r="B335" s="7"/>
    </row>
    <row r="336">
      <c r="A336" s="50" t="s">
        <v>599</v>
      </c>
      <c r="B336" s="6"/>
    </row>
    <row r="337">
      <c r="A337" s="3" t="s">
        <v>600</v>
      </c>
      <c r="B337" s="6">
        <v>2.25</v>
      </c>
      <c r="C337" s="3">
        <v>1.0</v>
      </c>
    </row>
    <row r="338">
      <c r="A338" s="3" t="s">
        <v>601</v>
      </c>
      <c r="B338" s="6">
        <v>1.75</v>
      </c>
      <c r="C338" s="3">
        <v>1.0</v>
      </c>
    </row>
    <row r="339">
      <c r="A339" s="3" t="s">
        <v>602</v>
      </c>
      <c r="B339" s="6">
        <v>1.5</v>
      </c>
      <c r="C339" s="3">
        <v>2.0</v>
      </c>
    </row>
    <row r="340">
      <c r="A340" s="3">
        <v>1.75</v>
      </c>
      <c r="B340" s="6">
        <v>2.0</v>
      </c>
      <c r="C340" s="3">
        <v>1.0</v>
      </c>
    </row>
    <row r="341">
      <c r="A341" s="3" t="s">
        <v>603</v>
      </c>
      <c r="B341" s="6">
        <v>2.25</v>
      </c>
      <c r="C341" s="3">
        <v>1.0</v>
      </c>
    </row>
    <row r="342">
      <c r="A342" s="3"/>
      <c r="B342" s="6"/>
      <c r="C342" s="3"/>
    </row>
    <row r="343">
      <c r="A343" s="5" t="s">
        <v>604</v>
      </c>
      <c r="B343" s="6"/>
    </row>
    <row r="344">
      <c r="A344" s="3" t="s">
        <v>352</v>
      </c>
      <c r="B344" s="6">
        <v>2.5</v>
      </c>
      <c r="C344" s="3">
        <v>1.0</v>
      </c>
    </row>
    <row r="345">
      <c r="B345" s="6"/>
    </row>
    <row r="346">
      <c r="A346" s="45" t="s">
        <v>605</v>
      </c>
      <c r="B346" s="7"/>
    </row>
    <row r="347">
      <c r="A347" s="3" t="s">
        <v>606</v>
      </c>
      <c r="B347" s="6">
        <v>2.0</v>
      </c>
      <c r="C347" s="3">
        <v>2.0</v>
      </c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  <row r="1001">
      <c r="B1001" s="7"/>
    </row>
    <row r="1002">
      <c r="B1002" s="7"/>
    </row>
    <row r="1003">
      <c r="B1003" s="7"/>
    </row>
    <row r="1004">
      <c r="B1004" s="7"/>
    </row>
    <row r="1005">
      <c r="B1005" s="7"/>
    </row>
    <row r="1006">
      <c r="B1006" s="7"/>
    </row>
    <row r="1007">
      <c r="B1007" s="7"/>
    </row>
    <row r="1008">
      <c r="B1008" s="7"/>
    </row>
    <row r="1009">
      <c r="B1009" s="7"/>
    </row>
    <row r="1010">
      <c r="B1010" s="7"/>
    </row>
    <row r="1011">
      <c r="B1011" s="7"/>
    </row>
    <row r="1012">
      <c r="B1012" s="7"/>
    </row>
    <row r="1013">
      <c r="B1013" s="7"/>
    </row>
    <row r="1014">
      <c r="B1014" s="7"/>
    </row>
    <row r="1015">
      <c r="B1015" s="7"/>
    </row>
    <row r="1016">
      <c r="B1016" s="7"/>
    </row>
    <row r="1017">
      <c r="B1017" s="7"/>
    </row>
    <row r="1018">
      <c r="B1018" s="7"/>
    </row>
    <row r="1019">
      <c r="B1019" s="7"/>
    </row>
    <row r="1020">
      <c r="B1020" s="7"/>
    </row>
    <row r="1021">
      <c r="B1021" s="7"/>
    </row>
    <row r="1022">
      <c r="B1022" s="7"/>
    </row>
    <row r="1023">
      <c r="B1023" s="7"/>
    </row>
    <row r="1024">
      <c r="B1024" s="7"/>
    </row>
    <row r="1025">
      <c r="B1025" s="7"/>
    </row>
    <row r="1026">
      <c r="B1026" s="7"/>
    </row>
    <row r="1027">
      <c r="B1027" s="7"/>
    </row>
    <row r="1028">
      <c r="B1028" s="7"/>
    </row>
    <row r="1029">
      <c r="B1029" s="7"/>
    </row>
    <row r="1030">
      <c r="B1030" s="7"/>
    </row>
    <row r="1031">
      <c r="B1031" s="7"/>
    </row>
    <row r="1032">
      <c r="B1032" s="7"/>
    </row>
    <row r="1033">
      <c r="B1033" s="7"/>
    </row>
    <row r="1034">
      <c r="B1034" s="7"/>
    </row>
    <row r="1035">
      <c r="B1035" s="7"/>
    </row>
    <row r="1036">
      <c r="B1036" s="7"/>
    </row>
    <row r="1037">
      <c r="B1037" s="7"/>
    </row>
    <row r="1038">
      <c r="B1038" s="7"/>
    </row>
    <row r="1039">
      <c r="B1039" s="7"/>
    </row>
    <row r="1040">
      <c r="B1040" s="7"/>
    </row>
    <row r="1041">
      <c r="B1041" s="7"/>
    </row>
    <row r="1042">
      <c r="B1042" s="7"/>
    </row>
    <row r="1043">
      <c r="B1043" s="7"/>
    </row>
    <row r="1044">
      <c r="B1044" s="7"/>
    </row>
    <row r="1045">
      <c r="B1045" s="7"/>
    </row>
    <row r="1046">
      <c r="B1046" s="7"/>
    </row>
    <row r="1047">
      <c r="B1047" s="7"/>
    </row>
    <row r="1048">
      <c r="B1048" s="7"/>
    </row>
    <row r="1049">
      <c r="B1049" s="7"/>
    </row>
    <row r="1050">
      <c r="B1050" s="7"/>
    </row>
    <row r="1051">
      <c r="B1051" s="7"/>
    </row>
    <row r="1052">
      <c r="B1052" s="7"/>
    </row>
    <row r="1053">
      <c r="B1053" s="7"/>
    </row>
    <row r="1054">
      <c r="B1054" s="7"/>
    </row>
    <row r="1055">
      <c r="B1055" s="7"/>
    </row>
    <row r="1056">
      <c r="B1056" s="7"/>
    </row>
    <row r="1057">
      <c r="B1057" s="7"/>
    </row>
    <row r="1058">
      <c r="B1058" s="7"/>
    </row>
    <row r="1059">
      <c r="B1059" s="7"/>
    </row>
    <row r="1060">
      <c r="B1060" s="7"/>
    </row>
    <row r="1061">
      <c r="B1061" s="7"/>
    </row>
    <row r="1062">
      <c r="B1062" s="7"/>
    </row>
    <row r="1063">
      <c r="B1063" s="7"/>
    </row>
    <row r="1064">
      <c r="B1064" s="7"/>
    </row>
    <row r="1065">
      <c r="B1065" s="7"/>
    </row>
    <row r="1066">
      <c r="B1066" s="7"/>
    </row>
    <row r="1067">
      <c r="B1067" s="7"/>
    </row>
    <row r="1068">
      <c r="B1068" s="7"/>
    </row>
    <row r="1069">
      <c r="B1069" s="7"/>
    </row>
    <row r="1070">
      <c r="B1070" s="7"/>
    </row>
    <row r="1071">
      <c r="B1071" s="7"/>
    </row>
    <row r="1072">
      <c r="B1072" s="7"/>
    </row>
    <row r="1073">
      <c r="B1073" s="7"/>
    </row>
    <row r="1074">
      <c r="B1074" s="7"/>
    </row>
    <row r="1075">
      <c r="B1075" s="7"/>
    </row>
    <row r="1076">
      <c r="B1076" s="7"/>
    </row>
    <row r="1077">
      <c r="B1077" s="7"/>
    </row>
    <row r="1078">
      <c r="B1078" s="7"/>
    </row>
    <row r="1079">
      <c r="B1079" s="7"/>
    </row>
    <row r="1080">
      <c r="B1080" s="7"/>
    </row>
    <row r="1081">
      <c r="B1081" s="7"/>
    </row>
    <row r="1082">
      <c r="B1082" s="7"/>
    </row>
    <row r="1083">
      <c r="B1083" s="7"/>
    </row>
    <row r="1084">
      <c r="B1084" s="7"/>
    </row>
    <row r="1085">
      <c r="B1085" s="7"/>
    </row>
    <row r="1086">
      <c r="B1086" s="7"/>
    </row>
    <row r="1087">
      <c r="B1087" s="7"/>
    </row>
    <row r="1088">
      <c r="B1088" s="7"/>
    </row>
    <row r="1089">
      <c r="B1089" s="7"/>
    </row>
    <row r="1090">
      <c r="B1090" s="7"/>
    </row>
    <row r="1091">
      <c r="B1091" s="7"/>
    </row>
    <row r="1092">
      <c r="B1092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607</v>
      </c>
      <c r="B1" s="3" t="s">
        <v>608</v>
      </c>
      <c r="C1" s="3" t="s">
        <v>609</v>
      </c>
      <c r="D1" s="3" t="s">
        <v>610</v>
      </c>
    </row>
    <row r="2">
      <c r="A2" s="3" t="s">
        <v>611</v>
      </c>
      <c r="B2" s="3" t="s">
        <v>612</v>
      </c>
      <c r="C2" s="51">
        <v>0.37</v>
      </c>
      <c r="D2" s="51">
        <v>0.63</v>
      </c>
    </row>
    <row r="3">
      <c r="A3" s="3" t="s">
        <v>613</v>
      </c>
      <c r="B3" s="3" t="s">
        <v>614</v>
      </c>
      <c r="C3" s="51">
        <v>0.36</v>
      </c>
      <c r="D3" s="51">
        <v>0.64</v>
      </c>
    </row>
    <row r="4">
      <c r="A4" s="3" t="s">
        <v>615</v>
      </c>
      <c r="B4" s="3" t="s">
        <v>616</v>
      </c>
      <c r="C4" s="51">
        <v>0.41</v>
      </c>
      <c r="D4" s="51">
        <v>0.59</v>
      </c>
    </row>
    <row r="5">
      <c r="A5" s="3" t="s">
        <v>617</v>
      </c>
      <c r="B5" s="3" t="s">
        <v>616</v>
      </c>
      <c r="C5" s="51">
        <v>0.51</v>
      </c>
      <c r="D5" s="51">
        <v>0.49</v>
      </c>
    </row>
    <row r="6">
      <c r="A6" s="3" t="s">
        <v>618</v>
      </c>
      <c r="B6" s="3" t="s">
        <v>612</v>
      </c>
      <c r="C6" s="51">
        <v>0.37</v>
      </c>
      <c r="D6" s="51">
        <v>0.63</v>
      </c>
    </row>
    <row r="7">
      <c r="A7" s="3" t="s">
        <v>619</v>
      </c>
      <c r="B7" s="3" t="s">
        <v>620</v>
      </c>
      <c r="C7" s="51">
        <v>0.51</v>
      </c>
      <c r="D7" s="51">
        <v>0.49</v>
      </c>
    </row>
    <row r="8">
      <c r="A8" s="3" t="s">
        <v>621</v>
      </c>
      <c r="B8" s="3" t="s">
        <v>622</v>
      </c>
      <c r="C8" s="51">
        <v>0.51</v>
      </c>
      <c r="D8" s="51">
        <v>0.49</v>
      </c>
    </row>
    <row r="9">
      <c r="A9" s="3" t="s">
        <v>623</v>
      </c>
      <c r="B9" s="3" t="s">
        <v>622</v>
      </c>
      <c r="C9" s="51">
        <v>0.51</v>
      </c>
      <c r="D9" s="51">
        <v>0.49</v>
      </c>
    </row>
    <row r="10">
      <c r="A10" s="3" t="s">
        <v>624</v>
      </c>
      <c r="B10" s="3" t="s">
        <v>625</v>
      </c>
      <c r="C10" s="51">
        <v>0.51</v>
      </c>
      <c r="D10" s="51">
        <v>0.49</v>
      </c>
    </row>
    <row r="11">
      <c r="A11" s="3" t="s">
        <v>626</v>
      </c>
      <c r="B11" s="3" t="s">
        <v>627</v>
      </c>
      <c r="C11" s="51">
        <v>0.51</v>
      </c>
      <c r="D11" s="51">
        <v>0.49</v>
      </c>
    </row>
    <row r="12">
      <c r="A12" s="3" t="s">
        <v>628</v>
      </c>
      <c r="B12" s="3" t="s">
        <v>629</v>
      </c>
      <c r="C12" s="51">
        <v>0.55</v>
      </c>
      <c r="D12" s="51">
        <v>0.45</v>
      </c>
    </row>
    <row r="13">
      <c r="A13" s="3" t="s">
        <v>630</v>
      </c>
      <c r="B13" s="3" t="s">
        <v>631</v>
      </c>
      <c r="C13" s="51">
        <v>0.55</v>
      </c>
      <c r="D13" s="51">
        <v>0.45</v>
      </c>
    </row>
    <row r="14">
      <c r="A14" s="3" t="s">
        <v>632</v>
      </c>
      <c r="B14" s="3" t="s">
        <v>633</v>
      </c>
      <c r="C14" s="51">
        <v>0.6</v>
      </c>
      <c r="D14" s="51">
        <v>0.4</v>
      </c>
    </row>
    <row r="15">
      <c r="A15" s="3" t="s">
        <v>634</v>
      </c>
      <c r="B15" s="3" t="s">
        <v>635</v>
      </c>
      <c r="C15" s="51">
        <v>0.51</v>
      </c>
      <c r="D15" s="51">
        <v>0.49</v>
      </c>
    </row>
    <row r="16">
      <c r="A16" s="3" t="s">
        <v>636</v>
      </c>
      <c r="B16" s="3" t="s">
        <v>637</v>
      </c>
      <c r="C16" s="51">
        <v>0.36</v>
      </c>
      <c r="D16" s="51">
        <v>0.64</v>
      </c>
    </row>
    <row r="17">
      <c r="A17" s="3" t="s">
        <v>638</v>
      </c>
      <c r="B17" s="3" t="s">
        <v>639</v>
      </c>
      <c r="C17" s="51">
        <v>0.55</v>
      </c>
      <c r="D17" s="51">
        <v>0.45</v>
      </c>
    </row>
    <row r="18">
      <c r="A18" s="3" t="s">
        <v>640</v>
      </c>
      <c r="B18" s="3" t="s">
        <v>612</v>
      </c>
      <c r="C18" s="51">
        <v>0.51</v>
      </c>
      <c r="D18" s="51">
        <v>0.49</v>
      </c>
    </row>
    <row r="19">
      <c r="A19" s="3" t="s">
        <v>641</v>
      </c>
      <c r="B19" s="3" t="s">
        <v>642</v>
      </c>
      <c r="C19" s="51">
        <v>0.6</v>
      </c>
      <c r="D19" s="51">
        <v>0.4</v>
      </c>
    </row>
    <row r="20">
      <c r="A20" s="3" t="s">
        <v>643</v>
      </c>
      <c r="B20" s="3" t="s">
        <v>644</v>
      </c>
      <c r="C20" s="51">
        <v>0.45</v>
      </c>
      <c r="D20" s="51">
        <v>0.55</v>
      </c>
    </row>
    <row r="21">
      <c r="A21" s="3" t="s">
        <v>645</v>
      </c>
      <c r="B21" s="3" t="s">
        <v>646</v>
      </c>
      <c r="C21" s="51">
        <v>0.55</v>
      </c>
      <c r="D21" s="51">
        <v>0.45</v>
      </c>
    </row>
    <row r="22">
      <c r="A22" s="3" t="s">
        <v>647</v>
      </c>
      <c r="B22" s="3" t="s">
        <v>648</v>
      </c>
      <c r="C22" s="51">
        <v>0.51</v>
      </c>
      <c r="D22" s="51">
        <v>0.49</v>
      </c>
    </row>
    <row r="23">
      <c r="A23" s="3" t="s">
        <v>649</v>
      </c>
      <c r="B23" s="3" t="s">
        <v>650</v>
      </c>
      <c r="C23" s="51">
        <v>0.6</v>
      </c>
      <c r="D23" s="51">
        <v>0.4</v>
      </c>
    </row>
    <row r="24">
      <c r="A24" s="3" t="s">
        <v>7</v>
      </c>
      <c r="B24" s="3" t="s">
        <v>651</v>
      </c>
      <c r="C24" s="51">
        <v>0.51</v>
      </c>
      <c r="D24" s="51">
        <v>0.49</v>
      </c>
    </row>
    <row r="25">
      <c r="A25" s="3" t="s">
        <v>652</v>
      </c>
      <c r="B25" s="3" t="s">
        <v>653</v>
      </c>
      <c r="C25" s="51">
        <v>0.6</v>
      </c>
      <c r="D25" s="51">
        <v>0.4</v>
      </c>
    </row>
    <row r="26">
      <c r="A26" s="3" t="s">
        <v>654</v>
      </c>
      <c r="B26" s="3" t="s">
        <v>655</v>
      </c>
      <c r="C26" s="51">
        <v>0.51</v>
      </c>
      <c r="D26" s="51">
        <v>0.49</v>
      </c>
    </row>
    <row r="27">
      <c r="A27" s="3" t="s">
        <v>656</v>
      </c>
      <c r="B27" s="3" t="s">
        <v>657</v>
      </c>
      <c r="C27" s="51">
        <v>0.37</v>
      </c>
      <c r="D27" s="51">
        <v>0.63</v>
      </c>
    </row>
    <row r="28">
      <c r="A28" s="3" t="s">
        <v>658</v>
      </c>
      <c r="B28" s="3" t="s">
        <v>659</v>
      </c>
      <c r="C28" s="51">
        <v>0.25</v>
      </c>
    </row>
    <row r="29">
      <c r="A29" s="3" t="s">
        <v>660</v>
      </c>
      <c r="B29" s="3" t="s">
        <v>661</v>
      </c>
    </row>
    <row r="30">
      <c r="A30" s="3" t="s">
        <v>662</v>
      </c>
      <c r="B30" s="3" t="s">
        <v>663</v>
      </c>
    </row>
    <row r="31">
      <c r="A31" s="3" t="s">
        <v>664</v>
      </c>
      <c r="B31" s="3" t="s">
        <v>665</v>
      </c>
    </row>
    <row r="32">
      <c r="A32" s="3" t="s">
        <v>666</v>
      </c>
      <c r="B32" s="3" t="s">
        <v>667</v>
      </c>
    </row>
    <row r="33">
      <c r="A33" s="3" t="s">
        <v>668</v>
      </c>
      <c r="B33" s="3" t="s">
        <v>669</v>
      </c>
    </row>
    <row r="34">
      <c r="A34" s="3" t="s">
        <v>670</v>
      </c>
      <c r="B34" s="3" t="s">
        <v>671</v>
      </c>
    </row>
    <row r="35">
      <c r="A35" s="3" t="s">
        <v>672</v>
      </c>
      <c r="B35" s="3" t="s">
        <v>673</v>
      </c>
    </row>
    <row r="36">
      <c r="A36" s="3" t="s">
        <v>674</v>
      </c>
      <c r="B36" s="3" t="s">
        <v>675</v>
      </c>
      <c r="C36" s="51">
        <v>0.24</v>
      </c>
    </row>
    <row r="37">
      <c r="A37" s="3" t="s">
        <v>236</v>
      </c>
      <c r="B37" s="3" t="s">
        <v>676</v>
      </c>
    </row>
    <row r="38">
      <c r="A38" s="3" t="s">
        <v>677</v>
      </c>
      <c r="B38" s="3" t="s">
        <v>678</v>
      </c>
      <c r="C38" s="51">
        <v>0.52</v>
      </c>
      <c r="D38" s="51">
        <v>0.48</v>
      </c>
    </row>
    <row r="39">
      <c r="A39" s="3" t="s">
        <v>679</v>
      </c>
      <c r="B39" s="3" t="s">
        <v>680</v>
      </c>
      <c r="C39" s="51">
        <v>0.52</v>
      </c>
      <c r="D39" s="51">
        <v>0.48</v>
      </c>
    </row>
    <row r="40">
      <c r="A40" s="3" t="s">
        <v>681</v>
      </c>
      <c r="B40" s="3" t="s">
        <v>682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52" t="s">
        <v>683</v>
      </c>
      <c r="B1" s="53">
        <f>vlookup(A1,'SECO Stocktake'!$A$2:$CF$1425,83,0)</f>
        <v>2</v>
      </c>
      <c r="C1" s="54"/>
      <c r="D1" s="55"/>
      <c r="E1" s="56"/>
      <c r="F1" s="56"/>
      <c r="G1" s="56"/>
    </row>
    <row r="2">
      <c r="A2" s="52" t="s">
        <v>684</v>
      </c>
      <c r="B2" s="53" t="str">
        <f>vlookup(A2,'SECO Stocktake'!$A$2:$CF$1425,83,0)</f>
        <v>#N/A</v>
      </c>
    </row>
    <row r="3">
      <c r="A3" s="52" t="s">
        <v>685</v>
      </c>
      <c r="B3" s="53" t="str">
        <f>vlookup(A3,'SECO Stocktake'!$A$2:$CF$1425,83,0)</f>
        <v>#N/A</v>
      </c>
    </row>
    <row r="4">
      <c r="A4" s="52" t="s">
        <v>686</v>
      </c>
      <c r="B4" s="53">
        <f>vlookup(A4,'SECO Stocktake'!$A$2:$CF$1425,83,0)</f>
        <v>1</v>
      </c>
    </row>
    <row r="5">
      <c r="A5" s="52" t="s">
        <v>687</v>
      </c>
      <c r="B5" s="53">
        <f>vlookup(A5,'SECO Stocktake'!$A$2:$CF$1425,83,0)</f>
        <v>1</v>
      </c>
    </row>
    <row r="6">
      <c r="A6" s="52" t="s">
        <v>688</v>
      </c>
      <c r="B6" s="53">
        <f>vlookup(A6,'SECO Stocktake'!$A$2:$CF$1425,83,0)</f>
        <v>1</v>
      </c>
    </row>
    <row r="7">
      <c r="A7" s="59" t="s">
        <v>689</v>
      </c>
      <c r="B7" s="53">
        <f>vlookup(A7,'SECO Stocktake'!$A$2:$CF$1425,83,0)</f>
        <v>1</v>
      </c>
    </row>
    <row r="8">
      <c r="A8" s="59" t="s">
        <v>690</v>
      </c>
      <c r="B8" s="53" t="str">
        <f>vlookup(A8,'SECO Stocktake'!$A$2:$CF$1425,83,0)</f>
        <v>#N/A</v>
      </c>
    </row>
    <row r="9">
      <c r="A9" s="59" t="s">
        <v>691</v>
      </c>
      <c r="B9" s="53" t="str">
        <f>vlookup(A9,'SECO Stocktake'!$A$2:$CF$1425,83,0)</f>
        <v>#N/A</v>
      </c>
    </row>
    <row r="10">
      <c r="A10" s="59" t="s">
        <v>692</v>
      </c>
      <c r="B10" s="53" t="str">
        <f>vlookup(A10,'SECO Stocktake'!$A$2:$CF$1425,83,0)</f>
        <v>#N/A</v>
      </c>
    </row>
    <row r="11">
      <c r="A11" s="59" t="s">
        <v>693</v>
      </c>
      <c r="B11" s="53" t="str">
        <f>vlookup(A11,'SECO Stocktake'!$A$2:$CF$1425,83,0)</f>
        <v>#N/A</v>
      </c>
    </row>
    <row r="12">
      <c r="A12" s="59" t="s">
        <v>694</v>
      </c>
      <c r="B12" s="53">
        <f>vlookup(A12,'SECO Stocktake'!$A$2:$CF$1425,83,0)</f>
        <v>2</v>
      </c>
    </row>
    <row r="13">
      <c r="A13" s="60" t="s">
        <v>695</v>
      </c>
      <c r="B13" s="53">
        <f>vlookup(A13,'SECO Stocktake'!$A$2:$CF$1425,83,0)</f>
        <v>1</v>
      </c>
    </row>
    <row r="14">
      <c r="A14" s="59" t="s">
        <v>696</v>
      </c>
      <c r="B14" s="53">
        <f>vlookup(A14,'SECO Stocktake'!$A$2:$CF$1425,83,0)</f>
        <v>1</v>
      </c>
    </row>
    <row r="15">
      <c r="A15" s="59" t="s">
        <v>697</v>
      </c>
      <c r="B15" s="53">
        <f>vlookup(A15,'SECO Stocktake'!$A$2:$CF$1425,83,0)</f>
        <v>1</v>
      </c>
    </row>
    <row r="16">
      <c r="A16" s="60" t="s">
        <v>698</v>
      </c>
      <c r="B16" s="53" t="str">
        <f>vlookup(A16,'SECO Stocktake'!$A$2:$CF$1425,83,0)</f>
        <v>#N/A</v>
      </c>
    </row>
    <row r="17">
      <c r="A17" s="59" t="s">
        <v>699</v>
      </c>
      <c r="B17" s="53">
        <f>vlookup(A17,'SECO Stocktake'!$A$2:$CF$1425,83,0)</f>
        <v>1</v>
      </c>
    </row>
    <row r="18">
      <c r="A18" s="59" t="s">
        <v>700</v>
      </c>
      <c r="B18" s="53">
        <f>vlookup(A18,'SECO Stocktake'!$A$2:$CF$1425,83,0)</f>
        <v>4</v>
      </c>
    </row>
    <row r="19">
      <c r="A19" s="59" t="s">
        <v>701</v>
      </c>
      <c r="B19" s="53">
        <f>vlookup(A19,'SECO Stocktake'!$A$2:$CF$1425,83,0)</f>
        <v>2</v>
      </c>
    </row>
    <row r="20">
      <c r="A20" s="59" t="s">
        <v>702</v>
      </c>
      <c r="B20" s="53">
        <f>vlookup(A20,'SECO Stocktake'!$A$2:$CF$1425,83,0)</f>
        <v>3</v>
      </c>
    </row>
    <row r="21">
      <c r="A21" s="52" t="s">
        <v>703</v>
      </c>
      <c r="B21" s="53">
        <f>vlookup(A21,'SECO Stocktake'!$A$2:$CF$1425,83,0)</f>
        <v>1</v>
      </c>
    </row>
    <row r="22">
      <c r="A22" s="52" t="s">
        <v>704</v>
      </c>
      <c r="B22" s="53">
        <f>vlookup(A22,'SECO Stocktake'!$A$2:$CF$1425,83,0)</f>
        <v>1</v>
      </c>
    </row>
    <row r="23">
      <c r="A23" s="52" t="s">
        <v>705</v>
      </c>
      <c r="B23" s="53">
        <f>vlookup(A23,'SECO Stocktake'!$A$2:$CF$1425,83,0)</f>
        <v>1</v>
      </c>
    </row>
    <row r="24">
      <c r="A24" s="52" t="s">
        <v>706</v>
      </c>
      <c r="B24" s="53">
        <f>vlookup(A24,'SECO Stocktake'!$A$2:$CF$1425,83,0)</f>
        <v>1</v>
      </c>
    </row>
    <row r="25">
      <c r="A25" s="61" t="s">
        <v>707</v>
      </c>
      <c r="B25" s="53">
        <f>vlookup(A25,'SECO Stocktake'!$A$2:$CF$1425,83,0)</f>
        <v>1</v>
      </c>
    </row>
    <row r="26">
      <c r="A26" s="62" t="s">
        <v>708</v>
      </c>
      <c r="B26" s="53">
        <f>vlookup(A26,'SECO Stocktake'!$A$2:$CF$1425,83,0)</f>
        <v>1</v>
      </c>
    </row>
    <row r="27">
      <c r="A27" s="62" t="s">
        <v>709</v>
      </c>
      <c r="B27" s="53">
        <f>vlookup(A27,'SECO Stocktake'!$A$2:$CF$1425,83,0)</f>
        <v>1</v>
      </c>
    </row>
    <row r="28">
      <c r="A28" s="63" t="s">
        <v>710</v>
      </c>
      <c r="B28" s="53">
        <f>vlookup(A28,'SECO Stocktake'!$A$2:$CF$1425,83,0)</f>
        <v>2</v>
      </c>
    </row>
    <row r="29">
      <c r="A29" s="52" t="s">
        <v>711</v>
      </c>
      <c r="B29" s="53">
        <f>vlookup(A29,'SECO Stocktake'!$A$2:$CF$1425,83,0)</f>
        <v>1</v>
      </c>
    </row>
    <row r="30">
      <c r="A30" s="52" t="s">
        <v>712</v>
      </c>
      <c r="B30" s="53">
        <f>vlookup(A30,'SECO Stocktake'!$A$2:$CF$1425,83,0)</f>
        <v>1</v>
      </c>
    </row>
    <row r="31">
      <c r="A31" s="52" t="s">
        <v>713</v>
      </c>
      <c r="B31" s="53">
        <f>vlookup(A31,'SECO Stocktake'!$A$2:$CF$1425,83,0)</f>
        <v>1</v>
      </c>
    </row>
    <row r="32">
      <c r="A32" s="52" t="s">
        <v>714</v>
      </c>
      <c r="B32" s="53">
        <f>vlookup(A32,'SECO Stocktake'!$A$2:$CF$1425,83,0)</f>
        <v>1</v>
      </c>
    </row>
    <row r="33">
      <c r="A33" s="63" t="s">
        <v>715</v>
      </c>
      <c r="B33" s="53">
        <f>vlookup(A33,'SECO Stocktake'!$A$2:$CF$1425,83,0)</f>
        <v>2</v>
      </c>
    </row>
    <row r="34">
      <c r="A34" s="64" t="s">
        <v>716</v>
      </c>
      <c r="B34" s="53">
        <f>vlookup(A34,'SECO Stocktake'!$A$2:$CF$1425,83,0)</f>
        <v>2</v>
      </c>
    </row>
    <row r="35">
      <c r="A35" s="64" t="s">
        <v>717</v>
      </c>
      <c r="B35" s="53">
        <f>vlookup(A35,'SECO Stocktake'!$A$2:$CF$1425,83,0)</f>
        <v>1</v>
      </c>
    </row>
    <row r="36">
      <c r="A36" s="65" t="s">
        <v>718</v>
      </c>
      <c r="B36" s="53">
        <f>vlookup(A36,'SECO Stocktake'!$A$2:$CF$1425,83,0)</f>
        <v>2</v>
      </c>
    </row>
    <row r="37">
      <c r="A37" s="64" t="s">
        <v>719</v>
      </c>
      <c r="B37" s="53">
        <f>vlookup(A37,'SECO Stocktake'!$A$2:$CF$1425,83,0)</f>
        <v>1</v>
      </c>
    </row>
    <row r="38">
      <c r="A38" s="64" t="s">
        <v>720</v>
      </c>
      <c r="B38" s="53">
        <f>vlookup(A38,'SECO Stocktake'!$A$2:$CF$1425,83,0)</f>
        <v>14</v>
      </c>
    </row>
    <row r="39">
      <c r="A39" s="64" t="s">
        <v>721</v>
      </c>
      <c r="B39" s="53" t="str">
        <f>vlookup(A39,'SECO Stocktake'!$A$2:$CF$1425,83,0)</f>
        <v>#N/A</v>
      </c>
    </row>
    <row r="40">
      <c r="A40" s="64" t="s">
        <v>722</v>
      </c>
      <c r="B40" s="53">
        <f>vlookup(A40,'SECO Stocktake'!$A$2:$CF$1425,83,0)</f>
        <v>1</v>
      </c>
    </row>
    <row r="41">
      <c r="A41" s="64" t="s">
        <v>723</v>
      </c>
      <c r="B41" s="53">
        <f>vlookup(A41,'SECO Stocktake'!$A$2:$CF$1425,83,0)</f>
        <v>1</v>
      </c>
    </row>
    <row r="42">
      <c r="A42" s="64" t="s">
        <v>724</v>
      </c>
      <c r="B42" s="53">
        <f>vlookup(A42,'SECO Stocktake'!$A$2:$CF$1425,83,0)</f>
        <v>2</v>
      </c>
    </row>
    <row r="43">
      <c r="A43" s="63" t="s">
        <v>725</v>
      </c>
      <c r="B43" s="53">
        <f>vlookup(A43,'SECO Stocktake'!$A$2:$CF$1425,83,0)</f>
        <v>10</v>
      </c>
    </row>
    <row r="44">
      <c r="A44" s="63" t="s">
        <v>726</v>
      </c>
      <c r="B44" s="53">
        <f>vlookup(A44,'SECO Stocktake'!$A$2:$CF$1425,83,0)</f>
        <v>1</v>
      </c>
    </row>
    <row r="45">
      <c r="A45" s="63" t="s">
        <v>727</v>
      </c>
      <c r="B45" s="53" t="str">
        <f>vlookup(A45,'SECO Stocktake'!$A$2:$CF$1425,83,0)</f>
        <v>#N/A</v>
      </c>
    </row>
    <row r="46">
      <c r="A46" s="63" t="s">
        <v>728</v>
      </c>
      <c r="B46" s="53" t="str">
        <f>vlookup(A46,'SECO Stocktake'!$A$2:$CF$1425,83,0)</f>
        <v>#N/A</v>
      </c>
    </row>
    <row r="47">
      <c r="A47" s="63" t="s">
        <v>729</v>
      </c>
      <c r="B47" s="53">
        <f>vlookup(A47,'SECO Stocktake'!$A$2:$CF$1425,83,0)</f>
        <v>3</v>
      </c>
    </row>
    <row r="48">
      <c r="A48" s="63" t="s">
        <v>730</v>
      </c>
      <c r="B48" s="53" t="str">
        <f>vlookup(A48,'SECO Stocktake'!$A$2:$CF$1425,83,0)</f>
        <v>#N/A</v>
      </c>
    </row>
    <row r="49">
      <c r="A49" s="52" t="s">
        <v>731</v>
      </c>
      <c r="B49" s="53">
        <f>vlookup(A49,'SECO Stocktake'!$A$2:$CF$1425,83,0)</f>
        <v>1</v>
      </c>
    </row>
    <row r="50">
      <c r="A50" s="52" t="s">
        <v>732</v>
      </c>
      <c r="B50" s="53" t="str">
        <f>vlookup(A50,'SECO Stocktake'!$A$2:$CF$1425,83,0)</f>
        <v>#N/A</v>
      </c>
    </row>
    <row r="51">
      <c r="A51" s="52" t="s">
        <v>733</v>
      </c>
      <c r="B51" s="53" t="str">
        <f>vlookup(A51,'SECO Stocktake'!$A$2:$CF$1425,83,0)</f>
        <v>#N/A</v>
      </c>
    </row>
    <row r="52">
      <c r="A52" s="52" t="s">
        <v>734</v>
      </c>
      <c r="B52" s="53">
        <f>vlookup(A52,'SECO Stocktake'!$A$2:$CF$1425,83,0)</f>
        <v>1</v>
      </c>
    </row>
    <row r="53">
      <c r="A53" s="52" t="s">
        <v>735</v>
      </c>
      <c r="B53" s="53">
        <f>vlookup(A53,'SECO Stocktake'!$A$2:$CF$1425,83,0)</f>
        <v>1</v>
      </c>
    </row>
    <row r="54">
      <c r="A54" s="52" t="s">
        <v>736</v>
      </c>
      <c r="B54" s="53">
        <f>vlookup(A54,'SECO Stocktake'!$A$2:$CF$1425,83,0)</f>
        <v>1</v>
      </c>
    </row>
    <row r="55">
      <c r="A55" s="62" t="s">
        <v>737</v>
      </c>
      <c r="B55" s="53">
        <f>vlookup(A55,'SECO Stocktake'!$A$2:$CF$1425,83,0)</f>
        <v>1</v>
      </c>
    </row>
    <row r="56">
      <c r="A56" s="62" t="s">
        <v>738</v>
      </c>
      <c r="B56" s="53">
        <f>vlookup(A56,'SECO Stocktake'!$A$2:$CF$1425,83,0)</f>
        <v>1</v>
      </c>
    </row>
    <row r="57">
      <c r="A57" s="61" t="s">
        <v>739</v>
      </c>
      <c r="B57" s="53" t="str">
        <f>vlookup(A57,'SECO Stocktake'!$A$2:$CF$1425,83,0)</f>
        <v>#N/A</v>
      </c>
    </row>
    <row r="58">
      <c r="A58" s="62" t="s">
        <v>740</v>
      </c>
      <c r="B58" s="53">
        <f>vlookup(A58,'SECO Stocktake'!$A$2:$CF$1425,83,0)</f>
        <v>1</v>
      </c>
    </row>
  </sheetData>
  <conditionalFormatting sqref="A1:A58">
    <cfRule type="expression" dxfId="5" priority="1">
      <formula>COUNTIF(A1:A1000,A1)&gt;1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.13"/>
    <col customWidth="1" min="3" max="3" width="4.63"/>
    <col customWidth="1" min="4" max="4" width="13.75"/>
    <col customWidth="1" min="5" max="5" width="5.88"/>
    <col customWidth="1" min="6" max="6" width="2.75"/>
    <col customWidth="1" min="7" max="7" width="10.25"/>
    <col customWidth="1" min="8" max="30" width="0.38"/>
    <col customWidth="1" min="31" max="31" width="1.25"/>
    <col customWidth="1" hidden="1" min="32" max="38" width="7.13"/>
    <col customWidth="1" hidden="1" min="39" max="41" width="6.63"/>
    <col customWidth="1" min="42" max="42" width="0.38"/>
    <col customWidth="1" min="43" max="43" width="0.5"/>
    <col customWidth="1" min="44" max="47" width="0.38"/>
    <col customWidth="1" hidden="1" min="48" max="57" width="0.38"/>
    <col customWidth="1" min="58" max="70" width="0.38"/>
    <col customWidth="1" min="71" max="71" width="1.5"/>
    <col customWidth="1" min="72" max="72" width="1.38"/>
    <col customWidth="1" min="73" max="73" width="0.38"/>
    <col customWidth="1" min="74" max="74" width="1.38"/>
    <col customWidth="1" min="75" max="75" width="0.38"/>
    <col customWidth="1" min="76" max="76" width="0.88"/>
    <col customWidth="1" min="77" max="78" width="0.38"/>
    <col customWidth="1" min="79" max="80" width="0.63"/>
    <col customWidth="1" min="81" max="81" width="0.38"/>
    <col customWidth="1" min="82" max="82" width="1.88"/>
    <col customWidth="1" min="83" max="84" width="0.38"/>
    <col customWidth="1" min="85" max="85" width="1.5"/>
    <col customWidth="1" min="86" max="86" width="0.88"/>
    <col customWidth="1" min="87" max="87" width="0.38"/>
    <col customWidth="1" min="88" max="88" width="1.38"/>
    <col customWidth="1" min="89" max="89" width="1.5"/>
    <col customWidth="1" min="90" max="90" width="1.75"/>
    <col customWidth="1" min="91" max="91" width="0.38"/>
    <col customWidth="1" min="92" max="92" width="0.63"/>
    <col customWidth="1" min="93" max="94" width="0.38"/>
    <col customWidth="1" min="95" max="96" width="1.38"/>
    <col customWidth="1" min="97" max="97" width="1.13"/>
    <col customWidth="1" min="98" max="98" width="0.38"/>
    <col customWidth="1" min="99" max="99" width="0.75"/>
    <col customWidth="1" min="100" max="106" width="0.38"/>
    <col customWidth="1" min="107" max="107" width="1.0"/>
    <col customWidth="1" min="108" max="109" width="0.38"/>
    <col customWidth="1" min="110" max="110" width="1.0"/>
    <col customWidth="1" min="111" max="118" width="4.5"/>
    <col customWidth="1" min="119" max="129" width="6.63"/>
  </cols>
  <sheetData>
    <row r="1">
      <c r="A1" s="66" t="s">
        <v>741</v>
      </c>
      <c r="B1" s="66" t="s">
        <v>742</v>
      </c>
      <c r="C1" s="66" t="s">
        <v>743</v>
      </c>
      <c r="D1" s="67" t="s">
        <v>744</v>
      </c>
      <c r="E1" s="53" t="s">
        <v>745</v>
      </c>
      <c r="F1" s="68" t="s">
        <v>746</v>
      </c>
      <c r="G1" s="69" t="s">
        <v>747</v>
      </c>
      <c r="DN1" s="56" t="s">
        <v>816</v>
      </c>
    </row>
    <row r="2">
      <c r="A2" s="75" t="s">
        <v>817</v>
      </c>
      <c r="B2" s="75"/>
      <c r="C2" s="75" t="s">
        <v>242</v>
      </c>
      <c r="D2" s="76"/>
      <c r="E2" s="53" t="s">
        <v>818</v>
      </c>
      <c r="F2" s="54"/>
      <c r="G2" s="55">
        <v>540.0</v>
      </c>
      <c r="DN2" s="56">
        <v>256.0</v>
      </c>
    </row>
    <row r="3" ht="18.0" customHeight="1">
      <c r="A3" s="75" t="s">
        <v>819</v>
      </c>
      <c r="B3" s="75"/>
      <c r="C3" s="75"/>
      <c r="D3" s="76"/>
      <c r="E3" s="53" t="s">
        <v>818</v>
      </c>
      <c r="F3" s="54"/>
      <c r="G3" s="55"/>
      <c r="DN3" s="56">
        <v>1013.0</v>
      </c>
    </row>
    <row r="4" ht="14.25" customHeight="1">
      <c r="A4" s="75" t="s">
        <v>284</v>
      </c>
      <c r="B4" s="75"/>
      <c r="C4" s="75"/>
      <c r="D4" s="76"/>
      <c r="E4" s="53" t="s">
        <v>818</v>
      </c>
      <c r="F4" s="54"/>
      <c r="G4" s="79"/>
      <c r="DN4" s="56">
        <v>192.0</v>
      </c>
    </row>
    <row r="5" ht="18.75" customHeight="1">
      <c r="A5" s="75" t="s">
        <v>236</v>
      </c>
      <c r="B5" s="75"/>
      <c r="C5" s="75"/>
      <c r="D5" s="76"/>
      <c r="E5" s="53" t="s">
        <v>818</v>
      </c>
      <c r="F5" s="54"/>
      <c r="G5" s="55"/>
      <c r="DN5" s="56">
        <v>43.0</v>
      </c>
    </row>
    <row r="6" ht="16.5" customHeight="1">
      <c r="A6" s="75" t="s">
        <v>820</v>
      </c>
      <c r="B6" s="75"/>
      <c r="C6" s="75"/>
      <c r="D6" s="76"/>
      <c r="E6" s="53" t="s">
        <v>818</v>
      </c>
      <c r="F6" s="54"/>
      <c r="G6" s="55"/>
      <c r="DN6" s="56">
        <v>18.0</v>
      </c>
    </row>
    <row r="7" ht="16.5" customHeight="1">
      <c r="A7" s="75" t="s">
        <v>244</v>
      </c>
      <c r="B7" s="75"/>
      <c r="C7" s="75"/>
      <c r="D7" s="76"/>
      <c r="E7" s="53" t="s">
        <v>818</v>
      </c>
      <c r="F7" s="54"/>
      <c r="G7" s="55"/>
      <c r="DN7" s="56">
        <v>134.0</v>
      </c>
    </row>
    <row r="8">
      <c r="A8" s="75" t="s">
        <v>821</v>
      </c>
      <c r="B8" s="75"/>
      <c r="C8" s="75"/>
      <c r="D8" s="76"/>
      <c r="E8" s="53" t="s">
        <v>818</v>
      </c>
      <c r="F8" s="54"/>
      <c r="G8" s="55"/>
      <c r="DN8" s="78">
        <v>3.0</v>
      </c>
    </row>
    <row r="9">
      <c r="A9" s="75" t="s">
        <v>822</v>
      </c>
      <c r="B9" s="75"/>
      <c r="C9" s="16"/>
      <c r="D9" s="76"/>
      <c r="E9" s="53" t="s">
        <v>818</v>
      </c>
      <c r="F9" s="54"/>
      <c r="G9" s="55"/>
      <c r="DN9" s="56">
        <v>7.0</v>
      </c>
    </row>
    <row r="10">
      <c r="A10" s="75" t="s">
        <v>823</v>
      </c>
      <c r="B10" s="75"/>
      <c r="C10" s="16"/>
      <c r="D10" s="81"/>
      <c r="E10" s="53" t="s">
        <v>818</v>
      </c>
      <c r="F10" s="54"/>
      <c r="G10" s="55"/>
      <c r="DN10" s="56">
        <v>0.0</v>
      </c>
    </row>
    <row r="11" ht="15.75" customHeight="1">
      <c r="A11" s="75" t="s">
        <v>824</v>
      </c>
      <c r="B11" s="75"/>
      <c r="C11" s="75"/>
      <c r="D11" s="76"/>
      <c r="E11" s="53" t="s">
        <v>818</v>
      </c>
      <c r="F11" s="54"/>
      <c r="G11" s="55"/>
      <c r="DN11" s="56">
        <v>183.0</v>
      </c>
    </row>
    <row r="12">
      <c r="A12" s="75" t="s">
        <v>825</v>
      </c>
      <c r="B12" s="75"/>
      <c r="C12" s="75"/>
      <c r="D12" s="76"/>
      <c r="E12" s="53"/>
      <c r="F12" s="54"/>
      <c r="G12" s="55"/>
      <c r="DN12" s="56">
        <v>2.0</v>
      </c>
    </row>
    <row r="13">
      <c r="A13" s="75" t="s">
        <v>826</v>
      </c>
      <c r="B13" s="75"/>
      <c r="C13" s="75"/>
      <c r="D13" s="76"/>
      <c r="E13" s="53" t="s">
        <v>818</v>
      </c>
      <c r="F13" s="54"/>
      <c r="G13" s="55"/>
      <c r="DN13" s="56">
        <v>108.0</v>
      </c>
    </row>
    <row r="14" ht="16.5" customHeight="1">
      <c r="A14" s="75" t="s">
        <v>827</v>
      </c>
      <c r="B14" s="75"/>
      <c r="C14" s="75"/>
      <c r="D14" s="76"/>
      <c r="E14" s="53" t="s">
        <v>818</v>
      </c>
      <c r="F14" s="54"/>
      <c r="G14" s="55"/>
      <c r="DN14" s="56">
        <v>79.0</v>
      </c>
    </row>
    <row r="15">
      <c r="A15" s="75" t="s">
        <v>828</v>
      </c>
      <c r="B15" s="75"/>
      <c r="C15" s="75"/>
      <c r="D15" s="76"/>
      <c r="E15" s="53" t="s">
        <v>818</v>
      </c>
      <c r="F15" s="54"/>
      <c r="G15" s="55"/>
      <c r="DN15" s="78">
        <v>2.0</v>
      </c>
    </row>
    <row r="16">
      <c r="A16" s="75" t="s">
        <v>829</v>
      </c>
      <c r="B16" s="75"/>
      <c r="C16" s="75"/>
      <c r="D16" s="76"/>
      <c r="E16" s="53" t="s">
        <v>818</v>
      </c>
      <c r="F16" s="54"/>
      <c r="G16" s="55"/>
      <c r="DN16" s="56">
        <v>77.0</v>
      </c>
    </row>
    <row r="17" ht="18.0" customHeight="1">
      <c r="A17" s="75" t="s">
        <v>830</v>
      </c>
      <c r="B17" s="75"/>
      <c r="C17" s="75"/>
      <c r="D17" s="76"/>
      <c r="E17" s="53"/>
      <c r="F17" s="54"/>
      <c r="G17" s="55"/>
      <c r="DN17" s="56">
        <v>5.0</v>
      </c>
    </row>
    <row r="18" ht="18.0" customHeight="1">
      <c r="A18" s="75" t="s">
        <v>831</v>
      </c>
      <c r="B18" s="75"/>
      <c r="C18" s="75"/>
      <c r="D18" s="76"/>
      <c r="E18" s="53" t="s">
        <v>818</v>
      </c>
      <c r="F18" s="54"/>
      <c r="G18" s="55"/>
      <c r="DN18" s="56">
        <v>7.0</v>
      </c>
    </row>
    <row r="19">
      <c r="A19" s="75" t="s">
        <v>832</v>
      </c>
      <c r="B19" s="75"/>
      <c r="C19" s="75"/>
      <c r="D19" s="76"/>
      <c r="E19" s="53"/>
      <c r="F19" s="54"/>
      <c r="G19" s="55"/>
      <c r="DN19" s="56">
        <v>10.0</v>
      </c>
    </row>
    <row r="20">
      <c r="A20" s="75" t="s">
        <v>833</v>
      </c>
      <c r="B20" s="75"/>
      <c r="C20" s="75"/>
      <c r="D20" s="76"/>
      <c r="E20" s="53" t="s">
        <v>818</v>
      </c>
      <c r="F20" s="54"/>
      <c r="G20" s="55"/>
      <c r="DN20" s="78">
        <v>5.0</v>
      </c>
    </row>
    <row r="21">
      <c r="A21" s="75" t="s">
        <v>834</v>
      </c>
      <c r="B21" s="75"/>
      <c r="C21" s="75"/>
      <c r="D21" s="76"/>
      <c r="E21" s="53" t="s">
        <v>818</v>
      </c>
      <c r="F21" s="54"/>
      <c r="G21" s="55"/>
      <c r="DN21" s="56">
        <v>14.0</v>
      </c>
    </row>
    <row r="22">
      <c r="A22" s="75" t="s">
        <v>835</v>
      </c>
      <c r="B22" s="75"/>
      <c r="C22" s="75"/>
      <c r="D22" s="76"/>
      <c r="E22" s="53"/>
      <c r="F22" s="54"/>
      <c r="G22" s="83"/>
      <c r="DN22" s="56">
        <v>6.0</v>
      </c>
    </row>
    <row r="23">
      <c r="A23" s="75" t="s">
        <v>836</v>
      </c>
      <c r="B23" s="75"/>
      <c r="C23" s="75"/>
      <c r="D23" s="76"/>
      <c r="E23" s="53"/>
      <c r="F23" s="54"/>
      <c r="G23" s="83"/>
      <c r="DN23" s="56">
        <v>0.0</v>
      </c>
    </row>
    <row r="24">
      <c r="A24" s="75" t="s">
        <v>837</v>
      </c>
      <c r="B24" s="75"/>
      <c r="C24" s="75"/>
      <c r="D24" s="76"/>
      <c r="E24" s="53"/>
      <c r="F24" s="54"/>
      <c r="G24" s="83"/>
      <c r="DN24" s="56">
        <v>0.0</v>
      </c>
    </row>
    <row r="25">
      <c r="A25" s="75" t="s">
        <v>838</v>
      </c>
      <c r="B25" s="75"/>
      <c r="C25" s="75" t="s">
        <v>839</v>
      </c>
      <c r="D25" s="76"/>
      <c r="E25" s="53" t="s">
        <v>818</v>
      </c>
      <c r="F25" s="54"/>
      <c r="G25" s="83">
        <v>600.0</v>
      </c>
      <c r="DN25" s="78">
        <v>12.0</v>
      </c>
    </row>
    <row r="26">
      <c r="A26" s="75" t="s">
        <v>840</v>
      </c>
      <c r="B26" s="75"/>
      <c r="C26" s="75" t="s">
        <v>839</v>
      </c>
      <c r="D26" s="76"/>
      <c r="E26" s="53" t="s">
        <v>818</v>
      </c>
      <c r="F26" s="54"/>
      <c r="G26" s="83">
        <v>520.0</v>
      </c>
      <c r="DN26" s="78">
        <v>0.0</v>
      </c>
    </row>
    <row r="27">
      <c r="A27" s="75" t="s">
        <v>841</v>
      </c>
      <c r="B27" s="75"/>
      <c r="C27" s="75"/>
      <c r="D27" s="76"/>
      <c r="E27" s="53" t="s">
        <v>818</v>
      </c>
      <c r="F27" s="54"/>
      <c r="G27" s="55"/>
      <c r="DN27" s="78">
        <v>10.0</v>
      </c>
    </row>
    <row r="28">
      <c r="A28" s="75" t="s">
        <v>842</v>
      </c>
      <c r="B28" s="75"/>
      <c r="C28" s="75"/>
      <c r="D28" s="76"/>
      <c r="E28" s="53"/>
      <c r="F28" s="54"/>
      <c r="G28" s="55"/>
      <c r="DN28" s="78">
        <v>10.0</v>
      </c>
    </row>
    <row r="29">
      <c r="A29" s="75" t="s">
        <v>843</v>
      </c>
      <c r="B29" s="75"/>
      <c r="C29" s="75"/>
      <c r="D29" s="76"/>
      <c r="E29" s="53"/>
      <c r="F29" s="54"/>
      <c r="G29" s="55"/>
      <c r="DN29" s="56">
        <v>314.0</v>
      </c>
    </row>
    <row r="30">
      <c r="A30" s="75" t="s">
        <v>844</v>
      </c>
      <c r="B30" s="75"/>
      <c r="C30" s="75"/>
      <c r="D30" s="76"/>
      <c r="E30" s="53" t="s">
        <v>845</v>
      </c>
      <c r="F30" s="54"/>
      <c r="G30" s="55"/>
      <c r="DN30" s="56">
        <v>12.0</v>
      </c>
    </row>
    <row r="31">
      <c r="A31" s="75" t="s">
        <v>846</v>
      </c>
      <c r="B31" s="75"/>
      <c r="C31" s="75"/>
      <c r="D31" s="76"/>
      <c r="E31" s="53" t="s">
        <v>845</v>
      </c>
      <c r="F31" s="54"/>
      <c r="G31" s="55"/>
      <c r="DN31" s="56">
        <v>3.0</v>
      </c>
    </row>
    <row r="32">
      <c r="A32" s="75" t="s">
        <v>847</v>
      </c>
      <c r="B32" s="75"/>
      <c r="C32" s="75"/>
      <c r="D32" s="76"/>
      <c r="E32" s="53" t="s">
        <v>818</v>
      </c>
      <c r="F32" s="54"/>
      <c r="G32" s="55"/>
      <c r="DN32" s="56">
        <v>14.0</v>
      </c>
    </row>
    <row r="33">
      <c r="A33" s="75" t="s">
        <v>848</v>
      </c>
      <c r="B33" s="75"/>
      <c r="C33" s="75"/>
      <c r="D33" s="76"/>
      <c r="E33" s="53" t="s">
        <v>818</v>
      </c>
      <c r="F33" s="54"/>
      <c r="G33" s="55"/>
      <c r="DN33" s="56">
        <v>11.0</v>
      </c>
    </row>
    <row r="34" ht="17.25" customHeight="1">
      <c r="A34" s="75" t="s">
        <v>849</v>
      </c>
      <c r="B34" s="75"/>
      <c r="C34" s="75" t="s">
        <v>850</v>
      </c>
      <c r="D34" s="76" t="s">
        <v>851</v>
      </c>
      <c r="E34" s="53" t="s">
        <v>852</v>
      </c>
      <c r="F34" s="54"/>
      <c r="G34" s="83">
        <v>900.0</v>
      </c>
      <c r="DN34" s="56">
        <v>7.0</v>
      </c>
    </row>
    <row r="35">
      <c r="A35" s="75" t="s">
        <v>853</v>
      </c>
      <c r="B35" s="75">
        <v>53.0</v>
      </c>
      <c r="C35" s="75" t="s">
        <v>854</v>
      </c>
      <c r="D35" s="76" t="s">
        <v>855</v>
      </c>
      <c r="E35" s="53" t="s">
        <v>856</v>
      </c>
      <c r="F35" s="54"/>
      <c r="G35" s="55">
        <v>3480.0</v>
      </c>
      <c r="DN35" s="57">
        <v>1.0</v>
      </c>
    </row>
    <row r="36">
      <c r="A36" s="75" t="s">
        <v>857</v>
      </c>
      <c r="B36" s="75">
        <v>53.0</v>
      </c>
      <c r="C36" s="75" t="s">
        <v>854</v>
      </c>
      <c r="D36" s="76" t="s">
        <v>855</v>
      </c>
      <c r="E36" s="53" t="s">
        <v>858</v>
      </c>
      <c r="F36" s="54"/>
      <c r="G36" s="55">
        <v>3250.0</v>
      </c>
      <c r="DN36" s="57">
        <v>1.0</v>
      </c>
    </row>
    <row r="37">
      <c r="A37" s="75" t="s">
        <v>859</v>
      </c>
      <c r="B37" s="75">
        <v>53.0</v>
      </c>
      <c r="C37" s="75" t="s">
        <v>854</v>
      </c>
      <c r="D37" s="76" t="s">
        <v>860</v>
      </c>
      <c r="E37" s="53" t="s">
        <v>858</v>
      </c>
      <c r="F37" s="54"/>
      <c r="G37" s="55">
        <v>3250.0</v>
      </c>
      <c r="DN37" s="57">
        <v>1.0</v>
      </c>
    </row>
    <row r="38">
      <c r="A38" s="75" t="s">
        <v>861</v>
      </c>
      <c r="B38" s="75">
        <v>53.0</v>
      </c>
      <c r="C38" s="75" t="s">
        <v>854</v>
      </c>
      <c r="D38" s="76" t="s">
        <v>862</v>
      </c>
      <c r="E38" s="53" t="s">
        <v>863</v>
      </c>
      <c r="F38" s="54"/>
      <c r="G38" s="55">
        <v>3725.0</v>
      </c>
      <c r="DN38" s="57">
        <v>1.0</v>
      </c>
    </row>
    <row r="39">
      <c r="A39" s="75" t="s">
        <v>864</v>
      </c>
      <c r="B39" s="75">
        <v>53.0</v>
      </c>
      <c r="C39" s="75" t="s">
        <v>854</v>
      </c>
      <c r="D39" s="76" t="s">
        <v>865</v>
      </c>
      <c r="E39" s="53" t="s">
        <v>863</v>
      </c>
      <c r="F39" s="54"/>
      <c r="G39" s="55">
        <v>3725.0</v>
      </c>
      <c r="DN39" s="88">
        <v>1.0</v>
      </c>
    </row>
    <row r="40">
      <c r="A40" s="75" t="s">
        <v>866</v>
      </c>
      <c r="B40" s="75">
        <v>53.0</v>
      </c>
      <c r="C40" s="75" t="s">
        <v>854</v>
      </c>
      <c r="D40" s="76" t="s">
        <v>867</v>
      </c>
      <c r="E40" s="53" t="s">
        <v>863</v>
      </c>
      <c r="F40" s="54"/>
      <c r="G40" s="55">
        <v>3725.0</v>
      </c>
      <c r="DN40" s="77">
        <v>0.0</v>
      </c>
    </row>
    <row r="41">
      <c r="A41" s="75" t="s">
        <v>868</v>
      </c>
      <c r="B41" s="75">
        <v>53.0</v>
      </c>
      <c r="C41" s="75" t="s">
        <v>854</v>
      </c>
      <c r="D41" s="76" t="s">
        <v>865</v>
      </c>
      <c r="E41" s="53" t="s">
        <v>869</v>
      </c>
      <c r="F41" s="54"/>
      <c r="G41" s="55">
        <v>3725.0</v>
      </c>
      <c r="DN41" s="57">
        <v>1.0</v>
      </c>
    </row>
    <row r="42">
      <c r="A42" s="75" t="s">
        <v>870</v>
      </c>
      <c r="B42" s="75">
        <v>53.0</v>
      </c>
      <c r="C42" s="75" t="s">
        <v>854</v>
      </c>
      <c r="D42" s="76" t="s">
        <v>867</v>
      </c>
      <c r="E42" s="53" t="s">
        <v>871</v>
      </c>
      <c r="F42" s="54"/>
      <c r="G42" s="55">
        <v>3990.0</v>
      </c>
      <c r="DN42" s="77">
        <v>0.0</v>
      </c>
    </row>
    <row r="43">
      <c r="A43" s="75" t="s">
        <v>872</v>
      </c>
      <c r="B43" s="75">
        <v>49.0</v>
      </c>
      <c r="C43" s="75" t="s">
        <v>854</v>
      </c>
      <c r="D43" s="76" t="s">
        <v>873</v>
      </c>
      <c r="E43" s="53" t="s">
        <v>874</v>
      </c>
      <c r="F43" s="54"/>
      <c r="G43" s="55">
        <v>3990.0</v>
      </c>
      <c r="DN43" s="57">
        <v>1.0</v>
      </c>
    </row>
    <row r="44">
      <c r="A44" s="75" t="s">
        <v>875</v>
      </c>
      <c r="B44" s="75">
        <v>49.0</v>
      </c>
      <c r="C44" s="75" t="s">
        <v>854</v>
      </c>
      <c r="D44" s="76" t="s">
        <v>876</v>
      </c>
      <c r="E44" s="53" t="s">
        <v>874</v>
      </c>
      <c r="F44" s="54"/>
      <c r="G44" s="55">
        <v>1600.0</v>
      </c>
      <c r="DN44" s="88">
        <v>1.0</v>
      </c>
    </row>
    <row r="45">
      <c r="A45" s="75" t="s">
        <v>877</v>
      </c>
      <c r="B45" s="75">
        <v>49.0</v>
      </c>
      <c r="C45" s="75" t="s">
        <v>854</v>
      </c>
      <c r="D45" s="76" t="s">
        <v>878</v>
      </c>
      <c r="E45" s="53" t="s">
        <v>874</v>
      </c>
      <c r="F45" s="54"/>
      <c r="G45" s="55">
        <v>1600.0</v>
      </c>
      <c r="DN45" s="57">
        <v>1.0</v>
      </c>
    </row>
    <row r="46">
      <c r="A46" s="75" t="s">
        <v>879</v>
      </c>
      <c r="B46" s="75">
        <v>53.0</v>
      </c>
      <c r="C46" s="75" t="s">
        <v>854</v>
      </c>
      <c r="D46" s="76" t="s">
        <v>860</v>
      </c>
      <c r="E46" s="53" t="s">
        <v>858</v>
      </c>
      <c r="F46" s="54"/>
      <c r="G46" s="55">
        <v>2750.0</v>
      </c>
      <c r="DN46" s="57">
        <v>1.0</v>
      </c>
    </row>
    <row r="47">
      <c r="A47" s="75" t="s">
        <v>880</v>
      </c>
      <c r="B47" s="75">
        <v>53.0</v>
      </c>
      <c r="C47" s="75" t="s">
        <v>854</v>
      </c>
      <c r="D47" s="76" t="s">
        <v>881</v>
      </c>
      <c r="E47" s="53" t="s">
        <v>852</v>
      </c>
      <c r="F47" s="54"/>
      <c r="G47" s="55">
        <v>2980.0</v>
      </c>
      <c r="DN47" s="57">
        <v>1.0</v>
      </c>
    </row>
    <row r="48">
      <c r="A48" s="75" t="s">
        <v>882</v>
      </c>
      <c r="B48" s="75">
        <v>52.0</v>
      </c>
      <c r="C48" s="75" t="s">
        <v>854</v>
      </c>
      <c r="D48" s="76" t="s">
        <v>876</v>
      </c>
      <c r="E48" s="53" t="s">
        <v>863</v>
      </c>
      <c r="F48" s="54"/>
      <c r="G48" s="55">
        <v>3980.0</v>
      </c>
      <c r="DN48" s="57">
        <v>1.0</v>
      </c>
    </row>
    <row r="49">
      <c r="A49" s="75" t="s">
        <v>883</v>
      </c>
      <c r="B49" s="75">
        <v>54.0</v>
      </c>
      <c r="C49" s="75" t="s">
        <v>854</v>
      </c>
      <c r="D49" s="76" t="s">
        <v>884</v>
      </c>
      <c r="E49" s="53" t="s">
        <v>885</v>
      </c>
      <c r="F49" s="54"/>
      <c r="G49" s="55"/>
      <c r="DN49" s="57">
        <v>1.0</v>
      </c>
    </row>
    <row r="50">
      <c r="A50" s="75" t="s">
        <v>886</v>
      </c>
      <c r="B50" s="75">
        <v>54.0</v>
      </c>
      <c r="C50" s="75" t="s">
        <v>854</v>
      </c>
      <c r="D50" s="76" t="s">
        <v>884</v>
      </c>
      <c r="E50" s="53" t="s">
        <v>885</v>
      </c>
      <c r="F50" s="54"/>
      <c r="G50" s="55"/>
      <c r="DN50" s="88">
        <v>1.0</v>
      </c>
    </row>
    <row r="51">
      <c r="A51" s="75" t="s">
        <v>887</v>
      </c>
      <c r="B51" s="75">
        <v>52.0</v>
      </c>
      <c r="C51" s="75" t="s">
        <v>854</v>
      </c>
      <c r="D51" s="76" t="s">
        <v>888</v>
      </c>
      <c r="E51" s="53" t="s">
        <v>852</v>
      </c>
      <c r="F51" s="54"/>
      <c r="G51" s="55">
        <v>3480.0</v>
      </c>
      <c r="DN51" s="57">
        <v>1.0</v>
      </c>
    </row>
    <row r="52">
      <c r="A52" s="75" t="s">
        <v>889</v>
      </c>
      <c r="B52" s="75">
        <v>52.0</v>
      </c>
      <c r="C52" s="75" t="s">
        <v>854</v>
      </c>
      <c r="D52" s="76" t="s">
        <v>890</v>
      </c>
      <c r="E52" s="53" t="s">
        <v>852</v>
      </c>
      <c r="F52" s="54"/>
      <c r="G52" s="55">
        <v>3480.0</v>
      </c>
      <c r="DN52" s="57">
        <v>1.0</v>
      </c>
    </row>
    <row r="53">
      <c r="A53" s="75" t="s">
        <v>891</v>
      </c>
      <c r="B53" s="75"/>
      <c r="C53" s="75" t="s">
        <v>854</v>
      </c>
      <c r="D53" s="76" t="s">
        <v>892</v>
      </c>
      <c r="E53" s="53" t="s">
        <v>852</v>
      </c>
      <c r="F53" s="76"/>
      <c r="G53" s="55"/>
      <c r="DN53" s="77">
        <v>1.0</v>
      </c>
    </row>
    <row r="54">
      <c r="A54" s="75" t="s">
        <v>891</v>
      </c>
      <c r="B54" s="75">
        <v>53.0</v>
      </c>
      <c r="C54" s="75" t="s">
        <v>854</v>
      </c>
      <c r="D54" s="76" t="s">
        <v>888</v>
      </c>
      <c r="E54" s="53" t="s">
        <v>852</v>
      </c>
      <c r="F54" s="76"/>
      <c r="G54" s="55">
        <v>4490.0</v>
      </c>
      <c r="DN54" s="57">
        <v>1.0</v>
      </c>
    </row>
    <row r="55">
      <c r="A55" s="75" t="s">
        <v>893</v>
      </c>
      <c r="B55" s="75">
        <v>52.0</v>
      </c>
      <c r="C55" s="75" t="s">
        <v>894</v>
      </c>
      <c r="D55" s="76" t="s">
        <v>895</v>
      </c>
      <c r="E55" s="53" t="s">
        <v>871</v>
      </c>
      <c r="F55" s="54"/>
      <c r="G55" s="55">
        <v>4225.0</v>
      </c>
      <c r="DN55" s="91">
        <v>2.0</v>
      </c>
    </row>
    <row r="56">
      <c r="A56" s="75" t="s">
        <v>896</v>
      </c>
      <c r="B56" s="75">
        <v>52.0</v>
      </c>
      <c r="C56" s="75" t="s">
        <v>854</v>
      </c>
      <c r="D56" s="76" t="s">
        <v>888</v>
      </c>
      <c r="E56" s="53" t="s">
        <v>871</v>
      </c>
      <c r="F56" s="54"/>
      <c r="G56" s="83">
        <v>4225.0</v>
      </c>
      <c r="DN56" s="92">
        <v>1.0</v>
      </c>
    </row>
    <row r="57">
      <c r="A57" s="75" t="s">
        <v>897</v>
      </c>
      <c r="B57" s="75">
        <v>52.0</v>
      </c>
      <c r="C57" s="75" t="s">
        <v>854</v>
      </c>
      <c r="D57" s="76" t="s">
        <v>888</v>
      </c>
      <c r="E57" s="53" t="s">
        <v>871</v>
      </c>
      <c r="F57" s="54"/>
      <c r="G57" s="55">
        <v>4225.0</v>
      </c>
      <c r="DN57" s="91"/>
    </row>
    <row r="58">
      <c r="A58" s="75" t="s">
        <v>898</v>
      </c>
      <c r="B58" s="75">
        <v>52.0</v>
      </c>
      <c r="C58" s="75" t="s">
        <v>854</v>
      </c>
      <c r="D58" s="76" t="s">
        <v>888</v>
      </c>
      <c r="E58" s="53" t="s">
        <v>871</v>
      </c>
      <c r="F58" s="54"/>
      <c r="G58" s="55">
        <v>4225.0</v>
      </c>
      <c r="DN58" s="91">
        <v>1.0</v>
      </c>
    </row>
    <row r="59">
      <c r="A59" s="75" t="s">
        <v>899</v>
      </c>
      <c r="B59" s="75">
        <v>53.0</v>
      </c>
      <c r="C59" s="75" t="s">
        <v>854</v>
      </c>
      <c r="D59" s="76" t="s">
        <v>900</v>
      </c>
      <c r="E59" s="53" t="s">
        <v>871</v>
      </c>
      <c r="F59" s="54"/>
      <c r="G59" s="55">
        <v>3725.0</v>
      </c>
      <c r="DN59" s="91">
        <v>1.0</v>
      </c>
    </row>
    <row r="60">
      <c r="A60" s="75" t="s">
        <v>901</v>
      </c>
      <c r="B60" s="75">
        <v>53.0</v>
      </c>
      <c r="C60" s="75" t="s">
        <v>854</v>
      </c>
      <c r="D60" s="76" t="s">
        <v>902</v>
      </c>
      <c r="E60" s="53" t="s">
        <v>871</v>
      </c>
      <c r="F60" s="54"/>
      <c r="G60" s="55">
        <v>3725.0</v>
      </c>
      <c r="DN60" s="91">
        <v>1.0</v>
      </c>
    </row>
    <row r="61">
      <c r="A61" s="75" t="s">
        <v>903</v>
      </c>
      <c r="B61" s="75">
        <v>52.0</v>
      </c>
      <c r="C61" s="75" t="s">
        <v>854</v>
      </c>
      <c r="D61" s="76" t="s">
        <v>904</v>
      </c>
      <c r="E61" s="53" t="s">
        <v>885</v>
      </c>
      <c r="F61" s="54"/>
      <c r="G61" s="55"/>
      <c r="DN61" s="91">
        <v>1.0</v>
      </c>
    </row>
    <row r="62">
      <c r="A62" s="75" t="s">
        <v>905</v>
      </c>
      <c r="B62" s="75">
        <v>52.0</v>
      </c>
      <c r="C62" s="75" t="s">
        <v>854</v>
      </c>
      <c r="D62" s="76" t="s">
        <v>904</v>
      </c>
      <c r="E62" s="53" t="s">
        <v>885</v>
      </c>
      <c r="F62" s="54"/>
      <c r="G62" s="55"/>
      <c r="DN62" s="91">
        <v>1.0</v>
      </c>
    </row>
    <row r="63">
      <c r="A63" s="75" t="s">
        <v>906</v>
      </c>
      <c r="B63" s="75">
        <v>55.0</v>
      </c>
      <c r="C63" s="75" t="s">
        <v>854</v>
      </c>
      <c r="D63" s="76" t="s">
        <v>888</v>
      </c>
      <c r="E63" s="53" t="s">
        <v>874</v>
      </c>
      <c r="F63" s="54"/>
      <c r="G63" s="55">
        <v>4480.0</v>
      </c>
      <c r="DN63" s="91">
        <v>1.0</v>
      </c>
    </row>
    <row r="64">
      <c r="A64" s="75" t="s">
        <v>907</v>
      </c>
      <c r="B64" s="75">
        <v>50.0</v>
      </c>
      <c r="C64" s="75" t="s">
        <v>854</v>
      </c>
      <c r="D64" s="76" t="s">
        <v>890</v>
      </c>
      <c r="E64" s="53" t="s">
        <v>874</v>
      </c>
      <c r="F64" s="54"/>
      <c r="G64" s="55">
        <v>3750.0</v>
      </c>
      <c r="DN64" s="91">
        <v>1.0</v>
      </c>
    </row>
    <row r="65">
      <c r="A65" s="75" t="s">
        <v>908</v>
      </c>
      <c r="B65" s="75">
        <v>52.0</v>
      </c>
      <c r="C65" s="75" t="s">
        <v>854</v>
      </c>
      <c r="D65" s="76" t="s">
        <v>909</v>
      </c>
      <c r="E65" s="53" t="s">
        <v>871</v>
      </c>
      <c r="F65" s="54"/>
      <c r="G65" s="55">
        <v>3990.0</v>
      </c>
      <c r="DN65" s="91">
        <v>1.0</v>
      </c>
    </row>
    <row r="66">
      <c r="A66" s="75" t="s">
        <v>910</v>
      </c>
      <c r="B66" s="75">
        <v>55.0</v>
      </c>
      <c r="C66" s="75" t="s">
        <v>854</v>
      </c>
      <c r="D66" s="76" t="s">
        <v>884</v>
      </c>
      <c r="E66" s="53" t="s">
        <v>885</v>
      </c>
      <c r="F66" s="54"/>
      <c r="G66" s="55"/>
      <c r="DN66" s="78">
        <v>1.0</v>
      </c>
    </row>
    <row r="67">
      <c r="A67" s="75" t="s">
        <v>911</v>
      </c>
      <c r="B67" s="75">
        <v>56.0</v>
      </c>
      <c r="C67" s="75" t="s">
        <v>854</v>
      </c>
      <c r="D67" s="76" t="s">
        <v>912</v>
      </c>
      <c r="E67" s="53" t="s">
        <v>885</v>
      </c>
      <c r="F67" s="54"/>
      <c r="G67" s="55"/>
      <c r="DN67" s="91">
        <v>1.0</v>
      </c>
    </row>
    <row r="68">
      <c r="A68" s="75" t="s">
        <v>913</v>
      </c>
      <c r="B68" s="75">
        <v>56.0</v>
      </c>
      <c r="C68" s="75" t="s">
        <v>854</v>
      </c>
      <c r="D68" s="76" t="s">
        <v>912</v>
      </c>
      <c r="E68" s="53" t="s">
        <v>885</v>
      </c>
      <c r="F68" s="54"/>
      <c r="G68" s="55"/>
      <c r="DN68" s="91">
        <v>1.0</v>
      </c>
    </row>
    <row r="69">
      <c r="A69" s="75" t="s">
        <v>914</v>
      </c>
      <c r="B69" s="75">
        <v>52.0</v>
      </c>
      <c r="C69" s="75" t="s">
        <v>854</v>
      </c>
      <c r="D69" s="76" t="s">
        <v>915</v>
      </c>
      <c r="E69" s="53" t="s">
        <v>885</v>
      </c>
      <c r="F69" s="54"/>
      <c r="G69" s="55"/>
      <c r="DN69" s="91">
        <v>1.0</v>
      </c>
    </row>
    <row r="70">
      <c r="A70" s="75" t="s">
        <v>916</v>
      </c>
      <c r="B70" s="75">
        <v>53.0</v>
      </c>
      <c r="C70" s="75" t="s">
        <v>854</v>
      </c>
      <c r="D70" s="76" t="s">
        <v>909</v>
      </c>
      <c r="E70" s="53" t="s">
        <v>863</v>
      </c>
      <c r="F70" s="54"/>
      <c r="G70" s="55">
        <v>3750.0</v>
      </c>
      <c r="DN70" s="91">
        <v>1.0</v>
      </c>
    </row>
    <row r="71">
      <c r="A71" s="75" t="s">
        <v>917</v>
      </c>
      <c r="B71" s="75">
        <v>53.0</v>
      </c>
      <c r="C71" s="75" t="s">
        <v>854</v>
      </c>
      <c r="D71" s="76" t="s">
        <v>855</v>
      </c>
      <c r="E71" s="53" t="s">
        <v>869</v>
      </c>
      <c r="F71" s="54"/>
      <c r="G71" s="55">
        <v>3750.0</v>
      </c>
      <c r="DN71" s="91">
        <v>1.0</v>
      </c>
    </row>
    <row r="72">
      <c r="A72" s="75" t="s">
        <v>918</v>
      </c>
      <c r="B72" s="75">
        <v>53.0</v>
      </c>
      <c r="C72" s="75" t="s">
        <v>919</v>
      </c>
      <c r="D72" s="76" t="s">
        <v>900</v>
      </c>
      <c r="E72" s="53"/>
      <c r="F72" s="54"/>
      <c r="G72" s="83">
        <v>3750.0</v>
      </c>
      <c r="DN72" s="92">
        <v>1.0</v>
      </c>
    </row>
    <row r="73">
      <c r="A73" s="75" t="s">
        <v>920</v>
      </c>
      <c r="B73" s="75">
        <v>54.0</v>
      </c>
      <c r="C73" s="75" t="s">
        <v>854</v>
      </c>
      <c r="D73" s="76" t="s">
        <v>902</v>
      </c>
      <c r="E73" s="53" t="s">
        <v>871</v>
      </c>
      <c r="F73" s="54"/>
      <c r="G73" s="55">
        <v>3980.0</v>
      </c>
      <c r="DN73" s="91">
        <v>1.0</v>
      </c>
    </row>
    <row r="74">
      <c r="A74" s="75" t="s">
        <v>921</v>
      </c>
      <c r="B74" s="75">
        <v>54.0</v>
      </c>
      <c r="C74" s="75" t="s">
        <v>854</v>
      </c>
      <c r="D74" s="76" t="s">
        <v>888</v>
      </c>
      <c r="E74" s="53" t="s">
        <v>871</v>
      </c>
      <c r="F74" s="54"/>
      <c r="G74" s="55">
        <v>3980.0</v>
      </c>
      <c r="DN74" s="91">
        <v>1.0</v>
      </c>
    </row>
    <row r="75">
      <c r="A75" s="75" t="s">
        <v>922</v>
      </c>
      <c r="B75" s="75">
        <v>53.0</v>
      </c>
      <c r="C75" s="75" t="s">
        <v>854</v>
      </c>
      <c r="D75" s="76" t="s">
        <v>865</v>
      </c>
      <c r="E75" s="53" t="s">
        <v>869</v>
      </c>
      <c r="F75" s="54"/>
      <c r="G75" s="55">
        <v>3750.0</v>
      </c>
      <c r="DN75" s="91">
        <v>1.0</v>
      </c>
    </row>
    <row r="76">
      <c r="A76" s="75" t="s">
        <v>923</v>
      </c>
      <c r="B76" s="75">
        <v>52.0</v>
      </c>
      <c r="C76" s="75" t="s">
        <v>854</v>
      </c>
      <c r="D76" s="76" t="s">
        <v>888</v>
      </c>
      <c r="E76" s="53" t="s">
        <v>871</v>
      </c>
      <c r="F76" s="54"/>
      <c r="G76" s="55">
        <v>3490.0</v>
      </c>
      <c r="DN76" s="92">
        <v>1.0</v>
      </c>
    </row>
    <row r="77" ht="17.25" customHeight="1">
      <c r="A77" s="75" t="s">
        <v>924</v>
      </c>
      <c r="B77" s="75">
        <v>51.0</v>
      </c>
      <c r="C77" s="75" t="s">
        <v>854</v>
      </c>
      <c r="D77" s="76" t="s">
        <v>862</v>
      </c>
      <c r="E77" s="53" t="s">
        <v>863</v>
      </c>
      <c r="F77" s="54"/>
      <c r="G77" s="55">
        <v>3980.0</v>
      </c>
      <c r="DN77" s="91">
        <v>1.0</v>
      </c>
    </row>
    <row r="78">
      <c r="A78" s="75" t="s">
        <v>925</v>
      </c>
      <c r="B78" s="75">
        <v>60.0</v>
      </c>
      <c r="C78" s="75" t="s">
        <v>854</v>
      </c>
      <c r="D78" s="76" t="s">
        <v>926</v>
      </c>
      <c r="E78" s="53" t="s">
        <v>885</v>
      </c>
      <c r="F78" s="54"/>
      <c r="G78" s="55"/>
      <c r="DN78" s="91">
        <v>1.0</v>
      </c>
    </row>
    <row r="79">
      <c r="A79" s="75" t="s">
        <v>927</v>
      </c>
      <c r="B79" s="75">
        <v>60.0</v>
      </c>
      <c r="C79" s="75" t="s">
        <v>854</v>
      </c>
      <c r="D79" s="76" t="s">
        <v>888</v>
      </c>
      <c r="E79" s="53" t="s">
        <v>885</v>
      </c>
      <c r="F79" s="54"/>
      <c r="G79" s="55">
        <v>3990.0</v>
      </c>
      <c r="DN79" s="56">
        <v>1.0</v>
      </c>
    </row>
    <row r="80">
      <c r="A80" s="75" t="s">
        <v>928</v>
      </c>
      <c r="B80" s="75">
        <v>59.0</v>
      </c>
      <c r="C80" s="75" t="s">
        <v>854</v>
      </c>
      <c r="D80" s="76" t="s">
        <v>926</v>
      </c>
      <c r="E80" s="53" t="s">
        <v>885</v>
      </c>
      <c r="F80" s="76"/>
      <c r="G80" s="55"/>
      <c r="DN80" s="91">
        <v>1.0</v>
      </c>
    </row>
    <row r="81">
      <c r="A81" s="75" t="s">
        <v>929</v>
      </c>
      <c r="B81" s="75">
        <v>59.0</v>
      </c>
      <c r="C81" s="75" t="s">
        <v>854</v>
      </c>
      <c r="D81" s="76" t="s">
        <v>926</v>
      </c>
      <c r="E81" s="53" t="s">
        <v>885</v>
      </c>
      <c r="F81" s="76"/>
      <c r="G81" s="55"/>
      <c r="DN81" s="91">
        <v>1.0</v>
      </c>
    </row>
    <row r="82">
      <c r="A82" s="75" t="s">
        <v>930</v>
      </c>
      <c r="B82" s="75">
        <v>53.0</v>
      </c>
      <c r="C82" s="75" t="s">
        <v>854</v>
      </c>
      <c r="D82" s="76" t="s">
        <v>931</v>
      </c>
      <c r="E82" s="53" t="s">
        <v>874</v>
      </c>
      <c r="F82" s="76" t="s">
        <v>932</v>
      </c>
      <c r="G82" s="55">
        <v>4225.0</v>
      </c>
      <c r="DN82" s="91">
        <v>2.0</v>
      </c>
    </row>
    <row r="83">
      <c r="A83" s="75" t="s">
        <v>933</v>
      </c>
      <c r="B83" s="75">
        <v>53.0</v>
      </c>
      <c r="C83" s="75" t="s">
        <v>854</v>
      </c>
      <c r="D83" s="76" t="s">
        <v>881</v>
      </c>
      <c r="E83" s="53" t="s">
        <v>874</v>
      </c>
      <c r="F83" s="54"/>
      <c r="G83" s="55">
        <v>4225.0</v>
      </c>
      <c r="DN83" s="91">
        <v>1.0</v>
      </c>
    </row>
    <row r="84">
      <c r="A84" s="75" t="s">
        <v>934</v>
      </c>
      <c r="B84" s="75">
        <v>50.0</v>
      </c>
      <c r="C84" s="75" t="s">
        <v>854</v>
      </c>
      <c r="D84" s="76" t="s">
        <v>873</v>
      </c>
      <c r="E84" s="53" t="s">
        <v>932</v>
      </c>
      <c r="F84" s="54"/>
      <c r="G84" s="55">
        <v>3750.0</v>
      </c>
      <c r="DN84" s="91">
        <v>1.0</v>
      </c>
    </row>
    <row r="85">
      <c r="A85" s="75" t="s">
        <v>935</v>
      </c>
      <c r="B85" s="75">
        <v>52.0</v>
      </c>
      <c r="C85" s="75" t="s">
        <v>854</v>
      </c>
      <c r="D85" s="76" t="s">
        <v>915</v>
      </c>
      <c r="E85" s="53" t="s">
        <v>885</v>
      </c>
      <c r="F85" s="54"/>
      <c r="G85" s="55"/>
      <c r="DN85" s="91">
        <v>1.0</v>
      </c>
    </row>
    <row r="86">
      <c r="A86" s="75" t="s">
        <v>936</v>
      </c>
      <c r="B86" s="75">
        <v>52.0</v>
      </c>
      <c r="C86" s="75" t="s">
        <v>854</v>
      </c>
      <c r="D86" s="76" t="s">
        <v>900</v>
      </c>
      <c r="E86" s="53" t="s">
        <v>874</v>
      </c>
      <c r="F86" s="54"/>
      <c r="G86" s="55">
        <v>3990.0</v>
      </c>
      <c r="DN86" s="91">
        <v>1.0</v>
      </c>
    </row>
    <row r="87">
      <c r="A87" s="75" t="s">
        <v>937</v>
      </c>
      <c r="B87" s="75">
        <v>52.0</v>
      </c>
      <c r="C87" s="75" t="s">
        <v>854</v>
      </c>
      <c r="D87" s="76" t="s">
        <v>902</v>
      </c>
      <c r="E87" s="53" t="s">
        <v>874</v>
      </c>
      <c r="F87" s="76"/>
      <c r="G87" s="55">
        <v>3990.0</v>
      </c>
      <c r="DN87" s="91">
        <v>1.0</v>
      </c>
    </row>
    <row r="88">
      <c r="A88" s="75" t="s">
        <v>938</v>
      </c>
      <c r="B88" s="75">
        <v>52.0</v>
      </c>
      <c r="C88" s="75" t="s">
        <v>854</v>
      </c>
      <c r="D88" s="76" t="s">
        <v>873</v>
      </c>
      <c r="E88" s="75" t="s">
        <v>852</v>
      </c>
      <c r="F88" s="54"/>
      <c r="G88" s="55">
        <v>2480.0</v>
      </c>
      <c r="DN88" s="91">
        <v>1.0</v>
      </c>
    </row>
    <row r="89">
      <c r="A89" s="75" t="s">
        <v>939</v>
      </c>
      <c r="B89" s="75">
        <v>52.0</v>
      </c>
      <c r="C89" s="75" t="s">
        <v>854</v>
      </c>
      <c r="D89" s="76" t="s">
        <v>940</v>
      </c>
      <c r="E89" s="53" t="s">
        <v>852</v>
      </c>
      <c r="F89" s="54"/>
      <c r="G89" s="55">
        <v>2480.0</v>
      </c>
      <c r="DN89" s="91">
        <v>1.0</v>
      </c>
    </row>
    <row r="90">
      <c r="A90" s="75" t="s">
        <v>941</v>
      </c>
      <c r="B90" s="75">
        <v>50.0</v>
      </c>
      <c r="C90" s="75" t="s">
        <v>854</v>
      </c>
      <c r="D90" s="76" t="s">
        <v>888</v>
      </c>
      <c r="E90" s="53" t="s">
        <v>874</v>
      </c>
      <c r="F90" s="54"/>
      <c r="G90" s="55">
        <v>2480.0</v>
      </c>
      <c r="DN90" s="91">
        <v>1.0</v>
      </c>
    </row>
    <row r="91">
      <c r="A91" s="75" t="s">
        <v>942</v>
      </c>
      <c r="B91" s="75">
        <v>51.0</v>
      </c>
      <c r="C91" s="75" t="s">
        <v>854</v>
      </c>
      <c r="D91" s="76" t="s">
        <v>943</v>
      </c>
      <c r="E91" s="53" t="s">
        <v>874</v>
      </c>
      <c r="F91" s="54"/>
      <c r="G91" s="55">
        <v>4225.0</v>
      </c>
      <c r="DN91" s="91">
        <v>1.0</v>
      </c>
    </row>
    <row r="92">
      <c r="A92" s="75" t="s">
        <v>944</v>
      </c>
      <c r="B92" s="75">
        <v>51.0</v>
      </c>
      <c r="C92" s="75" t="s">
        <v>854</v>
      </c>
      <c r="D92" s="76" t="s">
        <v>878</v>
      </c>
      <c r="E92" s="53"/>
      <c r="F92" s="54"/>
      <c r="G92" s="55"/>
      <c r="DN92" s="91">
        <v>1.0</v>
      </c>
    </row>
    <row r="93">
      <c r="A93" s="75" t="s">
        <v>945</v>
      </c>
      <c r="B93" s="75">
        <v>52.0</v>
      </c>
      <c r="C93" s="75" t="s">
        <v>854</v>
      </c>
      <c r="D93" s="76" t="s">
        <v>862</v>
      </c>
      <c r="E93" s="53" t="s">
        <v>946</v>
      </c>
      <c r="F93" s="54"/>
      <c r="G93" s="55">
        <v>4725.0</v>
      </c>
      <c r="DN93" s="91">
        <v>1.0</v>
      </c>
    </row>
    <row r="94">
      <c r="A94" s="75" t="s">
        <v>947</v>
      </c>
      <c r="B94" s="75">
        <v>52.0</v>
      </c>
      <c r="C94" s="75" t="s">
        <v>854</v>
      </c>
      <c r="D94" s="76" t="s">
        <v>860</v>
      </c>
      <c r="E94" s="53" t="s">
        <v>946</v>
      </c>
      <c r="F94" s="54"/>
      <c r="G94" s="55">
        <v>4725.0</v>
      </c>
      <c r="DN94" s="91">
        <v>1.0</v>
      </c>
    </row>
    <row r="95">
      <c r="A95" s="75" t="s">
        <v>948</v>
      </c>
      <c r="B95" s="75">
        <v>52.0</v>
      </c>
      <c r="C95" s="75" t="s">
        <v>854</v>
      </c>
      <c r="D95" s="76" t="s">
        <v>912</v>
      </c>
      <c r="E95" s="53" t="s">
        <v>885</v>
      </c>
      <c r="F95" s="76"/>
      <c r="G95" s="55"/>
      <c r="DN95" s="91">
        <v>1.0</v>
      </c>
    </row>
    <row r="96">
      <c r="A96" s="75" t="s">
        <v>949</v>
      </c>
      <c r="B96" s="75">
        <v>52.0</v>
      </c>
      <c r="C96" s="75" t="s">
        <v>854</v>
      </c>
      <c r="D96" s="76" t="s">
        <v>912</v>
      </c>
      <c r="E96" s="53" t="s">
        <v>885</v>
      </c>
      <c r="F96" s="76"/>
      <c r="G96" s="55"/>
      <c r="DN96" s="91">
        <v>1.0</v>
      </c>
    </row>
    <row r="97">
      <c r="A97" s="75" t="s">
        <v>950</v>
      </c>
      <c r="B97" s="75">
        <v>53.0</v>
      </c>
      <c r="C97" s="75" t="s">
        <v>854</v>
      </c>
      <c r="D97" s="76" t="s">
        <v>860</v>
      </c>
      <c r="E97" s="53" t="s">
        <v>932</v>
      </c>
      <c r="F97" s="76" t="s">
        <v>932</v>
      </c>
      <c r="G97" s="55"/>
      <c r="DN97" s="91">
        <v>1.0</v>
      </c>
    </row>
    <row r="98">
      <c r="A98" s="75" t="s">
        <v>951</v>
      </c>
      <c r="B98" s="75">
        <v>54.0</v>
      </c>
      <c r="C98" s="75" t="s">
        <v>854</v>
      </c>
      <c r="D98" s="76" t="s">
        <v>876</v>
      </c>
      <c r="E98" s="53" t="s">
        <v>932</v>
      </c>
      <c r="F98" s="76" t="s">
        <v>932</v>
      </c>
      <c r="G98" s="55"/>
      <c r="DN98" s="91">
        <v>1.0</v>
      </c>
    </row>
    <row r="99">
      <c r="A99" s="75" t="s">
        <v>952</v>
      </c>
      <c r="B99" s="75">
        <v>61.0</v>
      </c>
      <c r="C99" s="75" t="s">
        <v>854</v>
      </c>
      <c r="D99" s="76" t="s">
        <v>915</v>
      </c>
      <c r="E99" s="53"/>
      <c r="F99" s="54"/>
      <c r="G99" s="55"/>
      <c r="DN99" s="91">
        <v>1.0</v>
      </c>
    </row>
    <row r="100">
      <c r="A100" s="75" t="s">
        <v>953</v>
      </c>
      <c r="B100" s="75">
        <v>58.0</v>
      </c>
      <c r="C100" s="75" t="s">
        <v>854</v>
      </c>
      <c r="D100" s="76" t="s">
        <v>954</v>
      </c>
      <c r="E100" s="53" t="s">
        <v>885</v>
      </c>
      <c r="F100" s="54"/>
      <c r="G100" s="83">
        <v>3480.0</v>
      </c>
      <c r="DN100" s="91">
        <v>1.0</v>
      </c>
    </row>
    <row r="101">
      <c r="A101" s="75" t="s">
        <v>955</v>
      </c>
      <c r="B101" s="75">
        <v>50.0</v>
      </c>
      <c r="C101" s="75" t="s">
        <v>854</v>
      </c>
      <c r="D101" s="76" t="s">
        <v>956</v>
      </c>
      <c r="E101" s="53" t="s">
        <v>874</v>
      </c>
      <c r="F101" s="54"/>
      <c r="G101" s="55">
        <v>1250.0</v>
      </c>
      <c r="DN101" s="91">
        <v>1.0</v>
      </c>
    </row>
    <row r="102">
      <c r="A102" s="75" t="s">
        <v>957</v>
      </c>
      <c r="B102" s="75">
        <v>50.0</v>
      </c>
      <c r="C102" s="75" t="s">
        <v>854</v>
      </c>
      <c r="D102" s="76" t="s">
        <v>931</v>
      </c>
      <c r="E102" s="53" t="s">
        <v>874</v>
      </c>
      <c r="F102" s="54"/>
      <c r="G102" s="55">
        <v>1400.0</v>
      </c>
      <c r="DN102" s="91">
        <v>2.0</v>
      </c>
    </row>
    <row r="103">
      <c r="A103" s="75" t="s">
        <v>958</v>
      </c>
      <c r="B103" s="75">
        <v>53.0</v>
      </c>
      <c r="C103" s="75" t="s">
        <v>854</v>
      </c>
      <c r="D103" s="76" t="s">
        <v>943</v>
      </c>
      <c r="E103" s="53" t="s">
        <v>874</v>
      </c>
      <c r="F103" s="54"/>
      <c r="G103" s="55">
        <v>1500.0</v>
      </c>
      <c r="DN103" s="91">
        <v>1.0</v>
      </c>
    </row>
    <row r="104">
      <c r="A104" s="75" t="s">
        <v>959</v>
      </c>
      <c r="B104" s="75">
        <v>51.0</v>
      </c>
      <c r="C104" s="75" t="s">
        <v>854</v>
      </c>
      <c r="D104" s="76" t="s">
        <v>888</v>
      </c>
      <c r="E104" s="53" t="s">
        <v>874</v>
      </c>
      <c r="F104" s="54"/>
      <c r="G104" s="55">
        <v>1500.0</v>
      </c>
      <c r="DN104" s="91">
        <v>1.0</v>
      </c>
    </row>
    <row r="105">
      <c r="A105" s="75" t="s">
        <v>960</v>
      </c>
      <c r="B105" s="75">
        <v>53.0</v>
      </c>
      <c r="C105" s="75" t="s">
        <v>854</v>
      </c>
      <c r="D105" s="76" t="s">
        <v>888</v>
      </c>
      <c r="E105" s="53" t="s">
        <v>874</v>
      </c>
      <c r="F105" s="76" t="s">
        <v>932</v>
      </c>
      <c r="G105" s="55">
        <v>1500.0</v>
      </c>
      <c r="DN105" s="91">
        <v>1.0</v>
      </c>
    </row>
    <row r="106">
      <c r="A106" s="75" t="s">
        <v>961</v>
      </c>
      <c r="B106" s="75">
        <v>51.0</v>
      </c>
      <c r="C106" s="75" t="s">
        <v>854</v>
      </c>
      <c r="D106" s="76" t="s">
        <v>890</v>
      </c>
      <c r="E106" s="53" t="s">
        <v>874</v>
      </c>
      <c r="F106" s="76" t="s">
        <v>932</v>
      </c>
      <c r="G106" s="55">
        <v>1500.0</v>
      </c>
      <c r="DN106" s="91">
        <v>1.0</v>
      </c>
    </row>
    <row r="107">
      <c r="A107" s="75" t="s">
        <v>962</v>
      </c>
      <c r="B107" s="75">
        <v>53.0</v>
      </c>
      <c r="C107" s="75" t="s">
        <v>854</v>
      </c>
      <c r="D107" s="76" t="s">
        <v>888</v>
      </c>
      <c r="E107" s="53" t="s">
        <v>874</v>
      </c>
      <c r="F107" s="54"/>
      <c r="G107" s="55">
        <v>1500.0</v>
      </c>
      <c r="DN107" s="91">
        <v>1.0</v>
      </c>
    </row>
    <row r="108">
      <c r="A108" s="75" t="s">
        <v>963</v>
      </c>
      <c r="B108" s="75">
        <v>53.0</v>
      </c>
      <c r="C108" s="75" t="s">
        <v>854</v>
      </c>
      <c r="D108" s="76" t="s">
        <v>940</v>
      </c>
      <c r="E108" s="53" t="s">
        <v>852</v>
      </c>
      <c r="F108" s="54"/>
      <c r="G108" s="55">
        <v>1500.0</v>
      </c>
      <c r="DN108" s="91">
        <v>1.0</v>
      </c>
    </row>
    <row r="109">
      <c r="A109" s="75" t="s">
        <v>964</v>
      </c>
      <c r="B109" s="75">
        <v>51.0</v>
      </c>
      <c r="C109" s="75" t="s">
        <v>854</v>
      </c>
      <c r="D109" s="76" t="s">
        <v>888</v>
      </c>
      <c r="E109" s="53" t="s">
        <v>874</v>
      </c>
      <c r="F109" s="54"/>
      <c r="G109" s="55">
        <v>1700.0</v>
      </c>
      <c r="DN109" s="91">
        <v>1.0</v>
      </c>
    </row>
    <row r="110">
      <c r="A110" s="75" t="s">
        <v>965</v>
      </c>
      <c r="B110" s="75">
        <v>53.0</v>
      </c>
      <c r="C110" s="75" t="s">
        <v>854</v>
      </c>
      <c r="D110" s="76" t="s">
        <v>888</v>
      </c>
      <c r="E110" s="53" t="s">
        <v>874</v>
      </c>
      <c r="F110" s="54"/>
      <c r="G110" s="55">
        <v>1700.0</v>
      </c>
      <c r="DN110" s="91">
        <v>1.0</v>
      </c>
    </row>
    <row r="111">
      <c r="A111" s="75" t="s">
        <v>966</v>
      </c>
      <c r="B111" s="75">
        <v>53.0</v>
      </c>
      <c r="C111" s="75" t="s">
        <v>854</v>
      </c>
      <c r="D111" s="76" t="s">
        <v>888</v>
      </c>
      <c r="E111" s="53" t="s">
        <v>874</v>
      </c>
      <c r="F111" s="54"/>
      <c r="G111" s="55">
        <v>1700.0</v>
      </c>
      <c r="DN111" s="91">
        <v>1.0</v>
      </c>
    </row>
    <row r="112">
      <c r="A112" s="75" t="s">
        <v>967</v>
      </c>
      <c r="B112" s="75">
        <v>53.0</v>
      </c>
      <c r="C112" s="75" t="s">
        <v>854</v>
      </c>
      <c r="D112" s="76" t="s">
        <v>888</v>
      </c>
      <c r="E112" s="53" t="s">
        <v>874</v>
      </c>
      <c r="F112" s="54"/>
      <c r="G112" s="55">
        <v>2750.0</v>
      </c>
      <c r="DN112" s="91">
        <v>1.0</v>
      </c>
    </row>
    <row r="113">
      <c r="A113" s="75" t="s">
        <v>968</v>
      </c>
      <c r="B113" s="75">
        <v>52.0</v>
      </c>
      <c r="C113" s="75" t="s">
        <v>854</v>
      </c>
      <c r="D113" s="76" t="s">
        <v>969</v>
      </c>
      <c r="E113" s="53" t="s">
        <v>874</v>
      </c>
      <c r="F113" s="54"/>
      <c r="G113" s="55">
        <v>2750.0</v>
      </c>
      <c r="DN113" s="57">
        <v>2.0</v>
      </c>
    </row>
    <row r="114">
      <c r="A114" s="75" t="s">
        <v>970</v>
      </c>
      <c r="B114" s="75">
        <v>52.0</v>
      </c>
      <c r="C114" s="75" t="s">
        <v>854</v>
      </c>
      <c r="D114" s="76" t="s">
        <v>888</v>
      </c>
      <c r="E114" s="53" t="s">
        <v>871</v>
      </c>
      <c r="F114" s="76"/>
      <c r="G114" s="55"/>
      <c r="DN114" s="57">
        <v>1.0</v>
      </c>
    </row>
    <row r="115">
      <c r="A115" s="75" t="s">
        <v>971</v>
      </c>
      <c r="B115" s="75">
        <v>52.0</v>
      </c>
      <c r="C115" s="75" t="s">
        <v>854</v>
      </c>
      <c r="D115" s="76" t="s">
        <v>943</v>
      </c>
      <c r="E115" s="53" t="s">
        <v>871</v>
      </c>
      <c r="F115" s="54"/>
      <c r="G115" s="55"/>
      <c r="DN115" s="77">
        <v>1.0</v>
      </c>
    </row>
    <row r="116">
      <c r="A116" s="75" t="s">
        <v>972</v>
      </c>
      <c r="B116" s="75">
        <v>52.0</v>
      </c>
      <c r="C116" s="75" t="s">
        <v>854</v>
      </c>
      <c r="D116" s="76" t="s">
        <v>892</v>
      </c>
      <c r="E116" s="53" t="s">
        <v>871</v>
      </c>
      <c r="F116" s="54"/>
      <c r="G116" s="55">
        <v>2750.0</v>
      </c>
      <c r="DN116" s="57">
        <v>1.0</v>
      </c>
    </row>
    <row r="117">
      <c r="A117" s="75" t="s">
        <v>973</v>
      </c>
      <c r="B117" s="75">
        <v>51.0</v>
      </c>
      <c r="C117" s="75" t="s">
        <v>854</v>
      </c>
      <c r="D117" s="76" t="s">
        <v>943</v>
      </c>
      <c r="E117" s="53" t="s">
        <v>874</v>
      </c>
      <c r="F117" s="54"/>
      <c r="G117" s="55">
        <v>3990.0</v>
      </c>
      <c r="DN117" s="57">
        <v>1.0</v>
      </c>
    </row>
    <row r="118">
      <c r="A118" s="75" t="s">
        <v>974</v>
      </c>
      <c r="B118" s="75">
        <v>51.0</v>
      </c>
      <c r="C118" s="75" t="s">
        <v>854</v>
      </c>
      <c r="D118" s="76" t="s">
        <v>881</v>
      </c>
      <c r="E118" s="53" t="s">
        <v>874</v>
      </c>
      <c r="F118" s="54"/>
      <c r="G118" s="55">
        <v>3990.0</v>
      </c>
      <c r="DN118" s="57">
        <v>1.0</v>
      </c>
    </row>
    <row r="119">
      <c r="A119" s="75" t="s">
        <v>975</v>
      </c>
      <c r="B119" s="75">
        <v>54.0</v>
      </c>
      <c r="C119" s="75" t="s">
        <v>854</v>
      </c>
      <c r="D119" s="76" t="s">
        <v>862</v>
      </c>
      <c r="E119" s="53" t="s">
        <v>871</v>
      </c>
      <c r="F119" s="54"/>
      <c r="G119" s="55">
        <v>3490.0</v>
      </c>
      <c r="DN119" s="57">
        <v>1.0</v>
      </c>
    </row>
    <row r="120">
      <c r="A120" s="75" t="s">
        <v>976</v>
      </c>
      <c r="B120" s="75">
        <v>53.0</v>
      </c>
      <c r="C120" s="75" t="s">
        <v>854</v>
      </c>
      <c r="D120" s="95" t="s">
        <v>900</v>
      </c>
      <c r="E120" s="53" t="s">
        <v>932</v>
      </c>
      <c r="F120" s="54"/>
      <c r="G120" s="55">
        <v>3490.0</v>
      </c>
      <c r="DN120" s="57">
        <v>1.0</v>
      </c>
    </row>
    <row r="121">
      <c r="A121" s="75" t="s">
        <v>977</v>
      </c>
      <c r="B121" s="75">
        <v>50.0</v>
      </c>
      <c r="C121" s="75" t="s">
        <v>854</v>
      </c>
      <c r="D121" s="76" t="s">
        <v>878</v>
      </c>
      <c r="E121" s="53" t="s">
        <v>978</v>
      </c>
      <c r="F121" s="54"/>
      <c r="G121" s="55">
        <v>4235.0</v>
      </c>
      <c r="DN121" s="57">
        <v>1.0</v>
      </c>
    </row>
    <row r="122">
      <c r="A122" s="75" t="s">
        <v>979</v>
      </c>
      <c r="B122" s="75">
        <v>52.0</v>
      </c>
      <c r="C122" s="75" t="s">
        <v>854</v>
      </c>
      <c r="D122" s="76" t="s">
        <v>888</v>
      </c>
      <c r="E122" s="53" t="s">
        <v>874</v>
      </c>
      <c r="F122" s="54"/>
      <c r="G122" s="55">
        <v>4725.0</v>
      </c>
      <c r="DN122" s="57">
        <v>1.0</v>
      </c>
    </row>
    <row r="123">
      <c r="A123" s="75" t="s">
        <v>980</v>
      </c>
      <c r="B123" s="75">
        <v>52.0</v>
      </c>
      <c r="C123" s="75" t="s">
        <v>854</v>
      </c>
      <c r="D123" s="76" t="s">
        <v>865</v>
      </c>
      <c r="E123" s="53" t="s">
        <v>874</v>
      </c>
      <c r="F123" s="76" t="s">
        <v>932</v>
      </c>
      <c r="G123" s="55">
        <v>4725.0</v>
      </c>
      <c r="DN123" s="57">
        <v>1.0</v>
      </c>
    </row>
    <row r="124">
      <c r="A124" s="75" t="s">
        <v>981</v>
      </c>
      <c r="B124" s="75">
        <v>54.0</v>
      </c>
      <c r="C124" s="75" t="s">
        <v>854</v>
      </c>
      <c r="D124" s="76" t="s">
        <v>855</v>
      </c>
      <c r="E124" s="53" t="s">
        <v>863</v>
      </c>
      <c r="F124" s="54"/>
      <c r="G124" s="55">
        <v>2725.0</v>
      </c>
      <c r="DN124" s="57">
        <v>1.0</v>
      </c>
    </row>
    <row r="125">
      <c r="A125" s="75" t="s">
        <v>982</v>
      </c>
      <c r="B125" s="75">
        <v>50.0</v>
      </c>
      <c r="C125" s="75" t="s">
        <v>854</v>
      </c>
      <c r="D125" s="76" t="s">
        <v>956</v>
      </c>
      <c r="E125" s="53" t="s">
        <v>852</v>
      </c>
      <c r="F125" s="54"/>
      <c r="G125" s="55">
        <v>5225.0</v>
      </c>
      <c r="DN125" s="91">
        <v>1.0</v>
      </c>
    </row>
    <row r="126">
      <c r="A126" s="75" t="s">
        <v>983</v>
      </c>
      <c r="B126" s="75">
        <v>53.0</v>
      </c>
      <c r="C126" s="75" t="s">
        <v>854</v>
      </c>
      <c r="D126" s="76" t="s">
        <v>878</v>
      </c>
      <c r="E126" s="53" t="s">
        <v>932</v>
      </c>
      <c r="F126" s="76" t="s">
        <v>932</v>
      </c>
      <c r="G126" s="55"/>
      <c r="DN126" s="91">
        <v>1.0</v>
      </c>
    </row>
    <row r="127">
      <c r="A127" s="75" t="s">
        <v>984</v>
      </c>
      <c r="B127" s="75">
        <v>53.0</v>
      </c>
      <c r="C127" s="75" t="s">
        <v>854</v>
      </c>
      <c r="D127" s="76" t="s">
        <v>888</v>
      </c>
      <c r="E127" s="53" t="s">
        <v>932</v>
      </c>
      <c r="F127" s="76" t="s">
        <v>932</v>
      </c>
      <c r="G127" s="55"/>
      <c r="DN127" s="91">
        <v>1.0</v>
      </c>
    </row>
    <row r="128">
      <c r="A128" s="75" t="s">
        <v>985</v>
      </c>
      <c r="B128" s="75">
        <v>53.0</v>
      </c>
      <c r="C128" s="75" t="s">
        <v>854</v>
      </c>
      <c r="D128" s="76" t="s">
        <v>888</v>
      </c>
      <c r="E128" s="53" t="s">
        <v>932</v>
      </c>
      <c r="F128" s="76" t="s">
        <v>932</v>
      </c>
      <c r="G128" s="55"/>
      <c r="DN128" s="91">
        <v>1.0</v>
      </c>
    </row>
    <row r="129">
      <c r="A129" s="75" t="s">
        <v>986</v>
      </c>
      <c r="B129" s="75">
        <v>53.0</v>
      </c>
      <c r="C129" s="75" t="s">
        <v>854</v>
      </c>
      <c r="D129" s="76" t="s">
        <v>884</v>
      </c>
      <c r="E129" s="53" t="s">
        <v>885</v>
      </c>
      <c r="F129" s="54"/>
      <c r="G129" s="83" t="s">
        <v>987</v>
      </c>
      <c r="DN129" s="91">
        <v>1.0</v>
      </c>
    </row>
    <row r="130">
      <c r="A130" s="75" t="s">
        <v>988</v>
      </c>
      <c r="B130" s="75">
        <v>52.0</v>
      </c>
      <c r="C130" s="75" t="s">
        <v>854</v>
      </c>
      <c r="D130" s="76" t="s">
        <v>956</v>
      </c>
      <c r="E130" s="53" t="s">
        <v>874</v>
      </c>
      <c r="F130" s="76" t="s">
        <v>932</v>
      </c>
      <c r="G130" s="55">
        <v>1990.0</v>
      </c>
      <c r="DN130" s="91">
        <v>1.0</v>
      </c>
    </row>
    <row r="131">
      <c r="A131" s="75" t="s">
        <v>989</v>
      </c>
      <c r="B131" s="75">
        <v>53.0</v>
      </c>
      <c r="C131" s="75" t="s">
        <v>854</v>
      </c>
      <c r="D131" s="76" t="s">
        <v>892</v>
      </c>
      <c r="E131" s="53" t="s">
        <v>874</v>
      </c>
      <c r="F131" s="54"/>
      <c r="G131" s="55">
        <v>1425.0</v>
      </c>
      <c r="DN131" s="91">
        <v>1.0</v>
      </c>
    </row>
    <row r="132">
      <c r="A132" s="75" t="s">
        <v>990</v>
      </c>
      <c r="B132" s="75">
        <v>53.0</v>
      </c>
      <c r="C132" s="75" t="s">
        <v>854</v>
      </c>
      <c r="D132" s="76" t="s">
        <v>867</v>
      </c>
      <c r="E132" s="53" t="s">
        <v>932</v>
      </c>
      <c r="F132" s="76" t="s">
        <v>932</v>
      </c>
      <c r="G132" s="83">
        <v>1500.0</v>
      </c>
      <c r="DN132" s="92">
        <v>0.0</v>
      </c>
    </row>
    <row r="133">
      <c r="A133" s="75" t="s">
        <v>991</v>
      </c>
      <c r="B133" s="75">
        <v>53.0</v>
      </c>
      <c r="C133" s="75" t="s">
        <v>854</v>
      </c>
      <c r="D133" s="76" t="s">
        <v>940</v>
      </c>
      <c r="E133" s="53" t="s">
        <v>932</v>
      </c>
      <c r="F133" s="76" t="s">
        <v>932</v>
      </c>
      <c r="G133" s="83">
        <v>1500.0</v>
      </c>
      <c r="DN133" s="91">
        <v>1.0</v>
      </c>
    </row>
    <row r="134">
      <c r="A134" s="75" t="s">
        <v>992</v>
      </c>
      <c r="B134" s="75">
        <v>53.0</v>
      </c>
      <c r="C134" s="75" t="s">
        <v>854</v>
      </c>
      <c r="D134" s="76" t="s">
        <v>940</v>
      </c>
      <c r="E134" s="53" t="s">
        <v>932</v>
      </c>
      <c r="F134" s="54"/>
      <c r="G134" s="83">
        <v>1500.0</v>
      </c>
      <c r="DN134" s="91">
        <v>1.0</v>
      </c>
    </row>
    <row r="135">
      <c r="A135" s="75" t="s">
        <v>993</v>
      </c>
      <c r="B135" s="75">
        <v>53.0</v>
      </c>
      <c r="C135" s="75" t="s">
        <v>854</v>
      </c>
      <c r="D135" s="76" t="s">
        <v>956</v>
      </c>
      <c r="E135" s="53" t="s">
        <v>932</v>
      </c>
      <c r="F135" s="54"/>
      <c r="G135" s="83">
        <v>1500.0</v>
      </c>
      <c r="DN135" s="91">
        <v>1.0</v>
      </c>
    </row>
    <row r="136">
      <c r="A136" s="75" t="s">
        <v>994</v>
      </c>
      <c r="B136" s="75">
        <v>51.0</v>
      </c>
      <c r="C136" s="75" t="s">
        <v>854</v>
      </c>
      <c r="D136" s="76" t="s">
        <v>892</v>
      </c>
      <c r="E136" s="53" t="s">
        <v>995</v>
      </c>
      <c r="F136" s="54"/>
      <c r="G136" s="55">
        <v>1600.0</v>
      </c>
      <c r="DN136" s="91">
        <v>1.0</v>
      </c>
    </row>
    <row r="137">
      <c r="A137" s="75" t="s">
        <v>996</v>
      </c>
      <c r="B137" s="75">
        <v>51.0</v>
      </c>
      <c r="C137" s="75" t="s">
        <v>854</v>
      </c>
      <c r="D137" s="76" t="s">
        <v>890</v>
      </c>
      <c r="E137" s="53" t="s">
        <v>852</v>
      </c>
      <c r="F137" s="54"/>
      <c r="G137" s="55">
        <v>1800.0</v>
      </c>
      <c r="DN137" s="91">
        <v>1.0</v>
      </c>
    </row>
    <row r="138">
      <c r="A138" s="75" t="s">
        <v>997</v>
      </c>
      <c r="B138" s="75">
        <v>57.0</v>
      </c>
      <c r="C138" s="75" t="str">
        <f>vlookup(left(A138,2),Brands!$A$1:$B$36,2,0)</f>
        <v>Burberry</v>
      </c>
      <c r="D138" s="76" t="s">
        <v>998</v>
      </c>
      <c r="E138" s="53" t="s">
        <v>999</v>
      </c>
      <c r="F138" s="54"/>
      <c r="G138" s="55">
        <v>15000.0</v>
      </c>
      <c r="DN138" s="91">
        <v>1.0</v>
      </c>
    </row>
    <row r="139">
      <c r="A139" s="75" t="s">
        <v>1000</v>
      </c>
      <c r="B139" s="75">
        <v>58.0</v>
      </c>
      <c r="C139" s="75" t="str">
        <f>vlookup(left(A139,2),Brands!$A$1:$B$36,2,0)</f>
        <v>Burberry</v>
      </c>
      <c r="D139" s="76" t="s">
        <v>998</v>
      </c>
      <c r="E139" s="53" t="s">
        <v>1001</v>
      </c>
      <c r="F139" s="54"/>
      <c r="G139" s="55">
        <v>13000.0</v>
      </c>
      <c r="DN139" s="91">
        <v>1.0</v>
      </c>
    </row>
    <row r="140">
      <c r="A140" s="75" t="s">
        <v>1002</v>
      </c>
      <c r="B140" s="75" t="s">
        <v>1003</v>
      </c>
      <c r="C140" s="75" t="str">
        <f>vlookup(left(A140,2),Brands!$A$1:$B$36,2,0)</f>
        <v>Burberry</v>
      </c>
      <c r="D140" s="76" t="s">
        <v>1004</v>
      </c>
      <c r="E140" s="53" t="s">
        <v>885</v>
      </c>
      <c r="F140" s="54"/>
      <c r="G140" s="83">
        <v>17090.0</v>
      </c>
      <c r="DN140" s="91">
        <v>1.0</v>
      </c>
    </row>
    <row r="141">
      <c r="A141" s="75" t="s">
        <v>1005</v>
      </c>
      <c r="B141" s="75"/>
      <c r="C141" s="75"/>
      <c r="D141" s="76" t="s">
        <v>1006</v>
      </c>
      <c r="E141" s="53"/>
      <c r="F141" s="54"/>
      <c r="G141" s="83"/>
      <c r="DN141" s="77">
        <v>0.0</v>
      </c>
    </row>
    <row r="142">
      <c r="A142" s="75" t="s">
        <v>1007</v>
      </c>
      <c r="B142" s="75"/>
      <c r="C142" s="75" t="str">
        <f>vlookup(left(A142,2),Brands!$A$1:$B$36,2,0)</f>
        <v>Biotrue</v>
      </c>
      <c r="D142" s="76" t="s">
        <v>1008</v>
      </c>
      <c r="E142" s="53" t="s">
        <v>1009</v>
      </c>
      <c r="F142" s="54"/>
      <c r="G142" s="83">
        <v>300.0</v>
      </c>
      <c r="DN142" s="92">
        <v>2.0</v>
      </c>
    </row>
    <row r="143">
      <c r="A143" s="75" t="s">
        <v>1010</v>
      </c>
      <c r="B143" s="75"/>
      <c r="C143" s="75" t="str">
        <f>vlookup(left(A143,2),Brands!$A$1:$B$36,2,0)</f>
        <v>Biotrue</v>
      </c>
      <c r="D143" s="76" t="s">
        <v>867</v>
      </c>
      <c r="E143" s="53" t="s">
        <v>1009</v>
      </c>
      <c r="F143" s="54"/>
      <c r="G143" s="55">
        <v>560.0</v>
      </c>
      <c r="DN143" s="91">
        <v>0.0</v>
      </c>
    </row>
    <row r="144">
      <c r="A144" s="75" t="s">
        <v>1011</v>
      </c>
      <c r="B144" s="75">
        <v>120.0</v>
      </c>
      <c r="C144" s="75" t="s">
        <v>1012</v>
      </c>
      <c r="D144" s="76">
        <v>1.0</v>
      </c>
      <c r="E144" s="53" t="s">
        <v>1009</v>
      </c>
      <c r="F144" s="54"/>
      <c r="G144" s="55"/>
      <c r="DN144" s="91">
        <v>0.0</v>
      </c>
    </row>
    <row r="145">
      <c r="A145" s="75" t="s">
        <v>1013</v>
      </c>
      <c r="B145" s="75"/>
      <c r="C145" s="75" t="s">
        <v>1012</v>
      </c>
      <c r="D145" s="76" t="s">
        <v>867</v>
      </c>
      <c r="E145" s="53" t="s">
        <v>1009</v>
      </c>
      <c r="F145" s="54"/>
      <c r="G145" s="55"/>
      <c r="DN145" s="91">
        <v>0.0</v>
      </c>
    </row>
    <row r="146">
      <c r="A146" s="75" t="s">
        <v>1014</v>
      </c>
      <c r="B146" s="75">
        <v>60.0</v>
      </c>
      <c r="C146" s="75" t="s">
        <v>1012</v>
      </c>
      <c r="D146" s="76" t="s">
        <v>867</v>
      </c>
      <c r="E146" s="53" t="s">
        <v>1009</v>
      </c>
      <c r="F146" s="54"/>
      <c r="G146" s="55"/>
      <c r="DN146" s="91">
        <v>0.0</v>
      </c>
    </row>
    <row r="147">
      <c r="A147" s="75" t="s">
        <v>1015</v>
      </c>
      <c r="B147" s="75"/>
      <c r="C147" s="75" t="s">
        <v>1016</v>
      </c>
      <c r="D147" s="76" t="s">
        <v>1017</v>
      </c>
      <c r="E147" s="53" t="s">
        <v>1018</v>
      </c>
      <c r="F147" s="54"/>
      <c r="G147" s="55"/>
      <c r="DN147" s="92">
        <v>4.0</v>
      </c>
    </row>
    <row r="148">
      <c r="A148" s="75" t="s">
        <v>1019</v>
      </c>
      <c r="B148" s="75"/>
      <c r="C148" s="75"/>
      <c r="D148" s="96" t="s">
        <v>1020</v>
      </c>
      <c r="E148" s="53" t="s">
        <v>1021</v>
      </c>
      <c r="F148" s="54"/>
      <c r="G148" s="55"/>
      <c r="DN148" s="92">
        <v>2.0</v>
      </c>
    </row>
    <row r="149">
      <c r="A149" s="75" t="s">
        <v>1022</v>
      </c>
      <c r="B149" s="75"/>
      <c r="C149" s="75" t="s">
        <v>1023</v>
      </c>
      <c r="D149" s="96" t="s">
        <v>1024</v>
      </c>
      <c r="E149" s="53" t="s">
        <v>1025</v>
      </c>
      <c r="F149" s="54"/>
      <c r="G149" s="55">
        <v>1000.0</v>
      </c>
      <c r="DN149" s="92">
        <v>3.0</v>
      </c>
    </row>
    <row r="150">
      <c r="A150" s="97" t="s">
        <v>1026</v>
      </c>
      <c r="B150" s="97">
        <v>53.0</v>
      </c>
      <c r="C150" s="75" t="str">
        <f>vlookup(left(A150,2),Brands!$A$1:$B$36,2,0)</f>
        <v>Bvlgari</v>
      </c>
      <c r="D150" s="76" t="s">
        <v>1027</v>
      </c>
      <c r="E150" s="53" t="s">
        <v>1028</v>
      </c>
      <c r="F150" s="54"/>
      <c r="G150" s="55">
        <v>24990.0</v>
      </c>
      <c r="DN150" s="91">
        <v>1.0</v>
      </c>
    </row>
    <row r="151">
      <c r="A151" s="75" t="s">
        <v>1029</v>
      </c>
      <c r="B151" s="75">
        <v>58.0</v>
      </c>
      <c r="C151" s="75" t="str">
        <f>vlookup(left(A151,2),Brands!$A$1:$B$36,2,0)</f>
        <v>Calvin Klein</v>
      </c>
      <c r="D151" s="76" t="s">
        <v>1030</v>
      </c>
      <c r="E151" s="53" t="s">
        <v>885</v>
      </c>
      <c r="F151" s="54"/>
      <c r="G151" s="55"/>
      <c r="DN151" s="91">
        <v>2.0</v>
      </c>
    </row>
    <row r="152">
      <c r="A152" s="75" t="s">
        <v>1031</v>
      </c>
      <c r="B152" s="75">
        <v>62.0</v>
      </c>
      <c r="C152" s="75" t="str">
        <f>vlookup(left(A152,2),Brands!$A$1:$B$36,2,0)</f>
        <v>Calvin Klein</v>
      </c>
      <c r="D152" s="98" t="s">
        <v>1032</v>
      </c>
      <c r="E152" s="53" t="s">
        <v>885</v>
      </c>
      <c r="F152" s="54"/>
      <c r="G152" s="55"/>
      <c r="DN152" s="92">
        <v>3.0</v>
      </c>
    </row>
    <row r="153">
      <c r="A153" s="75" t="s">
        <v>1033</v>
      </c>
      <c r="B153" s="75">
        <v>58.0</v>
      </c>
      <c r="C153" s="75" t="str">
        <f>vlookup(left(A153,2),Brands!$A$1:$B$36,2,0)</f>
        <v>Calvin Klein</v>
      </c>
      <c r="D153" s="99" t="s">
        <v>1034</v>
      </c>
      <c r="E153" s="53" t="s">
        <v>885</v>
      </c>
      <c r="F153" s="54"/>
      <c r="G153" s="55">
        <v>9000.0</v>
      </c>
      <c r="DN153" s="91">
        <v>1.0</v>
      </c>
    </row>
    <row r="154">
      <c r="A154" s="75" t="s">
        <v>1035</v>
      </c>
      <c r="B154" s="75">
        <v>58.0</v>
      </c>
      <c r="C154" s="75" t="str">
        <f>vlookup(left(A154,2),Brands!$A$1:$B$36,2,0)</f>
        <v>Calvin Klein</v>
      </c>
      <c r="D154" s="99" t="s">
        <v>1036</v>
      </c>
      <c r="E154" s="53" t="s">
        <v>885</v>
      </c>
      <c r="F154" s="54"/>
      <c r="G154" s="55"/>
      <c r="DN154" s="91">
        <v>1.0</v>
      </c>
    </row>
    <row r="155">
      <c r="A155" s="75" t="s">
        <v>1037</v>
      </c>
      <c r="B155" s="75">
        <v>57.0</v>
      </c>
      <c r="C155" s="75" t="str">
        <f>vlookup(left(A155,2),Brands!$A$1:$B$36,2,0)</f>
        <v>Calvin Klein</v>
      </c>
      <c r="D155" s="76" t="s">
        <v>1038</v>
      </c>
      <c r="E155" s="53" t="s">
        <v>885</v>
      </c>
      <c r="F155" s="54"/>
      <c r="G155" s="55"/>
      <c r="DN155" s="92">
        <v>2.0</v>
      </c>
    </row>
    <row r="156">
      <c r="A156" s="75" t="s">
        <v>1039</v>
      </c>
      <c r="B156" s="75">
        <v>56.0</v>
      </c>
      <c r="C156" s="75" t="str">
        <f>vlookup(left(A156,2),Brands!$A$1:$B$36,2,0)</f>
        <v>Calvin Klein</v>
      </c>
      <c r="D156" s="76" t="s">
        <v>1040</v>
      </c>
      <c r="E156" s="53" t="s">
        <v>885</v>
      </c>
      <c r="F156" s="54"/>
      <c r="G156" s="55"/>
      <c r="DN156" s="91">
        <v>1.0</v>
      </c>
    </row>
    <row r="157">
      <c r="A157" s="75" t="s">
        <v>1041</v>
      </c>
      <c r="B157" s="75">
        <v>56.0</v>
      </c>
      <c r="C157" s="75" t="str">
        <f>vlookup(left(A157,2),Brands!$A$1:$B$36,2,0)</f>
        <v>Calvin Klein</v>
      </c>
      <c r="D157" s="76" t="s">
        <v>1042</v>
      </c>
      <c r="E157" s="53" t="s">
        <v>885</v>
      </c>
      <c r="F157" s="54"/>
      <c r="G157" s="55"/>
      <c r="DN157" s="91">
        <v>2.0</v>
      </c>
    </row>
    <row r="158">
      <c r="A158" s="75" t="s">
        <v>1043</v>
      </c>
      <c r="B158" s="75">
        <v>52.0</v>
      </c>
      <c r="C158" s="75" t="str">
        <f>vlookup(left(A158,2),Brands!$A$1:$B$36,2,0)</f>
        <v>Calvin Klein</v>
      </c>
      <c r="D158" s="76" t="s">
        <v>1042</v>
      </c>
      <c r="E158" s="53" t="s">
        <v>885</v>
      </c>
      <c r="F158" s="54"/>
      <c r="G158" s="55"/>
      <c r="DN158" s="91">
        <v>2.0</v>
      </c>
    </row>
    <row r="159">
      <c r="A159" s="75" t="s">
        <v>1044</v>
      </c>
      <c r="B159" s="75">
        <v>52.0</v>
      </c>
      <c r="C159" s="75" t="str">
        <f>vlookup(left(A159,2),Brands!$A$1:$B$36,2,0)</f>
        <v>Calvin Klein</v>
      </c>
      <c r="D159" s="76" t="s">
        <v>1042</v>
      </c>
      <c r="E159" s="53" t="s">
        <v>885</v>
      </c>
      <c r="F159" s="54"/>
      <c r="G159" s="55"/>
      <c r="DN159" s="91">
        <v>2.0</v>
      </c>
    </row>
    <row r="160">
      <c r="A160" s="75" t="s">
        <v>1045</v>
      </c>
      <c r="B160" s="75"/>
      <c r="C160" s="75" t="s">
        <v>1046</v>
      </c>
      <c r="D160" s="76">
        <v>57.0</v>
      </c>
      <c r="E160" s="53" t="s">
        <v>1001</v>
      </c>
      <c r="F160" s="54"/>
      <c r="G160" s="55">
        <v>100.0</v>
      </c>
      <c r="DN160" s="92">
        <v>57.0</v>
      </c>
    </row>
    <row r="161">
      <c r="A161" s="75" t="s">
        <v>1048</v>
      </c>
      <c r="B161" s="75">
        <v>53.0</v>
      </c>
      <c r="C161" s="75" t="str">
        <f>vlookup(left(A161,2),Brands!$A$1:$B$36,2,0)</f>
        <v>Dolce &amp; gabbana</v>
      </c>
      <c r="D161" s="76" t="s">
        <v>1049</v>
      </c>
      <c r="E161" s="53" t="s">
        <v>1050</v>
      </c>
      <c r="F161" s="54"/>
      <c r="G161" s="55"/>
      <c r="DN161" s="91">
        <v>1.0</v>
      </c>
    </row>
    <row r="162">
      <c r="A162" s="75" t="s">
        <v>1051</v>
      </c>
      <c r="B162" s="75">
        <v>53.0</v>
      </c>
      <c r="C162" s="75" t="s">
        <v>1052</v>
      </c>
      <c r="D162" s="76" t="s">
        <v>876</v>
      </c>
      <c r="E162" s="53" t="s">
        <v>852</v>
      </c>
      <c r="F162" s="54"/>
      <c r="G162" s="55">
        <v>6925.0</v>
      </c>
      <c r="DN162" s="91">
        <v>1.0</v>
      </c>
    </row>
    <row r="163">
      <c r="A163" s="75" t="s">
        <v>1053</v>
      </c>
      <c r="B163" s="75"/>
      <c r="C163" s="75" t="s">
        <v>1053</v>
      </c>
      <c r="D163" s="76" t="s">
        <v>1054</v>
      </c>
      <c r="E163" s="53" t="s">
        <v>932</v>
      </c>
      <c r="F163" s="54"/>
      <c r="G163" s="83">
        <v>1000.0</v>
      </c>
      <c r="DN163" s="91">
        <v>1.0</v>
      </c>
    </row>
    <row r="164">
      <c r="A164" s="75" t="s">
        <v>1055</v>
      </c>
      <c r="B164" s="75">
        <v>52.0</v>
      </c>
      <c r="C164" s="75" t="str">
        <f>vlookup(left(A164,2),Brands!$A$1:$B$36,2,0)</f>
        <v>David Jones</v>
      </c>
      <c r="D164" s="76" t="s">
        <v>1056</v>
      </c>
      <c r="E164" s="53" t="s">
        <v>856</v>
      </c>
      <c r="F164" s="54"/>
      <c r="G164" s="55">
        <v>1600.0</v>
      </c>
      <c r="DN164" s="91">
        <v>1.0</v>
      </c>
    </row>
    <row r="165">
      <c r="A165" s="75" t="s">
        <v>1057</v>
      </c>
      <c r="B165" s="75">
        <v>52.0</v>
      </c>
      <c r="C165" s="75" t="s">
        <v>663</v>
      </c>
      <c r="D165" s="76" t="s">
        <v>1056</v>
      </c>
      <c r="E165" s="53" t="s">
        <v>932</v>
      </c>
      <c r="F165" s="54"/>
      <c r="G165" s="83">
        <v>1600.0</v>
      </c>
      <c r="DN165" s="91">
        <v>1.0</v>
      </c>
    </row>
    <row r="166">
      <c r="A166" s="75" t="s">
        <v>1058</v>
      </c>
      <c r="B166" s="75">
        <v>52.0</v>
      </c>
      <c r="C166" s="75" t="str">
        <f>vlookup(left(A166,2),Brands!$A$1:$B$36,2,0)</f>
        <v>David Jones</v>
      </c>
      <c r="D166" s="76" t="s">
        <v>867</v>
      </c>
      <c r="E166" s="53" t="s">
        <v>852</v>
      </c>
      <c r="F166" s="54"/>
      <c r="G166" s="55">
        <v>1800.0</v>
      </c>
      <c r="DN166" s="92">
        <v>0.0</v>
      </c>
    </row>
    <row r="167">
      <c r="A167" s="75" t="s">
        <v>1059</v>
      </c>
      <c r="B167" s="75">
        <v>51.0</v>
      </c>
      <c r="C167" s="75" t="str">
        <f>vlookup(left(A167,2),Brands!$A$1:$B$36,2,0)</f>
        <v>David Jones</v>
      </c>
      <c r="D167" s="76" t="s">
        <v>1060</v>
      </c>
      <c r="E167" s="53" t="s">
        <v>852</v>
      </c>
      <c r="F167" s="54"/>
      <c r="G167" s="55">
        <v>1800.0</v>
      </c>
      <c r="DN167" s="91">
        <v>1.0</v>
      </c>
    </row>
    <row r="168">
      <c r="A168" s="75" t="s">
        <v>1061</v>
      </c>
      <c r="B168" s="75">
        <v>53.0</v>
      </c>
      <c r="C168" s="75" t="str">
        <f>vlookup(left(A168,2),Brands!$A$1:$B$36,2,0)</f>
        <v>David Jones</v>
      </c>
      <c r="D168" s="76" t="s">
        <v>1062</v>
      </c>
      <c r="E168" s="53" t="s">
        <v>852</v>
      </c>
      <c r="F168" s="54"/>
      <c r="G168" s="55"/>
      <c r="DN168" s="91">
        <v>1.0</v>
      </c>
    </row>
    <row r="169">
      <c r="A169" s="75" t="s">
        <v>1063</v>
      </c>
      <c r="B169" s="75">
        <v>53.0</v>
      </c>
      <c r="C169" s="75" t="str">
        <f>vlookup(left(A169,2),Brands!$A$1:$B$36,2,0)</f>
        <v>David Jones</v>
      </c>
      <c r="D169" s="76" t="s">
        <v>1064</v>
      </c>
      <c r="E169" s="53" t="s">
        <v>852</v>
      </c>
      <c r="F169" s="54"/>
      <c r="G169" s="55">
        <v>1600.0</v>
      </c>
      <c r="DN169" s="91">
        <v>1.0</v>
      </c>
    </row>
    <row r="170">
      <c r="A170" s="75" t="s">
        <v>1065</v>
      </c>
      <c r="B170" s="75">
        <v>52.0</v>
      </c>
      <c r="C170" s="75" t="str">
        <f>vlookup(left(A170,2),Brands!$A$1:$B$36,2,0)</f>
        <v>David Jones</v>
      </c>
      <c r="D170" s="76" t="s">
        <v>1066</v>
      </c>
      <c r="E170" s="53" t="s">
        <v>852</v>
      </c>
      <c r="F170" s="54"/>
      <c r="G170" s="55"/>
      <c r="DN170" s="91">
        <v>1.0</v>
      </c>
    </row>
    <row r="171">
      <c r="A171" s="75" t="s">
        <v>1067</v>
      </c>
      <c r="B171" s="75">
        <v>53.0</v>
      </c>
      <c r="C171" s="75" t="str">
        <f>vlookup(left(A171,2),Brands!$A$1:$B$36,2,0)</f>
        <v>David Jones</v>
      </c>
      <c r="D171" s="76" t="s">
        <v>867</v>
      </c>
      <c r="E171" s="53" t="s">
        <v>852</v>
      </c>
      <c r="F171" s="54"/>
      <c r="G171" s="55"/>
      <c r="DN171" s="92">
        <v>0.0</v>
      </c>
    </row>
    <row r="172">
      <c r="A172" s="75" t="s">
        <v>1068</v>
      </c>
      <c r="B172" s="75">
        <v>53.0</v>
      </c>
      <c r="C172" s="75" t="str">
        <f>vlookup(left(A172,2),Brands!$A$1:$B$36,2,0)</f>
        <v>David Jones</v>
      </c>
      <c r="D172" s="76" t="s">
        <v>867</v>
      </c>
      <c r="E172" s="53" t="s">
        <v>852</v>
      </c>
      <c r="F172" s="54"/>
      <c r="G172" s="55"/>
      <c r="DN172" s="92">
        <v>0.0</v>
      </c>
    </row>
    <row r="173">
      <c r="A173" s="75" t="s">
        <v>1069</v>
      </c>
      <c r="B173" s="75">
        <v>51.0</v>
      </c>
      <c r="C173" s="75" t="str">
        <f>vlookup(left(A173,2),Brands!$A$1:$B$36,2,0)</f>
        <v>David Jones</v>
      </c>
      <c r="D173" s="76" t="s">
        <v>867</v>
      </c>
      <c r="E173" s="53" t="s">
        <v>852</v>
      </c>
      <c r="F173" s="54"/>
      <c r="G173" s="55">
        <v>1600.0</v>
      </c>
      <c r="DN173" s="92">
        <v>0.0</v>
      </c>
    </row>
    <row r="174">
      <c r="A174" s="75" t="s">
        <v>1070</v>
      </c>
      <c r="B174" s="75">
        <v>51.0</v>
      </c>
      <c r="C174" s="75" t="str">
        <f>vlookup(left(A174,2),Brands!$A$1:$B$36,2,0)</f>
        <v>David Jones</v>
      </c>
      <c r="D174" s="76" t="s">
        <v>1071</v>
      </c>
      <c r="E174" s="53" t="s">
        <v>852</v>
      </c>
      <c r="F174" s="54"/>
      <c r="G174" s="55">
        <v>1600.0</v>
      </c>
      <c r="DN174" s="91">
        <v>1.0</v>
      </c>
    </row>
    <row r="175">
      <c r="A175" s="75" t="s">
        <v>1072</v>
      </c>
      <c r="B175" s="75">
        <v>52.0</v>
      </c>
      <c r="C175" s="75" t="str">
        <f>vlookup(left(A175,2),Brands!$A$1:$B$36,2,0)</f>
        <v>David Jones</v>
      </c>
      <c r="D175" s="76" t="s">
        <v>1060</v>
      </c>
      <c r="E175" s="53" t="s">
        <v>852</v>
      </c>
      <c r="F175" s="54"/>
      <c r="G175" s="55"/>
      <c r="DN175" s="91">
        <v>1.0</v>
      </c>
    </row>
    <row r="176">
      <c r="A176" s="75" t="s">
        <v>1073</v>
      </c>
      <c r="B176" s="75">
        <v>53.0</v>
      </c>
      <c r="C176" s="75" t="str">
        <f>vlookup(left(A176,2),Brands!$A$1:$B$36,2,0)</f>
        <v>David Jones</v>
      </c>
      <c r="D176" s="76" t="s">
        <v>1074</v>
      </c>
      <c r="E176" s="53" t="s">
        <v>852</v>
      </c>
      <c r="F176" s="54"/>
      <c r="G176" s="55">
        <v>1600.0</v>
      </c>
      <c r="DN176" s="91">
        <v>1.0</v>
      </c>
    </row>
    <row r="177">
      <c r="A177" s="75" t="s">
        <v>1075</v>
      </c>
      <c r="B177" s="75">
        <v>49.0</v>
      </c>
      <c r="C177" s="75" t="str">
        <f>vlookup(left(A177,2),Brands!$A$1:$B$36,2,0)</f>
        <v>David Jones</v>
      </c>
      <c r="D177" s="76" t="s">
        <v>1066</v>
      </c>
      <c r="E177" s="53" t="s">
        <v>852</v>
      </c>
      <c r="F177" s="76" t="s">
        <v>1076</v>
      </c>
      <c r="G177" s="55">
        <v>1800.0</v>
      </c>
      <c r="DN177" s="91">
        <v>1.0</v>
      </c>
    </row>
    <row r="178">
      <c r="A178" s="75" t="s">
        <v>1077</v>
      </c>
      <c r="B178" s="75">
        <v>50.0</v>
      </c>
      <c r="C178" s="75" t="str">
        <f>vlookup(left(A178,2),Brands!$A$1:$B$36,2,0)</f>
        <v>David Jones</v>
      </c>
      <c r="D178" s="76" t="s">
        <v>867</v>
      </c>
      <c r="E178" s="53" t="s">
        <v>852</v>
      </c>
      <c r="F178" s="54"/>
      <c r="G178" s="55">
        <v>1800.0</v>
      </c>
      <c r="DN178" s="92">
        <v>0.0</v>
      </c>
    </row>
    <row r="179">
      <c r="A179" s="75" t="s">
        <v>1078</v>
      </c>
      <c r="B179" s="75">
        <v>53.0</v>
      </c>
      <c r="C179" s="75" t="str">
        <f>vlookup(left(A179,2),Brands!$A$1:$B$36,2,0)</f>
        <v>David Jones</v>
      </c>
      <c r="D179" s="76" t="s">
        <v>1079</v>
      </c>
      <c r="E179" s="53" t="s">
        <v>852</v>
      </c>
      <c r="F179" s="54"/>
      <c r="G179" s="55"/>
      <c r="DN179" s="91">
        <v>1.0</v>
      </c>
    </row>
    <row r="180">
      <c r="A180" s="75" t="s">
        <v>1080</v>
      </c>
      <c r="B180" s="75">
        <v>52.0</v>
      </c>
      <c r="C180" s="75" t="str">
        <f>vlookup(left(A180,2),Brands!$A$1:$B$36,2,0)</f>
        <v>David Jones</v>
      </c>
      <c r="D180" s="76" t="s">
        <v>1081</v>
      </c>
      <c r="E180" s="53" t="s">
        <v>856</v>
      </c>
      <c r="F180" s="54"/>
      <c r="G180" s="55">
        <v>1800.0</v>
      </c>
      <c r="DN180" s="91">
        <v>1.0</v>
      </c>
    </row>
    <row r="181">
      <c r="A181" s="75" t="s">
        <v>1082</v>
      </c>
      <c r="B181" s="75">
        <v>55.0</v>
      </c>
      <c r="C181" s="75" t="str">
        <f>vlookup(left(A181,2),Brands!$A$1:$B$36,2,0)</f>
        <v>David Jones</v>
      </c>
      <c r="D181" s="76" t="s">
        <v>1060</v>
      </c>
      <c r="E181" s="53"/>
      <c r="F181" s="54"/>
      <c r="G181" s="83">
        <v>1800.0</v>
      </c>
      <c r="DN181" s="91">
        <v>1.0</v>
      </c>
    </row>
    <row r="182">
      <c r="A182" s="75" t="s">
        <v>1083</v>
      </c>
      <c r="B182" s="75">
        <v>52.0</v>
      </c>
      <c r="C182" s="75" t="str">
        <f>vlookup(left(A182,2),Brands!$A$1:$B$36,2,0)</f>
        <v>David Jones</v>
      </c>
      <c r="D182" s="76" t="s">
        <v>1084</v>
      </c>
      <c r="E182" s="53" t="s">
        <v>852</v>
      </c>
      <c r="F182" s="54"/>
      <c r="G182" s="55">
        <v>1800.0</v>
      </c>
      <c r="DN182" s="91">
        <v>1.0</v>
      </c>
    </row>
    <row r="183">
      <c r="A183" s="75" t="s">
        <v>1085</v>
      </c>
      <c r="B183" s="75">
        <v>52.0</v>
      </c>
      <c r="C183" s="75" t="str">
        <f>vlookup(left(A183,2),Brands!$A$1:$B$36,2,0)</f>
        <v>David Jones</v>
      </c>
      <c r="D183" s="76" t="s">
        <v>1086</v>
      </c>
      <c r="E183" s="53" t="s">
        <v>852</v>
      </c>
      <c r="F183" s="54"/>
      <c r="G183" s="55">
        <v>1800.0</v>
      </c>
      <c r="DN183" s="91">
        <v>1.0</v>
      </c>
    </row>
    <row r="184">
      <c r="A184" s="75" t="s">
        <v>1087</v>
      </c>
      <c r="B184" s="75" t="s">
        <v>1088</v>
      </c>
      <c r="C184" s="75" t="str">
        <f>vlookup(left(A184,2),Brands!$A$1:$B$36,2,0)</f>
        <v>David Jones</v>
      </c>
      <c r="D184" s="76" t="s">
        <v>1056</v>
      </c>
      <c r="E184" s="53" t="s">
        <v>856</v>
      </c>
      <c r="F184" s="54"/>
      <c r="G184" s="55">
        <v>1800.0</v>
      </c>
      <c r="DN184" s="91">
        <v>1.0</v>
      </c>
    </row>
    <row r="185">
      <c r="A185" s="75" t="s">
        <v>1089</v>
      </c>
      <c r="B185" s="75" t="s">
        <v>1090</v>
      </c>
      <c r="C185" s="75" t="str">
        <f>vlookup(left(A185,2),Brands!$A$1:$B$36,2,0)</f>
        <v>David Jones</v>
      </c>
      <c r="D185" s="76" t="s">
        <v>1056</v>
      </c>
      <c r="E185" s="53" t="s">
        <v>856</v>
      </c>
      <c r="F185" s="76" t="s">
        <v>1076</v>
      </c>
      <c r="G185" s="55">
        <v>1800.0</v>
      </c>
      <c r="DN185" s="91">
        <v>1.0</v>
      </c>
    </row>
    <row r="186">
      <c r="A186" s="75" t="s">
        <v>1091</v>
      </c>
      <c r="B186" s="75">
        <v>50.0</v>
      </c>
      <c r="C186" s="75" t="str">
        <f>vlookup(left(A186,2),Brands!$A$1:$B$36,2,0)</f>
        <v>David Jones</v>
      </c>
      <c r="D186" s="76" t="s">
        <v>1092</v>
      </c>
      <c r="E186" s="53" t="s">
        <v>858</v>
      </c>
      <c r="F186" s="54"/>
      <c r="G186" s="55">
        <v>1800.0</v>
      </c>
      <c r="DN186" s="91">
        <v>1.0</v>
      </c>
    </row>
    <row r="187">
      <c r="A187" s="75" t="s">
        <v>1093</v>
      </c>
      <c r="B187" s="75">
        <v>51.0</v>
      </c>
      <c r="C187" s="75" t="str">
        <f>vlookup(left(A187,2),Brands!$A$1:$B$36,2,0)</f>
        <v>David Jones</v>
      </c>
      <c r="D187" s="76" t="s">
        <v>1071</v>
      </c>
      <c r="E187" s="53" t="s">
        <v>852</v>
      </c>
      <c r="F187" s="54"/>
      <c r="G187" s="55">
        <v>1800.0</v>
      </c>
      <c r="DN187" s="92">
        <v>1.0</v>
      </c>
    </row>
    <row r="188" ht="16.5" customHeight="1">
      <c r="A188" s="75" t="s">
        <v>1094</v>
      </c>
      <c r="B188" s="75">
        <v>51.0</v>
      </c>
      <c r="C188" s="75" t="str">
        <f>vlookup(left(A188,2),Brands!$A$1:$B$36,2,0)</f>
        <v>David Jones</v>
      </c>
      <c r="D188" s="76" t="s">
        <v>1056</v>
      </c>
      <c r="E188" s="53" t="s">
        <v>858</v>
      </c>
      <c r="F188" s="54"/>
      <c r="G188" s="55">
        <v>1800.0</v>
      </c>
      <c r="DN188" s="91">
        <v>1.0</v>
      </c>
    </row>
    <row r="189">
      <c r="A189" s="75" t="s">
        <v>1095</v>
      </c>
      <c r="B189" s="75">
        <v>48.0</v>
      </c>
      <c r="C189" s="75" t="str">
        <f>vlookup(left(A189,2),Brands!$A$1:$B$36,2,0)</f>
        <v>David Jones</v>
      </c>
      <c r="D189" s="76" t="s">
        <v>1096</v>
      </c>
      <c r="E189" s="53" t="s">
        <v>946</v>
      </c>
      <c r="F189" s="54"/>
      <c r="G189" s="55">
        <v>2750.0</v>
      </c>
      <c r="DN189" s="91">
        <v>1.0</v>
      </c>
    </row>
    <row r="190">
      <c r="A190" s="75" t="s">
        <v>1097</v>
      </c>
      <c r="B190" s="75">
        <v>49.0</v>
      </c>
      <c r="C190" s="75" t="str">
        <f>vlookup(left(A190,2),Brands!$A$1:$B$36,2,0)</f>
        <v>David Jones</v>
      </c>
      <c r="D190" s="76" t="s">
        <v>1098</v>
      </c>
      <c r="E190" s="53" t="s">
        <v>978</v>
      </c>
      <c r="F190" s="54"/>
      <c r="G190" s="55">
        <v>1550.0</v>
      </c>
      <c r="DN190" s="91">
        <v>1.0</v>
      </c>
    </row>
    <row r="191">
      <c r="A191" s="75" t="s">
        <v>1099</v>
      </c>
      <c r="B191" s="75">
        <v>55.0</v>
      </c>
      <c r="C191" s="75" t="str">
        <f>vlookup(left(A191,2),Brands!$A$1:$B$36,2,0)</f>
        <v>David Jones</v>
      </c>
      <c r="D191" s="76" t="s">
        <v>1100</v>
      </c>
      <c r="E191" s="53" t="s">
        <v>932</v>
      </c>
      <c r="F191" s="54"/>
      <c r="G191" s="55">
        <v>1490.0</v>
      </c>
      <c r="DN191" s="91">
        <v>1.0</v>
      </c>
    </row>
    <row r="192">
      <c r="A192" s="75" t="s">
        <v>1101</v>
      </c>
      <c r="B192" s="75">
        <v>52.0</v>
      </c>
      <c r="C192" s="75" t="s">
        <v>663</v>
      </c>
      <c r="D192" s="76" t="s">
        <v>1102</v>
      </c>
      <c r="E192" s="53" t="s">
        <v>1103</v>
      </c>
      <c r="F192" s="76"/>
      <c r="G192" s="83">
        <v>1800.0</v>
      </c>
      <c r="DN192" s="102">
        <v>1.0</v>
      </c>
    </row>
    <row r="193">
      <c r="A193" s="75" t="s">
        <v>1104</v>
      </c>
      <c r="B193" s="75">
        <v>51.0</v>
      </c>
      <c r="C193" s="75" t="str">
        <f>vlookup(left(A193,2),Brands!$A$1:$B$36,2,0)</f>
        <v>David Jones</v>
      </c>
      <c r="D193" s="76" t="s">
        <v>1105</v>
      </c>
      <c r="E193" s="53" t="s">
        <v>858</v>
      </c>
      <c r="F193" s="54"/>
      <c r="G193" s="55">
        <v>3490.0</v>
      </c>
      <c r="DN193" s="101">
        <v>1.0</v>
      </c>
    </row>
    <row r="194">
      <c r="A194" s="75" t="s">
        <v>1106</v>
      </c>
      <c r="B194" s="75">
        <v>51.0</v>
      </c>
      <c r="C194" s="75" t="str">
        <f>vlookup(left(A194,2),Brands!$A$1:$B$36,2,0)</f>
        <v>David Jones</v>
      </c>
      <c r="D194" s="76" t="s">
        <v>1107</v>
      </c>
      <c r="E194" s="53" t="s">
        <v>858</v>
      </c>
      <c r="F194" s="54"/>
      <c r="G194" s="55">
        <v>3490.0</v>
      </c>
      <c r="DN194" s="91">
        <v>1.0</v>
      </c>
    </row>
    <row r="195">
      <c r="A195" s="75" t="s">
        <v>1108</v>
      </c>
      <c r="B195" s="75">
        <v>47.0</v>
      </c>
      <c r="C195" s="75" t="str">
        <f>vlookup(left(A195,2),Brands!$A$1:$B$36,2,0)</f>
        <v>David Jones</v>
      </c>
      <c r="D195" s="76" t="s">
        <v>1098</v>
      </c>
      <c r="E195" s="53" t="s">
        <v>978</v>
      </c>
      <c r="F195" s="54"/>
      <c r="G195" s="55">
        <v>2225.0</v>
      </c>
      <c r="DN195" s="91">
        <v>1.0</v>
      </c>
    </row>
    <row r="196">
      <c r="A196" s="75" t="s">
        <v>1109</v>
      </c>
      <c r="B196" s="75">
        <v>50.0</v>
      </c>
      <c r="C196" s="75" t="str">
        <f>vlookup(left(A196,2),Brands!$A$1:$B$36,2,0)</f>
        <v>David Jones</v>
      </c>
      <c r="D196" s="76" t="s">
        <v>1074</v>
      </c>
      <c r="E196" s="53" t="s">
        <v>978</v>
      </c>
      <c r="F196" s="54"/>
      <c r="G196" s="55">
        <v>2225.0</v>
      </c>
      <c r="DN196" s="91">
        <v>1.0</v>
      </c>
    </row>
    <row r="197">
      <c r="A197" s="75" t="s">
        <v>1110</v>
      </c>
      <c r="B197" s="75">
        <v>50.0</v>
      </c>
      <c r="C197" s="75" t="str">
        <f>vlookup(left(A197,2),Brands!$A$1:$B$36,2,0)</f>
        <v>David Jones</v>
      </c>
      <c r="D197" s="76" t="s">
        <v>1111</v>
      </c>
      <c r="E197" s="53" t="s">
        <v>852</v>
      </c>
      <c r="F197" s="54"/>
      <c r="G197" s="55">
        <v>1550.0</v>
      </c>
      <c r="DN197" s="91">
        <v>1.0</v>
      </c>
    </row>
    <row r="198">
      <c r="A198" s="75" t="s">
        <v>1112</v>
      </c>
      <c r="B198" s="75">
        <v>50.0</v>
      </c>
      <c r="C198" s="75" t="str">
        <f>vlookup(left(A198,2),Brands!$A$1:$B$36,2,0)</f>
        <v>David Jones</v>
      </c>
      <c r="D198" s="76" t="s">
        <v>1113</v>
      </c>
      <c r="E198" s="53" t="s">
        <v>978</v>
      </c>
      <c r="F198" s="54"/>
      <c r="G198" s="55">
        <v>1450.0</v>
      </c>
      <c r="DN198" s="91">
        <v>2.0</v>
      </c>
    </row>
    <row r="199">
      <c r="A199" s="75" t="s">
        <v>1114</v>
      </c>
      <c r="B199" s="75">
        <v>50.0</v>
      </c>
      <c r="C199" s="75" t="str">
        <f>vlookup(left(A199,2),Brands!$A$1:$B$36,2,0)</f>
        <v>David Jones</v>
      </c>
      <c r="D199" s="76" t="s">
        <v>1086</v>
      </c>
      <c r="E199" s="53" t="s">
        <v>978</v>
      </c>
      <c r="F199" s="54"/>
      <c r="G199" s="55">
        <v>1450.0</v>
      </c>
      <c r="DN199" s="91">
        <v>1.0</v>
      </c>
    </row>
    <row r="200">
      <c r="A200" s="75" t="s">
        <v>1115</v>
      </c>
      <c r="B200" s="75">
        <v>53.0</v>
      </c>
      <c r="C200" s="75" t="str">
        <f>vlookup(left(A200,2),Brands!$A$1:$B$36,2,0)</f>
        <v>David Jones</v>
      </c>
      <c r="D200" s="76" t="s">
        <v>1064</v>
      </c>
      <c r="E200" s="53" t="s">
        <v>852</v>
      </c>
      <c r="F200" s="54"/>
      <c r="G200" s="55">
        <v>1725.0</v>
      </c>
      <c r="DN200" s="91">
        <v>1.0</v>
      </c>
    </row>
    <row r="201">
      <c r="A201" s="75" t="s">
        <v>1116</v>
      </c>
      <c r="B201" s="75">
        <v>50.0</v>
      </c>
      <c r="C201" s="75" t="str">
        <f>vlookup(left(A201,2),Brands!$A$1:$B$36,2,0)</f>
        <v>David Jones</v>
      </c>
      <c r="D201" s="76" t="s">
        <v>1081</v>
      </c>
      <c r="E201" s="53" t="s">
        <v>856</v>
      </c>
      <c r="F201" s="54"/>
      <c r="G201" s="55">
        <v>1800.0</v>
      </c>
      <c r="DN201" s="91">
        <v>1.0</v>
      </c>
    </row>
    <row r="202">
      <c r="A202" s="75" t="s">
        <v>1117</v>
      </c>
      <c r="B202" s="75">
        <v>53.0</v>
      </c>
      <c r="C202" s="75" t="str">
        <f>vlookup(left(A202,2),Brands!$A$1:$B$36,2,0)</f>
        <v>David Jones</v>
      </c>
      <c r="D202" s="76" t="s">
        <v>1056</v>
      </c>
      <c r="E202" s="53" t="s">
        <v>856</v>
      </c>
      <c r="F202" s="54"/>
      <c r="G202" s="55">
        <v>1800.0</v>
      </c>
      <c r="DN202" s="91">
        <v>1.0</v>
      </c>
    </row>
    <row r="203">
      <c r="A203" s="75" t="s">
        <v>1118</v>
      </c>
      <c r="B203" s="75">
        <v>53.0</v>
      </c>
      <c r="C203" s="75" t="str">
        <f>vlookup(left(A203,2),Brands!$A$1:$B$36,2,0)</f>
        <v>David Jones</v>
      </c>
      <c r="D203" s="76" t="s">
        <v>1081</v>
      </c>
      <c r="E203" s="53" t="s">
        <v>856</v>
      </c>
      <c r="F203" s="54"/>
      <c r="G203" s="55">
        <v>1800.0</v>
      </c>
      <c r="DN203" s="91">
        <v>1.0</v>
      </c>
    </row>
    <row r="204">
      <c r="A204" s="75" t="s">
        <v>1119</v>
      </c>
      <c r="B204" s="75">
        <v>52.0</v>
      </c>
      <c r="C204" s="75" t="str">
        <f>vlookup(left(A204,2),Brands!$A$1:$B$36,2,0)</f>
        <v>David Jones</v>
      </c>
      <c r="D204" s="76" t="s">
        <v>1056</v>
      </c>
      <c r="E204" s="53" t="s">
        <v>858</v>
      </c>
      <c r="F204" s="54"/>
      <c r="G204" s="55">
        <v>1800.0</v>
      </c>
      <c r="DN204" s="91">
        <v>1.0</v>
      </c>
    </row>
    <row r="205">
      <c r="A205" s="75" t="s">
        <v>1120</v>
      </c>
      <c r="B205" s="75">
        <v>51.0</v>
      </c>
      <c r="C205" s="75" t="str">
        <f>vlookup(left(A205,2),Brands!$A$1:$B$36,2,0)</f>
        <v>David Jones</v>
      </c>
      <c r="D205" s="76" t="s">
        <v>867</v>
      </c>
      <c r="E205" s="53" t="s">
        <v>932</v>
      </c>
      <c r="F205" s="54"/>
      <c r="G205" s="55">
        <v>1250.0</v>
      </c>
      <c r="DN205" s="77">
        <v>0.0</v>
      </c>
    </row>
    <row r="206">
      <c r="A206" s="75" t="s">
        <v>1121</v>
      </c>
      <c r="B206" s="75">
        <v>49.0</v>
      </c>
      <c r="C206" s="75" t="str">
        <f>vlookup(left(A206,2),Brands!$A$1:$B$36,2,0)</f>
        <v>David Jones</v>
      </c>
      <c r="D206" s="76" t="s">
        <v>1111</v>
      </c>
      <c r="E206" s="53" t="s">
        <v>978</v>
      </c>
      <c r="F206" s="54"/>
      <c r="G206" s="55">
        <v>1475.0</v>
      </c>
      <c r="DN206" s="57">
        <v>1.0</v>
      </c>
    </row>
    <row r="207">
      <c r="A207" s="75" t="s">
        <v>1122</v>
      </c>
      <c r="B207" s="75">
        <v>53.0</v>
      </c>
      <c r="C207" s="75" t="str">
        <f>vlookup(left(A207,2),Brands!$A$1:$B$36,2,0)</f>
        <v>David Jones</v>
      </c>
      <c r="D207" s="76" t="s">
        <v>1123</v>
      </c>
      <c r="E207" s="53" t="s">
        <v>852</v>
      </c>
      <c r="F207" s="54"/>
      <c r="G207" s="55">
        <v>1450.0</v>
      </c>
      <c r="DN207" s="77">
        <v>0.0</v>
      </c>
    </row>
    <row r="208">
      <c r="A208" s="75" t="s">
        <v>1124</v>
      </c>
      <c r="B208" s="75">
        <v>53.0</v>
      </c>
      <c r="C208" s="75" t="str">
        <f>vlookup(left(A208,2),Brands!$A$1:$B$36,2,0)</f>
        <v>David Jones</v>
      </c>
      <c r="D208" s="76" t="s">
        <v>1125</v>
      </c>
      <c r="E208" s="53" t="s">
        <v>874</v>
      </c>
      <c r="F208" s="54"/>
      <c r="G208" s="55">
        <v>1450.0</v>
      </c>
      <c r="DN208" s="57">
        <v>1.0</v>
      </c>
    </row>
    <row r="209">
      <c r="A209" s="75" t="s">
        <v>1126</v>
      </c>
      <c r="B209" s="75">
        <v>54.0</v>
      </c>
      <c r="C209" s="75" t="str">
        <f>vlookup(left(A209,2),Brands!$A$1:$B$36,2,0)</f>
        <v>David Jones</v>
      </c>
      <c r="D209" s="76" t="s">
        <v>867</v>
      </c>
      <c r="E209" s="53" t="s">
        <v>852</v>
      </c>
      <c r="F209" s="54"/>
      <c r="G209" s="55">
        <v>1550.0</v>
      </c>
      <c r="DN209" s="77">
        <v>0.0</v>
      </c>
    </row>
    <row r="210">
      <c r="A210" s="75" t="s">
        <v>1127</v>
      </c>
      <c r="B210" s="75">
        <v>48.0</v>
      </c>
      <c r="C210" s="75" t="str">
        <f>vlookup(left(A210,2),Brands!$A$1:$B$36,2,0)</f>
        <v>David Jones</v>
      </c>
      <c r="D210" s="76" t="s">
        <v>1098</v>
      </c>
      <c r="E210" s="53" t="s">
        <v>932</v>
      </c>
      <c r="F210" s="54"/>
      <c r="G210" s="55">
        <v>1550.0</v>
      </c>
      <c r="DN210" s="57">
        <v>1.0</v>
      </c>
    </row>
    <row r="211">
      <c r="A211" s="75" t="s">
        <v>1128</v>
      </c>
      <c r="B211" s="75">
        <v>47.0</v>
      </c>
      <c r="C211" s="75" t="str">
        <f>vlookup(left(A211,2),Brands!$A$1:$B$36,2,0)</f>
        <v>David Jones</v>
      </c>
      <c r="D211" s="76" t="s">
        <v>1129</v>
      </c>
      <c r="E211" s="53" t="s">
        <v>932</v>
      </c>
      <c r="F211" s="54"/>
      <c r="G211" s="55">
        <v>1550.0</v>
      </c>
      <c r="DN211" s="57">
        <v>1.0</v>
      </c>
    </row>
    <row r="212">
      <c r="A212" s="75" t="s">
        <v>1130</v>
      </c>
      <c r="B212" s="75">
        <v>52.0</v>
      </c>
      <c r="C212" s="75" t="str">
        <f>vlookup(left(A212,2),Brands!$A$1:$B$36,2,0)</f>
        <v>David Jones</v>
      </c>
      <c r="D212" s="76" t="s">
        <v>1111</v>
      </c>
      <c r="E212" s="53" t="s">
        <v>852</v>
      </c>
      <c r="F212" s="54"/>
      <c r="G212" s="55">
        <v>1475.0</v>
      </c>
      <c r="DN212" s="88">
        <v>1.0</v>
      </c>
    </row>
    <row r="213">
      <c r="A213" s="75" t="s">
        <v>1131</v>
      </c>
      <c r="B213" s="75">
        <v>56.0</v>
      </c>
      <c r="C213" s="75" t="str">
        <f>vlookup(left(A213,2),Brands!$A$1:$B$36,2,0)</f>
        <v>David Jones</v>
      </c>
      <c r="D213" s="76" t="s">
        <v>1132</v>
      </c>
      <c r="E213" s="53" t="s">
        <v>852</v>
      </c>
      <c r="F213" s="54"/>
      <c r="G213" s="55">
        <v>1250.0</v>
      </c>
      <c r="DN213" s="57">
        <v>1.0</v>
      </c>
    </row>
    <row r="214">
      <c r="A214" s="75" t="s">
        <v>1133</v>
      </c>
      <c r="B214" s="75">
        <v>55.0</v>
      </c>
      <c r="C214" s="75" t="str">
        <f>vlookup(left(A214,2),Brands!$A$1:$B$36,2,0)</f>
        <v>David Jones</v>
      </c>
      <c r="D214" s="76" t="s">
        <v>1132</v>
      </c>
      <c r="E214" s="53" t="s">
        <v>932</v>
      </c>
      <c r="F214" s="54"/>
      <c r="G214" s="55">
        <v>1375.0</v>
      </c>
      <c r="DN214" s="57">
        <v>1.0</v>
      </c>
    </row>
    <row r="215">
      <c r="A215" s="75" t="s">
        <v>1134</v>
      </c>
      <c r="B215" s="75">
        <v>51.0</v>
      </c>
      <c r="C215" s="75" t="str">
        <f>vlookup(left(A215,2),Brands!$A$1:$B$36,2,0)</f>
        <v>David Jones</v>
      </c>
      <c r="D215" s="76" t="s">
        <v>1135</v>
      </c>
      <c r="E215" s="53" t="s">
        <v>852</v>
      </c>
      <c r="F215" s="76" t="s">
        <v>1076</v>
      </c>
      <c r="G215" s="55"/>
      <c r="DN215" s="77">
        <v>0.0</v>
      </c>
    </row>
    <row r="216">
      <c r="A216" s="75" t="s">
        <v>1136</v>
      </c>
      <c r="B216" s="75">
        <v>51.0</v>
      </c>
      <c r="C216" s="75" t="str">
        <f>vlookup(left(A216,2),Brands!$A$1:$B$36,2,0)</f>
        <v>David Jones</v>
      </c>
      <c r="D216" s="76" t="s">
        <v>1086</v>
      </c>
      <c r="E216" s="53" t="s">
        <v>1137</v>
      </c>
      <c r="F216" s="54"/>
      <c r="G216" s="55">
        <v>1425.0</v>
      </c>
      <c r="DN216" s="57">
        <v>1.0</v>
      </c>
    </row>
    <row r="217">
      <c r="A217" s="75" t="s">
        <v>1138</v>
      </c>
      <c r="B217" s="75">
        <v>51.0</v>
      </c>
      <c r="C217" s="75" t="str">
        <f>vlookup(left(A217,2),Brands!$A$1:$B$36,2,0)</f>
        <v>David Jones</v>
      </c>
      <c r="D217" s="76" t="s">
        <v>1062</v>
      </c>
      <c r="E217" s="53" t="s">
        <v>932</v>
      </c>
      <c r="F217" s="54"/>
      <c r="G217" s="55">
        <v>1425.0</v>
      </c>
      <c r="DN217" s="57">
        <v>1.0</v>
      </c>
    </row>
    <row r="218">
      <c r="A218" s="75" t="s">
        <v>1139</v>
      </c>
      <c r="B218" s="75">
        <v>50.0</v>
      </c>
      <c r="C218" s="75" t="str">
        <f>vlookup(left(A218,2),Brands!$A$1:$B$36,2,0)</f>
        <v>David Jones</v>
      </c>
      <c r="D218" s="76" t="s">
        <v>1100</v>
      </c>
      <c r="E218" s="53" t="s">
        <v>1140</v>
      </c>
      <c r="F218" s="54"/>
      <c r="G218" s="55">
        <v>1425.0</v>
      </c>
      <c r="DN218" s="57">
        <v>1.0</v>
      </c>
    </row>
    <row r="219">
      <c r="A219" s="75" t="s">
        <v>1141</v>
      </c>
      <c r="B219" s="75">
        <v>53.0</v>
      </c>
      <c r="C219" s="75" t="str">
        <f>vlookup(left(A219,2),Brands!$A$1:$B$36,2,0)</f>
        <v>David Jones</v>
      </c>
      <c r="D219" s="76" t="s">
        <v>1064</v>
      </c>
      <c r="E219" s="53" t="s">
        <v>932</v>
      </c>
      <c r="F219" s="54"/>
      <c r="G219" s="55">
        <v>1990.0</v>
      </c>
      <c r="DN219" s="57">
        <v>1.0</v>
      </c>
    </row>
    <row r="220">
      <c r="A220" s="75" t="s">
        <v>1142</v>
      </c>
      <c r="B220" s="75">
        <v>53.0</v>
      </c>
      <c r="C220" s="75" t="str">
        <f>vlookup(left(A220,2),Brands!$A$1:$B$36,2,0)</f>
        <v>David Jones</v>
      </c>
      <c r="D220" s="76" t="s">
        <v>1125</v>
      </c>
      <c r="E220" s="53" t="s">
        <v>932</v>
      </c>
      <c r="F220" s="54"/>
      <c r="G220" s="55">
        <v>1990.0</v>
      </c>
      <c r="DN220" s="57">
        <v>1.0</v>
      </c>
    </row>
    <row r="221">
      <c r="A221" s="75" t="s">
        <v>1143</v>
      </c>
      <c r="B221" s="75">
        <v>52.0</v>
      </c>
      <c r="C221" s="75" t="str">
        <f>vlookup(left(A221,2),Brands!$A$1:$B$36,2,0)</f>
        <v>David Jones</v>
      </c>
      <c r="D221" s="76" t="s">
        <v>1079</v>
      </c>
      <c r="E221" s="53" t="s">
        <v>932</v>
      </c>
      <c r="F221" s="54"/>
      <c r="G221" s="55">
        <v>2625.0</v>
      </c>
      <c r="DN221" s="57">
        <v>1.0</v>
      </c>
    </row>
    <row r="222">
      <c r="A222" s="75" t="s">
        <v>1144</v>
      </c>
      <c r="B222" s="75">
        <v>54.0</v>
      </c>
      <c r="C222" s="75" t="str">
        <f>vlookup(left(A222,2),Brands!$A$1:$B$36,2,0)</f>
        <v>David Jones</v>
      </c>
      <c r="D222" s="76" t="s">
        <v>1145</v>
      </c>
      <c r="E222" s="53" t="s">
        <v>852</v>
      </c>
      <c r="F222" s="54"/>
      <c r="G222" s="55">
        <v>1700.0</v>
      </c>
      <c r="DN222" s="57">
        <v>1.0</v>
      </c>
    </row>
    <row r="223">
      <c r="A223" s="75" t="s">
        <v>1146</v>
      </c>
      <c r="B223" s="75">
        <v>56.0</v>
      </c>
      <c r="C223" s="75" t="str">
        <f>vlookup(left(A223,2),Brands!$A$1:$B$36,2,0)</f>
        <v>David Jones</v>
      </c>
      <c r="D223" s="76" t="s">
        <v>1062</v>
      </c>
      <c r="E223" s="53" t="s">
        <v>932</v>
      </c>
      <c r="F223" s="54"/>
      <c r="G223" s="55">
        <v>1650.0</v>
      </c>
      <c r="DN223" s="57">
        <v>1.0</v>
      </c>
    </row>
    <row r="224">
      <c r="A224" s="75" t="s">
        <v>1147</v>
      </c>
      <c r="B224" s="75">
        <v>56.0</v>
      </c>
      <c r="C224" s="75" t="str">
        <f>vlookup(left(A224,2),Brands!$A$1:$B$36,2,0)</f>
        <v>David Jones</v>
      </c>
      <c r="D224" s="76" t="s">
        <v>1145</v>
      </c>
      <c r="E224" s="53" t="s">
        <v>1137</v>
      </c>
      <c r="F224" s="54"/>
      <c r="G224" s="55">
        <v>1650.0</v>
      </c>
      <c r="DN224" s="57">
        <v>1.0</v>
      </c>
    </row>
    <row r="225">
      <c r="A225" s="75" t="s">
        <v>1148</v>
      </c>
      <c r="B225" s="75">
        <v>53.0</v>
      </c>
      <c r="C225" s="75" t="str">
        <f>vlookup(left(A225,2),Brands!$A$1:$B$36,2,0)</f>
        <v>David Jones</v>
      </c>
      <c r="D225" s="76" t="s">
        <v>867</v>
      </c>
      <c r="E225" s="53" t="s">
        <v>932</v>
      </c>
      <c r="F225" s="54"/>
      <c r="G225" s="55">
        <v>1625.0</v>
      </c>
      <c r="DN225" s="77">
        <v>0.0</v>
      </c>
    </row>
    <row r="226">
      <c r="A226" s="75" t="s">
        <v>1149</v>
      </c>
      <c r="B226" s="75">
        <v>53.0</v>
      </c>
      <c r="C226" s="75" t="str">
        <f>vlookup(left(A226,2),Brands!$A$1:$B$36,2,0)</f>
        <v>David Jones</v>
      </c>
      <c r="D226" s="76" t="s">
        <v>1125</v>
      </c>
      <c r="E226" s="53" t="s">
        <v>932</v>
      </c>
      <c r="F226" s="54"/>
      <c r="G226" s="55">
        <v>1725.0</v>
      </c>
      <c r="DN226" s="57">
        <v>1.0</v>
      </c>
    </row>
    <row r="227">
      <c r="A227" s="75" t="s">
        <v>1150</v>
      </c>
      <c r="B227" s="75">
        <v>53.0</v>
      </c>
      <c r="C227" s="75" t="str">
        <f>vlookup(left(A227,2),Brands!$A$1:$B$36,2,0)</f>
        <v>David Jones</v>
      </c>
      <c r="D227" s="76" t="s">
        <v>1151</v>
      </c>
      <c r="E227" s="53" t="s">
        <v>858</v>
      </c>
      <c r="F227" s="54"/>
      <c r="G227" s="55">
        <v>2480.0</v>
      </c>
      <c r="DN227" s="57">
        <v>1.0</v>
      </c>
    </row>
    <row r="228">
      <c r="A228" s="75" t="s">
        <v>1152</v>
      </c>
      <c r="B228" s="75">
        <v>46.0</v>
      </c>
      <c r="C228" s="75" t="str">
        <f>vlookup(left(A228,2),Brands!$A$1:$B$36,2,0)</f>
        <v>David Jones</v>
      </c>
      <c r="D228" s="76" t="s">
        <v>1153</v>
      </c>
      <c r="E228" s="53" t="s">
        <v>946</v>
      </c>
      <c r="F228" s="54"/>
      <c r="G228" s="55">
        <v>2480.0</v>
      </c>
      <c r="DN228" s="57">
        <v>1.0</v>
      </c>
    </row>
    <row r="229">
      <c r="A229" s="75" t="s">
        <v>1154</v>
      </c>
      <c r="B229" s="75">
        <v>47.0</v>
      </c>
      <c r="C229" s="75" t="str">
        <f>vlookup(left(A229,2),Brands!$A$1:$B$36,2,0)</f>
        <v>David Jones</v>
      </c>
      <c r="D229" s="76" t="s">
        <v>1096</v>
      </c>
      <c r="E229" s="53" t="s">
        <v>858</v>
      </c>
      <c r="F229" s="54"/>
      <c r="G229" s="55">
        <v>2225.0</v>
      </c>
      <c r="DN229" s="57">
        <v>1.0</v>
      </c>
    </row>
    <row r="230">
      <c r="A230" s="75" t="s">
        <v>1155</v>
      </c>
      <c r="B230" s="75">
        <v>51.0</v>
      </c>
      <c r="C230" s="75" t="str">
        <f>vlookup(left(A230,2),Brands!$A$1:$B$36,2,0)</f>
        <v>David Jones</v>
      </c>
      <c r="D230" s="76" t="s">
        <v>1056</v>
      </c>
      <c r="E230" s="53" t="s">
        <v>946</v>
      </c>
      <c r="F230" s="54"/>
      <c r="G230" s="55">
        <v>2480.0</v>
      </c>
      <c r="DN230" s="57">
        <v>1.0</v>
      </c>
    </row>
    <row r="231">
      <c r="A231" s="75" t="s">
        <v>1156</v>
      </c>
      <c r="B231" s="75">
        <v>51.0</v>
      </c>
      <c r="C231" s="75" t="str">
        <f>vlookup(left(A231,2),Brands!$A$1:$B$36,2,0)</f>
        <v>David Jones</v>
      </c>
      <c r="D231" s="76" t="s">
        <v>1056</v>
      </c>
      <c r="E231" s="53" t="s">
        <v>946</v>
      </c>
      <c r="F231" s="54"/>
      <c r="G231" s="55">
        <v>2480.0</v>
      </c>
      <c r="DN231" s="57">
        <v>1.0</v>
      </c>
    </row>
    <row r="232" ht="17.25" customHeight="1">
      <c r="A232" s="75" t="s">
        <v>1157</v>
      </c>
      <c r="B232" s="75">
        <v>51.0</v>
      </c>
      <c r="C232" s="75" t="str">
        <f>vlookup(left(A232,2),Brands!$A$1:$B$36,2,0)</f>
        <v>David Jones</v>
      </c>
      <c r="D232" s="76" t="s">
        <v>1092</v>
      </c>
      <c r="E232" s="53" t="s">
        <v>946</v>
      </c>
      <c r="F232" s="54"/>
      <c r="G232" s="55">
        <v>2480.0</v>
      </c>
      <c r="DN232" s="91">
        <v>1.0</v>
      </c>
    </row>
    <row r="233">
      <c r="A233" s="75" t="s">
        <v>1158</v>
      </c>
      <c r="B233" s="75">
        <v>51.0</v>
      </c>
      <c r="C233" s="75" t="str">
        <f>vlookup(left(A233,2),Brands!$A$1:$B$36,2,0)</f>
        <v>David Jones</v>
      </c>
      <c r="D233" s="76" t="s">
        <v>867</v>
      </c>
      <c r="E233" s="53" t="s">
        <v>946</v>
      </c>
      <c r="F233" s="54"/>
      <c r="G233" s="55">
        <v>2480.0</v>
      </c>
      <c r="DN233" s="92">
        <v>0.0</v>
      </c>
    </row>
    <row r="234">
      <c r="A234" s="75" t="s">
        <v>1159</v>
      </c>
      <c r="B234" s="75">
        <v>51.0</v>
      </c>
      <c r="C234" s="75" t="str">
        <f>vlookup(left(A234,2),Brands!$A$1:$B$36,2,0)</f>
        <v>David Jones</v>
      </c>
      <c r="D234" s="76" t="s">
        <v>1123</v>
      </c>
      <c r="E234" s="53" t="s">
        <v>858</v>
      </c>
      <c r="F234" s="54"/>
      <c r="G234" s="55">
        <v>2480.0</v>
      </c>
      <c r="DN234" s="92">
        <v>0.0</v>
      </c>
    </row>
    <row r="235">
      <c r="A235" s="75" t="s">
        <v>1160</v>
      </c>
      <c r="B235" s="75">
        <v>54.0</v>
      </c>
      <c r="C235" s="75" t="str">
        <f>vlookup(left(A235,2),Brands!$A$1:$B$36,2,0)</f>
        <v>David Jones</v>
      </c>
      <c r="D235" s="76" t="s">
        <v>1107</v>
      </c>
      <c r="E235" s="53" t="s">
        <v>858</v>
      </c>
      <c r="F235" s="54"/>
      <c r="G235" s="55">
        <v>2980.0</v>
      </c>
      <c r="DN235" s="91">
        <v>1.0</v>
      </c>
    </row>
    <row r="236">
      <c r="A236" s="75" t="s">
        <v>1161</v>
      </c>
      <c r="B236" s="75">
        <v>53.0</v>
      </c>
      <c r="C236" s="75" t="str">
        <f>vlookup(left(A236,2),Brands!$A$1:$B$36,2,0)</f>
        <v>David Jones</v>
      </c>
      <c r="D236" s="76" t="s">
        <v>1081</v>
      </c>
      <c r="E236" s="53" t="s">
        <v>932</v>
      </c>
      <c r="F236" s="54"/>
      <c r="G236" s="55">
        <v>3480.0</v>
      </c>
      <c r="DN236" s="91">
        <v>1.0</v>
      </c>
    </row>
    <row r="237">
      <c r="A237" s="75" t="s">
        <v>1162</v>
      </c>
      <c r="B237" s="75">
        <v>54.0</v>
      </c>
      <c r="C237" s="75" t="str">
        <f>vlookup(left(A237,2),Brands!$A$1:$B$36,2,0)</f>
        <v>David Jones</v>
      </c>
      <c r="D237" s="76" t="s">
        <v>867</v>
      </c>
      <c r="E237" s="53" t="s">
        <v>1050</v>
      </c>
      <c r="F237" s="54"/>
      <c r="G237" s="55">
        <v>3980.0</v>
      </c>
      <c r="DN237" s="92">
        <v>0.0</v>
      </c>
    </row>
    <row r="238">
      <c r="A238" s="75" t="s">
        <v>1163</v>
      </c>
      <c r="B238" s="75">
        <v>54.0</v>
      </c>
      <c r="C238" s="75" t="str">
        <f>vlookup(left(A238,2),Brands!$A$1:$B$36,2,0)</f>
        <v>David Jones</v>
      </c>
      <c r="D238" s="76" t="s">
        <v>1164</v>
      </c>
      <c r="E238" s="53" t="s">
        <v>1050</v>
      </c>
      <c r="F238" s="54"/>
      <c r="G238" s="55">
        <v>3980.0</v>
      </c>
      <c r="DN238" s="91">
        <v>1.0</v>
      </c>
    </row>
    <row r="239">
      <c r="A239" s="75" t="s">
        <v>1165</v>
      </c>
      <c r="B239" s="75">
        <v>54.0</v>
      </c>
      <c r="C239" s="75" t="str">
        <f>vlookup(left(A239,2),Brands!$A$1:$B$36,2,0)</f>
        <v>David Jones</v>
      </c>
      <c r="D239" s="76" t="s">
        <v>1164</v>
      </c>
      <c r="E239" s="53" t="s">
        <v>856</v>
      </c>
      <c r="F239" s="54"/>
      <c r="G239" s="83">
        <v>2725.0</v>
      </c>
      <c r="DN239" s="91">
        <v>1.0</v>
      </c>
    </row>
    <row r="240">
      <c r="A240" s="75" t="s">
        <v>1166</v>
      </c>
      <c r="B240" s="75">
        <v>49.0</v>
      </c>
      <c r="C240" s="75" t="str">
        <f>vlookup(left(A240,2),Brands!$A$1:$B$36,2,0)</f>
        <v>David Jones</v>
      </c>
      <c r="D240" s="76" t="s">
        <v>1145</v>
      </c>
      <c r="E240" s="53" t="s">
        <v>852</v>
      </c>
      <c r="F240" s="54"/>
      <c r="G240" s="55">
        <v>3200.0</v>
      </c>
      <c r="DN240" s="91">
        <v>1.0</v>
      </c>
    </row>
    <row r="241">
      <c r="A241" s="75" t="s">
        <v>1167</v>
      </c>
      <c r="B241" s="75">
        <v>49.0</v>
      </c>
      <c r="C241" s="75" t="str">
        <f>vlookup(left(A241,2),Brands!$A$1:$B$36,2,0)</f>
        <v>David Jones</v>
      </c>
      <c r="D241" s="76" t="s">
        <v>1084</v>
      </c>
      <c r="E241" s="53" t="s">
        <v>852</v>
      </c>
      <c r="F241" s="54"/>
      <c r="G241" s="55">
        <v>3200.0</v>
      </c>
      <c r="DN241" s="91">
        <v>1.0</v>
      </c>
    </row>
    <row r="242">
      <c r="A242" s="75" t="s">
        <v>1168</v>
      </c>
      <c r="B242" s="75">
        <v>47.0</v>
      </c>
      <c r="C242" s="75" t="str">
        <f>vlookup(left(A242,2),Brands!$A$1:$B$36,2,0)</f>
        <v>David Jones</v>
      </c>
      <c r="D242" s="76" t="s">
        <v>1169</v>
      </c>
      <c r="E242" s="53" t="s">
        <v>858</v>
      </c>
      <c r="F242" s="54"/>
      <c r="G242" s="55">
        <v>4225.0</v>
      </c>
      <c r="DN242" s="91">
        <v>1.0</v>
      </c>
    </row>
    <row r="243">
      <c r="A243" s="75" t="s">
        <v>1170</v>
      </c>
      <c r="B243" s="75">
        <v>47.0</v>
      </c>
      <c r="C243" s="75" t="str">
        <f>vlookup(left(A243,2),Brands!$A$1:$B$36,2,0)</f>
        <v>David Jones</v>
      </c>
      <c r="D243" s="76" t="s">
        <v>1102</v>
      </c>
      <c r="E243" s="53" t="s">
        <v>932</v>
      </c>
      <c r="F243" s="54"/>
      <c r="G243" s="55">
        <v>4225.0</v>
      </c>
      <c r="DN243" s="91">
        <v>1.0</v>
      </c>
    </row>
    <row r="244">
      <c r="A244" s="75" t="s">
        <v>1171</v>
      </c>
      <c r="B244" s="75">
        <v>51.0</v>
      </c>
      <c r="C244" s="75" t="str">
        <f>vlookup(left(A244,2),Brands!$A$1:$B$36,2,0)</f>
        <v>David Jones</v>
      </c>
      <c r="D244" s="76" t="s">
        <v>1153</v>
      </c>
      <c r="E244" s="53" t="s">
        <v>852</v>
      </c>
      <c r="F244" s="54"/>
      <c r="G244" s="55">
        <v>4225.0</v>
      </c>
      <c r="DN244" s="91">
        <v>1.0</v>
      </c>
    </row>
    <row r="245">
      <c r="A245" s="75" t="s">
        <v>1172</v>
      </c>
      <c r="B245" s="75">
        <v>51.0</v>
      </c>
      <c r="C245" s="75" t="str">
        <f>vlookup(left(A245,2),Brands!$A$1:$B$36,2,0)</f>
        <v>David Jones</v>
      </c>
      <c r="D245" s="76" t="s">
        <v>1153</v>
      </c>
      <c r="E245" s="53" t="s">
        <v>932</v>
      </c>
      <c r="F245" s="54"/>
      <c r="G245" s="55">
        <v>4225.0</v>
      </c>
      <c r="DN245" s="91">
        <v>1.0</v>
      </c>
    </row>
    <row r="246">
      <c r="A246" s="75" t="s">
        <v>1173</v>
      </c>
      <c r="B246" s="75">
        <v>52.0</v>
      </c>
      <c r="C246" s="75" t="str">
        <f>vlookup(left(A246,2),Brands!$A$1:$B$36,2,0)</f>
        <v>David Jones</v>
      </c>
      <c r="D246" s="76" t="s">
        <v>867</v>
      </c>
      <c r="E246" s="53" t="s">
        <v>1050</v>
      </c>
      <c r="F246" s="54"/>
      <c r="G246" s="55">
        <v>3750.0</v>
      </c>
      <c r="DN246" s="92">
        <v>0.0</v>
      </c>
    </row>
    <row r="247">
      <c r="A247" s="75" t="s">
        <v>1174</v>
      </c>
      <c r="B247" s="75">
        <v>52.0</v>
      </c>
      <c r="C247" s="75" t="str">
        <f>vlookup(left(A247,2),Brands!$A$1:$B$36,2,0)</f>
        <v>David Jones</v>
      </c>
      <c r="D247" s="76" t="s">
        <v>867</v>
      </c>
      <c r="E247" s="53" t="s">
        <v>1050</v>
      </c>
      <c r="F247" s="54"/>
      <c r="G247" s="55">
        <v>3750.0</v>
      </c>
      <c r="DN247" s="92">
        <v>0.0</v>
      </c>
    </row>
    <row r="248">
      <c r="A248" s="75" t="s">
        <v>1175</v>
      </c>
      <c r="B248" s="75">
        <v>50.0</v>
      </c>
      <c r="C248" s="75" t="str">
        <f>vlookup(left(A248,2),Brands!$A$1:$B$36,2,0)</f>
        <v>David Jones</v>
      </c>
      <c r="D248" s="76" t="s">
        <v>1079</v>
      </c>
      <c r="E248" s="53" t="s">
        <v>852</v>
      </c>
      <c r="F248" s="54"/>
      <c r="G248" s="55">
        <v>3200.0</v>
      </c>
      <c r="DN248" s="91">
        <v>1.0</v>
      </c>
    </row>
    <row r="249">
      <c r="A249" s="75" t="s">
        <v>1176</v>
      </c>
      <c r="B249" s="75">
        <v>54.0</v>
      </c>
      <c r="C249" s="75" t="str">
        <f>vlookup(left(A249,2),Brands!$A$1:$B$36,2,0)</f>
        <v>David Jones</v>
      </c>
      <c r="D249" s="76" t="s">
        <v>1074</v>
      </c>
      <c r="E249" s="53" t="s">
        <v>852</v>
      </c>
      <c r="F249" s="54"/>
      <c r="G249" s="55">
        <v>3200.0</v>
      </c>
      <c r="DN249" s="91">
        <v>1.0</v>
      </c>
    </row>
    <row r="250">
      <c r="A250" s="75" t="s">
        <v>1177</v>
      </c>
      <c r="B250" s="75">
        <v>51.0</v>
      </c>
      <c r="C250" s="75" t="str">
        <f>vlookup(left(A250,2),Brands!$A$1:$B$36,2,0)</f>
        <v>David Jones</v>
      </c>
      <c r="D250" s="76" t="s">
        <v>1092</v>
      </c>
      <c r="E250" s="53" t="s">
        <v>858</v>
      </c>
      <c r="F250" s="54"/>
      <c r="G250" s="55">
        <v>1800.0</v>
      </c>
      <c r="DN250" s="91">
        <v>1.0</v>
      </c>
    </row>
    <row r="251">
      <c r="A251" s="75" t="s">
        <v>1178</v>
      </c>
      <c r="B251" s="75">
        <v>54.0</v>
      </c>
      <c r="C251" s="75" t="str">
        <f>vlookup(left(A251,2),Brands!$A$1:$B$36,2,0)</f>
        <v>David Jones</v>
      </c>
      <c r="D251" s="76" t="s">
        <v>1151</v>
      </c>
      <c r="E251" s="53" t="s">
        <v>869</v>
      </c>
      <c r="F251" s="54"/>
      <c r="G251" s="55">
        <v>3200.0</v>
      </c>
      <c r="DN251" s="91">
        <v>1.0</v>
      </c>
    </row>
    <row r="252">
      <c r="A252" s="75" t="s">
        <v>1179</v>
      </c>
      <c r="B252" s="75">
        <v>54.0</v>
      </c>
      <c r="C252" s="75" t="str">
        <f>vlookup(left(A252,2),Brands!$A$1:$B$36,2,0)</f>
        <v>David Jones</v>
      </c>
      <c r="D252" s="76" t="s">
        <v>1151</v>
      </c>
      <c r="E252" s="53" t="s">
        <v>869</v>
      </c>
      <c r="F252" s="54"/>
      <c r="G252" s="55">
        <v>3200.0</v>
      </c>
      <c r="DN252" s="91">
        <v>1.0</v>
      </c>
    </row>
    <row r="253">
      <c r="A253" s="75" t="s">
        <v>1180</v>
      </c>
      <c r="B253" s="75">
        <v>47.0</v>
      </c>
      <c r="C253" s="75" t="str">
        <f>vlookup(left(A253,2),Brands!$A$1:$B$36,2,0)</f>
        <v>David Jones</v>
      </c>
      <c r="D253" s="76" t="s">
        <v>1153</v>
      </c>
      <c r="E253" s="53" t="s">
        <v>852</v>
      </c>
      <c r="F253" s="54"/>
      <c r="G253" s="55">
        <v>3200.0</v>
      </c>
      <c r="DN253" s="91">
        <v>1.0</v>
      </c>
    </row>
    <row r="254">
      <c r="A254" s="75" t="s">
        <v>1181</v>
      </c>
      <c r="B254" s="75">
        <v>47.0</v>
      </c>
      <c r="C254" s="75" t="str">
        <f>vlookup(left(A254,2),Brands!$A$1:$B$36,2,0)</f>
        <v>David Jones</v>
      </c>
      <c r="D254" s="76" t="s">
        <v>1107</v>
      </c>
      <c r="E254" s="53" t="s">
        <v>852</v>
      </c>
      <c r="F254" s="54"/>
      <c r="G254" s="55">
        <v>3200.0</v>
      </c>
      <c r="DN254" s="91">
        <v>1.0</v>
      </c>
    </row>
    <row r="255">
      <c r="A255" s="75" t="s">
        <v>1182</v>
      </c>
      <c r="B255" s="75">
        <v>47.0</v>
      </c>
      <c r="C255" s="75" t="str">
        <f>vlookup(left(A255,2),Brands!$A$1:$B$36,2,0)</f>
        <v>David Jones</v>
      </c>
      <c r="D255" s="76" t="s">
        <v>1169</v>
      </c>
      <c r="E255" s="53" t="s">
        <v>852</v>
      </c>
      <c r="F255" s="54"/>
      <c r="G255" s="55">
        <v>3725.0</v>
      </c>
      <c r="DN255" s="91">
        <v>1.0</v>
      </c>
    </row>
    <row r="256">
      <c r="A256" s="75" t="s">
        <v>1183</v>
      </c>
      <c r="B256" s="75">
        <v>53.0</v>
      </c>
      <c r="C256" s="75" t="str">
        <f>vlookup(left(A256,2),Brands!$A$1:$B$36,2,0)</f>
        <v>David Jones</v>
      </c>
      <c r="D256" s="76" t="s">
        <v>1105</v>
      </c>
      <c r="E256" s="53" t="s">
        <v>858</v>
      </c>
      <c r="F256" s="54"/>
      <c r="G256" s="55">
        <v>4225.0</v>
      </c>
      <c r="DN256" s="91">
        <v>1.0</v>
      </c>
    </row>
    <row r="257">
      <c r="A257" s="75" t="s">
        <v>1184</v>
      </c>
      <c r="B257" s="75">
        <v>48.0</v>
      </c>
      <c r="C257" s="75" t="str">
        <f>vlookup(left(A257,2),Brands!$A$1:$B$36,2,0)</f>
        <v>David Jones</v>
      </c>
      <c r="D257" s="76" t="s">
        <v>1164</v>
      </c>
      <c r="E257" s="53" t="s">
        <v>932</v>
      </c>
      <c r="F257" s="54"/>
      <c r="G257" s="55">
        <v>2725.0</v>
      </c>
      <c r="DN257" s="91">
        <v>1.0</v>
      </c>
    </row>
    <row r="258">
      <c r="A258" s="75" t="s">
        <v>1185</v>
      </c>
      <c r="B258" s="75">
        <v>61.0</v>
      </c>
      <c r="C258" s="75" t="str">
        <f>vlookup(left(A258,2),Brands!$A$1:$B$36,2,0)</f>
        <v>David Jones</v>
      </c>
      <c r="D258" s="76" t="s">
        <v>954</v>
      </c>
      <c r="E258" s="53" t="s">
        <v>885</v>
      </c>
      <c r="F258" s="54"/>
      <c r="G258" s="55">
        <v>3990.0</v>
      </c>
      <c r="DN258" s="91">
        <v>1.0</v>
      </c>
    </row>
    <row r="259">
      <c r="A259" s="75" t="s">
        <v>1186</v>
      </c>
      <c r="B259" s="75">
        <v>54.0</v>
      </c>
      <c r="C259" s="75" t="str">
        <f>vlookup(left(A259,2),Brands!$A$1:$B$36,2,0)</f>
        <v>David Jones</v>
      </c>
      <c r="D259" s="76" t="s">
        <v>954</v>
      </c>
      <c r="E259" s="53" t="s">
        <v>885</v>
      </c>
      <c r="F259" s="54"/>
      <c r="G259" s="55">
        <v>3990.0</v>
      </c>
      <c r="DN259" s="91">
        <v>1.0</v>
      </c>
    </row>
    <row r="260">
      <c r="A260" s="75" t="s">
        <v>1187</v>
      </c>
      <c r="B260" s="75">
        <v>49.0</v>
      </c>
      <c r="C260" s="75" t="str">
        <f>vlookup(left(A260,2),Brands!$A$1:$B$36,2,0)</f>
        <v>David Jones</v>
      </c>
      <c r="D260" s="76" t="s">
        <v>1092</v>
      </c>
      <c r="E260" s="53" t="s">
        <v>858</v>
      </c>
      <c r="F260" s="54"/>
      <c r="G260" s="55">
        <v>4225.0</v>
      </c>
      <c r="DN260" s="91">
        <v>1.0</v>
      </c>
    </row>
    <row r="261">
      <c r="A261" s="75" t="s">
        <v>1188</v>
      </c>
      <c r="B261" s="75">
        <v>49.0</v>
      </c>
      <c r="C261" s="75" t="str">
        <f>vlookup(left(A261,2),Brands!$A$1:$B$36,2,0)</f>
        <v>David Jones</v>
      </c>
      <c r="D261" s="76" t="s">
        <v>1060</v>
      </c>
      <c r="E261" s="53" t="s">
        <v>932</v>
      </c>
      <c r="F261" s="54"/>
      <c r="G261" s="55">
        <v>5225.0</v>
      </c>
      <c r="DN261" s="91">
        <v>1.0</v>
      </c>
    </row>
    <row r="262">
      <c r="A262" s="75" t="s">
        <v>1189</v>
      </c>
      <c r="B262" s="75">
        <v>59.0</v>
      </c>
      <c r="C262" s="75" t="str">
        <f>vlookup(left(A262,2),Brands!$A$1:$B$36,2,0)</f>
        <v>David Jones</v>
      </c>
      <c r="D262" s="99" t="s">
        <v>1190</v>
      </c>
      <c r="E262" s="53" t="s">
        <v>885</v>
      </c>
      <c r="F262" s="54"/>
      <c r="G262" s="55">
        <v>4590.0</v>
      </c>
      <c r="DN262" s="91">
        <v>1.0</v>
      </c>
    </row>
    <row r="263">
      <c r="A263" s="75" t="s">
        <v>1191</v>
      </c>
      <c r="B263" s="75"/>
      <c r="C263" s="75" t="str">
        <f>vlookup(left(A263,2),Brands!$A$1:$B$36,2,0)</f>
        <v>David Jones</v>
      </c>
      <c r="D263" s="76" t="s">
        <v>915</v>
      </c>
      <c r="E263" s="53" t="s">
        <v>885</v>
      </c>
      <c r="F263" s="54"/>
      <c r="G263" s="83">
        <v>5725.0</v>
      </c>
      <c r="DN263" s="56">
        <v>1.0</v>
      </c>
    </row>
    <row r="264">
      <c r="A264" s="75" t="s">
        <v>1192</v>
      </c>
      <c r="B264" s="75">
        <v>55.0</v>
      </c>
      <c r="C264" s="75" t="s">
        <v>663</v>
      </c>
      <c r="D264" s="76" t="s">
        <v>1125</v>
      </c>
      <c r="E264" s="53" t="s">
        <v>932</v>
      </c>
      <c r="F264" s="54"/>
      <c r="G264" s="83">
        <v>3990.0</v>
      </c>
      <c r="DN264" s="56">
        <v>1.0</v>
      </c>
    </row>
    <row r="265">
      <c r="A265" s="75" t="s">
        <v>1193</v>
      </c>
      <c r="B265" s="75">
        <v>57.0</v>
      </c>
      <c r="C265" s="75" t="str">
        <f>vlookup(left(A265,2),Brands!$A$1:$B$36,2,0)</f>
        <v>David Jones</v>
      </c>
      <c r="D265" s="76" t="s">
        <v>954</v>
      </c>
      <c r="E265" s="53" t="s">
        <v>1194</v>
      </c>
      <c r="F265" s="54"/>
      <c r="G265" s="55">
        <v>3990.0</v>
      </c>
      <c r="DN265" s="78">
        <v>1.0</v>
      </c>
    </row>
    <row r="266">
      <c r="A266" s="75" t="s">
        <v>1195</v>
      </c>
      <c r="B266" s="75">
        <v>57.0</v>
      </c>
      <c r="C266" s="75" t="str">
        <f>vlookup(left(A266,2),Brands!$A$1:$B$36,2,0)</f>
        <v>David Jones</v>
      </c>
      <c r="D266" s="76" t="s">
        <v>954</v>
      </c>
      <c r="E266" s="53" t="s">
        <v>885</v>
      </c>
      <c r="F266" s="54"/>
      <c r="G266" s="55">
        <v>4950.0</v>
      </c>
      <c r="DN266" s="91">
        <v>1.0</v>
      </c>
    </row>
    <row r="267">
      <c r="A267" s="75" t="s">
        <v>1196</v>
      </c>
      <c r="B267" s="75">
        <v>55.0</v>
      </c>
      <c r="C267" s="75" t="str">
        <f>vlookup(left(A267,2),Brands!$A$1:$B$36,2,0)</f>
        <v>David Jones</v>
      </c>
      <c r="D267" s="95" t="s">
        <v>954</v>
      </c>
      <c r="E267" s="53" t="s">
        <v>885</v>
      </c>
      <c r="F267" s="54"/>
      <c r="G267" s="83">
        <v>4390.0</v>
      </c>
      <c r="DN267" s="91">
        <v>1.0</v>
      </c>
    </row>
    <row r="268">
      <c r="A268" s="75" t="s">
        <v>1197</v>
      </c>
      <c r="B268" s="75">
        <v>55.0</v>
      </c>
      <c r="C268" s="75" t="str">
        <f>vlookup(left(A268,2),Brands!$A$1:$B$36,2,0)</f>
        <v>David Jones</v>
      </c>
      <c r="D268" s="95" t="s">
        <v>954</v>
      </c>
      <c r="E268" s="53" t="s">
        <v>885</v>
      </c>
      <c r="F268" s="54"/>
      <c r="G268" s="83">
        <v>4390.0</v>
      </c>
      <c r="DN268" s="91">
        <v>1.0</v>
      </c>
    </row>
    <row r="269">
      <c r="A269" s="75" t="s">
        <v>1198</v>
      </c>
      <c r="B269" s="75">
        <v>54.0</v>
      </c>
      <c r="C269" s="75" t="str">
        <f>vlookup(left(A269,2),Brands!$A$1:$B$36,2,0)</f>
        <v>David Jones</v>
      </c>
      <c r="D269" s="76" t="s">
        <v>1107</v>
      </c>
      <c r="E269" s="53" t="s">
        <v>932</v>
      </c>
      <c r="F269" s="54"/>
      <c r="G269" s="55">
        <v>4725.0</v>
      </c>
      <c r="DN269" s="91">
        <v>1.0</v>
      </c>
    </row>
    <row r="270">
      <c r="A270" s="75" t="s">
        <v>1199</v>
      </c>
      <c r="B270" s="75">
        <v>54.0</v>
      </c>
      <c r="C270" s="75" t="str">
        <f>vlookup(left(A270,2),Brands!$A$1:$B$36,2,0)</f>
        <v>David Jones</v>
      </c>
      <c r="D270" s="76" t="s">
        <v>1169</v>
      </c>
      <c r="E270" s="53" t="s">
        <v>932</v>
      </c>
      <c r="F270" s="54"/>
      <c r="G270" s="55">
        <v>4725.0</v>
      </c>
      <c r="DN270" s="91">
        <v>1.0</v>
      </c>
    </row>
    <row r="271">
      <c r="A271" s="75" t="s">
        <v>1200</v>
      </c>
      <c r="B271" s="75">
        <v>53.0</v>
      </c>
      <c r="C271" s="75" t="str">
        <f>vlookup(left(A271,2),Brands!$A$1:$B$36,2,0)</f>
        <v>David Jones</v>
      </c>
      <c r="D271" s="76" t="s">
        <v>1132</v>
      </c>
      <c r="E271" s="53" t="s">
        <v>852</v>
      </c>
      <c r="F271" s="54"/>
      <c r="G271" s="55">
        <v>4225.0</v>
      </c>
      <c r="DN271" s="91">
        <v>1.0</v>
      </c>
    </row>
    <row r="272">
      <c r="A272" s="75" t="s">
        <v>1201</v>
      </c>
      <c r="B272" s="75">
        <v>49.0</v>
      </c>
      <c r="C272" s="75" t="s">
        <v>663</v>
      </c>
      <c r="D272" s="76" t="s">
        <v>1066</v>
      </c>
      <c r="E272" s="53" t="s">
        <v>852</v>
      </c>
      <c r="F272" s="54"/>
      <c r="G272" s="83">
        <v>4225.0</v>
      </c>
      <c r="DN272" s="56">
        <v>1.0</v>
      </c>
    </row>
    <row r="273">
      <c r="A273" s="75" t="s">
        <v>1202</v>
      </c>
      <c r="B273" s="75">
        <v>49.0</v>
      </c>
      <c r="C273" s="75" t="str">
        <f>vlookup(left(A273,2),Brands!$A$1:$B$36,2,0)</f>
        <v>David Jones</v>
      </c>
      <c r="D273" s="76" t="s">
        <v>1203</v>
      </c>
      <c r="E273" s="103" t="s">
        <v>852</v>
      </c>
      <c r="F273" s="54"/>
      <c r="G273" s="55">
        <v>4225.0</v>
      </c>
      <c r="DN273" s="78">
        <v>1.0</v>
      </c>
    </row>
    <row r="274">
      <c r="A274" s="75" t="s">
        <v>1204</v>
      </c>
      <c r="B274" s="75">
        <v>53.0</v>
      </c>
      <c r="C274" s="75" t="str">
        <f>vlookup(left(A274,2),Brands!$A$1:$B$36,2,0)</f>
        <v>David Jones</v>
      </c>
      <c r="D274" s="95" t="s">
        <v>1071</v>
      </c>
      <c r="E274" s="53" t="s">
        <v>932</v>
      </c>
      <c r="F274" s="54"/>
      <c r="G274" s="55">
        <v>4950.0</v>
      </c>
      <c r="DN274" s="91">
        <v>1.0</v>
      </c>
    </row>
    <row r="275">
      <c r="A275" s="75" t="s">
        <v>1205</v>
      </c>
      <c r="B275" s="75">
        <v>54.0</v>
      </c>
      <c r="C275" s="75" t="str">
        <f>vlookup(left(A275,2),Brands!$A$1:$B$36,2,0)</f>
        <v>David Jones</v>
      </c>
      <c r="D275" s="76" t="s">
        <v>1151</v>
      </c>
      <c r="E275" s="53" t="s">
        <v>932</v>
      </c>
      <c r="F275" s="54"/>
      <c r="G275" s="55">
        <v>5225.0</v>
      </c>
      <c r="DN275" s="91">
        <v>1.0</v>
      </c>
    </row>
    <row r="276">
      <c r="A276" s="75" t="s">
        <v>1206</v>
      </c>
      <c r="B276" s="75">
        <v>55.0</v>
      </c>
      <c r="C276" s="75" t="str">
        <f>vlookup(left(A276,2),Brands!$A$1:$B$36,2,0)</f>
        <v>David Jones</v>
      </c>
      <c r="D276" s="76" t="s">
        <v>1105</v>
      </c>
      <c r="E276" s="53" t="s">
        <v>858</v>
      </c>
      <c r="F276" s="54"/>
      <c r="G276" s="55">
        <v>5225.0</v>
      </c>
      <c r="DN276" s="91">
        <v>1.0</v>
      </c>
    </row>
    <row r="277">
      <c r="A277" s="75" t="s">
        <v>1207</v>
      </c>
      <c r="B277" s="75">
        <v>50.0</v>
      </c>
      <c r="C277" s="75" t="str">
        <f>vlookup(left(A277,2),Brands!$A$1:$B$36,2,0)</f>
        <v>David Jones</v>
      </c>
      <c r="D277" s="76" t="s">
        <v>1203</v>
      </c>
      <c r="E277" s="53" t="s">
        <v>852</v>
      </c>
      <c r="F277" s="54"/>
      <c r="G277" s="55">
        <v>3980.0</v>
      </c>
      <c r="DN277" s="91">
        <v>1.0</v>
      </c>
    </row>
    <row r="278">
      <c r="A278" s="75" t="s">
        <v>1208</v>
      </c>
      <c r="B278" s="75">
        <v>50.0</v>
      </c>
      <c r="C278" s="75" t="str">
        <f>vlookup(left(A278,2),Brands!$A$1:$B$36,2,0)</f>
        <v>David Jones</v>
      </c>
      <c r="D278" s="76" t="s">
        <v>867</v>
      </c>
      <c r="E278" s="53" t="s">
        <v>852</v>
      </c>
      <c r="F278" s="54"/>
      <c r="G278" s="55">
        <v>3980.0</v>
      </c>
      <c r="DN278" s="92">
        <v>0.0</v>
      </c>
    </row>
    <row r="279">
      <c r="A279" s="75" t="s">
        <v>1209</v>
      </c>
      <c r="B279" s="75">
        <v>50.0</v>
      </c>
      <c r="C279" s="75" t="str">
        <f>vlookup(left(A279,2),Brands!$A$1:$B$36,2,0)</f>
        <v>David Jones</v>
      </c>
      <c r="D279" s="76" t="s">
        <v>1129</v>
      </c>
      <c r="E279" s="53" t="s">
        <v>852</v>
      </c>
      <c r="F279" s="54"/>
      <c r="G279" s="55">
        <v>3980.0</v>
      </c>
      <c r="DN279" s="91">
        <v>1.0</v>
      </c>
    </row>
    <row r="280">
      <c r="A280" s="75" t="s">
        <v>1210</v>
      </c>
      <c r="B280" s="75">
        <v>55.0</v>
      </c>
      <c r="C280" s="75" t="str">
        <f>vlookup(left(#REF!,2),Brands!$A$1:$B$36,2,0)</f>
        <v>#REF!</v>
      </c>
      <c r="D280" s="76" t="s">
        <v>1102</v>
      </c>
      <c r="E280" s="53" t="s">
        <v>858</v>
      </c>
      <c r="F280" s="54"/>
      <c r="G280" s="55">
        <v>3875.0</v>
      </c>
      <c r="DN280" s="91">
        <v>1.0</v>
      </c>
    </row>
    <row r="281">
      <c r="A281" s="75" t="s">
        <v>1210</v>
      </c>
      <c r="B281" s="75">
        <v>55.0</v>
      </c>
      <c r="C281" s="75" t="str">
        <f>vlookup(left(A281,2),Brands!$A$1:$B$36,2,0)</f>
        <v>David Jones</v>
      </c>
      <c r="D281" s="76" t="s">
        <v>876</v>
      </c>
      <c r="E281" s="53"/>
      <c r="F281" s="54"/>
      <c r="G281" s="55"/>
      <c r="DN281" s="92">
        <v>1.0</v>
      </c>
    </row>
    <row r="282">
      <c r="A282" s="75" t="s">
        <v>1211</v>
      </c>
      <c r="B282" s="75">
        <v>58.0</v>
      </c>
      <c r="C282" s="75" t="str">
        <f>vlookup(left(A282,2),Brands!$A$1:$B$36,2,0)</f>
        <v>David Jones</v>
      </c>
      <c r="D282" s="76" t="s">
        <v>1190</v>
      </c>
      <c r="E282" s="53" t="s">
        <v>885</v>
      </c>
      <c r="F282" s="54"/>
      <c r="G282" s="55"/>
      <c r="DN282" s="91">
        <v>1.0</v>
      </c>
    </row>
    <row r="283">
      <c r="A283" s="75" t="s">
        <v>1212</v>
      </c>
      <c r="B283" s="75">
        <v>56.0</v>
      </c>
      <c r="C283" s="75" t="str">
        <f>vlookup(left(A283,2),Brands!$A$1:$B$36,2,0)</f>
        <v>David Jones</v>
      </c>
      <c r="D283" s="76" t="s">
        <v>1086</v>
      </c>
      <c r="E283" s="103" t="s">
        <v>852</v>
      </c>
      <c r="F283" s="54"/>
      <c r="G283" s="55">
        <v>3725.0</v>
      </c>
      <c r="DN283" s="91">
        <v>1.0</v>
      </c>
    </row>
    <row r="284">
      <c r="A284" s="75" t="s">
        <v>1213</v>
      </c>
      <c r="B284" s="75">
        <v>58.0</v>
      </c>
      <c r="C284" s="75" t="str">
        <f>vlookup(left(A284,2),Brands!$A$1:$B$36,2,0)</f>
        <v>David Jones</v>
      </c>
      <c r="D284" s="76" t="s">
        <v>1190</v>
      </c>
      <c r="E284" s="53" t="s">
        <v>885</v>
      </c>
      <c r="F284" s="54"/>
      <c r="G284" s="55"/>
      <c r="DN284" s="91">
        <v>1.0</v>
      </c>
    </row>
    <row r="285">
      <c r="A285" s="75" t="s">
        <v>1214</v>
      </c>
      <c r="B285" s="75">
        <v>58.0</v>
      </c>
      <c r="C285" s="75" t="str">
        <f>vlookup(left(A285,2),Brands!$A$1:$B$36,2,0)</f>
        <v>David Jones</v>
      </c>
      <c r="D285" s="76" t="s">
        <v>954</v>
      </c>
      <c r="E285" s="53" t="s">
        <v>885</v>
      </c>
      <c r="F285" s="54"/>
      <c r="G285" s="83">
        <v>5450.0</v>
      </c>
      <c r="DN285" s="91">
        <v>1.0</v>
      </c>
    </row>
    <row r="286">
      <c r="A286" s="75" t="s">
        <v>1215</v>
      </c>
      <c r="B286" s="75">
        <v>59.0</v>
      </c>
      <c r="C286" s="75" t="str">
        <f>vlookup(left(A286,2),Brands!$A$1:$B$36,2,0)</f>
        <v>David Jones</v>
      </c>
      <c r="D286" s="76" t="s">
        <v>1190</v>
      </c>
      <c r="E286" s="53" t="s">
        <v>885</v>
      </c>
      <c r="F286" s="54"/>
      <c r="G286" s="55"/>
      <c r="DN286" s="91">
        <v>1.0</v>
      </c>
    </row>
    <row r="287">
      <c r="A287" s="75" t="s">
        <v>1216</v>
      </c>
      <c r="B287" s="75">
        <v>57.0</v>
      </c>
      <c r="C287" s="75" t="str">
        <f>vlookup(left(A287,2),Brands!$A$1:$B$36,2,0)</f>
        <v>David Jones</v>
      </c>
      <c r="D287" s="76" t="s">
        <v>1164</v>
      </c>
      <c r="E287" s="53" t="s">
        <v>1050</v>
      </c>
      <c r="F287" s="54"/>
      <c r="G287" s="55">
        <v>5725.0</v>
      </c>
      <c r="DN287" s="91">
        <v>1.0</v>
      </c>
    </row>
    <row r="288">
      <c r="A288" s="75" t="s">
        <v>1217</v>
      </c>
      <c r="B288" s="75">
        <v>50.0</v>
      </c>
      <c r="C288" s="75" t="str">
        <f>vlookup(left(A288,2),Brands!$A$1:$B$36,2,0)</f>
        <v>David Jones</v>
      </c>
      <c r="D288" s="76" t="s">
        <v>1218</v>
      </c>
      <c r="E288" s="53" t="s">
        <v>858</v>
      </c>
      <c r="F288" s="54"/>
      <c r="G288" s="55">
        <v>3450.0</v>
      </c>
      <c r="DN288" s="91">
        <v>1.0</v>
      </c>
    </row>
    <row r="289">
      <c r="A289" s="75" t="s">
        <v>1219</v>
      </c>
      <c r="B289" s="75">
        <v>50.0</v>
      </c>
      <c r="C289" s="75" t="str">
        <f>vlookup(left(A289,2),Brands!$A$1:$B$36,2,0)</f>
        <v>David Jones</v>
      </c>
      <c r="D289" s="76" t="s">
        <v>867</v>
      </c>
      <c r="E289" s="53" t="s">
        <v>858</v>
      </c>
      <c r="F289" s="54"/>
      <c r="G289" s="55">
        <v>3450.0</v>
      </c>
      <c r="DN289" s="92">
        <v>0.0</v>
      </c>
    </row>
    <row r="290">
      <c r="A290" s="75" t="s">
        <v>1220</v>
      </c>
      <c r="B290" s="75">
        <v>50.0</v>
      </c>
      <c r="C290" s="75" t="str">
        <f>vlookup(left(A290,2),Brands!$A$1:$B$36,2,0)</f>
        <v>David Jones</v>
      </c>
      <c r="D290" s="76" t="s">
        <v>1056</v>
      </c>
      <c r="E290" s="53" t="s">
        <v>858</v>
      </c>
      <c r="F290" s="54"/>
      <c r="G290" s="55">
        <v>3450.0</v>
      </c>
      <c r="DN290" s="91">
        <v>1.0</v>
      </c>
    </row>
    <row r="291">
      <c r="A291" s="75" t="s">
        <v>1221</v>
      </c>
      <c r="B291" s="75">
        <v>50.0</v>
      </c>
      <c r="C291" s="75" t="str">
        <f>vlookup(left(A291,2),Brands!$A$1:$B$36,2,0)</f>
        <v>David Jones</v>
      </c>
      <c r="D291" s="76" t="s">
        <v>1056</v>
      </c>
      <c r="E291" s="53" t="s">
        <v>932</v>
      </c>
      <c r="F291" s="54"/>
      <c r="G291" s="55">
        <v>3450.0</v>
      </c>
      <c r="DN291" s="91">
        <v>1.0</v>
      </c>
    </row>
    <row r="292">
      <c r="A292" s="75" t="s">
        <v>1222</v>
      </c>
      <c r="B292" s="75">
        <v>49.0</v>
      </c>
      <c r="C292" s="75" t="str">
        <f>vlookup(left(A292,2),Brands!$A$1:$B$36,2,0)</f>
        <v>David Jones</v>
      </c>
      <c r="D292" s="76" t="s">
        <v>1169</v>
      </c>
      <c r="E292" s="53" t="s">
        <v>932</v>
      </c>
      <c r="F292" s="54"/>
      <c r="G292" s="55">
        <v>3450.0</v>
      </c>
      <c r="DN292" s="91">
        <v>1.0</v>
      </c>
    </row>
    <row r="293">
      <c r="A293" s="75" t="s">
        <v>1223</v>
      </c>
      <c r="B293" s="75">
        <v>51.0</v>
      </c>
      <c r="C293" s="75" t="str">
        <f>vlookup(left(A293,2),Brands!$A$1:$B$36,2,0)</f>
        <v>David Jones</v>
      </c>
      <c r="D293" s="76" t="s">
        <v>867</v>
      </c>
      <c r="E293" s="53" t="s">
        <v>946</v>
      </c>
      <c r="F293" s="54"/>
      <c r="G293" s="55">
        <v>2225.0</v>
      </c>
      <c r="DN293" s="92">
        <v>0.0</v>
      </c>
    </row>
    <row r="294">
      <c r="A294" s="75" t="s">
        <v>1224</v>
      </c>
      <c r="B294" s="75">
        <v>54.0</v>
      </c>
      <c r="C294" s="75" t="str">
        <f>vlookup(left(A294,2),Brands!$A$1:$B$36,2,0)</f>
        <v>Emporio Armani</v>
      </c>
      <c r="D294" s="76" t="s">
        <v>1225</v>
      </c>
      <c r="E294" s="53" t="s">
        <v>885</v>
      </c>
      <c r="F294" s="54"/>
      <c r="G294" s="83">
        <v>9500.0</v>
      </c>
      <c r="DN294" s="91">
        <v>1.0</v>
      </c>
    </row>
    <row r="295">
      <c r="A295" s="75" t="s">
        <v>1226</v>
      </c>
      <c r="B295" s="75">
        <v>54.0</v>
      </c>
      <c r="C295" s="75" t="str">
        <f>vlookup(left(A295,2),Brands!$A$1:$B$36,2,0)</f>
        <v>Emporio Armani</v>
      </c>
      <c r="D295" s="76" t="s">
        <v>1227</v>
      </c>
      <c r="E295" s="53" t="s">
        <v>885</v>
      </c>
      <c r="F295" s="54"/>
      <c r="G295" s="83"/>
      <c r="DN295" s="78">
        <v>1.0</v>
      </c>
    </row>
    <row r="296">
      <c r="A296" s="75" t="s">
        <v>1228</v>
      </c>
      <c r="B296" s="75">
        <v>56.0</v>
      </c>
      <c r="C296" s="75" t="str">
        <f>vlookup(left(A296,2),Brands!$A$1:$B$36,2,0)</f>
        <v>Emporio Armani</v>
      </c>
      <c r="D296" s="76" t="s">
        <v>1225</v>
      </c>
      <c r="E296" s="53" t="s">
        <v>885</v>
      </c>
      <c r="F296" s="76" t="s">
        <v>1229</v>
      </c>
      <c r="G296" s="83">
        <v>9500.0</v>
      </c>
      <c r="DN296" s="91">
        <v>1.0</v>
      </c>
    </row>
    <row r="297">
      <c r="A297" s="75" t="s">
        <v>1230</v>
      </c>
      <c r="B297" s="75">
        <v>56.0</v>
      </c>
      <c r="C297" s="75" t="str">
        <f>vlookup(left(A297,2),Brands!$A$1:$B$36,2,0)</f>
        <v>Emporio Armani</v>
      </c>
      <c r="D297" s="76" t="s">
        <v>1225</v>
      </c>
      <c r="E297" s="53" t="s">
        <v>885</v>
      </c>
      <c r="F297" s="76" t="s">
        <v>1229</v>
      </c>
      <c r="G297" s="55">
        <v>9500.0</v>
      </c>
      <c r="DN297" s="78">
        <v>1.0</v>
      </c>
    </row>
    <row r="298">
      <c r="A298" s="75" t="s">
        <v>1231</v>
      </c>
      <c r="B298" s="75">
        <v>50.0</v>
      </c>
      <c r="C298" s="75" t="s">
        <v>1232</v>
      </c>
      <c r="D298" s="76" t="s">
        <v>1233</v>
      </c>
      <c r="E298" s="53" t="s">
        <v>1001</v>
      </c>
      <c r="F298" s="54"/>
      <c r="G298" s="55">
        <v>800.0</v>
      </c>
      <c r="DN298" s="91">
        <v>1.0</v>
      </c>
    </row>
    <row r="299">
      <c r="A299" s="75" t="s">
        <v>1234</v>
      </c>
      <c r="B299" s="75">
        <v>62.0</v>
      </c>
      <c r="C299" s="75" t="str">
        <f>vlookup(left(A299,2),Brands!$A$1:$B$36,2,0)</f>
        <v>FCUK</v>
      </c>
      <c r="D299" s="76" t="s">
        <v>1004</v>
      </c>
      <c r="E299" s="53" t="s">
        <v>1194</v>
      </c>
      <c r="F299" s="54"/>
      <c r="G299" s="55">
        <v>4600.0</v>
      </c>
      <c r="DN299" s="91">
        <v>1.0</v>
      </c>
    </row>
    <row r="300">
      <c r="A300" s="75" t="s">
        <v>1235</v>
      </c>
      <c r="B300" s="75"/>
      <c r="C300" s="75" t="s">
        <v>1236</v>
      </c>
      <c r="D300" s="76" t="s">
        <v>1237</v>
      </c>
      <c r="E300" s="53" t="s">
        <v>852</v>
      </c>
      <c r="F300" s="54"/>
      <c r="G300" s="55">
        <v>650.0</v>
      </c>
      <c r="DN300" s="92">
        <v>9.0</v>
      </c>
    </row>
    <row r="301">
      <c r="A301" s="75" t="s">
        <v>1238</v>
      </c>
      <c r="B301" s="75">
        <v>62.0</v>
      </c>
      <c r="C301" s="75" t="s">
        <v>644</v>
      </c>
      <c r="D301" s="76" t="s">
        <v>1239</v>
      </c>
      <c r="E301" s="53" t="s">
        <v>885</v>
      </c>
      <c r="F301" s="54"/>
      <c r="G301" s="83">
        <v>2699.0</v>
      </c>
      <c r="DN301" s="92">
        <v>2.0</v>
      </c>
    </row>
    <row r="302">
      <c r="A302" s="75" t="s">
        <v>1240</v>
      </c>
      <c r="B302" s="75">
        <v>58.0</v>
      </c>
      <c r="C302" s="75" t="s">
        <v>644</v>
      </c>
      <c r="D302" s="76" t="s">
        <v>1241</v>
      </c>
      <c r="E302" s="53" t="s">
        <v>885</v>
      </c>
      <c r="F302" s="54"/>
      <c r="G302" s="55"/>
      <c r="DN302" s="91">
        <v>1.0</v>
      </c>
    </row>
    <row r="303">
      <c r="A303" s="75" t="s">
        <v>1242</v>
      </c>
      <c r="B303" s="75" t="s">
        <v>1003</v>
      </c>
      <c r="C303" s="75" t="str">
        <f>vlookup(left(A303,2),Brands!$A$1:$B$36,2,0)</f>
        <v>Fastrack</v>
      </c>
      <c r="D303" s="85" t="s">
        <v>1243</v>
      </c>
      <c r="E303" s="53" t="s">
        <v>885</v>
      </c>
      <c r="F303" s="76"/>
      <c r="G303" s="83">
        <v>2299.0</v>
      </c>
      <c r="DN303" s="91">
        <v>1.0</v>
      </c>
    </row>
    <row r="304">
      <c r="A304" s="75" t="s">
        <v>1244</v>
      </c>
      <c r="B304" s="75" t="s">
        <v>1003</v>
      </c>
      <c r="C304" s="75" t="str">
        <f>vlookup(left(A304,2),Brands!$A$1:$B$36,2,0)</f>
        <v>Fastrack</v>
      </c>
      <c r="D304" s="81" t="s">
        <v>1245</v>
      </c>
      <c r="E304" s="53" t="s">
        <v>885</v>
      </c>
      <c r="F304" s="54"/>
      <c r="G304" s="83">
        <v>2699.0</v>
      </c>
      <c r="DN304" s="91">
        <v>2.0</v>
      </c>
    </row>
    <row r="305">
      <c r="A305" s="75" t="s">
        <v>1246</v>
      </c>
      <c r="B305" s="75">
        <v>64.0</v>
      </c>
      <c r="C305" s="75" t="str">
        <f>vlookup(left(A305,2),Brands!$A$1:$B$36,2,0)</f>
        <v>Fastrack</v>
      </c>
      <c r="D305" s="81" t="s">
        <v>1247</v>
      </c>
      <c r="E305" s="53" t="s">
        <v>885</v>
      </c>
      <c r="F305" s="54"/>
      <c r="G305" s="83">
        <v>2699.0</v>
      </c>
      <c r="DN305" s="91">
        <v>2.0</v>
      </c>
    </row>
    <row r="306">
      <c r="A306" s="75" t="s">
        <v>1248</v>
      </c>
      <c r="B306" s="75" t="s">
        <v>1003</v>
      </c>
      <c r="C306" s="75" t="str">
        <f>vlookup(left(A306,2),Brands!$A$1:$B$36,2,0)</f>
        <v>Fastrack</v>
      </c>
      <c r="D306" s="81" t="s">
        <v>1241</v>
      </c>
      <c r="E306" s="53" t="s">
        <v>885</v>
      </c>
      <c r="F306" s="54"/>
      <c r="G306" s="83">
        <v>2699.0</v>
      </c>
      <c r="DN306" s="91">
        <v>1.0</v>
      </c>
    </row>
    <row r="307">
      <c r="A307" s="75" t="s">
        <v>1249</v>
      </c>
      <c r="B307" s="75" t="s">
        <v>1003</v>
      </c>
      <c r="C307" s="75" t="str">
        <f>vlookup(left(A307,2),Brands!$A$1:$B$36,2,0)</f>
        <v>Fastrack</v>
      </c>
      <c r="D307" s="76" t="s">
        <v>1241</v>
      </c>
      <c r="E307" s="53" t="s">
        <v>885</v>
      </c>
      <c r="F307" s="54"/>
      <c r="G307" s="83">
        <v>2699.0</v>
      </c>
      <c r="DN307" s="92">
        <v>1.0</v>
      </c>
    </row>
    <row r="308">
      <c r="A308" s="75" t="s">
        <v>1250</v>
      </c>
      <c r="B308" s="75" t="s">
        <v>1003</v>
      </c>
      <c r="C308" s="75" t="str">
        <f>vlookup(left(A308,2),Brands!$A$1:$B$36,2,0)</f>
        <v>Fastrack</v>
      </c>
      <c r="D308" s="76" t="s">
        <v>1251</v>
      </c>
      <c r="E308" s="53" t="s">
        <v>885</v>
      </c>
      <c r="F308" s="54"/>
      <c r="G308" s="83">
        <v>2699.0</v>
      </c>
      <c r="DN308" s="91">
        <v>2.0</v>
      </c>
    </row>
    <row r="309">
      <c r="A309" s="75" t="s">
        <v>1252</v>
      </c>
      <c r="B309" s="75" t="s">
        <v>1003</v>
      </c>
      <c r="C309" s="75" t="str">
        <f>vlookup(left(A309,2),Brands!$A$1:$B$36,2,0)</f>
        <v>Fastrack</v>
      </c>
      <c r="D309" s="85" t="s">
        <v>1253</v>
      </c>
      <c r="E309" s="53" t="s">
        <v>885</v>
      </c>
      <c r="F309" s="54"/>
      <c r="G309" s="83">
        <v>2499.0</v>
      </c>
      <c r="DN309" s="92">
        <v>2.0</v>
      </c>
    </row>
    <row r="310">
      <c r="A310" s="75" t="s">
        <v>1254</v>
      </c>
      <c r="B310" s="75" t="s">
        <v>1003</v>
      </c>
      <c r="C310" s="75" t="str">
        <f>vlookup(left(A310,2),Brands!$A$1:$B$36,2,0)</f>
        <v>Fastrack</v>
      </c>
      <c r="D310" s="85" t="s">
        <v>1245</v>
      </c>
      <c r="E310" s="53" t="s">
        <v>885</v>
      </c>
      <c r="F310" s="54"/>
      <c r="G310" s="83">
        <v>2299.0</v>
      </c>
      <c r="DN310" s="91">
        <v>2.0</v>
      </c>
    </row>
    <row r="311">
      <c r="A311" s="75" t="s">
        <v>1255</v>
      </c>
      <c r="B311" s="75" t="s">
        <v>1003</v>
      </c>
      <c r="C311" s="75" t="str">
        <f>vlookup(left(A311,2),Brands!$A$1:$B$36,2,0)</f>
        <v>Fastrack</v>
      </c>
      <c r="D311" s="76" t="s">
        <v>1241</v>
      </c>
      <c r="E311" s="53" t="s">
        <v>885</v>
      </c>
      <c r="F311" s="54"/>
      <c r="G311" s="83">
        <v>2799.0</v>
      </c>
      <c r="DN311" s="91">
        <v>1.0</v>
      </c>
    </row>
    <row r="312">
      <c r="A312" s="75" t="s">
        <v>1256</v>
      </c>
      <c r="B312" s="75" t="s">
        <v>1003</v>
      </c>
      <c r="C312" s="75" t="s">
        <v>644</v>
      </c>
      <c r="D312" s="76" t="s">
        <v>1241</v>
      </c>
      <c r="E312" s="53" t="s">
        <v>885</v>
      </c>
      <c r="F312" s="54"/>
      <c r="G312" s="83"/>
      <c r="DN312" s="91">
        <v>1.0</v>
      </c>
    </row>
    <row r="313">
      <c r="A313" s="75" t="s">
        <v>1257</v>
      </c>
      <c r="B313" s="75" t="s">
        <v>1003</v>
      </c>
      <c r="C313" s="75" t="str">
        <f>vlookup(left(A313,2),Brands!$A$1:$B$36,2,0)</f>
        <v>Fastrack</v>
      </c>
      <c r="D313" s="76" t="s">
        <v>1258</v>
      </c>
      <c r="E313" s="53" t="s">
        <v>885</v>
      </c>
      <c r="F313" s="54"/>
      <c r="G313" s="83">
        <v>1299.0</v>
      </c>
      <c r="DN313" s="91">
        <v>3.0</v>
      </c>
    </row>
    <row r="314">
      <c r="A314" s="75" t="s">
        <v>1259</v>
      </c>
      <c r="B314" s="75" t="s">
        <v>1003</v>
      </c>
      <c r="C314" s="75" t="str">
        <f>vlookup(left(A314,2),Brands!$A$1:$B$36,2,0)</f>
        <v>Fastrack</v>
      </c>
      <c r="D314" s="76" t="s">
        <v>1241</v>
      </c>
      <c r="E314" s="53" t="s">
        <v>885</v>
      </c>
      <c r="F314" s="54"/>
      <c r="G314" s="55"/>
      <c r="DN314" s="91">
        <v>1.0</v>
      </c>
    </row>
    <row r="315">
      <c r="A315" s="104" t="s">
        <v>1260</v>
      </c>
      <c r="B315" s="104" t="s">
        <v>1003</v>
      </c>
      <c r="C315" s="75" t="str">
        <f>vlookup(left(A315,2),Brands!$A$1:$B$36,2,0)</f>
        <v>Fastrack</v>
      </c>
      <c r="D315" s="76" t="s">
        <v>1243</v>
      </c>
      <c r="E315" s="53" t="s">
        <v>885</v>
      </c>
      <c r="F315" s="54"/>
      <c r="G315" s="83"/>
      <c r="DN315" s="91">
        <v>1.0</v>
      </c>
    </row>
    <row r="316">
      <c r="A316" s="104" t="s">
        <v>1261</v>
      </c>
      <c r="B316" s="104" t="s">
        <v>1003</v>
      </c>
      <c r="C316" s="75" t="str">
        <f>vlookup(left(A316,2),Brands!$A$1:$B$36,2,0)</f>
        <v>Fastrack</v>
      </c>
      <c r="D316" s="76" t="s">
        <v>1262</v>
      </c>
      <c r="E316" s="53" t="s">
        <v>885</v>
      </c>
      <c r="F316" s="54"/>
      <c r="G316" s="83" t="s">
        <v>1263</v>
      </c>
      <c r="DN316" s="91">
        <v>4.0</v>
      </c>
    </row>
    <row r="317">
      <c r="A317" s="75" t="s">
        <v>1264</v>
      </c>
      <c r="B317" s="75" t="s">
        <v>1003</v>
      </c>
      <c r="C317" s="75" t="str">
        <f>vlookup(left(A317,2),Brands!$A$1:$B$36,2,0)</f>
        <v>Fastrack</v>
      </c>
      <c r="D317" s="81" t="s">
        <v>1265</v>
      </c>
      <c r="E317" s="53" t="s">
        <v>885</v>
      </c>
      <c r="F317" s="95" t="s">
        <v>1266</v>
      </c>
      <c r="G317" s="83">
        <v>999.0</v>
      </c>
      <c r="DN317" s="91">
        <v>1.0</v>
      </c>
    </row>
    <row r="318">
      <c r="A318" s="75" t="s">
        <v>1267</v>
      </c>
      <c r="B318" s="75" t="s">
        <v>1003</v>
      </c>
      <c r="C318" s="75" t="str">
        <f>vlookup(left(A318,2),Brands!$A$1:$B$36,2,0)</f>
        <v>Fastrack</v>
      </c>
      <c r="D318" s="85" t="s">
        <v>1268</v>
      </c>
      <c r="E318" s="53" t="s">
        <v>885</v>
      </c>
      <c r="F318" s="54"/>
      <c r="G318" s="83">
        <v>1999.0</v>
      </c>
      <c r="DN318" s="92">
        <v>3.0</v>
      </c>
    </row>
    <row r="319">
      <c r="A319" s="75" t="s">
        <v>1269</v>
      </c>
      <c r="B319" s="75" t="s">
        <v>1003</v>
      </c>
      <c r="C319" s="75" t="str">
        <f>vlookup(left(A319,2),Brands!$A$1:$B$36,2,0)</f>
        <v>Fastrack</v>
      </c>
      <c r="D319" s="85" t="s">
        <v>1243</v>
      </c>
      <c r="E319" s="53" t="s">
        <v>885</v>
      </c>
      <c r="F319" s="54"/>
      <c r="G319" s="83">
        <v>2099.0</v>
      </c>
      <c r="DN319" s="91">
        <v>1.0</v>
      </c>
    </row>
    <row r="320">
      <c r="A320" s="75" t="s">
        <v>1270</v>
      </c>
      <c r="B320" s="75" t="s">
        <v>1003</v>
      </c>
      <c r="C320" s="75" t="str">
        <f>vlookup(left(A320,2),Brands!$A$1:$B$36,2,0)</f>
        <v>Fastrack</v>
      </c>
      <c r="D320" s="85" t="s">
        <v>1241</v>
      </c>
      <c r="E320" s="53" t="s">
        <v>885</v>
      </c>
      <c r="F320" s="54"/>
      <c r="G320" s="83"/>
      <c r="DN320" s="91">
        <v>1.0</v>
      </c>
    </row>
    <row r="321">
      <c r="A321" s="75" t="s">
        <v>1271</v>
      </c>
      <c r="B321" s="75">
        <v>58.0</v>
      </c>
      <c r="C321" s="75" t="str">
        <f>vlookup(left(A321,2),Brands!$A$1:$B$36,2,0)</f>
        <v>Fastrack</v>
      </c>
      <c r="D321" s="85" t="s">
        <v>1272</v>
      </c>
      <c r="E321" s="53" t="s">
        <v>885</v>
      </c>
      <c r="F321" s="54"/>
      <c r="G321" s="83">
        <v>1499.0</v>
      </c>
      <c r="DN321" s="91">
        <v>3.0</v>
      </c>
    </row>
    <row r="322">
      <c r="A322" s="75" t="s">
        <v>1273</v>
      </c>
      <c r="B322" s="75" t="s">
        <v>1003</v>
      </c>
      <c r="C322" s="75" t="str">
        <f>vlookup(left(A322,2),Brands!$A$1:$B$36,2,0)</f>
        <v>Fastrack</v>
      </c>
      <c r="D322" s="85" t="s">
        <v>1272</v>
      </c>
      <c r="E322" s="53" t="s">
        <v>885</v>
      </c>
      <c r="F322" s="54"/>
      <c r="G322" s="83">
        <v>1999.0</v>
      </c>
      <c r="DN322" s="91">
        <v>3.0</v>
      </c>
    </row>
    <row r="323">
      <c r="A323" s="75" t="s">
        <v>1274</v>
      </c>
      <c r="B323" s="75" t="s">
        <v>1003</v>
      </c>
      <c r="C323" s="75" t="str">
        <f>vlookup(left(A323,2),Brands!$A$1:$B$36,2,0)</f>
        <v>Fastrack</v>
      </c>
      <c r="D323" s="76" t="s">
        <v>1241</v>
      </c>
      <c r="E323" s="53" t="s">
        <v>885</v>
      </c>
      <c r="F323" s="54"/>
      <c r="G323" s="83">
        <v>2099.0</v>
      </c>
      <c r="DN323" s="91">
        <v>1.0</v>
      </c>
    </row>
    <row r="324">
      <c r="A324" s="75" t="s">
        <v>1275</v>
      </c>
      <c r="B324" s="75" t="s">
        <v>1003</v>
      </c>
      <c r="C324" s="75" t="str">
        <f>vlookup(left(A324,2),Brands!$A$1:$B$36,2,0)</f>
        <v>Fastrack</v>
      </c>
      <c r="D324" s="76" t="s">
        <v>1241</v>
      </c>
      <c r="E324" s="53" t="s">
        <v>885</v>
      </c>
      <c r="F324" s="54"/>
      <c r="G324" s="83">
        <v>1999.0</v>
      </c>
      <c r="DN324" s="91">
        <v>1.0</v>
      </c>
    </row>
    <row r="325">
      <c r="A325" s="75" t="s">
        <v>1276</v>
      </c>
      <c r="B325" s="75" t="s">
        <v>1003</v>
      </c>
      <c r="C325" s="75" t="str">
        <f>vlookup(left(A325,2),Brands!$A$1:$B$36,2,0)</f>
        <v>Fastrack</v>
      </c>
      <c r="D325" s="76" t="s">
        <v>1277</v>
      </c>
      <c r="E325" s="53" t="s">
        <v>885</v>
      </c>
      <c r="F325" s="54"/>
      <c r="G325" s="83">
        <v>2799.0</v>
      </c>
      <c r="DN325" s="57">
        <v>1.0</v>
      </c>
    </row>
    <row r="326">
      <c r="A326" s="75" t="s">
        <v>1278</v>
      </c>
      <c r="B326" s="75" t="s">
        <v>1003</v>
      </c>
      <c r="C326" s="75" t="str">
        <f>vlookup(left(A326,2),Brands!$A$1:$B$36,2,0)</f>
        <v>Fastrack</v>
      </c>
      <c r="D326" s="76" t="s">
        <v>1241</v>
      </c>
      <c r="E326" s="53" t="s">
        <v>885</v>
      </c>
      <c r="F326" s="54"/>
      <c r="G326" s="83">
        <v>2699.0</v>
      </c>
      <c r="DN326" s="57">
        <v>1.0</v>
      </c>
    </row>
    <row r="327">
      <c r="A327" s="75" t="s">
        <v>1279</v>
      </c>
      <c r="B327" s="75" t="s">
        <v>1003</v>
      </c>
      <c r="C327" s="75" t="str">
        <f>vlookup(left(A327,2),Brands!$A$1:$B$36,2,0)</f>
        <v>Fastrack</v>
      </c>
      <c r="D327" s="85" t="s">
        <v>1241</v>
      </c>
      <c r="E327" s="105" t="s">
        <v>885</v>
      </c>
      <c r="F327" s="54"/>
      <c r="G327" s="83">
        <v>1499.0</v>
      </c>
      <c r="DN327" s="57">
        <v>1.0</v>
      </c>
    </row>
    <row r="328">
      <c r="A328" s="75" t="s">
        <v>1280</v>
      </c>
      <c r="B328" s="75" t="s">
        <v>1003</v>
      </c>
      <c r="C328" s="75" t="str">
        <f>vlookup(left(A328,2),Brands!$A$1:$B$36,2,0)</f>
        <v>Fastrack</v>
      </c>
      <c r="D328" s="76" t="s">
        <v>876</v>
      </c>
      <c r="E328" s="53" t="s">
        <v>932</v>
      </c>
      <c r="F328" s="54"/>
      <c r="G328" s="83">
        <v>1999.0</v>
      </c>
      <c r="DN328" s="57">
        <v>1.0</v>
      </c>
    </row>
    <row r="329">
      <c r="A329" s="75" t="s">
        <v>1281</v>
      </c>
      <c r="B329" s="75" t="s">
        <v>1003</v>
      </c>
      <c r="C329" s="75" t="str">
        <f>vlookup(left(A329,2),Brands!$A$1:$B$36,2,0)</f>
        <v>Fastrack</v>
      </c>
      <c r="D329" s="76" t="s">
        <v>1241</v>
      </c>
      <c r="E329" s="53" t="s">
        <v>885</v>
      </c>
      <c r="F329" s="76"/>
      <c r="G329" s="83">
        <v>1699.0</v>
      </c>
      <c r="DN329" s="57">
        <v>1.0</v>
      </c>
    </row>
    <row r="330">
      <c r="A330" s="75" t="s">
        <v>1282</v>
      </c>
      <c r="B330" s="75" t="s">
        <v>1003</v>
      </c>
      <c r="C330" s="75" t="str">
        <f>vlookup(left(A330,2),Brands!$A$1:$B$36,2,0)</f>
        <v>Fastrack</v>
      </c>
      <c r="D330" s="76" t="s">
        <v>1277</v>
      </c>
      <c r="E330" s="53" t="s">
        <v>885</v>
      </c>
      <c r="F330" s="76"/>
      <c r="G330" s="83">
        <v>799.0</v>
      </c>
      <c r="DN330" s="57">
        <v>1.0</v>
      </c>
    </row>
    <row r="331">
      <c r="A331" s="75" t="s">
        <v>1283</v>
      </c>
      <c r="B331" s="75" t="s">
        <v>1003</v>
      </c>
      <c r="C331" s="75" t="str">
        <f>vlookup(left(A331,2),Brands!$A$1:$B$36,2,0)</f>
        <v>Fastrack</v>
      </c>
      <c r="D331" s="76" t="s">
        <v>1284</v>
      </c>
      <c r="E331" s="53" t="s">
        <v>885</v>
      </c>
      <c r="F331" s="76"/>
      <c r="G331" s="55"/>
      <c r="DN331" s="57">
        <v>1.0</v>
      </c>
    </row>
    <row r="332">
      <c r="A332" s="75" t="s">
        <v>1285</v>
      </c>
      <c r="B332" s="75" t="s">
        <v>1003</v>
      </c>
      <c r="C332" s="75" t="str">
        <f>vlookup(left(A332,2),Brands!$A$1:$B$36,2,0)</f>
        <v>Fastrack</v>
      </c>
      <c r="D332" s="76" t="s">
        <v>1277</v>
      </c>
      <c r="E332" s="53" t="s">
        <v>885</v>
      </c>
      <c r="F332" s="76" t="s">
        <v>1286</v>
      </c>
      <c r="G332" s="83">
        <v>850.0</v>
      </c>
      <c r="DN332" s="57">
        <v>1.0</v>
      </c>
    </row>
    <row r="333">
      <c r="A333" s="75" t="s">
        <v>1287</v>
      </c>
      <c r="B333" s="75" t="s">
        <v>1003</v>
      </c>
      <c r="C333" s="75" t="str">
        <f>vlookup(left(A333,2),Brands!$A$1:$B$36,2,0)</f>
        <v>Fastrack</v>
      </c>
      <c r="D333" s="76" t="s">
        <v>954</v>
      </c>
      <c r="E333" s="53" t="s">
        <v>885</v>
      </c>
      <c r="F333" s="54"/>
      <c r="G333" s="83">
        <v>2150.0</v>
      </c>
      <c r="DN333" s="57">
        <v>1.0</v>
      </c>
    </row>
    <row r="334">
      <c r="A334" s="75" t="s">
        <v>1288</v>
      </c>
      <c r="B334" s="75">
        <v>54.0</v>
      </c>
      <c r="C334" s="75" t="str">
        <f>vlookup(left(A334,2),Brands!$A$1:$B$36,2,0)</f>
        <v>Fastrack</v>
      </c>
      <c r="D334" s="76" t="s">
        <v>1243</v>
      </c>
      <c r="E334" s="53" t="s">
        <v>885</v>
      </c>
      <c r="F334" s="54"/>
      <c r="G334" s="83"/>
      <c r="DN334" s="57">
        <v>1.0</v>
      </c>
    </row>
    <row r="335">
      <c r="A335" s="75" t="s">
        <v>1289</v>
      </c>
      <c r="B335" s="75" t="s">
        <v>1003</v>
      </c>
      <c r="C335" s="75" t="str">
        <f>vlookup(left(A335,2),Brands!$A$1:$B$36,2,0)</f>
        <v>Fastrack</v>
      </c>
      <c r="D335" s="76" t="s">
        <v>1243</v>
      </c>
      <c r="E335" s="53" t="s">
        <v>885</v>
      </c>
      <c r="F335" s="54"/>
      <c r="G335" s="83"/>
      <c r="DN335" s="57">
        <v>1.0</v>
      </c>
    </row>
    <row r="336">
      <c r="A336" s="75" t="s">
        <v>1290</v>
      </c>
      <c r="B336" s="75">
        <v>53.0</v>
      </c>
      <c r="C336" s="75" t="str">
        <f>vlookup(left(A336,2),Brands!$A$1:$B$36,2,0)</f>
        <v>IDEE</v>
      </c>
      <c r="D336" s="76" t="s">
        <v>1291</v>
      </c>
      <c r="E336" s="53"/>
      <c r="F336" s="54"/>
      <c r="G336" s="83">
        <v>1800.0</v>
      </c>
      <c r="DN336" s="57">
        <v>1.0</v>
      </c>
    </row>
    <row r="337">
      <c r="A337" s="75" t="s">
        <v>1292</v>
      </c>
      <c r="B337" s="75">
        <v>50.0</v>
      </c>
      <c r="C337" s="75" t="s">
        <v>631</v>
      </c>
      <c r="D337" s="106" t="s">
        <v>1293</v>
      </c>
      <c r="E337" s="53"/>
      <c r="F337" s="54"/>
      <c r="G337" s="83">
        <v>1800.0</v>
      </c>
      <c r="DN337" s="57">
        <v>1.0</v>
      </c>
    </row>
    <row r="338">
      <c r="A338" s="75" t="s">
        <v>1294</v>
      </c>
      <c r="B338" s="75">
        <v>51.0</v>
      </c>
      <c r="C338" s="75" t="s">
        <v>631</v>
      </c>
      <c r="D338" s="106" t="s">
        <v>1295</v>
      </c>
      <c r="E338" s="53"/>
      <c r="F338" s="54"/>
      <c r="G338" s="83">
        <v>1800.0</v>
      </c>
      <c r="DN338" s="57">
        <v>1.0</v>
      </c>
    </row>
    <row r="339">
      <c r="A339" s="75" t="s">
        <v>1296</v>
      </c>
      <c r="B339" s="75">
        <v>51.0</v>
      </c>
      <c r="C339" s="75" t="s">
        <v>631</v>
      </c>
      <c r="D339" s="76" t="s">
        <v>1297</v>
      </c>
      <c r="E339" s="53"/>
      <c r="F339" s="54"/>
      <c r="G339" s="55"/>
      <c r="DN339" s="57">
        <v>1.0</v>
      </c>
    </row>
    <row r="340">
      <c r="A340" s="75" t="s">
        <v>1298</v>
      </c>
      <c r="B340" s="75">
        <v>51.0</v>
      </c>
      <c r="C340" s="75" t="str">
        <f>vlookup(left(A340,2),Brands!$A$1:$B$36,2,0)</f>
        <v>IDEE</v>
      </c>
      <c r="D340" s="106" t="s">
        <v>1299</v>
      </c>
      <c r="E340" s="53"/>
      <c r="F340" s="54"/>
      <c r="G340" s="55"/>
      <c r="DN340" s="57">
        <v>1.0</v>
      </c>
    </row>
    <row r="341">
      <c r="A341" s="75" t="s">
        <v>1300</v>
      </c>
      <c r="B341" s="75">
        <v>52.0</v>
      </c>
      <c r="C341" s="75" t="s">
        <v>631</v>
      </c>
      <c r="D341" s="76" t="s">
        <v>1291</v>
      </c>
      <c r="E341" s="53" t="s">
        <v>1301</v>
      </c>
      <c r="F341" s="54"/>
      <c r="G341" s="55"/>
      <c r="DN341" s="57">
        <v>1.0</v>
      </c>
    </row>
    <row r="342">
      <c r="A342" s="75" t="s">
        <v>1302</v>
      </c>
      <c r="B342" s="75">
        <v>53.0</v>
      </c>
      <c r="C342" s="75" t="str">
        <f>vlookup(left(A342,2),Brands!$A$1:$B$36,2,0)</f>
        <v>IDEE</v>
      </c>
      <c r="D342" s="106" t="s">
        <v>1293</v>
      </c>
      <c r="E342" s="53" t="s">
        <v>856</v>
      </c>
      <c r="F342" s="54"/>
      <c r="G342" s="55">
        <v>1800.0</v>
      </c>
      <c r="DN342" s="57">
        <v>1.0</v>
      </c>
    </row>
    <row r="343">
      <c r="A343" s="75" t="s">
        <v>1303</v>
      </c>
      <c r="B343" s="75">
        <v>53.0</v>
      </c>
      <c r="C343" s="75" t="str">
        <f>vlookup(left(A343,2),Brands!$A$1:$B$36,2,0)</f>
        <v>IDEE</v>
      </c>
      <c r="D343" s="76" t="s">
        <v>1293</v>
      </c>
      <c r="E343" s="53" t="s">
        <v>856</v>
      </c>
      <c r="F343" s="54"/>
      <c r="G343" s="55">
        <v>1800.0</v>
      </c>
      <c r="DN343" s="57">
        <v>1.0</v>
      </c>
    </row>
    <row r="344">
      <c r="A344" s="75" t="s">
        <v>1304</v>
      </c>
      <c r="B344" s="75">
        <v>51.0</v>
      </c>
      <c r="C344" s="75" t="str">
        <f>vlookup(left(A344,2),Brands!$A$1:$B$36,2,0)</f>
        <v>IDEE</v>
      </c>
      <c r="D344" s="81" t="s">
        <v>1305</v>
      </c>
      <c r="E344" s="53"/>
      <c r="F344" s="54"/>
      <c r="G344" s="55"/>
      <c r="DN344" s="57">
        <v>1.0</v>
      </c>
    </row>
    <row r="345">
      <c r="A345" s="75" t="s">
        <v>1306</v>
      </c>
      <c r="B345" s="75">
        <v>51.0</v>
      </c>
      <c r="C345" s="75" t="str">
        <f>vlookup(left(A345,2),Brands!$A$1:$B$36,2,0)</f>
        <v>IDEE</v>
      </c>
      <c r="D345" s="81" t="s">
        <v>1305</v>
      </c>
      <c r="E345" s="53"/>
      <c r="F345" s="54"/>
      <c r="G345" s="55"/>
      <c r="DN345" s="57">
        <v>1.0</v>
      </c>
    </row>
    <row r="346">
      <c r="A346" s="75" t="s">
        <v>1307</v>
      </c>
      <c r="B346" s="75">
        <v>53.0</v>
      </c>
      <c r="C346" s="75" t="str">
        <f>vlookup(left(A346,2),Brands!$A$1:$B$36,2,0)</f>
        <v>IDEE</v>
      </c>
      <c r="D346" s="76" t="s">
        <v>1308</v>
      </c>
      <c r="E346" s="53" t="s">
        <v>932</v>
      </c>
      <c r="F346" s="54"/>
      <c r="G346" s="55"/>
      <c r="DN346" s="57">
        <v>1.0</v>
      </c>
    </row>
    <row r="347">
      <c r="A347" s="75" t="s">
        <v>1309</v>
      </c>
      <c r="B347" s="75">
        <v>52.0</v>
      </c>
      <c r="C347" s="75" t="s">
        <v>631</v>
      </c>
      <c r="D347" s="76" t="s">
        <v>1308</v>
      </c>
      <c r="E347" s="53" t="s">
        <v>932</v>
      </c>
      <c r="F347" s="54"/>
      <c r="G347" s="55"/>
      <c r="DN347" s="57">
        <v>1.0</v>
      </c>
    </row>
    <row r="348">
      <c r="A348" s="75" t="s">
        <v>1310</v>
      </c>
      <c r="B348" s="75">
        <v>54.0</v>
      </c>
      <c r="C348" s="75" t="s">
        <v>631</v>
      </c>
      <c r="D348" s="107" t="s">
        <v>1311</v>
      </c>
      <c r="E348" s="53" t="s">
        <v>932</v>
      </c>
      <c r="F348" s="54"/>
      <c r="G348" s="55"/>
      <c r="DN348" s="57">
        <v>1.0</v>
      </c>
    </row>
    <row r="349">
      <c r="A349" s="75" t="s">
        <v>1312</v>
      </c>
      <c r="B349" s="75">
        <v>50.0</v>
      </c>
      <c r="C349" s="75" t="s">
        <v>631</v>
      </c>
      <c r="D349" s="76" t="s">
        <v>1313</v>
      </c>
      <c r="E349" s="53" t="s">
        <v>932</v>
      </c>
      <c r="F349" s="54"/>
      <c r="G349" s="83">
        <v>2200.0</v>
      </c>
      <c r="DN349" s="57">
        <v>2.0</v>
      </c>
    </row>
    <row r="350">
      <c r="A350" s="75" t="s">
        <v>1314</v>
      </c>
      <c r="B350" s="75">
        <v>52.0</v>
      </c>
      <c r="C350" s="75" t="s">
        <v>631</v>
      </c>
      <c r="D350" s="76" t="s">
        <v>1315</v>
      </c>
      <c r="E350" s="53" t="s">
        <v>874</v>
      </c>
      <c r="F350" s="54"/>
      <c r="G350" s="55">
        <v>1800.0</v>
      </c>
      <c r="DN350" s="57">
        <v>1.0</v>
      </c>
    </row>
    <row r="351">
      <c r="A351" s="75" t="s">
        <v>1316</v>
      </c>
      <c r="B351" s="75">
        <v>54.0</v>
      </c>
      <c r="C351" s="75" t="s">
        <v>631</v>
      </c>
      <c r="D351" s="106" t="s">
        <v>1317</v>
      </c>
      <c r="E351" s="53"/>
      <c r="F351" s="54"/>
      <c r="G351" s="83">
        <v>2200.0</v>
      </c>
      <c r="DN351" s="57">
        <v>1.0</v>
      </c>
    </row>
    <row r="352">
      <c r="A352" s="75" t="s">
        <v>1318</v>
      </c>
      <c r="B352" s="75">
        <v>53.0</v>
      </c>
      <c r="C352" s="75" t="s">
        <v>631</v>
      </c>
      <c r="D352" s="107" t="s">
        <v>1319</v>
      </c>
      <c r="E352" s="53"/>
      <c r="F352" s="54"/>
      <c r="G352" s="83"/>
      <c r="DN352" s="57">
        <v>1.0</v>
      </c>
    </row>
    <row r="353">
      <c r="A353" s="75" t="s">
        <v>1320</v>
      </c>
      <c r="B353" s="75">
        <v>48.0</v>
      </c>
      <c r="C353" s="75" t="s">
        <v>631</v>
      </c>
      <c r="D353" s="76" t="s">
        <v>1321</v>
      </c>
      <c r="E353" s="53" t="s">
        <v>932</v>
      </c>
      <c r="F353" s="54"/>
      <c r="G353" s="83">
        <v>1990.0</v>
      </c>
      <c r="DN353" s="57">
        <v>6.0</v>
      </c>
    </row>
    <row r="354">
      <c r="A354" s="75" t="s">
        <v>1322</v>
      </c>
      <c r="B354" s="75">
        <v>49.0</v>
      </c>
      <c r="C354" s="75" t="s">
        <v>631</v>
      </c>
      <c r="D354" s="53" t="s">
        <v>1323</v>
      </c>
      <c r="E354" s="53" t="s">
        <v>946</v>
      </c>
      <c r="F354" s="54"/>
      <c r="G354" s="55">
        <v>1990.0</v>
      </c>
      <c r="DN354" s="57">
        <v>2.0</v>
      </c>
    </row>
    <row r="355">
      <c r="A355" s="75" t="s">
        <v>1324</v>
      </c>
      <c r="B355" s="75">
        <v>49.0</v>
      </c>
      <c r="C355" s="75" t="s">
        <v>631</v>
      </c>
      <c r="D355" s="76" t="s">
        <v>1325</v>
      </c>
      <c r="E355" s="53"/>
      <c r="F355" s="54"/>
      <c r="G355" s="83" t="s">
        <v>1326</v>
      </c>
      <c r="DN355" s="57">
        <v>7.0</v>
      </c>
    </row>
    <row r="356">
      <c r="A356" s="75" t="s">
        <v>1327</v>
      </c>
      <c r="B356" s="75">
        <v>49.0</v>
      </c>
      <c r="C356" s="75" t="str">
        <f>vlookup(left(A356,2),Brands!$A$1:$B$36,2,0)</f>
        <v>IDEE</v>
      </c>
      <c r="D356" s="95" t="s">
        <v>1328</v>
      </c>
      <c r="E356" s="53" t="s">
        <v>946</v>
      </c>
      <c r="F356" s="54"/>
      <c r="G356" s="55">
        <v>1950.0</v>
      </c>
      <c r="DN356" s="57">
        <v>1.0</v>
      </c>
    </row>
    <row r="357">
      <c r="A357" s="75" t="s">
        <v>1329</v>
      </c>
      <c r="B357" s="75">
        <v>52.0</v>
      </c>
      <c r="C357" s="75" t="str">
        <f>vlookup(left(A357,2),Brands!$A$1:$B$36,2,0)</f>
        <v>IDEE</v>
      </c>
      <c r="D357" s="76" t="s">
        <v>1330</v>
      </c>
      <c r="E357" s="53" t="s">
        <v>932</v>
      </c>
      <c r="F357" s="79"/>
      <c r="G357" s="83">
        <v>1990.0</v>
      </c>
      <c r="DN357" s="57">
        <v>2.0</v>
      </c>
    </row>
    <row r="358" ht="17.25" customHeight="1">
      <c r="A358" s="75" t="s">
        <v>1331</v>
      </c>
      <c r="B358" s="75">
        <v>52.0</v>
      </c>
      <c r="C358" s="75" t="s">
        <v>631</v>
      </c>
      <c r="D358" s="76" t="s">
        <v>1330</v>
      </c>
      <c r="E358" s="53" t="s">
        <v>858</v>
      </c>
      <c r="F358" s="79"/>
      <c r="G358" s="55">
        <v>1990.0</v>
      </c>
      <c r="DN358" s="57">
        <v>2.0</v>
      </c>
    </row>
    <row r="359">
      <c r="A359" s="75" t="s">
        <v>1332</v>
      </c>
      <c r="B359" s="75">
        <v>47.0</v>
      </c>
      <c r="C359" s="75" t="s">
        <v>631</v>
      </c>
      <c r="D359" s="76" t="s">
        <v>1333</v>
      </c>
      <c r="E359" s="53"/>
      <c r="F359" s="54"/>
      <c r="G359" s="55">
        <v>1990.0</v>
      </c>
      <c r="DN359" s="57">
        <v>3.0</v>
      </c>
    </row>
    <row r="360" ht="17.25" customHeight="1">
      <c r="A360" s="75" t="s">
        <v>1334</v>
      </c>
      <c r="B360" s="75">
        <v>52.0</v>
      </c>
      <c r="C360" s="75" t="s">
        <v>631</v>
      </c>
      <c r="D360" s="76" t="s">
        <v>1335</v>
      </c>
      <c r="E360" s="53"/>
      <c r="F360" s="54"/>
      <c r="G360" s="83">
        <v>1990.0</v>
      </c>
      <c r="DN360" s="57">
        <v>3.0</v>
      </c>
    </row>
    <row r="361" ht="17.25" customHeight="1">
      <c r="A361" s="75" t="s">
        <v>1336</v>
      </c>
      <c r="B361" s="75">
        <v>52.0</v>
      </c>
      <c r="C361" s="75" t="s">
        <v>631</v>
      </c>
      <c r="D361" s="76" t="s">
        <v>1337</v>
      </c>
      <c r="E361" s="53" t="s">
        <v>932</v>
      </c>
      <c r="F361" s="54"/>
      <c r="G361" s="83">
        <v>1950.0</v>
      </c>
      <c r="DN361" s="57">
        <v>4.0</v>
      </c>
    </row>
    <row r="362">
      <c r="A362" s="75" t="s">
        <v>1338</v>
      </c>
      <c r="B362" s="75">
        <v>50.0</v>
      </c>
      <c r="C362" s="75" t="str">
        <f>vlookup(left(A362,2),Brands!$A$1:$B$36,2,0)</f>
        <v>IDEE</v>
      </c>
      <c r="D362" s="76" t="s">
        <v>1339</v>
      </c>
      <c r="E362" s="53"/>
      <c r="F362" s="54"/>
      <c r="G362" s="83">
        <v>2250.0</v>
      </c>
      <c r="DN362" s="57">
        <v>2.0</v>
      </c>
    </row>
    <row r="363">
      <c r="A363" s="75" t="s">
        <v>1340</v>
      </c>
      <c r="B363" s="75">
        <v>54.0</v>
      </c>
      <c r="C363" s="75" t="str">
        <f>vlookup(left(A363,2),Brands!$A$1:$B$36,2,0)</f>
        <v>IDEE</v>
      </c>
      <c r="D363" s="106" t="s">
        <v>1341</v>
      </c>
      <c r="E363" s="53"/>
      <c r="F363" s="54"/>
      <c r="G363" s="55"/>
      <c r="DN363" s="57">
        <v>1.0</v>
      </c>
    </row>
    <row r="364">
      <c r="A364" s="75" t="s">
        <v>1342</v>
      </c>
      <c r="B364" s="75">
        <v>54.0</v>
      </c>
      <c r="C364" s="75" t="str">
        <f>vlookup(left(A364,2),Brands!$A$1:$B$36,2,0)</f>
        <v>IDEE</v>
      </c>
      <c r="D364" s="81" t="s">
        <v>1343</v>
      </c>
      <c r="E364" s="53"/>
      <c r="F364" s="54"/>
      <c r="G364" s="83">
        <v>2450.0</v>
      </c>
      <c r="DN364" s="57">
        <v>1.0</v>
      </c>
    </row>
    <row r="365">
      <c r="A365" s="75" t="s">
        <v>1344</v>
      </c>
      <c r="B365" s="75">
        <v>48.0</v>
      </c>
      <c r="C365" s="75" t="str">
        <f>vlookup(left(A365,2),Brands!$A$1:$B$36,2,0)</f>
        <v>IDEE</v>
      </c>
      <c r="D365" s="76" t="s">
        <v>1345</v>
      </c>
      <c r="E365" s="53" t="s">
        <v>978</v>
      </c>
      <c r="F365" s="54"/>
      <c r="G365" s="55">
        <v>2450.0</v>
      </c>
      <c r="DN365" s="57">
        <v>1.0</v>
      </c>
    </row>
    <row r="366">
      <c r="A366" s="75" t="s">
        <v>1346</v>
      </c>
      <c r="B366" s="75">
        <v>53.0</v>
      </c>
      <c r="C366" s="75" t="str">
        <f>vlookup(left(A366,2),Brands!$A$1:$B$36,2,0)</f>
        <v>IDEE</v>
      </c>
      <c r="D366" s="76" t="s">
        <v>1347</v>
      </c>
      <c r="E366" s="53"/>
      <c r="F366" s="54"/>
      <c r="G366" s="83">
        <v>2450.0</v>
      </c>
      <c r="DN366" s="57">
        <v>1.0</v>
      </c>
    </row>
    <row r="367">
      <c r="A367" s="75" t="s">
        <v>1348</v>
      </c>
      <c r="B367" s="75">
        <v>51.0</v>
      </c>
      <c r="C367" s="75" t="str">
        <f>vlookup(left(A367,2),Brands!$A$1:$B$36,2,0)</f>
        <v>IDEE</v>
      </c>
      <c r="D367" s="106" t="s">
        <v>1299</v>
      </c>
      <c r="E367" s="53" t="s">
        <v>858</v>
      </c>
      <c r="F367" s="54"/>
      <c r="G367" s="55">
        <v>2450.0</v>
      </c>
      <c r="DN367" s="57">
        <v>1.0</v>
      </c>
    </row>
    <row r="368">
      <c r="A368" s="75" t="s">
        <v>1349</v>
      </c>
      <c r="B368" s="75">
        <v>51.0</v>
      </c>
      <c r="C368" s="75" t="str">
        <f>vlookup(left(A368,2),Brands!$A$1:$B$36,2,0)</f>
        <v>IDEE</v>
      </c>
      <c r="D368" s="106" t="s">
        <v>867</v>
      </c>
      <c r="E368" s="53" t="s">
        <v>932</v>
      </c>
      <c r="F368" s="54"/>
      <c r="G368" s="55">
        <v>2160.0</v>
      </c>
      <c r="DN368" s="77">
        <v>0.0</v>
      </c>
    </row>
    <row r="369">
      <c r="A369" s="75" t="s">
        <v>1350</v>
      </c>
      <c r="B369" s="75">
        <v>51.0</v>
      </c>
      <c r="C369" s="75" t="str">
        <f>vlookup(left(A369,2),Brands!$A$1:$B$36,2,0)</f>
        <v>IDEE</v>
      </c>
      <c r="D369" s="76" t="s">
        <v>867</v>
      </c>
      <c r="E369" s="53" t="s">
        <v>1351</v>
      </c>
      <c r="F369" s="76" t="s">
        <v>1076</v>
      </c>
      <c r="G369" s="55">
        <v>2450.0</v>
      </c>
      <c r="DN369" s="77">
        <v>0.0</v>
      </c>
    </row>
    <row r="370">
      <c r="A370" s="75" t="s">
        <v>1352</v>
      </c>
      <c r="B370" s="75">
        <v>50.0</v>
      </c>
      <c r="C370" s="75" t="str">
        <f>vlookup(left(A370,2),Brands!$A$1:$B$36,2,0)</f>
        <v>IDEE</v>
      </c>
      <c r="D370" s="76" t="s">
        <v>1345</v>
      </c>
      <c r="E370" s="53" t="s">
        <v>932</v>
      </c>
      <c r="F370" s="76" t="s">
        <v>1353</v>
      </c>
      <c r="G370" s="83">
        <v>2050.0</v>
      </c>
      <c r="DN370" s="57">
        <v>1.0</v>
      </c>
    </row>
    <row r="371">
      <c r="A371" s="75" t="s">
        <v>1354</v>
      </c>
      <c r="B371" s="75">
        <v>50.0</v>
      </c>
      <c r="C371" s="75" t="str">
        <f>vlookup(left(A371,2),Brands!$A$1:$B$36,2,0)</f>
        <v>IDEE</v>
      </c>
      <c r="D371" s="106" t="s">
        <v>1355</v>
      </c>
      <c r="E371" s="53" t="s">
        <v>871</v>
      </c>
      <c r="F371" s="54"/>
      <c r="G371" s="55">
        <v>2050.0</v>
      </c>
      <c r="DN371" s="57">
        <v>1.0</v>
      </c>
    </row>
    <row r="372">
      <c r="A372" s="75" t="s">
        <v>1356</v>
      </c>
      <c r="B372" s="75">
        <v>51.0</v>
      </c>
      <c r="C372" s="75" t="str">
        <f>vlookup(left(A372,2),Brands!$A$1:$B$36,2,0)</f>
        <v>IDEE</v>
      </c>
      <c r="D372" s="76" t="s">
        <v>1357</v>
      </c>
      <c r="E372" s="53" t="s">
        <v>932</v>
      </c>
      <c r="F372" s="54"/>
      <c r="G372" s="55">
        <v>2450.0</v>
      </c>
      <c r="DN372" s="57">
        <v>4.0</v>
      </c>
    </row>
    <row r="373">
      <c r="A373" s="75" t="s">
        <v>1358</v>
      </c>
      <c r="B373" s="75">
        <v>51.0</v>
      </c>
      <c r="C373" s="75" t="str">
        <f>vlookup(left(A373,2),Brands!$A$1:$B$36,2,0)</f>
        <v>IDEE</v>
      </c>
      <c r="D373" s="76" t="s">
        <v>1315</v>
      </c>
      <c r="E373" s="53" t="s">
        <v>852</v>
      </c>
      <c r="F373" s="76" t="s">
        <v>1076</v>
      </c>
      <c r="G373" s="55">
        <v>2450.0</v>
      </c>
      <c r="DN373" s="57">
        <v>1.0</v>
      </c>
    </row>
    <row r="374">
      <c r="A374" s="75" t="s">
        <v>1359</v>
      </c>
      <c r="B374" s="75">
        <v>53.0</v>
      </c>
      <c r="C374" s="75" t="s">
        <v>631</v>
      </c>
      <c r="D374" s="106" t="s">
        <v>1360</v>
      </c>
      <c r="E374" s="53" t="s">
        <v>932</v>
      </c>
      <c r="F374" s="54"/>
      <c r="G374" s="83">
        <v>2390.0</v>
      </c>
      <c r="DN374" s="57">
        <v>2.0</v>
      </c>
    </row>
    <row r="375">
      <c r="A375" s="108" t="s">
        <v>1361</v>
      </c>
      <c r="B375" s="108">
        <v>51.0</v>
      </c>
      <c r="C375" s="75" t="str">
        <f>vlookup(left(A375,2),Brands!$A$1:$B$36,2,0)</f>
        <v>IDEE</v>
      </c>
      <c r="D375" s="106" t="s">
        <v>1362</v>
      </c>
      <c r="E375" s="53" t="s">
        <v>932</v>
      </c>
      <c r="F375" s="54"/>
      <c r="G375" s="83">
        <v>2450.0</v>
      </c>
      <c r="DN375" s="57">
        <v>1.0</v>
      </c>
    </row>
    <row r="376">
      <c r="A376" s="75" t="s">
        <v>1363</v>
      </c>
      <c r="B376" s="75">
        <v>51.0</v>
      </c>
      <c r="C376" s="75" t="str">
        <f>vlookup(left(A376,2),Brands!$A$1:$B$36,2,0)</f>
        <v>IDEE</v>
      </c>
      <c r="D376" s="106" t="s">
        <v>1364</v>
      </c>
      <c r="E376" s="53" t="s">
        <v>932</v>
      </c>
      <c r="F376" s="54"/>
      <c r="G376" s="55">
        <v>2450.0</v>
      </c>
      <c r="DN376" s="57">
        <v>1.0</v>
      </c>
    </row>
    <row r="377">
      <c r="A377" s="75" t="s">
        <v>1365</v>
      </c>
      <c r="B377" s="75">
        <v>50.0</v>
      </c>
      <c r="C377" s="75" t="str">
        <f>vlookup(left(A377,2),Brands!$A$1:$B$36,2,0)</f>
        <v>IDEE</v>
      </c>
      <c r="D377" s="76" t="s">
        <v>1366</v>
      </c>
      <c r="E377" s="53" t="s">
        <v>852</v>
      </c>
      <c r="F377" s="54"/>
      <c r="G377" s="55">
        <v>2160.0</v>
      </c>
      <c r="DN377" s="57">
        <v>5.0</v>
      </c>
    </row>
    <row r="378">
      <c r="A378" s="75" t="s">
        <v>1367</v>
      </c>
      <c r="B378" s="75">
        <v>50.0</v>
      </c>
      <c r="C378" s="75" t="str">
        <f>vlookup(left(A378,2),Brands!$A$1:$B$36,2,0)</f>
        <v>IDEE</v>
      </c>
      <c r="D378" s="76" t="s">
        <v>1368</v>
      </c>
      <c r="E378" s="53" t="s">
        <v>932</v>
      </c>
      <c r="F378" s="54"/>
      <c r="G378" s="55">
        <v>2160.0</v>
      </c>
      <c r="DN378" s="57">
        <v>8.0</v>
      </c>
    </row>
    <row r="379">
      <c r="A379" s="75" t="s">
        <v>1369</v>
      </c>
      <c r="B379" s="75">
        <v>50.0</v>
      </c>
      <c r="C379" s="75" t="str">
        <f>vlookup(left(A379,2),Brands!$A$1:$B$36,2,0)</f>
        <v>IDEE</v>
      </c>
      <c r="D379" s="76" t="s">
        <v>1370</v>
      </c>
      <c r="E379" s="53" t="s">
        <v>932</v>
      </c>
      <c r="F379" s="54"/>
      <c r="G379" s="55">
        <v>2160.0</v>
      </c>
      <c r="DN379" s="77">
        <v>10.0</v>
      </c>
    </row>
    <row r="380">
      <c r="A380" s="75" t="s">
        <v>1371</v>
      </c>
      <c r="B380" s="75">
        <v>50.0</v>
      </c>
      <c r="C380" s="75" t="str">
        <f>vlookup(left(A380,2),Brands!$A$1:$B$36,2,0)</f>
        <v>IDEE</v>
      </c>
      <c r="D380" s="76" t="s">
        <v>1372</v>
      </c>
      <c r="E380" s="53" t="s">
        <v>932</v>
      </c>
      <c r="F380" s="54"/>
      <c r="G380" s="55">
        <v>2160.0</v>
      </c>
      <c r="DN380" s="57">
        <v>3.0</v>
      </c>
    </row>
    <row r="381">
      <c r="A381" s="75" t="s">
        <v>1373</v>
      </c>
      <c r="B381" s="75">
        <v>50.0</v>
      </c>
      <c r="C381" s="75" t="str">
        <f>vlookup(left(A381,2),Brands!$A$1:$B$36,2,0)</f>
        <v>IDEE</v>
      </c>
      <c r="D381" s="76" t="s">
        <v>1372</v>
      </c>
      <c r="E381" s="53" t="s">
        <v>932</v>
      </c>
      <c r="F381" s="54"/>
      <c r="G381" s="83">
        <v>2150.0</v>
      </c>
      <c r="DN381" s="57">
        <v>3.0</v>
      </c>
    </row>
    <row r="382">
      <c r="A382" s="75" t="s">
        <v>1374</v>
      </c>
      <c r="B382" s="75">
        <v>51.0</v>
      </c>
      <c r="C382" s="75" t="str">
        <f>vlookup(left(A382,2),Brands!$A$1:$B$36,2,0)</f>
        <v>IDEE</v>
      </c>
      <c r="D382" s="76" t="s">
        <v>1375</v>
      </c>
      <c r="E382" s="53" t="s">
        <v>932</v>
      </c>
      <c r="F382" s="54"/>
      <c r="G382" s="83">
        <v>2160.0</v>
      </c>
      <c r="DN382" s="57">
        <v>7.0</v>
      </c>
    </row>
    <row r="383">
      <c r="A383" s="75" t="s">
        <v>1376</v>
      </c>
      <c r="B383" s="75">
        <v>51.0</v>
      </c>
      <c r="C383" s="75" t="str">
        <f>vlookup(left(A383,2),Brands!$A$1:$B$36,2,0)</f>
        <v>IDEE</v>
      </c>
      <c r="D383" s="76" t="s">
        <v>1377</v>
      </c>
      <c r="E383" s="53" t="s">
        <v>932</v>
      </c>
      <c r="F383" s="54"/>
      <c r="G383" s="55">
        <v>2160.0</v>
      </c>
      <c r="DN383" s="57">
        <v>1.0</v>
      </c>
    </row>
    <row r="384">
      <c r="A384" s="75" t="s">
        <v>1378</v>
      </c>
      <c r="B384" s="75">
        <v>51.0</v>
      </c>
      <c r="C384" s="75" t="str">
        <f>vlookup(left(A384,2),Brands!$A$1:$B$36,2,0)</f>
        <v>IDEE</v>
      </c>
      <c r="D384" s="76" t="s">
        <v>1379</v>
      </c>
      <c r="E384" s="53" t="s">
        <v>932</v>
      </c>
      <c r="F384" s="54"/>
      <c r="G384" s="55"/>
      <c r="DN384" s="57">
        <v>1.0</v>
      </c>
    </row>
    <row r="385">
      <c r="A385" s="75" t="s">
        <v>1380</v>
      </c>
      <c r="B385" s="75">
        <v>51.0</v>
      </c>
      <c r="C385" s="75" t="s">
        <v>631</v>
      </c>
      <c r="D385" s="106" t="s">
        <v>1381</v>
      </c>
      <c r="E385" s="53" t="s">
        <v>932</v>
      </c>
      <c r="F385" s="54"/>
      <c r="G385" s="83">
        <v>2150.0</v>
      </c>
      <c r="DN385" s="57">
        <v>1.0</v>
      </c>
    </row>
    <row r="386">
      <c r="A386" s="108" t="s">
        <v>1382</v>
      </c>
      <c r="B386" s="109">
        <v>51.0</v>
      </c>
      <c r="C386" s="75" t="s">
        <v>631</v>
      </c>
      <c r="D386" s="106" t="s">
        <v>1383</v>
      </c>
      <c r="E386" s="53" t="s">
        <v>932</v>
      </c>
      <c r="F386" s="54"/>
      <c r="G386" s="83">
        <v>2150.0</v>
      </c>
      <c r="DN386" s="57">
        <v>2.0</v>
      </c>
    </row>
    <row r="387">
      <c r="A387" s="75" t="s">
        <v>1384</v>
      </c>
      <c r="B387" s="75">
        <v>49.0</v>
      </c>
      <c r="C387" s="75" t="str">
        <f>vlookup(left(A387,2),Brands!$A$1:$B$36,2,0)</f>
        <v>IDEE</v>
      </c>
      <c r="D387" s="76" t="s">
        <v>1385</v>
      </c>
      <c r="E387" s="53" t="s">
        <v>932</v>
      </c>
      <c r="F387" s="54"/>
      <c r="G387" s="55"/>
      <c r="DN387" s="57">
        <v>2.0</v>
      </c>
    </row>
    <row r="388">
      <c r="A388" s="75" t="s">
        <v>1386</v>
      </c>
      <c r="B388" s="75">
        <v>53.0</v>
      </c>
      <c r="C388" s="75" t="s">
        <v>631</v>
      </c>
      <c r="D388" s="76" t="s">
        <v>1387</v>
      </c>
      <c r="E388" s="53" t="s">
        <v>932</v>
      </c>
      <c r="F388" s="76" t="s">
        <v>1388</v>
      </c>
      <c r="G388" s="55">
        <v>1950.0</v>
      </c>
      <c r="DN388" s="77">
        <v>3.0</v>
      </c>
    </row>
    <row r="389">
      <c r="A389" s="75" t="s">
        <v>1389</v>
      </c>
      <c r="B389" s="75">
        <v>53.0</v>
      </c>
      <c r="C389" s="75" t="s">
        <v>631</v>
      </c>
      <c r="D389" s="76" t="s">
        <v>1343</v>
      </c>
      <c r="E389" s="53" t="s">
        <v>932</v>
      </c>
      <c r="F389" s="54"/>
      <c r="G389" s="83">
        <v>1950.0</v>
      </c>
      <c r="DN389" s="57">
        <v>1.0</v>
      </c>
    </row>
    <row r="390">
      <c r="A390" s="75" t="s">
        <v>1390</v>
      </c>
      <c r="B390" s="75">
        <v>53.0</v>
      </c>
      <c r="C390" s="75" t="str">
        <f>vlookup(left(A390,2),Brands!$A$1:$B$36,2,0)</f>
        <v>IDEE</v>
      </c>
      <c r="D390" s="76" t="s">
        <v>1391</v>
      </c>
      <c r="E390" s="53" t="s">
        <v>932</v>
      </c>
      <c r="F390" s="54"/>
      <c r="G390" s="83" t="s">
        <v>1392</v>
      </c>
      <c r="DN390" s="57">
        <v>3.0</v>
      </c>
    </row>
    <row r="391">
      <c r="A391" s="75" t="s">
        <v>1393</v>
      </c>
      <c r="B391" s="75">
        <v>53.0</v>
      </c>
      <c r="C391" s="75" t="s">
        <v>631</v>
      </c>
      <c r="D391" s="76" t="s">
        <v>1394</v>
      </c>
      <c r="E391" s="53" t="s">
        <v>874</v>
      </c>
      <c r="F391" s="54"/>
      <c r="G391" s="55">
        <v>1950.0</v>
      </c>
      <c r="DN391" s="57">
        <v>7.0</v>
      </c>
    </row>
    <row r="392">
      <c r="A392" s="75" t="s">
        <v>1395</v>
      </c>
      <c r="B392" s="75">
        <v>53.0</v>
      </c>
      <c r="C392" s="75" t="s">
        <v>631</v>
      </c>
      <c r="D392" s="76" t="s">
        <v>1396</v>
      </c>
      <c r="E392" s="53" t="s">
        <v>874</v>
      </c>
      <c r="F392" s="54"/>
      <c r="G392" s="55">
        <v>1950.0</v>
      </c>
      <c r="DN392" s="57">
        <v>4.0</v>
      </c>
    </row>
    <row r="393">
      <c r="A393" s="75" t="s">
        <v>1397</v>
      </c>
      <c r="B393" s="75">
        <v>53.0</v>
      </c>
      <c r="C393" s="75" t="s">
        <v>631</v>
      </c>
      <c r="D393" s="76" t="s">
        <v>1398</v>
      </c>
      <c r="E393" s="53"/>
      <c r="F393" s="54"/>
      <c r="G393" s="83">
        <v>1950.0</v>
      </c>
      <c r="DN393" s="57">
        <v>1.0</v>
      </c>
    </row>
    <row r="394">
      <c r="A394" s="75" t="s">
        <v>1399</v>
      </c>
      <c r="B394" s="75">
        <v>53.0</v>
      </c>
      <c r="C394" s="75" t="s">
        <v>631</v>
      </c>
      <c r="D394" s="76" t="s">
        <v>1396</v>
      </c>
      <c r="E394" s="53" t="s">
        <v>874</v>
      </c>
      <c r="F394" s="54"/>
      <c r="G394" s="55">
        <v>1950.0</v>
      </c>
      <c r="DN394" s="57">
        <v>4.0</v>
      </c>
    </row>
    <row r="395">
      <c r="A395" s="75" t="s">
        <v>1400</v>
      </c>
      <c r="B395" s="75">
        <v>53.0</v>
      </c>
      <c r="C395" s="75" t="str">
        <f>vlookup(left(A395,2),Brands!$A$1:$B$36,2,0)</f>
        <v>IDEE</v>
      </c>
      <c r="D395" s="76" t="s">
        <v>1401</v>
      </c>
      <c r="E395" s="53" t="s">
        <v>932</v>
      </c>
      <c r="F395" s="54"/>
      <c r="G395" s="55">
        <v>1950.0</v>
      </c>
      <c r="DN395" s="57">
        <v>2.0</v>
      </c>
    </row>
    <row r="396">
      <c r="A396" s="75" t="s">
        <v>1402</v>
      </c>
      <c r="B396" s="75">
        <v>53.0</v>
      </c>
      <c r="C396" s="75" t="s">
        <v>631</v>
      </c>
      <c r="D396" s="96" t="s">
        <v>1321</v>
      </c>
      <c r="E396" s="53" t="s">
        <v>932</v>
      </c>
      <c r="F396" s="76" t="s">
        <v>1403</v>
      </c>
      <c r="G396" s="55">
        <v>1950.0</v>
      </c>
      <c r="DN396" s="57">
        <v>6.0</v>
      </c>
    </row>
    <row r="397">
      <c r="A397" s="75" t="s">
        <v>1404</v>
      </c>
      <c r="B397" s="75">
        <v>53.0</v>
      </c>
      <c r="C397" s="75" t="s">
        <v>631</v>
      </c>
      <c r="D397" s="76" t="s">
        <v>1372</v>
      </c>
      <c r="E397" s="53" t="s">
        <v>874</v>
      </c>
      <c r="F397" s="54"/>
      <c r="G397" s="55">
        <v>1950.0</v>
      </c>
      <c r="DN397" s="57">
        <v>3.0</v>
      </c>
    </row>
    <row r="398">
      <c r="A398" s="75" t="s">
        <v>1405</v>
      </c>
      <c r="B398" s="75">
        <v>53.0</v>
      </c>
      <c r="C398" s="75" t="s">
        <v>631</v>
      </c>
      <c r="D398" s="76" t="s">
        <v>1406</v>
      </c>
      <c r="E398" s="53" t="s">
        <v>874</v>
      </c>
      <c r="F398" s="54"/>
      <c r="G398" s="55">
        <v>1950.0</v>
      </c>
      <c r="DN398" s="57">
        <v>7.0</v>
      </c>
    </row>
    <row r="399">
      <c r="A399" s="75" t="s">
        <v>1407</v>
      </c>
      <c r="B399" s="75">
        <v>52.0</v>
      </c>
      <c r="C399" s="75" t="str">
        <f>vlookup(left(A399,2),Brands!$A$1:$B$36,2,0)</f>
        <v>IDEE</v>
      </c>
      <c r="D399" s="76" t="s">
        <v>876</v>
      </c>
      <c r="E399" s="53" t="s">
        <v>932</v>
      </c>
      <c r="F399" s="54"/>
      <c r="G399" s="55">
        <v>2075.0</v>
      </c>
      <c r="DN399" s="57">
        <v>1.0</v>
      </c>
    </row>
    <row r="400">
      <c r="A400" s="75" t="s">
        <v>726</v>
      </c>
      <c r="B400" s="75">
        <v>52.0</v>
      </c>
      <c r="C400" s="75" t="str">
        <f>vlookup(left(A400,2),Brands!$A$1:$B$36,2,0)</f>
        <v>IDEE</v>
      </c>
      <c r="D400" s="95" t="s">
        <v>1379</v>
      </c>
      <c r="E400" s="53"/>
      <c r="F400" s="54"/>
      <c r="G400" s="55"/>
      <c r="DN400" s="57">
        <v>1.0</v>
      </c>
    </row>
    <row r="401">
      <c r="A401" s="75" t="s">
        <v>1408</v>
      </c>
      <c r="B401" s="75">
        <v>54.0</v>
      </c>
      <c r="C401" s="75" t="s">
        <v>631</v>
      </c>
      <c r="D401" s="106" t="s">
        <v>1381</v>
      </c>
      <c r="E401" s="53" t="s">
        <v>858</v>
      </c>
      <c r="F401" s="54"/>
      <c r="G401" s="55">
        <v>2590.0</v>
      </c>
      <c r="DN401" s="57">
        <v>1.0</v>
      </c>
    </row>
    <row r="402">
      <c r="A402" s="75" t="s">
        <v>1409</v>
      </c>
      <c r="B402" s="75">
        <v>54.0</v>
      </c>
      <c r="C402" s="75" t="s">
        <v>631</v>
      </c>
      <c r="D402" s="106" t="s">
        <v>1355</v>
      </c>
      <c r="E402" s="53" t="s">
        <v>1410</v>
      </c>
      <c r="F402" s="54"/>
      <c r="G402" s="55">
        <v>2590.0</v>
      </c>
      <c r="DN402" s="57">
        <v>1.0</v>
      </c>
    </row>
    <row r="403">
      <c r="A403" s="75" t="s">
        <v>1411</v>
      </c>
      <c r="B403" s="75">
        <v>54.0</v>
      </c>
      <c r="C403" s="75" t="s">
        <v>631</v>
      </c>
      <c r="D403" s="106" t="s">
        <v>1398</v>
      </c>
      <c r="E403" s="53" t="s">
        <v>1410</v>
      </c>
      <c r="F403" s="54"/>
      <c r="G403" s="55">
        <v>2590.0</v>
      </c>
      <c r="DN403" s="77">
        <v>1.0</v>
      </c>
    </row>
    <row r="404">
      <c r="A404" s="75" t="s">
        <v>1412</v>
      </c>
      <c r="B404" s="75">
        <v>52.0</v>
      </c>
      <c r="C404" s="75" t="str">
        <f>vlookup(left(A404,2),Brands!$A$1:$B$36,2,0)</f>
        <v>IDEE</v>
      </c>
      <c r="D404" s="106" t="s">
        <v>1381</v>
      </c>
      <c r="E404" s="53"/>
      <c r="F404" s="54"/>
      <c r="G404" s="55"/>
      <c r="DN404" s="57">
        <v>1.0</v>
      </c>
    </row>
    <row r="405">
      <c r="A405" s="75" t="s">
        <v>1413</v>
      </c>
      <c r="B405" s="75">
        <v>51.0</v>
      </c>
      <c r="C405" s="75" t="str">
        <f>vlookup(left(A405,2),Brands!$A$1:$B$36,2,0)</f>
        <v>IDEE</v>
      </c>
      <c r="D405" s="76" t="s">
        <v>1414</v>
      </c>
      <c r="E405" s="53" t="s">
        <v>871</v>
      </c>
      <c r="F405" s="54"/>
      <c r="G405" s="55">
        <v>2450.0</v>
      </c>
      <c r="DN405" s="57">
        <v>1.0</v>
      </c>
    </row>
    <row r="406">
      <c r="A406" s="75" t="s">
        <v>1415</v>
      </c>
      <c r="B406" s="75">
        <v>51.0</v>
      </c>
      <c r="C406" s="75" t="str">
        <f>vlookup(left(A406,2),Brands!$A$1:$B$36,2,0)</f>
        <v>IDEE</v>
      </c>
      <c r="D406" s="106" t="s">
        <v>1364</v>
      </c>
      <c r="E406" s="53" t="s">
        <v>1416</v>
      </c>
      <c r="F406" s="54"/>
      <c r="G406" s="55">
        <v>2450.0</v>
      </c>
      <c r="DN406" s="57">
        <v>1.0</v>
      </c>
    </row>
    <row r="407">
      <c r="A407" s="75" t="s">
        <v>1417</v>
      </c>
      <c r="B407" s="75">
        <v>51.0</v>
      </c>
      <c r="C407" s="75" t="str">
        <f>vlookup(left(A407,2),Brands!$A$1:$B$36,2,0)</f>
        <v>IDEE</v>
      </c>
      <c r="D407" s="76" t="s">
        <v>1414</v>
      </c>
      <c r="E407" s="53" t="s">
        <v>1416</v>
      </c>
      <c r="F407" s="54"/>
      <c r="G407" s="55">
        <v>2450.0</v>
      </c>
      <c r="DN407" s="57">
        <v>1.0</v>
      </c>
    </row>
    <row r="408">
      <c r="A408" s="75" t="s">
        <v>1418</v>
      </c>
      <c r="B408" s="75">
        <v>51.0</v>
      </c>
      <c r="C408" s="75" t="str">
        <f>vlookup(left(A408,2),Brands!$A$1:$B$36,2,0)</f>
        <v>IDEE</v>
      </c>
      <c r="D408" s="110" t="s">
        <v>1414</v>
      </c>
      <c r="E408" s="53" t="s">
        <v>1416</v>
      </c>
      <c r="F408" s="54"/>
      <c r="G408" s="55">
        <v>2450.0</v>
      </c>
      <c r="DN408" s="77">
        <v>1.0</v>
      </c>
    </row>
    <row r="409">
      <c r="A409" s="75" t="s">
        <v>1419</v>
      </c>
      <c r="B409" s="75">
        <v>51.0</v>
      </c>
      <c r="C409" s="75" t="str">
        <f>vlookup(left(A409,2),Brands!$A$1:$B$36,2,0)</f>
        <v>IDEE</v>
      </c>
      <c r="D409" s="106" t="s">
        <v>1355</v>
      </c>
      <c r="E409" s="53" t="s">
        <v>1416</v>
      </c>
      <c r="F409" s="54"/>
      <c r="G409" s="55">
        <v>2450.0</v>
      </c>
      <c r="DN409" s="57">
        <v>1.0</v>
      </c>
    </row>
    <row r="410">
      <c r="A410" s="75" t="s">
        <v>1420</v>
      </c>
      <c r="B410" s="75">
        <v>51.0</v>
      </c>
      <c r="C410" s="75" t="s">
        <v>631</v>
      </c>
      <c r="D410" s="76" t="s">
        <v>1414</v>
      </c>
      <c r="E410" s="53" t="s">
        <v>1416</v>
      </c>
      <c r="F410" s="54"/>
      <c r="G410" s="55">
        <v>2450.0</v>
      </c>
      <c r="DN410" s="57">
        <v>1.0</v>
      </c>
    </row>
    <row r="411">
      <c r="A411" s="75" t="s">
        <v>1421</v>
      </c>
      <c r="B411" s="75">
        <v>51.0</v>
      </c>
      <c r="C411" s="75" t="s">
        <v>631</v>
      </c>
      <c r="D411" s="76" t="s">
        <v>1414</v>
      </c>
      <c r="E411" s="53" t="s">
        <v>871</v>
      </c>
      <c r="F411" s="54"/>
      <c r="G411" s="55">
        <v>2450.0</v>
      </c>
      <c r="DN411" s="57">
        <v>1.0</v>
      </c>
    </row>
    <row r="412">
      <c r="A412" s="75" t="s">
        <v>1422</v>
      </c>
      <c r="B412" s="75">
        <v>52.0</v>
      </c>
      <c r="C412" s="75" t="s">
        <v>631</v>
      </c>
      <c r="D412" s="99" t="s">
        <v>1328</v>
      </c>
      <c r="E412" s="53"/>
      <c r="F412" s="54"/>
      <c r="G412" s="55"/>
      <c r="DN412" s="57">
        <v>1.0</v>
      </c>
    </row>
    <row r="413">
      <c r="A413" s="75" t="s">
        <v>1423</v>
      </c>
      <c r="B413" s="75">
        <v>54.0</v>
      </c>
      <c r="C413" s="75" t="str">
        <f>vlookup(left(A413,2),Brands!$A$1:$B$36,2,0)</f>
        <v>IDEE</v>
      </c>
      <c r="D413" s="76" t="s">
        <v>1424</v>
      </c>
      <c r="E413" s="53"/>
      <c r="F413" s="54"/>
      <c r="G413" s="83">
        <v>2450.0</v>
      </c>
      <c r="DN413" s="57">
        <v>2.0</v>
      </c>
    </row>
    <row r="414" ht="18.75" customHeight="1">
      <c r="A414" s="75" t="s">
        <v>1425</v>
      </c>
      <c r="B414" s="75">
        <v>54.0</v>
      </c>
      <c r="C414" s="75" t="str">
        <f>vlookup(left(A414,2),Brands!$A$1:$B$36,2,0)</f>
        <v>IDEE</v>
      </c>
      <c r="D414" s="106" t="s">
        <v>1426</v>
      </c>
      <c r="E414" s="53" t="s">
        <v>932</v>
      </c>
      <c r="F414" s="54"/>
      <c r="G414" s="55">
        <v>2450.0</v>
      </c>
      <c r="DN414" s="57">
        <v>1.0</v>
      </c>
    </row>
    <row r="415">
      <c r="A415" s="75" t="s">
        <v>1427</v>
      </c>
      <c r="B415" s="75">
        <v>54.0</v>
      </c>
      <c r="C415" s="75" t="str">
        <f>vlookup(left(A415,2),Brands!$A$1:$B$36,2,0)</f>
        <v>IDEE</v>
      </c>
      <c r="D415" s="76" t="s">
        <v>1345</v>
      </c>
      <c r="E415" s="53" t="s">
        <v>932</v>
      </c>
      <c r="F415" s="54"/>
      <c r="G415" s="55"/>
      <c r="DN415" s="57">
        <v>1.0</v>
      </c>
    </row>
    <row r="416">
      <c r="A416" s="75" t="s">
        <v>1428</v>
      </c>
      <c r="B416" s="75">
        <v>54.0</v>
      </c>
      <c r="C416" s="75" t="s">
        <v>631</v>
      </c>
      <c r="D416" s="76" t="s">
        <v>1429</v>
      </c>
      <c r="E416" s="53" t="s">
        <v>874</v>
      </c>
      <c r="F416" s="54"/>
      <c r="G416" s="55">
        <v>2450.0</v>
      </c>
      <c r="DN416" s="57">
        <v>3.0</v>
      </c>
    </row>
    <row r="417">
      <c r="A417" s="75" t="s">
        <v>1430</v>
      </c>
      <c r="B417" s="75">
        <v>54.0</v>
      </c>
      <c r="C417" s="75" t="str">
        <f>vlookup(left(A417,2),Brands!$A$1:$B$36,2,0)</f>
        <v>IDEE</v>
      </c>
      <c r="D417" s="76" t="s">
        <v>1431</v>
      </c>
      <c r="E417" s="53" t="s">
        <v>874</v>
      </c>
      <c r="F417" s="54"/>
      <c r="G417" s="55">
        <v>2450.0</v>
      </c>
      <c r="DN417" s="77">
        <v>2.0</v>
      </c>
    </row>
    <row r="418">
      <c r="A418" s="75" t="s">
        <v>1432</v>
      </c>
      <c r="B418" s="75">
        <v>54.0</v>
      </c>
      <c r="C418" s="75" t="str">
        <f>vlookup(left(A418,2),Brands!$A$1:$B$36,2,0)</f>
        <v>IDEE</v>
      </c>
      <c r="D418" s="76" t="s">
        <v>867</v>
      </c>
      <c r="E418" s="53"/>
      <c r="F418" s="54"/>
      <c r="G418" s="83"/>
      <c r="DN418" s="112">
        <v>2.0</v>
      </c>
    </row>
    <row r="419">
      <c r="A419" s="75" t="s">
        <v>1433</v>
      </c>
      <c r="B419" s="75">
        <v>54.0</v>
      </c>
      <c r="C419" s="75" t="str">
        <f>vlookup(left(A419,2),Brands!$A$1:$B$36,2,0)</f>
        <v>IDEE</v>
      </c>
      <c r="D419" s="76" t="s">
        <v>1424</v>
      </c>
      <c r="E419" s="53"/>
      <c r="F419" s="54"/>
      <c r="G419" s="83">
        <v>2450.0</v>
      </c>
      <c r="DN419" s="57">
        <v>2.0</v>
      </c>
    </row>
    <row r="420">
      <c r="A420" s="75" t="s">
        <v>1434</v>
      </c>
      <c r="B420" s="75">
        <v>51.0</v>
      </c>
      <c r="C420" s="75" t="s">
        <v>631</v>
      </c>
      <c r="D420" s="76" t="s">
        <v>867</v>
      </c>
      <c r="E420" s="53"/>
      <c r="F420" s="54"/>
      <c r="G420" s="83">
        <v>2450.0</v>
      </c>
      <c r="DN420" s="112">
        <v>3.0</v>
      </c>
    </row>
    <row r="421">
      <c r="A421" s="75" t="s">
        <v>1435</v>
      </c>
      <c r="B421" s="75">
        <v>54.0</v>
      </c>
      <c r="C421" s="75" t="s">
        <v>631</v>
      </c>
      <c r="D421" s="76" t="s">
        <v>1436</v>
      </c>
      <c r="E421" s="53"/>
      <c r="F421" s="54"/>
      <c r="G421" s="83">
        <v>2450.0</v>
      </c>
      <c r="DN421" s="57">
        <v>8.0</v>
      </c>
    </row>
    <row r="422">
      <c r="A422" s="75" t="s">
        <v>1437</v>
      </c>
      <c r="B422" s="75">
        <v>54.0</v>
      </c>
      <c r="C422" s="75" t="s">
        <v>631</v>
      </c>
      <c r="D422" s="76" t="s">
        <v>1438</v>
      </c>
      <c r="E422" s="53" t="s">
        <v>871</v>
      </c>
      <c r="F422" s="54"/>
      <c r="G422" s="55">
        <v>2450.0</v>
      </c>
      <c r="DN422" s="57">
        <v>8.0</v>
      </c>
    </row>
    <row r="423">
      <c r="A423" s="75" t="s">
        <v>1439</v>
      </c>
      <c r="B423" s="75">
        <v>54.0</v>
      </c>
      <c r="C423" s="75" t="s">
        <v>631</v>
      </c>
      <c r="D423" s="76" t="s">
        <v>1414</v>
      </c>
      <c r="E423" s="53" t="s">
        <v>871</v>
      </c>
      <c r="F423" s="54"/>
      <c r="G423" s="55">
        <v>2450.0</v>
      </c>
      <c r="DN423" s="57">
        <v>1.0</v>
      </c>
    </row>
    <row r="424">
      <c r="A424" s="75" t="s">
        <v>1440</v>
      </c>
      <c r="B424" s="75">
        <v>54.0</v>
      </c>
      <c r="C424" s="75" t="s">
        <v>631</v>
      </c>
      <c r="D424" s="113" t="s">
        <v>1414</v>
      </c>
      <c r="E424" s="53" t="s">
        <v>871</v>
      </c>
      <c r="F424" s="54"/>
      <c r="G424" s="55">
        <v>2450.0</v>
      </c>
      <c r="DN424" s="57">
        <v>1.0</v>
      </c>
    </row>
    <row r="425">
      <c r="A425" s="75" t="s">
        <v>1441</v>
      </c>
      <c r="B425" s="75">
        <v>54.0</v>
      </c>
      <c r="C425" s="75" t="s">
        <v>631</v>
      </c>
      <c r="D425" s="76" t="s">
        <v>1414</v>
      </c>
      <c r="E425" s="53" t="s">
        <v>871</v>
      </c>
      <c r="F425" s="54"/>
      <c r="G425" s="55">
        <v>2450.0</v>
      </c>
      <c r="DN425" s="57">
        <v>1.0</v>
      </c>
    </row>
    <row r="426">
      <c r="A426" s="75" t="s">
        <v>1442</v>
      </c>
      <c r="B426" s="75">
        <v>54.0</v>
      </c>
      <c r="C426" s="75" t="s">
        <v>631</v>
      </c>
      <c r="D426" s="106" t="s">
        <v>1364</v>
      </c>
      <c r="E426" s="53" t="s">
        <v>871</v>
      </c>
      <c r="F426" s="76" t="s">
        <v>1076</v>
      </c>
      <c r="G426" s="55">
        <v>2450.0</v>
      </c>
      <c r="DN426" s="57">
        <v>1.0</v>
      </c>
    </row>
    <row r="427">
      <c r="A427" s="75" t="s">
        <v>1443</v>
      </c>
      <c r="B427" s="75">
        <v>54.0</v>
      </c>
      <c r="C427" s="75" t="s">
        <v>631</v>
      </c>
      <c r="D427" s="76" t="s">
        <v>1414</v>
      </c>
      <c r="E427" s="53" t="s">
        <v>871</v>
      </c>
      <c r="F427" s="54"/>
      <c r="G427" s="55">
        <v>2450.0</v>
      </c>
      <c r="DN427" s="57">
        <v>1.0</v>
      </c>
    </row>
    <row r="428">
      <c r="A428" s="75" t="s">
        <v>1444</v>
      </c>
      <c r="B428" s="75">
        <v>55.0</v>
      </c>
      <c r="C428" s="75" t="s">
        <v>631</v>
      </c>
      <c r="D428" s="76" t="s">
        <v>1445</v>
      </c>
      <c r="E428" s="53" t="s">
        <v>871</v>
      </c>
      <c r="F428" s="54"/>
      <c r="G428" s="83">
        <v>2450.0</v>
      </c>
      <c r="DN428" s="57">
        <v>9.0</v>
      </c>
    </row>
    <row r="429">
      <c r="A429" s="75" t="s">
        <v>1446</v>
      </c>
      <c r="B429" s="75">
        <v>55.0</v>
      </c>
      <c r="C429" s="75" t="s">
        <v>631</v>
      </c>
      <c r="D429" s="76" t="s">
        <v>1447</v>
      </c>
      <c r="E429" s="53"/>
      <c r="F429" s="54"/>
      <c r="G429" s="83" t="s">
        <v>1448</v>
      </c>
      <c r="DN429" s="57">
        <v>7.0</v>
      </c>
    </row>
    <row r="430">
      <c r="A430" s="75" t="s">
        <v>1449</v>
      </c>
      <c r="B430" s="75">
        <v>55.0</v>
      </c>
      <c r="C430" s="75" t="s">
        <v>631</v>
      </c>
      <c r="D430" s="76" t="s">
        <v>1414</v>
      </c>
      <c r="E430" s="53" t="s">
        <v>871</v>
      </c>
      <c r="F430" s="54"/>
      <c r="G430" s="55">
        <v>2450.0</v>
      </c>
      <c r="DN430" s="91">
        <v>1.0</v>
      </c>
    </row>
    <row r="431">
      <c r="A431" s="75" t="s">
        <v>1450</v>
      </c>
      <c r="B431" s="75">
        <v>55.0</v>
      </c>
      <c r="C431" s="75" t="s">
        <v>631</v>
      </c>
      <c r="D431" s="76" t="s">
        <v>1414</v>
      </c>
      <c r="E431" s="53" t="s">
        <v>871</v>
      </c>
      <c r="F431" s="54"/>
      <c r="G431" s="55">
        <v>2450.0</v>
      </c>
      <c r="DN431" s="91">
        <v>1.0</v>
      </c>
    </row>
    <row r="432">
      <c r="A432" s="75" t="s">
        <v>1451</v>
      </c>
      <c r="B432" s="75">
        <v>55.0</v>
      </c>
      <c r="C432" s="75" t="s">
        <v>631</v>
      </c>
      <c r="D432" s="76" t="s">
        <v>1414</v>
      </c>
      <c r="E432" s="53" t="s">
        <v>871</v>
      </c>
      <c r="F432" s="54"/>
      <c r="G432" s="55">
        <v>2450.0</v>
      </c>
      <c r="DN432" s="91">
        <v>1.0</v>
      </c>
    </row>
    <row r="433">
      <c r="A433" s="75" t="s">
        <v>1452</v>
      </c>
      <c r="B433" s="75">
        <v>53.0</v>
      </c>
      <c r="C433" s="75" t="s">
        <v>631</v>
      </c>
      <c r="D433" s="76" t="s">
        <v>1414</v>
      </c>
      <c r="E433" s="53" t="s">
        <v>1453</v>
      </c>
      <c r="F433" s="76"/>
      <c r="G433" s="55">
        <v>2450.0</v>
      </c>
      <c r="DN433" s="92">
        <v>1.0</v>
      </c>
    </row>
    <row r="434">
      <c r="A434" s="75" t="s">
        <v>1452</v>
      </c>
      <c r="B434" s="75">
        <v>53.0</v>
      </c>
      <c r="C434" s="75" t="str">
        <f>vlookup(left(A434,2),Brands!$A$1:$B$36,2,0)</f>
        <v>IDEE</v>
      </c>
      <c r="D434" s="76" t="s">
        <v>1265</v>
      </c>
      <c r="E434" s="53" t="s">
        <v>932</v>
      </c>
      <c r="F434" s="76" t="s">
        <v>1454</v>
      </c>
      <c r="G434" s="55">
        <v>2450.0</v>
      </c>
      <c r="DN434" s="91">
        <v>1.0</v>
      </c>
    </row>
    <row r="435">
      <c r="A435" s="75" t="s">
        <v>1455</v>
      </c>
      <c r="B435" s="75">
        <v>51.0</v>
      </c>
      <c r="C435" s="75" t="str">
        <f>vlookup(left(A435,2),Brands!$A$1:$B$36,2,0)</f>
        <v>IDEE</v>
      </c>
      <c r="D435" s="114" t="s">
        <v>1456</v>
      </c>
      <c r="E435" s="53" t="s">
        <v>978</v>
      </c>
      <c r="F435" s="54"/>
      <c r="G435" s="55">
        <v>2450.0</v>
      </c>
      <c r="DN435" s="91">
        <v>2.0</v>
      </c>
    </row>
    <row r="436">
      <c r="A436" s="75" t="s">
        <v>1457</v>
      </c>
      <c r="B436" s="75">
        <v>51.0</v>
      </c>
      <c r="C436" s="75" t="str">
        <f>vlookup(left(A436,2),Brands!$A$1:$B$36,2,0)</f>
        <v>IDEE</v>
      </c>
      <c r="D436" s="107" t="s">
        <v>1458</v>
      </c>
      <c r="E436" s="53"/>
      <c r="F436" s="54"/>
      <c r="G436" s="83">
        <v>2450.0</v>
      </c>
      <c r="DN436" s="91">
        <v>1.0</v>
      </c>
    </row>
    <row r="437">
      <c r="A437" s="75" t="s">
        <v>1459</v>
      </c>
      <c r="B437" s="75">
        <v>55.0</v>
      </c>
      <c r="C437" s="75" t="str">
        <f>vlookup(left(A437,2),Brands!$A$1:$B$36,2,0)</f>
        <v>IDEE</v>
      </c>
      <c r="D437" s="76" t="s">
        <v>1460</v>
      </c>
      <c r="E437" s="53" t="s">
        <v>932</v>
      </c>
      <c r="F437" s="54"/>
      <c r="G437" s="83">
        <v>1800.0</v>
      </c>
      <c r="DN437" s="91">
        <v>1.0</v>
      </c>
    </row>
    <row r="438">
      <c r="A438" s="75" t="s">
        <v>1461</v>
      </c>
      <c r="B438" s="75">
        <v>52.0</v>
      </c>
      <c r="C438" s="75" t="str">
        <f>vlookup(left(A438,2),Brands!$A$1:$B$36,2,0)</f>
        <v>IDEE</v>
      </c>
      <c r="D438" s="76" t="s">
        <v>1462</v>
      </c>
      <c r="E438" s="53" t="s">
        <v>932</v>
      </c>
      <c r="F438" s="54"/>
      <c r="G438" s="83"/>
      <c r="DN438" s="91">
        <v>2.0</v>
      </c>
    </row>
    <row r="439">
      <c r="A439" s="75" t="s">
        <v>1463</v>
      </c>
      <c r="B439" s="75">
        <v>53.0</v>
      </c>
      <c r="C439" s="75" t="str">
        <f>vlookup(left(A439,2),Brands!$A$1:$B$36,2,0)</f>
        <v>IDEE</v>
      </c>
      <c r="D439" s="107" t="s">
        <v>1319</v>
      </c>
      <c r="E439" s="53"/>
      <c r="F439" s="54"/>
      <c r="G439" s="55"/>
      <c r="DN439" s="91">
        <v>1.0</v>
      </c>
    </row>
    <row r="440">
      <c r="A440" s="75" t="s">
        <v>1464</v>
      </c>
      <c r="B440" s="75">
        <v>52.0</v>
      </c>
      <c r="C440" s="75" t="str">
        <f>vlookup(left(A440,2),Brands!$A$1:$B$36,2,0)</f>
        <v>IDEE</v>
      </c>
      <c r="D440" s="76" t="s">
        <v>1305</v>
      </c>
      <c r="E440" s="53" t="s">
        <v>1351</v>
      </c>
      <c r="F440" s="54"/>
      <c r="G440" s="55">
        <v>1800.0</v>
      </c>
      <c r="DN440" s="91">
        <v>1.0</v>
      </c>
    </row>
    <row r="441">
      <c r="A441" s="75" t="s">
        <v>1465</v>
      </c>
      <c r="B441" s="75">
        <v>50.0</v>
      </c>
      <c r="C441" s="75" t="str">
        <f>vlookup(left(A441,2),Brands!$A$1:$B$36,2,0)</f>
        <v>IDEE</v>
      </c>
      <c r="D441" s="106" t="s">
        <v>1295</v>
      </c>
      <c r="E441" s="53"/>
      <c r="F441" s="54"/>
      <c r="G441" s="83">
        <v>1800.0</v>
      </c>
      <c r="DN441" s="91">
        <v>1.0</v>
      </c>
    </row>
    <row r="442">
      <c r="A442" s="75" t="s">
        <v>1466</v>
      </c>
      <c r="B442" s="75">
        <v>52.0</v>
      </c>
      <c r="C442" s="75" t="str">
        <f>vlookup(left(A442,2),Brands!$A$1:$B$36,2,0)</f>
        <v>IDEE</v>
      </c>
      <c r="D442" s="81" t="s">
        <v>1305</v>
      </c>
      <c r="E442" s="53"/>
      <c r="F442" s="54"/>
      <c r="G442" s="83"/>
      <c r="DN442" s="91">
        <v>1.0</v>
      </c>
    </row>
    <row r="443">
      <c r="A443" s="75" t="s">
        <v>1467</v>
      </c>
      <c r="B443" s="75">
        <v>51.0</v>
      </c>
      <c r="C443" s="75" t="s">
        <v>631</v>
      </c>
      <c r="D443" s="81" t="s">
        <v>1297</v>
      </c>
      <c r="E443" s="53"/>
      <c r="F443" s="54"/>
      <c r="G443" s="83">
        <v>1800.0</v>
      </c>
      <c r="DN443" s="91">
        <v>1.0</v>
      </c>
    </row>
    <row r="444">
      <c r="A444" s="75" t="s">
        <v>1468</v>
      </c>
      <c r="B444" s="75">
        <v>51.0</v>
      </c>
      <c r="C444" s="75" t="s">
        <v>631</v>
      </c>
      <c r="D444" s="76" t="s">
        <v>1293</v>
      </c>
      <c r="E444" s="53"/>
      <c r="F444" s="54"/>
      <c r="G444" s="83">
        <v>2100.0</v>
      </c>
      <c r="DN444" s="91">
        <v>1.0</v>
      </c>
    </row>
    <row r="445">
      <c r="A445" s="75" t="s">
        <v>1469</v>
      </c>
      <c r="B445" s="75">
        <v>50.0</v>
      </c>
      <c r="C445" s="75" t="str">
        <f>vlookup(left(A445,2),Brands!$A$1:$B$36,2,0)</f>
        <v>IDEE</v>
      </c>
      <c r="D445" s="106" t="s">
        <v>1297</v>
      </c>
      <c r="E445" s="53"/>
      <c r="F445" s="54"/>
      <c r="G445" s="83">
        <v>1800.0</v>
      </c>
      <c r="DN445" s="91">
        <v>1.0</v>
      </c>
    </row>
    <row r="446">
      <c r="A446" s="75" t="s">
        <v>1470</v>
      </c>
      <c r="B446" s="75">
        <v>50.0</v>
      </c>
      <c r="C446" s="75" t="str">
        <f>vlookup(left(A446,2),Brands!$A$1:$B$36,2,0)</f>
        <v>IDEE</v>
      </c>
      <c r="D446" s="76" t="s">
        <v>1471</v>
      </c>
      <c r="E446" s="53"/>
      <c r="F446" s="54"/>
      <c r="G446" s="83"/>
      <c r="DN446" s="91">
        <v>2.0</v>
      </c>
    </row>
    <row r="447">
      <c r="A447" s="75" t="s">
        <v>1473</v>
      </c>
      <c r="B447" s="75" t="s">
        <v>1003</v>
      </c>
      <c r="C447" s="75" t="s">
        <v>631</v>
      </c>
      <c r="D447" s="76" t="s">
        <v>1474</v>
      </c>
      <c r="E447" s="53" t="s">
        <v>885</v>
      </c>
      <c r="F447" s="54"/>
      <c r="G447" s="83">
        <v>2250.0</v>
      </c>
      <c r="DN447" s="91">
        <v>1.0</v>
      </c>
    </row>
    <row r="448">
      <c r="A448" s="75" t="s">
        <v>1475</v>
      </c>
      <c r="B448" s="75">
        <v>59.0</v>
      </c>
      <c r="C448" s="75" t="str">
        <f>vlookup(left(A448,2),Brands!$A$1:$B$36,2,0)</f>
        <v>IDEE</v>
      </c>
      <c r="D448" s="106" t="s">
        <v>1476</v>
      </c>
      <c r="E448" s="53" t="s">
        <v>885</v>
      </c>
      <c r="F448" s="54"/>
      <c r="G448" s="83">
        <v>2280.0</v>
      </c>
      <c r="DN448" s="91">
        <v>1.0</v>
      </c>
    </row>
    <row r="449">
      <c r="A449" s="75" t="s">
        <v>1477</v>
      </c>
      <c r="B449" s="75">
        <v>58.0</v>
      </c>
      <c r="C449" s="75" t="str">
        <f>vlookup(left(A449,2),Brands!$A$1:$B$36,2,0)</f>
        <v>IDEE</v>
      </c>
      <c r="D449" s="106" t="s">
        <v>1478</v>
      </c>
      <c r="E449" s="53" t="s">
        <v>885</v>
      </c>
      <c r="F449" s="54"/>
      <c r="G449" s="83">
        <v>2970.0</v>
      </c>
      <c r="DN449" s="91">
        <v>1.0</v>
      </c>
    </row>
    <row r="450">
      <c r="A450" s="75" t="s">
        <v>1479</v>
      </c>
      <c r="B450" s="75">
        <v>58.0</v>
      </c>
      <c r="C450" s="75" t="str">
        <f>vlookup(left(A450,2),Brands!$A$1:$B$36,2,0)</f>
        <v>IDEE</v>
      </c>
      <c r="D450" s="76" t="s">
        <v>1480</v>
      </c>
      <c r="E450" s="53" t="s">
        <v>885</v>
      </c>
      <c r="F450" s="54"/>
      <c r="G450" s="83">
        <v>2280.0</v>
      </c>
      <c r="DN450" s="91">
        <v>2.0</v>
      </c>
    </row>
    <row r="451">
      <c r="A451" s="75" t="s">
        <v>1481</v>
      </c>
      <c r="B451" s="75">
        <v>58.0</v>
      </c>
      <c r="C451" s="75" t="str">
        <f>vlookup(left(A451,2),Brands!$A$1:$B$36,2,0)</f>
        <v>IDEE</v>
      </c>
      <c r="D451" s="106" t="s">
        <v>1476</v>
      </c>
      <c r="E451" s="53" t="s">
        <v>885</v>
      </c>
      <c r="F451" s="76"/>
      <c r="G451" s="83">
        <v>2280.0</v>
      </c>
      <c r="DN451" s="91">
        <v>1.0</v>
      </c>
    </row>
    <row r="452">
      <c r="A452" s="75" t="s">
        <v>1482</v>
      </c>
      <c r="B452" s="75">
        <v>52.0</v>
      </c>
      <c r="C452" s="75" t="str">
        <f>vlookup(left(A452,2),Brands!$A$1:$B$36,2,0)</f>
        <v>IDEE</v>
      </c>
      <c r="D452" s="76" t="s">
        <v>1483</v>
      </c>
      <c r="E452" s="53" t="s">
        <v>885</v>
      </c>
      <c r="F452" s="76"/>
      <c r="G452" s="83">
        <v>2850.0</v>
      </c>
      <c r="DN452" s="91">
        <v>1.0</v>
      </c>
    </row>
    <row r="453">
      <c r="A453" s="75" t="s">
        <v>1484</v>
      </c>
      <c r="B453" s="75">
        <v>58.0</v>
      </c>
      <c r="C453" s="75" t="str">
        <f>vlookup(left(A453,2),Brands!$A$1:$B$36,2,0)</f>
        <v>IDEE</v>
      </c>
      <c r="D453" s="76" t="s">
        <v>1483</v>
      </c>
      <c r="E453" s="53" t="s">
        <v>885</v>
      </c>
      <c r="F453" s="76"/>
      <c r="G453" s="83">
        <v>2650.0</v>
      </c>
      <c r="DN453" s="91">
        <v>1.0</v>
      </c>
    </row>
    <row r="454">
      <c r="A454" s="75" t="s">
        <v>1485</v>
      </c>
      <c r="B454" s="75">
        <v>53.0</v>
      </c>
      <c r="C454" s="75" t="str">
        <f>vlookup(left(A454,2),Brands!$A$1:$B$36,2,0)</f>
        <v>IDEE</v>
      </c>
      <c r="D454" s="76" t="s">
        <v>1483</v>
      </c>
      <c r="E454" s="53" t="s">
        <v>885</v>
      </c>
      <c r="F454" s="76"/>
      <c r="G454" s="83">
        <v>2250.0</v>
      </c>
      <c r="DN454" s="91">
        <v>1.0</v>
      </c>
    </row>
    <row r="455">
      <c r="A455" s="75" t="s">
        <v>1486</v>
      </c>
      <c r="B455" s="75">
        <v>49.0</v>
      </c>
      <c r="C455" s="75" t="s">
        <v>631</v>
      </c>
      <c r="D455" s="76" t="s">
        <v>1487</v>
      </c>
      <c r="E455" s="53" t="s">
        <v>885</v>
      </c>
      <c r="F455" s="76"/>
      <c r="G455" s="83">
        <v>2250.0</v>
      </c>
      <c r="DN455" s="91">
        <v>1.0</v>
      </c>
    </row>
    <row r="456">
      <c r="A456" s="75" t="s">
        <v>1488</v>
      </c>
      <c r="B456" s="75">
        <v>56.0</v>
      </c>
      <c r="C456" s="75" t="str">
        <f>vlookup(left(A456,2),Brands!$A$1:$B$36,2,0)</f>
        <v>IDEE</v>
      </c>
      <c r="D456" s="76" t="s">
        <v>1489</v>
      </c>
      <c r="E456" s="53" t="s">
        <v>885</v>
      </c>
      <c r="F456" s="76"/>
      <c r="G456" s="83">
        <v>2495.0</v>
      </c>
      <c r="DN456" s="91">
        <v>1.0</v>
      </c>
    </row>
    <row r="457">
      <c r="A457" s="75" t="s">
        <v>1490</v>
      </c>
      <c r="B457" s="75">
        <v>57.0</v>
      </c>
      <c r="C457" s="75" t="str">
        <f>vlookup(left(A457,2),Brands!$A$1:$B$36,2,0)</f>
        <v>IDEE</v>
      </c>
      <c r="D457" s="76" t="s">
        <v>1483</v>
      </c>
      <c r="E457" s="53" t="s">
        <v>885</v>
      </c>
      <c r="F457" s="76"/>
      <c r="G457" s="83">
        <v>2480.0</v>
      </c>
      <c r="DN457" s="91">
        <v>1.0</v>
      </c>
    </row>
    <row r="458" ht="15.75" customHeight="1">
      <c r="A458" s="75" t="s">
        <v>1491</v>
      </c>
      <c r="B458" s="75">
        <v>58.0</v>
      </c>
      <c r="C458" s="75" t="s">
        <v>631</v>
      </c>
      <c r="D458" s="76" t="s">
        <v>1492</v>
      </c>
      <c r="E458" s="53" t="s">
        <v>885</v>
      </c>
      <c r="F458" s="76"/>
      <c r="G458" s="83">
        <v>2750.0</v>
      </c>
      <c r="DN458" s="91">
        <v>1.0</v>
      </c>
    </row>
    <row r="459">
      <c r="A459" s="75" t="s">
        <v>1493</v>
      </c>
      <c r="B459" s="75">
        <v>54.0</v>
      </c>
      <c r="C459" s="75" t="str">
        <f>vlookup(left(A459,2),Brands!$A$1:$B$36,2,0)</f>
        <v>IDEE</v>
      </c>
      <c r="D459" s="106" t="s">
        <v>1494</v>
      </c>
      <c r="E459" s="53" t="s">
        <v>885</v>
      </c>
      <c r="F459" s="76"/>
      <c r="G459" s="83">
        <v>2590.0</v>
      </c>
      <c r="DN459" s="91">
        <v>1.0</v>
      </c>
    </row>
    <row r="460" ht="16.5" customHeight="1">
      <c r="A460" s="75" t="s">
        <v>1495</v>
      </c>
      <c r="B460" s="75">
        <v>58.0</v>
      </c>
      <c r="C460" s="75" t="str">
        <f>vlookup(left(A460,2),Brands!$A$1:$B$36,2,0)</f>
        <v>IDEE</v>
      </c>
      <c r="D460" s="76" t="s">
        <v>1496</v>
      </c>
      <c r="E460" s="53" t="s">
        <v>885</v>
      </c>
      <c r="F460" s="76"/>
      <c r="G460" s="83">
        <v>2850.0</v>
      </c>
      <c r="DN460" s="91">
        <v>1.0</v>
      </c>
    </row>
    <row r="461">
      <c r="A461" s="75" t="s">
        <v>1497</v>
      </c>
      <c r="B461" s="75">
        <v>54.0</v>
      </c>
      <c r="C461" s="75" t="str">
        <f>vlookup(left(A461,2),Brands!$A$1:$B$36,2,0)</f>
        <v>IDEE</v>
      </c>
      <c r="D461" s="76" t="s">
        <v>1498</v>
      </c>
      <c r="E461" s="53" t="s">
        <v>885</v>
      </c>
      <c r="F461" s="76"/>
      <c r="G461" s="83">
        <v>2850.0</v>
      </c>
      <c r="DN461" s="91">
        <v>2.0</v>
      </c>
    </row>
    <row r="462">
      <c r="A462" s="75" t="s">
        <v>1499</v>
      </c>
      <c r="B462" s="75">
        <v>50.0</v>
      </c>
      <c r="C462" s="75" t="str">
        <f>vlookup(left(A462,2),Brands!$A$1:$B$36,2,0)</f>
        <v>IDEE</v>
      </c>
      <c r="D462" s="76" t="s">
        <v>1487</v>
      </c>
      <c r="E462" s="53" t="s">
        <v>885</v>
      </c>
      <c r="F462" s="76"/>
      <c r="G462" s="83">
        <v>2950.0</v>
      </c>
      <c r="DN462" s="91">
        <v>1.0</v>
      </c>
    </row>
    <row r="463">
      <c r="A463" s="75" t="s">
        <v>1500</v>
      </c>
      <c r="B463" s="75">
        <v>50.0</v>
      </c>
      <c r="C463" s="75" t="str">
        <f>vlookup(left(A463,2),Brands!$A$1:$B$36,2,0)</f>
        <v>IDEE</v>
      </c>
      <c r="D463" s="106" t="s">
        <v>1478</v>
      </c>
      <c r="E463" s="53" t="s">
        <v>885</v>
      </c>
      <c r="F463" s="76"/>
      <c r="G463" s="83">
        <v>2950.0</v>
      </c>
      <c r="DN463" s="91">
        <v>1.0</v>
      </c>
    </row>
    <row r="464">
      <c r="A464" s="75" t="s">
        <v>1501</v>
      </c>
      <c r="B464" s="75">
        <v>56.0</v>
      </c>
      <c r="C464" s="75" t="str">
        <f>vlookup(left(A464,2),Brands!$A$1:$B$36,2,0)</f>
        <v>IDEE</v>
      </c>
      <c r="D464" s="76" t="s">
        <v>1483</v>
      </c>
      <c r="E464" s="53" t="s">
        <v>885</v>
      </c>
      <c r="F464" s="76"/>
      <c r="G464" s="83">
        <v>2950.0</v>
      </c>
      <c r="DN464" s="91">
        <v>1.0</v>
      </c>
    </row>
    <row r="465">
      <c r="A465" s="75" t="s">
        <v>1502</v>
      </c>
      <c r="B465" s="75">
        <v>56.0</v>
      </c>
      <c r="C465" s="75" t="str">
        <f>vlookup(left(A465,2),Brands!$A$1:$B$36,2,0)</f>
        <v>IDEE</v>
      </c>
      <c r="D465" s="76" t="s">
        <v>1483</v>
      </c>
      <c r="E465" s="53" t="s">
        <v>885</v>
      </c>
      <c r="F465" s="76"/>
      <c r="G465" s="83">
        <v>2950.0</v>
      </c>
      <c r="DN465" s="91">
        <v>1.0</v>
      </c>
    </row>
    <row r="466">
      <c r="A466" s="75" t="s">
        <v>1503</v>
      </c>
      <c r="B466" s="75" t="s">
        <v>1003</v>
      </c>
      <c r="C466" s="75" t="str">
        <f>vlookup(left(A466,2),Brands!$A$1:$B$36,2,0)</f>
        <v>IDEE</v>
      </c>
      <c r="D466" s="76" t="s">
        <v>1504</v>
      </c>
      <c r="E466" s="53" t="s">
        <v>885</v>
      </c>
      <c r="F466" s="76"/>
      <c r="G466" s="83">
        <v>2590.0</v>
      </c>
      <c r="DN466" s="91">
        <v>2.0</v>
      </c>
    </row>
    <row r="467">
      <c r="A467" s="75" t="s">
        <v>1505</v>
      </c>
      <c r="B467" s="75" t="s">
        <v>1003</v>
      </c>
      <c r="C467" s="75" t="str">
        <f>vlookup(left(A467,2),Brands!$A$1:$B$36,2,0)</f>
        <v>IDEE</v>
      </c>
      <c r="D467" s="76" t="s">
        <v>1265</v>
      </c>
      <c r="E467" s="53" t="s">
        <v>885</v>
      </c>
      <c r="F467" s="76" t="s">
        <v>1229</v>
      </c>
      <c r="G467" s="83">
        <v>2750.0</v>
      </c>
      <c r="DN467" s="91">
        <v>1.0</v>
      </c>
    </row>
    <row r="468">
      <c r="A468" s="75" t="s">
        <v>1506</v>
      </c>
      <c r="B468" s="75">
        <v>53.0</v>
      </c>
      <c r="C468" s="75" t="str">
        <f>vlookup(left(A468,2),Brands!$A$1:$B$36,2,0)</f>
        <v>IDEE</v>
      </c>
      <c r="D468" s="76" t="s">
        <v>1483</v>
      </c>
      <c r="E468" s="53" t="s">
        <v>885</v>
      </c>
      <c r="F468" s="76"/>
      <c r="G468" s="83">
        <v>2590.0</v>
      </c>
      <c r="DN468" s="91">
        <v>1.0</v>
      </c>
    </row>
    <row r="469">
      <c r="A469" s="75" t="s">
        <v>1507</v>
      </c>
      <c r="B469" s="75">
        <v>56.0</v>
      </c>
      <c r="C469" s="75" t="str">
        <f>vlookup(left(A469,2),Brands!$A$1:$B$36,2,0)</f>
        <v>IDEE</v>
      </c>
      <c r="D469" s="106" t="s">
        <v>1494</v>
      </c>
      <c r="E469" s="53" t="s">
        <v>885</v>
      </c>
      <c r="F469" s="76"/>
      <c r="G469" s="83">
        <v>2350.0</v>
      </c>
      <c r="DN469" s="91">
        <v>1.0</v>
      </c>
    </row>
    <row r="470">
      <c r="A470" s="75" t="s">
        <v>1508</v>
      </c>
      <c r="B470" s="75">
        <v>49.0</v>
      </c>
      <c r="C470" s="75" t="s">
        <v>631</v>
      </c>
      <c r="D470" s="76" t="s">
        <v>1487</v>
      </c>
      <c r="E470" s="53" t="s">
        <v>885</v>
      </c>
      <c r="F470" s="76"/>
      <c r="G470" s="83">
        <v>2550.0</v>
      </c>
      <c r="DN470" s="91">
        <v>1.0</v>
      </c>
    </row>
    <row r="471">
      <c r="A471" s="75" t="s">
        <v>1509</v>
      </c>
      <c r="B471" s="75">
        <v>52.0</v>
      </c>
      <c r="C471" s="75" t="str">
        <f>vlookup(left(A471,2),Brands!$A$1:$B$36,2,0)</f>
        <v>IDEE</v>
      </c>
      <c r="D471" s="76" t="s">
        <v>1496</v>
      </c>
      <c r="E471" s="53" t="s">
        <v>885</v>
      </c>
      <c r="F471" s="76" t="s">
        <v>1301</v>
      </c>
      <c r="G471" s="83">
        <v>2850.0</v>
      </c>
      <c r="DN471" s="91">
        <v>1.0</v>
      </c>
    </row>
    <row r="472">
      <c r="A472" s="75" t="s">
        <v>1510</v>
      </c>
      <c r="B472" s="75">
        <v>52.0</v>
      </c>
      <c r="C472" s="75" t="str">
        <f>vlookup(left(A472,2),Brands!$A$1:$B$36,2,0)</f>
        <v>IDEE</v>
      </c>
      <c r="D472" s="76" t="s">
        <v>1511</v>
      </c>
      <c r="E472" s="53" t="s">
        <v>885</v>
      </c>
      <c r="F472" s="76"/>
      <c r="G472" s="83">
        <v>2850.0</v>
      </c>
      <c r="DN472" s="91">
        <v>1.0</v>
      </c>
    </row>
    <row r="473">
      <c r="A473" s="75" t="s">
        <v>1512</v>
      </c>
      <c r="B473" s="75">
        <v>56.0</v>
      </c>
      <c r="C473" s="75" t="str">
        <f>vlookup(left(A473,2),Brands!$A$1:$B$36,2,0)</f>
        <v>IDEE</v>
      </c>
      <c r="D473" s="76" t="s">
        <v>1513</v>
      </c>
      <c r="E473" s="53" t="s">
        <v>885</v>
      </c>
      <c r="F473" s="76"/>
      <c r="G473" s="83">
        <v>2780.0</v>
      </c>
      <c r="DN473" s="91">
        <v>1.0</v>
      </c>
    </row>
    <row r="474">
      <c r="A474" s="75" t="s">
        <v>1514</v>
      </c>
      <c r="B474" s="75">
        <v>57.0</v>
      </c>
      <c r="C474" s="75" t="str">
        <f>vlookup(left(A474,2),Brands!$A$1:$B$36,2,0)</f>
        <v>IDEE</v>
      </c>
      <c r="D474" s="76" t="s">
        <v>1515</v>
      </c>
      <c r="E474" s="53" t="s">
        <v>885</v>
      </c>
      <c r="F474" s="76"/>
      <c r="G474" s="83">
        <v>2350.0</v>
      </c>
      <c r="DN474" s="91">
        <v>2.0</v>
      </c>
    </row>
    <row r="475">
      <c r="A475" s="75" t="s">
        <v>1516</v>
      </c>
      <c r="B475" s="75">
        <v>57.0</v>
      </c>
      <c r="C475" s="75" t="str">
        <f>vlookup(left(A475,2),Brands!$A$1:$B$36,2,0)</f>
        <v>IDEE</v>
      </c>
      <c r="D475" s="76" t="s">
        <v>1123</v>
      </c>
      <c r="E475" s="53" t="s">
        <v>885</v>
      </c>
      <c r="F475" s="76"/>
      <c r="G475" s="83">
        <v>2590.0</v>
      </c>
      <c r="DN475" s="92">
        <v>1.0</v>
      </c>
    </row>
    <row r="476">
      <c r="A476" s="75" t="s">
        <v>1517</v>
      </c>
      <c r="B476" s="75">
        <v>60.0</v>
      </c>
      <c r="C476" s="75" t="str">
        <f>vlookup(left(A476,2),Brands!$A$1:$B$36,2,0)</f>
        <v>IDEE</v>
      </c>
      <c r="D476" s="76" t="s">
        <v>1513</v>
      </c>
      <c r="E476" s="53" t="s">
        <v>885</v>
      </c>
      <c r="F476" s="76"/>
      <c r="G476" s="83">
        <v>2350.0</v>
      </c>
      <c r="DN476" s="91">
        <v>1.0</v>
      </c>
    </row>
    <row r="477">
      <c r="A477" s="75" t="s">
        <v>1518</v>
      </c>
      <c r="B477" s="75">
        <v>53.0</v>
      </c>
      <c r="C477" s="75" t="str">
        <f>vlookup(left(A477,2),Brands!$A$1:$B$36,2,0)</f>
        <v>IDEE</v>
      </c>
      <c r="D477" s="76" t="s">
        <v>1519</v>
      </c>
      <c r="E477" s="53" t="s">
        <v>885</v>
      </c>
      <c r="F477" s="76"/>
      <c r="G477" s="83">
        <v>2350.0</v>
      </c>
      <c r="DN477" s="91">
        <v>1.0</v>
      </c>
    </row>
    <row r="478">
      <c r="A478" s="75" t="s">
        <v>1520</v>
      </c>
      <c r="B478" s="75">
        <v>53.0</v>
      </c>
      <c r="C478" s="75" t="str">
        <f>vlookup(left(A478,2),Brands!$A$1:$B$36,2,0)</f>
        <v>IDEE</v>
      </c>
      <c r="D478" s="76" t="s">
        <v>1521</v>
      </c>
      <c r="E478" s="53" t="s">
        <v>885</v>
      </c>
      <c r="F478" s="76"/>
      <c r="G478" s="83">
        <v>2590.0</v>
      </c>
      <c r="DN478" s="91">
        <v>1.0</v>
      </c>
    </row>
    <row r="479">
      <c r="A479" s="75" t="s">
        <v>1522</v>
      </c>
      <c r="B479" s="75">
        <v>58.0</v>
      </c>
      <c r="C479" s="75" t="str">
        <f>vlookup(left(A479,2),Brands!$A$1:$B$36,2,0)</f>
        <v>IDEE</v>
      </c>
      <c r="D479" s="76" t="s">
        <v>1265</v>
      </c>
      <c r="E479" s="53" t="s">
        <v>885</v>
      </c>
      <c r="F479" s="76" t="s">
        <v>1229</v>
      </c>
      <c r="G479" s="83">
        <v>2590.0</v>
      </c>
      <c r="DN479" s="91">
        <v>1.0</v>
      </c>
    </row>
    <row r="480">
      <c r="A480" s="75" t="s">
        <v>1523</v>
      </c>
      <c r="B480" s="75">
        <v>62.0</v>
      </c>
      <c r="C480" s="75" t="s">
        <v>631</v>
      </c>
      <c r="D480" s="106" t="s">
        <v>1494</v>
      </c>
      <c r="E480" s="53" t="s">
        <v>885</v>
      </c>
      <c r="F480" s="54"/>
      <c r="G480" s="83">
        <v>2850.0</v>
      </c>
      <c r="DN480" s="91">
        <v>1.0</v>
      </c>
    </row>
    <row r="481">
      <c r="A481" s="75" t="s">
        <v>1524</v>
      </c>
      <c r="B481" s="75"/>
      <c r="C481" s="75" t="s">
        <v>631</v>
      </c>
      <c r="D481" s="76" t="s">
        <v>1492</v>
      </c>
      <c r="E481" s="53" t="s">
        <v>885</v>
      </c>
      <c r="F481" s="54"/>
      <c r="G481" s="83">
        <v>2590.0</v>
      </c>
      <c r="DN481" s="92">
        <v>1.0</v>
      </c>
    </row>
    <row r="482">
      <c r="A482" s="75" t="s">
        <v>1525</v>
      </c>
      <c r="B482" s="75" t="s">
        <v>1003</v>
      </c>
      <c r="C482" s="75" t="str">
        <f>vlookup(left(A482,2),Brands!$A$1:$B$36,2,0)</f>
        <v>IDEE</v>
      </c>
      <c r="D482" s="76" t="s">
        <v>1265</v>
      </c>
      <c r="E482" s="53" t="s">
        <v>885</v>
      </c>
      <c r="G482" s="76" t="s">
        <v>1526</v>
      </c>
      <c r="DN482" s="91">
        <v>1.0</v>
      </c>
    </row>
    <row r="483">
      <c r="A483" s="75" t="s">
        <v>1527</v>
      </c>
      <c r="B483" s="75" t="s">
        <v>1003</v>
      </c>
      <c r="C483" s="75" t="str">
        <f>vlookup(left(A483,2),Brands!$A$1:$B$36,2,0)</f>
        <v>IDEE</v>
      </c>
      <c r="D483" s="76" t="s">
        <v>1528</v>
      </c>
      <c r="E483" s="53" t="s">
        <v>885</v>
      </c>
      <c r="F483" s="54"/>
      <c r="G483" s="83">
        <v>2980.0</v>
      </c>
      <c r="DN483" s="91">
        <v>1.0</v>
      </c>
    </row>
    <row r="484">
      <c r="A484" s="75" t="s">
        <v>1529</v>
      </c>
      <c r="B484" s="75">
        <v>49.0</v>
      </c>
      <c r="C484" s="75" t="str">
        <f>vlookup(left(A484,2),Brands!$A$1:$B$36,2,0)</f>
        <v>IDEE</v>
      </c>
      <c r="D484" s="106" t="s">
        <v>1478</v>
      </c>
      <c r="E484" s="53" t="s">
        <v>885</v>
      </c>
      <c r="F484" s="54"/>
      <c r="G484" s="83">
        <v>2780.0</v>
      </c>
      <c r="DN484" s="91">
        <v>1.0</v>
      </c>
    </row>
    <row r="485" ht="17.25" customHeight="1">
      <c r="A485" s="75" t="s">
        <v>1530</v>
      </c>
      <c r="B485" s="75">
        <v>57.0</v>
      </c>
      <c r="C485" s="75" t="s">
        <v>631</v>
      </c>
      <c r="D485" s="106" t="s">
        <v>1531</v>
      </c>
      <c r="E485" s="53" t="s">
        <v>885</v>
      </c>
      <c r="F485" s="54"/>
      <c r="G485" s="83">
        <v>2590.0</v>
      </c>
      <c r="DN485" s="91">
        <v>1.0</v>
      </c>
    </row>
    <row r="486">
      <c r="A486" s="75" t="s">
        <v>1532</v>
      </c>
      <c r="B486" s="75">
        <v>51.0</v>
      </c>
      <c r="C486" s="75" t="s">
        <v>631</v>
      </c>
      <c r="D486" s="76" t="s">
        <v>1489</v>
      </c>
      <c r="E486" s="53" t="s">
        <v>885</v>
      </c>
      <c r="F486" s="54"/>
      <c r="G486" s="83">
        <v>2080.0</v>
      </c>
      <c r="DN486" s="91">
        <v>1.0</v>
      </c>
    </row>
    <row r="487">
      <c r="A487" s="75" t="s">
        <v>1533</v>
      </c>
      <c r="B487" s="75">
        <v>51.0</v>
      </c>
      <c r="C487" s="75" t="s">
        <v>631</v>
      </c>
      <c r="D487" s="106" t="s">
        <v>1534</v>
      </c>
      <c r="E487" s="53" t="s">
        <v>885</v>
      </c>
      <c r="F487" s="54"/>
      <c r="G487" s="83">
        <v>2080.0</v>
      </c>
      <c r="DN487" s="91">
        <v>1.0</v>
      </c>
    </row>
    <row r="488" ht="15.75" customHeight="1">
      <c r="A488" s="75" t="s">
        <v>1535</v>
      </c>
      <c r="B488" s="75">
        <v>52.0</v>
      </c>
      <c r="C488" s="75" t="s">
        <v>631</v>
      </c>
      <c r="D488" s="76" t="s">
        <v>1483</v>
      </c>
      <c r="E488" s="53" t="s">
        <v>885</v>
      </c>
      <c r="F488" s="54"/>
      <c r="G488" s="83">
        <v>2450.0</v>
      </c>
      <c r="DN488" s="57">
        <v>1.0</v>
      </c>
    </row>
    <row r="489" ht="15.75" customHeight="1">
      <c r="A489" s="75" t="s">
        <v>1536</v>
      </c>
      <c r="B489" s="75">
        <v>52.0</v>
      </c>
      <c r="C489" s="75" t="str">
        <f>vlookup(left(A489,2),Brands!$A$1:$B$36,2,0)</f>
        <v>IDEE</v>
      </c>
      <c r="D489" s="76" t="s">
        <v>1537</v>
      </c>
      <c r="E489" s="53" t="s">
        <v>885</v>
      </c>
      <c r="F489" s="54"/>
      <c r="G489" s="83">
        <v>2780.0</v>
      </c>
      <c r="DN489" s="77">
        <v>2.0</v>
      </c>
    </row>
    <row r="490" ht="15.75" customHeight="1">
      <c r="A490" s="75" t="s">
        <v>1538</v>
      </c>
      <c r="B490" s="75"/>
      <c r="C490" s="75" t="str">
        <f>vlookup(left(A490,2),Brands!$A$1:$B$36,2,0)</f>
        <v>IDEE</v>
      </c>
      <c r="D490" s="76" t="s">
        <v>1539</v>
      </c>
      <c r="E490" s="53" t="s">
        <v>885</v>
      </c>
      <c r="F490" s="54"/>
      <c r="G490" s="83">
        <v>2780.0</v>
      </c>
      <c r="DN490" s="77">
        <v>1.0</v>
      </c>
    </row>
    <row r="491" ht="15.75" customHeight="1">
      <c r="A491" s="75" t="s">
        <v>1540</v>
      </c>
      <c r="B491" s="75">
        <v>62.0</v>
      </c>
      <c r="C491" s="75" t="s">
        <v>631</v>
      </c>
      <c r="D491" s="76" t="s">
        <v>1541</v>
      </c>
      <c r="E491" s="53" t="s">
        <v>885</v>
      </c>
      <c r="F491" s="54"/>
      <c r="G491" s="83">
        <v>2590.0</v>
      </c>
      <c r="DN491" s="57">
        <v>2.0</v>
      </c>
    </row>
    <row r="492" ht="15.75" customHeight="1">
      <c r="A492" s="75" t="s">
        <v>1542</v>
      </c>
      <c r="B492" s="75">
        <v>62.0</v>
      </c>
      <c r="C492" s="75" t="str">
        <f>vlookup(left(A492,2),Brands!$A$1:$B$36,2,0)</f>
        <v>IDEE</v>
      </c>
      <c r="D492" s="76" t="s">
        <v>1521</v>
      </c>
      <c r="E492" s="53" t="s">
        <v>885</v>
      </c>
      <c r="F492" s="54"/>
      <c r="G492" s="83">
        <v>2590.0</v>
      </c>
      <c r="DN492" s="57">
        <v>1.0</v>
      </c>
    </row>
    <row r="493" ht="15.75" customHeight="1">
      <c r="A493" s="75" t="s">
        <v>1543</v>
      </c>
      <c r="B493" s="75">
        <v>62.0</v>
      </c>
      <c r="C493" s="75" t="str">
        <f>vlookup(left(A493,2),Brands!$A$1:$B$36,2,0)</f>
        <v>IDEE</v>
      </c>
      <c r="D493" s="76" t="s">
        <v>1521</v>
      </c>
      <c r="E493" s="53" t="s">
        <v>885</v>
      </c>
      <c r="F493" s="54"/>
      <c r="G493" s="83">
        <v>2590.0</v>
      </c>
      <c r="DN493" s="57">
        <v>1.0</v>
      </c>
    </row>
    <row r="494" ht="15.75" customHeight="1">
      <c r="A494" s="75" t="s">
        <v>1544</v>
      </c>
      <c r="B494" s="75">
        <v>56.0</v>
      </c>
      <c r="C494" s="75" t="str">
        <f>vlookup(left(A494,2),Brands!$A$1:$B$36,2,0)</f>
        <v>IDEE</v>
      </c>
      <c r="D494" s="76" t="s">
        <v>1489</v>
      </c>
      <c r="E494" s="53" t="s">
        <v>885</v>
      </c>
      <c r="F494" s="54"/>
      <c r="G494" s="83">
        <v>2590.0</v>
      </c>
      <c r="DN494" s="57">
        <v>1.0</v>
      </c>
    </row>
    <row r="495">
      <c r="A495" s="75" t="s">
        <v>1545</v>
      </c>
      <c r="B495" s="75">
        <v>57.0</v>
      </c>
      <c r="C495" s="75" t="str">
        <f>vlookup(left(A495,2),Brands!$A$1:$B$36,2,0)</f>
        <v>IDEE</v>
      </c>
      <c r="D495" s="76" t="s">
        <v>1546</v>
      </c>
      <c r="E495" s="53" t="s">
        <v>885</v>
      </c>
      <c r="F495" s="54"/>
      <c r="G495" s="83">
        <v>2590.0</v>
      </c>
      <c r="DN495" s="57">
        <v>2.0</v>
      </c>
    </row>
    <row r="496">
      <c r="A496" s="75" t="s">
        <v>1547</v>
      </c>
      <c r="B496" s="75">
        <v>53.0</v>
      </c>
      <c r="C496" s="75" t="str">
        <f>vlookup(left(A496,2),Brands!$A$1:$B$36,2,0)</f>
        <v>IDEE</v>
      </c>
      <c r="D496" s="76" t="s">
        <v>1487</v>
      </c>
      <c r="E496" s="53" t="s">
        <v>885</v>
      </c>
      <c r="F496" s="54"/>
      <c r="G496" s="83">
        <v>2780.0</v>
      </c>
      <c r="DN496" s="57">
        <v>1.0</v>
      </c>
    </row>
    <row r="497">
      <c r="A497" s="75" t="s">
        <v>1548</v>
      </c>
      <c r="B497" s="75">
        <v>55.0</v>
      </c>
      <c r="C497" s="75" t="str">
        <f>vlookup(left(A497,2),Brands!$A$1:$B$36,2,0)</f>
        <v>IDEE</v>
      </c>
      <c r="D497" s="76" t="s">
        <v>1515</v>
      </c>
      <c r="E497" s="53" t="s">
        <v>885</v>
      </c>
      <c r="F497" s="54"/>
      <c r="G497" s="83">
        <v>2590.0</v>
      </c>
      <c r="DN497" s="57">
        <v>2.0</v>
      </c>
    </row>
    <row r="498">
      <c r="A498" s="75" t="s">
        <v>1549</v>
      </c>
      <c r="B498" s="75">
        <v>58.0</v>
      </c>
      <c r="C498" s="75" t="str">
        <f>vlookup(left(A498,2),Brands!$A$1:$B$36,2,0)</f>
        <v>IDEE</v>
      </c>
      <c r="D498" s="106" t="s">
        <v>1476</v>
      </c>
      <c r="E498" s="53" t="s">
        <v>885</v>
      </c>
      <c r="F498" s="54"/>
      <c r="G498" s="83">
        <v>2950.0</v>
      </c>
      <c r="DN498" s="57">
        <v>1.0</v>
      </c>
    </row>
    <row r="499">
      <c r="A499" s="75" t="s">
        <v>1550</v>
      </c>
      <c r="B499" s="75">
        <v>53.0</v>
      </c>
      <c r="C499" s="75" t="str">
        <f>vlookup(left(A499,2),Brands!$A$1:$B$36,2,0)</f>
        <v>IDEE</v>
      </c>
      <c r="D499" s="76" t="s">
        <v>1528</v>
      </c>
      <c r="E499" s="53" t="s">
        <v>885</v>
      </c>
      <c r="F499" s="54"/>
      <c r="G499" s="83">
        <v>2950.0</v>
      </c>
      <c r="DN499" s="57">
        <v>1.0</v>
      </c>
    </row>
    <row r="500">
      <c r="A500" s="75" t="s">
        <v>1551</v>
      </c>
      <c r="B500" s="75">
        <v>58.0</v>
      </c>
      <c r="C500" s="75" t="str">
        <f>vlookup(left(A500,2),Brands!$A$1:$B$36,2,0)</f>
        <v>IDEE</v>
      </c>
      <c r="D500" s="76" t="s">
        <v>1528</v>
      </c>
      <c r="E500" s="53" t="s">
        <v>885</v>
      </c>
      <c r="F500" s="54"/>
      <c r="G500" s="83">
        <v>2950.0</v>
      </c>
      <c r="DN500" s="57">
        <v>1.0</v>
      </c>
    </row>
    <row r="501">
      <c r="A501" s="75" t="s">
        <v>1552</v>
      </c>
      <c r="B501" s="75">
        <v>59.0</v>
      </c>
      <c r="C501" s="75" t="str">
        <f>vlookup(left(A501,2),Brands!$A$1:$B$36,2,0)</f>
        <v>IDEE</v>
      </c>
      <c r="D501" s="76" t="s">
        <v>1513</v>
      </c>
      <c r="E501" s="53" t="s">
        <v>885</v>
      </c>
      <c r="F501" s="54"/>
      <c r="G501" s="83">
        <v>2650.0</v>
      </c>
      <c r="DN501" s="57">
        <v>1.0</v>
      </c>
    </row>
    <row r="502">
      <c r="A502" s="75" t="s">
        <v>1553</v>
      </c>
      <c r="B502" s="75">
        <v>58.0</v>
      </c>
      <c r="C502" s="75" t="str">
        <f>vlookup(left(A502,2),Brands!$A$1:$B$36,2,0)</f>
        <v>IDEE</v>
      </c>
      <c r="D502" s="106" t="s">
        <v>1554</v>
      </c>
      <c r="E502" s="53" t="s">
        <v>885</v>
      </c>
      <c r="F502" s="54"/>
      <c r="G502" s="83"/>
      <c r="DN502" s="57">
        <v>1.0</v>
      </c>
    </row>
    <row r="503">
      <c r="A503" s="75" t="s">
        <v>1555</v>
      </c>
      <c r="B503" s="75">
        <v>58.0</v>
      </c>
      <c r="C503" s="75" t="str">
        <f>vlookup(left(A503,2),Brands!$A$1:$B$36,2,0)</f>
        <v>IDEE</v>
      </c>
      <c r="D503" s="76" t="s">
        <v>1496</v>
      </c>
      <c r="E503" s="53" t="s">
        <v>885</v>
      </c>
      <c r="F503" s="54"/>
      <c r="G503" s="83">
        <v>2590.0</v>
      </c>
      <c r="DN503" s="57">
        <v>1.0</v>
      </c>
    </row>
    <row r="504">
      <c r="A504" s="75" t="s">
        <v>1556</v>
      </c>
      <c r="B504" s="75">
        <v>58.0</v>
      </c>
      <c r="C504" s="75" t="str">
        <f>vlookup(left(A504,2),Brands!$A$1:$B$36,2,0)</f>
        <v>IDEE</v>
      </c>
      <c r="D504" s="76" t="s">
        <v>1483</v>
      </c>
      <c r="E504" s="53" t="s">
        <v>885</v>
      </c>
      <c r="F504" s="54"/>
      <c r="G504" s="83">
        <v>2780.0</v>
      </c>
      <c r="DN504" s="57">
        <v>1.0</v>
      </c>
    </row>
    <row r="505">
      <c r="A505" s="75" t="s">
        <v>1557</v>
      </c>
      <c r="B505" s="75">
        <v>58.0</v>
      </c>
      <c r="C505" s="75" t="str">
        <f>vlookup(left(A505,2),Brands!$A$1:$B$36,2,0)</f>
        <v>IDEE</v>
      </c>
      <c r="D505" s="106" t="s">
        <v>1554</v>
      </c>
      <c r="E505" s="53" t="s">
        <v>885</v>
      </c>
      <c r="F505" s="54"/>
      <c r="G505" s="83">
        <v>2590.0</v>
      </c>
      <c r="DN505" s="57">
        <v>1.0</v>
      </c>
    </row>
    <row r="506">
      <c r="A506" s="75" t="s">
        <v>1558</v>
      </c>
      <c r="B506" s="75">
        <v>58.0</v>
      </c>
      <c r="C506" s="75" t="str">
        <f>vlookup(left(A506,2),Brands!$A$1:$B$36,2,0)</f>
        <v>IDEE</v>
      </c>
      <c r="D506" s="106" t="s">
        <v>1554</v>
      </c>
      <c r="E506" s="53" t="s">
        <v>885</v>
      </c>
      <c r="F506" s="54"/>
      <c r="G506" s="83">
        <v>2590.0</v>
      </c>
      <c r="DN506" s="57">
        <v>1.0</v>
      </c>
    </row>
    <row r="507">
      <c r="A507" s="75" t="s">
        <v>1559</v>
      </c>
      <c r="B507" s="75">
        <v>58.0</v>
      </c>
      <c r="C507" s="75" t="str">
        <f>vlookup(left(A507,2),Brands!$A$1:$B$36,2,0)</f>
        <v>IDEE</v>
      </c>
      <c r="D507" s="76" t="s">
        <v>1474</v>
      </c>
      <c r="E507" s="53" t="s">
        <v>885</v>
      </c>
      <c r="F507" s="54"/>
      <c r="G507" s="83">
        <v>2590.0</v>
      </c>
      <c r="DN507" s="57">
        <v>1.0</v>
      </c>
    </row>
    <row r="508">
      <c r="A508" s="75" t="s">
        <v>1560</v>
      </c>
      <c r="B508" s="75" t="s">
        <v>1003</v>
      </c>
      <c r="C508" s="75" t="str">
        <f>vlookup(left(A508,2),Brands!$A$1:$B$36,2,0)</f>
        <v>IDEE</v>
      </c>
      <c r="D508" s="76" t="s">
        <v>1561</v>
      </c>
      <c r="E508" s="53" t="s">
        <v>885</v>
      </c>
      <c r="F508" s="54"/>
      <c r="G508" s="83">
        <v>2950.0</v>
      </c>
      <c r="DN508" s="77">
        <v>1.0</v>
      </c>
    </row>
    <row r="509">
      <c r="A509" s="75" t="s">
        <v>1562</v>
      </c>
      <c r="B509" s="75">
        <v>54.0</v>
      </c>
      <c r="C509" s="75" t="str">
        <f>vlookup(left(A509,2),Brands!$A$1:$B$36,2,0)</f>
        <v>IDEE</v>
      </c>
      <c r="D509" s="76" t="s">
        <v>1563</v>
      </c>
      <c r="E509" s="53" t="s">
        <v>885</v>
      </c>
      <c r="F509" s="54"/>
      <c r="G509" s="83">
        <v>2950.0</v>
      </c>
      <c r="DN509" s="57">
        <v>2.0</v>
      </c>
    </row>
    <row r="510">
      <c r="A510" s="75" t="s">
        <v>1564</v>
      </c>
      <c r="B510" s="75">
        <v>66.0</v>
      </c>
      <c r="C510" s="75" t="str">
        <f>vlookup(left(A510,2),Brands!$A$1:$B$36,2,0)</f>
        <v>IDEE</v>
      </c>
      <c r="D510" s="76" t="s">
        <v>1519</v>
      </c>
      <c r="E510" s="53" t="s">
        <v>885</v>
      </c>
      <c r="F510" s="54"/>
      <c r="G510" s="83">
        <v>2360.0</v>
      </c>
      <c r="DN510" s="57">
        <v>1.0</v>
      </c>
    </row>
    <row r="511">
      <c r="A511" s="75" t="s">
        <v>1565</v>
      </c>
      <c r="B511" s="75" t="s">
        <v>1003</v>
      </c>
      <c r="C511" s="75" t="str">
        <f>vlookup(left(A511,2),Brands!$A$1:$B$36,2,0)</f>
        <v>IDEE</v>
      </c>
      <c r="D511" s="76" t="s">
        <v>1284</v>
      </c>
      <c r="E511" s="53" t="s">
        <v>885</v>
      </c>
      <c r="F511" s="76" t="s">
        <v>1229</v>
      </c>
      <c r="G511" s="83">
        <v>2360.0</v>
      </c>
      <c r="DN511" s="57">
        <v>1.0</v>
      </c>
    </row>
    <row r="512">
      <c r="A512" s="75" t="s">
        <v>1566</v>
      </c>
      <c r="B512" s="75">
        <v>58.0</v>
      </c>
      <c r="C512" s="75" t="str">
        <f>vlookup(left(A512,2),Brands!$A$1:$B$36,2,0)</f>
        <v>IDEE</v>
      </c>
      <c r="D512" s="76" t="s">
        <v>1496</v>
      </c>
      <c r="E512" s="53" t="s">
        <v>885</v>
      </c>
      <c r="F512" s="54"/>
      <c r="G512" s="83">
        <v>2850.0</v>
      </c>
      <c r="DN512" s="78">
        <v>1.0</v>
      </c>
    </row>
    <row r="513">
      <c r="A513" s="75" t="s">
        <v>1567</v>
      </c>
      <c r="B513" s="75">
        <v>58.0</v>
      </c>
      <c r="C513" s="75" t="str">
        <f>vlookup(left(A513,2),Brands!$A$1:$B$36,2,0)</f>
        <v>IDEE</v>
      </c>
      <c r="D513" s="76" t="s">
        <v>1474</v>
      </c>
      <c r="E513" s="53" t="s">
        <v>885</v>
      </c>
      <c r="F513" s="54"/>
      <c r="G513" s="83">
        <v>2850.0</v>
      </c>
      <c r="DN513" s="57">
        <v>1.0</v>
      </c>
    </row>
    <row r="514">
      <c r="A514" s="75" t="s">
        <v>1568</v>
      </c>
      <c r="B514" s="75">
        <v>58.0</v>
      </c>
      <c r="C514" s="75" t="str">
        <f>vlookup(left(A514,2),Brands!$A$1:$B$36,2,0)</f>
        <v>IDEE</v>
      </c>
      <c r="D514" s="106" t="s">
        <v>1554</v>
      </c>
      <c r="E514" s="53" t="s">
        <v>885</v>
      </c>
      <c r="F514" s="54"/>
      <c r="G514" s="83" t="s">
        <v>1569</v>
      </c>
      <c r="DN514" s="57">
        <v>1.0</v>
      </c>
    </row>
    <row r="515">
      <c r="A515" s="75" t="s">
        <v>1570</v>
      </c>
      <c r="B515" s="75">
        <v>53.0</v>
      </c>
      <c r="C515" s="75" t="str">
        <f>vlookup(left(A515,2),Brands!$A$1:$B$36,2,0)</f>
        <v>IDEE</v>
      </c>
      <c r="D515" s="76" t="s">
        <v>1483</v>
      </c>
      <c r="E515" s="53" t="s">
        <v>885</v>
      </c>
      <c r="F515" s="54"/>
      <c r="G515" s="83">
        <v>2780.0</v>
      </c>
      <c r="DN515" s="57">
        <v>1.0</v>
      </c>
    </row>
    <row r="516">
      <c r="A516" s="75" t="s">
        <v>1571</v>
      </c>
      <c r="B516" s="75">
        <v>61.0</v>
      </c>
      <c r="C516" s="75" t="str">
        <f>vlookup(left(A516,2),Brands!$A$1:$B$36,2,0)</f>
        <v>IDEE</v>
      </c>
      <c r="D516" s="99" t="s">
        <v>1572</v>
      </c>
      <c r="E516" s="53" t="s">
        <v>885</v>
      </c>
      <c r="F516" s="54"/>
      <c r="G516" s="83">
        <v>2780.0</v>
      </c>
      <c r="DN516" s="57">
        <v>2.0</v>
      </c>
    </row>
    <row r="517">
      <c r="A517" s="75" t="s">
        <v>1573</v>
      </c>
      <c r="B517" s="75">
        <v>53.0</v>
      </c>
      <c r="C517" s="75" t="str">
        <f>vlookup(left(A517,2),Brands!$A$1:$B$36,2,0)</f>
        <v>IDEE</v>
      </c>
      <c r="D517" s="76" t="s">
        <v>1284</v>
      </c>
      <c r="E517" s="53" t="s">
        <v>885</v>
      </c>
      <c r="F517" s="54"/>
      <c r="G517" s="83">
        <v>2590.0</v>
      </c>
      <c r="DN517" s="57">
        <v>1.0</v>
      </c>
    </row>
    <row r="518">
      <c r="A518" s="75" t="s">
        <v>1574</v>
      </c>
      <c r="B518" s="75">
        <v>58.0</v>
      </c>
      <c r="C518" s="75" t="str">
        <f>vlookup(left(A518,2),Brands!$A$1:$B$36,2,0)</f>
        <v>IDEE</v>
      </c>
      <c r="D518" s="76" t="s">
        <v>1575</v>
      </c>
      <c r="E518" s="53" t="s">
        <v>885</v>
      </c>
      <c r="F518" s="54"/>
      <c r="G518" s="83">
        <v>2590.0</v>
      </c>
      <c r="DN518" s="57">
        <v>1.0</v>
      </c>
    </row>
    <row r="519">
      <c r="A519" s="75" t="s">
        <v>1576</v>
      </c>
      <c r="B519" s="75" t="s">
        <v>1003</v>
      </c>
      <c r="C519" s="75" t="str">
        <f>vlookup(left(A519,2),Brands!$A$1:$B$36,2,0)</f>
        <v>IDEE</v>
      </c>
      <c r="D519" s="76" t="s">
        <v>1492</v>
      </c>
      <c r="E519" s="53" t="s">
        <v>885</v>
      </c>
      <c r="F519" s="54"/>
      <c r="G519" s="55"/>
      <c r="DN519" s="77">
        <v>1.0</v>
      </c>
    </row>
    <row r="520">
      <c r="A520" s="75" t="s">
        <v>1577</v>
      </c>
      <c r="B520" s="75">
        <v>55.0</v>
      </c>
      <c r="C520" s="75" t="s">
        <v>631</v>
      </c>
      <c r="D520" s="76" t="s">
        <v>1492</v>
      </c>
      <c r="E520" s="53" t="s">
        <v>885</v>
      </c>
      <c r="F520" s="54"/>
      <c r="G520" s="83">
        <v>2780.0</v>
      </c>
      <c r="DN520" s="77">
        <v>1.0</v>
      </c>
    </row>
    <row r="521">
      <c r="A521" s="75" t="s">
        <v>1578</v>
      </c>
      <c r="B521" s="75">
        <v>60.0</v>
      </c>
      <c r="C521" s="75" t="str">
        <f>vlookup(left(A521,2),Brands!$A$1:$B$36,2,0)</f>
        <v>IDEE</v>
      </c>
      <c r="D521" s="76" t="s">
        <v>1528</v>
      </c>
      <c r="E521" s="53" t="s">
        <v>885</v>
      </c>
      <c r="F521" s="54"/>
      <c r="G521" s="55"/>
      <c r="DN521" s="57">
        <v>1.0</v>
      </c>
    </row>
    <row r="522">
      <c r="A522" s="75" t="s">
        <v>1579</v>
      </c>
      <c r="B522" s="75">
        <v>60.0</v>
      </c>
      <c r="C522" s="75" t="str">
        <f>vlookup(left(A522,2),Brands!$A$1:$B$36,2,0)</f>
        <v>IDEE</v>
      </c>
      <c r="D522" s="76" t="s">
        <v>1483</v>
      </c>
      <c r="E522" s="53" t="s">
        <v>885</v>
      </c>
      <c r="F522" s="54"/>
      <c r="G522" s="83">
        <v>2780.0</v>
      </c>
      <c r="DN522" s="57">
        <v>1.0</v>
      </c>
    </row>
    <row r="523">
      <c r="A523" s="75" t="s">
        <v>1580</v>
      </c>
      <c r="B523" s="75" t="s">
        <v>1003</v>
      </c>
      <c r="C523" s="75" t="str">
        <f>vlookup(left(A523,2),Brands!$A$1:$B$36,2,0)</f>
        <v>IDEE</v>
      </c>
      <c r="D523" s="76" t="s">
        <v>1511</v>
      </c>
      <c r="E523" s="53" t="s">
        <v>885</v>
      </c>
      <c r="F523" s="54"/>
      <c r="G523" s="83">
        <v>2780.0</v>
      </c>
      <c r="DN523" s="57">
        <v>1.0</v>
      </c>
    </row>
    <row r="524">
      <c r="A524" s="75" t="s">
        <v>1581</v>
      </c>
      <c r="B524" s="75">
        <v>58.0</v>
      </c>
      <c r="C524" s="75" t="str">
        <f>vlookup(left(A524,2),Brands!$A$1:$B$36,2,0)</f>
        <v>IDEE</v>
      </c>
      <c r="D524" s="106" t="s">
        <v>1531</v>
      </c>
      <c r="E524" s="53" t="s">
        <v>885</v>
      </c>
      <c r="F524" s="54"/>
      <c r="G524" s="83">
        <v>2780.0</v>
      </c>
      <c r="DN524" s="57">
        <v>1.0</v>
      </c>
    </row>
    <row r="525">
      <c r="A525" s="75" t="s">
        <v>1582</v>
      </c>
      <c r="B525" s="75">
        <v>51.0</v>
      </c>
      <c r="C525" s="75" t="str">
        <f>vlookup(left(A525,2),Brands!$A$1:$B$36,2,0)</f>
        <v>IDEE</v>
      </c>
      <c r="D525" s="76" t="s">
        <v>1492</v>
      </c>
      <c r="E525" s="53" t="s">
        <v>885</v>
      </c>
      <c r="F525" s="54"/>
      <c r="G525" s="83">
        <v>2150.0</v>
      </c>
      <c r="DN525" s="57">
        <v>1.0</v>
      </c>
    </row>
    <row r="526">
      <c r="A526" s="75" t="s">
        <v>1583</v>
      </c>
      <c r="B526" s="75">
        <v>51.0</v>
      </c>
      <c r="C526" s="75" t="str">
        <f>vlookup(left(A526,2),Brands!$A$1:$B$36,2,0)</f>
        <v>IDEE</v>
      </c>
      <c r="D526" s="106" t="s">
        <v>1584</v>
      </c>
      <c r="E526" s="53" t="s">
        <v>885</v>
      </c>
      <c r="F526" s="54"/>
      <c r="G526" s="83">
        <v>2150.0</v>
      </c>
      <c r="DN526" s="57">
        <v>1.0</v>
      </c>
    </row>
    <row r="527">
      <c r="A527" s="75" t="s">
        <v>1585</v>
      </c>
      <c r="B527" s="75">
        <v>51.0</v>
      </c>
      <c r="C527" s="75" t="str">
        <f>vlookup(left(A527,2),Brands!$A$1:$B$36,2,0)</f>
        <v>IDEE</v>
      </c>
      <c r="D527" s="76" t="s">
        <v>1586</v>
      </c>
      <c r="E527" s="53" t="s">
        <v>885</v>
      </c>
      <c r="F527" s="54"/>
      <c r="G527" s="83">
        <v>2150.0</v>
      </c>
      <c r="DN527" s="77">
        <v>2.0</v>
      </c>
    </row>
    <row r="528">
      <c r="A528" s="75" t="s">
        <v>1587</v>
      </c>
      <c r="B528" s="75">
        <v>60.0</v>
      </c>
      <c r="C528" s="75" t="str">
        <f>vlookup(left(A528,2),Brands!$A$1:$B$36,2,0)</f>
        <v>IDEE</v>
      </c>
      <c r="D528" s="76" t="s">
        <v>1496</v>
      </c>
      <c r="E528" s="53" t="s">
        <v>885</v>
      </c>
      <c r="F528" s="54"/>
      <c r="G528" s="83">
        <v>2850.0</v>
      </c>
      <c r="DN528" s="57">
        <v>1.0</v>
      </c>
    </row>
    <row r="529">
      <c r="A529" s="75" t="s">
        <v>1588</v>
      </c>
      <c r="B529" s="75">
        <v>49.0</v>
      </c>
      <c r="C529" s="75" t="str">
        <f>vlookup(left(A529,2),Brands!$A$1:$B$36,2,0)</f>
        <v>IDEE</v>
      </c>
      <c r="D529" s="76" t="s">
        <v>1589</v>
      </c>
      <c r="E529" s="53" t="s">
        <v>885</v>
      </c>
      <c r="F529" s="54"/>
      <c r="G529" s="83">
        <v>2590.0</v>
      </c>
      <c r="DN529" s="57">
        <v>2.0</v>
      </c>
    </row>
    <row r="530">
      <c r="A530" s="75" t="s">
        <v>1590</v>
      </c>
      <c r="B530" s="75">
        <v>49.0</v>
      </c>
      <c r="C530" s="75" t="str">
        <f>vlookup(left(A530,2),Brands!$A$1:$B$36,2,0)</f>
        <v>IDEE</v>
      </c>
      <c r="D530" s="76" t="s">
        <v>1589</v>
      </c>
      <c r="E530" s="53" t="s">
        <v>885</v>
      </c>
      <c r="F530" s="54"/>
      <c r="G530" s="83">
        <v>2590.0</v>
      </c>
      <c r="DN530" s="57">
        <v>2.0</v>
      </c>
    </row>
    <row r="531">
      <c r="A531" s="75" t="s">
        <v>1591</v>
      </c>
      <c r="B531" s="75"/>
      <c r="C531" s="75" t="str">
        <f>vlookup(left(A531,2),Brands!$A$1:$B$36,2,0)</f>
        <v>IDEE</v>
      </c>
      <c r="D531" s="76" t="s">
        <v>1539</v>
      </c>
      <c r="E531" s="53" t="s">
        <v>885</v>
      </c>
      <c r="F531" s="54"/>
      <c r="G531" s="83">
        <v>2590.0</v>
      </c>
      <c r="DN531" s="77">
        <v>1.0</v>
      </c>
    </row>
    <row r="532">
      <c r="A532" s="75" t="s">
        <v>1592</v>
      </c>
      <c r="B532" s="75">
        <v>49.0</v>
      </c>
      <c r="C532" s="75" t="str">
        <f>vlookup(left(A532,2),Brands!$A$1:$B$36,2,0)</f>
        <v>IDEE</v>
      </c>
      <c r="D532" s="76" t="s">
        <v>1593</v>
      </c>
      <c r="E532" s="53" t="s">
        <v>885</v>
      </c>
      <c r="F532" s="54"/>
      <c r="G532" s="83">
        <v>2590.0</v>
      </c>
      <c r="DN532" s="77">
        <v>2.0</v>
      </c>
    </row>
    <row r="533">
      <c r="A533" s="75" t="s">
        <v>1594</v>
      </c>
      <c r="B533" s="75">
        <v>55.0</v>
      </c>
      <c r="C533" s="75" t="str">
        <f>vlookup(left(A533,2),Brands!$A$1:$B$36,2,0)</f>
        <v>IDEE</v>
      </c>
      <c r="D533" s="76" t="s">
        <v>1492</v>
      </c>
      <c r="E533" s="53" t="s">
        <v>885</v>
      </c>
      <c r="F533" s="54"/>
      <c r="G533" s="83">
        <v>2380.0</v>
      </c>
      <c r="DN533" s="57">
        <v>1.0</v>
      </c>
    </row>
    <row r="534">
      <c r="A534" s="75" t="s">
        <v>1595</v>
      </c>
      <c r="B534" s="75">
        <v>57.0</v>
      </c>
      <c r="C534" s="75" t="str">
        <f>vlookup(left(A534,2),Brands!$A$1:$B$36,2,0)</f>
        <v>IDEE</v>
      </c>
      <c r="D534" s="76" t="s">
        <v>1575</v>
      </c>
      <c r="E534" s="53" t="s">
        <v>885</v>
      </c>
      <c r="F534" s="54"/>
      <c r="G534" s="83">
        <v>2780.0</v>
      </c>
      <c r="DN534" s="57">
        <v>1.0</v>
      </c>
    </row>
    <row r="535">
      <c r="A535" s="75" t="s">
        <v>1596</v>
      </c>
      <c r="B535" s="75">
        <v>58.0</v>
      </c>
      <c r="C535" s="75" t="s">
        <v>631</v>
      </c>
      <c r="D535" s="76" t="s">
        <v>1597</v>
      </c>
      <c r="E535" s="53" t="s">
        <v>885</v>
      </c>
      <c r="F535" s="54"/>
      <c r="G535" s="83">
        <v>2780.0</v>
      </c>
      <c r="DN535" s="57">
        <v>2.0</v>
      </c>
    </row>
    <row r="536">
      <c r="A536" s="75" t="s">
        <v>1598</v>
      </c>
      <c r="B536" s="75">
        <v>58.0</v>
      </c>
      <c r="C536" s="75" t="s">
        <v>631</v>
      </c>
      <c r="D536" s="76" t="s">
        <v>1534</v>
      </c>
      <c r="E536" s="53" t="s">
        <v>885</v>
      </c>
      <c r="F536" s="54"/>
      <c r="G536" s="83">
        <v>2850.0</v>
      </c>
      <c r="DN536" s="57">
        <v>1.0</v>
      </c>
    </row>
    <row r="537">
      <c r="A537" s="75" t="s">
        <v>1599</v>
      </c>
      <c r="B537" s="75">
        <v>57.0</v>
      </c>
      <c r="C537" s="75" t="s">
        <v>631</v>
      </c>
      <c r="D537" s="76" t="s">
        <v>1600</v>
      </c>
      <c r="E537" s="53" t="s">
        <v>885</v>
      </c>
      <c r="F537" s="54"/>
      <c r="G537" s="83">
        <v>2950.0</v>
      </c>
      <c r="DN537" s="57">
        <v>2.0</v>
      </c>
    </row>
    <row r="538">
      <c r="A538" s="75" t="s">
        <v>1601</v>
      </c>
      <c r="B538" s="75" t="s">
        <v>1003</v>
      </c>
      <c r="C538" s="75" t="s">
        <v>631</v>
      </c>
      <c r="D538" s="76" t="s">
        <v>867</v>
      </c>
      <c r="E538" s="53" t="s">
        <v>885</v>
      </c>
      <c r="F538" s="54"/>
      <c r="G538" s="55"/>
      <c r="DN538" s="57">
        <v>0.0</v>
      </c>
    </row>
    <row r="539">
      <c r="A539" s="75" t="s">
        <v>1602</v>
      </c>
      <c r="B539" s="75">
        <v>56.0</v>
      </c>
      <c r="C539" s="75" t="s">
        <v>631</v>
      </c>
      <c r="D539" s="76" t="s">
        <v>1603</v>
      </c>
      <c r="E539" s="53" t="s">
        <v>885</v>
      </c>
      <c r="F539" s="54"/>
      <c r="G539" s="83">
        <v>2950.0</v>
      </c>
      <c r="DN539" s="57">
        <v>2.0</v>
      </c>
    </row>
    <row r="540">
      <c r="A540" s="75" t="s">
        <v>1604</v>
      </c>
      <c r="B540" s="75" t="s">
        <v>1003</v>
      </c>
      <c r="C540" s="75" t="s">
        <v>631</v>
      </c>
      <c r="D540" s="76" t="s">
        <v>867</v>
      </c>
      <c r="E540" s="53" t="s">
        <v>885</v>
      </c>
      <c r="F540" s="54"/>
      <c r="G540" s="55"/>
      <c r="DN540" s="57">
        <v>0.0</v>
      </c>
    </row>
    <row r="541">
      <c r="A541" s="75" t="s">
        <v>1605</v>
      </c>
      <c r="B541" s="75">
        <v>60.0</v>
      </c>
      <c r="C541" s="75" t="s">
        <v>631</v>
      </c>
      <c r="D541" s="76" t="s">
        <v>867</v>
      </c>
      <c r="E541" s="53" t="s">
        <v>885</v>
      </c>
      <c r="F541" s="54"/>
      <c r="G541" s="83">
        <v>2495.0</v>
      </c>
      <c r="DN541" s="57">
        <v>0.0</v>
      </c>
    </row>
    <row r="542">
      <c r="A542" s="75" t="s">
        <v>1606</v>
      </c>
      <c r="B542" s="75">
        <v>57.0</v>
      </c>
      <c r="C542" s="75" t="s">
        <v>631</v>
      </c>
      <c r="D542" s="76" t="s">
        <v>1513</v>
      </c>
      <c r="E542" s="53" t="s">
        <v>885</v>
      </c>
      <c r="F542" s="54"/>
      <c r="G542" s="83">
        <v>3350.0</v>
      </c>
      <c r="DN542" s="57">
        <v>1.0</v>
      </c>
    </row>
    <row r="543">
      <c r="A543" s="75" t="s">
        <v>1607</v>
      </c>
      <c r="B543" s="75">
        <v>52.0</v>
      </c>
      <c r="C543" s="75" t="s">
        <v>1608</v>
      </c>
      <c r="D543" s="76" t="s">
        <v>1609</v>
      </c>
      <c r="E543" s="53" t="s">
        <v>856</v>
      </c>
      <c r="F543" s="54"/>
      <c r="G543" s="55">
        <v>1600.0</v>
      </c>
      <c r="DN543" s="57">
        <v>1.0</v>
      </c>
    </row>
    <row r="544">
      <c r="A544" s="75" t="s">
        <v>1610</v>
      </c>
      <c r="B544" s="75">
        <v>50.0</v>
      </c>
      <c r="C544" s="75" t="s">
        <v>1608</v>
      </c>
      <c r="D544" s="76" t="s">
        <v>1611</v>
      </c>
      <c r="E544" s="53" t="s">
        <v>856</v>
      </c>
      <c r="F544" s="54"/>
      <c r="G544" s="55">
        <v>1600.0</v>
      </c>
      <c r="DN544" s="57">
        <v>1.0</v>
      </c>
    </row>
    <row r="545">
      <c r="A545" s="75" t="s">
        <v>1612</v>
      </c>
      <c r="B545" s="75">
        <v>48.0</v>
      </c>
      <c r="C545" s="75" t="s">
        <v>1608</v>
      </c>
      <c r="D545" s="76" t="s">
        <v>867</v>
      </c>
      <c r="E545" s="53" t="s">
        <v>856</v>
      </c>
      <c r="F545" s="54"/>
      <c r="G545" s="55">
        <v>1600.0</v>
      </c>
      <c r="DN545" s="57">
        <v>0.0</v>
      </c>
    </row>
    <row r="546">
      <c r="A546" s="75" t="s">
        <v>1613</v>
      </c>
      <c r="B546" s="75">
        <v>49.0</v>
      </c>
      <c r="C546" s="75" t="s">
        <v>1608</v>
      </c>
      <c r="D546" s="76" t="s">
        <v>867</v>
      </c>
      <c r="E546" s="53" t="s">
        <v>946</v>
      </c>
      <c r="F546" s="54"/>
      <c r="G546" s="55">
        <v>1600.0</v>
      </c>
      <c r="DN546" s="57">
        <v>0.0</v>
      </c>
    </row>
    <row r="547">
      <c r="A547" s="75" t="s">
        <v>1614</v>
      </c>
      <c r="B547" s="75">
        <v>49.0</v>
      </c>
      <c r="C547" s="75" t="s">
        <v>1608</v>
      </c>
      <c r="D547" s="76" t="s">
        <v>867</v>
      </c>
      <c r="E547" s="53" t="s">
        <v>946</v>
      </c>
      <c r="F547" s="54"/>
      <c r="G547" s="55">
        <v>1600.0</v>
      </c>
      <c r="DN547" s="94">
        <v>0.0</v>
      </c>
    </row>
    <row r="548" ht="16.5" customHeight="1">
      <c r="A548" s="75" t="s">
        <v>1615</v>
      </c>
      <c r="B548" s="75">
        <v>48.0</v>
      </c>
      <c r="C548" s="75" t="s">
        <v>1608</v>
      </c>
      <c r="D548" s="76" t="s">
        <v>1616</v>
      </c>
      <c r="E548" s="53" t="s">
        <v>946</v>
      </c>
      <c r="F548" s="76" t="s">
        <v>1617</v>
      </c>
      <c r="G548" s="55">
        <v>1600.0</v>
      </c>
      <c r="DN548" s="94">
        <v>1.0</v>
      </c>
    </row>
    <row r="549">
      <c r="A549" s="75" t="s">
        <v>1618</v>
      </c>
      <c r="B549" s="75">
        <v>60.0</v>
      </c>
      <c r="C549" s="75" t="s">
        <v>1619</v>
      </c>
      <c r="D549" s="76" t="s">
        <v>1620</v>
      </c>
      <c r="E549" s="53" t="s">
        <v>932</v>
      </c>
      <c r="F549" s="54"/>
      <c r="G549" s="55">
        <v>2150.0</v>
      </c>
      <c r="DN549" s="57">
        <v>1.0</v>
      </c>
    </row>
    <row r="550">
      <c r="A550" s="75" t="s">
        <v>1621</v>
      </c>
      <c r="B550" s="75">
        <v>53.0</v>
      </c>
      <c r="C550" s="75" t="s">
        <v>1619</v>
      </c>
      <c r="D550" s="76" t="s">
        <v>867</v>
      </c>
      <c r="E550" s="53" t="s">
        <v>1050</v>
      </c>
      <c r="F550" s="54"/>
      <c r="G550" s="55">
        <v>2150.0</v>
      </c>
      <c r="DN550" s="77">
        <v>0.0</v>
      </c>
    </row>
    <row r="551">
      <c r="A551" s="75" t="s">
        <v>1622</v>
      </c>
      <c r="B551" s="75">
        <v>52.0</v>
      </c>
      <c r="C551" s="75" t="s">
        <v>1619</v>
      </c>
      <c r="D551" s="76" t="s">
        <v>1623</v>
      </c>
      <c r="E551" s="53" t="s">
        <v>858</v>
      </c>
      <c r="F551" s="54"/>
      <c r="G551" s="55">
        <v>2150.0</v>
      </c>
      <c r="DN551" s="57">
        <v>1.0</v>
      </c>
    </row>
    <row r="552">
      <c r="A552" s="75" t="s">
        <v>1624</v>
      </c>
      <c r="B552" s="75">
        <v>49.0</v>
      </c>
      <c r="C552" s="75" t="s">
        <v>1619</v>
      </c>
      <c r="D552" s="76" t="s">
        <v>1620</v>
      </c>
      <c r="E552" s="53" t="s">
        <v>1625</v>
      </c>
      <c r="F552" s="54"/>
      <c r="G552" s="55"/>
      <c r="DN552" s="57">
        <v>1.0</v>
      </c>
    </row>
    <row r="553">
      <c r="A553" s="75" t="s">
        <v>1626</v>
      </c>
      <c r="B553" s="75">
        <v>52.0</v>
      </c>
      <c r="C553" s="75" t="s">
        <v>1619</v>
      </c>
      <c r="D553" s="76" t="s">
        <v>867</v>
      </c>
      <c r="E553" s="53" t="s">
        <v>852</v>
      </c>
      <c r="F553" s="54"/>
      <c r="G553" s="55">
        <v>2150.0</v>
      </c>
      <c r="DN553" s="57">
        <v>0.0</v>
      </c>
    </row>
    <row r="554">
      <c r="A554" s="75" t="s">
        <v>1627</v>
      </c>
      <c r="B554" s="75">
        <v>52.0</v>
      </c>
      <c r="C554" s="75" t="s">
        <v>1619</v>
      </c>
      <c r="D554" s="76" t="s">
        <v>1123</v>
      </c>
      <c r="E554" s="53" t="s">
        <v>869</v>
      </c>
      <c r="F554" s="54"/>
      <c r="G554" s="55">
        <v>2150.0</v>
      </c>
      <c r="DN554" s="57">
        <v>1.0</v>
      </c>
    </row>
    <row r="555">
      <c r="A555" s="75" t="s">
        <v>1628</v>
      </c>
      <c r="B555" s="75">
        <v>50.0</v>
      </c>
      <c r="C555" s="75" t="s">
        <v>1619</v>
      </c>
      <c r="D555" s="76" t="s">
        <v>1623</v>
      </c>
      <c r="E555" s="53" t="s">
        <v>932</v>
      </c>
      <c r="F555" s="76"/>
      <c r="G555" s="55"/>
      <c r="DN555" s="57">
        <v>1.0</v>
      </c>
    </row>
    <row r="556">
      <c r="A556" s="75" t="s">
        <v>1629</v>
      </c>
      <c r="B556" s="75">
        <v>50.0</v>
      </c>
      <c r="C556" s="75" t="s">
        <v>1619</v>
      </c>
      <c r="D556" s="76" t="s">
        <v>1630</v>
      </c>
      <c r="E556" s="53" t="s">
        <v>932</v>
      </c>
      <c r="F556" s="76"/>
      <c r="G556" s="55"/>
      <c r="DN556" s="57">
        <v>1.0</v>
      </c>
    </row>
    <row r="557">
      <c r="A557" s="75" t="s">
        <v>1631</v>
      </c>
      <c r="B557" s="75">
        <v>53.0</v>
      </c>
      <c r="C557" s="75" t="s">
        <v>1619</v>
      </c>
      <c r="D557" s="76" t="s">
        <v>1623</v>
      </c>
      <c r="E557" s="53" t="s">
        <v>932</v>
      </c>
      <c r="F557" s="76"/>
      <c r="G557" s="55"/>
      <c r="DN557" s="57">
        <v>1.0</v>
      </c>
    </row>
    <row r="558">
      <c r="A558" s="75" t="s">
        <v>1632</v>
      </c>
      <c r="B558" s="75">
        <v>52.0</v>
      </c>
      <c r="C558" s="75" t="s">
        <v>1619</v>
      </c>
      <c r="D558" s="76" t="s">
        <v>1623</v>
      </c>
      <c r="E558" s="53" t="s">
        <v>858</v>
      </c>
      <c r="F558" s="76" t="s">
        <v>1076</v>
      </c>
      <c r="G558" s="55">
        <v>2150.0</v>
      </c>
      <c r="DN558" s="91">
        <v>1.0</v>
      </c>
    </row>
    <row r="559">
      <c r="A559" s="75" t="s">
        <v>1633</v>
      </c>
      <c r="B559" s="75" t="s">
        <v>1003</v>
      </c>
      <c r="C559" s="75" t="s">
        <v>1619</v>
      </c>
      <c r="D559" s="76" t="s">
        <v>1634</v>
      </c>
      <c r="E559" s="53" t="s">
        <v>885</v>
      </c>
      <c r="F559" s="54"/>
      <c r="G559" s="55">
        <v>3000.0</v>
      </c>
      <c r="DN559" s="91">
        <v>1.0</v>
      </c>
    </row>
    <row r="560" ht="17.25" customHeight="1">
      <c r="A560" s="75" t="s">
        <v>1635</v>
      </c>
      <c r="B560" s="75" t="s">
        <v>1003</v>
      </c>
      <c r="C560" s="75" t="s">
        <v>1619</v>
      </c>
      <c r="D560" s="76" t="s">
        <v>867</v>
      </c>
      <c r="E560" s="53" t="s">
        <v>885</v>
      </c>
      <c r="F560" s="54"/>
      <c r="G560" s="55">
        <v>3200.0</v>
      </c>
      <c r="DN560" s="91">
        <v>0.0</v>
      </c>
    </row>
    <row r="561">
      <c r="A561" s="75" t="s">
        <v>1636</v>
      </c>
      <c r="B561" s="75" t="s">
        <v>1003</v>
      </c>
      <c r="C561" s="75" t="s">
        <v>1619</v>
      </c>
      <c r="D561" s="76" t="s">
        <v>1634</v>
      </c>
      <c r="E561" s="53" t="s">
        <v>885</v>
      </c>
      <c r="F561" s="54"/>
      <c r="G561" s="55">
        <v>3200.0</v>
      </c>
      <c r="DN561" s="57">
        <v>1.0</v>
      </c>
    </row>
    <row r="562">
      <c r="A562" s="75" t="s">
        <v>1637</v>
      </c>
      <c r="B562" s="75">
        <v>53.0</v>
      </c>
      <c r="C562" s="75" t="s">
        <v>1608</v>
      </c>
      <c r="D562" s="76" t="s">
        <v>876</v>
      </c>
      <c r="E562" s="53" t="s">
        <v>874</v>
      </c>
      <c r="F562" s="54"/>
      <c r="G562" s="55">
        <v>1600.0</v>
      </c>
      <c r="DN562" s="57">
        <v>1.0</v>
      </c>
    </row>
    <row r="563">
      <c r="A563" s="75" t="s">
        <v>1638</v>
      </c>
      <c r="B563" s="75">
        <v>49.0</v>
      </c>
      <c r="C563" s="75" t="s">
        <v>1608</v>
      </c>
      <c r="D563" s="76" t="s">
        <v>1639</v>
      </c>
      <c r="E563" s="53" t="s">
        <v>1351</v>
      </c>
      <c r="F563" s="54"/>
      <c r="G563" s="55">
        <v>1600.0</v>
      </c>
      <c r="DN563" s="57">
        <v>1.0</v>
      </c>
    </row>
    <row r="564">
      <c r="A564" s="75" t="s">
        <v>1640</v>
      </c>
      <c r="B564" s="75">
        <v>53.0</v>
      </c>
      <c r="C564" s="75" t="s">
        <v>1608</v>
      </c>
      <c r="D564" s="76" t="s">
        <v>1123</v>
      </c>
      <c r="E564" s="53" t="s">
        <v>856</v>
      </c>
      <c r="F564" s="54"/>
      <c r="G564" s="55">
        <v>1600.0</v>
      </c>
      <c r="DN564" s="57">
        <v>0.0</v>
      </c>
    </row>
    <row r="565">
      <c r="A565" s="75" t="s">
        <v>1641</v>
      </c>
      <c r="B565" s="75">
        <v>54.0</v>
      </c>
      <c r="C565" s="75" t="s">
        <v>1642</v>
      </c>
      <c r="D565" s="76" t="s">
        <v>1643</v>
      </c>
      <c r="E565" s="53" t="s">
        <v>885</v>
      </c>
      <c r="F565" s="76" t="s">
        <v>1229</v>
      </c>
      <c r="G565" s="55"/>
      <c r="DN565" s="57">
        <v>1.0</v>
      </c>
    </row>
    <row r="566">
      <c r="A566" s="75" t="s">
        <v>1644</v>
      </c>
      <c r="B566" s="75" t="s">
        <v>1003</v>
      </c>
      <c r="C566" s="75" t="s">
        <v>1642</v>
      </c>
      <c r="D566" s="76" t="s">
        <v>867</v>
      </c>
      <c r="E566" s="53" t="s">
        <v>885</v>
      </c>
      <c r="F566" s="54"/>
      <c r="G566" s="83">
        <v>2225.0</v>
      </c>
      <c r="DN566" s="57">
        <v>0.0</v>
      </c>
    </row>
    <row r="567">
      <c r="A567" s="75" t="s">
        <v>1645</v>
      </c>
      <c r="B567" s="75">
        <v>54.0</v>
      </c>
      <c r="C567" s="75" t="s">
        <v>1642</v>
      </c>
      <c r="D567" s="76" t="s">
        <v>1243</v>
      </c>
      <c r="E567" s="53" t="s">
        <v>885</v>
      </c>
      <c r="F567" s="54"/>
      <c r="G567" s="83">
        <v>2500.0</v>
      </c>
      <c r="DN567" s="77">
        <v>1.0</v>
      </c>
    </row>
    <row r="568">
      <c r="A568" s="75" t="s">
        <v>1646</v>
      </c>
      <c r="B568" s="75">
        <v>54.0</v>
      </c>
      <c r="C568" s="75" t="s">
        <v>1642</v>
      </c>
      <c r="D568" s="76" t="s">
        <v>867</v>
      </c>
      <c r="E568" s="53" t="s">
        <v>885</v>
      </c>
      <c r="F568" s="54"/>
      <c r="G568" s="83">
        <v>2500.0</v>
      </c>
      <c r="DN568" s="57">
        <v>0.0</v>
      </c>
    </row>
    <row r="569">
      <c r="A569" s="75" t="s">
        <v>1647</v>
      </c>
      <c r="B569" s="75">
        <v>54.0</v>
      </c>
      <c r="C569" s="75" t="s">
        <v>1642</v>
      </c>
      <c r="D569" s="76" t="s">
        <v>1643</v>
      </c>
      <c r="E569" s="53" t="s">
        <v>885</v>
      </c>
      <c r="F569" s="76" t="s">
        <v>1229</v>
      </c>
      <c r="G569" s="83">
        <v>2500.0</v>
      </c>
      <c r="DN569" s="57">
        <v>1.0</v>
      </c>
    </row>
    <row r="570">
      <c r="A570" s="75" t="s">
        <v>1648</v>
      </c>
      <c r="B570" s="75">
        <v>54.0</v>
      </c>
      <c r="C570" s="75" t="s">
        <v>1642</v>
      </c>
      <c r="D570" s="76" t="s">
        <v>867</v>
      </c>
      <c r="E570" s="53" t="s">
        <v>885</v>
      </c>
      <c r="F570" s="54"/>
      <c r="G570" s="83">
        <v>2225.0</v>
      </c>
      <c r="DN570" s="57">
        <v>0.0</v>
      </c>
    </row>
    <row r="571">
      <c r="A571" s="104" t="s">
        <v>1649</v>
      </c>
      <c r="B571" s="104" t="s">
        <v>1003</v>
      </c>
      <c r="C571" s="75" t="s">
        <v>1642</v>
      </c>
      <c r="D571" s="76" t="s">
        <v>1634</v>
      </c>
      <c r="E571" s="53" t="s">
        <v>885</v>
      </c>
      <c r="F571" s="76"/>
      <c r="G571" s="83"/>
      <c r="DN571" s="57">
        <v>1.0</v>
      </c>
    </row>
    <row r="572">
      <c r="A572" s="104" t="s">
        <v>1650</v>
      </c>
      <c r="B572" s="104">
        <v>54.0</v>
      </c>
      <c r="C572" s="75" t="s">
        <v>1642</v>
      </c>
      <c r="D572" s="76" t="s">
        <v>1651</v>
      </c>
      <c r="E572" s="53" t="s">
        <v>885</v>
      </c>
      <c r="F572" s="76" t="s">
        <v>1229</v>
      </c>
      <c r="G572" s="83">
        <v>2500.0</v>
      </c>
      <c r="DN572" s="57">
        <v>2.0</v>
      </c>
    </row>
    <row r="573">
      <c r="A573" s="75" t="s">
        <v>1652</v>
      </c>
      <c r="B573" s="75">
        <v>54.0</v>
      </c>
      <c r="C573" s="75" t="s">
        <v>1642</v>
      </c>
      <c r="D573" s="76" t="s">
        <v>954</v>
      </c>
      <c r="E573" s="53" t="s">
        <v>885</v>
      </c>
      <c r="F573" s="54"/>
      <c r="G573" s="83">
        <v>2225.0</v>
      </c>
      <c r="DN573" s="57">
        <v>1.0</v>
      </c>
    </row>
    <row r="574">
      <c r="A574" s="75" t="s">
        <v>1653</v>
      </c>
      <c r="B574" s="75">
        <v>54.0</v>
      </c>
      <c r="C574" s="75" t="s">
        <v>1642</v>
      </c>
      <c r="D574" s="76" t="s">
        <v>1654</v>
      </c>
      <c r="E574" s="53" t="s">
        <v>885</v>
      </c>
      <c r="F574" s="76" t="s">
        <v>1229</v>
      </c>
      <c r="G574" s="83">
        <v>2500.0</v>
      </c>
      <c r="DN574" s="57">
        <v>1.0</v>
      </c>
    </row>
    <row r="575">
      <c r="A575" s="75" t="s">
        <v>1655</v>
      </c>
      <c r="B575" s="75">
        <v>54.0</v>
      </c>
      <c r="C575" s="75" t="s">
        <v>1642</v>
      </c>
      <c r="D575" s="76" t="s">
        <v>1654</v>
      </c>
      <c r="E575" s="53" t="s">
        <v>885</v>
      </c>
      <c r="F575" s="76" t="s">
        <v>1229</v>
      </c>
      <c r="G575" s="83">
        <v>2225.0</v>
      </c>
      <c r="DN575" s="57">
        <v>1.0</v>
      </c>
    </row>
    <row r="576">
      <c r="A576" s="75" t="s">
        <v>1656</v>
      </c>
      <c r="B576" s="75">
        <v>54.0</v>
      </c>
      <c r="C576" s="75" t="s">
        <v>1642</v>
      </c>
      <c r="D576" s="76" t="s">
        <v>1657</v>
      </c>
      <c r="E576" s="53" t="s">
        <v>885</v>
      </c>
      <c r="F576" s="54"/>
      <c r="G576" s="83">
        <v>2225.0</v>
      </c>
      <c r="DN576" s="77">
        <v>1.0</v>
      </c>
    </row>
    <row r="577">
      <c r="A577" s="75" t="s">
        <v>1658</v>
      </c>
      <c r="B577" s="75">
        <v>54.0</v>
      </c>
      <c r="C577" s="75" t="s">
        <v>1642</v>
      </c>
      <c r="D577" s="76" t="s">
        <v>867</v>
      </c>
      <c r="E577" s="53" t="s">
        <v>885</v>
      </c>
      <c r="F577" s="54"/>
      <c r="G577" s="83">
        <v>2500.0</v>
      </c>
      <c r="DN577" s="57">
        <v>0.0</v>
      </c>
    </row>
    <row r="578">
      <c r="A578" s="75" t="s">
        <v>1659</v>
      </c>
      <c r="B578" s="75">
        <v>54.0</v>
      </c>
      <c r="C578" s="75" t="s">
        <v>1642</v>
      </c>
      <c r="D578" s="76" t="s">
        <v>867</v>
      </c>
      <c r="E578" s="53" t="s">
        <v>885</v>
      </c>
      <c r="F578" s="54"/>
      <c r="G578" s="83">
        <v>2500.0</v>
      </c>
      <c r="DN578" s="57">
        <v>0.0</v>
      </c>
    </row>
    <row r="579">
      <c r="A579" s="75" t="s">
        <v>1660</v>
      </c>
      <c r="B579" s="75">
        <v>54.0</v>
      </c>
      <c r="C579" s="75" t="s">
        <v>1642</v>
      </c>
      <c r="D579" s="76" t="s">
        <v>867</v>
      </c>
      <c r="E579" s="53" t="s">
        <v>885</v>
      </c>
      <c r="F579" s="54"/>
      <c r="G579" s="83">
        <v>2500.0</v>
      </c>
      <c r="DN579" s="57">
        <v>0.0</v>
      </c>
    </row>
    <row r="580">
      <c r="A580" s="75" t="s">
        <v>1661</v>
      </c>
      <c r="B580" s="75">
        <v>54.0</v>
      </c>
      <c r="C580" s="75" t="s">
        <v>1642</v>
      </c>
      <c r="D580" s="76" t="s">
        <v>998</v>
      </c>
      <c r="E580" s="53" t="str">
        <f>VLOOKUP($A580,Experimental!$A$3:$H$78,8,0)</f>
        <v>#REF!</v>
      </c>
      <c r="F580" s="54"/>
      <c r="G580" s="55">
        <v>2225.0</v>
      </c>
      <c r="DN580" s="57">
        <v>1.0</v>
      </c>
    </row>
    <row r="581">
      <c r="A581" s="75" t="s">
        <v>1662</v>
      </c>
      <c r="B581" s="75">
        <v>54.0</v>
      </c>
      <c r="C581" s="75" t="s">
        <v>1642</v>
      </c>
      <c r="D581" s="76" t="s">
        <v>1634</v>
      </c>
      <c r="E581" s="53" t="s">
        <v>885</v>
      </c>
      <c r="F581" s="54"/>
      <c r="G581" s="55">
        <v>2225.0</v>
      </c>
      <c r="DN581" s="57">
        <v>1.0</v>
      </c>
    </row>
    <row r="582">
      <c r="A582" s="75" t="s">
        <v>1663</v>
      </c>
      <c r="B582" s="75">
        <v>54.0</v>
      </c>
      <c r="C582" s="75" t="s">
        <v>1642</v>
      </c>
      <c r="D582" s="76" t="s">
        <v>1643</v>
      </c>
      <c r="E582" s="53" t="s">
        <v>885</v>
      </c>
      <c r="F582" s="76" t="s">
        <v>1229</v>
      </c>
      <c r="G582" s="55">
        <v>2225.0</v>
      </c>
      <c r="DN582" s="57">
        <v>1.0</v>
      </c>
    </row>
    <row r="583">
      <c r="A583" s="15" t="s">
        <v>1664</v>
      </c>
      <c r="B583" s="15">
        <v>54.0</v>
      </c>
      <c r="C583" s="75" t="s">
        <v>1642</v>
      </c>
      <c r="D583" s="76" t="s">
        <v>1665</v>
      </c>
      <c r="E583" s="53" t="s">
        <v>885</v>
      </c>
      <c r="F583" s="76" t="s">
        <v>1229</v>
      </c>
      <c r="G583" s="81">
        <v>2500.0</v>
      </c>
      <c r="DN583" s="57">
        <v>1.0</v>
      </c>
    </row>
    <row r="584">
      <c r="A584" s="15" t="s">
        <v>1666</v>
      </c>
      <c r="B584" s="15">
        <v>54.0</v>
      </c>
      <c r="C584" s="75" t="s">
        <v>1642</v>
      </c>
      <c r="D584" s="76" t="s">
        <v>1665</v>
      </c>
      <c r="E584" s="53" t="s">
        <v>885</v>
      </c>
      <c r="F584" s="76" t="s">
        <v>1229</v>
      </c>
      <c r="G584" s="81">
        <v>2500.0</v>
      </c>
      <c r="DN584" s="57">
        <v>1.0</v>
      </c>
    </row>
    <row r="585">
      <c r="A585" s="75" t="s">
        <v>1667</v>
      </c>
      <c r="B585" s="75">
        <v>54.0</v>
      </c>
      <c r="C585" s="75" t="s">
        <v>1642</v>
      </c>
      <c r="D585" s="76" t="s">
        <v>1668</v>
      </c>
      <c r="E585" s="53" t="s">
        <v>885</v>
      </c>
      <c r="F585" s="80"/>
      <c r="G585" s="81">
        <v>2500.0</v>
      </c>
      <c r="DN585" s="57">
        <v>1.0</v>
      </c>
    </row>
    <row r="586">
      <c r="A586" s="75" t="s">
        <v>1669</v>
      </c>
      <c r="B586" s="75">
        <v>54.0</v>
      </c>
      <c r="C586" s="75" t="s">
        <v>1642</v>
      </c>
      <c r="D586" s="76" t="s">
        <v>1657</v>
      </c>
      <c r="E586" s="53" t="s">
        <v>885</v>
      </c>
      <c r="F586" s="80"/>
      <c r="G586" s="81">
        <v>2500.0</v>
      </c>
      <c r="DN586" s="77">
        <v>1.0</v>
      </c>
    </row>
    <row r="587">
      <c r="A587" s="75" t="s">
        <v>1670</v>
      </c>
      <c r="B587" s="75">
        <v>54.0</v>
      </c>
      <c r="C587" s="75" t="s">
        <v>1642</v>
      </c>
      <c r="D587" s="76" t="s">
        <v>867</v>
      </c>
      <c r="E587" s="53" t="s">
        <v>885</v>
      </c>
      <c r="F587" s="80"/>
      <c r="G587" s="81">
        <v>2500.0</v>
      </c>
      <c r="DN587" s="57">
        <v>0.0</v>
      </c>
    </row>
    <row r="588">
      <c r="A588" s="75" t="s">
        <v>1671</v>
      </c>
      <c r="B588" s="75">
        <v>54.0</v>
      </c>
      <c r="C588" s="75" t="s">
        <v>1642</v>
      </c>
      <c r="D588" s="76" t="s">
        <v>1643</v>
      </c>
      <c r="E588" s="53" t="s">
        <v>885</v>
      </c>
      <c r="F588" s="76" t="s">
        <v>1229</v>
      </c>
      <c r="G588" s="81">
        <v>2500.0</v>
      </c>
      <c r="DN588" s="57">
        <v>1.0</v>
      </c>
    </row>
    <row r="589">
      <c r="A589" s="75" t="s">
        <v>1672</v>
      </c>
      <c r="B589" s="75">
        <v>52.0</v>
      </c>
      <c r="C589" s="75" t="s">
        <v>1673</v>
      </c>
      <c r="D589" s="106" t="s">
        <v>1674</v>
      </c>
      <c r="E589" s="53" t="s">
        <v>932</v>
      </c>
      <c r="F589" s="54"/>
      <c r="G589" s="55">
        <v>2590.0</v>
      </c>
      <c r="DN589" s="57">
        <v>1.0</v>
      </c>
    </row>
    <row r="590">
      <c r="A590" s="75" t="s">
        <v>1675</v>
      </c>
      <c r="B590" s="75">
        <v>52.0</v>
      </c>
      <c r="C590" s="75" t="s">
        <v>1673</v>
      </c>
      <c r="D590" s="76" t="s">
        <v>1676</v>
      </c>
      <c r="E590" s="53" t="s">
        <v>932</v>
      </c>
      <c r="F590" s="54"/>
      <c r="G590" s="55">
        <v>2590.0</v>
      </c>
      <c r="DN590" s="57">
        <v>1.0</v>
      </c>
    </row>
    <row r="591">
      <c r="A591" s="75" t="s">
        <v>1677</v>
      </c>
      <c r="B591" s="75">
        <v>50.0</v>
      </c>
      <c r="C591" s="75" t="s">
        <v>1673</v>
      </c>
      <c r="D591" s="106" t="s">
        <v>1678</v>
      </c>
      <c r="E591" s="53" t="s">
        <v>932</v>
      </c>
      <c r="F591" s="54"/>
      <c r="G591" s="55">
        <v>2700.0</v>
      </c>
      <c r="DN591" s="57">
        <v>1.0</v>
      </c>
    </row>
    <row r="592">
      <c r="A592" s="75" t="s">
        <v>1679</v>
      </c>
      <c r="B592" s="75">
        <v>49.0</v>
      </c>
      <c r="C592" s="75" t="s">
        <v>1673</v>
      </c>
      <c r="D592" s="106" t="s">
        <v>1680</v>
      </c>
      <c r="E592" s="53" t="s">
        <v>932</v>
      </c>
      <c r="F592" s="54"/>
      <c r="G592" s="55">
        <v>2930.0</v>
      </c>
      <c r="DN592" s="57">
        <v>1.0</v>
      </c>
    </row>
    <row r="593">
      <c r="A593" s="75" t="s">
        <v>1681</v>
      </c>
      <c r="B593" s="75">
        <v>53.0</v>
      </c>
      <c r="C593" s="75" t="s">
        <v>1673</v>
      </c>
      <c r="D593" s="106" t="s">
        <v>1680</v>
      </c>
      <c r="E593" s="53" t="s">
        <v>932</v>
      </c>
      <c r="F593" s="54"/>
      <c r="G593" s="55">
        <v>2450.0</v>
      </c>
      <c r="DN593" s="57">
        <v>1.0</v>
      </c>
    </row>
    <row r="594">
      <c r="A594" s="75" t="s">
        <v>1682</v>
      </c>
      <c r="B594" s="75">
        <v>52.0</v>
      </c>
      <c r="C594" s="75" t="s">
        <v>1673</v>
      </c>
      <c r="D594" s="106" t="s">
        <v>1680</v>
      </c>
      <c r="E594" s="53" t="s">
        <v>932</v>
      </c>
      <c r="F594" s="54"/>
      <c r="G594" s="55">
        <v>3050.0</v>
      </c>
      <c r="DN594" s="57">
        <v>1.0</v>
      </c>
    </row>
    <row r="595">
      <c r="A595" s="75" t="s">
        <v>1683</v>
      </c>
      <c r="B595" s="75">
        <v>50.0</v>
      </c>
      <c r="C595" s="75" t="s">
        <v>1673</v>
      </c>
      <c r="D595" s="106" t="s">
        <v>1680</v>
      </c>
      <c r="E595" s="53" t="s">
        <v>932</v>
      </c>
      <c r="F595" s="54"/>
      <c r="G595" s="55">
        <v>3050.0</v>
      </c>
      <c r="DN595" s="57">
        <v>1.0</v>
      </c>
    </row>
    <row r="596">
      <c r="A596" s="75" t="s">
        <v>1684</v>
      </c>
      <c r="B596" s="75">
        <v>54.0</v>
      </c>
      <c r="C596" s="75" t="s">
        <v>1685</v>
      </c>
      <c r="D596" s="76" t="s">
        <v>1686</v>
      </c>
      <c r="E596" s="53" t="s">
        <v>852</v>
      </c>
      <c r="F596" s="76" t="s">
        <v>1687</v>
      </c>
      <c r="G596" s="55">
        <v>7000.0</v>
      </c>
      <c r="DN596" s="57">
        <v>1.0</v>
      </c>
    </row>
    <row r="597">
      <c r="A597" s="75" t="s">
        <v>1688</v>
      </c>
      <c r="B597" s="75">
        <v>51.0</v>
      </c>
      <c r="C597" s="75" t="s">
        <v>1685</v>
      </c>
      <c r="D597" s="76" t="s">
        <v>1689</v>
      </c>
      <c r="E597" s="53" t="s">
        <v>1690</v>
      </c>
      <c r="F597" s="76" t="s">
        <v>1691</v>
      </c>
      <c r="G597" s="55">
        <v>7000.0</v>
      </c>
      <c r="DN597" s="57">
        <v>1.0</v>
      </c>
    </row>
    <row r="598">
      <c r="A598" s="75" t="s">
        <v>1692</v>
      </c>
      <c r="B598" s="75">
        <v>60.0</v>
      </c>
      <c r="C598" s="75" t="s">
        <v>1685</v>
      </c>
      <c r="D598" s="76" t="s">
        <v>1693</v>
      </c>
      <c r="E598" s="53" t="s">
        <v>885</v>
      </c>
      <c r="F598" s="54"/>
      <c r="G598" s="55">
        <v>3125.0</v>
      </c>
      <c r="DN598" s="57">
        <v>1.0</v>
      </c>
    </row>
    <row r="599">
      <c r="A599" s="75" t="s">
        <v>1694</v>
      </c>
      <c r="B599" s="75">
        <v>58.0</v>
      </c>
      <c r="C599" s="75" t="s">
        <v>1685</v>
      </c>
      <c r="D599" s="76" t="s">
        <v>1695</v>
      </c>
      <c r="E599" s="53" t="s">
        <v>885</v>
      </c>
      <c r="F599" s="54"/>
      <c r="G599" s="55">
        <v>3125.0</v>
      </c>
      <c r="DN599" s="57">
        <v>1.0</v>
      </c>
    </row>
    <row r="600">
      <c r="A600" s="75" t="s">
        <v>1696</v>
      </c>
      <c r="B600" s="75">
        <v>58.0</v>
      </c>
      <c r="C600" s="75" t="s">
        <v>1685</v>
      </c>
      <c r="D600" s="76" t="s">
        <v>1693</v>
      </c>
      <c r="E600" s="53" t="s">
        <v>885</v>
      </c>
      <c r="F600" s="54"/>
      <c r="G600" s="55">
        <v>3125.0</v>
      </c>
      <c r="DN600" s="57">
        <v>1.0</v>
      </c>
    </row>
    <row r="601">
      <c r="A601" s="75" t="s">
        <v>1697</v>
      </c>
      <c r="B601" s="75">
        <v>62.0</v>
      </c>
      <c r="C601" s="75" t="s">
        <v>1685</v>
      </c>
      <c r="D601" s="76" t="s">
        <v>1693</v>
      </c>
      <c r="E601" s="53" t="s">
        <v>885</v>
      </c>
      <c r="F601" s="54"/>
      <c r="G601" s="55">
        <v>3125.0</v>
      </c>
      <c r="DN601" s="57">
        <v>1.0</v>
      </c>
    </row>
    <row r="602">
      <c r="A602" s="75" t="s">
        <v>1698</v>
      </c>
      <c r="B602" s="75">
        <v>49.0</v>
      </c>
      <c r="C602" s="75" t="s">
        <v>1699</v>
      </c>
      <c r="D602" s="76" t="s">
        <v>867</v>
      </c>
      <c r="E602" s="53" t="s">
        <v>874</v>
      </c>
      <c r="F602" s="76" t="s">
        <v>1076</v>
      </c>
      <c r="G602" s="55">
        <v>1560.0</v>
      </c>
      <c r="DN602" s="57">
        <v>0.0</v>
      </c>
    </row>
    <row r="603">
      <c r="A603" s="75" t="s">
        <v>1700</v>
      </c>
      <c r="B603" s="75">
        <v>53.0</v>
      </c>
      <c r="C603" s="75" t="s">
        <v>1699</v>
      </c>
      <c r="D603" s="76" t="s">
        <v>1620</v>
      </c>
      <c r="E603" s="53" t="s">
        <v>858</v>
      </c>
      <c r="F603" s="76" t="s">
        <v>1701</v>
      </c>
      <c r="G603" s="55">
        <v>1560.0</v>
      </c>
      <c r="DN603" s="57">
        <v>1.0</v>
      </c>
    </row>
    <row r="604">
      <c r="A604" s="75" t="s">
        <v>1702</v>
      </c>
      <c r="B604" s="75">
        <v>51.0</v>
      </c>
      <c r="C604" s="75" t="s">
        <v>1699</v>
      </c>
      <c r="D604" s="76" t="s">
        <v>876</v>
      </c>
      <c r="E604" s="53" t="s">
        <v>856</v>
      </c>
      <c r="F604" s="54"/>
      <c r="G604" s="55">
        <v>1560.0</v>
      </c>
      <c r="DN604" s="57">
        <v>1.0</v>
      </c>
    </row>
    <row r="605">
      <c r="A605" s="75" t="s">
        <v>1703</v>
      </c>
      <c r="B605" s="75">
        <v>51.0</v>
      </c>
      <c r="C605" s="75" t="s">
        <v>1699</v>
      </c>
      <c r="D605" s="76" t="s">
        <v>1620</v>
      </c>
      <c r="E605" s="53" t="s">
        <v>856</v>
      </c>
      <c r="F605" s="54"/>
      <c r="G605" s="55">
        <v>1560.0</v>
      </c>
      <c r="DN605" s="57">
        <v>1.0</v>
      </c>
    </row>
    <row r="606">
      <c r="A606" s="75" t="s">
        <v>1704</v>
      </c>
      <c r="B606" s="75">
        <v>53.0</v>
      </c>
      <c r="C606" s="75" t="s">
        <v>1699</v>
      </c>
      <c r="D606" s="76" t="s">
        <v>876</v>
      </c>
      <c r="E606" s="53" t="s">
        <v>869</v>
      </c>
      <c r="F606" s="54"/>
      <c r="G606" s="55">
        <v>1560.0</v>
      </c>
      <c r="DN606" s="57">
        <v>1.0</v>
      </c>
    </row>
    <row r="607">
      <c r="A607" s="75" t="s">
        <v>1705</v>
      </c>
      <c r="B607" s="75" t="s">
        <v>1003</v>
      </c>
      <c r="C607" s="75" t="s">
        <v>1699</v>
      </c>
      <c r="D607" s="76" t="s">
        <v>876</v>
      </c>
      <c r="E607" s="53" t="s">
        <v>1690</v>
      </c>
      <c r="F607" s="54"/>
      <c r="G607" s="55">
        <v>1560.0</v>
      </c>
      <c r="DN607" s="57">
        <v>1.0</v>
      </c>
    </row>
    <row r="608">
      <c r="A608" s="75" t="s">
        <v>1706</v>
      </c>
      <c r="B608" s="75" t="s">
        <v>1003</v>
      </c>
      <c r="C608" s="75" t="s">
        <v>1699</v>
      </c>
      <c r="D608" s="76" t="s">
        <v>1707</v>
      </c>
      <c r="E608" s="53" t="s">
        <v>1690</v>
      </c>
      <c r="F608" s="54"/>
      <c r="G608" s="55">
        <v>1560.0</v>
      </c>
      <c r="DN608" s="57">
        <v>1.0</v>
      </c>
    </row>
    <row r="609">
      <c r="A609" s="75" t="s">
        <v>1708</v>
      </c>
      <c r="B609" s="75"/>
      <c r="C609" s="75" t="s">
        <v>1708</v>
      </c>
      <c r="D609" s="76" t="s">
        <v>1709</v>
      </c>
      <c r="E609" s="53" t="s">
        <v>869</v>
      </c>
      <c r="F609" s="54"/>
      <c r="G609" s="55">
        <v>1500.0</v>
      </c>
      <c r="DN609" s="77">
        <v>4.0</v>
      </c>
    </row>
    <row r="610">
      <c r="A610" s="75" t="s">
        <v>1710</v>
      </c>
      <c r="B610" s="75">
        <v>54.0</v>
      </c>
      <c r="C610" s="75" t="s">
        <v>1711</v>
      </c>
      <c r="D610" s="76" t="s">
        <v>998</v>
      </c>
      <c r="E610" s="53" t="s">
        <v>885</v>
      </c>
      <c r="F610" s="54"/>
      <c r="G610" s="55">
        <v>10500.0</v>
      </c>
      <c r="DN610" s="57">
        <v>1.0</v>
      </c>
    </row>
    <row r="611">
      <c r="A611" s="75" t="s">
        <v>1712</v>
      </c>
      <c r="B611" s="75">
        <v>55.0</v>
      </c>
      <c r="C611" s="75" t="s">
        <v>1713</v>
      </c>
      <c r="D611" s="76" t="s">
        <v>1714</v>
      </c>
      <c r="E611" s="53" t="s">
        <v>885</v>
      </c>
      <c r="F611" s="54"/>
      <c r="G611" s="83">
        <v>8190.0</v>
      </c>
      <c r="DN611" s="57">
        <v>1.0</v>
      </c>
    </row>
    <row r="612">
      <c r="A612" s="75" t="s">
        <v>1715</v>
      </c>
      <c r="B612" s="75">
        <v>55.0</v>
      </c>
      <c r="C612" s="75" t="s">
        <v>1713</v>
      </c>
      <c r="D612" s="76" t="s">
        <v>867</v>
      </c>
      <c r="E612" s="53" t="s">
        <v>885</v>
      </c>
      <c r="F612" s="54"/>
      <c r="G612" s="55">
        <v>6190.0</v>
      </c>
      <c r="DN612" s="77">
        <v>0.0</v>
      </c>
    </row>
    <row r="613">
      <c r="A613" s="75" t="s">
        <v>1716</v>
      </c>
      <c r="B613" s="75">
        <v>62.0</v>
      </c>
      <c r="C613" s="75" t="s">
        <v>1713</v>
      </c>
      <c r="D613" s="76" t="s">
        <v>1717</v>
      </c>
      <c r="E613" s="53" t="s">
        <v>885</v>
      </c>
      <c r="F613" s="54"/>
      <c r="G613" s="55">
        <v>6990.0</v>
      </c>
      <c r="DN613" s="57">
        <v>1.0</v>
      </c>
    </row>
    <row r="614">
      <c r="A614" s="75" t="s">
        <v>1718</v>
      </c>
      <c r="B614" s="75">
        <v>59.0</v>
      </c>
      <c r="C614" s="75" t="s">
        <v>1713</v>
      </c>
      <c r="D614" s="76" t="s">
        <v>1719</v>
      </c>
      <c r="E614" s="53" t="s">
        <v>885</v>
      </c>
      <c r="F614" s="54"/>
      <c r="G614" s="55">
        <v>10790.0</v>
      </c>
      <c r="DN614" s="57">
        <v>1.0</v>
      </c>
    </row>
    <row r="615">
      <c r="A615" s="75" t="s">
        <v>1720</v>
      </c>
      <c r="B615" s="75">
        <v>57.0</v>
      </c>
      <c r="C615" s="75" t="s">
        <v>1713</v>
      </c>
      <c r="D615" s="76" t="s">
        <v>1714</v>
      </c>
      <c r="E615" s="53" t="s">
        <v>885</v>
      </c>
      <c r="F615" s="54"/>
      <c r="G615" s="55">
        <v>10990.0</v>
      </c>
      <c r="DN615" s="57">
        <v>1.0</v>
      </c>
    </row>
    <row r="616">
      <c r="A616" s="75" t="s">
        <v>1721</v>
      </c>
      <c r="B616" s="75">
        <v>59.0</v>
      </c>
      <c r="C616" s="75" t="s">
        <v>1713</v>
      </c>
      <c r="D616" s="76" t="s">
        <v>867</v>
      </c>
      <c r="E616" s="53"/>
      <c r="F616" s="54"/>
      <c r="G616" s="83"/>
      <c r="DN616" s="57">
        <v>0.0</v>
      </c>
    </row>
    <row r="617">
      <c r="A617" s="75" t="s">
        <v>1722</v>
      </c>
      <c r="B617" s="75">
        <v>63.0</v>
      </c>
      <c r="C617" s="75" t="s">
        <v>1713</v>
      </c>
      <c r="D617" s="76" t="s">
        <v>1723</v>
      </c>
      <c r="E617" s="53" t="s">
        <v>885</v>
      </c>
      <c r="F617" s="54"/>
      <c r="G617" s="83">
        <v>20290.0</v>
      </c>
      <c r="DN617" s="57">
        <v>3.0</v>
      </c>
    </row>
    <row r="618">
      <c r="A618" s="75" t="s">
        <v>1724</v>
      </c>
      <c r="B618" s="75">
        <v>57.0</v>
      </c>
      <c r="C618" s="75" t="s">
        <v>1713</v>
      </c>
      <c r="D618" s="76" t="s">
        <v>867</v>
      </c>
      <c r="E618" s="53" t="s">
        <v>885</v>
      </c>
      <c r="F618" s="54"/>
      <c r="G618" s="83">
        <v>6690.0</v>
      </c>
      <c r="DN618" s="57">
        <v>0.0</v>
      </c>
    </row>
    <row r="619">
      <c r="A619" s="75" t="s">
        <v>1725</v>
      </c>
      <c r="B619" s="75">
        <v>52.0</v>
      </c>
      <c r="C619" s="75" t="s">
        <v>1713</v>
      </c>
      <c r="D619" s="76" t="s">
        <v>1726</v>
      </c>
      <c r="E619" s="53" t="s">
        <v>932</v>
      </c>
      <c r="F619" s="54"/>
      <c r="G619" s="55"/>
      <c r="DN619" s="77">
        <v>1.0</v>
      </c>
    </row>
    <row r="620">
      <c r="A620" s="75" t="s">
        <v>1727</v>
      </c>
      <c r="B620" s="75">
        <v>52.0</v>
      </c>
      <c r="C620" s="75" t="s">
        <v>1713</v>
      </c>
      <c r="D620" s="76" t="s">
        <v>1726</v>
      </c>
      <c r="E620" s="53" t="s">
        <v>932</v>
      </c>
      <c r="F620" s="54"/>
      <c r="G620" s="55"/>
      <c r="DN620" s="57">
        <v>1.0</v>
      </c>
    </row>
    <row r="621">
      <c r="A621" s="75" t="s">
        <v>1728</v>
      </c>
      <c r="B621" s="75">
        <v>52.0</v>
      </c>
      <c r="C621" s="75" t="s">
        <v>1713</v>
      </c>
      <c r="D621" s="76" t="s">
        <v>867</v>
      </c>
      <c r="E621" s="53"/>
      <c r="F621" s="54"/>
      <c r="G621" s="55"/>
      <c r="DN621" s="78">
        <v>0.0</v>
      </c>
    </row>
    <row r="622">
      <c r="A622" s="75" t="s">
        <v>1729</v>
      </c>
      <c r="B622" s="75">
        <v>51.0</v>
      </c>
      <c r="C622" s="75" t="s">
        <v>1730</v>
      </c>
      <c r="D622" s="76" t="s">
        <v>1707</v>
      </c>
      <c r="E622" s="53" t="s">
        <v>852</v>
      </c>
      <c r="F622" s="54"/>
      <c r="G622" s="55">
        <v>2250.0</v>
      </c>
      <c r="DN622" s="57">
        <v>1.0</v>
      </c>
    </row>
    <row r="623">
      <c r="A623" s="75" t="s">
        <v>1731</v>
      </c>
      <c r="B623" s="75">
        <v>51.0</v>
      </c>
      <c r="C623" s="75" t="s">
        <v>1730</v>
      </c>
      <c r="D623" s="76" t="s">
        <v>1732</v>
      </c>
      <c r="E623" s="53" t="s">
        <v>1733</v>
      </c>
      <c r="F623" s="54"/>
      <c r="G623" s="55">
        <v>2250.0</v>
      </c>
      <c r="DN623" s="57">
        <v>2.0</v>
      </c>
    </row>
    <row r="624">
      <c r="A624" s="75" t="s">
        <v>1734</v>
      </c>
      <c r="B624" s="75">
        <v>51.0</v>
      </c>
      <c r="C624" s="75" t="s">
        <v>1730</v>
      </c>
      <c r="D624" s="76" t="s">
        <v>1630</v>
      </c>
      <c r="E624" s="53" t="s">
        <v>1733</v>
      </c>
      <c r="F624" s="54"/>
      <c r="G624" s="55">
        <v>2250.0</v>
      </c>
      <c r="DN624" s="57">
        <v>1.0</v>
      </c>
    </row>
    <row r="625">
      <c r="A625" s="75" t="s">
        <v>1735</v>
      </c>
      <c r="B625" s="75">
        <v>51.0</v>
      </c>
      <c r="C625" s="75" t="s">
        <v>1730</v>
      </c>
      <c r="D625" s="76" t="s">
        <v>1707</v>
      </c>
      <c r="E625" s="53" t="s">
        <v>1733</v>
      </c>
      <c r="F625" s="54"/>
      <c r="G625" s="55">
        <v>2250.0</v>
      </c>
      <c r="DN625" s="57">
        <v>1.0</v>
      </c>
    </row>
    <row r="626">
      <c r="A626" s="75" t="s">
        <v>1736</v>
      </c>
      <c r="B626" s="75">
        <v>53.0</v>
      </c>
      <c r="C626" s="75" t="s">
        <v>1730</v>
      </c>
      <c r="D626" s="76" t="s">
        <v>1707</v>
      </c>
      <c r="E626" s="53" t="s">
        <v>1733</v>
      </c>
      <c r="F626" s="54"/>
      <c r="G626" s="55">
        <v>2250.0</v>
      </c>
      <c r="DN626" s="57">
        <v>1.0</v>
      </c>
    </row>
    <row r="627">
      <c r="A627" s="75" t="s">
        <v>1737</v>
      </c>
      <c r="B627" s="75">
        <v>53.0</v>
      </c>
      <c r="C627" s="75" t="s">
        <v>1730</v>
      </c>
      <c r="D627" s="76" t="s">
        <v>1707</v>
      </c>
      <c r="E627" s="53" t="s">
        <v>1733</v>
      </c>
      <c r="F627" s="54"/>
      <c r="G627" s="55">
        <v>2250.0</v>
      </c>
      <c r="DN627" s="77">
        <v>1.0</v>
      </c>
    </row>
    <row r="628">
      <c r="A628" s="75" t="s">
        <v>1738</v>
      </c>
      <c r="B628" s="75">
        <v>53.0</v>
      </c>
      <c r="C628" s="75" t="s">
        <v>1730</v>
      </c>
      <c r="D628" s="76" t="s">
        <v>867</v>
      </c>
      <c r="E628" s="53" t="s">
        <v>1733</v>
      </c>
      <c r="F628" s="54"/>
      <c r="G628" s="55">
        <v>2250.0</v>
      </c>
      <c r="DN628" s="77">
        <v>0.0</v>
      </c>
    </row>
    <row r="629">
      <c r="A629" s="75" t="s">
        <v>1739</v>
      </c>
      <c r="B629" s="75">
        <v>53.0</v>
      </c>
      <c r="C629" s="75" t="s">
        <v>1730</v>
      </c>
      <c r="D629" s="76" t="s">
        <v>1630</v>
      </c>
      <c r="E629" s="53" t="s">
        <v>1733</v>
      </c>
      <c r="F629" s="54"/>
      <c r="G629" s="55">
        <v>2250.0</v>
      </c>
      <c r="DN629" s="57">
        <v>1.0</v>
      </c>
    </row>
    <row r="630">
      <c r="A630" s="75" t="s">
        <v>1740</v>
      </c>
      <c r="B630" s="75">
        <v>53.0</v>
      </c>
      <c r="C630" s="75" t="s">
        <v>1730</v>
      </c>
      <c r="D630" s="76" t="s">
        <v>1707</v>
      </c>
      <c r="E630" s="53" t="s">
        <v>1733</v>
      </c>
      <c r="F630" s="54"/>
      <c r="G630" s="55">
        <v>2250.0</v>
      </c>
      <c r="DN630" s="57">
        <v>1.0</v>
      </c>
    </row>
    <row r="631">
      <c r="A631" s="75" t="s">
        <v>1741</v>
      </c>
      <c r="B631" s="75">
        <v>52.0</v>
      </c>
      <c r="C631" s="75" t="s">
        <v>1730</v>
      </c>
      <c r="D631" s="76" t="s">
        <v>867</v>
      </c>
      <c r="E631" s="53" t="s">
        <v>932</v>
      </c>
      <c r="F631" s="54"/>
      <c r="G631" s="55">
        <v>1750.0</v>
      </c>
      <c r="DN631" s="57">
        <v>0.0</v>
      </c>
    </row>
    <row r="632">
      <c r="A632" s="75" t="s">
        <v>1742</v>
      </c>
      <c r="B632" s="75">
        <v>53.0</v>
      </c>
      <c r="C632" s="75" t="s">
        <v>1730</v>
      </c>
      <c r="D632" s="76" t="s">
        <v>867</v>
      </c>
      <c r="E632" s="53" t="s">
        <v>932</v>
      </c>
      <c r="F632" s="54"/>
      <c r="G632" s="55">
        <v>1750.0</v>
      </c>
      <c r="DN632" s="57">
        <v>0.0</v>
      </c>
    </row>
    <row r="633">
      <c r="A633" s="75" t="s">
        <v>1743</v>
      </c>
      <c r="B633" s="75">
        <v>54.0</v>
      </c>
      <c r="C633" s="75" t="s">
        <v>1730</v>
      </c>
      <c r="D633" s="76" t="s">
        <v>1123</v>
      </c>
      <c r="E633" s="53" t="s">
        <v>932</v>
      </c>
      <c r="F633" s="54"/>
      <c r="G633" s="55">
        <v>1750.0</v>
      </c>
      <c r="DN633" s="77">
        <v>0.0</v>
      </c>
    </row>
    <row r="634">
      <c r="A634" s="75" t="s">
        <v>1744</v>
      </c>
      <c r="B634" s="75">
        <v>52.0</v>
      </c>
      <c r="C634" s="75" t="s">
        <v>1730</v>
      </c>
      <c r="D634" s="76" t="s">
        <v>1123</v>
      </c>
      <c r="E634" s="53" t="s">
        <v>932</v>
      </c>
      <c r="F634" s="54"/>
      <c r="G634" s="55">
        <v>1750.0</v>
      </c>
      <c r="DN634" s="77">
        <v>0.0</v>
      </c>
    </row>
    <row r="635" ht="18.75" customHeight="1">
      <c r="A635" s="75" t="s">
        <v>1745</v>
      </c>
      <c r="B635" s="75">
        <v>51.0</v>
      </c>
      <c r="C635" s="75" t="s">
        <v>1730</v>
      </c>
      <c r="D635" s="76" t="s">
        <v>1123</v>
      </c>
      <c r="E635" s="53" t="s">
        <v>932</v>
      </c>
      <c r="F635" s="54"/>
      <c r="G635" s="55">
        <v>3200.0</v>
      </c>
      <c r="DN635" s="77">
        <v>0.0</v>
      </c>
    </row>
    <row r="636">
      <c r="A636" s="75" t="s">
        <v>1746</v>
      </c>
      <c r="B636" s="75">
        <v>50.0</v>
      </c>
      <c r="C636" s="75" t="s">
        <v>1730</v>
      </c>
      <c r="D636" s="76" t="s">
        <v>867</v>
      </c>
      <c r="E636" s="53" t="s">
        <v>932</v>
      </c>
      <c r="F636" s="54"/>
      <c r="G636" s="55">
        <v>1750.0</v>
      </c>
      <c r="DN636" s="57">
        <v>0.0</v>
      </c>
    </row>
    <row r="637">
      <c r="A637" s="75" t="s">
        <v>1747</v>
      </c>
      <c r="B637" s="75">
        <v>53.0</v>
      </c>
      <c r="C637" s="75" t="s">
        <v>1713</v>
      </c>
      <c r="D637" s="76" t="s">
        <v>1748</v>
      </c>
      <c r="E637" s="53" t="s">
        <v>858</v>
      </c>
      <c r="F637" s="54"/>
      <c r="G637" s="55">
        <v>5490.0</v>
      </c>
      <c r="DN637" s="57">
        <v>1.0</v>
      </c>
    </row>
    <row r="638">
      <c r="A638" s="75" t="s">
        <v>1749</v>
      </c>
      <c r="B638" s="75">
        <v>53.0</v>
      </c>
      <c r="C638" s="75" t="s">
        <v>1713</v>
      </c>
      <c r="D638" s="76" t="s">
        <v>1748</v>
      </c>
      <c r="E638" s="53" t="s">
        <v>869</v>
      </c>
      <c r="F638" s="54"/>
      <c r="G638" s="55">
        <v>5490.0</v>
      </c>
      <c r="DN638" s="57">
        <v>1.0</v>
      </c>
    </row>
    <row r="639">
      <c r="A639" s="75" t="s">
        <v>1750</v>
      </c>
      <c r="B639" s="75" t="s">
        <v>1003</v>
      </c>
      <c r="C639" s="75" t="s">
        <v>1751</v>
      </c>
      <c r="D639" s="76" t="s">
        <v>1752</v>
      </c>
      <c r="E639" s="53" t="s">
        <v>885</v>
      </c>
      <c r="F639" s="54"/>
      <c r="G639" s="55">
        <v>2375.0</v>
      </c>
      <c r="DN639" s="57">
        <v>1.0</v>
      </c>
    </row>
    <row r="640">
      <c r="A640" s="75" t="s">
        <v>1753</v>
      </c>
      <c r="B640" s="75" t="s">
        <v>1003</v>
      </c>
      <c r="C640" s="75" t="s">
        <v>1751</v>
      </c>
      <c r="D640" s="76" t="s">
        <v>1752</v>
      </c>
      <c r="E640" s="53" t="s">
        <v>885</v>
      </c>
      <c r="F640" s="54"/>
      <c r="G640" s="55">
        <v>2375.0</v>
      </c>
      <c r="DN640" s="57">
        <v>1.0</v>
      </c>
    </row>
    <row r="641" ht="17.25" customHeight="1">
      <c r="A641" s="75" t="s">
        <v>1754</v>
      </c>
      <c r="B641" s="75" t="s">
        <v>1003</v>
      </c>
      <c r="C641" s="75" t="s">
        <v>1751</v>
      </c>
      <c r="D641" s="76" t="s">
        <v>1755</v>
      </c>
      <c r="E641" s="53" t="s">
        <v>885</v>
      </c>
      <c r="F641" s="54"/>
      <c r="G641" s="55">
        <v>3375.0</v>
      </c>
      <c r="DN641" s="57">
        <v>1.0</v>
      </c>
    </row>
    <row r="642">
      <c r="A642" s="75" t="s">
        <v>1756</v>
      </c>
      <c r="B642" s="75" t="s">
        <v>1003</v>
      </c>
      <c r="C642" s="75" t="s">
        <v>1751</v>
      </c>
      <c r="D642" s="76" t="s">
        <v>1284</v>
      </c>
      <c r="E642" s="53" t="s">
        <v>885</v>
      </c>
      <c r="F642" s="54"/>
      <c r="G642" s="55">
        <v>2375.0</v>
      </c>
      <c r="DN642" s="57">
        <v>1.0</v>
      </c>
    </row>
    <row r="643">
      <c r="A643" s="75" t="s">
        <v>1757</v>
      </c>
      <c r="B643" s="75">
        <v>54.0</v>
      </c>
      <c r="C643" s="75" t="s">
        <v>1751</v>
      </c>
      <c r="D643" s="76" t="s">
        <v>1284</v>
      </c>
      <c r="E643" s="53" t="s">
        <v>885</v>
      </c>
      <c r="F643" s="54"/>
      <c r="G643" s="55">
        <v>4250.0</v>
      </c>
      <c r="DN643" s="57">
        <v>1.0</v>
      </c>
    </row>
    <row r="644">
      <c r="A644" s="75" t="s">
        <v>1758</v>
      </c>
      <c r="B644" s="75" t="s">
        <v>1003</v>
      </c>
      <c r="C644" s="75" t="s">
        <v>1751</v>
      </c>
      <c r="D644" s="76" t="s">
        <v>954</v>
      </c>
      <c r="E644" s="53" t="s">
        <v>885</v>
      </c>
      <c r="F644" s="54"/>
      <c r="G644" s="55">
        <v>4750.0</v>
      </c>
      <c r="DN644" s="57">
        <v>1.0</v>
      </c>
    </row>
    <row r="645">
      <c r="A645" s="75" t="s">
        <v>1759</v>
      </c>
      <c r="B645" s="75" t="s">
        <v>1003</v>
      </c>
      <c r="C645" s="75" t="s">
        <v>1751</v>
      </c>
      <c r="D645" s="76" t="s">
        <v>1755</v>
      </c>
      <c r="E645" s="53" t="s">
        <v>885</v>
      </c>
      <c r="F645" s="54"/>
      <c r="G645" s="55">
        <v>3750.0</v>
      </c>
      <c r="DN645" s="57">
        <v>1.0</v>
      </c>
    </row>
    <row r="646">
      <c r="A646" s="75" t="s">
        <v>1760</v>
      </c>
      <c r="B646" s="75">
        <v>58.0</v>
      </c>
      <c r="C646" s="75" t="s">
        <v>1751</v>
      </c>
      <c r="D646" s="76" t="s">
        <v>1695</v>
      </c>
      <c r="E646" s="53" t="s">
        <v>885</v>
      </c>
      <c r="F646" s="54"/>
      <c r="G646" s="55">
        <v>2950.0</v>
      </c>
      <c r="DN646" s="57">
        <v>1.0</v>
      </c>
    </row>
    <row r="647">
      <c r="A647" s="75" t="s">
        <v>1761</v>
      </c>
      <c r="B647" s="75" t="s">
        <v>1003</v>
      </c>
      <c r="C647" s="75" t="s">
        <v>1751</v>
      </c>
      <c r="D647" s="76" t="s">
        <v>954</v>
      </c>
      <c r="E647" s="53" t="s">
        <v>885</v>
      </c>
      <c r="F647" s="54"/>
      <c r="G647" s="55">
        <v>2950.0</v>
      </c>
      <c r="DN647" s="57">
        <v>1.0</v>
      </c>
    </row>
    <row r="648">
      <c r="A648" s="75" t="s">
        <v>1762</v>
      </c>
      <c r="B648" s="75">
        <v>61.0</v>
      </c>
      <c r="C648" s="75" t="s">
        <v>1751</v>
      </c>
      <c r="D648" s="76" t="s">
        <v>1755</v>
      </c>
      <c r="E648" s="53" t="s">
        <v>885</v>
      </c>
      <c r="F648" s="54"/>
      <c r="G648" s="55">
        <v>2950.0</v>
      </c>
      <c r="DN648" s="57">
        <v>1.0</v>
      </c>
    </row>
    <row r="649">
      <c r="A649" s="75" t="s">
        <v>1763</v>
      </c>
      <c r="B649" s="75">
        <v>60.0</v>
      </c>
      <c r="C649" s="75" t="s">
        <v>1751</v>
      </c>
      <c r="D649" s="76" t="s">
        <v>1755</v>
      </c>
      <c r="E649" s="53" t="s">
        <v>885</v>
      </c>
      <c r="F649" s="54"/>
      <c r="G649" s="55">
        <v>2950.0</v>
      </c>
      <c r="DN649" s="57">
        <v>1.0</v>
      </c>
    </row>
    <row r="650">
      <c r="A650" s="75" t="s">
        <v>1764</v>
      </c>
      <c r="B650" s="75">
        <v>50.0</v>
      </c>
      <c r="C650" s="75" t="s">
        <v>1751</v>
      </c>
      <c r="D650" s="76" t="s">
        <v>1765</v>
      </c>
      <c r="E650" s="53" t="s">
        <v>885</v>
      </c>
      <c r="F650" s="54"/>
      <c r="G650" s="55">
        <v>2950.0</v>
      </c>
      <c r="DN650" s="57">
        <v>2.0</v>
      </c>
    </row>
    <row r="651">
      <c r="A651" s="75" t="s">
        <v>1766</v>
      </c>
      <c r="B651" s="75" t="s">
        <v>1003</v>
      </c>
      <c r="C651" s="75" t="s">
        <v>1751</v>
      </c>
      <c r="D651" s="76" t="s">
        <v>954</v>
      </c>
      <c r="E651" s="53" t="s">
        <v>885</v>
      </c>
      <c r="F651" s="54"/>
      <c r="G651" s="55">
        <v>3500.0</v>
      </c>
      <c r="DN651" s="57">
        <v>1.0</v>
      </c>
    </row>
    <row r="652">
      <c r="A652" s="75" t="s">
        <v>1767</v>
      </c>
      <c r="B652" s="75" t="s">
        <v>1003</v>
      </c>
      <c r="C652" s="75" t="s">
        <v>1751</v>
      </c>
      <c r="D652" s="76" t="s">
        <v>1768</v>
      </c>
      <c r="E652" s="53" t="s">
        <v>885</v>
      </c>
      <c r="F652" s="54"/>
      <c r="G652" s="55">
        <v>2950.0</v>
      </c>
      <c r="DN652" s="57">
        <v>1.0</v>
      </c>
    </row>
    <row r="653">
      <c r="A653" s="75" t="s">
        <v>1769</v>
      </c>
      <c r="B653" s="75" t="s">
        <v>1003</v>
      </c>
      <c r="C653" s="75" t="s">
        <v>1751</v>
      </c>
      <c r="D653" s="76" t="s">
        <v>867</v>
      </c>
      <c r="E653" s="53" t="s">
        <v>885</v>
      </c>
      <c r="F653" s="54"/>
      <c r="G653" s="55">
        <v>2950.0</v>
      </c>
      <c r="DN653" s="57">
        <v>0.0</v>
      </c>
    </row>
    <row r="654">
      <c r="A654" s="75" t="s">
        <v>1770</v>
      </c>
      <c r="B654" s="75" t="s">
        <v>1003</v>
      </c>
      <c r="C654" s="75" t="s">
        <v>1751</v>
      </c>
      <c r="D654" s="76" t="s">
        <v>1768</v>
      </c>
      <c r="E654" s="53" t="s">
        <v>885</v>
      </c>
      <c r="F654" s="54"/>
      <c r="G654" s="55">
        <v>3350.0</v>
      </c>
      <c r="DN654" s="57">
        <v>1.0</v>
      </c>
    </row>
    <row r="655">
      <c r="A655" s="75" t="s">
        <v>1771</v>
      </c>
      <c r="B655" s="75" t="s">
        <v>1003</v>
      </c>
      <c r="C655" s="75" t="s">
        <v>1751</v>
      </c>
      <c r="D655" s="76" t="s">
        <v>867</v>
      </c>
      <c r="E655" s="53" t="s">
        <v>885</v>
      </c>
      <c r="F655" s="54"/>
      <c r="G655" s="55">
        <v>3350.0</v>
      </c>
      <c r="DN655" s="57">
        <v>0.0</v>
      </c>
    </row>
    <row r="656">
      <c r="A656" s="75" t="s">
        <v>1772</v>
      </c>
      <c r="B656" s="75">
        <v>56.0</v>
      </c>
      <c r="C656" s="75" t="s">
        <v>1773</v>
      </c>
      <c r="D656" s="76" t="s">
        <v>867</v>
      </c>
      <c r="E656" s="53" t="s">
        <v>1050</v>
      </c>
      <c r="F656" s="54"/>
      <c r="G656" s="83">
        <v>3400.0</v>
      </c>
      <c r="DN656" s="57">
        <v>0.0</v>
      </c>
    </row>
    <row r="657">
      <c r="A657" s="75" t="s">
        <v>1774</v>
      </c>
      <c r="B657" s="75">
        <v>55.0</v>
      </c>
      <c r="C657" s="75" t="s">
        <v>1773</v>
      </c>
      <c r="D657" s="76" t="s">
        <v>1748</v>
      </c>
      <c r="E657" s="53" t="s">
        <v>932</v>
      </c>
      <c r="F657" s="54"/>
      <c r="G657" s="83"/>
      <c r="DN657" s="57">
        <v>1.0</v>
      </c>
    </row>
    <row r="658">
      <c r="A658" s="75" t="s">
        <v>1775</v>
      </c>
      <c r="B658" s="75">
        <v>62.0</v>
      </c>
      <c r="C658" s="75" t="s">
        <v>1773</v>
      </c>
      <c r="D658" s="76" t="s">
        <v>1748</v>
      </c>
      <c r="E658" s="53" t="s">
        <v>1050</v>
      </c>
      <c r="F658" s="54"/>
      <c r="G658" s="83"/>
      <c r="DN658" s="57">
        <v>1.0</v>
      </c>
    </row>
    <row r="659">
      <c r="A659" s="75" t="s">
        <v>1776</v>
      </c>
      <c r="B659" s="75">
        <v>55.0</v>
      </c>
      <c r="C659" s="75" t="s">
        <v>1773</v>
      </c>
      <c r="D659" s="76" t="s">
        <v>867</v>
      </c>
      <c r="E659" s="53" t="s">
        <v>1050</v>
      </c>
      <c r="F659" s="54"/>
      <c r="G659" s="83">
        <v>3400.0</v>
      </c>
      <c r="DN659" s="57">
        <v>0.0</v>
      </c>
    </row>
    <row r="660">
      <c r="A660" s="75" t="s">
        <v>1777</v>
      </c>
      <c r="B660" s="75">
        <v>53.0</v>
      </c>
      <c r="C660" s="75" t="s">
        <v>1778</v>
      </c>
      <c r="D660" s="76" t="s">
        <v>1227</v>
      </c>
      <c r="E660" s="53" t="s">
        <v>885</v>
      </c>
      <c r="F660" s="54"/>
      <c r="G660" s="55">
        <v>17000.0</v>
      </c>
      <c r="DN660" s="77">
        <v>1.0</v>
      </c>
    </row>
    <row r="661">
      <c r="A661" s="75" t="s">
        <v>1779</v>
      </c>
      <c r="B661" s="75">
        <v>55.0</v>
      </c>
      <c r="C661" s="75" t="s">
        <v>1778</v>
      </c>
      <c r="D661" s="76" t="s">
        <v>1225</v>
      </c>
      <c r="E661" s="53" t="s">
        <v>885</v>
      </c>
      <c r="F661" s="54"/>
      <c r="G661" s="55">
        <v>17000.0</v>
      </c>
      <c r="DN661" s="57">
        <v>1.0</v>
      </c>
    </row>
    <row r="662" ht="16.5" customHeight="1">
      <c r="A662" s="118" t="s">
        <v>1780</v>
      </c>
      <c r="B662" s="75"/>
      <c r="C662" s="75" t="s">
        <v>1778</v>
      </c>
      <c r="D662" s="76" t="s">
        <v>1668</v>
      </c>
      <c r="E662" s="53" t="s">
        <v>885</v>
      </c>
      <c r="F662" s="54"/>
      <c r="G662" s="83">
        <v>17000.0</v>
      </c>
      <c r="DN662" s="57">
        <v>1.0</v>
      </c>
    </row>
    <row r="663" ht="16.5" customHeight="1">
      <c r="A663" s="75" t="s">
        <v>1781</v>
      </c>
      <c r="B663" s="75">
        <v>60.0</v>
      </c>
      <c r="C663" s="75" t="s">
        <v>1782</v>
      </c>
      <c r="D663" s="76" t="s">
        <v>1284</v>
      </c>
      <c r="E663" s="53" t="s">
        <v>885</v>
      </c>
      <c r="F663" s="54"/>
      <c r="G663" s="55">
        <v>2590.0</v>
      </c>
      <c r="DN663" s="57">
        <v>1.0</v>
      </c>
    </row>
    <row r="664">
      <c r="A664" s="75" t="s">
        <v>1783</v>
      </c>
      <c r="B664" s="75" t="s">
        <v>1003</v>
      </c>
      <c r="C664" s="75" t="s">
        <v>1782</v>
      </c>
      <c r="D664" s="76" t="s">
        <v>1284</v>
      </c>
      <c r="E664" s="53" t="s">
        <v>885</v>
      </c>
      <c r="F664" s="54"/>
      <c r="G664" s="55">
        <v>2250.0</v>
      </c>
      <c r="DN664" s="57">
        <v>1.0</v>
      </c>
    </row>
    <row r="665">
      <c r="A665" s="75" t="s">
        <v>1784</v>
      </c>
      <c r="B665" s="75" t="s">
        <v>1003</v>
      </c>
      <c r="C665" s="75" t="s">
        <v>1782</v>
      </c>
      <c r="D665" s="76" t="s">
        <v>1284</v>
      </c>
      <c r="E665" s="53" t="s">
        <v>885</v>
      </c>
      <c r="F665" s="54"/>
      <c r="G665" s="55">
        <v>2250.0</v>
      </c>
      <c r="DN665" s="57">
        <v>1.0</v>
      </c>
    </row>
    <row r="666">
      <c r="A666" s="75" t="s">
        <v>1785</v>
      </c>
      <c r="B666" s="75">
        <v>58.0</v>
      </c>
      <c r="C666" s="75" t="s">
        <v>1782</v>
      </c>
      <c r="D666" s="76" t="s">
        <v>867</v>
      </c>
      <c r="E666" s="53" t="s">
        <v>885</v>
      </c>
      <c r="F666" s="54"/>
      <c r="G666" s="55">
        <v>2250.0</v>
      </c>
      <c r="DN666" s="57">
        <v>0.0</v>
      </c>
    </row>
    <row r="667">
      <c r="A667" s="75" t="s">
        <v>1786</v>
      </c>
      <c r="B667" s="75">
        <v>63.0</v>
      </c>
      <c r="C667" s="75" t="s">
        <v>1787</v>
      </c>
      <c r="D667" s="76" t="s">
        <v>867</v>
      </c>
      <c r="E667" s="53" t="s">
        <v>885</v>
      </c>
      <c r="F667" s="54"/>
      <c r="G667" s="55"/>
      <c r="DN667" s="57">
        <v>0.0</v>
      </c>
    </row>
    <row r="668">
      <c r="A668" s="75" t="s">
        <v>1788</v>
      </c>
      <c r="B668" s="75">
        <v>64.0</v>
      </c>
      <c r="C668" s="75" t="s">
        <v>1787</v>
      </c>
      <c r="D668" s="76" t="s">
        <v>1227</v>
      </c>
      <c r="E668" s="53" t="s">
        <v>885</v>
      </c>
      <c r="F668" s="54"/>
      <c r="G668" s="83"/>
      <c r="DN668" s="57">
        <v>1.0</v>
      </c>
    </row>
    <row r="669">
      <c r="A669" s="75" t="s">
        <v>1789</v>
      </c>
      <c r="B669" s="75"/>
      <c r="C669" s="75" t="s">
        <v>1789</v>
      </c>
      <c r="D669" s="76" t="s">
        <v>1790</v>
      </c>
      <c r="E669" s="53" t="s">
        <v>1028</v>
      </c>
      <c r="F669" s="54"/>
      <c r="G669" s="55">
        <v>800.0</v>
      </c>
      <c r="DN669" s="77">
        <v>10.0</v>
      </c>
    </row>
    <row r="670">
      <c r="A670" s="75" t="s">
        <v>1791</v>
      </c>
      <c r="B670" s="75">
        <v>61.0</v>
      </c>
      <c r="C670" s="75" t="s">
        <v>1787</v>
      </c>
      <c r="D670" s="76" t="s">
        <v>1752</v>
      </c>
      <c r="E670" s="53" t="s">
        <v>885</v>
      </c>
      <c r="F670" s="54"/>
      <c r="G670" s="83">
        <v>9000.0</v>
      </c>
      <c r="DN670" s="57">
        <v>1.0</v>
      </c>
    </row>
    <row r="671">
      <c r="A671" s="75" t="s">
        <v>1792</v>
      </c>
      <c r="B671" s="75">
        <v>58.0</v>
      </c>
      <c r="C671" s="75" t="s">
        <v>1793</v>
      </c>
      <c r="D671" s="76" t="s">
        <v>1794</v>
      </c>
      <c r="E671" s="53" t="s">
        <v>885</v>
      </c>
      <c r="F671" s="54"/>
      <c r="G671" s="83">
        <v>10490.0</v>
      </c>
      <c r="DN671" s="57">
        <v>2.0</v>
      </c>
    </row>
    <row r="672">
      <c r="A672" s="75" t="s">
        <v>1795</v>
      </c>
      <c r="B672" s="75">
        <v>55.0</v>
      </c>
      <c r="C672" s="75" t="s">
        <v>1793</v>
      </c>
      <c r="D672" s="76" t="s">
        <v>1796</v>
      </c>
      <c r="E672" s="53" t="s">
        <v>885</v>
      </c>
      <c r="F672" s="76"/>
      <c r="G672" s="83">
        <v>11190.0</v>
      </c>
      <c r="DN672" s="57">
        <v>4.0</v>
      </c>
    </row>
    <row r="673">
      <c r="A673" s="75" t="s">
        <v>1797</v>
      </c>
      <c r="B673" s="75">
        <v>55.0</v>
      </c>
      <c r="C673" s="75" t="s">
        <v>1793</v>
      </c>
      <c r="D673" s="76" t="s">
        <v>1798</v>
      </c>
      <c r="E673" s="53" t="s">
        <v>885</v>
      </c>
      <c r="F673" s="54"/>
      <c r="G673" s="83">
        <v>12590.0</v>
      </c>
      <c r="DN673" s="57">
        <v>1.0</v>
      </c>
    </row>
    <row r="674">
      <c r="A674" s="75" t="s">
        <v>1799</v>
      </c>
      <c r="B674" s="75">
        <v>52.0</v>
      </c>
      <c r="C674" s="75" t="s">
        <v>1793</v>
      </c>
      <c r="D674" s="76" t="s">
        <v>1798</v>
      </c>
      <c r="E674" s="53" t="s">
        <v>885</v>
      </c>
      <c r="F674" s="54"/>
      <c r="G674" s="83">
        <v>10490.0</v>
      </c>
      <c r="DN674" s="57">
        <v>1.0</v>
      </c>
    </row>
    <row r="675">
      <c r="A675" s="75" t="s">
        <v>1800</v>
      </c>
      <c r="B675" s="75">
        <v>52.0</v>
      </c>
      <c r="C675" s="75" t="s">
        <v>1793</v>
      </c>
      <c r="D675" s="76" t="s">
        <v>1801</v>
      </c>
      <c r="E675" s="53" t="s">
        <v>885</v>
      </c>
      <c r="F675" s="54"/>
      <c r="G675" s="55"/>
      <c r="DN675" s="57">
        <v>1.0</v>
      </c>
    </row>
    <row r="676">
      <c r="A676" s="75" t="s">
        <v>1802</v>
      </c>
      <c r="B676" s="75">
        <v>49.0</v>
      </c>
      <c r="C676" s="75" t="s">
        <v>1793</v>
      </c>
      <c r="D676" s="76" t="s">
        <v>1801</v>
      </c>
      <c r="E676" s="53" t="s">
        <v>885</v>
      </c>
      <c r="F676" s="54"/>
      <c r="G676" s="83">
        <v>8890.0</v>
      </c>
      <c r="DN676" s="57">
        <v>1.0</v>
      </c>
    </row>
    <row r="677">
      <c r="A677" s="75" t="s">
        <v>1803</v>
      </c>
      <c r="B677" s="75">
        <v>51.0</v>
      </c>
      <c r="C677" s="75" t="s">
        <v>1793</v>
      </c>
      <c r="D677" s="76" t="s">
        <v>867</v>
      </c>
      <c r="E677" s="53" t="s">
        <v>885</v>
      </c>
      <c r="F677" s="54"/>
      <c r="G677" s="83">
        <v>9490.0</v>
      </c>
      <c r="DN677" s="57">
        <v>0.0</v>
      </c>
    </row>
    <row r="678">
      <c r="A678" s="75" t="s">
        <v>1804</v>
      </c>
      <c r="B678" s="75">
        <v>51.0</v>
      </c>
      <c r="C678" s="75" t="s">
        <v>1793</v>
      </c>
      <c r="D678" s="76" t="s">
        <v>1798</v>
      </c>
      <c r="E678" s="53" t="s">
        <v>885</v>
      </c>
      <c r="F678" s="54"/>
      <c r="G678" s="83">
        <v>12590.0</v>
      </c>
      <c r="DN678" s="57">
        <v>1.0</v>
      </c>
    </row>
    <row r="679" ht="16.5" customHeight="1">
      <c r="A679" s="75" t="s">
        <v>1805</v>
      </c>
      <c r="B679" s="75">
        <v>58.0</v>
      </c>
      <c r="C679" s="75" t="s">
        <v>1793</v>
      </c>
      <c r="D679" s="76" t="s">
        <v>1806</v>
      </c>
      <c r="E679" s="53" t="s">
        <v>885</v>
      </c>
      <c r="F679" s="54"/>
      <c r="G679" s="83">
        <v>9390.0</v>
      </c>
      <c r="DN679" s="57">
        <v>1.0</v>
      </c>
    </row>
    <row r="680">
      <c r="A680" s="75" t="s">
        <v>1807</v>
      </c>
      <c r="B680" s="75">
        <v>51.0</v>
      </c>
      <c r="C680" s="75" t="s">
        <v>1793</v>
      </c>
      <c r="D680" s="76" t="s">
        <v>1798</v>
      </c>
      <c r="E680" s="53" t="s">
        <v>885</v>
      </c>
      <c r="F680" s="54"/>
      <c r="G680" s="83">
        <v>10190.0</v>
      </c>
      <c r="DN680" s="57">
        <v>1.0</v>
      </c>
    </row>
    <row r="681">
      <c r="A681" s="75" t="s">
        <v>1808</v>
      </c>
      <c r="B681" s="75">
        <v>58.0</v>
      </c>
      <c r="C681" s="75" t="s">
        <v>1793</v>
      </c>
      <c r="D681" s="76" t="s">
        <v>1809</v>
      </c>
      <c r="E681" s="53" t="s">
        <v>885</v>
      </c>
      <c r="F681" s="54"/>
      <c r="G681" s="83">
        <v>11190.0</v>
      </c>
      <c r="DN681" s="57">
        <v>3.0</v>
      </c>
    </row>
    <row r="682">
      <c r="A682" s="75" t="s">
        <v>1810</v>
      </c>
      <c r="B682" s="75">
        <v>55.0</v>
      </c>
      <c r="C682" s="75" t="s">
        <v>1793</v>
      </c>
      <c r="D682" s="76" t="s">
        <v>1798</v>
      </c>
      <c r="E682" s="53" t="s">
        <v>885</v>
      </c>
      <c r="F682" s="76"/>
      <c r="G682" s="83">
        <v>10090.0</v>
      </c>
      <c r="DN682" s="57">
        <v>1.0</v>
      </c>
    </row>
    <row r="683">
      <c r="A683" s="75" t="s">
        <v>1811</v>
      </c>
      <c r="B683" s="75">
        <v>62.0</v>
      </c>
      <c r="C683" s="75" t="s">
        <v>1793</v>
      </c>
      <c r="D683" s="76" t="s">
        <v>1798</v>
      </c>
      <c r="E683" s="53" t="s">
        <v>885</v>
      </c>
      <c r="F683" s="54"/>
      <c r="G683" s="83" t="s">
        <v>1812</v>
      </c>
      <c r="DN683" s="57">
        <v>1.0</v>
      </c>
    </row>
    <row r="684">
      <c r="A684" s="75" t="s">
        <v>1813</v>
      </c>
      <c r="B684" s="75">
        <v>58.0</v>
      </c>
      <c r="C684" s="75" t="s">
        <v>1793</v>
      </c>
      <c r="D684" s="76" t="s">
        <v>1814</v>
      </c>
      <c r="E684" s="53" t="s">
        <v>885</v>
      </c>
      <c r="F684" s="54"/>
      <c r="G684" s="83">
        <v>8490.0</v>
      </c>
      <c r="DN684" s="77">
        <v>6.0</v>
      </c>
    </row>
    <row r="685">
      <c r="A685" s="119" t="s">
        <v>1815</v>
      </c>
      <c r="B685" s="15">
        <v>58.0</v>
      </c>
      <c r="C685" s="75" t="s">
        <v>1793</v>
      </c>
      <c r="D685" s="81" t="s">
        <v>1798</v>
      </c>
      <c r="E685" s="53" t="s">
        <v>885</v>
      </c>
      <c r="F685" s="76"/>
      <c r="G685" s="81">
        <v>10090.0</v>
      </c>
      <c r="DN685" s="42">
        <v>1.0</v>
      </c>
    </row>
    <row r="686">
      <c r="A686" s="75" t="s">
        <v>1816</v>
      </c>
      <c r="B686" s="75">
        <v>55.0</v>
      </c>
      <c r="C686" s="75" t="s">
        <v>1793</v>
      </c>
      <c r="D686" s="76" t="s">
        <v>1817</v>
      </c>
      <c r="E686" s="53" t="s">
        <v>885</v>
      </c>
      <c r="F686" s="76"/>
      <c r="G686" s="83">
        <v>6390.0</v>
      </c>
      <c r="DN686" s="57">
        <v>1.0</v>
      </c>
    </row>
    <row r="687">
      <c r="A687" s="75" t="s">
        <v>1818</v>
      </c>
      <c r="B687" s="75">
        <v>58.0</v>
      </c>
      <c r="C687" s="75" t="s">
        <v>1793</v>
      </c>
      <c r="D687" s="76" t="s">
        <v>1819</v>
      </c>
      <c r="E687" s="53" t="s">
        <v>885</v>
      </c>
      <c r="F687" s="76" t="s">
        <v>1820</v>
      </c>
      <c r="G687" s="83">
        <v>10090.0</v>
      </c>
      <c r="DN687" s="57">
        <v>1.0</v>
      </c>
    </row>
    <row r="688">
      <c r="A688" s="75" t="s">
        <v>1821</v>
      </c>
      <c r="B688" s="75">
        <v>55.0</v>
      </c>
      <c r="C688" s="75" t="s">
        <v>1793</v>
      </c>
      <c r="D688" s="76" t="s">
        <v>1819</v>
      </c>
      <c r="E688" s="53" t="s">
        <v>885</v>
      </c>
      <c r="F688" s="76"/>
      <c r="G688" s="83">
        <v>10090.0</v>
      </c>
      <c r="DN688" s="77">
        <v>1.0</v>
      </c>
    </row>
    <row r="689">
      <c r="A689" s="75" t="s">
        <v>1822</v>
      </c>
      <c r="B689" s="75">
        <v>55.0</v>
      </c>
      <c r="C689" s="75" t="s">
        <v>1793</v>
      </c>
      <c r="D689" s="76" t="s">
        <v>1817</v>
      </c>
      <c r="E689" s="53" t="s">
        <v>885</v>
      </c>
      <c r="F689" s="76" t="s">
        <v>1823</v>
      </c>
      <c r="G689" s="83">
        <v>9490.0</v>
      </c>
      <c r="DN689" s="77">
        <v>1.0</v>
      </c>
    </row>
    <row r="690">
      <c r="A690" s="75" t="s">
        <v>1824</v>
      </c>
      <c r="B690" s="75">
        <v>58.0</v>
      </c>
      <c r="C690" s="75" t="s">
        <v>1793</v>
      </c>
      <c r="D690" s="76" t="s">
        <v>1825</v>
      </c>
      <c r="E690" s="53" t="s">
        <v>885</v>
      </c>
      <c r="F690" s="54"/>
      <c r="G690" s="83">
        <v>8090.0</v>
      </c>
      <c r="DN690" s="77">
        <v>6.0</v>
      </c>
    </row>
    <row r="691" ht="18.75" customHeight="1">
      <c r="A691" s="75" t="s">
        <v>1826</v>
      </c>
      <c r="B691" s="75">
        <v>55.0</v>
      </c>
      <c r="C691" s="75" t="s">
        <v>1793</v>
      </c>
      <c r="D691" s="76" t="s">
        <v>1827</v>
      </c>
      <c r="E691" s="53" t="s">
        <v>885</v>
      </c>
      <c r="F691" s="54"/>
      <c r="G691" s="83">
        <v>9890.0</v>
      </c>
      <c r="DN691" s="57">
        <v>1.0</v>
      </c>
    </row>
    <row r="692">
      <c r="A692" s="15" t="s">
        <v>1828</v>
      </c>
      <c r="B692" s="120">
        <v>58.0</v>
      </c>
      <c r="C692" s="75" t="s">
        <v>1793</v>
      </c>
      <c r="D692" s="76" t="s">
        <v>1827</v>
      </c>
      <c r="E692" s="53" t="s">
        <v>885</v>
      </c>
      <c r="F692" s="54"/>
      <c r="G692" s="83">
        <v>10890.0</v>
      </c>
      <c r="DN692" s="57">
        <v>1.0</v>
      </c>
    </row>
    <row r="693">
      <c r="A693" s="75" t="s">
        <v>1829</v>
      </c>
      <c r="B693" s="75">
        <v>58.0</v>
      </c>
      <c r="C693" s="75" t="s">
        <v>1793</v>
      </c>
      <c r="D693" s="76" t="s">
        <v>1817</v>
      </c>
      <c r="E693" s="53" t="s">
        <v>885</v>
      </c>
      <c r="F693" s="76"/>
      <c r="G693" s="83" t="s">
        <v>1830</v>
      </c>
      <c r="DN693" s="57">
        <v>1.0</v>
      </c>
    </row>
    <row r="694">
      <c r="A694" s="121" t="s">
        <v>1831</v>
      </c>
      <c r="B694" s="121">
        <v>58.0</v>
      </c>
      <c r="C694" s="75" t="s">
        <v>1793</v>
      </c>
      <c r="D694" s="76" t="s">
        <v>1806</v>
      </c>
      <c r="E694" s="53" t="s">
        <v>885</v>
      </c>
      <c r="F694" s="76"/>
      <c r="G694" s="83">
        <v>9490.0</v>
      </c>
      <c r="DN694" s="57">
        <v>1.0</v>
      </c>
    </row>
    <row r="695">
      <c r="A695" s="75" t="s">
        <v>1832</v>
      </c>
      <c r="B695" s="75">
        <v>58.0</v>
      </c>
      <c r="C695" s="75" t="s">
        <v>1793</v>
      </c>
      <c r="D695" s="76" t="s">
        <v>867</v>
      </c>
      <c r="E695" s="53" t="s">
        <v>885</v>
      </c>
      <c r="F695" s="54"/>
      <c r="G695" s="83" t="s">
        <v>1833</v>
      </c>
      <c r="DN695" s="77">
        <v>0.0</v>
      </c>
    </row>
    <row r="696">
      <c r="A696" s="75" t="s">
        <v>1834</v>
      </c>
      <c r="B696" s="75">
        <v>58.0</v>
      </c>
      <c r="C696" s="75" t="s">
        <v>1793</v>
      </c>
      <c r="D696" s="76" t="s">
        <v>1798</v>
      </c>
      <c r="E696" s="53" t="s">
        <v>885</v>
      </c>
      <c r="F696" s="54"/>
      <c r="G696" s="83">
        <v>12590.0</v>
      </c>
      <c r="DN696" s="57">
        <v>1.0</v>
      </c>
    </row>
    <row r="697">
      <c r="A697" s="75" t="s">
        <v>1835</v>
      </c>
      <c r="B697" s="75">
        <v>62.0</v>
      </c>
      <c r="C697" s="75" t="s">
        <v>1836</v>
      </c>
      <c r="D697" s="76" t="s">
        <v>1837</v>
      </c>
      <c r="E697" s="53" t="s">
        <v>885</v>
      </c>
      <c r="F697" s="54"/>
      <c r="G697" s="83">
        <v>9890.0</v>
      </c>
      <c r="DN697" s="57">
        <v>3.0</v>
      </c>
    </row>
    <row r="698">
      <c r="A698" s="122" t="s">
        <v>1838</v>
      </c>
      <c r="B698" s="120">
        <v>58.0</v>
      </c>
      <c r="C698" s="42">
        <v>6890.0</v>
      </c>
      <c r="D698" s="76" t="s">
        <v>1798</v>
      </c>
      <c r="E698" s="53" t="s">
        <v>885</v>
      </c>
      <c r="F698" s="54"/>
      <c r="G698" s="83">
        <v>6890.0</v>
      </c>
      <c r="DN698" s="77">
        <v>1.0</v>
      </c>
    </row>
    <row r="699">
      <c r="A699" s="75" t="s">
        <v>1839</v>
      </c>
      <c r="B699" s="75">
        <v>58.0</v>
      </c>
      <c r="C699" s="75" t="s">
        <v>1793</v>
      </c>
      <c r="D699" s="76" t="s">
        <v>1794</v>
      </c>
      <c r="E699" s="53" t="s">
        <v>885</v>
      </c>
      <c r="F699" s="54"/>
      <c r="G699" s="55">
        <v>8890.0</v>
      </c>
      <c r="DN699" s="57">
        <v>2.0</v>
      </c>
    </row>
    <row r="700" ht="17.25" customHeight="1">
      <c r="A700" s="75" t="s">
        <v>1840</v>
      </c>
      <c r="B700" s="75">
        <v>62.0</v>
      </c>
      <c r="C700" s="75" t="s">
        <v>1793</v>
      </c>
      <c r="D700" s="76" t="s">
        <v>867</v>
      </c>
      <c r="E700" s="53" t="s">
        <v>885</v>
      </c>
      <c r="F700" s="54"/>
      <c r="G700" s="83" t="s">
        <v>1841</v>
      </c>
      <c r="DN700" s="57">
        <v>0.0</v>
      </c>
    </row>
    <row r="701">
      <c r="A701" s="75" t="s">
        <v>1842</v>
      </c>
      <c r="B701" s="75">
        <v>58.0</v>
      </c>
      <c r="C701" s="75" t="s">
        <v>1793</v>
      </c>
      <c r="D701" s="76" t="s">
        <v>1814</v>
      </c>
      <c r="E701" s="53" t="s">
        <v>885</v>
      </c>
      <c r="F701" s="54"/>
      <c r="G701" s="83">
        <v>10690.0</v>
      </c>
      <c r="DN701" s="57">
        <v>6.0</v>
      </c>
    </row>
    <row r="702">
      <c r="A702" s="75" t="s">
        <v>1843</v>
      </c>
      <c r="B702" s="75">
        <v>58.0</v>
      </c>
      <c r="C702" s="75" t="s">
        <v>1793</v>
      </c>
      <c r="D702" s="76" t="s">
        <v>867</v>
      </c>
      <c r="E702" s="53" t="s">
        <v>885</v>
      </c>
      <c r="F702" s="76" t="s">
        <v>1844</v>
      </c>
      <c r="G702" s="55">
        <v>8890.0</v>
      </c>
      <c r="DN702" s="57">
        <v>0.0</v>
      </c>
    </row>
    <row r="703">
      <c r="A703" s="75" t="s">
        <v>1845</v>
      </c>
      <c r="B703" s="75">
        <v>58.0</v>
      </c>
      <c r="C703" s="75" t="s">
        <v>1793</v>
      </c>
      <c r="D703" s="76" t="s">
        <v>1827</v>
      </c>
      <c r="E703" s="53" t="s">
        <v>885</v>
      </c>
      <c r="F703" s="54"/>
      <c r="G703" s="83">
        <v>10490.0</v>
      </c>
      <c r="DN703" s="57">
        <v>1.0</v>
      </c>
    </row>
    <row r="704">
      <c r="A704" s="75" t="s">
        <v>1846</v>
      </c>
      <c r="B704" s="75">
        <v>55.0</v>
      </c>
      <c r="C704" s="75" t="s">
        <v>1793</v>
      </c>
      <c r="D704" s="76" t="s">
        <v>1827</v>
      </c>
      <c r="E704" s="53" t="s">
        <v>885</v>
      </c>
      <c r="F704" s="54"/>
      <c r="G704" s="83" t="s">
        <v>1847</v>
      </c>
      <c r="DN704" s="57">
        <v>1.0</v>
      </c>
    </row>
    <row r="705">
      <c r="A705" s="75" t="s">
        <v>1848</v>
      </c>
      <c r="B705" s="75">
        <v>58.0</v>
      </c>
      <c r="C705" s="75" t="s">
        <v>1793</v>
      </c>
      <c r="D705" s="76" t="s">
        <v>1849</v>
      </c>
      <c r="E705" s="53" t="s">
        <v>885</v>
      </c>
      <c r="F705" s="54"/>
      <c r="G705" s="83">
        <v>8490.0</v>
      </c>
      <c r="DN705" s="57">
        <v>3.0</v>
      </c>
    </row>
    <row r="706">
      <c r="A706" s="75" t="s">
        <v>1850</v>
      </c>
      <c r="B706" s="75">
        <v>58.0</v>
      </c>
      <c r="C706" s="75" t="s">
        <v>1793</v>
      </c>
      <c r="D706" s="76" t="s">
        <v>1827</v>
      </c>
      <c r="E706" s="53" t="s">
        <v>885</v>
      </c>
      <c r="F706" s="54"/>
      <c r="G706" s="83">
        <v>9890.0</v>
      </c>
      <c r="DN706" s="57">
        <v>1.0</v>
      </c>
    </row>
    <row r="707">
      <c r="A707" s="75" t="s">
        <v>1851</v>
      </c>
      <c r="B707" s="75">
        <v>62.0</v>
      </c>
      <c r="C707" s="75" t="s">
        <v>1793</v>
      </c>
      <c r="D707" s="76" t="s">
        <v>1827</v>
      </c>
      <c r="E707" s="53" t="s">
        <v>885</v>
      </c>
      <c r="F707" s="54"/>
      <c r="G707" s="83">
        <v>9890.0</v>
      </c>
      <c r="DN707" s="94">
        <v>1.0</v>
      </c>
    </row>
    <row r="708">
      <c r="A708" s="75" t="s">
        <v>1852</v>
      </c>
      <c r="B708" s="75">
        <v>62.0</v>
      </c>
      <c r="C708" s="75" t="s">
        <v>1793</v>
      </c>
      <c r="D708" s="76" t="s">
        <v>1853</v>
      </c>
      <c r="E708" s="53" t="s">
        <v>885</v>
      </c>
      <c r="F708" s="76"/>
      <c r="G708" s="83">
        <v>13990.0</v>
      </c>
      <c r="DN708" s="94">
        <v>2.0</v>
      </c>
    </row>
    <row r="709">
      <c r="A709" s="75" t="s">
        <v>1854</v>
      </c>
      <c r="B709" s="75">
        <v>58.0</v>
      </c>
      <c r="C709" s="75" t="s">
        <v>1793</v>
      </c>
      <c r="D709" s="76" t="s">
        <v>1827</v>
      </c>
      <c r="E709" s="53" t="s">
        <v>885</v>
      </c>
      <c r="F709" s="76"/>
      <c r="G709" s="83">
        <v>8490.0</v>
      </c>
      <c r="DN709" s="94">
        <v>1.0</v>
      </c>
    </row>
    <row r="710">
      <c r="A710" s="75" t="s">
        <v>1855</v>
      </c>
      <c r="B710" s="75">
        <v>58.0</v>
      </c>
      <c r="C710" s="75" t="s">
        <v>1793</v>
      </c>
      <c r="D710" s="76" t="s">
        <v>1817</v>
      </c>
      <c r="E710" s="53" t="s">
        <v>885</v>
      </c>
      <c r="F710" s="54"/>
      <c r="G710" s="55">
        <v>6890.0</v>
      </c>
      <c r="DN710" s="94">
        <v>1.0</v>
      </c>
    </row>
    <row r="711">
      <c r="A711" s="75" t="s">
        <v>1856</v>
      </c>
      <c r="B711" s="75">
        <v>55.0</v>
      </c>
      <c r="C711" s="75" t="s">
        <v>1793</v>
      </c>
      <c r="D711" s="76" t="s">
        <v>1827</v>
      </c>
      <c r="E711" s="53" t="s">
        <v>885</v>
      </c>
      <c r="F711" s="54"/>
      <c r="G711" s="55">
        <v>9490.0</v>
      </c>
      <c r="DN711" s="94">
        <v>1.0</v>
      </c>
    </row>
    <row r="712">
      <c r="A712" s="75" t="s">
        <v>1857</v>
      </c>
      <c r="B712" s="75">
        <v>58.0</v>
      </c>
      <c r="C712" s="75" t="s">
        <v>1793</v>
      </c>
      <c r="D712" s="76" t="s">
        <v>867</v>
      </c>
      <c r="E712" s="53" t="s">
        <v>885</v>
      </c>
      <c r="F712" s="54"/>
      <c r="G712" s="83" t="s">
        <v>1858</v>
      </c>
      <c r="DN712" s="94">
        <v>0.0</v>
      </c>
    </row>
    <row r="713">
      <c r="A713" s="75" t="s">
        <v>1859</v>
      </c>
      <c r="B713" s="75">
        <v>58.0</v>
      </c>
      <c r="C713" s="75" t="s">
        <v>1793</v>
      </c>
      <c r="D713" s="76" t="s">
        <v>867</v>
      </c>
      <c r="E713" s="53" t="s">
        <v>885</v>
      </c>
      <c r="F713" s="54"/>
      <c r="G713" s="55">
        <v>8890.0</v>
      </c>
      <c r="DN713" s="94">
        <v>0.0</v>
      </c>
    </row>
    <row r="714">
      <c r="A714" s="75" t="s">
        <v>1860</v>
      </c>
      <c r="B714" s="75">
        <v>55.0</v>
      </c>
      <c r="C714" s="75" t="s">
        <v>1793</v>
      </c>
      <c r="D714" s="76" t="s">
        <v>1827</v>
      </c>
      <c r="E714" s="53" t="s">
        <v>885</v>
      </c>
      <c r="F714" s="76"/>
      <c r="G714" s="83">
        <v>11390.0</v>
      </c>
      <c r="DN714" s="94">
        <v>1.0</v>
      </c>
    </row>
    <row r="715">
      <c r="A715" s="75" t="s">
        <v>1861</v>
      </c>
      <c r="B715" s="75">
        <v>55.0</v>
      </c>
      <c r="C715" s="75" t="s">
        <v>1793</v>
      </c>
      <c r="D715" s="76" t="s">
        <v>867</v>
      </c>
      <c r="E715" s="53" t="s">
        <v>885</v>
      </c>
      <c r="F715" s="54"/>
      <c r="G715" s="83" t="s">
        <v>1862</v>
      </c>
      <c r="DN715" s="94">
        <v>0.0</v>
      </c>
    </row>
    <row r="716">
      <c r="A716" s="75" t="s">
        <v>1863</v>
      </c>
      <c r="B716" s="75">
        <v>58.0</v>
      </c>
      <c r="C716" s="75" t="s">
        <v>1793</v>
      </c>
      <c r="D716" s="76" t="s">
        <v>1827</v>
      </c>
      <c r="E716" s="53" t="s">
        <v>885</v>
      </c>
      <c r="F716" s="54"/>
      <c r="G716" s="83">
        <v>9090.0</v>
      </c>
      <c r="DN716" s="94">
        <v>1.0</v>
      </c>
    </row>
    <row r="717">
      <c r="A717" s="75" t="s">
        <v>1864</v>
      </c>
      <c r="B717" s="75">
        <v>55.0</v>
      </c>
      <c r="C717" s="75" t="s">
        <v>1793</v>
      </c>
      <c r="D717" s="76" t="s">
        <v>1798</v>
      </c>
      <c r="E717" s="53" t="s">
        <v>885</v>
      </c>
      <c r="F717" s="54"/>
      <c r="G717" s="55">
        <v>8490.0</v>
      </c>
      <c r="DN717" s="94">
        <v>1.0</v>
      </c>
    </row>
    <row r="718">
      <c r="A718" s="75" t="s">
        <v>1865</v>
      </c>
      <c r="B718" s="75">
        <v>60.0</v>
      </c>
      <c r="C718" s="75" t="s">
        <v>1793</v>
      </c>
      <c r="D718" s="76" t="s">
        <v>1827</v>
      </c>
      <c r="E718" s="53" t="s">
        <v>885</v>
      </c>
      <c r="F718" s="54"/>
      <c r="G718" s="83">
        <v>7090.0</v>
      </c>
      <c r="DN718" s="94">
        <v>1.0</v>
      </c>
    </row>
    <row r="719">
      <c r="A719" s="75" t="s">
        <v>1866</v>
      </c>
      <c r="B719" s="75">
        <v>60.0</v>
      </c>
      <c r="C719" s="75" t="s">
        <v>1793</v>
      </c>
      <c r="D719" s="76" t="s">
        <v>1827</v>
      </c>
      <c r="E719" s="53" t="s">
        <v>885</v>
      </c>
      <c r="F719" s="54"/>
      <c r="G719" s="83">
        <v>6190.0</v>
      </c>
      <c r="DN719" s="94">
        <v>1.0</v>
      </c>
    </row>
    <row r="720" ht="21.0" customHeight="1">
      <c r="A720" s="75" t="s">
        <v>1867</v>
      </c>
      <c r="B720" s="75">
        <v>59.0</v>
      </c>
      <c r="C720" s="75" t="s">
        <v>1793</v>
      </c>
      <c r="D720" s="76" t="s">
        <v>1827</v>
      </c>
      <c r="E720" s="53" t="s">
        <v>885</v>
      </c>
      <c r="F720" s="76" t="s">
        <v>1229</v>
      </c>
      <c r="G720" s="83">
        <v>5690.0</v>
      </c>
      <c r="DN720" s="94">
        <v>1.0</v>
      </c>
    </row>
    <row r="721">
      <c r="A721" s="75" t="s">
        <v>1868</v>
      </c>
      <c r="B721" s="75">
        <v>50.0</v>
      </c>
      <c r="C721" s="75" t="s">
        <v>1793</v>
      </c>
      <c r="D721" s="76" t="s">
        <v>1827</v>
      </c>
      <c r="E721" s="53" t="s">
        <v>885</v>
      </c>
      <c r="F721" s="54"/>
      <c r="G721" s="83">
        <v>11190.0</v>
      </c>
      <c r="DN721" s="94">
        <v>1.0</v>
      </c>
    </row>
    <row r="722">
      <c r="A722" s="75" t="s">
        <v>1869</v>
      </c>
      <c r="B722" s="75">
        <v>58.0</v>
      </c>
      <c r="C722" s="75" t="s">
        <v>1793</v>
      </c>
      <c r="D722" s="76" t="s">
        <v>1870</v>
      </c>
      <c r="E722" s="53" t="s">
        <v>885</v>
      </c>
      <c r="F722" s="54"/>
      <c r="G722" s="83">
        <v>13390.0</v>
      </c>
      <c r="DN722" s="94">
        <v>1.0</v>
      </c>
    </row>
    <row r="723">
      <c r="A723" s="75" t="s">
        <v>1871</v>
      </c>
      <c r="B723" s="75">
        <v>58.0</v>
      </c>
      <c r="C723" s="75" t="s">
        <v>1793</v>
      </c>
      <c r="D723" s="76" t="s">
        <v>1870</v>
      </c>
      <c r="E723" s="53" t="s">
        <v>885</v>
      </c>
      <c r="F723" s="54"/>
      <c r="G723" s="83">
        <v>10790.0</v>
      </c>
      <c r="DN723" s="94">
        <v>1.0</v>
      </c>
    </row>
    <row r="724">
      <c r="A724" s="75" t="s">
        <v>1872</v>
      </c>
      <c r="B724" s="75">
        <v>58.0</v>
      </c>
      <c r="C724" s="75" t="s">
        <v>1793</v>
      </c>
      <c r="D724" s="76" t="s">
        <v>1870</v>
      </c>
      <c r="E724" s="53" t="s">
        <v>885</v>
      </c>
      <c r="F724" s="54"/>
      <c r="G724" s="83">
        <v>11890.0</v>
      </c>
      <c r="DN724" s="94">
        <v>1.0</v>
      </c>
    </row>
    <row r="725">
      <c r="A725" s="75" t="s">
        <v>1873</v>
      </c>
      <c r="B725" s="75">
        <v>53.0</v>
      </c>
      <c r="C725" s="75" t="s">
        <v>1793</v>
      </c>
      <c r="D725" s="76" t="s">
        <v>1870</v>
      </c>
      <c r="E725" s="53" t="s">
        <v>885</v>
      </c>
      <c r="F725" s="54"/>
      <c r="G725" s="83">
        <v>13290.0</v>
      </c>
      <c r="DN725" s="94">
        <v>1.0</v>
      </c>
    </row>
    <row r="726">
      <c r="A726" s="75" t="s">
        <v>1874</v>
      </c>
      <c r="B726" s="75">
        <v>53.0</v>
      </c>
      <c r="C726" s="75" t="s">
        <v>1793</v>
      </c>
      <c r="D726" s="76" t="s">
        <v>1875</v>
      </c>
      <c r="E726" s="53" t="s">
        <v>885</v>
      </c>
      <c r="F726" s="54"/>
      <c r="G726" s="83">
        <v>12490.0</v>
      </c>
      <c r="DN726" s="94">
        <v>2.0</v>
      </c>
    </row>
    <row r="727">
      <c r="A727" s="75" t="s">
        <v>1876</v>
      </c>
      <c r="B727" s="75">
        <v>54.0</v>
      </c>
      <c r="C727" s="75" t="s">
        <v>1793</v>
      </c>
      <c r="D727" s="76" t="s">
        <v>1870</v>
      </c>
      <c r="E727" s="53" t="s">
        <v>885</v>
      </c>
      <c r="F727" s="76"/>
      <c r="G727" s="83">
        <v>8290.0</v>
      </c>
      <c r="DN727" s="94">
        <v>1.0</v>
      </c>
    </row>
    <row r="728">
      <c r="A728" s="75" t="s">
        <v>1877</v>
      </c>
      <c r="B728" s="75">
        <v>58.0</v>
      </c>
      <c r="C728" s="75" t="s">
        <v>1793</v>
      </c>
      <c r="D728" s="76" t="s">
        <v>1870</v>
      </c>
      <c r="E728" s="53" t="s">
        <v>885</v>
      </c>
      <c r="F728" s="76" t="s">
        <v>1353</v>
      </c>
      <c r="G728" s="83">
        <v>8790.0</v>
      </c>
      <c r="DN728" s="94">
        <v>1.0</v>
      </c>
    </row>
    <row r="729">
      <c r="A729" s="75" t="s">
        <v>1878</v>
      </c>
      <c r="B729" s="75">
        <v>57.0</v>
      </c>
      <c r="C729" s="75" t="s">
        <v>1793</v>
      </c>
      <c r="D729" s="76" t="s">
        <v>1875</v>
      </c>
      <c r="E729" s="53" t="s">
        <v>885</v>
      </c>
      <c r="F729" s="76"/>
      <c r="G729" s="83">
        <v>12490.0</v>
      </c>
      <c r="DN729" s="94">
        <v>2.0</v>
      </c>
    </row>
    <row r="730">
      <c r="A730" s="75" t="s">
        <v>1879</v>
      </c>
      <c r="B730" s="75">
        <v>57.0</v>
      </c>
      <c r="C730" s="75" t="s">
        <v>1793</v>
      </c>
      <c r="D730" s="76" t="s">
        <v>867</v>
      </c>
      <c r="E730" s="53" t="s">
        <v>885</v>
      </c>
      <c r="F730" s="54"/>
      <c r="G730" s="83">
        <v>9490.0</v>
      </c>
      <c r="DN730" s="94">
        <v>0.0</v>
      </c>
    </row>
    <row r="731">
      <c r="A731" s="75" t="s">
        <v>1880</v>
      </c>
      <c r="B731" s="75">
        <v>60.0</v>
      </c>
      <c r="C731" s="75" t="s">
        <v>1793</v>
      </c>
      <c r="D731" s="76" t="s">
        <v>1875</v>
      </c>
      <c r="E731" s="53" t="s">
        <v>885</v>
      </c>
      <c r="F731" s="54"/>
      <c r="G731" s="83" t="s">
        <v>1881</v>
      </c>
      <c r="DN731" s="94">
        <v>2.0</v>
      </c>
    </row>
    <row r="732">
      <c r="A732" s="75" t="s">
        <v>1882</v>
      </c>
      <c r="B732" s="75">
        <v>60.0</v>
      </c>
      <c r="C732" s="75" t="s">
        <v>1793</v>
      </c>
      <c r="D732" s="76" t="s">
        <v>1870</v>
      </c>
      <c r="E732" s="53" t="s">
        <v>885</v>
      </c>
      <c r="F732" s="76"/>
      <c r="G732" s="83">
        <v>12590.0</v>
      </c>
      <c r="DN732" s="94">
        <v>1.0</v>
      </c>
    </row>
    <row r="733">
      <c r="A733" s="75" t="s">
        <v>1883</v>
      </c>
      <c r="B733" s="75">
        <v>60.0</v>
      </c>
      <c r="C733" s="75" t="s">
        <v>1793</v>
      </c>
      <c r="D733" s="76" t="s">
        <v>1870</v>
      </c>
      <c r="E733" s="53" t="s">
        <v>885</v>
      </c>
      <c r="F733" s="76"/>
      <c r="G733" s="83">
        <v>11690.0</v>
      </c>
      <c r="DN733" s="94">
        <v>1.0</v>
      </c>
    </row>
    <row r="734">
      <c r="A734" s="75" t="s">
        <v>1884</v>
      </c>
      <c r="B734" s="75">
        <v>55.0</v>
      </c>
      <c r="C734" s="75" t="s">
        <v>1793</v>
      </c>
      <c r="D734" s="76" t="s">
        <v>1870</v>
      </c>
      <c r="E734" s="53" t="s">
        <v>885</v>
      </c>
      <c r="F734" s="54"/>
      <c r="G734" s="83">
        <v>8290.0</v>
      </c>
      <c r="DN734" s="94">
        <v>1.0</v>
      </c>
    </row>
    <row r="735">
      <c r="A735" s="75" t="s">
        <v>1885</v>
      </c>
      <c r="B735" s="75">
        <v>56.0</v>
      </c>
      <c r="C735" s="75" t="s">
        <v>1793</v>
      </c>
      <c r="D735" s="76" t="s">
        <v>1801</v>
      </c>
      <c r="E735" s="53" t="s">
        <v>885</v>
      </c>
      <c r="F735" s="76" t="s">
        <v>1886</v>
      </c>
      <c r="G735" s="55">
        <v>6990.0</v>
      </c>
      <c r="DN735" s="94">
        <v>1.0</v>
      </c>
    </row>
    <row r="736">
      <c r="A736" s="75" t="s">
        <v>1887</v>
      </c>
      <c r="B736" s="75">
        <v>51.0</v>
      </c>
      <c r="C736" s="75" t="s">
        <v>1793</v>
      </c>
      <c r="D736" s="76" t="s">
        <v>1875</v>
      </c>
      <c r="E736" s="53" t="s">
        <v>885</v>
      </c>
      <c r="F736" s="54"/>
      <c r="G736" s="83">
        <v>6590.0</v>
      </c>
      <c r="DN736" s="94">
        <v>2.0</v>
      </c>
    </row>
    <row r="737">
      <c r="A737" s="75" t="s">
        <v>1888</v>
      </c>
      <c r="B737" s="75">
        <v>52.0</v>
      </c>
      <c r="C737" s="75" t="s">
        <v>1793</v>
      </c>
      <c r="D737" s="76" t="s">
        <v>1870</v>
      </c>
      <c r="E737" s="53" t="s">
        <v>885</v>
      </c>
      <c r="F737" s="54"/>
      <c r="G737" s="55">
        <v>9690.0</v>
      </c>
      <c r="DN737" s="94">
        <v>1.0</v>
      </c>
    </row>
    <row r="738">
      <c r="A738" s="75" t="s">
        <v>1889</v>
      </c>
      <c r="B738" s="75">
        <v>53.0</v>
      </c>
      <c r="C738" s="75" t="s">
        <v>1793</v>
      </c>
      <c r="D738" s="76" t="s">
        <v>867</v>
      </c>
      <c r="E738" s="53" t="s">
        <v>885</v>
      </c>
      <c r="F738" s="54"/>
      <c r="G738" s="55">
        <v>6490.0</v>
      </c>
      <c r="DN738" s="94">
        <v>0.0</v>
      </c>
    </row>
    <row r="739">
      <c r="A739" s="75" t="s">
        <v>1890</v>
      </c>
      <c r="B739" s="75">
        <v>58.0</v>
      </c>
      <c r="C739" s="75" t="s">
        <v>1793</v>
      </c>
      <c r="D739" s="76" t="s">
        <v>1870</v>
      </c>
      <c r="E739" s="53" t="s">
        <v>885</v>
      </c>
      <c r="F739" s="54"/>
      <c r="G739" s="83">
        <v>11090.0</v>
      </c>
      <c r="DN739" s="57">
        <v>1.0</v>
      </c>
    </row>
    <row r="740">
      <c r="A740" s="75" t="s">
        <v>1891</v>
      </c>
      <c r="B740" s="75">
        <v>51.0</v>
      </c>
      <c r="C740" s="75" t="s">
        <v>1793</v>
      </c>
      <c r="D740" s="76" t="s">
        <v>1870</v>
      </c>
      <c r="E740" s="53" t="s">
        <v>885</v>
      </c>
      <c r="F740" s="76"/>
      <c r="G740" s="83">
        <v>9290.0</v>
      </c>
      <c r="DN740" s="57">
        <v>1.0</v>
      </c>
    </row>
    <row r="741">
      <c r="A741" s="75" t="s">
        <v>1892</v>
      </c>
      <c r="B741" s="75">
        <v>54.0</v>
      </c>
      <c r="C741" s="75" t="s">
        <v>1793</v>
      </c>
      <c r="D741" s="76" t="s">
        <v>1875</v>
      </c>
      <c r="E741" s="53" t="s">
        <v>885</v>
      </c>
      <c r="F741" s="54"/>
      <c r="G741" s="55">
        <v>5790.0</v>
      </c>
      <c r="DN741" s="57">
        <v>2.0</v>
      </c>
    </row>
    <row r="742">
      <c r="A742" s="75" t="s">
        <v>1893</v>
      </c>
      <c r="B742" s="75">
        <v>58.0</v>
      </c>
      <c r="C742" s="75" t="s">
        <v>1793</v>
      </c>
      <c r="D742" s="76" t="s">
        <v>1870</v>
      </c>
      <c r="E742" s="53" t="s">
        <v>885</v>
      </c>
      <c r="F742" s="54"/>
      <c r="G742" s="55">
        <v>9490.0</v>
      </c>
      <c r="DN742" s="91">
        <v>1.0</v>
      </c>
    </row>
    <row r="743">
      <c r="A743" s="75" t="s">
        <v>1894</v>
      </c>
      <c r="B743" s="75">
        <v>51.0</v>
      </c>
      <c r="C743" s="75" t="s">
        <v>1793</v>
      </c>
      <c r="D743" s="76" t="s">
        <v>1806</v>
      </c>
      <c r="E743" s="53" t="s">
        <v>885</v>
      </c>
      <c r="F743" s="76"/>
      <c r="G743" s="83">
        <v>2390.0</v>
      </c>
      <c r="DN743" s="91">
        <v>1.0</v>
      </c>
    </row>
    <row r="744">
      <c r="A744" s="75" t="s">
        <v>1895</v>
      </c>
      <c r="B744" s="75">
        <v>50.0</v>
      </c>
      <c r="C744" s="75" t="s">
        <v>1793</v>
      </c>
      <c r="D744" s="76" t="s">
        <v>1875</v>
      </c>
      <c r="E744" s="53" t="s">
        <v>885</v>
      </c>
      <c r="F744" s="76" t="s">
        <v>1896</v>
      </c>
      <c r="G744" s="83">
        <v>2990.0</v>
      </c>
      <c r="DN744" s="91">
        <v>2.0</v>
      </c>
    </row>
    <row r="745">
      <c r="A745" s="75" t="s">
        <v>1897</v>
      </c>
      <c r="B745" s="75">
        <v>53.0</v>
      </c>
      <c r="C745" s="75" t="s">
        <v>1793</v>
      </c>
      <c r="D745" s="76" t="s">
        <v>1898</v>
      </c>
      <c r="E745" s="53" t="s">
        <v>978</v>
      </c>
      <c r="F745" s="54"/>
      <c r="G745" s="55">
        <v>7390.0</v>
      </c>
      <c r="DN745" s="91">
        <v>1.0</v>
      </c>
    </row>
    <row r="746">
      <c r="A746" s="75" t="s">
        <v>1899</v>
      </c>
      <c r="B746" s="75">
        <v>50.0</v>
      </c>
      <c r="C746" s="75" t="s">
        <v>1793</v>
      </c>
      <c r="D746" s="76" t="s">
        <v>1900</v>
      </c>
      <c r="E746" s="53" t="s">
        <v>932</v>
      </c>
      <c r="F746" s="54"/>
      <c r="G746" s="55">
        <v>7890.0</v>
      </c>
      <c r="DN746" s="91">
        <v>2.0</v>
      </c>
    </row>
    <row r="747">
      <c r="A747" s="75" t="s">
        <v>1901</v>
      </c>
      <c r="B747" s="75">
        <v>51.0</v>
      </c>
      <c r="C747" s="75" t="s">
        <v>1793</v>
      </c>
      <c r="D747" s="76" t="s">
        <v>1902</v>
      </c>
      <c r="E747" s="53" t="s">
        <v>1903</v>
      </c>
      <c r="F747" s="54"/>
      <c r="G747" s="55">
        <v>7390.0</v>
      </c>
      <c r="DN747" s="91">
        <v>1.0</v>
      </c>
    </row>
    <row r="748">
      <c r="A748" s="75" t="s">
        <v>1904</v>
      </c>
      <c r="B748" s="75">
        <v>58.0</v>
      </c>
      <c r="C748" s="75" t="s">
        <v>1793</v>
      </c>
      <c r="D748" s="76" t="s">
        <v>867</v>
      </c>
      <c r="E748" s="75" t="s">
        <v>1903</v>
      </c>
      <c r="F748" s="76"/>
      <c r="G748" s="99">
        <v>6390.0</v>
      </c>
      <c r="DN748" s="91">
        <v>0.0</v>
      </c>
    </row>
    <row r="749">
      <c r="A749" s="75" t="s">
        <v>1905</v>
      </c>
      <c r="B749" s="75">
        <v>51.0</v>
      </c>
      <c r="C749" s="75" t="s">
        <v>1793</v>
      </c>
      <c r="D749" s="76" t="s">
        <v>867</v>
      </c>
      <c r="E749" s="75" t="s">
        <v>1903</v>
      </c>
      <c r="F749" s="54"/>
      <c r="G749" s="55">
        <v>7390.0</v>
      </c>
      <c r="DN749" s="91">
        <v>0.0</v>
      </c>
    </row>
    <row r="750">
      <c r="A750" s="75" t="s">
        <v>1906</v>
      </c>
      <c r="B750" s="75">
        <v>48.0</v>
      </c>
      <c r="C750" s="75" t="s">
        <v>1793</v>
      </c>
      <c r="D750" s="76" t="s">
        <v>1902</v>
      </c>
      <c r="E750" s="53" t="s">
        <v>1907</v>
      </c>
      <c r="F750" s="54"/>
      <c r="G750" s="55">
        <v>7390.0</v>
      </c>
      <c r="DN750" s="91">
        <v>1.0</v>
      </c>
    </row>
    <row r="751">
      <c r="A751" s="75" t="s">
        <v>1908</v>
      </c>
      <c r="B751" s="75">
        <v>52.0</v>
      </c>
      <c r="C751" s="75" t="s">
        <v>1793</v>
      </c>
      <c r="D751" s="76" t="s">
        <v>867</v>
      </c>
      <c r="E751" s="53" t="s">
        <v>852</v>
      </c>
      <c r="F751" s="76"/>
      <c r="G751" s="55">
        <v>5090.0</v>
      </c>
      <c r="DN751" s="91">
        <v>0.0</v>
      </c>
    </row>
    <row r="752">
      <c r="A752" s="75" t="s">
        <v>1909</v>
      </c>
      <c r="B752" s="75">
        <v>52.0</v>
      </c>
      <c r="C752" s="75" t="s">
        <v>1793</v>
      </c>
      <c r="D752" s="76" t="s">
        <v>1910</v>
      </c>
      <c r="E752" s="53" t="s">
        <v>852</v>
      </c>
      <c r="F752" s="54"/>
      <c r="G752" s="55">
        <v>4990.0</v>
      </c>
      <c r="DN752" s="91">
        <v>1.0</v>
      </c>
    </row>
    <row r="753">
      <c r="A753" s="75" t="s">
        <v>1911</v>
      </c>
      <c r="B753" s="75">
        <v>54.0</v>
      </c>
      <c r="C753" s="75" t="s">
        <v>1793</v>
      </c>
      <c r="D753" s="76" t="s">
        <v>1902</v>
      </c>
      <c r="E753" s="53" t="s">
        <v>852</v>
      </c>
      <c r="F753" s="76"/>
      <c r="G753" s="83">
        <v>5290.0</v>
      </c>
      <c r="DN753" s="91">
        <v>1.0</v>
      </c>
    </row>
    <row r="754">
      <c r="A754" s="75" t="s">
        <v>1912</v>
      </c>
      <c r="B754" s="75">
        <v>54.0</v>
      </c>
      <c r="C754" s="75" t="s">
        <v>1793</v>
      </c>
      <c r="D754" s="76" t="s">
        <v>867</v>
      </c>
      <c r="E754" s="53" t="s">
        <v>852</v>
      </c>
      <c r="F754" s="54"/>
      <c r="G754" s="55">
        <v>5090.0</v>
      </c>
      <c r="DN754" s="91">
        <v>0.0</v>
      </c>
    </row>
    <row r="755">
      <c r="A755" s="75" t="s">
        <v>1913</v>
      </c>
      <c r="B755" s="75">
        <v>52.0</v>
      </c>
      <c r="C755" s="75" t="s">
        <v>1793</v>
      </c>
      <c r="D755" s="76" t="s">
        <v>1902</v>
      </c>
      <c r="E755" s="53" t="s">
        <v>1914</v>
      </c>
      <c r="F755" s="76" t="s">
        <v>1353</v>
      </c>
      <c r="G755" s="55">
        <v>4490.0</v>
      </c>
      <c r="DN755" s="91">
        <v>1.0</v>
      </c>
    </row>
    <row r="756">
      <c r="A756" s="75" t="s">
        <v>1915</v>
      </c>
      <c r="B756" s="75">
        <v>55.0</v>
      </c>
      <c r="C756" s="75" t="s">
        <v>1793</v>
      </c>
      <c r="D756" s="42" t="s">
        <v>867</v>
      </c>
      <c r="E756" s="53" t="s">
        <v>1914</v>
      </c>
      <c r="F756" s="54"/>
      <c r="G756" s="55">
        <v>3390.0</v>
      </c>
      <c r="DN756" s="91">
        <v>0.0</v>
      </c>
    </row>
    <row r="757">
      <c r="A757" s="75" t="s">
        <v>1916</v>
      </c>
      <c r="B757" s="75">
        <v>52.0</v>
      </c>
      <c r="C757" s="75" t="s">
        <v>1793</v>
      </c>
      <c r="D757" s="76" t="s">
        <v>1917</v>
      </c>
      <c r="E757" s="53" t="s">
        <v>856</v>
      </c>
      <c r="F757" s="54"/>
      <c r="G757" s="55">
        <v>5990.0</v>
      </c>
      <c r="DN757" s="91">
        <v>1.0</v>
      </c>
    </row>
    <row r="758">
      <c r="A758" s="75" t="s">
        <v>1918</v>
      </c>
      <c r="B758" s="75">
        <v>51.0</v>
      </c>
      <c r="C758" s="75" t="s">
        <v>1793</v>
      </c>
      <c r="D758" s="76" t="s">
        <v>1902</v>
      </c>
      <c r="E758" s="53" t="s">
        <v>1351</v>
      </c>
      <c r="F758" s="54"/>
      <c r="G758" s="55">
        <v>3990.0</v>
      </c>
      <c r="DN758" s="91">
        <v>1.0</v>
      </c>
    </row>
    <row r="759">
      <c r="A759" s="75" t="s">
        <v>1919</v>
      </c>
      <c r="B759" s="75">
        <v>53.0</v>
      </c>
      <c r="C759" s="75" t="s">
        <v>1793</v>
      </c>
      <c r="D759" s="76" t="s">
        <v>867</v>
      </c>
      <c r="E759" s="53" t="s">
        <v>1351</v>
      </c>
      <c r="F759" s="76" t="s">
        <v>1886</v>
      </c>
      <c r="G759" s="55">
        <v>3990.0</v>
      </c>
      <c r="DN759" s="91">
        <v>0.0</v>
      </c>
    </row>
    <row r="760">
      <c r="A760" s="75" t="s">
        <v>1920</v>
      </c>
      <c r="B760" s="75">
        <v>49.0</v>
      </c>
      <c r="C760" s="75" t="s">
        <v>1793</v>
      </c>
      <c r="D760" s="76" t="s">
        <v>1921</v>
      </c>
      <c r="E760" s="53" t="s">
        <v>858</v>
      </c>
      <c r="F760" s="54"/>
      <c r="G760" s="55">
        <v>10490.0</v>
      </c>
      <c r="DN760" s="91">
        <v>1.0</v>
      </c>
    </row>
    <row r="761">
      <c r="A761" s="75" t="s">
        <v>1922</v>
      </c>
      <c r="B761" s="75">
        <v>53.0</v>
      </c>
      <c r="C761" s="75" t="s">
        <v>1793</v>
      </c>
      <c r="D761" s="76" t="s">
        <v>1917</v>
      </c>
      <c r="E761" s="53" t="s">
        <v>932</v>
      </c>
      <c r="F761" s="54"/>
      <c r="G761" s="55">
        <v>3990.0</v>
      </c>
      <c r="DN761" s="91">
        <v>1.0</v>
      </c>
    </row>
    <row r="762">
      <c r="A762" s="75" t="s">
        <v>1923</v>
      </c>
      <c r="B762" s="75">
        <v>54.0</v>
      </c>
      <c r="C762" s="75" t="s">
        <v>1793</v>
      </c>
      <c r="D762" s="76" t="s">
        <v>867</v>
      </c>
      <c r="E762" s="53" t="s">
        <v>932</v>
      </c>
      <c r="F762" s="54"/>
      <c r="G762" s="83" t="s">
        <v>1924</v>
      </c>
      <c r="DN762" s="92">
        <v>0.0</v>
      </c>
    </row>
    <row r="763">
      <c r="A763" s="75" t="s">
        <v>1925</v>
      </c>
      <c r="B763" s="75">
        <v>53.0</v>
      </c>
      <c r="C763" s="75" t="s">
        <v>1793</v>
      </c>
      <c r="D763" s="76" t="s">
        <v>1900</v>
      </c>
      <c r="E763" s="53" t="s">
        <v>932</v>
      </c>
      <c r="F763" s="54"/>
      <c r="G763" s="83" t="s">
        <v>1924</v>
      </c>
      <c r="DN763" s="91">
        <v>2.0</v>
      </c>
    </row>
    <row r="764">
      <c r="A764" s="75" t="s">
        <v>1926</v>
      </c>
      <c r="B764" s="75">
        <v>53.0</v>
      </c>
      <c r="C764" s="75" t="s">
        <v>1793</v>
      </c>
      <c r="D764" s="76" t="s">
        <v>867</v>
      </c>
      <c r="E764" s="53" t="s">
        <v>858</v>
      </c>
      <c r="F764" s="76" t="s">
        <v>1927</v>
      </c>
      <c r="G764" s="55">
        <v>4290.0</v>
      </c>
      <c r="DN764" s="91">
        <v>0.0</v>
      </c>
    </row>
    <row r="765">
      <c r="A765" s="75" t="s">
        <v>1928</v>
      </c>
      <c r="B765" s="75">
        <v>51.0</v>
      </c>
      <c r="C765" s="75" t="s">
        <v>1793</v>
      </c>
      <c r="D765" s="76" t="s">
        <v>1929</v>
      </c>
      <c r="E765" s="53" t="s">
        <v>858</v>
      </c>
      <c r="F765" s="54"/>
      <c r="G765" s="55">
        <v>5490.0</v>
      </c>
      <c r="DN765" s="92">
        <v>1.0</v>
      </c>
    </row>
    <row r="766">
      <c r="A766" s="75" t="s">
        <v>1930</v>
      </c>
      <c r="B766" s="75">
        <v>51.0</v>
      </c>
      <c r="C766" s="75" t="s">
        <v>1793</v>
      </c>
      <c r="D766" s="76" t="s">
        <v>1819</v>
      </c>
      <c r="E766" s="53" t="s">
        <v>1931</v>
      </c>
      <c r="F766" s="54"/>
      <c r="G766" s="55">
        <v>5490.0</v>
      </c>
      <c r="DN766" s="91">
        <v>1.0</v>
      </c>
    </row>
    <row r="767">
      <c r="A767" s="75" t="s">
        <v>1932</v>
      </c>
      <c r="B767" s="75">
        <v>51.0</v>
      </c>
      <c r="C767" s="75" t="s">
        <v>1793</v>
      </c>
      <c r="D767" s="76" t="s">
        <v>1921</v>
      </c>
      <c r="E767" s="53" t="s">
        <v>856</v>
      </c>
      <c r="F767" s="54"/>
      <c r="G767" s="55">
        <v>5290.0</v>
      </c>
      <c r="DN767" s="91">
        <v>1.0</v>
      </c>
    </row>
    <row r="768">
      <c r="A768" s="75" t="s">
        <v>1933</v>
      </c>
      <c r="B768" s="75">
        <v>54.0</v>
      </c>
      <c r="C768" s="75" t="s">
        <v>1793</v>
      </c>
      <c r="D768" s="76" t="s">
        <v>867</v>
      </c>
      <c r="E768" s="53" t="s">
        <v>869</v>
      </c>
      <c r="F768" s="76" t="s">
        <v>1934</v>
      </c>
      <c r="G768" s="55">
        <v>4990.0</v>
      </c>
      <c r="DN768" s="91">
        <v>0.0</v>
      </c>
    </row>
    <row r="769">
      <c r="A769" s="75" t="s">
        <v>1935</v>
      </c>
      <c r="B769" s="75">
        <v>52.0</v>
      </c>
      <c r="C769" s="75" t="s">
        <v>1793</v>
      </c>
      <c r="D769" s="76" t="s">
        <v>1902</v>
      </c>
      <c r="E769" s="53" t="s">
        <v>932</v>
      </c>
      <c r="F769" s="76" t="s">
        <v>1886</v>
      </c>
      <c r="G769" s="55">
        <v>4990.0</v>
      </c>
      <c r="DN769" s="91">
        <v>1.0</v>
      </c>
    </row>
    <row r="770">
      <c r="A770" s="75" t="s">
        <v>1936</v>
      </c>
      <c r="B770" s="75">
        <v>53.0</v>
      </c>
      <c r="C770" s="75" t="s">
        <v>1793</v>
      </c>
      <c r="D770" s="76" t="s">
        <v>1917</v>
      </c>
      <c r="E770" s="53" t="s">
        <v>1351</v>
      </c>
      <c r="F770" s="54"/>
      <c r="G770" s="55">
        <v>4990.0</v>
      </c>
      <c r="DN770" s="91">
        <v>1.0</v>
      </c>
    </row>
    <row r="771">
      <c r="A771" s="75" t="s">
        <v>1937</v>
      </c>
      <c r="B771" s="75">
        <v>51.0</v>
      </c>
      <c r="C771" s="75" t="s">
        <v>1793</v>
      </c>
      <c r="D771" s="76" t="s">
        <v>867</v>
      </c>
      <c r="E771" s="53" t="s">
        <v>858</v>
      </c>
      <c r="F771" s="54"/>
      <c r="G771" s="55">
        <v>7790.0</v>
      </c>
      <c r="DN771" s="92">
        <v>0.0</v>
      </c>
    </row>
    <row r="772">
      <c r="A772" s="75" t="s">
        <v>1938</v>
      </c>
      <c r="B772" s="75">
        <v>51.0</v>
      </c>
      <c r="C772" s="75" t="s">
        <v>1793</v>
      </c>
      <c r="D772" s="76" t="s">
        <v>1917</v>
      </c>
      <c r="E772" s="53" t="s">
        <v>1351</v>
      </c>
      <c r="F772" s="54"/>
      <c r="G772" s="55">
        <v>4790.0</v>
      </c>
      <c r="DN772" s="91">
        <v>1.0</v>
      </c>
    </row>
    <row r="773">
      <c r="A773" s="75" t="s">
        <v>1939</v>
      </c>
      <c r="B773" s="75">
        <v>53.0</v>
      </c>
      <c r="C773" s="75" t="s">
        <v>1793</v>
      </c>
      <c r="D773" s="76" t="s">
        <v>1921</v>
      </c>
      <c r="E773" s="53" t="s">
        <v>858</v>
      </c>
      <c r="F773" s="54"/>
      <c r="G773" s="55">
        <v>4790.0</v>
      </c>
      <c r="DN773" s="91">
        <v>1.0</v>
      </c>
    </row>
    <row r="774" ht="20.25" customHeight="1">
      <c r="A774" s="75" t="s">
        <v>1940</v>
      </c>
      <c r="B774" s="75">
        <v>58.0</v>
      </c>
      <c r="C774" s="75" t="s">
        <v>1793</v>
      </c>
      <c r="D774" s="76" t="s">
        <v>867</v>
      </c>
      <c r="E774" s="53" t="s">
        <v>1914</v>
      </c>
      <c r="F774" s="54"/>
      <c r="G774" s="55">
        <v>7390.0</v>
      </c>
      <c r="DN774" s="91">
        <v>0.0</v>
      </c>
    </row>
    <row r="775">
      <c r="A775" s="75" t="s">
        <v>1941</v>
      </c>
      <c r="B775" s="75">
        <v>58.0</v>
      </c>
      <c r="C775" s="75" t="s">
        <v>1793</v>
      </c>
      <c r="D775" s="76" t="s">
        <v>1921</v>
      </c>
      <c r="E775" s="53" t="s">
        <v>1914</v>
      </c>
      <c r="F775" s="54"/>
      <c r="G775" s="55">
        <v>7390.0</v>
      </c>
      <c r="DN775" s="91">
        <v>1.0</v>
      </c>
    </row>
    <row r="776">
      <c r="A776" s="75" t="s">
        <v>1942</v>
      </c>
      <c r="B776" s="75">
        <v>54.0</v>
      </c>
      <c r="C776" s="75" t="s">
        <v>1793</v>
      </c>
      <c r="D776" s="76" t="s">
        <v>1902</v>
      </c>
      <c r="E776" s="53" t="s">
        <v>1943</v>
      </c>
      <c r="F776" s="76" t="s">
        <v>1944</v>
      </c>
      <c r="G776" s="55">
        <v>6290.0</v>
      </c>
      <c r="DN776" s="91">
        <v>1.0</v>
      </c>
    </row>
    <row r="777">
      <c r="A777" s="75" t="s">
        <v>1945</v>
      </c>
      <c r="B777" s="75">
        <v>54.0</v>
      </c>
      <c r="C777" s="75" t="s">
        <v>1793</v>
      </c>
      <c r="D777" s="76" t="s">
        <v>1902</v>
      </c>
      <c r="E777" s="53" t="s">
        <v>932</v>
      </c>
      <c r="F777" s="54"/>
      <c r="G777" s="83">
        <v>7890.0</v>
      </c>
      <c r="DN777" s="91">
        <v>1.0</v>
      </c>
    </row>
    <row r="778">
      <c r="A778" s="75" t="s">
        <v>1946</v>
      </c>
      <c r="B778" s="75">
        <v>54.0</v>
      </c>
      <c r="C778" s="75" t="s">
        <v>1793</v>
      </c>
      <c r="D778" s="76" t="s">
        <v>1123</v>
      </c>
      <c r="E778" s="53" t="s">
        <v>852</v>
      </c>
      <c r="F778" s="54"/>
      <c r="G778" s="55">
        <v>4790.0</v>
      </c>
      <c r="DN778" s="92">
        <v>0.0</v>
      </c>
    </row>
    <row r="779">
      <c r="A779" s="75" t="s">
        <v>1947</v>
      </c>
      <c r="B779" s="75">
        <v>52.0</v>
      </c>
      <c r="C779" s="75" t="s">
        <v>1793</v>
      </c>
      <c r="D779" s="76" t="s">
        <v>1910</v>
      </c>
      <c r="E779" s="53" t="s">
        <v>932</v>
      </c>
      <c r="F779" s="76" t="s">
        <v>1886</v>
      </c>
      <c r="G779" s="55">
        <v>4790.0</v>
      </c>
      <c r="DN779" s="91">
        <v>1.0</v>
      </c>
    </row>
    <row r="780">
      <c r="A780" s="75" t="s">
        <v>1948</v>
      </c>
      <c r="B780" s="75">
        <v>53.0</v>
      </c>
      <c r="C780" s="75" t="s">
        <v>1793</v>
      </c>
      <c r="D780" s="76" t="s">
        <v>867</v>
      </c>
      <c r="E780" s="53" t="s">
        <v>852</v>
      </c>
      <c r="F780" s="54"/>
      <c r="G780" s="55">
        <v>6790.0</v>
      </c>
      <c r="DN780" s="91">
        <v>0.0</v>
      </c>
    </row>
    <row r="781">
      <c r="A781" s="75" t="s">
        <v>1949</v>
      </c>
      <c r="B781" s="75">
        <v>52.0</v>
      </c>
      <c r="C781" s="75" t="s">
        <v>1793</v>
      </c>
      <c r="D781" s="76" t="s">
        <v>1898</v>
      </c>
      <c r="E781" s="53" t="s">
        <v>874</v>
      </c>
      <c r="F781" s="54"/>
      <c r="G781" s="55">
        <v>4790.0</v>
      </c>
      <c r="DN781" s="91">
        <v>1.0</v>
      </c>
    </row>
    <row r="782">
      <c r="A782" s="75" t="s">
        <v>1950</v>
      </c>
      <c r="B782" s="75">
        <v>49.0</v>
      </c>
      <c r="C782" s="75" t="s">
        <v>1793</v>
      </c>
      <c r="D782" s="76" t="s">
        <v>1902</v>
      </c>
      <c r="E782" s="53" t="s">
        <v>946</v>
      </c>
      <c r="F782" s="54"/>
      <c r="G782" s="55">
        <v>7890.0</v>
      </c>
      <c r="DN782" s="91">
        <v>1.0</v>
      </c>
    </row>
    <row r="783">
      <c r="A783" s="75" t="s">
        <v>1951</v>
      </c>
      <c r="B783" s="75">
        <v>53.0</v>
      </c>
      <c r="C783" s="75" t="s">
        <v>1793</v>
      </c>
      <c r="D783" s="76" t="s">
        <v>1910</v>
      </c>
      <c r="E783" s="53" t="s">
        <v>932</v>
      </c>
      <c r="F783" s="76" t="s">
        <v>1886</v>
      </c>
      <c r="G783" s="83" t="s">
        <v>1952</v>
      </c>
      <c r="DN783" s="91">
        <v>1.0</v>
      </c>
    </row>
    <row r="784">
      <c r="A784" s="75" t="s">
        <v>1953</v>
      </c>
      <c r="B784" s="75">
        <v>53.0</v>
      </c>
      <c r="C784" s="75" t="s">
        <v>1793</v>
      </c>
      <c r="D784" s="76" t="s">
        <v>1910</v>
      </c>
      <c r="E784" s="53" t="s">
        <v>852</v>
      </c>
      <c r="F784" s="54"/>
      <c r="G784" s="55">
        <v>4590.0</v>
      </c>
      <c r="DN784" s="91">
        <v>1.0</v>
      </c>
    </row>
    <row r="785">
      <c r="A785" s="75" t="s">
        <v>1954</v>
      </c>
      <c r="B785" s="75" t="s">
        <v>1003</v>
      </c>
      <c r="C785" s="75" t="s">
        <v>1955</v>
      </c>
      <c r="D785" s="76" t="s">
        <v>1752</v>
      </c>
      <c r="E785" s="53" t="s">
        <v>885</v>
      </c>
      <c r="F785" s="76" t="s">
        <v>1956</v>
      </c>
      <c r="G785" s="83">
        <v>4999.0</v>
      </c>
      <c r="DN785" s="91">
        <v>1.0</v>
      </c>
    </row>
    <row r="786">
      <c r="A786" s="75" t="s">
        <v>1957</v>
      </c>
      <c r="B786" s="75">
        <v>52.0</v>
      </c>
      <c r="C786" s="75" t="s">
        <v>1958</v>
      </c>
      <c r="D786" s="76" t="s">
        <v>954</v>
      </c>
      <c r="E786" s="53" t="s">
        <v>885</v>
      </c>
      <c r="F786" s="54"/>
      <c r="G786" s="55">
        <v>1800.0</v>
      </c>
      <c r="DN786" s="92">
        <v>1.0</v>
      </c>
    </row>
    <row r="787">
      <c r="A787" s="75" t="s">
        <v>1959</v>
      </c>
      <c r="B787" s="75">
        <v>59.0</v>
      </c>
      <c r="C787" s="75" t="s">
        <v>1958</v>
      </c>
      <c r="D787" s="76" t="s">
        <v>1960</v>
      </c>
      <c r="E787" s="53" t="s">
        <v>885</v>
      </c>
      <c r="F787" s="54"/>
      <c r="G787" s="55">
        <v>1800.0</v>
      </c>
      <c r="DN787" s="91">
        <v>3.0</v>
      </c>
    </row>
    <row r="788">
      <c r="A788" s="75" t="s">
        <v>1961</v>
      </c>
      <c r="B788" s="75">
        <v>61.0</v>
      </c>
      <c r="C788" s="75" t="s">
        <v>1958</v>
      </c>
      <c r="D788" s="76" t="s">
        <v>1962</v>
      </c>
      <c r="E788" s="53" t="s">
        <v>885</v>
      </c>
      <c r="F788" s="54"/>
      <c r="G788" s="55">
        <v>1800.0</v>
      </c>
      <c r="DN788" s="91">
        <v>2.0</v>
      </c>
    </row>
    <row r="789">
      <c r="A789" s="75" t="s">
        <v>1963</v>
      </c>
      <c r="B789" s="75">
        <v>60.0</v>
      </c>
      <c r="C789" s="75" t="s">
        <v>1958</v>
      </c>
      <c r="D789" s="76" t="s">
        <v>954</v>
      </c>
      <c r="E789" s="53" t="s">
        <v>885</v>
      </c>
      <c r="F789" s="54"/>
      <c r="G789" s="55">
        <v>1800.0</v>
      </c>
      <c r="DN789" s="91">
        <v>1.0</v>
      </c>
    </row>
    <row r="790">
      <c r="A790" s="75" t="s">
        <v>1964</v>
      </c>
      <c r="B790" s="75">
        <v>51.0</v>
      </c>
      <c r="C790" s="75" t="s">
        <v>1958</v>
      </c>
      <c r="D790" s="76" t="s">
        <v>1965</v>
      </c>
      <c r="E790" s="53" t="s">
        <v>869</v>
      </c>
      <c r="F790" s="54"/>
      <c r="G790" s="55">
        <v>1800.0</v>
      </c>
      <c r="DN790" s="91">
        <v>3.0</v>
      </c>
    </row>
    <row r="791">
      <c r="A791" s="75" t="s">
        <v>1966</v>
      </c>
      <c r="B791" s="75">
        <v>51.0</v>
      </c>
      <c r="C791" s="75" t="s">
        <v>1958</v>
      </c>
      <c r="D791" s="76" t="s">
        <v>1967</v>
      </c>
      <c r="E791" s="53" t="s">
        <v>869</v>
      </c>
      <c r="F791" s="54"/>
      <c r="G791" s="55">
        <v>1800.0</v>
      </c>
      <c r="DN791" s="91">
        <v>4.0</v>
      </c>
    </row>
    <row r="792">
      <c r="A792" s="75" t="s">
        <v>1968</v>
      </c>
      <c r="B792" s="75">
        <v>49.0</v>
      </c>
      <c r="C792" s="75" t="s">
        <v>1958</v>
      </c>
      <c r="D792" s="106" t="s">
        <v>1678</v>
      </c>
      <c r="E792" s="53" t="s">
        <v>869</v>
      </c>
      <c r="F792" s="54"/>
      <c r="G792" s="55">
        <v>1800.0</v>
      </c>
      <c r="DN792" s="91">
        <v>1.0</v>
      </c>
    </row>
    <row r="793">
      <c r="A793" s="75" t="s">
        <v>1969</v>
      </c>
      <c r="B793" s="75">
        <v>52.0</v>
      </c>
      <c r="C793" s="75" t="s">
        <v>1958</v>
      </c>
      <c r="D793" s="76" t="s">
        <v>1970</v>
      </c>
      <c r="E793" s="53" t="s">
        <v>852</v>
      </c>
      <c r="F793" s="54"/>
      <c r="G793" s="55">
        <v>1800.0</v>
      </c>
      <c r="DN793" s="91">
        <v>1.0</v>
      </c>
    </row>
    <row r="794" ht="18.75" customHeight="1">
      <c r="A794" s="75" t="s">
        <v>1971</v>
      </c>
      <c r="B794" s="75">
        <v>52.0</v>
      </c>
      <c r="C794" s="75" t="s">
        <v>1958</v>
      </c>
      <c r="D794" s="76" t="s">
        <v>876</v>
      </c>
      <c r="E794" s="53" t="s">
        <v>869</v>
      </c>
      <c r="F794" s="54"/>
      <c r="G794" s="55">
        <v>1800.0</v>
      </c>
      <c r="DN794" s="91">
        <v>1.0</v>
      </c>
    </row>
    <row r="795">
      <c r="A795" s="75" t="s">
        <v>1972</v>
      </c>
      <c r="B795" s="75">
        <v>51.0</v>
      </c>
      <c r="C795" s="75" t="s">
        <v>1958</v>
      </c>
      <c r="D795" s="76" t="s">
        <v>1970</v>
      </c>
      <c r="E795" s="53" t="s">
        <v>852</v>
      </c>
      <c r="F795" s="54"/>
      <c r="G795" s="55">
        <v>1800.0</v>
      </c>
      <c r="DN795" s="91">
        <v>1.0</v>
      </c>
    </row>
    <row r="796">
      <c r="A796" s="75" t="s">
        <v>1973</v>
      </c>
      <c r="B796" s="75">
        <v>54.0</v>
      </c>
      <c r="C796" s="75" t="s">
        <v>1974</v>
      </c>
      <c r="D796" s="76" t="s">
        <v>1975</v>
      </c>
      <c r="E796" s="53" t="s">
        <v>852</v>
      </c>
      <c r="F796" s="54"/>
      <c r="G796" s="55">
        <v>3000.0</v>
      </c>
      <c r="DN796" s="91">
        <v>1.0</v>
      </c>
    </row>
    <row r="797">
      <c r="A797" s="75" t="s">
        <v>1976</v>
      </c>
      <c r="B797" s="75">
        <v>49.0</v>
      </c>
      <c r="C797" s="75" t="s">
        <v>1974</v>
      </c>
      <c r="D797" s="76" t="s">
        <v>1977</v>
      </c>
      <c r="E797" s="53" t="s">
        <v>946</v>
      </c>
      <c r="F797" s="54"/>
      <c r="G797" s="55">
        <v>2775.0</v>
      </c>
      <c r="DN797" s="91">
        <v>1.0</v>
      </c>
    </row>
    <row r="798">
      <c r="A798" s="75" t="s">
        <v>1978</v>
      </c>
      <c r="B798" s="75">
        <v>49.0</v>
      </c>
      <c r="C798" s="75" t="s">
        <v>1974</v>
      </c>
      <c r="D798" s="76" t="s">
        <v>1975</v>
      </c>
      <c r="E798" s="53" t="s">
        <v>946</v>
      </c>
      <c r="F798" s="54"/>
      <c r="G798" s="55">
        <v>2775.0</v>
      </c>
      <c r="DN798" s="91">
        <v>1.0</v>
      </c>
    </row>
    <row r="799">
      <c r="A799" s="75" t="s">
        <v>1979</v>
      </c>
      <c r="B799" s="75">
        <v>52.0</v>
      </c>
      <c r="C799" s="75" t="s">
        <v>1974</v>
      </c>
      <c r="D799" s="76" t="s">
        <v>1975</v>
      </c>
      <c r="E799" s="53" t="s">
        <v>852</v>
      </c>
      <c r="F799" s="54"/>
      <c r="G799" s="55">
        <v>3000.0</v>
      </c>
      <c r="DN799" s="91">
        <v>1.0</v>
      </c>
    </row>
    <row r="800">
      <c r="A800" s="75" t="s">
        <v>1980</v>
      </c>
      <c r="B800" s="75">
        <v>52.0</v>
      </c>
      <c r="C800" s="75" t="s">
        <v>1974</v>
      </c>
      <c r="D800" s="76" t="s">
        <v>1975</v>
      </c>
      <c r="E800" s="53" t="s">
        <v>858</v>
      </c>
      <c r="F800" s="54"/>
      <c r="G800" s="55">
        <v>2925.0</v>
      </c>
      <c r="DN800" s="91">
        <v>1.0</v>
      </c>
    </row>
    <row r="801">
      <c r="A801" s="75" t="s">
        <v>1981</v>
      </c>
      <c r="B801" s="75">
        <v>52.0</v>
      </c>
      <c r="C801" s="75" t="s">
        <v>1974</v>
      </c>
      <c r="D801" s="76" t="s">
        <v>876</v>
      </c>
      <c r="E801" s="53" t="s">
        <v>856</v>
      </c>
      <c r="F801" s="54"/>
      <c r="G801" s="55">
        <v>2675.0</v>
      </c>
      <c r="DN801" s="91">
        <v>1.0</v>
      </c>
    </row>
    <row r="802">
      <c r="A802" s="75" t="s">
        <v>1982</v>
      </c>
      <c r="B802" s="75">
        <v>54.0</v>
      </c>
      <c r="C802" s="75" t="s">
        <v>1983</v>
      </c>
      <c r="D802" s="76" t="s">
        <v>876</v>
      </c>
      <c r="E802" s="53"/>
      <c r="F802" s="54"/>
      <c r="G802" s="55">
        <v>1560.0</v>
      </c>
      <c r="DN802" s="91">
        <v>1.0</v>
      </c>
    </row>
    <row r="803">
      <c r="A803" s="75" t="s">
        <v>1984</v>
      </c>
      <c r="B803" s="75">
        <v>52.0</v>
      </c>
      <c r="C803" s="75" t="s">
        <v>1983</v>
      </c>
      <c r="D803" s="76" t="s">
        <v>1985</v>
      </c>
      <c r="E803" s="53"/>
      <c r="F803" s="54"/>
      <c r="G803" s="55">
        <v>1560.0</v>
      </c>
      <c r="DN803" s="91">
        <v>1.0</v>
      </c>
    </row>
    <row r="804">
      <c r="A804" s="75" t="s">
        <v>1986</v>
      </c>
      <c r="B804" s="75">
        <v>52.0</v>
      </c>
      <c r="C804" s="75" t="s">
        <v>1983</v>
      </c>
      <c r="D804" s="76" t="s">
        <v>1985</v>
      </c>
      <c r="E804" s="53"/>
      <c r="F804" s="54"/>
      <c r="G804" s="55">
        <v>1560.0</v>
      </c>
      <c r="DN804" s="91">
        <v>1.0</v>
      </c>
    </row>
    <row r="805">
      <c r="A805" s="75" t="s">
        <v>1987</v>
      </c>
      <c r="B805" s="75">
        <v>53.0</v>
      </c>
      <c r="C805" s="75" t="s">
        <v>1983</v>
      </c>
      <c r="D805" s="76" t="s">
        <v>867</v>
      </c>
      <c r="E805" s="53"/>
      <c r="F805" s="54"/>
      <c r="G805" s="55">
        <v>1560.0</v>
      </c>
      <c r="DN805" s="92">
        <v>0.0</v>
      </c>
    </row>
    <row r="806">
      <c r="A806" s="75" t="s">
        <v>1988</v>
      </c>
      <c r="B806" s="75">
        <v>55.0</v>
      </c>
      <c r="C806" s="75" t="s">
        <v>1983</v>
      </c>
      <c r="D806" s="76" t="s">
        <v>1989</v>
      </c>
      <c r="E806" s="53" t="s">
        <v>869</v>
      </c>
      <c r="F806" s="54"/>
      <c r="G806" s="55">
        <v>1560.0</v>
      </c>
      <c r="DN806" s="91">
        <v>1.0</v>
      </c>
    </row>
    <row r="807">
      <c r="A807" s="75" t="s">
        <v>1990</v>
      </c>
      <c r="B807" s="75">
        <v>52.0</v>
      </c>
      <c r="C807" s="75" t="s">
        <v>1983</v>
      </c>
      <c r="D807" s="76" t="s">
        <v>1985</v>
      </c>
      <c r="E807" s="53"/>
      <c r="F807" s="54"/>
      <c r="G807" s="55">
        <v>1560.0</v>
      </c>
      <c r="DN807" s="91">
        <v>1.0</v>
      </c>
    </row>
    <row r="808">
      <c r="A808" s="75" t="s">
        <v>1991</v>
      </c>
      <c r="B808" s="75">
        <v>52.0</v>
      </c>
      <c r="C808" s="75" t="s">
        <v>1983</v>
      </c>
      <c r="D808" s="76" t="s">
        <v>1985</v>
      </c>
      <c r="E808" s="53"/>
      <c r="F808" s="54"/>
      <c r="G808" s="55">
        <v>1560.0</v>
      </c>
      <c r="DN808" s="91">
        <v>1.0</v>
      </c>
    </row>
    <row r="809">
      <c r="A809" s="75" t="s">
        <v>1992</v>
      </c>
      <c r="B809" s="75">
        <v>53.0</v>
      </c>
      <c r="C809" s="75" t="s">
        <v>1983</v>
      </c>
      <c r="D809" s="76" t="s">
        <v>1993</v>
      </c>
      <c r="E809" s="53"/>
      <c r="F809" s="54"/>
      <c r="G809" s="55">
        <v>1560.0</v>
      </c>
      <c r="DN809" s="91">
        <v>1.0</v>
      </c>
    </row>
    <row r="810">
      <c r="A810" s="75" t="s">
        <v>1994</v>
      </c>
      <c r="B810" s="75">
        <v>48.0</v>
      </c>
      <c r="C810" s="75" t="s">
        <v>1983</v>
      </c>
      <c r="D810" s="76" t="s">
        <v>876</v>
      </c>
      <c r="E810" s="53" t="s">
        <v>946</v>
      </c>
      <c r="F810" s="54"/>
      <c r="G810" s="55">
        <v>1560.0</v>
      </c>
      <c r="DN810" s="91">
        <v>1.0</v>
      </c>
    </row>
    <row r="811">
      <c r="A811" s="75" t="s">
        <v>1995</v>
      </c>
      <c r="B811" s="75">
        <v>52.0</v>
      </c>
      <c r="C811" s="75" t="s">
        <v>1983</v>
      </c>
      <c r="D811" s="76" t="s">
        <v>1993</v>
      </c>
      <c r="E811" s="53" t="s">
        <v>885</v>
      </c>
      <c r="F811" s="54"/>
      <c r="G811" s="83">
        <v>1560.0</v>
      </c>
      <c r="DN811" s="91">
        <v>1.0</v>
      </c>
    </row>
    <row r="812">
      <c r="A812" s="75" t="s">
        <v>1996</v>
      </c>
      <c r="B812" s="75">
        <v>59.0</v>
      </c>
      <c r="C812" s="75" t="s">
        <v>1997</v>
      </c>
      <c r="D812" s="76" t="s">
        <v>1695</v>
      </c>
      <c r="E812" s="53" t="s">
        <v>885</v>
      </c>
      <c r="F812" s="54"/>
      <c r="G812" s="55">
        <v>24500.0</v>
      </c>
      <c r="DN812" s="91">
        <v>1.0</v>
      </c>
    </row>
    <row r="813">
      <c r="A813" s="75" t="s">
        <v>1998</v>
      </c>
      <c r="B813" s="75">
        <v>62.0</v>
      </c>
      <c r="C813" s="75" t="s">
        <v>1997</v>
      </c>
      <c r="D813" s="76" t="s">
        <v>1695</v>
      </c>
      <c r="E813" s="53" t="s">
        <v>885</v>
      </c>
      <c r="F813" s="76" t="s">
        <v>1999</v>
      </c>
      <c r="G813" s="55">
        <v>24500.0</v>
      </c>
      <c r="DN813" s="91">
        <v>1.0</v>
      </c>
    </row>
    <row r="814">
      <c r="A814" s="75" t="s">
        <v>2000</v>
      </c>
      <c r="B814" s="75">
        <v>58.0</v>
      </c>
      <c r="C814" s="75" t="s">
        <v>1997</v>
      </c>
      <c r="D814" s="76" t="s">
        <v>1693</v>
      </c>
      <c r="E814" s="53" t="s">
        <v>885</v>
      </c>
      <c r="F814" s="54"/>
      <c r="G814" s="55">
        <v>24500.0</v>
      </c>
      <c r="DN814" s="91">
        <v>1.0</v>
      </c>
    </row>
    <row r="815">
      <c r="A815" s="75" t="s">
        <v>2001</v>
      </c>
      <c r="B815" s="75">
        <v>53.0</v>
      </c>
      <c r="C815" s="75" t="s">
        <v>2002</v>
      </c>
      <c r="D815" s="76" t="s">
        <v>2003</v>
      </c>
      <c r="E815" s="53"/>
      <c r="F815" s="54"/>
      <c r="G815" s="83">
        <v>8625.0</v>
      </c>
      <c r="DN815" s="91">
        <v>1.0</v>
      </c>
    </row>
    <row r="816">
      <c r="A816" s="75" t="s">
        <v>2004</v>
      </c>
      <c r="B816" s="75">
        <v>53.0</v>
      </c>
      <c r="C816" s="75" t="s">
        <v>2002</v>
      </c>
      <c r="D816" s="53" t="s">
        <v>2005</v>
      </c>
      <c r="E816" s="53" t="s">
        <v>885</v>
      </c>
      <c r="F816" s="54"/>
      <c r="G816" s="83">
        <v>8625.0</v>
      </c>
      <c r="DN816" s="91">
        <v>2.0</v>
      </c>
    </row>
    <row r="817">
      <c r="A817" s="75" t="s">
        <v>2006</v>
      </c>
      <c r="B817" s="75">
        <v>53.0</v>
      </c>
      <c r="C817" s="75" t="s">
        <v>2002</v>
      </c>
      <c r="D817" s="76" t="s">
        <v>2007</v>
      </c>
      <c r="E817" s="53" t="s">
        <v>885</v>
      </c>
      <c r="F817" s="54"/>
      <c r="G817" s="83">
        <v>8970.0</v>
      </c>
      <c r="DN817" s="91">
        <v>2.0</v>
      </c>
    </row>
    <row r="818">
      <c r="A818" s="75" t="s">
        <v>2008</v>
      </c>
      <c r="B818" s="75">
        <v>53.0</v>
      </c>
      <c r="C818" s="75" t="s">
        <v>2002</v>
      </c>
      <c r="D818" s="76" t="s">
        <v>2007</v>
      </c>
      <c r="E818" s="53" t="s">
        <v>885</v>
      </c>
      <c r="F818" s="54"/>
      <c r="G818" s="83"/>
      <c r="DN818" s="91">
        <v>2.0</v>
      </c>
    </row>
    <row r="819">
      <c r="A819" s="75" t="s">
        <v>2009</v>
      </c>
      <c r="B819" s="75">
        <v>50.0</v>
      </c>
      <c r="C819" s="75" t="s">
        <v>2002</v>
      </c>
      <c r="D819" s="76" t="s">
        <v>2010</v>
      </c>
      <c r="E819" s="53" t="s">
        <v>885</v>
      </c>
      <c r="F819" s="54"/>
      <c r="G819" s="83"/>
      <c r="DN819" s="91">
        <v>4.0</v>
      </c>
    </row>
    <row r="820">
      <c r="A820" s="75" t="s">
        <v>2011</v>
      </c>
      <c r="B820" s="75">
        <v>62.0</v>
      </c>
      <c r="C820" s="75" t="s">
        <v>2002</v>
      </c>
      <c r="D820" s="76" t="s">
        <v>1243</v>
      </c>
      <c r="E820" s="53"/>
      <c r="F820" s="54"/>
      <c r="G820" s="83">
        <v>7880.0</v>
      </c>
      <c r="DN820" s="91">
        <v>1.0</v>
      </c>
    </row>
    <row r="821">
      <c r="A821" s="75" t="s">
        <v>2012</v>
      </c>
      <c r="B821" s="75">
        <v>62.0</v>
      </c>
      <c r="C821" s="75" t="s">
        <v>2002</v>
      </c>
      <c r="D821" s="76" t="s">
        <v>2013</v>
      </c>
      <c r="E821" s="53" t="s">
        <v>885</v>
      </c>
      <c r="F821" s="54"/>
      <c r="G821" s="83">
        <v>7880.0</v>
      </c>
      <c r="DN821" s="91">
        <v>1.0</v>
      </c>
    </row>
    <row r="822">
      <c r="A822" s="75" t="s">
        <v>2014</v>
      </c>
      <c r="B822" s="75">
        <v>49.0</v>
      </c>
      <c r="C822" s="75" t="s">
        <v>2002</v>
      </c>
      <c r="D822" s="76" t="s">
        <v>1233</v>
      </c>
      <c r="E822" s="53" t="s">
        <v>885</v>
      </c>
      <c r="F822" s="54"/>
      <c r="G822" s="83">
        <v>8900.0</v>
      </c>
      <c r="DN822" s="91">
        <v>1.0</v>
      </c>
    </row>
    <row r="823">
      <c r="A823" s="75" t="s">
        <v>2015</v>
      </c>
      <c r="B823" s="75">
        <v>49.0</v>
      </c>
      <c r="C823" s="75" t="s">
        <v>2002</v>
      </c>
      <c r="D823" s="76" t="s">
        <v>1233</v>
      </c>
      <c r="E823" s="53" t="s">
        <v>885</v>
      </c>
      <c r="F823" s="54"/>
      <c r="G823" s="83">
        <v>8900.0</v>
      </c>
      <c r="DN823" s="91">
        <v>1.0</v>
      </c>
    </row>
    <row r="824">
      <c r="A824" s="75" t="s">
        <v>2016</v>
      </c>
      <c r="B824" s="75">
        <v>49.0</v>
      </c>
      <c r="C824" s="75" t="s">
        <v>2002</v>
      </c>
      <c r="D824" s="76" t="s">
        <v>2017</v>
      </c>
      <c r="E824" s="53" t="s">
        <v>885</v>
      </c>
      <c r="F824" s="54"/>
      <c r="G824" s="83">
        <v>8900.0</v>
      </c>
      <c r="DN824" s="91">
        <v>2.0</v>
      </c>
    </row>
    <row r="825">
      <c r="A825" s="75" t="s">
        <v>2018</v>
      </c>
      <c r="B825" s="75">
        <v>49.0</v>
      </c>
      <c r="C825" s="75" t="s">
        <v>2002</v>
      </c>
      <c r="D825" s="76" t="s">
        <v>2019</v>
      </c>
      <c r="E825" s="53" t="s">
        <v>885</v>
      </c>
      <c r="F825" s="54"/>
      <c r="G825" s="83">
        <v>8900.0</v>
      </c>
      <c r="DN825" s="91">
        <v>1.0</v>
      </c>
    </row>
    <row r="826">
      <c r="A826" s="75" t="s">
        <v>2020</v>
      </c>
      <c r="B826" s="75">
        <v>51.0</v>
      </c>
      <c r="C826" s="75" t="s">
        <v>2002</v>
      </c>
      <c r="D826" s="76" t="s">
        <v>2021</v>
      </c>
      <c r="E826" s="53" t="s">
        <v>885</v>
      </c>
      <c r="F826" s="54"/>
      <c r="G826" s="83"/>
      <c r="DN826" s="91">
        <v>1.0</v>
      </c>
    </row>
    <row r="827">
      <c r="A827" s="75" t="s">
        <v>2022</v>
      </c>
      <c r="B827" s="75">
        <v>51.0</v>
      </c>
      <c r="C827" s="75" t="s">
        <v>2002</v>
      </c>
      <c r="D827" s="76" t="s">
        <v>2023</v>
      </c>
      <c r="E827" s="53" t="s">
        <v>885</v>
      </c>
      <c r="F827" s="54"/>
      <c r="G827" s="83"/>
      <c r="DN827" s="91">
        <v>3.0</v>
      </c>
    </row>
    <row r="828">
      <c r="A828" s="75" t="s">
        <v>2024</v>
      </c>
      <c r="B828" s="75">
        <v>51.0</v>
      </c>
      <c r="C828" s="75" t="s">
        <v>2002</v>
      </c>
      <c r="D828" s="76" t="s">
        <v>1243</v>
      </c>
      <c r="E828" s="53" t="s">
        <v>885</v>
      </c>
      <c r="F828" s="54"/>
      <c r="G828" s="83">
        <v>8190.0</v>
      </c>
      <c r="DN828" s="91">
        <v>1.0</v>
      </c>
    </row>
    <row r="829">
      <c r="A829" s="75" t="s">
        <v>2025</v>
      </c>
      <c r="B829" s="75">
        <v>55.0</v>
      </c>
      <c r="C829" s="75" t="s">
        <v>2002</v>
      </c>
      <c r="D829" s="76" t="s">
        <v>2005</v>
      </c>
      <c r="E829" s="53" t="s">
        <v>885</v>
      </c>
      <c r="F829" s="54"/>
      <c r="G829" s="83"/>
      <c r="DN829" s="91">
        <v>2.0</v>
      </c>
    </row>
    <row r="830">
      <c r="A830" s="75" t="s">
        <v>2026</v>
      </c>
      <c r="B830" s="75">
        <v>55.0</v>
      </c>
      <c r="C830" s="75" t="s">
        <v>2002</v>
      </c>
      <c r="D830" s="76" t="s">
        <v>2005</v>
      </c>
      <c r="E830" s="53" t="s">
        <v>885</v>
      </c>
      <c r="F830" s="54"/>
      <c r="G830" s="83"/>
      <c r="DN830" s="92">
        <v>2.0</v>
      </c>
    </row>
    <row r="831">
      <c r="A831" s="75" t="s">
        <v>2027</v>
      </c>
      <c r="B831" s="75">
        <v>55.0</v>
      </c>
      <c r="C831" s="75" t="s">
        <v>2002</v>
      </c>
      <c r="D831" s="76" t="s">
        <v>2028</v>
      </c>
      <c r="E831" s="53" t="s">
        <v>885</v>
      </c>
      <c r="F831" s="54"/>
      <c r="G831" s="83">
        <v>7590.0</v>
      </c>
      <c r="DN831" s="91">
        <v>1.0</v>
      </c>
    </row>
    <row r="832">
      <c r="A832" s="75" t="s">
        <v>2029</v>
      </c>
      <c r="B832" s="75">
        <v>59.0</v>
      </c>
      <c r="C832" s="75" t="s">
        <v>2002</v>
      </c>
      <c r="D832" s="76" t="s">
        <v>2030</v>
      </c>
      <c r="E832" s="53" t="s">
        <v>885</v>
      </c>
      <c r="F832" s="54"/>
      <c r="G832" s="83"/>
      <c r="DN832" s="91">
        <v>1.0</v>
      </c>
    </row>
    <row r="833">
      <c r="A833" s="75" t="s">
        <v>2031</v>
      </c>
      <c r="B833" s="75">
        <v>59.0</v>
      </c>
      <c r="C833" s="75" t="s">
        <v>2002</v>
      </c>
      <c r="D833" s="76" t="s">
        <v>1243</v>
      </c>
      <c r="E833" s="53" t="s">
        <v>885</v>
      </c>
      <c r="F833" s="54"/>
      <c r="G833" s="83">
        <v>7900.0</v>
      </c>
      <c r="DN833" s="91">
        <v>1.0</v>
      </c>
    </row>
    <row r="834">
      <c r="A834" s="75" t="s">
        <v>2032</v>
      </c>
      <c r="B834" s="75">
        <v>60.0</v>
      </c>
      <c r="C834" s="75" t="s">
        <v>2002</v>
      </c>
      <c r="D834" s="76" t="s">
        <v>2030</v>
      </c>
      <c r="E834" s="53" t="s">
        <v>885</v>
      </c>
      <c r="F834" s="54"/>
      <c r="G834" s="83"/>
      <c r="DN834" s="91">
        <v>1.0</v>
      </c>
    </row>
    <row r="835">
      <c r="A835" s="75" t="s">
        <v>2033</v>
      </c>
      <c r="B835" s="75">
        <v>60.0</v>
      </c>
      <c r="C835" s="75" t="s">
        <v>2002</v>
      </c>
      <c r="D835" s="76" t="s">
        <v>926</v>
      </c>
      <c r="E835" s="53" t="s">
        <v>885</v>
      </c>
      <c r="F835" s="54"/>
      <c r="G835" s="83"/>
      <c r="DN835" s="91">
        <v>1.0</v>
      </c>
    </row>
    <row r="836">
      <c r="A836" s="75" t="s">
        <v>2034</v>
      </c>
      <c r="B836" s="75">
        <v>47.0</v>
      </c>
      <c r="C836" s="75" t="s">
        <v>2002</v>
      </c>
      <c r="D836" s="76" t="s">
        <v>2035</v>
      </c>
      <c r="E836" s="53" t="s">
        <v>932</v>
      </c>
      <c r="F836" s="54"/>
      <c r="G836" s="83"/>
      <c r="DN836" s="91">
        <v>1.0</v>
      </c>
    </row>
    <row r="837">
      <c r="A837" s="75" t="s">
        <v>2036</v>
      </c>
      <c r="B837" s="75">
        <v>47.0</v>
      </c>
      <c r="C837" s="75" t="s">
        <v>2002</v>
      </c>
      <c r="D837" s="76" t="s">
        <v>2035</v>
      </c>
      <c r="E837" s="53" t="s">
        <v>932</v>
      </c>
      <c r="F837" s="54"/>
      <c r="G837" s="83"/>
      <c r="DN837" s="91">
        <v>1.0</v>
      </c>
    </row>
    <row r="838">
      <c r="A838" s="75" t="s">
        <v>2037</v>
      </c>
      <c r="B838" s="75">
        <v>52.0</v>
      </c>
      <c r="C838" s="75" t="s">
        <v>2002</v>
      </c>
      <c r="D838" s="76" t="s">
        <v>2035</v>
      </c>
      <c r="E838" s="53" t="s">
        <v>932</v>
      </c>
      <c r="F838" s="54"/>
      <c r="G838" s="83"/>
      <c r="DN838" s="91">
        <v>1.0</v>
      </c>
    </row>
    <row r="839">
      <c r="A839" s="124" t="s">
        <v>2038</v>
      </c>
      <c r="B839" s="124">
        <v>52.0</v>
      </c>
      <c r="C839" s="75" t="s">
        <v>2002</v>
      </c>
      <c r="D839" s="76" t="s">
        <v>1977</v>
      </c>
      <c r="E839" s="53" t="s">
        <v>932</v>
      </c>
      <c r="F839" s="54"/>
      <c r="G839" s="83"/>
      <c r="DN839" s="91">
        <v>1.0</v>
      </c>
    </row>
    <row r="840">
      <c r="A840" s="124" t="s">
        <v>2039</v>
      </c>
      <c r="B840" s="124">
        <v>52.0</v>
      </c>
      <c r="C840" s="75" t="s">
        <v>2002</v>
      </c>
      <c r="D840" s="76" t="s">
        <v>1726</v>
      </c>
      <c r="E840" s="53" t="s">
        <v>932</v>
      </c>
      <c r="F840" s="54"/>
      <c r="G840" s="83">
        <v>6610.0</v>
      </c>
      <c r="DN840" s="91">
        <v>1.0</v>
      </c>
    </row>
    <row r="841">
      <c r="A841" s="124" t="s">
        <v>2040</v>
      </c>
      <c r="B841" s="124">
        <v>52.0</v>
      </c>
      <c r="C841" s="75" t="s">
        <v>2002</v>
      </c>
      <c r="D841" s="76" t="s">
        <v>1977</v>
      </c>
      <c r="E841" s="53" t="s">
        <v>932</v>
      </c>
      <c r="F841" s="54"/>
      <c r="G841" s="83"/>
      <c r="DN841" s="91">
        <v>1.0</v>
      </c>
    </row>
    <row r="842">
      <c r="A842" s="124" t="s">
        <v>2041</v>
      </c>
      <c r="B842" s="124">
        <v>52.0</v>
      </c>
      <c r="C842" s="75" t="s">
        <v>2002</v>
      </c>
      <c r="D842" s="76" t="s">
        <v>1726</v>
      </c>
      <c r="E842" s="53" t="s">
        <v>932</v>
      </c>
      <c r="F842" s="54"/>
      <c r="G842" s="83">
        <v>6610.0</v>
      </c>
      <c r="DN842" s="92">
        <v>1.0</v>
      </c>
    </row>
    <row r="843">
      <c r="A843" s="75" t="s">
        <v>2042</v>
      </c>
      <c r="B843" s="75">
        <v>52.0</v>
      </c>
      <c r="C843" s="75" t="s">
        <v>2002</v>
      </c>
      <c r="D843" s="76" t="s">
        <v>2035</v>
      </c>
      <c r="E843" s="53" t="s">
        <v>932</v>
      </c>
      <c r="F843" s="54"/>
      <c r="G843" s="83"/>
      <c r="DN843" s="91">
        <v>1.0</v>
      </c>
    </row>
    <row r="844">
      <c r="A844" s="75" t="s">
        <v>2043</v>
      </c>
      <c r="B844" s="75">
        <v>51.0</v>
      </c>
      <c r="C844" s="75" t="s">
        <v>2002</v>
      </c>
      <c r="D844" s="76" t="s">
        <v>1977</v>
      </c>
      <c r="E844" s="53" t="s">
        <v>932</v>
      </c>
      <c r="F844" s="54"/>
      <c r="G844" s="83"/>
      <c r="DN844" s="91">
        <v>1.0</v>
      </c>
    </row>
    <row r="845">
      <c r="A845" s="75" t="s">
        <v>2044</v>
      </c>
      <c r="B845" s="75">
        <v>54.0</v>
      </c>
      <c r="C845" s="75" t="s">
        <v>2002</v>
      </c>
      <c r="D845" s="76" t="s">
        <v>1027</v>
      </c>
      <c r="E845" s="53" t="s">
        <v>932</v>
      </c>
      <c r="F845" s="54"/>
      <c r="G845" s="83">
        <v>5400.0</v>
      </c>
      <c r="DN845" s="91">
        <v>1.0</v>
      </c>
    </row>
    <row r="846">
      <c r="A846" s="75" t="s">
        <v>2045</v>
      </c>
      <c r="B846" s="75">
        <v>57.0</v>
      </c>
      <c r="C846" s="75" t="s">
        <v>2002</v>
      </c>
      <c r="D846" s="76" t="s">
        <v>1243</v>
      </c>
      <c r="E846" s="53" t="s">
        <v>885</v>
      </c>
      <c r="F846" s="54"/>
      <c r="G846" s="55"/>
      <c r="DN846" s="91">
        <v>1.0</v>
      </c>
    </row>
    <row r="847">
      <c r="A847" s="75" t="s">
        <v>2046</v>
      </c>
      <c r="B847" s="75">
        <v>55.0</v>
      </c>
      <c r="C847" s="75" t="s">
        <v>2002</v>
      </c>
      <c r="D847" s="76" t="s">
        <v>2013</v>
      </c>
      <c r="E847" s="53" t="s">
        <v>885</v>
      </c>
      <c r="F847" s="76"/>
      <c r="G847" s="83"/>
      <c r="DN847" s="91">
        <v>1.0</v>
      </c>
    </row>
    <row r="848">
      <c r="A848" s="75" t="s">
        <v>2047</v>
      </c>
      <c r="B848" s="75">
        <v>60.0</v>
      </c>
      <c r="C848" s="75" t="s">
        <v>2002</v>
      </c>
      <c r="D848" s="76" t="s">
        <v>1496</v>
      </c>
      <c r="E848" s="53" t="s">
        <v>885</v>
      </c>
      <c r="F848" s="76" t="s">
        <v>1229</v>
      </c>
      <c r="G848" s="83">
        <v>7650.0</v>
      </c>
      <c r="DN848" s="91">
        <v>1.0</v>
      </c>
    </row>
    <row r="849">
      <c r="A849" s="75" t="s">
        <v>2048</v>
      </c>
      <c r="B849" s="75">
        <v>59.0</v>
      </c>
      <c r="C849" s="75" t="s">
        <v>2002</v>
      </c>
      <c r="D849" s="76" t="s">
        <v>2021</v>
      </c>
      <c r="E849" s="53" t="s">
        <v>885</v>
      </c>
      <c r="F849" s="54"/>
      <c r="G849" s="83">
        <v>7590.0</v>
      </c>
      <c r="DN849" s="91">
        <v>1.0</v>
      </c>
    </row>
    <row r="850">
      <c r="A850" s="75" t="s">
        <v>2049</v>
      </c>
      <c r="B850" s="75">
        <v>55.0</v>
      </c>
      <c r="C850" s="75" t="s">
        <v>2002</v>
      </c>
      <c r="D850" s="76" t="s">
        <v>2050</v>
      </c>
      <c r="E850" s="53" t="s">
        <v>885</v>
      </c>
      <c r="F850" s="54"/>
      <c r="G850" s="83"/>
      <c r="DN850" s="91">
        <v>1.0</v>
      </c>
    </row>
    <row r="851">
      <c r="A851" s="75" t="s">
        <v>2051</v>
      </c>
      <c r="B851" s="75">
        <v>55.0</v>
      </c>
      <c r="C851" s="75" t="s">
        <v>2002</v>
      </c>
      <c r="D851" s="76" t="s">
        <v>904</v>
      </c>
      <c r="E851" s="53" t="s">
        <v>885</v>
      </c>
      <c r="F851" s="54"/>
      <c r="G851" s="83"/>
      <c r="DN851" s="91">
        <v>1.0</v>
      </c>
    </row>
    <row r="852">
      <c r="A852" s="75" t="s">
        <v>2052</v>
      </c>
      <c r="B852" s="75">
        <v>55.0</v>
      </c>
      <c r="C852" s="75" t="s">
        <v>2002</v>
      </c>
      <c r="D852" s="76" t="s">
        <v>904</v>
      </c>
      <c r="E852" s="53" t="s">
        <v>885</v>
      </c>
      <c r="F852" s="54"/>
      <c r="G852" s="83"/>
      <c r="DN852" s="91">
        <v>1.0</v>
      </c>
    </row>
    <row r="853">
      <c r="A853" s="75" t="s">
        <v>2053</v>
      </c>
      <c r="B853" s="75">
        <v>55.0</v>
      </c>
      <c r="C853" s="75" t="s">
        <v>2002</v>
      </c>
      <c r="D853" s="76" t="s">
        <v>2013</v>
      </c>
      <c r="E853" s="53" t="s">
        <v>885</v>
      </c>
      <c r="F853" s="54"/>
      <c r="G853" s="83"/>
      <c r="DN853" s="91">
        <v>1.0</v>
      </c>
    </row>
    <row r="854">
      <c r="A854" s="75" t="s">
        <v>2054</v>
      </c>
      <c r="B854" s="75">
        <v>60.0</v>
      </c>
      <c r="C854" s="75" t="s">
        <v>2002</v>
      </c>
      <c r="D854" s="76" t="s">
        <v>2055</v>
      </c>
      <c r="E854" s="53" t="s">
        <v>885</v>
      </c>
      <c r="F854" s="54"/>
      <c r="G854" s="83"/>
      <c r="DN854" s="91">
        <v>1.0</v>
      </c>
    </row>
    <row r="855">
      <c r="A855" s="75" t="s">
        <v>2056</v>
      </c>
      <c r="B855" s="75">
        <v>48.0</v>
      </c>
      <c r="C855" s="75" t="s">
        <v>2002</v>
      </c>
      <c r="D855" s="76" t="s">
        <v>2003</v>
      </c>
      <c r="E855" s="53"/>
      <c r="F855" s="54"/>
      <c r="G855" s="83"/>
      <c r="DN855" s="91">
        <v>1.0</v>
      </c>
    </row>
    <row r="856">
      <c r="A856" s="75" t="s">
        <v>2057</v>
      </c>
      <c r="B856" s="75">
        <v>56.0</v>
      </c>
      <c r="C856" s="75" t="s">
        <v>2002</v>
      </c>
      <c r="D856" s="76" t="s">
        <v>2058</v>
      </c>
      <c r="E856" s="53" t="s">
        <v>885</v>
      </c>
      <c r="F856" s="54"/>
      <c r="G856" s="83"/>
      <c r="DN856" s="91">
        <v>1.0</v>
      </c>
    </row>
    <row r="857">
      <c r="A857" s="75" t="s">
        <v>2059</v>
      </c>
      <c r="B857" s="75">
        <v>55.0</v>
      </c>
      <c r="C857" s="75" t="s">
        <v>2002</v>
      </c>
      <c r="D857" s="76" t="s">
        <v>2060</v>
      </c>
      <c r="E857" s="53" t="s">
        <v>885</v>
      </c>
      <c r="F857" s="54"/>
      <c r="G857" s="83">
        <v>6250.0</v>
      </c>
      <c r="DN857" s="91">
        <v>2.0</v>
      </c>
    </row>
    <row r="858">
      <c r="A858" s="75" t="s">
        <v>2061</v>
      </c>
      <c r="B858" s="75">
        <v>56.0</v>
      </c>
      <c r="C858" s="75" t="s">
        <v>2002</v>
      </c>
      <c r="D858" s="76" t="s">
        <v>2028</v>
      </c>
      <c r="E858" s="53" t="s">
        <v>885</v>
      </c>
      <c r="F858" s="54"/>
      <c r="G858" s="83"/>
      <c r="DN858" s="91">
        <v>1.0</v>
      </c>
    </row>
    <row r="859">
      <c r="A859" s="75" t="s">
        <v>2062</v>
      </c>
      <c r="B859" s="75">
        <v>50.0</v>
      </c>
      <c r="C859" s="75" t="s">
        <v>2002</v>
      </c>
      <c r="D859" s="76" t="s">
        <v>2019</v>
      </c>
      <c r="E859" s="53" t="s">
        <v>885</v>
      </c>
      <c r="F859" s="54"/>
      <c r="G859" s="83"/>
      <c r="DN859" s="91">
        <v>1.0</v>
      </c>
    </row>
    <row r="860">
      <c r="A860" s="75" t="s">
        <v>2063</v>
      </c>
      <c r="B860" s="75">
        <v>52.0</v>
      </c>
      <c r="C860" s="75" t="s">
        <v>2002</v>
      </c>
      <c r="D860" s="76" t="s">
        <v>2055</v>
      </c>
      <c r="E860" s="53" t="s">
        <v>885</v>
      </c>
      <c r="F860" s="54"/>
      <c r="G860" s="83"/>
      <c r="DN860" s="91">
        <v>1.0</v>
      </c>
    </row>
    <row r="861">
      <c r="A861" s="75" t="s">
        <v>2064</v>
      </c>
      <c r="B861" s="75">
        <v>56.0</v>
      </c>
      <c r="C861" s="75" t="s">
        <v>2002</v>
      </c>
      <c r="D861" s="76" t="s">
        <v>2028</v>
      </c>
      <c r="E861" s="53" t="s">
        <v>885</v>
      </c>
      <c r="F861" s="54"/>
      <c r="G861" s="83"/>
      <c r="DN861" s="91">
        <v>1.0</v>
      </c>
    </row>
    <row r="862">
      <c r="A862" s="75" t="s">
        <v>2065</v>
      </c>
      <c r="B862" s="75">
        <v>58.0</v>
      </c>
      <c r="C862" s="75" t="s">
        <v>2002</v>
      </c>
      <c r="D862" s="76" t="s">
        <v>1519</v>
      </c>
      <c r="E862" s="53" t="s">
        <v>885</v>
      </c>
      <c r="F862" s="54"/>
      <c r="G862" s="83">
        <v>6900.0</v>
      </c>
      <c r="DN862" s="92">
        <v>1.0</v>
      </c>
    </row>
    <row r="863">
      <c r="A863" s="75" t="s">
        <v>2066</v>
      </c>
      <c r="B863" s="75">
        <v>58.0</v>
      </c>
      <c r="C863" s="75" t="s">
        <v>2002</v>
      </c>
      <c r="D863" s="76" t="s">
        <v>1519</v>
      </c>
      <c r="E863" s="53" t="s">
        <v>885</v>
      </c>
      <c r="F863" s="54"/>
      <c r="G863" s="83">
        <v>6900.0</v>
      </c>
      <c r="DN863" s="92">
        <v>1.0</v>
      </c>
    </row>
    <row r="864">
      <c r="A864" s="75" t="s">
        <v>2067</v>
      </c>
      <c r="B864" s="75">
        <v>58.0</v>
      </c>
      <c r="C864" s="75" t="s">
        <v>2002</v>
      </c>
      <c r="D864" s="76" t="s">
        <v>2068</v>
      </c>
      <c r="E864" s="53" t="s">
        <v>885</v>
      </c>
      <c r="F864" s="54"/>
      <c r="G864" s="83"/>
      <c r="DN864" s="91">
        <v>1.0</v>
      </c>
    </row>
    <row r="865">
      <c r="A865" s="75" t="s">
        <v>2069</v>
      </c>
      <c r="B865" s="75">
        <v>49.0</v>
      </c>
      <c r="C865" s="75" t="s">
        <v>2002</v>
      </c>
      <c r="D865" s="76" t="s">
        <v>2068</v>
      </c>
      <c r="E865" s="53" t="s">
        <v>885</v>
      </c>
      <c r="F865" s="54"/>
      <c r="G865" s="83">
        <v>11000.0</v>
      </c>
      <c r="DN865" s="91">
        <v>1.0</v>
      </c>
    </row>
    <row r="866">
      <c r="A866" s="75" t="s">
        <v>2070</v>
      </c>
      <c r="B866" s="75">
        <v>49.0</v>
      </c>
      <c r="C866" s="75" t="s">
        <v>2002</v>
      </c>
      <c r="D866" s="76" t="s">
        <v>2021</v>
      </c>
      <c r="E866" s="53" t="s">
        <v>885</v>
      </c>
      <c r="F866" s="54"/>
      <c r="G866" s="83"/>
      <c r="DN866" s="91">
        <v>1.0</v>
      </c>
    </row>
    <row r="867">
      <c r="A867" s="3" t="s">
        <v>2071</v>
      </c>
      <c r="B867" s="3">
        <v>54.0</v>
      </c>
      <c r="C867" s="75" t="s">
        <v>2002</v>
      </c>
      <c r="D867" s="76" t="s">
        <v>2055</v>
      </c>
      <c r="E867" s="53" t="s">
        <v>885</v>
      </c>
      <c r="G867" s="7"/>
      <c r="DN867" s="91">
        <v>1.0</v>
      </c>
    </row>
    <row r="868">
      <c r="A868" s="75" t="s">
        <v>2072</v>
      </c>
      <c r="B868" s="75">
        <v>52.0</v>
      </c>
      <c r="C868" s="75" t="s">
        <v>2002</v>
      </c>
      <c r="D868" s="76" t="s">
        <v>2013</v>
      </c>
      <c r="E868" s="53" t="s">
        <v>885</v>
      </c>
      <c r="F868" s="54"/>
      <c r="G868" s="55"/>
      <c r="DN868" s="91">
        <v>1.0</v>
      </c>
    </row>
    <row r="869">
      <c r="A869" s="75" t="s">
        <v>2073</v>
      </c>
      <c r="B869" s="75">
        <v>52.0</v>
      </c>
      <c r="C869" s="75" t="s">
        <v>2002</v>
      </c>
      <c r="D869" s="76" t="s">
        <v>2019</v>
      </c>
      <c r="E869" s="53"/>
      <c r="F869" s="54"/>
      <c r="G869" s="55"/>
      <c r="DN869" s="91">
        <v>1.0</v>
      </c>
    </row>
    <row r="870">
      <c r="A870" s="75" t="s">
        <v>2074</v>
      </c>
      <c r="B870" s="75">
        <v>53.0</v>
      </c>
      <c r="C870" s="75" t="s">
        <v>2002</v>
      </c>
      <c r="D870" s="76" t="s">
        <v>2075</v>
      </c>
      <c r="E870" s="53" t="s">
        <v>885</v>
      </c>
      <c r="F870" s="54"/>
      <c r="G870" s="83"/>
      <c r="DN870" s="91">
        <v>2.0</v>
      </c>
    </row>
    <row r="871">
      <c r="A871" s="75" t="s">
        <v>2076</v>
      </c>
      <c r="B871" s="75">
        <v>53.0</v>
      </c>
      <c r="C871" s="75" t="s">
        <v>2002</v>
      </c>
      <c r="D871" s="76" t="s">
        <v>2005</v>
      </c>
      <c r="E871" s="53" t="s">
        <v>885</v>
      </c>
      <c r="F871" s="54"/>
      <c r="G871" s="83"/>
      <c r="DN871" s="91">
        <v>2.0</v>
      </c>
    </row>
    <row r="872">
      <c r="A872" s="75" t="s">
        <v>2077</v>
      </c>
      <c r="B872" s="75">
        <v>58.0</v>
      </c>
      <c r="C872" s="75" t="s">
        <v>2002</v>
      </c>
      <c r="D872" s="76" t="s">
        <v>2030</v>
      </c>
      <c r="E872" s="53" t="s">
        <v>885</v>
      </c>
      <c r="F872" s="54"/>
      <c r="G872" s="83">
        <v>5490.0</v>
      </c>
      <c r="DN872" s="91">
        <v>1.0</v>
      </c>
    </row>
    <row r="873">
      <c r="A873" s="75" t="s">
        <v>2078</v>
      </c>
      <c r="B873" s="75">
        <v>58.0</v>
      </c>
      <c r="C873" s="75" t="s">
        <v>2002</v>
      </c>
      <c r="D873" s="76" t="s">
        <v>2030</v>
      </c>
      <c r="E873" s="53" t="s">
        <v>885</v>
      </c>
      <c r="G873" s="7"/>
      <c r="DN873" s="91">
        <v>1.0</v>
      </c>
    </row>
    <row r="874">
      <c r="A874" s="75" t="s">
        <v>2079</v>
      </c>
      <c r="B874" s="75">
        <v>50.0</v>
      </c>
      <c r="C874" s="75" t="s">
        <v>2002</v>
      </c>
      <c r="D874" s="76" t="s">
        <v>2003</v>
      </c>
      <c r="E874" s="53" t="s">
        <v>885</v>
      </c>
      <c r="F874" s="54"/>
      <c r="G874" s="83">
        <v>11000.0</v>
      </c>
      <c r="DN874" s="91">
        <v>1.0</v>
      </c>
    </row>
    <row r="875">
      <c r="A875" s="75" t="s">
        <v>2080</v>
      </c>
      <c r="B875" s="75">
        <v>50.0</v>
      </c>
      <c r="C875" s="75" t="s">
        <v>2002</v>
      </c>
      <c r="D875" s="76" t="s">
        <v>2003</v>
      </c>
      <c r="E875" s="53" t="s">
        <v>885</v>
      </c>
      <c r="F875" s="54"/>
      <c r="G875" s="55"/>
      <c r="DN875" s="91">
        <v>1.0</v>
      </c>
    </row>
    <row r="876">
      <c r="A876" s="75" t="s">
        <v>2081</v>
      </c>
      <c r="B876" s="75">
        <v>53.0</v>
      </c>
      <c r="C876" s="75" t="s">
        <v>2002</v>
      </c>
      <c r="D876" s="76" t="s">
        <v>2055</v>
      </c>
      <c r="E876" s="53" t="s">
        <v>885</v>
      </c>
      <c r="F876" s="54"/>
      <c r="G876" s="83"/>
      <c r="DN876" s="91">
        <v>1.0</v>
      </c>
    </row>
    <row r="877">
      <c r="A877" s="75" t="s">
        <v>2082</v>
      </c>
      <c r="B877" s="75"/>
      <c r="C877" s="75" t="s">
        <v>2083</v>
      </c>
      <c r="D877" s="76" t="s">
        <v>1004</v>
      </c>
      <c r="E877" s="53" t="s">
        <v>885</v>
      </c>
      <c r="F877" s="54"/>
      <c r="G877" s="83">
        <v>3295.0</v>
      </c>
      <c r="DN877" s="91">
        <v>1.0</v>
      </c>
    </row>
    <row r="878">
      <c r="A878" s="75" t="s">
        <v>2084</v>
      </c>
      <c r="B878" s="75">
        <v>52.0</v>
      </c>
      <c r="C878" s="75" t="s">
        <v>2085</v>
      </c>
      <c r="D878" s="76" t="s">
        <v>867</v>
      </c>
      <c r="E878" s="53" t="s">
        <v>932</v>
      </c>
      <c r="F878" s="76" t="s">
        <v>2086</v>
      </c>
      <c r="G878" s="83">
        <v>11500.0</v>
      </c>
      <c r="DN878" s="92">
        <v>0.0</v>
      </c>
    </row>
    <row r="879">
      <c r="A879" s="75" t="s">
        <v>2087</v>
      </c>
      <c r="B879" s="75">
        <v>52.0</v>
      </c>
      <c r="C879" s="75" t="s">
        <v>2085</v>
      </c>
      <c r="D879" s="76" t="s">
        <v>1686</v>
      </c>
      <c r="E879" s="53" t="s">
        <v>932</v>
      </c>
      <c r="F879" s="54"/>
      <c r="G879" s="55"/>
      <c r="DN879" s="91">
        <v>1.0</v>
      </c>
    </row>
    <row r="880">
      <c r="A880" s="75" t="s">
        <v>2088</v>
      </c>
      <c r="B880" s="75">
        <v>53.0</v>
      </c>
      <c r="C880" s="75" t="s">
        <v>2085</v>
      </c>
      <c r="D880" s="76" t="s">
        <v>1686</v>
      </c>
      <c r="E880" s="53" t="s">
        <v>932</v>
      </c>
      <c r="F880" s="54"/>
      <c r="G880" s="55"/>
      <c r="DN880" s="91">
        <v>1.0</v>
      </c>
    </row>
    <row r="881">
      <c r="A881" s="75" t="s">
        <v>2089</v>
      </c>
      <c r="B881" s="75">
        <v>58.0</v>
      </c>
      <c r="C881" s="75" t="s">
        <v>2085</v>
      </c>
      <c r="D881" s="76" t="s">
        <v>2058</v>
      </c>
      <c r="E881" s="53" t="s">
        <v>885</v>
      </c>
      <c r="F881" s="54"/>
      <c r="G881" s="55">
        <v>13500.0</v>
      </c>
      <c r="DN881" s="91">
        <v>1.0</v>
      </c>
    </row>
    <row r="882">
      <c r="A882" s="75" t="s">
        <v>2090</v>
      </c>
      <c r="B882" s="75"/>
      <c r="C882" s="75" t="s">
        <v>2091</v>
      </c>
      <c r="D882" s="76" t="s">
        <v>2092</v>
      </c>
      <c r="E882" s="53" t="s">
        <v>932</v>
      </c>
      <c r="F882" s="54"/>
      <c r="G882" s="83">
        <v>200.0</v>
      </c>
      <c r="DN882" s="92">
        <v>27.0</v>
      </c>
    </row>
    <row r="883">
      <c r="A883" s="75" t="s">
        <v>2093</v>
      </c>
      <c r="B883" s="75">
        <v>58.0</v>
      </c>
      <c r="C883" s="75" t="s">
        <v>2094</v>
      </c>
      <c r="D883" s="76" t="s">
        <v>1483</v>
      </c>
      <c r="E883" s="53" t="s">
        <v>885</v>
      </c>
      <c r="F883" s="76"/>
      <c r="G883" s="83"/>
      <c r="DN883" s="91">
        <v>1.0</v>
      </c>
    </row>
    <row r="884">
      <c r="A884" s="75" t="s">
        <v>2095</v>
      </c>
      <c r="B884" s="75">
        <v>59.0</v>
      </c>
      <c r="C884" s="75" t="s">
        <v>2094</v>
      </c>
      <c r="D884" s="76" t="s">
        <v>1668</v>
      </c>
      <c r="E884" s="53" t="s">
        <v>885</v>
      </c>
      <c r="F884" s="76"/>
      <c r="G884" s="83" t="s">
        <v>2096</v>
      </c>
      <c r="DN884" s="91">
        <v>1.0</v>
      </c>
    </row>
    <row r="885">
      <c r="A885" s="75" t="s">
        <v>2097</v>
      </c>
      <c r="B885" s="75">
        <v>54.0</v>
      </c>
      <c r="C885" s="75" t="s">
        <v>2094</v>
      </c>
      <c r="D885" s="76" t="s">
        <v>2098</v>
      </c>
      <c r="E885" s="53" t="s">
        <v>932</v>
      </c>
      <c r="F885" s="54"/>
      <c r="G885" s="83">
        <v>4590.0</v>
      </c>
      <c r="DN885" s="91">
        <v>1.0</v>
      </c>
    </row>
    <row r="886">
      <c r="A886" s="75" t="s">
        <v>2099</v>
      </c>
      <c r="B886" s="75">
        <v>52.0</v>
      </c>
      <c r="C886" s="75" t="s">
        <v>2094</v>
      </c>
      <c r="D886" s="76" t="s">
        <v>2100</v>
      </c>
      <c r="E886" s="53" t="s">
        <v>932</v>
      </c>
      <c r="F886" s="54"/>
      <c r="G886" s="83">
        <v>4590.0</v>
      </c>
      <c r="DN886" s="91">
        <v>1.0</v>
      </c>
    </row>
    <row r="887">
      <c r="A887" s="109" t="s">
        <v>2101</v>
      </c>
      <c r="B887" s="109">
        <v>53.0</v>
      </c>
      <c r="C887" s="75" t="s">
        <v>2094</v>
      </c>
      <c r="D887" s="76" t="s">
        <v>2102</v>
      </c>
      <c r="E887" s="53" t="s">
        <v>932</v>
      </c>
      <c r="F887" s="54"/>
      <c r="G887" s="83">
        <v>3990.0</v>
      </c>
      <c r="DN887" s="91">
        <v>1.0</v>
      </c>
    </row>
    <row r="888">
      <c r="A888" s="75" t="s">
        <v>2103</v>
      </c>
      <c r="B888" s="75">
        <v>58.0</v>
      </c>
      <c r="C888" s="75" t="s">
        <v>2094</v>
      </c>
      <c r="D888" s="76" t="s">
        <v>1668</v>
      </c>
      <c r="E888" s="53" t="s">
        <v>885</v>
      </c>
      <c r="F888" s="54"/>
      <c r="G888" s="83">
        <v>5990.0</v>
      </c>
      <c r="DN888" s="92">
        <v>1.0</v>
      </c>
    </row>
    <row r="889">
      <c r="A889" s="75" t="s">
        <v>2104</v>
      </c>
      <c r="B889" s="75">
        <v>53.0</v>
      </c>
      <c r="C889" s="75" t="s">
        <v>2094</v>
      </c>
      <c r="D889" s="76" t="s">
        <v>1686</v>
      </c>
      <c r="E889" s="53" t="s">
        <v>932</v>
      </c>
      <c r="F889" s="54"/>
      <c r="G889" s="83">
        <v>4590.0</v>
      </c>
      <c r="DN889" s="92">
        <v>1.0</v>
      </c>
    </row>
    <row r="890">
      <c r="A890" s="75" t="s">
        <v>2105</v>
      </c>
      <c r="B890" s="75">
        <v>50.0</v>
      </c>
      <c r="C890" s="75" t="s">
        <v>2094</v>
      </c>
      <c r="D890" s="76" t="s">
        <v>2106</v>
      </c>
      <c r="E890" s="53" t="s">
        <v>932</v>
      </c>
      <c r="F890" s="54"/>
      <c r="G890" s="83">
        <v>3990.0</v>
      </c>
      <c r="DN890" s="91">
        <v>1.0</v>
      </c>
    </row>
    <row r="891">
      <c r="A891" s="75" t="s">
        <v>2107</v>
      </c>
      <c r="B891" s="75"/>
      <c r="C891" s="75" t="s">
        <v>2094</v>
      </c>
      <c r="D891" s="76" t="s">
        <v>1898</v>
      </c>
      <c r="E891" s="53" t="s">
        <v>932</v>
      </c>
      <c r="F891" s="54"/>
      <c r="G891" s="55"/>
      <c r="DN891" s="92">
        <v>1.0</v>
      </c>
    </row>
    <row r="892">
      <c r="A892" s="75" t="s">
        <v>2108</v>
      </c>
      <c r="B892" s="75">
        <v>51.0</v>
      </c>
      <c r="C892" s="75" t="s">
        <v>2094</v>
      </c>
      <c r="D892" s="76" t="s">
        <v>2098</v>
      </c>
      <c r="E892" s="53" t="s">
        <v>932</v>
      </c>
      <c r="F892" s="54"/>
      <c r="G892" s="55">
        <v>4590.0</v>
      </c>
      <c r="DN892" s="92">
        <v>1.0</v>
      </c>
    </row>
    <row r="893">
      <c r="A893" s="109" t="s">
        <v>2109</v>
      </c>
      <c r="B893" s="109">
        <v>53.0</v>
      </c>
      <c r="C893" s="75" t="s">
        <v>2094</v>
      </c>
      <c r="D893" s="76" t="s">
        <v>2098</v>
      </c>
      <c r="E893" s="53" t="s">
        <v>932</v>
      </c>
      <c r="F893" s="54"/>
      <c r="G893" s="83">
        <v>4590.0</v>
      </c>
      <c r="DN893" s="91">
        <v>1.0</v>
      </c>
    </row>
    <row r="894">
      <c r="A894" s="75" t="s">
        <v>2110</v>
      </c>
      <c r="B894" s="75">
        <v>58.0</v>
      </c>
      <c r="C894" s="75" t="s">
        <v>2094</v>
      </c>
      <c r="D894" s="76" t="s">
        <v>1265</v>
      </c>
      <c r="E894" s="53" t="s">
        <v>885</v>
      </c>
      <c r="F894" s="76" t="s">
        <v>1229</v>
      </c>
      <c r="G894" s="55"/>
      <c r="DN894" s="91">
        <v>1.0</v>
      </c>
    </row>
    <row r="895">
      <c r="A895" s="75" t="s">
        <v>2111</v>
      </c>
      <c r="B895" s="75">
        <v>56.0</v>
      </c>
      <c r="C895" s="75" t="s">
        <v>2094</v>
      </c>
      <c r="D895" s="76" t="s">
        <v>1668</v>
      </c>
      <c r="E895" s="53" t="s">
        <v>885</v>
      </c>
      <c r="F895" s="54"/>
      <c r="G895" s="83">
        <v>4590.0</v>
      </c>
      <c r="DN895" s="91">
        <v>1.0</v>
      </c>
    </row>
    <row r="896">
      <c r="A896" s="109" t="s">
        <v>2112</v>
      </c>
      <c r="B896" s="109">
        <v>52.0</v>
      </c>
      <c r="C896" s="75" t="s">
        <v>2094</v>
      </c>
      <c r="D896" s="76" t="s">
        <v>2113</v>
      </c>
      <c r="E896" s="53" t="s">
        <v>932</v>
      </c>
      <c r="F896" s="54"/>
      <c r="G896" s="83">
        <v>4990.0</v>
      </c>
      <c r="DN896" s="91">
        <v>1.0</v>
      </c>
    </row>
    <row r="897">
      <c r="A897" s="109" t="s">
        <v>2114</v>
      </c>
      <c r="B897" s="109">
        <v>55.0</v>
      </c>
      <c r="C897" s="75" t="s">
        <v>2094</v>
      </c>
      <c r="D897" s="76" t="s">
        <v>2098</v>
      </c>
      <c r="E897" s="53"/>
      <c r="F897" s="54"/>
      <c r="G897" s="83">
        <v>4590.0</v>
      </c>
      <c r="DN897" s="92">
        <v>1.0</v>
      </c>
    </row>
    <row r="898">
      <c r="A898" s="109" t="s">
        <v>2115</v>
      </c>
      <c r="B898" s="109">
        <v>53.0</v>
      </c>
      <c r="C898" s="75" t="s">
        <v>2094</v>
      </c>
      <c r="D898" s="76" t="s">
        <v>2116</v>
      </c>
      <c r="E898" s="53" t="s">
        <v>932</v>
      </c>
      <c r="F898" s="54"/>
      <c r="G898" s="83">
        <v>4590.0</v>
      </c>
      <c r="DN898" s="91">
        <v>1.0</v>
      </c>
    </row>
    <row r="899">
      <c r="A899" s="109" t="s">
        <v>2117</v>
      </c>
      <c r="B899" s="109">
        <v>52.0</v>
      </c>
      <c r="C899" s="75" t="s">
        <v>2094</v>
      </c>
      <c r="D899" s="76" t="s">
        <v>1689</v>
      </c>
      <c r="E899" s="53" t="s">
        <v>885</v>
      </c>
      <c r="F899" s="54"/>
      <c r="G899" s="83">
        <v>4290.0</v>
      </c>
      <c r="DN899" s="92">
        <v>1.0</v>
      </c>
    </row>
    <row r="900">
      <c r="A900" s="109" t="s">
        <v>2118</v>
      </c>
      <c r="B900" s="109">
        <v>53.0</v>
      </c>
      <c r="C900" s="75" t="s">
        <v>2094</v>
      </c>
      <c r="D900" s="76" t="s">
        <v>2119</v>
      </c>
      <c r="E900" s="53" t="s">
        <v>932</v>
      </c>
      <c r="F900" s="54"/>
      <c r="G900" s="83">
        <v>4990.0</v>
      </c>
      <c r="DN900" s="91">
        <v>2.0</v>
      </c>
    </row>
    <row r="901">
      <c r="A901" s="75" t="s">
        <v>2120</v>
      </c>
      <c r="B901" s="75">
        <v>56.0</v>
      </c>
      <c r="C901" s="75" t="s">
        <v>2094</v>
      </c>
      <c r="D901" s="76" t="s">
        <v>2121</v>
      </c>
      <c r="E901" s="53" t="s">
        <v>885</v>
      </c>
      <c r="F901" s="54"/>
      <c r="G901" s="83">
        <v>6690.0</v>
      </c>
      <c r="DN901" s="91">
        <v>3.0</v>
      </c>
    </row>
    <row r="902">
      <c r="A902" s="109" t="s">
        <v>2122</v>
      </c>
      <c r="B902" s="109">
        <v>54.0</v>
      </c>
      <c r="C902" s="121" t="s">
        <v>2094</v>
      </c>
      <c r="D902" s="76" t="s">
        <v>2123</v>
      </c>
      <c r="E902" s="53" t="s">
        <v>885</v>
      </c>
      <c r="F902" s="54"/>
      <c r="G902" s="83">
        <v>4990.0</v>
      </c>
      <c r="DN902" s="91">
        <v>2.0</v>
      </c>
    </row>
    <row r="903">
      <c r="A903" s="109" t="s">
        <v>2124</v>
      </c>
      <c r="B903" s="109">
        <v>54.0</v>
      </c>
      <c r="C903" s="75" t="s">
        <v>2094</v>
      </c>
      <c r="D903" s="76" t="s">
        <v>2125</v>
      </c>
      <c r="E903" s="53" t="s">
        <v>885</v>
      </c>
      <c r="F903" s="54"/>
      <c r="G903" s="83">
        <v>4990.0</v>
      </c>
      <c r="DN903" s="92">
        <v>1.0</v>
      </c>
    </row>
    <row r="904">
      <c r="A904" s="109" t="s">
        <v>2126</v>
      </c>
      <c r="B904" s="109">
        <v>51.0</v>
      </c>
      <c r="C904" s="75" t="s">
        <v>2094</v>
      </c>
      <c r="D904" s="76" t="s">
        <v>2127</v>
      </c>
      <c r="E904" s="53" t="s">
        <v>932</v>
      </c>
      <c r="F904" s="54"/>
      <c r="G904" s="83">
        <v>3790.0</v>
      </c>
      <c r="DN904" s="91">
        <v>3.0</v>
      </c>
    </row>
    <row r="905">
      <c r="A905" s="109" t="s">
        <v>2128</v>
      </c>
      <c r="B905" s="109">
        <v>53.0</v>
      </c>
      <c r="C905" s="75" t="s">
        <v>2094</v>
      </c>
      <c r="D905" s="76" t="s">
        <v>2098</v>
      </c>
      <c r="E905" s="53" t="s">
        <v>932</v>
      </c>
      <c r="F905" s="54"/>
      <c r="G905" s="83">
        <v>4990.0</v>
      </c>
      <c r="DN905" s="92">
        <v>1.0</v>
      </c>
    </row>
    <row r="906">
      <c r="A906" s="109" t="s">
        <v>2129</v>
      </c>
      <c r="B906" s="109">
        <v>52.0</v>
      </c>
      <c r="C906" s="75" t="s">
        <v>2094</v>
      </c>
      <c r="D906" s="76" t="s">
        <v>2130</v>
      </c>
      <c r="E906" s="53" t="s">
        <v>932</v>
      </c>
      <c r="F906" s="54"/>
      <c r="G906" s="83">
        <v>3790.0</v>
      </c>
      <c r="DN906" s="92">
        <v>6.0</v>
      </c>
    </row>
    <row r="907">
      <c r="A907" s="109" t="s">
        <v>2131</v>
      </c>
      <c r="B907" s="109">
        <v>52.0</v>
      </c>
      <c r="C907" s="75" t="s">
        <v>2094</v>
      </c>
      <c r="D907" s="76" t="s">
        <v>2132</v>
      </c>
      <c r="E907" s="53" t="s">
        <v>932</v>
      </c>
      <c r="F907" s="76" t="s">
        <v>2133</v>
      </c>
      <c r="G907" s="83">
        <v>3790.0</v>
      </c>
      <c r="DN907" s="92">
        <v>4.0</v>
      </c>
    </row>
    <row r="908">
      <c r="A908" s="109" t="s">
        <v>2134</v>
      </c>
      <c r="B908" s="109">
        <v>53.0</v>
      </c>
      <c r="C908" s="75" t="s">
        <v>2094</v>
      </c>
      <c r="D908" s="76" t="s">
        <v>2123</v>
      </c>
      <c r="E908" s="53" t="s">
        <v>885</v>
      </c>
      <c r="F908" s="54"/>
      <c r="G908" s="83">
        <v>4290.0</v>
      </c>
      <c r="DN908" s="91">
        <v>2.0</v>
      </c>
    </row>
    <row r="909">
      <c r="A909" s="109" t="s">
        <v>2135</v>
      </c>
      <c r="B909" s="109">
        <v>53.0</v>
      </c>
      <c r="C909" s="75" t="s">
        <v>2094</v>
      </c>
      <c r="D909" s="76" t="s">
        <v>1668</v>
      </c>
      <c r="E909" s="53" t="s">
        <v>885</v>
      </c>
      <c r="F909" s="54"/>
      <c r="G909" s="83">
        <v>4290.0</v>
      </c>
      <c r="DN909" s="91">
        <v>1.0</v>
      </c>
    </row>
    <row r="910">
      <c r="A910" s="109" t="s">
        <v>2136</v>
      </c>
      <c r="B910" s="109">
        <v>53.0</v>
      </c>
      <c r="C910" s="75" t="s">
        <v>2094</v>
      </c>
      <c r="D910" s="76" t="s">
        <v>2123</v>
      </c>
      <c r="E910" s="53" t="s">
        <v>885</v>
      </c>
      <c r="F910" s="54"/>
      <c r="G910" s="83">
        <v>4290.0</v>
      </c>
      <c r="DN910" s="91">
        <v>2.0</v>
      </c>
    </row>
    <row r="911">
      <c r="A911" s="75" t="s">
        <v>2137</v>
      </c>
      <c r="B911" s="75">
        <v>58.0</v>
      </c>
      <c r="C911" s="75" t="s">
        <v>2094</v>
      </c>
      <c r="D911" s="76" t="s">
        <v>2125</v>
      </c>
      <c r="E911" s="53"/>
      <c r="F911" s="54"/>
      <c r="G911" s="83">
        <v>4990.0</v>
      </c>
      <c r="DN911" s="91">
        <v>1.0</v>
      </c>
    </row>
    <row r="912">
      <c r="A912" s="75" t="s">
        <v>2138</v>
      </c>
      <c r="B912" s="75">
        <v>51.0</v>
      </c>
      <c r="C912" s="75" t="s">
        <v>2094</v>
      </c>
      <c r="D912" s="76" t="s">
        <v>2116</v>
      </c>
      <c r="E912" s="53" t="s">
        <v>932</v>
      </c>
      <c r="F912" s="54"/>
      <c r="G912" s="83">
        <v>3590.0</v>
      </c>
      <c r="DN912" s="91">
        <v>1.0</v>
      </c>
    </row>
    <row r="913">
      <c r="A913" s="109" t="s">
        <v>2139</v>
      </c>
      <c r="B913" s="109">
        <v>51.0</v>
      </c>
      <c r="C913" s="75" t="s">
        <v>2094</v>
      </c>
      <c r="D913" s="76" t="s">
        <v>2119</v>
      </c>
      <c r="E913" s="53" t="s">
        <v>932</v>
      </c>
      <c r="F913" s="54"/>
      <c r="G913" s="83">
        <v>3390.0</v>
      </c>
      <c r="DN913" s="91">
        <v>2.0</v>
      </c>
    </row>
    <row r="914">
      <c r="A914" s="109" t="s">
        <v>2140</v>
      </c>
      <c r="B914" s="109">
        <v>53.0</v>
      </c>
      <c r="C914" s="75" t="s">
        <v>2094</v>
      </c>
      <c r="D914" s="76" t="s">
        <v>2141</v>
      </c>
      <c r="E914" s="53" t="s">
        <v>932</v>
      </c>
      <c r="F914" s="54"/>
      <c r="G914" s="83">
        <v>3390.0</v>
      </c>
      <c r="DN914" s="91">
        <v>4.0</v>
      </c>
    </row>
    <row r="915">
      <c r="A915" s="75" t="s">
        <v>2142</v>
      </c>
      <c r="B915" s="75">
        <v>53.0</v>
      </c>
      <c r="C915" s="75" t="s">
        <v>2094</v>
      </c>
      <c r="D915" s="76" t="s">
        <v>2098</v>
      </c>
      <c r="E915" s="53" t="s">
        <v>932</v>
      </c>
      <c r="F915" s="54"/>
      <c r="G915" s="83">
        <v>3490.0</v>
      </c>
      <c r="DN915" s="91">
        <v>1.0</v>
      </c>
    </row>
    <row r="916">
      <c r="A916" s="75" t="s">
        <v>2143</v>
      </c>
      <c r="B916" s="75">
        <v>51.0</v>
      </c>
      <c r="C916" s="75" t="s">
        <v>2094</v>
      </c>
      <c r="D916" s="76" t="s">
        <v>2144</v>
      </c>
      <c r="E916" s="53" t="s">
        <v>932</v>
      </c>
      <c r="F916" s="54"/>
      <c r="G916" s="83">
        <v>3390.0</v>
      </c>
      <c r="DN916" s="91">
        <v>2.0</v>
      </c>
    </row>
    <row r="917">
      <c r="A917" s="109" t="s">
        <v>2145</v>
      </c>
      <c r="B917" s="109">
        <v>54.0</v>
      </c>
      <c r="C917" s="75" t="s">
        <v>2094</v>
      </c>
      <c r="D917" s="76" t="s">
        <v>2116</v>
      </c>
      <c r="E917" s="53" t="s">
        <v>932</v>
      </c>
      <c r="F917" s="54"/>
      <c r="G917" s="83">
        <v>4990.0</v>
      </c>
      <c r="DN917" s="91">
        <v>1.0</v>
      </c>
    </row>
    <row r="918">
      <c r="A918" s="75" t="s">
        <v>2146</v>
      </c>
      <c r="B918" s="75">
        <v>51.0</v>
      </c>
      <c r="C918" s="75" t="s">
        <v>2094</v>
      </c>
      <c r="D918" s="76" t="s">
        <v>2098</v>
      </c>
      <c r="E918" s="53" t="s">
        <v>932</v>
      </c>
      <c r="F918" s="54"/>
      <c r="G918" s="83">
        <v>4990.0</v>
      </c>
      <c r="DN918" s="92">
        <v>1.0</v>
      </c>
    </row>
    <row r="919">
      <c r="A919" s="109" t="s">
        <v>2147</v>
      </c>
      <c r="B919" s="109">
        <v>58.0</v>
      </c>
      <c r="C919" s="75" t="s">
        <v>2094</v>
      </c>
      <c r="D919" s="76" t="s">
        <v>2148</v>
      </c>
      <c r="E919" s="53" t="s">
        <v>885</v>
      </c>
      <c r="F919" s="54"/>
      <c r="G919" s="83">
        <v>4790.0</v>
      </c>
      <c r="DN919" s="91">
        <v>3.0</v>
      </c>
    </row>
    <row r="920">
      <c r="A920" s="109" t="s">
        <v>2149</v>
      </c>
      <c r="B920" s="109">
        <v>58.0</v>
      </c>
      <c r="C920" s="75" t="s">
        <v>2094</v>
      </c>
      <c r="D920" s="76" t="s">
        <v>1668</v>
      </c>
      <c r="E920" s="53" t="s">
        <v>885</v>
      </c>
      <c r="F920" s="54"/>
      <c r="G920" s="83">
        <v>4790.0</v>
      </c>
      <c r="DN920" s="91">
        <v>1.0</v>
      </c>
    </row>
    <row r="921">
      <c r="A921" s="109" t="s">
        <v>2150</v>
      </c>
      <c r="B921" s="109">
        <v>58.0</v>
      </c>
      <c r="C921" s="75" t="s">
        <v>2094</v>
      </c>
      <c r="D921" s="76" t="s">
        <v>2125</v>
      </c>
      <c r="E921" s="53" t="s">
        <v>885</v>
      </c>
      <c r="F921" s="54"/>
      <c r="G921" s="83">
        <v>5290.0</v>
      </c>
      <c r="DN921" s="91">
        <v>1.0</v>
      </c>
    </row>
    <row r="922">
      <c r="A922" s="109" t="s">
        <v>2151</v>
      </c>
      <c r="B922" s="109">
        <v>56.0</v>
      </c>
      <c r="C922" s="75" t="s">
        <v>2094</v>
      </c>
      <c r="D922" s="76" t="s">
        <v>2152</v>
      </c>
      <c r="E922" s="53" t="s">
        <v>885</v>
      </c>
      <c r="F922" s="54"/>
      <c r="G922" s="83">
        <v>4990.0</v>
      </c>
      <c r="DN922" s="91">
        <v>1.0</v>
      </c>
    </row>
    <row r="923">
      <c r="A923" s="75" t="s">
        <v>2153</v>
      </c>
      <c r="B923" s="75">
        <v>55.0</v>
      </c>
      <c r="C923" s="75" t="s">
        <v>2094</v>
      </c>
      <c r="D923" s="76" t="s">
        <v>2125</v>
      </c>
      <c r="E923" s="53" t="s">
        <v>885</v>
      </c>
      <c r="F923" s="54"/>
      <c r="G923" s="83">
        <v>7990.0</v>
      </c>
      <c r="DN923" s="91">
        <v>1.0</v>
      </c>
    </row>
    <row r="924">
      <c r="A924" s="109" t="s">
        <v>2154</v>
      </c>
      <c r="B924" s="109">
        <v>55.0</v>
      </c>
      <c r="C924" s="75" t="s">
        <v>2094</v>
      </c>
      <c r="D924" s="76" t="s">
        <v>2155</v>
      </c>
      <c r="E924" s="53" t="s">
        <v>885</v>
      </c>
      <c r="F924" s="54"/>
      <c r="G924" s="83">
        <v>4990.0</v>
      </c>
      <c r="DN924" s="91">
        <v>2.0</v>
      </c>
    </row>
    <row r="925">
      <c r="A925" s="75" t="s">
        <v>2156</v>
      </c>
      <c r="B925" s="75">
        <v>55.0</v>
      </c>
      <c r="C925" s="75" t="s">
        <v>2094</v>
      </c>
      <c r="D925" s="76" t="s">
        <v>2125</v>
      </c>
      <c r="E925" s="53" t="s">
        <v>885</v>
      </c>
      <c r="F925" s="54"/>
      <c r="G925" s="83">
        <v>6690.0</v>
      </c>
      <c r="DN925" s="91">
        <v>1.0</v>
      </c>
    </row>
    <row r="926">
      <c r="A926" s="75" t="s">
        <v>2157</v>
      </c>
      <c r="B926" s="75">
        <v>51.0</v>
      </c>
      <c r="C926" s="75" t="s">
        <v>2094</v>
      </c>
      <c r="D926" s="76" t="s">
        <v>2098</v>
      </c>
      <c r="E926" s="53" t="s">
        <v>932</v>
      </c>
      <c r="F926" s="54"/>
      <c r="G926" s="83">
        <v>3790.0</v>
      </c>
      <c r="DN926" s="91">
        <v>1.0</v>
      </c>
    </row>
    <row r="927">
      <c r="A927" s="75" t="s">
        <v>2158</v>
      </c>
      <c r="B927" s="75">
        <v>53.0</v>
      </c>
      <c r="C927" s="75" t="s">
        <v>2094</v>
      </c>
      <c r="D927" s="76" t="s">
        <v>2098</v>
      </c>
      <c r="E927" s="53" t="s">
        <v>932</v>
      </c>
      <c r="F927" s="54"/>
      <c r="G927" s="83">
        <v>3490.0</v>
      </c>
      <c r="DN927" s="92">
        <v>1.0</v>
      </c>
    </row>
    <row r="928">
      <c r="A928" s="75" t="s">
        <v>2159</v>
      </c>
      <c r="B928" s="75">
        <v>54.0</v>
      </c>
      <c r="C928" s="75" t="s">
        <v>2094</v>
      </c>
      <c r="D928" s="76" t="s">
        <v>2160</v>
      </c>
      <c r="E928" s="53" t="s">
        <v>932</v>
      </c>
      <c r="F928" s="54"/>
      <c r="G928" s="83">
        <v>4290.0</v>
      </c>
      <c r="DN928" s="91">
        <v>2.0</v>
      </c>
    </row>
    <row r="929">
      <c r="A929" s="75" t="s">
        <v>2161</v>
      </c>
      <c r="B929" s="75">
        <v>53.0</v>
      </c>
      <c r="C929" s="75" t="s">
        <v>2094</v>
      </c>
      <c r="D929" s="76" t="s">
        <v>876</v>
      </c>
      <c r="E929" s="53" t="s">
        <v>932</v>
      </c>
      <c r="F929" s="54"/>
      <c r="G929" s="83">
        <v>4990.0</v>
      </c>
      <c r="DN929" s="91">
        <v>1.0</v>
      </c>
    </row>
    <row r="930">
      <c r="A930" s="75" t="s">
        <v>2162</v>
      </c>
      <c r="B930" s="75">
        <v>52.0</v>
      </c>
      <c r="C930" s="75" t="s">
        <v>2094</v>
      </c>
      <c r="D930" s="76" t="s">
        <v>2100</v>
      </c>
      <c r="E930" s="53" t="s">
        <v>932</v>
      </c>
      <c r="F930" s="54"/>
      <c r="G930" s="83">
        <v>4990.0</v>
      </c>
      <c r="DN930" s="91">
        <v>1.0</v>
      </c>
    </row>
    <row r="931">
      <c r="A931" s="75" t="s">
        <v>2163</v>
      </c>
      <c r="B931" s="75">
        <v>57.0</v>
      </c>
      <c r="C931" s="75" t="s">
        <v>2094</v>
      </c>
      <c r="D931" s="76" t="s">
        <v>2164</v>
      </c>
      <c r="E931" s="53" t="s">
        <v>885</v>
      </c>
      <c r="F931" s="54"/>
      <c r="G931" s="83">
        <v>5490.0</v>
      </c>
      <c r="DN931" s="92">
        <v>5.0</v>
      </c>
    </row>
    <row r="932">
      <c r="A932" s="75" t="s">
        <v>2165</v>
      </c>
      <c r="B932" s="75">
        <v>57.0</v>
      </c>
      <c r="C932" s="75" t="s">
        <v>2094</v>
      </c>
      <c r="D932" s="76" t="s">
        <v>2148</v>
      </c>
      <c r="E932" s="53" t="s">
        <v>885</v>
      </c>
      <c r="F932" s="54"/>
      <c r="G932" s="83">
        <v>5490.0</v>
      </c>
      <c r="DN932" s="91">
        <v>3.0</v>
      </c>
    </row>
    <row r="933">
      <c r="A933" s="75" t="s">
        <v>2166</v>
      </c>
      <c r="B933" s="75">
        <v>54.0</v>
      </c>
      <c r="C933" s="75" t="s">
        <v>2094</v>
      </c>
      <c r="D933" s="76" t="s">
        <v>867</v>
      </c>
      <c r="E933" s="53" t="s">
        <v>874</v>
      </c>
      <c r="F933" s="54"/>
      <c r="G933" s="55">
        <v>5490.0</v>
      </c>
      <c r="DN933" s="92">
        <v>0.0</v>
      </c>
    </row>
    <row r="934">
      <c r="A934" s="109" t="s">
        <v>2167</v>
      </c>
      <c r="B934" s="109">
        <v>50.0</v>
      </c>
      <c r="C934" s="75" t="s">
        <v>2094</v>
      </c>
      <c r="D934" s="95" t="s">
        <v>2168</v>
      </c>
      <c r="E934" s="53" t="s">
        <v>932</v>
      </c>
      <c r="F934" s="54"/>
      <c r="G934" s="83">
        <v>3490.0</v>
      </c>
      <c r="DN934" s="91">
        <v>1.0</v>
      </c>
    </row>
    <row r="935">
      <c r="A935" s="75" t="s">
        <v>2169</v>
      </c>
      <c r="B935" s="75">
        <v>53.0</v>
      </c>
      <c r="C935" s="75" t="s">
        <v>2094</v>
      </c>
      <c r="D935" s="76" t="s">
        <v>2170</v>
      </c>
      <c r="E935" s="53" t="s">
        <v>932</v>
      </c>
      <c r="F935" s="54"/>
      <c r="G935" s="83">
        <v>3290.0</v>
      </c>
      <c r="DN935" s="91">
        <v>3.0</v>
      </c>
    </row>
    <row r="936">
      <c r="A936" s="75" t="s">
        <v>2171</v>
      </c>
      <c r="B936" s="75">
        <v>50.0</v>
      </c>
      <c r="C936" s="75" t="s">
        <v>2094</v>
      </c>
      <c r="D936" s="76" t="s">
        <v>2172</v>
      </c>
      <c r="E936" s="53" t="s">
        <v>932</v>
      </c>
      <c r="F936" s="54"/>
      <c r="G936" s="83">
        <v>3290.0</v>
      </c>
      <c r="DN936" s="91">
        <v>5.0</v>
      </c>
    </row>
    <row r="937">
      <c r="A937" s="109" t="s">
        <v>2173</v>
      </c>
      <c r="B937" s="109">
        <v>50.0</v>
      </c>
      <c r="C937" s="75" t="s">
        <v>2094</v>
      </c>
      <c r="D937" s="76" t="s">
        <v>2174</v>
      </c>
      <c r="E937" s="53" t="s">
        <v>932</v>
      </c>
      <c r="F937" s="54"/>
      <c r="G937" s="83">
        <v>3090.0</v>
      </c>
      <c r="DN937" s="91">
        <v>4.0</v>
      </c>
    </row>
    <row r="938">
      <c r="A938" s="75" t="s">
        <v>2175</v>
      </c>
      <c r="B938" s="75">
        <v>53.0</v>
      </c>
      <c r="C938" s="75" t="s">
        <v>2094</v>
      </c>
      <c r="D938" s="76" t="s">
        <v>2176</v>
      </c>
      <c r="E938" s="53" t="s">
        <v>932</v>
      </c>
      <c r="F938" s="54"/>
      <c r="G938" s="83">
        <v>3390.0</v>
      </c>
      <c r="DN938" s="91">
        <v>1.0</v>
      </c>
    </row>
    <row r="939">
      <c r="A939" s="75" t="s">
        <v>2177</v>
      </c>
      <c r="B939" s="75">
        <v>52.0</v>
      </c>
      <c r="C939" s="75" t="s">
        <v>2094</v>
      </c>
      <c r="D939" s="76" t="s">
        <v>867</v>
      </c>
      <c r="E939" s="53" t="s">
        <v>932</v>
      </c>
      <c r="F939" s="54"/>
      <c r="G939" s="83">
        <v>4290.0</v>
      </c>
      <c r="DN939" s="92">
        <v>0.0</v>
      </c>
    </row>
    <row r="940">
      <c r="A940" s="75" t="s">
        <v>2178</v>
      </c>
      <c r="B940" s="75">
        <v>51.0</v>
      </c>
      <c r="C940" s="75" t="s">
        <v>2094</v>
      </c>
      <c r="D940" s="76" t="s">
        <v>2179</v>
      </c>
      <c r="E940" s="15" t="s">
        <v>932</v>
      </c>
      <c r="F940" s="54"/>
      <c r="G940" s="83">
        <v>3390.0</v>
      </c>
      <c r="DN940" s="91">
        <v>2.0</v>
      </c>
    </row>
    <row r="941">
      <c r="A941" s="75" t="s">
        <v>2180</v>
      </c>
      <c r="B941" s="75">
        <v>51.0</v>
      </c>
      <c r="C941" s="75" t="s">
        <v>2094</v>
      </c>
      <c r="D941" s="76" t="s">
        <v>2181</v>
      </c>
      <c r="E941" s="53" t="s">
        <v>932</v>
      </c>
      <c r="F941" s="54"/>
      <c r="G941" s="83">
        <v>3290.0</v>
      </c>
      <c r="DN941" s="92">
        <v>11.0</v>
      </c>
    </row>
    <row r="942">
      <c r="A942" s="108" t="s">
        <v>2182</v>
      </c>
      <c r="B942" s="108">
        <v>50.0</v>
      </c>
      <c r="C942" s="75" t="s">
        <v>2094</v>
      </c>
      <c r="D942" s="76" t="s">
        <v>2183</v>
      </c>
      <c r="E942" s="53" t="s">
        <v>932</v>
      </c>
      <c r="F942" s="76"/>
      <c r="G942" s="83">
        <v>3390.0</v>
      </c>
      <c r="DN942" s="91">
        <v>1.0</v>
      </c>
    </row>
    <row r="943">
      <c r="A943" s="108" t="s">
        <v>2184</v>
      </c>
      <c r="B943" s="108">
        <v>50.0</v>
      </c>
      <c r="C943" s="75" t="s">
        <v>2094</v>
      </c>
      <c r="D943" s="76" t="s">
        <v>2176</v>
      </c>
      <c r="E943" s="53" t="s">
        <v>932</v>
      </c>
      <c r="F943" s="76"/>
      <c r="G943" s="83">
        <v>3390.0</v>
      </c>
      <c r="DN943" s="92">
        <v>1.0</v>
      </c>
    </row>
    <row r="944">
      <c r="A944" s="108" t="s">
        <v>2185</v>
      </c>
      <c r="B944" s="108">
        <v>52.0</v>
      </c>
      <c r="C944" s="75" t="s">
        <v>2094</v>
      </c>
      <c r="D944" s="76" t="s">
        <v>2186</v>
      </c>
      <c r="E944" s="53" t="s">
        <v>932</v>
      </c>
      <c r="F944" s="76"/>
      <c r="G944" s="83">
        <v>3790.0</v>
      </c>
      <c r="DN944" s="91">
        <v>1.0</v>
      </c>
    </row>
    <row r="945">
      <c r="A945" s="108" t="s">
        <v>2187</v>
      </c>
      <c r="B945" s="108">
        <v>52.0</v>
      </c>
      <c r="C945" s="75" t="s">
        <v>2094</v>
      </c>
      <c r="D945" s="76" t="s">
        <v>2188</v>
      </c>
      <c r="E945" s="53" t="s">
        <v>932</v>
      </c>
      <c r="F945" s="76"/>
      <c r="G945" s="83">
        <v>3790.0</v>
      </c>
      <c r="DN945" s="91">
        <v>2.0</v>
      </c>
    </row>
    <row r="946">
      <c r="A946" s="75" t="s">
        <v>2189</v>
      </c>
      <c r="B946" s="75">
        <v>52.0</v>
      </c>
      <c r="C946" s="75" t="s">
        <v>2094</v>
      </c>
      <c r="D946" s="76" t="s">
        <v>2176</v>
      </c>
      <c r="E946" s="53" t="s">
        <v>932</v>
      </c>
      <c r="F946" s="76"/>
      <c r="G946" s="83">
        <v>4590.0</v>
      </c>
      <c r="DN946" s="91">
        <v>1.0</v>
      </c>
    </row>
    <row r="947">
      <c r="A947" s="75" t="s">
        <v>2190</v>
      </c>
      <c r="B947" s="75">
        <v>54.0</v>
      </c>
      <c r="C947" s="75" t="s">
        <v>2094</v>
      </c>
      <c r="D947" s="76" t="s">
        <v>2176</v>
      </c>
      <c r="E947" s="53" t="s">
        <v>863</v>
      </c>
      <c r="F947" s="76"/>
      <c r="G947" s="55">
        <v>4590.0</v>
      </c>
      <c r="DN947" s="91">
        <v>1.0</v>
      </c>
    </row>
    <row r="948">
      <c r="A948" s="75" t="s">
        <v>2191</v>
      </c>
      <c r="B948" s="75">
        <v>52.0</v>
      </c>
      <c r="C948" s="75" t="s">
        <v>2094</v>
      </c>
      <c r="D948" s="76" t="s">
        <v>2186</v>
      </c>
      <c r="E948" s="53" t="s">
        <v>932</v>
      </c>
      <c r="F948" s="54"/>
      <c r="G948" s="83">
        <v>4590.0</v>
      </c>
      <c r="DN948" s="91">
        <v>1.0</v>
      </c>
    </row>
    <row r="949">
      <c r="A949" s="75" t="s">
        <v>2192</v>
      </c>
      <c r="B949" s="75">
        <v>52.0</v>
      </c>
      <c r="C949" s="75" t="s">
        <v>2094</v>
      </c>
      <c r="D949" s="76" t="s">
        <v>2186</v>
      </c>
      <c r="E949" s="53" t="s">
        <v>856</v>
      </c>
      <c r="F949" s="54"/>
      <c r="G949" s="55">
        <v>4590.0</v>
      </c>
      <c r="DN949" s="91">
        <v>1.0</v>
      </c>
    </row>
    <row r="950">
      <c r="A950" s="75" t="s">
        <v>2193</v>
      </c>
      <c r="B950" s="75">
        <v>58.0</v>
      </c>
      <c r="C950" s="75" t="s">
        <v>2094</v>
      </c>
      <c r="D950" s="76" t="s">
        <v>2194</v>
      </c>
      <c r="E950" s="53" t="s">
        <v>885</v>
      </c>
      <c r="F950" s="54"/>
      <c r="G950" s="83">
        <v>5990.0</v>
      </c>
      <c r="DN950" s="92">
        <v>1.0</v>
      </c>
    </row>
    <row r="951">
      <c r="A951" s="75" t="s">
        <v>2195</v>
      </c>
      <c r="B951" s="75">
        <v>58.0</v>
      </c>
      <c r="C951" s="75" t="s">
        <v>2094</v>
      </c>
      <c r="D951" s="76" t="s">
        <v>2196</v>
      </c>
      <c r="E951" s="53" t="s">
        <v>885</v>
      </c>
      <c r="F951" s="54"/>
      <c r="G951" s="83">
        <v>5490.0</v>
      </c>
      <c r="DN951" s="91">
        <v>1.0</v>
      </c>
    </row>
    <row r="952">
      <c r="A952" s="75" t="s">
        <v>2197</v>
      </c>
      <c r="B952" s="75">
        <v>58.0</v>
      </c>
      <c r="C952" s="75" t="s">
        <v>2094</v>
      </c>
      <c r="D952" s="76" t="s">
        <v>2125</v>
      </c>
      <c r="E952" s="53" t="s">
        <v>885</v>
      </c>
      <c r="F952" s="54"/>
      <c r="G952" s="83">
        <v>5490.0</v>
      </c>
      <c r="DN952" s="91">
        <v>1.0</v>
      </c>
    </row>
    <row r="953">
      <c r="A953" s="75" t="s">
        <v>2198</v>
      </c>
      <c r="B953" s="75">
        <v>58.0</v>
      </c>
      <c r="C953" s="75" t="s">
        <v>2094</v>
      </c>
      <c r="D953" s="76" t="s">
        <v>1668</v>
      </c>
      <c r="E953" s="53" t="s">
        <v>885</v>
      </c>
      <c r="F953" s="54"/>
      <c r="G953" s="83">
        <v>5490.0</v>
      </c>
      <c r="DN953" s="91">
        <v>1.0</v>
      </c>
    </row>
    <row r="954">
      <c r="A954" s="75" t="s">
        <v>2199</v>
      </c>
      <c r="B954" s="75">
        <v>53.0</v>
      </c>
      <c r="C954" s="75" t="s">
        <v>2094</v>
      </c>
      <c r="D954" s="76" t="s">
        <v>2200</v>
      </c>
      <c r="E954" s="53" t="s">
        <v>932</v>
      </c>
      <c r="F954" s="54"/>
      <c r="G954" s="83">
        <v>3490.0</v>
      </c>
      <c r="DN954" s="91">
        <v>1.0</v>
      </c>
    </row>
    <row r="955">
      <c r="A955" s="75" t="s">
        <v>2201</v>
      </c>
      <c r="B955" s="75">
        <v>58.0</v>
      </c>
      <c r="C955" s="75" t="s">
        <v>2094</v>
      </c>
      <c r="D955" s="76" t="s">
        <v>1668</v>
      </c>
      <c r="E955" s="53" t="s">
        <v>885</v>
      </c>
      <c r="F955" s="54"/>
      <c r="G955" s="83"/>
      <c r="DN955" s="91">
        <v>1.0</v>
      </c>
    </row>
    <row r="956">
      <c r="A956" s="75" t="s">
        <v>2202</v>
      </c>
      <c r="B956" s="75">
        <v>58.0</v>
      </c>
      <c r="C956" s="75" t="s">
        <v>2094</v>
      </c>
      <c r="D956" s="76" t="s">
        <v>2196</v>
      </c>
      <c r="E956" s="53" t="s">
        <v>885</v>
      </c>
      <c r="F956" s="54"/>
      <c r="G956" s="83">
        <v>4790.0</v>
      </c>
      <c r="DN956" s="91">
        <v>1.0</v>
      </c>
    </row>
    <row r="957">
      <c r="A957" s="109" t="s">
        <v>2203</v>
      </c>
      <c r="B957" s="109">
        <v>58.0</v>
      </c>
      <c r="C957" s="75" t="s">
        <v>2094</v>
      </c>
      <c r="D957" s="76" t="s">
        <v>2204</v>
      </c>
      <c r="E957" s="53" t="s">
        <v>885</v>
      </c>
      <c r="F957" s="54"/>
      <c r="G957" s="83">
        <v>5090.0</v>
      </c>
      <c r="DN957" s="91">
        <v>1.0</v>
      </c>
    </row>
    <row r="958">
      <c r="A958" s="109" t="s">
        <v>2205</v>
      </c>
      <c r="B958" s="109">
        <v>55.0</v>
      </c>
      <c r="C958" s="75" t="s">
        <v>2094</v>
      </c>
      <c r="D958" s="76" t="s">
        <v>1668</v>
      </c>
      <c r="E958" s="53" t="s">
        <v>885</v>
      </c>
      <c r="F958" s="54"/>
      <c r="G958" s="83">
        <v>4790.0</v>
      </c>
      <c r="DN958" s="91">
        <v>1.0</v>
      </c>
    </row>
    <row r="959">
      <c r="A959" s="109" t="s">
        <v>2206</v>
      </c>
      <c r="B959" s="109">
        <v>51.0</v>
      </c>
      <c r="C959" s="75" t="s">
        <v>2094</v>
      </c>
      <c r="D959" s="76" t="s">
        <v>876</v>
      </c>
      <c r="E959" s="53" t="s">
        <v>932</v>
      </c>
      <c r="F959" s="54"/>
      <c r="G959" s="83">
        <v>5290.0</v>
      </c>
      <c r="DN959" s="92">
        <v>1.0</v>
      </c>
    </row>
    <row r="960">
      <c r="A960" s="109" t="s">
        <v>2207</v>
      </c>
      <c r="B960" s="109">
        <v>53.0</v>
      </c>
      <c r="C960" s="75" t="s">
        <v>2094</v>
      </c>
      <c r="D960" s="76" t="s">
        <v>876</v>
      </c>
      <c r="E960" s="53" t="s">
        <v>932</v>
      </c>
      <c r="F960" s="54"/>
      <c r="G960" s="83">
        <v>5590.0</v>
      </c>
      <c r="DN960" s="91">
        <v>1.0</v>
      </c>
    </row>
    <row r="961">
      <c r="A961" s="75" t="s">
        <v>2208</v>
      </c>
      <c r="B961" s="75">
        <v>51.0</v>
      </c>
      <c r="C961" s="75" t="s">
        <v>2094</v>
      </c>
      <c r="D961" s="76" t="s">
        <v>2209</v>
      </c>
      <c r="E961" s="53" t="s">
        <v>932</v>
      </c>
      <c r="F961" s="54"/>
      <c r="G961" s="83">
        <v>3890.0</v>
      </c>
      <c r="DN961" s="92">
        <v>3.0</v>
      </c>
    </row>
    <row r="962">
      <c r="A962" s="108" t="s">
        <v>2210</v>
      </c>
      <c r="B962" s="108">
        <v>53.0</v>
      </c>
      <c r="C962" s="75" t="s">
        <v>2094</v>
      </c>
      <c r="D962" s="76" t="s">
        <v>2211</v>
      </c>
      <c r="E962" s="53" t="s">
        <v>932</v>
      </c>
      <c r="F962" s="54"/>
      <c r="G962" s="83">
        <v>3890.0</v>
      </c>
      <c r="DN962" s="91">
        <v>5.0</v>
      </c>
    </row>
    <row r="963">
      <c r="A963" s="75" t="s">
        <v>2212</v>
      </c>
      <c r="B963" s="75">
        <v>50.0</v>
      </c>
      <c r="C963" s="75" t="s">
        <v>2094</v>
      </c>
      <c r="D963" s="106" t="s">
        <v>2213</v>
      </c>
      <c r="E963" s="53" t="s">
        <v>932</v>
      </c>
      <c r="F963" s="54"/>
      <c r="G963" s="83">
        <v>4990.0</v>
      </c>
      <c r="DN963" s="91">
        <v>1.0</v>
      </c>
    </row>
    <row r="964">
      <c r="A964" s="108" t="s">
        <v>2214</v>
      </c>
      <c r="B964" s="108">
        <v>52.0</v>
      </c>
      <c r="C964" s="75" t="s">
        <v>2094</v>
      </c>
      <c r="D964" s="76" t="s">
        <v>2176</v>
      </c>
      <c r="E964" s="53" t="s">
        <v>932</v>
      </c>
      <c r="F964" s="54"/>
      <c r="G964" s="83">
        <v>3790.0</v>
      </c>
      <c r="DN964" s="91">
        <v>1.0</v>
      </c>
    </row>
    <row r="965">
      <c r="A965" s="108" t="s">
        <v>2215</v>
      </c>
      <c r="B965" s="108">
        <v>52.0</v>
      </c>
      <c r="C965" s="75" t="s">
        <v>2094</v>
      </c>
      <c r="D965" s="76" t="s">
        <v>2216</v>
      </c>
      <c r="E965" s="53" t="s">
        <v>932</v>
      </c>
      <c r="F965" s="54"/>
      <c r="G965" s="83">
        <v>3790.0</v>
      </c>
      <c r="DN965" s="91">
        <v>2.0</v>
      </c>
    </row>
    <row r="966">
      <c r="A966" s="109" t="s">
        <v>2217</v>
      </c>
      <c r="B966" s="109">
        <v>54.0</v>
      </c>
      <c r="C966" s="75" t="s">
        <v>2094</v>
      </c>
      <c r="D966" s="76" t="s">
        <v>2179</v>
      </c>
      <c r="E966" s="53" t="s">
        <v>932</v>
      </c>
      <c r="F966" s="54"/>
      <c r="G966" s="83">
        <v>3790.0</v>
      </c>
      <c r="DN966" s="91">
        <v>2.0</v>
      </c>
    </row>
    <row r="967">
      <c r="A967" s="109" t="s">
        <v>2218</v>
      </c>
      <c r="B967" s="109">
        <v>54.0</v>
      </c>
      <c r="C967" s="75" t="s">
        <v>2094</v>
      </c>
      <c r="D967" s="76" t="s">
        <v>2219</v>
      </c>
      <c r="E967" s="53" t="s">
        <v>932</v>
      </c>
      <c r="F967" s="54"/>
      <c r="G967" s="83">
        <v>3790.0</v>
      </c>
      <c r="DN967" s="91">
        <v>2.0</v>
      </c>
    </row>
    <row r="968">
      <c r="A968" s="109" t="s">
        <v>2220</v>
      </c>
      <c r="B968" s="109">
        <v>54.0</v>
      </c>
      <c r="C968" s="75" t="s">
        <v>2094</v>
      </c>
      <c r="D968" s="95" t="s">
        <v>2221</v>
      </c>
      <c r="E968" s="53" t="s">
        <v>932</v>
      </c>
      <c r="F968" s="54"/>
      <c r="G968" s="83">
        <v>3790.0</v>
      </c>
      <c r="DN968" s="91">
        <v>2.0</v>
      </c>
    </row>
    <row r="969">
      <c r="A969" s="75" t="s">
        <v>2222</v>
      </c>
      <c r="B969" s="75">
        <v>57.0</v>
      </c>
      <c r="C969" s="75" t="s">
        <v>2094</v>
      </c>
      <c r="D969" s="76" t="s">
        <v>2223</v>
      </c>
      <c r="E969" s="53" t="s">
        <v>885</v>
      </c>
      <c r="F969" s="54"/>
      <c r="G969" s="83">
        <v>4290.0</v>
      </c>
      <c r="DN969" s="91">
        <v>1.0</v>
      </c>
    </row>
    <row r="970">
      <c r="A970" s="75" t="s">
        <v>2224</v>
      </c>
      <c r="B970" s="75">
        <v>57.0</v>
      </c>
      <c r="C970" s="75" t="s">
        <v>2094</v>
      </c>
      <c r="D970" s="76" t="s">
        <v>1668</v>
      </c>
      <c r="E970" s="53" t="s">
        <v>885</v>
      </c>
      <c r="F970" s="54"/>
      <c r="G970" s="83">
        <v>4290.0</v>
      </c>
      <c r="DN970" s="91">
        <v>1.0</v>
      </c>
    </row>
    <row r="971">
      <c r="A971" s="75" t="s">
        <v>2225</v>
      </c>
      <c r="B971" s="75">
        <v>55.0</v>
      </c>
      <c r="C971" s="75" t="s">
        <v>2094</v>
      </c>
      <c r="D971" s="76" t="s">
        <v>2204</v>
      </c>
      <c r="E971" s="53" t="s">
        <v>885</v>
      </c>
      <c r="F971" s="54"/>
      <c r="G971" s="55">
        <v>7190.0</v>
      </c>
      <c r="DN971" s="91">
        <v>1.0</v>
      </c>
    </row>
    <row r="972">
      <c r="A972" s="75" t="s">
        <v>2226</v>
      </c>
      <c r="B972" s="75">
        <v>56.0</v>
      </c>
      <c r="C972" s="75" t="s">
        <v>2094</v>
      </c>
      <c r="D972" s="76" t="s">
        <v>2223</v>
      </c>
      <c r="E972" s="53" t="s">
        <v>885</v>
      </c>
      <c r="F972" s="54"/>
      <c r="G972" s="83">
        <v>4390.0</v>
      </c>
      <c r="DN972" s="91">
        <v>1.0</v>
      </c>
    </row>
    <row r="973">
      <c r="A973" s="75" t="s">
        <v>2227</v>
      </c>
      <c r="B973" s="75">
        <v>56.0</v>
      </c>
      <c r="C973" s="75" t="s">
        <v>2094</v>
      </c>
      <c r="D973" s="76" t="s">
        <v>2204</v>
      </c>
      <c r="E973" s="53" t="s">
        <v>885</v>
      </c>
      <c r="F973" s="54"/>
      <c r="G973" s="83">
        <v>4390.0</v>
      </c>
      <c r="DN973" s="91">
        <v>1.0</v>
      </c>
    </row>
    <row r="974">
      <c r="A974" s="75" t="s">
        <v>2228</v>
      </c>
      <c r="B974" s="75">
        <v>58.0</v>
      </c>
      <c r="C974" s="75" t="s">
        <v>2094</v>
      </c>
      <c r="D974" s="76" t="s">
        <v>1668</v>
      </c>
      <c r="E974" s="53" t="s">
        <v>885</v>
      </c>
      <c r="F974" s="54"/>
      <c r="G974" s="83">
        <v>5790.0</v>
      </c>
      <c r="DN974" s="91">
        <v>1.0</v>
      </c>
    </row>
    <row r="975">
      <c r="A975" s="75" t="s">
        <v>2229</v>
      </c>
      <c r="B975" s="75">
        <v>58.0</v>
      </c>
      <c r="C975" s="75" t="s">
        <v>2094</v>
      </c>
      <c r="D975" s="76" t="s">
        <v>2230</v>
      </c>
      <c r="E975" s="53" t="s">
        <v>885</v>
      </c>
      <c r="F975" s="54"/>
      <c r="G975" s="83">
        <v>6190.0</v>
      </c>
      <c r="DN975" s="91">
        <v>1.0</v>
      </c>
    </row>
    <row r="976">
      <c r="A976" s="75" t="s">
        <v>2231</v>
      </c>
      <c r="B976" s="75">
        <v>56.0</v>
      </c>
      <c r="C976" s="75" t="s">
        <v>2094</v>
      </c>
      <c r="D976" s="76" t="s">
        <v>2223</v>
      </c>
      <c r="E976" s="53" t="s">
        <v>885</v>
      </c>
      <c r="F976" s="54"/>
      <c r="G976" s="83">
        <v>6690.0</v>
      </c>
      <c r="DN976" s="91">
        <v>1.0</v>
      </c>
    </row>
    <row r="977">
      <c r="A977" s="109" t="s">
        <v>2232</v>
      </c>
      <c r="B977" s="109">
        <v>56.0</v>
      </c>
      <c r="C977" s="75" t="s">
        <v>2094</v>
      </c>
      <c r="D977" s="76" t="s">
        <v>2125</v>
      </c>
      <c r="E977" s="53" t="s">
        <v>885</v>
      </c>
      <c r="F977" s="54"/>
      <c r="G977" s="83">
        <v>6690.0</v>
      </c>
      <c r="DN977" s="91">
        <v>1.0</v>
      </c>
    </row>
    <row r="978">
      <c r="A978" s="75" t="s">
        <v>2233</v>
      </c>
      <c r="B978" s="75">
        <v>51.0</v>
      </c>
      <c r="C978" s="75" t="s">
        <v>2094</v>
      </c>
      <c r="D978" s="95" t="s">
        <v>2168</v>
      </c>
      <c r="E978" s="53" t="s">
        <v>932</v>
      </c>
      <c r="F978" s="54"/>
      <c r="G978" s="83">
        <v>5990.0</v>
      </c>
      <c r="DN978" s="91">
        <v>1.0</v>
      </c>
    </row>
    <row r="979">
      <c r="A979" s="108" t="s">
        <v>2234</v>
      </c>
      <c r="B979" s="108">
        <v>53.0</v>
      </c>
      <c r="C979" s="75" t="s">
        <v>2094</v>
      </c>
      <c r="D979" s="106" t="s">
        <v>2235</v>
      </c>
      <c r="E979" s="53" t="s">
        <v>932</v>
      </c>
      <c r="F979" s="54"/>
      <c r="G979" s="83">
        <v>3890.0</v>
      </c>
      <c r="DN979" s="91">
        <v>1.0</v>
      </c>
    </row>
    <row r="980">
      <c r="A980" s="75" t="s">
        <v>2236</v>
      </c>
      <c r="B980" s="75">
        <v>51.0</v>
      </c>
      <c r="C980" s="75" t="s">
        <v>2094</v>
      </c>
      <c r="D980" s="106" t="s">
        <v>2213</v>
      </c>
      <c r="E980" s="53" t="s">
        <v>1903</v>
      </c>
      <c r="F980" s="54"/>
      <c r="G980" s="55">
        <v>3890.0</v>
      </c>
      <c r="DN980" s="91">
        <v>1.0</v>
      </c>
    </row>
    <row r="981">
      <c r="A981" s="75" t="s">
        <v>2237</v>
      </c>
      <c r="B981" s="75">
        <v>53.0</v>
      </c>
      <c r="C981" s="75" t="s">
        <v>2094</v>
      </c>
      <c r="D981" s="76" t="s">
        <v>2238</v>
      </c>
      <c r="E981" s="53" t="s">
        <v>932</v>
      </c>
      <c r="F981" s="54"/>
      <c r="G981" s="83">
        <v>3890.0</v>
      </c>
      <c r="DN981" s="91">
        <v>1.0</v>
      </c>
    </row>
    <row r="982">
      <c r="A982" s="75" t="s">
        <v>2239</v>
      </c>
      <c r="B982" s="75">
        <v>56.0</v>
      </c>
      <c r="C982" s="75" t="s">
        <v>2094</v>
      </c>
      <c r="D982" s="76" t="s">
        <v>2240</v>
      </c>
      <c r="E982" s="53" t="s">
        <v>885</v>
      </c>
      <c r="F982" s="54"/>
      <c r="G982" s="83">
        <v>7190.0</v>
      </c>
      <c r="DN982" s="91">
        <v>1.0</v>
      </c>
    </row>
    <row r="983">
      <c r="A983" s="109" t="s">
        <v>2241</v>
      </c>
      <c r="B983" s="109">
        <v>54.0</v>
      </c>
      <c r="C983" s="75" t="s">
        <v>2094</v>
      </c>
      <c r="D983" s="76" t="s">
        <v>867</v>
      </c>
      <c r="E983" s="53" t="s">
        <v>885</v>
      </c>
      <c r="F983" s="54"/>
      <c r="G983" s="83">
        <v>7190.0</v>
      </c>
      <c r="DN983" s="92">
        <v>0.0</v>
      </c>
    </row>
    <row r="984">
      <c r="A984" s="109" t="s">
        <v>2242</v>
      </c>
      <c r="B984" s="109">
        <v>53.0</v>
      </c>
      <c r="C984" s="75" t="s">
        <v>2094</v>
      </c>
      <c r="D984" s="76" t="s">
        <v>2125</v>
      </c>
      <c r="E984" s="53" t="s">
        <v>932</v>
      </c>
      <c r="F984" s="54"/>
      <c r="G984" s="83">
        <v>6890.0</v>
      </c>
      <c r="DN984" s="92">
        <v>1.0</v>
      </c>
    </row>
    <row r="985">
      <c r="A985" s="75" t="s">
        <v>2243</v>
      </c>
      <c r="B985" s="75">
        <v>52.0</v>
      </c>
      <c r="C985" s="75" t="s">
        <v>2094</v>
      </c>
      <c r="D985" s="76" t="s">
        <v>2244</v>
      </c>
      <c r="E985" s="53" t="s">
        <v>932</v>
      </c>
      <c r="F985" s="54"/>
      <c r="G985" s="83">
        <v>6390.0</v>
      </c>
      <c r="DN985" s="92">
        <v>1.0</v>
      </c>
    </row>
    <row r="986">
      <c r="A986" s="75" t="s">
        <v>2245</v>
      </c>
      <c r="B986" s="75">
        <v>58.0</v>
      </c>
      <c r="C986" s="75" t="s">
        <v>2094</v>
      </c>
      <c r="D986" s="76" t="s">
        <v>2125</v>
      </c>
      <c r="E986" s="53" t="s">
        <v>885</v>
      </c>
      <c r="F986" s="54"/>
      <c r="G986" s="83"/>
      <c r="DN986" s="91">
        <v>1.0</v>
      </c>
    </row>
    <row r="987">
      <c r="A987" s="75" t="s">
        <v>2246</v>
      </c>
      <c r="B987" s="75">
        <v>58.0</v>
      </c>
      <c r="C987" s="75" t="s">
        <v>2094</v>
      </c>
      <c r="D987" s="76" t="s">
        <v>2247</v>
      </c>
      <c r="E987" s="53" t="s">
        <v>885</v>
      </c>
      <c r="F987" s="54"/>
      <c r="G987" s="83">
        <v>3990.0</v>
      </c>
      <c r="DN987" s="91">
        <v>1.0</v>
      </c>
    </row>
    <row r="988">
      <c r="A988" s="75" t="s">
        <v>2248</v>
      </c>
      <c r="B988" s="75">
        <v>51.0</v>
      </c>
      <c r="C988" s="75" t="s">
        <v>2094</v>
      </c>
      <c r="D988" s="76" t="s">
        <v>2249</v>
      </c>
      <c r="E988" s="53" t="s">
        <v>932</v>
      </c>
      <c r="F988" s="54"/>
      <c r="G988" s="83" t="s">
        <v>2250</v>
      </c>
      <c r="DN988" s="57">
        <v>2.0</v>
      </c>
    </row>
    <row r="989">
      <c r="A989" s="75" t="s">
        <v>2251</v>
      </c>
      <c r="B989" s="75">
        <v>53.0</v>
      </c>
      <c r="C989" s="75" t="s">
        <v>2094</v>
      </c>
      <c r="D989" s="76" t="s">
        <v>2249</v>
      </c>
      <c r="E989" s="53" t="s">
        <v>932</v>
      </c>
      <c r="F989" s="76"/>
      <c r="G989" s="83" t="s">
        <v>2252</v>
      </c>
      <c r="DN989" s="57">
        <v>2.0</v>
      </c>
    </row>
    <row r="990">
      <c r="A990" s="75" t="s">
        <v>2253</v>
      </c>
      <c r="B990" s="75">
        <v>51.0</v>
      </c>
      <c r="C990" s="75" t="s">
        <v>2094</v>
      </c>
      <c r="D990" s="76" t="s">
        <v>2106</v>
      </c>
      <c r="E990" s="53" t="s">
        <v>932</v>
      </c>
      <c r="F990" s="76"/>
      <c r="G990" s="83">
        <v>4090.0</v>
      </c>
      <c r="DN990" s="57">
        <v>1.0</v>
      </c>
    </row>
    <row r="991">
      <c r="A991" s="75" t="s">
        <v>2254</v>
      </c>
      <c r="B991" s="75">
        <v>51.0</v>
      </c>
      <c r="C991" s="75" t="s">
        <v>2094</v>
      </c>
      <c r="D991" s="76" t="s">
        <v>2244</v>
      </c>
      <c r="E991" s="53" t="s">
        <v>932</v>
      </c>
      <c r="F991" s="76"/>
      <c r="G991" s="83">
        <v>4090.0</v>
      </c>
      <c r="DN991" s="77">
        <v>1.0</v>
      </c>
    </row>
    <row r="992">
      <c r="A992" s="75" t="s">
        <v>2255</v>
      </c>
      <c r="B992" s="75">
        <v>53.0</v>
      </c>
      <c r="C992" s="75" t="s">
        <v>2094</v>
      </c>
      <c r="D992" s="76" t="s">
        <v>2249</v>
      </c>
      <c r="E992" s="53" t="s">
        <v>932</v>
      </c>
      <c r="F992" s="76"/>
      <c r="G992" s="83">
        <v>4990.0</v>
      </c>
      <c r="DN992" s="77">
        <v>2.0</v>
      </c>
    </row>
    <row r="993">
      <c r="A993" s="109" t="s">
        <v>2256</v>
      </c>
      <c r="B993" s="109">
        <v>53.0</v>
      </c>
      <c r="C993" s="75" t="s">
        <v>2094</v>
      </c>
      <c r="D993" s="76" t="s">
        <v>2257</v>
      </c>
      <c r="E993" s="53" t="s">
        <v>932</v>
      </c>
      <c r="F993" s="76"/>
      <c r="G993" s="83">
        <v>3590.0</v>
      </c>
      <c r="DN993" s="57">
        <v>1.0</v>
      </c>
    </row>
    <row r="994">
      <c r="A994" s="75" t="s">
        <v>2258</v>
      </c>
      <c r="B994" s="75">
        <v>53.0</v>
      </c>
      <c r="C994" s="75" t="s">
        <v>2094</v>
      </c>
      <c r="D994" s="76" t="s">
        <v>2125</v>
      </c>
      <c r="E994" s="53" t="s">
        <v>885</v>
      </c>
      <c r="F994" s="76"/>
      <c r="G994" s="55">
        <v>5590.0</v>
      </c>
      <c r="DN994" s="57">
        <v>1.0</v>
      </c>
    </row>
    <row r="995">
      <c r="A995" s="75" t="s">
        <v>2259</v>
      </c>
      <c r="B995" s="75">
        <v>57.0</v>
      </c>
      <c r="C995" s="75" t="s">
        <v>2094</v>
      </c>
      <c r="D995" s="76" t="s">
        <v>2260</v>
      </c>
      <c r="E995" s="53" t="s">
        <v>885</v>
      </c>
      <c r="F995" s="76"/>
      <c r="G995" s="83">
        <v>3990.0</v>
      </c>
      <c r="DN995" s="57">
        <v>3.0</v>
      </c>
    </row>
    <row r="996">
      <c r="A996" s="75" t="s">
        <v>2261</v>
      </c>
      <c r="B996" s="75">
        <v>56.0</v>
      </c>
      <c r="C996" s="75" t="s">
        <v>2094</v>
      </c>
      <c r="D996" s="76" t="s">
        <v>2262</v>
      </c>
      <c r="E996" s="53" t="s">
        <v>885</v>
      </c>
      <c r="F996" s="76"/>
      <c r="G996" s="83">
        <v>4290.0</v>
      </c>
      <c r="DN996" s="77">
        <v>3.0</v>
      </c>
    </row>
    <row r="997">
      <c r="A997" s="109" t="s">
        <v>2263</v>
      </c>
      <c r="B997" s="109">
        <v>56.0</v>
      </c>
      <c r="C997" s="75" t="s">
        <v>2094</v>
      </c>
      <c r="D997" s="76" t="s">
        <v>867</v>
      </c>
      <c r="E997" s="53" t="s">
        <v>885</v>
      </c>
      <c r="F997" s="76"/>
      <c r="G997" s="83">
        <v>4290.0</v>
      </c>
      <c r="DN997" s="77">
        <v>1.0</v>
      </c>
    </row>
    <row r="998">
      <c r="A998" s="109" t="s">
        <v>2264</v>
      </c>
      <c r="B998" s="109">
        <v>55.0</v>
      </c>
      <c r="C998" s="75" t="s">
        <v>2094</v>
      </c>
      <c r="D998" s="76" t="s">
        <v>2194</v>
      </c>
      <c r="E998" s="53" t="s">
        <v>885</v>
      </c>
      <c r="F998" s="76"/>
      <c r="G998" s="83">
        <v>5290.0</v>
      </c>
      <c r="DN998" s="57">
        <v>1.0</v>
      </c>
    </row>
    <row r="999">
      <c r="A999" s="109" t="s">
        <v>2265</v>
      </c>
      <c r="B999" s="109">
        <v>55.0</v>
      </c>
      <c r="C999" s="75" t="s">
        <v>2094</v>
      </c>
      <c r="D999" s="76" t="s">
        <v>2194</v>
      </c>
      <c r="E999" s="53" t="s">
        <v>885</v>
      </c>
      <c r="F999" s="76"/>
      <c r="G999" s="83">
        <v>5990.0</v>
      </c>
      <c r="DN999" s="77">
        <v>1.0</v>
      </c>
    </row>
    <row r="1000">
      <c r="A1000" s="109" t="s">
        <v>2266</v>
      </c>
      <c r="B1000" s="109">
        <v>53.0</v>
      </c>
      <c r="C1000" s="75" t="s">
        <v>2094</v>
      </c>
      <c r="D1000" s="76" t="s">
        <v>876</v>
      </c>
      <c r="E1000" s="53" t="s">
        <v>932</v>
      </c>
      <c r="F1000" s="76"/>
      <c r="G1000" s="83">
        <v>3790.0</v>
      </c>
      <c r="DN1000" s="57">
        <v>1.0</v>
      </c>
    </row>
    <row r="1001">
      <c r="A1001" s="109" t="s">
        <v>2267</v>
      </c>
      <c r="B1001" s="109">
        <v>51.0</v>
      </c>
      <c r="C1001" s="75" t="s">
        <v>2094</v>
      </c>
      <c r="D1001" s="76" t="s">
        <v>2268</v>
      </c>
      <c r="E1001" s="53" t="s">
        <v>932</v>
      </c>
      <c r="F1001" s="76"/>
      <c r="G1001" s="83">
        <v>5690.0</v>
      </c>
      <c r="DN1001" s="57">
        <v>1.0</v>
      </c>
    </row>
    <row r="1002">
      <c r="A1002" s="75" t="s">
        <v>2269</v>
      </c>
      <c r="B1002" s="75">
        <v>52.0</v>
      </c>
      <c r="C1002" s="75" t="s">
        <v>2094</v>
      </c>
      <c r="D1002" s="76" t="s">
        <v>2194</v>
      </c>
      <c r="E1002" s="53" t="s">
        <v>885</v>
      </c>
      <c r="F1002" s="76"/>
      <c r="G1002" s="83">
        <v>6190.0</v>
      </c>
      <c r="DN1002" s="77">
        <v>1.0</v>
      </c>
    </row>
    <row r="1003">
      <c r="A1003" s="75" t="s">
        <v>2270</v>
      </c>
      <c r="B1003" s="75">
        <v>51.0</v>
      </c>
      <c r="C1003" s="75" t="s">
        <v>2094</v>
      </c>
      <c r="D1003" s="76" t="s">
        <v>2247</v>
      </c>
      <c r="E1003" s="53" t="s">
        <v>885</v>
      </c>
      <c r="F1003" s="76"/>
      <c r="G1003" s="83">
        <v>5590.0</v>
      </c>
      <c r="DN1003" s="57">
        <v>1.0</v>
      </c>
    </row>
    <row r="1004">
      <c r="A1004" s="109" t="s">
        <v>2271</v>
      </c>
      <c r="B1004" s="109">
        <v>51.0</v>
      </c>
      <c r="C1004" s="75" t="s">
        <v>2094</v>
      </c>
      <c r="D1004" s="76" t="s">
        <v>2194</v>
      </c>
      <c r="E1004" s="53" t="s">
        <v>885</v>
      </c>
      <c r="F1004" s="76"/>
      <c r="G1004" s="83">
        <v>5590.0</v>
      </c>
      <c r="DN1004" s="77">
        <v>1.0</v>
      </c>
    </row>
    <row r="1005">
      <c r="A1005" s="75" t="s">
        <v>2272</v>
      </c>
      <c r="B1005" s="75">
        <v>50.0</v>
      </c>
      <c r="C1005" s="75" t="s">
        <v>2094</v>
      </c>
      <c r="D1005" s="76" t="s">
        <v>2098</v>
      </c>
      <c r="E1005" s="53" t="s">
        <v>932</v>
      </c>
      <c r="F1005" s="76"/>
      <c r="G1005" s="83">
        <v>5490.0</v>
      </c>
      <c r="DN1005" s="57">
        <v>1.0</v>
      </c>
    </row>
    <row r="1006">
      <c r="A1006" s="75" t="s">
        <v>2273</v>
      </c>
      <c r="B1006" s="75">
        <v>58.0</v>
      </c>
      <c r="C1006" s="75" t="s">
        <v>2094</v>
      </c>
      <c r="D1006" s="76" t="s">
        <v>2194</v>
      </c>
      <c r="E1006" s="53" t="s">
        <v>885</v>
      </c>
      <c r="F1006" s="76"/>
      <c r="G1006" s="83">
        <v>4290.0</v>
      </c>
      <c r="DN1006" s="77">
        <v>1.0</v>
      </c>
    </row>
    <row r="1007">
      <c r="A1007" s="75" t="s">
        <v>2274</v>
      </c>
      <c r="B1007" s="75">
        <v>52.0</v>
      </c>
      <c r="C1007" s="75" t="s">
        <v>2094</v>
      </c>
      <c r="D1007" s="76" t="s">
        <v>2119</v>
      </c>
      <c r="E1007" s="53" t="s">
        <v>932</v>
      </c>
      <c r="F1007" s="76"/>
      <c r="G1007" s="83">
        <v>4090.0</v>
      </c>
      <c r="DN1007" s="77">
        <v>2.0</v>
      </c>
    </row>
    <row r="1008">
      <c r="A1008" s="109" t="s">
        <v>2275</v>
      </c>
      <c r="B1008" s="109">
        <v>62.0</v>
      </c>
      <c r="C1008" s="75" t="s">
        <v>2094</v>
      </c>
      <c r="D1008" s="76" t="s">
        <v>2152</v>
      </c>
      <c r="E1008" s="53" t="s">
        <v>885</v>
      </c>
      <c r="F1008" s="76"/>
      <c r="G1008" s="125">
        <v>5590.0</v>
      </c>
      <c r="DN1008" s="57">
        <v>1.0</v>
      </c>
    </row>
    <row r="1009">
      <c r="A1009" s="75" t="s">
        <v>2276</v>
      </c>
      <c r="B1009" s="75">
        <v>54.0</v>
      </c>
      <c r="C1009" s="75" t="s">
        <v>2094</v>
      </c>
      <c r="D1009" s="76" t="s">
        <v>2277</v>
      </c>
      <c r="E1009" s="53" t="s">
        <v>885</v>
      </c>
      <c r="F1009" s="76"/>
      <c r="G1009" s="83">
        <v>7190.0</v>
      </c>
      <c r="DN1009" s="57">
        <v>2.0</v>
      </c>
    </row>
    <row r="1010">
      <c r="A1010" s="75" t="s">
        <v>2278</v>
      </c>
      <c r="B1010" s="75">
        <v>54.0</v>
      </c>
      <c r="C1010" s="75" t="s">
        <v>2094</v>
      </c>
      <c r="D1010" s="76" t="s">
        <v>2279</v>
      </c>
      <c r="E1010" s="53" t="s">
        <v>885</v>
      </c>
      <c r="F1010" s="76"/>
      <c r="G1010" s="83">
        <v>7190.0</v>
      </c>
      <c r="DN1010" s="57">
        <v>2.0</v>
      </c>
    </row>
    <row r="1011">
      <c r="A1011" s="75" t="s">
        <v>2280</v>
      </c>
      <c r="B1011" s="75">
        <v>55.0</v>
      </c>
      <c r="C1011" s="75" t="s">
        <v>2094</v>
      </c>
      <c r="D1011" s="76" t="s">
        <v>2281</v>
      </c>
      <c r="E1011" s="53" t="s">
        <v>885</v>
      </c>
      <c r="F1011" s="76"/>
      <c r="G1011" s="55">
        <v>6190.0</v>
      </c>
      <c r="DN1011" s="57">
        <v>2.0</v>
      </c>
    </row>
    <row r="1012">
      <c r="A1012" s="75" t="s">
        <v>2282</v>
      </c>
      <c r="B1012" s="75">
        <v>51.0</v>
      </c>
      <c r="C1012" s="75" t="s">
        <v>2094</v>
      </c>
      <c r="D1012" s="76" t="s">
        <v>2247</v>
      </c>
      <c r="E1012" s="53" t="s">
        <v>885</v>
      </c>
      <c r="F1012" s="76"/>
      <c r="G1012" s="83">
        <v>5090.0</v>
      </c>
      <c r="DN1012" s="57">
        <v>1.0</v>
      </c>
    </row>
    <row r="1013">
      <c r="A1013" s="75" t="s">
        <v>2283</v>
      </c>
      <c r="B1013" s="75">
        <v>51.0</v>
      </c>
      <c r="C1013" s="75" t="s">
        <v>2094</v>
      </c>
      <c r="D1013" s="76" t="s">
        <v>2249</v>
      </c>
      <c r="E1013" s="53" t="s">
        <v>932</v>
      </c>
      <c r="F1013" s="76"/>
      <c r="G1013" s="83">
        <v>4290.0</v>
      </c>
      <c r="DN1013" s="57">
        <v>2.0</v>
      </c>
    </row>
    <row r="1014">
      <c r="A1014" s="75" t="s">
        <v>2284</v>
      </c>
      <c r="B1014" s="75">
        <v>51.0</v>
      </c>
      <c r="C1014" s="75" t="s">
        <v>2094</v>
      </c>
      <c r="D1014" s="76" t="s">
        <v>2285</v>
      </c>
      <c r="E1014" s="53" t="s">
        <v>885</v>
      </c>
      <c r="F1014" s="76"/>
      <c r="G1014" s="83">
        <v>4290.0</v>
      </c>
      <c r="DN1014" s="57">
        <v>2.0</v>
      </c>
    </row>
    <row r="1015">
      <c r="A1015" s="75" t="s">
        <v>2286</v>
      </c>
      <c r="B1015" s="75">
        <v>53.0</v>
      </c>
      <c r="C1015" s="75" t="s">
        <v>2094</v>
      </c>
      <c r="D1015" s="76" t="s">
        <v>2152</v>
      </c>
      <c r="E1015" s="53" t="s">
        <v>885</v>
      </c>
      <c r="F1015" s="76"/>
      <c r="G1015" s="83">
        <v>6690.0</v>
      </c>
      <c r="DN1015" s="57">
        <v>1.0</v>
      </c>
    </row>
    <row r="1016">
      <c r="A1016" s="75" t="s">
        <v>2287</v>
      </c>
      <c r="B1016" s="75">
        <v>57.0</v>
      </c>
      <c r="C1016" s="75" t="s">
        <v>2094</v>
      </c>
      <c r="D1016" s="76" t="s">
        <v>2194</v>
      </c>
      <c r="E1016" s="53" t="s">
        <v>885</v>
      </c>
      <c r="F1016" s="76"/>
      <c r="G1016" s="83">
        <v>7190.0</v>
      </c>
      <c r="DN1016" s="57">
        <v>1.0</v>
      </c>
    </row>
    <row r="1017">
      <c r="A1017" s="75" t="s">
        <v>2288</v>
      </c>
      <c r="B1017" s="75">
        <v>57.0</v>
      </c>
      <c r="C1017" s="75" t="s">
        <v>2094</v>
      </c>
      <c r="D1017" s="76" t="s">
        <v>2240</v>
      </c>
      <c r="E1017" s="53" t="s">
        <v>885</v>
      </c>
      <c r="F1017" s="54"/>
      <c r="G1017" s="83">
        <v>7190.0</v>
      </c>
      <c r="DN1017" s="57">
        <v>1.0</v>
      </c>
    </row>
    <row r="1018">
      <c r="A1018" s="75" t="s">
        <v>2289</v>
      </c>
      <c r="B1018" s="75">
        <v>54.0</v>
      </c>
      <c r="C1018" s="75" t="s">
        <v>2094</v>
      </c>
      <c r="D1018" s="76" t="s">
        <v>2194</v>
      </c>
      <c r="E1018" s="53" t="s">
        <v>885</v>
      </c>
      <c r="F1018" s="54"/>
      <c r="G1018" s="83">
        <v>7190.0</v>
      </c>
      <c r="DN1018" s="57">
        <v>1.0</v>
      </c>
    </row>
    <row r="1019">
      <c r="A1019" s="75" t="s">
        <v>2290</v>
      </c>
      <c r="B1019" s="75">
        <v>54.0</v>
      </c>
      <c r="C1019" s="75" t="s">
        <v>2094</v>
      </c>
      <c r="D1019" s="76" t="s">
        <v>2240</v>
      </c>
      <c r="E1019" s="53" t="s">
        <v>885</v>
      </c>
      <c r="F1019" s="54"/>
      <c r="G1019" s="83">
        <v>7190.0</v>
      </c>
      <c r="DN1019" s="57">
        <v>1.0</v>
      </c>
    </row>
    <row r="1020">
      <c r="A1020" s="75" t="s">
        <v>2291</v>
      </c>
      <c r="B1020" s="75">
        <v>54.0</v>
      </c>
      <c r="C1020" s="75" t="s">
        <v>2094</v>
      </c>
      <c r="D1020" s="76" t="s">
        <v>1483</v>
      </c>
      <c r="E1020" s="53" t="s">
        <v>885</v>
      </c>
      <c r="F1020" s="54"/>
      <c r="G1020" s="83">
        <v>7190.0</v>
      </c>
      <c r="DN1020" s="57">
        <v>1.0</v>
      </c>
    </row>
    <row r="1021">
      <c r="A1021" s="109" t="s">
        <v>2292</v>
      </c>
      <c r="B1021" s="109">
        <v>54.0</v>
      </c>
      <c r="C1021" s="75" t="s">
        <v>2094</v>
      </c>
      <c r="D1021" s="76" t="s">
        <v>1689</v>
      </c>
      <c r="E1021" s="53" t="s">
        <v>885</v>
      </c>
      <c r="F1021" s="54"/>
      <c r="G1021" s="83">
        <v>7190.0</v>
      </c>
      <c r="DN1021" s="57">
        <v>1.0</v>
      </c>
    </row>
    <row r="1022">
      <c r="A1022" s="75" t="s">
        <v>2293</v>
      </c>
      <c r="B1022" s="75">
        <v>32.0</v>
      </c>
      <c r="C1022" s="75" t="s">
        <v>2094</v>
      </c>
      <c r="D1022" s="76" t="s">
        <v>2194</v>
      </c>
      <c r="E1022" s="53" t="s">
        <v>885</v>
      </c>
      <c r="F1022" s="54"/>
      <c r="G1022" s="55">
        <v>7190.0</v>
      </c>
      <c r="DN1022" s="57">
        <v>1.0</v>
      </c>
    </row>
    <row r="1023">
      <c r="A1023" s="75" t="s">
        <v>2294</v>
      </c>
      <c r="B1023" s="75">
        <v>32.0</v>
      </c>
      <c r="C1023" s="75" t="s">
        <v>2094</v>
      </c>
      <c r="D1023" s="76" t="s">
        <v>2102</v>
      </c>
      <c r="E1023" s="53" t="s">
        <v>885</v>
      </c>
      <c r="F1023" s="54"/>
      <c r="G1023" s="83">
        <v>7190.0</v>
      </c>
      <c r="DN1023" s="57">
        <v>1.0</v>
      </c>
    </row>
    <row r="1024">
      <c r="A1024" s="75" t="s">
        <v>2295</v>
      </c>
      <c r="B1024" s="75">
        <v>32.0</v>
      </c>
      <c r="C1024" s="75" t="s">
        <v>2094</v>
      </c>
      <c r="D1024" s="76" t="s">
        <v>2194</v>
      </c>
      <c r="E1024" s="53" t="s">
        <v>885</v>
      </c>
      <c r="F1024" s="54"/>
      <c r="G1024" s="83">
        <v>5490.0</v>
      </c>
      <c r="DN1024" s="77">
        <v>1.0</v>
      </c>
    </row>
    <row r="1025">
      <c r="A1025" s="75" t="s">
        <v>2296</v>
      </c>
      <c r="B1025" s="75">
        <v>51.0</v>
      </c>
      <c r="C1025" s="75" t="s">
        <v>2094</v>
      </c>
      <c r="D1025" s="76" t="s">
        <v>2297</v>
      </c>
      <c r="E1025" s="53" t="s">
        <v>1903</v>
      </c>
      <c r="F1025" s="54"/>
      <c r="G1025" s="55">
        <v>3890.0</v>
      </c>
      <c r="DN1025" s="77">
        <v>3.0</v>
      </c>
    </row>
    <row r="1026">
      <c r="A1026" s="75" t="s">
        <v>2298</v>
      </c>
      <c r="B1026" s="75">
        <v>51.0</v>
      </c>
      <c r="C1026" s="75" t="s">
        <v>2094</v>
      </c>
      <c r="D1026" s="76" t="s">
        <v>2299</v>
      </c>
      <c r="E1026" s="53"/>
      <c r="F1026" s="54"/>
      <c r="G1026" s="83">
        <v>3890.0</v>
      </c>
      <c r="DN1026" s="57">
        <v>4.0</v>
      </c>
    </row>
    <row r="1027">
      <c r="A1027" s="75" t="s">
        <v>2300</v>
      </c>
      <c r="B1027" s="75">
        <v>52.0</v>
      </c>
      <c r="C1027" s="75" t="s">
        <v>2094</v>
      </c>
      <c r="D1027" s="76" t="s">
        <v>2301</v>
      </c>
      <c r="E1027" s="53" t="s">
        <v>932</v>
      </c>
      <c r="F1027" s="54"/>
      <c r="G1027" s="83">
        <v>3890.0</v>
      </c>
      <c r="DN1027" s="57">
        <v>3.0</v>
      </c>
    </row>
    <row r="1028">
      <c r="A1028" s="75" t="s">
        <v>2302</v>
      </c>
      <c r="B1028" s="75">
        <v>52.0</v>
      </c>
      <c r="C1028" s="75" t="s">
        <v>2094</v>
      </c>
      <c r="D1028" s="76" t="s">
        <v>2303</v>
      </c>
      <c r="E1028" s="53" t="s">
        <v>932</v>
      </c>
      <c r="F1028" s="54"/>
      <c r="G1028" s="83">
        <v>3890.0</v>
      </c>
      <c r="DN1028" s="57">
        <v>4.0</v>
      </c>
    </row>
    <row r="1029">
      <c r="A1029" s="75" t="s">
        <v>2304</v>
      </c>
      <c r="B1029" s="75">
        <v>52.0</v>
      </c>
      <c r="C1029" s="75" t="s">
        <v>2094</v>
      </c>
      <c r="D1029" s="76" t="s">
        <v>2244</v>
      </c>
      <c r="E1029" s="53" t="s">
        <v>1416</v>
      </c>
      <c r="F1029" s="54"/>
      <c r="G1029" s="55">
        <v>3890.0</v>
      </c>
      <c r="DN1029" s="57">
        <v>1.0</v>
      </c>
    </row>
    <row r="1030">
      <c r="A1030" s="109" t="s">
        <v>2305</v>
      </c>
      <c r="B1030" s="109">
        <v>50.0</v>
      </c>
      <c r="C1030" s="75" t="s">
        <v>2094</v>
      </c>
      <c r="D1030" s="76" t="s">
        <v>867</v>
      </c>
      <c r="E1030" s="53"/>
      <c r="F1030" s="54"/>
      <c r="G1030" s="83">
        <v>5590.0</v>
      </c>
      <c r="DN1030" s="77">
        <v>0.0</v>
      </c>
    </row>
    <row r="1031">
      <c r="A1031" s="109" t="s">
        <v>2306</v>
      </c>
      <c r="B1031" s="109">
        <v>50.0</v>
      </c>
      <c r="C1031" s="75" t="s">
        <v>2094</v>
      </c>
      <c r="D1031" s="76" t="s">
        <v>867</v>
      </c>
      <c r="E1031" s="53" t="s">
        <v>885</v>
      </c>
      <c r="F1031" s="54"/>
      <c r="G1031" s="83">
        <v>5590.0</v>
      </c>
      <c r="DN1031" s="77">
        <v>0.0</v>
      </c>
    </row>
    <row r="1032">
      <c r="A1032" s="75" t="s">
        <v>2307</v>
      </c>
      <c r="B1032" s="75">
        <v>49.0</v>
      </c>
      <c r="C1032" s="75" t="s">
        <v>2094</v>
      </c>
      <c r="D1032" s="76" t="s">
        <v>2268</v>
      </c>
      <c r="E1032" s="53" t="s">
        <v>978</v>
      </c>
      <c r="F1032" s="54"/>
      <c r="G1032" s="55">
        <v>3890.0</v>
      </c>
      <c r="DN1032" s="57">
        <v>1.0</v>
      </c>
    </row>
    <row r="1033">
      <c r="A1033" s="109" t="s">
        <v>2308</v>
      </c>
      <c r="B1033" s="109">
        <v>49.0</v>
      </c>
      <c r="C1033" s="75" t="s">
        <v>2094</v>
      </c>
      <c r="D1033" s="76" t="s">
        <v>2113</v>
      </c>
      <c r="E1033" s="53" t="s">
        <v>932</v>
      </c>
      <c r="F1033" s="54"/>
      <c r="G1033" s="83">
        <v>3890.0</v>
      </c>
      <c r="DN1033" s="77">
        <v>1.0</v>
      </c>
    </row>
    <row r="1034">
      <c r="A1034" s="75" t="s">
        <v>2309</v>
      </c>
      <c r="B1034" s="75">
        <v>49.0</v>
      </c>
      <c r="C1034" s="75" t="s">
        <v>2094</v>
      </c>
      <c r="D1034" s="76" t="s">
        <v>2310</v>
      </c>
      <c r="E1034" s="53" t="s">
        <v>932</v>
      </c>
      <c r="F1034" s="54"/>
      <c r="G1034" s="83">
        <v>3890.0</v>
      </c>
      <c r="DN1034" s="57">
        <v>3.0</v>
      </c>
    </row>
    <row r="1035">
      <c r="A1035" s="75" t="s">
        <v>2311</v>
      </c>
      <c r="B1035" s="75">
        <v>49.0</v>
      </c>
      <c r="C1035" s="75" t="s">
        <v>2094</v>
      </c>
      <c r="D1035" s="76" t="s">
        <v>2268</v>
      </c>
      <c r="E1035" s="53" t="s">
        <v>978</v>
      </c>
      <c r="F1035" s="54"/>
      <c r="G1035" s="55">
        <v>3890.0</v>
      </c>
      <c r="DN1035" s="57">
        <v>1.0</v>
      </c>
    </row>
    <row r="1036">
      <c r="A1036" s="109" t="s">
        <v>2312</v>
      </c>
      <c r="B1036" s="109">
        <v>57.0</v>
      </c>
      <c r="C1036" s="75" t="s">
        <v>2094</v>
      </c>
      <c r="D1036" s="76" t="s">
        <v>2204</v>
      </c>
      <c r="E1036" s="53" t="s">
        <v>885</v>
      </c>
      <c r="F1036" s="79"/>
      <c r="G1036" s="83">
        <v>6190.0</v>
      </c>
      <c r="DN1036" s="57">
        <v>1.0</v>
      </c>
    </row>
    <row r="1037">
      <c r="A1037" s="75" t="s">
        <v>2313</v>
      </c>
      <c r="B1037" s="75">
        <v>55.0</v>
      </c>
      <c r="C1037" s="75" t="s">
        <v>2094</v>
      </c>
      <c r="D1037" s="76" t="s">
        <v>2230</v>
      </c>
      <c r="E1037" s="53" t="s">
        <v>885</v>
      </c>
      <c r="F1037" s="79"/>
      <c r="G1037" s="83">
        <v>7190.0</v>
      </c>
      <c r="DN1037" s="57">
        <v>1.0</v>
      </c>
    </row>
    <row r="1038">
      <c r="A1038" s="126" t="s">
        <v>2314</v>
      </c>
      <c r="B1038" s="126">
        <v>51.0</v>
      </c>
      <c r="C1038" s="126" t="s">
        <v>2094</v>
      </c>
      <c r="D1038" s="127" t="s">
        <v>867</v>
      </c>
      <c r="E1038" s="128" t="s">
        <v>932</v>
      </c>
      <c r="F1038" s="129"/>
      <c r="G1038" s="130">
        <v>3890.0</v>
      </c>
      <c r="DN1038" s="111">
        <v>0.0</v>
      </c>
    </row>
    <row r="1039" ht="18.75" customHeight="1">
      <c r="A1039" s="126" t="s">
        <v>2315</v>
      </c>
      <c r="B1039" s="126">
        <v>53.0</v>
      </c>
      <c r="C1039" s="126" t="s">
        <v>2094</v>
      </c>
      <c r="D1039" s="131" t="s">
        <v>867</v>
      </c>
      <c r="E1039" s="128" t="s">
        <v>871</v>
      </c>
      <c r="F1039" s="129"/>
      <c r="G1039" s="132">
        <v>3890.0</v>
      </c>
      <c r="DN1039" s="111">
        <v>0.0</v>
      </c>
    </row>
    <row r="1040">
      <c r="A1040" s="75" t="s">
        <v>2316</v>
      </c>
      <c r="B1040" s="75">
        <v>51.0</v>
      </c>
      <c r="C1040" s="75" t="s">
        <v>2094</v>
      </c>
      <c r="D1040" s="76" t="s">
        <v>876</v>
      </c>
      <c r="E1040" s="53" t="s">
        <v>871</v>
      </c>
      <c r="F1040" s="54"/>
      <c r="G1040" s="55">
        <v>3890.0</v>
      </c>
      <c r="DN1040" s="57">
        <v>1.0</v>
      </c>
    </row>
    <row r="1041">
      <c r="A1041" s="109" t="s">
        <v>2317</v>
      </c>
      <c r="B1041" s="109">
        <v>53.0</v>
      </c>
      <c r="C1041" s="75" t="s">
        <v>2094</v>
      </c>
      <c r="D1041" s="76" t="s">
        <v>2235</v>
      </c>
      <c r="E1041" s="53" t="s">
        <v>932</v>
      </c>
      <c r="F1041" s="54"/>
      <c r="G1041" s="83">
        <v>3890.0</v>
      </c>
      <c r="DN1041" s="77">
        <v>1.0</v>
      </c>
    </row>
    <row r="1042">
      <c r="A1042" s="75" t="s">
        <v>2318</v>
      </c>
      <c r="B1042" s="75">
        <v>50.0</v>
      </c>
      <c r="C1042" s="75" t="s">
        <v>2094</v>
      </c>
      <c r="D1042" s="76" t="s">
        <v>867</v>
      </c>
      <c r="E1042" s="53" t="s">
        <v>871</v>
      </c>
      <c r="F1042" s="54"/>
      <c r="G1042" s="55">
        <v>4990.0</v>
      </c>
      <c r="DN1042" s="57">
        <v>0.0</v>
      </c>
    </row>
    <row r="1043">
      <c r="A1043" s="75" t="s">
        <v>2319</v>
      </c>
      <c r="B1043" s="75">
        <v>52.0</v>
      </c>
      <c r="C1043" s="75" t="s">
        <v>2094</v>
      </c>
      <c r="D1043" s="106" t="s">
        <v>867</v>
      </c>
      <c r="E1043" s="53" t="s">
        <v>871</v>
      </c>
      <c r="F1043" s="54"/>
      <c r="G1043" s="55">
        <v>4990.0</v>
      </c>
      <c r="DN1043" s="77">
        <v>0.0</v>
      </c>
    </row>
    <row r="1044" ht="15.0" customHeight="1">
      <c r="A1044" s="75" t="s">
        <v>2320</v>
      </c>
      <c r="B1044" s="75">
        <v>50.0</v>
      </c>
      <c r="C1044" s="75" t="s">
        <v>2094</v>
      </c>
      <c r="D1044" s="76" t="s">
        <v>2321</v>
      </c>
      <c r="E1044" s="53" t="s">
        <v>871</v>
      </c>
      <c r="F1044" s="76" t="s">
        <v>2322</v>
      </c>
      <c r="G1044" s="55">
        <v>4990.0</v>
      </c>
      <c r="DN1044" s="57">
        <v>2.0</v>
      </c>
    </row>
    <row r="1045">
      <c r="A1045" s="108" t="s">
        <v>2323</v>
      </c>
      <c r="B1045" s="108">
        <v>52.0</v>
      </c>
      <c r="C1045" s="75" t="s">
        <v>2094</v>
      </c>
      <c r="D1045" s="76" t="s">
        <v>2176</v>
      </c>
      <c r="E1045" s="53" t="s">
        <v>932</v>
      </c>
      <c r="F1045" s="54"/>
      <c r="G1045" s="83">
        <v>4990.0</v>
      </c>
      <c r="DN1045" s="77">
        <v>1.0</v>
      </c>
    </row>
    <row r="1046">
      <c r="A1046" s="75" t="s">
        <v>2324</v>
      </c>
      <c r="B1046" s="75">
        <v>50.0</v>
      </c>
      <c r="C1046" s="75" t="s">
        <v>2094</v>
      </c>
      <c r="D1046" s="106" t="s">
        <v>2235</v>
      </c>
      <c r="E1046" s="53" t="s">
        <v>871</v>
      </c>
      <c r="F1046" s="54"/>
      <c r="G1046" s="55">
        <v>4990.0</v>
      </c>
      <c r="DN1046" s="57">
        <v>1.0</v>
      </c>
    </row>
    <row r="1047">
      <c r="A1047" s="109" t="s">
        <v>2325</v>
      </c>
      <c r="B1047" s="109">
        <v>52.0</v>
      </c>
      <c r="C1047" s="75" t="s">
        <v>2094</v>
      </c>
      <c r="D1047" s="76" t="s">
        <v>2176</v>
      </c>
      <c r="E1047" s="53" t="s">
        <v>932</v>
      </c>
      <c r="F1047" s="54"/>
      <c r="G1047" s="55">
        <v>4990.0</v>
      </c>
      <c r="DN1047" s="57">
        <v>1.0</v>
      </c>
    </row>
    <row r="1048">
      <c r="A1048" s="109" t="s">
        <v>2326</v>
      </c>
      <c r="B1048" s="109">
        <v>50.0</v>
      </c>
      <c r="C1048" s="75" t="s">
        <v>2094</v>
      </c>
      <c r="D1048" s="106" t="s">
        <v>2327</v>
      </c>
      <c r="E1048" s="53" t="s">
        <v>932</v>
      </c>
      <c r="F1048" s="54"/>
      <c r="G1048" s="83">
        <v>4990.0</v>
      </c>
      <c r="DN1048" s="57">
        <v>1.0</v>
      </c>
    </row>
    <row r="1049">
      <c r="A1049" s="75" t="s">
        <v>2328</v>
      </c>
      <c r="B1049" s="75">
        <v>50.0</v>
      </c>
      <c r="C1049" s="75" t="s">
        <v>2094</v>
      </c>
      <c r="D1049" s="76" t="s">
        <v>2213</v>
      </c>
      <c r="E1049" s="53" t="s">
        <v>871</v>
      </c>
      <c r="F1049" s="54"/>
      <c r="G1049" s="55">
        <v>4990.0</v>
      </c>
      <c r="DN1049" s="57">
        <v>1.0</v>
      </c>
    </row>
    <row r="1050">
      <c r="A1050" s="75" t="s">
        <v>2329</v>
      </c>
      <c r="B1050" s="75">
        <v>52.0</v>
      </c>
      <c r="C1050" s="75" t="s">
        <v>2094</v>
      </c>
      <c r="D1050" s="106" t="s">
        <v>2327</v>
      </c>
      <c r="E1050" s="53" t="s">
        <v>871</v>
      </c>
      <c r="F1050" s="54"/>
      <c r="G1050" s="55">
        <v>4990.0</v>
      </c>
      <c r="DN1050" s="57">
        <v>1.0</v>
      </c>
    </row>
    <row r="1051">
      <c r="A1051" s="75" t="s">
        <v>2330</v>
      </c>
      <c r="B1051" s="75">
        <v>52.0</v>
      </c>
      <c r="C1051" s="75" t="s">
        <v>2094</v>
      </c>
      <c r="D1051" s="76" t="s">
        <v>2244</v>
      </c>
      <c r="E1051" s="53" t="s">
        <v>852</v>
      </c>
      <c r="F1051" s="54"/>
      <c r="G1051" s="55">
        <v>4090.0</v>
      </c>
      <c r="DN1051" s="57">
        <v>1.0</v>
      </c>
    </row>
    <row r="1052">
      <c r="A1052" s="75" t="s">
        <v>2331</v>
      </c>
      <c r="B1052" s="75">
        <v>53.0</v>
      </c>
      <c r="C1052" s="75" t="s">
        <v>2094</v>
      </c>
      <c r="D1052" s="76" t="s">
        <v>1483</v>
      </c>
      <c r="E1052" s="53" t="s">
        <v>885</v>
      </c>
      <c r="F1052" s="54"/>
      <c r="G1052" s="83">
        <v>5090.0</v>
      </c>
      <c r="DN1052" s="57">
        <v>1.0</v>
      </c>
    </row>
    <row r="1053">
      <c r="A1053" s="75" t="s">
        <v>2332</v>
      </c>
      <c r="B1053" s="75">
        <v>53.0</v>
      </c>
      <c r="C1053" s="75" t="s">
        <v>2094</v>
      </c>
      <c r="D1053" s="76" t="s">
        <v>2247</v>
      </c>
      <c r="E1053" s="53" t="s">
        <v>885</v>
      </c>
      <c r="F1053" s="54"/>
      <c r="G1053" s="83">
        <v>5090.0</v>
      </c>
      <c r="DN1053" s="57">
        <v>1.0</v>
      </c>
    </row>
    <row r="1054">
      <c r="A1054" s="75" t="s">
        <v>2333</v>
      </c>
      <c r="B1054" s="75">
        <v>51.0</v>
      </c>
      <c r="C1054" s="75" t="s">
        <v>2094</v>
      </c>
      <c r="D1054" s="76" t="s">
        <v>2334</v>
      </c>
      <c r="E1054" s="53" t="s">
        <v>978</v>
      </c>
      <c r="F1054" s="54"/>
      <c r="G1054" s="55">
        <v>4990.0</v>
      </c>
      <c r="DN1054" s="57">
        <v>2.0</v>
      </c>
    </row>
    <row r="1055">
      <c r="A1055" s="109" t="s">
        <v>2335</v>
      </c>
      <c r="B1055" s="109">
        <v>51.0</v>
      </c>
      <c r="C1055" s="75" t="s">
        <v>2094</v>
      </c>
      <c r="D1055" s="76" t="s">
        <v>2098</v>
      </c>
      <c r="E1055" s="53" t="s">
        <v>932</v>
      </c>
      <c r="F1055" s="76"/>
      <c r="G1055" s="83">
        <v>4990.0</v>
      </c>
      <c r="DN1055" s="77">
        <v>1.0</v>
      </c>
    </row>
    <row r="1056">
      <c r="A1056" s="75" t="s">
        <v>2336</v>
      </c>
      <c r="B1056" s="75">
        <v>52.0</v>
      </c>
      <c r="C1056" s="75" t="s">
        <v>2094</v>
      </c>
      <c r="D1056" s="76" t="s">
        <v>2337</v>
      </c>
      <c r="E1056" s="53" t="s">
        <v>1416</v>
      </c>
      <c r="F1056" s="54"/>
      <c r="G1056" s="83">
        <v>3890.0</v>
      </c>
      <c r="DN1056" s="57">
        <v>3.0</v>
      </c>
    </row>
    <row r="1057">
      <c r="A1057" s="75" t="s">
        <v>2338</v>
      </c>
      <c r="B1057" s="75">
        <v>56.0</v>
      </c>
      <c r="C1057" s="75" t="s">
        <v>2094</v>
      </c>
      <c r="D1057" s="76" t="s">
        <v>2194</v>
      </c>
      <c r="E1057" s="53" t="s">
        <v>885</v>
      </c>
      <c r="F1057" s="54"/>
      <c r="G1057" s="83">
        <v>4390.0</v>
      </c>
      <c r="DN1057" s="77">
        <v>1.0</v>
      </c>
    </row>
    <row r="1058">
      <c r="A1058" s="75" t="s">
        <v>2339</v>
      </c>
      <c r="B1058" s="75">
        <v>54.0</v>
      </c>
      <c r="C1058" s="75" t="s">
        <v>2094</v>
      </c>
      <c r="D1058" s="76" t="s">
        <v>2194</v>
      </c>
      <c r="E1058" s="53" t="s">
        <v>885</v>
      </c>
      <c r="F1058" s="54"/>
      <c r="G1058" s="83">
        <v>7190.0</v>
      </c>
      <c r="DN1058" s="57">
        <v>1.0</v>
      </c>
    </row>
    <row r="1059">
      <c r="A1059" s="75" t="s">
        <v>2340</v>
      </c>
      <c r="B1059" s="75">
        <v>54.0</v>
      </c>
      <c r="C1059" s="75" t="s">
        <v>2094</v>
      </c>
      <c r="D1059" s="76" t="s">
        <v>1668</v>
      </c>
      <c r="E1059" s="53" t="s">
        <v>885</v>
      </c>
      <c r="F1059" s="54"/>
      <c r="G1059" s="83">
        <v>7190.0</v>
      </c>
      <c r="DN1059" s="57">
        <v>1.0</v>
      </c>
    </row>
    <row r="1060">
      <c r="A1060" s="108" t="s">
        <v>2341</v>
      </c>
      <c r="B1060" s="108">
        <v>54.0</v>
      </c>
      <c r="C1060" s="75" t="s">
        <v>2094</v>
      </c>
      <c r="D1060" s="76" t="s">
        <v>2194</v>
      </c>
      <c r="E1060" s="53" t="s">
        <v>885</v>
      </c>
      <c r="F1060" s="54"/>
      <c r="G1060" s="83">
        <v>7190.0</v>
      </c>
      <c r="DN1060" s="57">
        <v>1.0</v>
      </c>
    </row>
    <row r="1061">
      <c r="A1061" s="75" t="s">
        <v>2342</v>
      </c>
      <c r="B1061" s="75">
        <v>54.0</v>
      </c>
      <c r="C1061" s="75" t="s">
        <v>2094</v>
      </c>
      <c r="D1061" s="76" t="s">
        <v>2240</v>
      </c>
      <c r="E1061" s="53" t="s">
        <v>885</v>
      </c>
      <c r="F1061" s="54"/>
      <c r="G1061" s="83">
        <v>7190.0</v>
      </c>
      <c r="DN1061" s="57">
        <v>1.0</v>
      </c>
    </row>
    <row r="1062">
      <c r="A1062" s="75" t="s">
        <v>2343</v>
      </c>
      <c r="B1062" s="75"/>
      <c r="C1062" s="75" t="s">
        <v>2343</v>
      </c>
      <c r="D1062" s="76" t="s">
        <v>2344</v>
      </c>
      <c r="E1062" s="53" t="s">
        <v>874</v>
      </c>
      <c r="F1062" s="54"/>
      <c r="G1062" s="55">
        <v>2100.0</v>
      </c>
      <c r="DN1062" s="77">
        <v>0.0</v>
      </c>
    </row>
    <row r="1063">
      <c r="A1063" s="75" t="s">
        <v>2345</v>
      </c>
      <c r="B1063" s="75"/>
      <c r="C1063" s="75" t="s">
        <v>2345</v>
      </c>
      <c r="D1063" s="76" t="s">
        <v>2346</v>
      </c>
      <c r="E1063" s="53" t="s">
        <v>2347</v>
      </c>
      <c r="F1063" s="54"/>
      <c r="G1063" s="55">
        <v>2100.0</v>
      </c>
      <c r="DN1063" s="77">
        <v>2.0</v>
      </c>
    </row>
    <row r="1064">
      <c r="A1064" s="75" t="s">
        <v>2348</v>
      </c>
      <c r="B1064" s="75"/>
      <c r="C1064" s="75" t="s">
        <v>2348</v>
      </c>
      <c r="D1064" s="76" t="s">
        <v>2349</v>
      </c>
      <c r="E1064" s="53" t="s">
        <v>2350</v>
      </c>
      <c r="F1064" s="54"/>
      <c r="G1064" s="55">
        <v>2100.0</v>
      </c>
      <c r="DN1064" s="77">
        <v>2.0</v>
      </c>
    </row>
    <row r="1065">
      <c r="A1065" s="75" t="s">
        <v>2351</v>
      </c>
      <c r="B1065" s="75"/>
      <c r="C1065" s="75" t="s">
        <v>2351</v>
      </c>
      <c r="D1065" s="76" t="s">
        <v>2352</v>
      </c>
      <c r="E1065" s="53" t="s">
        <v>874</v>
      </c>
      <c r="F1065" s="54"/>
      <c r="G1065" s="55">
        <v>2100.0</v>
      </c>
      <c r="DN1065" s="77">
        <v>2.0</v>
      </c>
    </row>
    <row r="1066">
      <c r="A1066" s="75" t="s">
        <v>2353</v>
      </c>
      <c r="B1066" s="75" t="s">
        <v>2354</v>
      </c>
      <c r="C1066" s="75" t="s">
        <v>2355</v>
      </c>
      <c r="D1066" s="95" t="s">
        <v>2356</v>
      </c>
      <c r="E1066" s="53" t="s">
        <v>885</v>
      </c>
      <c r="F1066" s="54"/>
      <c r="G1066" s="55">
        <v>3800.0</v>
      </c>
      <c r="DN1066" s="57">
        <v>1.0</v>
      </c>
    </row>
    <row r="1067">
      <c r="A1067" s="75" t="s">
        <v>2357</v>
      </c>
      <c r="B1067" s="75" t="s">
        <v>1003</v>
      </c>
      <c r="C1067" s="75" t="s">
        <v>2355</v>
      </c>
      <c r="D1067" s="95" t="s">
        <v>2358</v>
      </c>
      <c r="E1067" s="53" t="s">
        <v>885</v>
      </c>
      <c r="F1067" s="54"/>
      <c r="G1067" s="55">
        <v>3125.0</v>
      </c>
      <c r="DN1067" s="91">
        <v>1.0</v>
      </c>
    </row>
    <row r="1068">
      <c r="A1068" s="75" t="s">
        <v>2359</v>
      </c>
      <c r="B1068" s="75" t="s">
        <v>1003</v>
      </c>
      <c r="C1068" s="75" t="s">
        <v>2355</v>
      </c>
      <c r="D1068" s="76" t="s">
        <v>1227</v>
      </c>
      <c r="E1068" s="53" t="s">
        <v>885</v>
      </c>
      <c r="F1068" s="54"/>
      <c r="G1068" s="83">
        <v>3125.0</v>
      </c>
      <c r="DN1068" s="92">
        <v>1.0</v>
      </c>
    </row>
    <row r="1069">
      <c r="A1069" s="75" t="s">
        <v>2360</v>
      </c>
      <c r="B1069" s="75" t="s">
        <v>1003</v>
      </c>
      <c r="C1069" s="75" t="s">
        <v>2355</v>
      </c>
      <c r="D1069" s="76" t="s">
        <v>2028</v>
      </c>
      <c r="E1069" s="53" t="s">
        <v>885</v>
      </c>
      <c r="F1069" s="54"/>
      <c r="G1069" s="55"/>
      <c r="DN1069" s="91">
        <v>1.0</v>
      </c>
    </row>
    <row r="1070">
      <c r="A1070" s="75" t="s">
        <v>2361</v>
      </c>
      <c r="B1070" s="75"/>
      <c r="C1070" s="75" t="s">
        <v>2355</v>
      </c>
      <c r="D1070" s="76" t="s">
        <v>2358</v>
      </c>
      <c r="E1070" s="53" t="s">
        <v>885</v>
      </c>
      <c r="F1070" s="54"/>
      <c r="G1070" s="55">
        <v>3445.0</v>
      </c>
      <c r="DN1070" s="91">
        <v>1.0</v>
      </c>
    </row>
    <row r="1071">
      <c r="A1071" s="75" t="s">
        <v>2362</v>
      </c>
      <c r="B1071" s="75" t="s">
        <v>1003</v>
      </c>
      <c r="C1071" s="75" t="s">
        <v>2355</v>
      </c>
      <c r="D1071" s="76" t="s">
        <v>2356</v>
      </c>
      <c r="E1071" s="53" t="s">
        <v>885</v>
      </c>
      <c r="F1071" s="76"/>
      <c r="G1071" s="55"/>
      <c r="DN1071" s="91">
        <v>1.0</v>
      </c>
    </row>
    <row r="1072">
      <c r="A1072" s="75" t="s">
        <v>2363</v>
      </c>
      <c r="B1072" s="75"/>
      <c r="C1072" s="75" t="s">
        <v>2355</v>
      </c>
      <c r="D1072" s="76" t="s">
        <v>2356</v>
      </c>
      <c r="E1072" s="53" t="s">
        <v>885</v>
      </c>
      <c r="F1072" s="76"/>
      <c r="G1072" s="55">
        <v>3445.0</v>
      </c>
      <c r="DN1072" s="91">
        <v>1.0</v>
      </c>
    </row>
    <row r="1073">
      <c r="A1073" s="75" t="s">
        <v>2364</v>
      </c>
      <c r="B1073" s="75">
        <v>68.0</v>
      </c>
      <c r="C1073" s="75" t="s">
        <v>2355</v>
      </c>
      <c r="D1073" s="76" t="s">
        <v>2356</v>
      </c>
      <c r="E1073" s="53" t="s">
        <v>885</v>
      </c>
      <c r="F1073" s="54"/>
      <c r="G1073" s="83">
        <v>3125.0</v>
      </c>
      <c r="DN1073" s="91">
        <v>1.0</v>
      </c>
    </row>
    <row r="1074">
      <c r="A1074" s="75" t="s">
        <v>2365</v>
      </c>
      <c r="B1074" s="75" t="s">
        <v>1003</v>
      </c>
      <c r="C1074" s="75" t="s">
        <v>2355</v>
      </c>
      <c r="D1074" s="95" t="s">
        <v>2358</v>
      </c>
      <c r="E1074" s="53" t="s">
        <v>885</v>
      </c>
      <c r="F1074" s="54"/>
      <c r="G1074" s="55">
        <v>3445.0</v>
      </c>
      <c r="DN1074" s="91">
        <v>1.0</v>
      </c>
    </row>
    <row r="1075">
      <c r="A1075" s="75" t="s">
        <v>2366</v>
      </c>
      <c r="B1075" s="75" t="s">
        <v>1003</v>
      </c>
      <c r="C1075" s="75" t="s">
        <v>2355</v>
      </c>
      <c r="D1075" s="76" t="s">
        <v>2358</v>
      </c>
      <c r="E1075" s="53" t="s">
        <v>885</v>
      </c>
      <c r="F1075" s="54"/>
      <c r="G1075" s="55"/>
      <c r="DN1075" s="91">
        <v>1.0</v>
      </c>
    </row>
    <row r="1076">
      <c r="A1076" s="75" t="s">
        <v>2367</v>
      </c>
      <c r="B1076" s="75">
        <v>49.0</v>
      </c>
      <c r="C1076" s="75" t="s">
        <v>2355</v>
      </c>
      <c r="D1076" s="76" t="s">
        <v>2368</v>
      </c>
      <c r="E1076" s="53" t="s">
        <v>978</v>
      </c>
      <c r="F1076" s="54"/>
      <c r="G1076" s="55">
        <v>2475.0</v>
      </c>
      <c r="DN1076" s="91">
        <v>2.0</v>
      </c>
    </row>
    <row r="1077">
      <c r="A1077" s="75" t="s">
        <v>2369</v>
      </c>
      <c r="B1077" s="75">
        <v>49.0</v>
      </c>
      <c r="C1077" s="75" t="s">
        <v>2355</v>
      </c>
      <c r="D1077" s="76" t="s">
        <v>876</v>
      </c>
      <c r="E1077" s="53" t="s">
        <v>978</v>
      </c>
      <c r="F1077" s="54"/>
      <c r="G1077" s="55">
        <v>2475.0</v>
      </c>
      <c r="DN1077" s="91">
        <v>1.0</v>
      </c>
    </row>
    <row r="1078" ht="17.25" customHeight="1">
      <c r="A1078" s="75" t="s">
        <v>2370</v>
      </c>
      <c r="B1078" s="75"/>
      <c r="C1078" s="75" t="s">
        <v>2371</v>
      </c>
      <c r="D1078" s="76" t="s">
        <v>2372</v>
      </c>
      <c r="E1078" s="53" t="s">
        <v>852</v>
      </c>
      <c r="F1078" s="76" t="s">
        <v>2373</v>
      </c>
      <c r="G1078" s="55">
        <v>300.0</v>
      </c>
      <c r="DN1078" s="92">
        <v>6.0</v>
      </c>
    </row>
    <row r="1079">
      <c r="A1079" s="75" t="s">
        <v>2374</v>
      </c>
      <c r="B1079" s="75"/>
      <c r="C1079" s="75" t="s">
        <v>2371</v>
      </c>
      <c r="D1079" s="76" t="s">
        <v>2375</v>
      </c>
      <c r="E1079" s="53" t="s">
        <v>2376</v>
      </c>
      <c r="F1079" s="76" t="s">
        <v>2377</v>
      </c>
      <c r="G1079" s="83">
        <v>850.0</v>
      </c>
      <c r="DN1079" s="91">
        <v>2.0</v>
      </c>
    </row>
    <row r="1080">
      <c r="A1080" s="75" t="s">
        <v>2378</v>
      </c>
      <c r="B1080" s="75"/>
      <c r="C1080" s="75" t="s">
        <v>2371</v>
      </c>
      <c r="D1080" s="76" t="s">
        <v>2379</v>
      </c>
      <c r="E1080" s="53" t="s">
        <v>2380</v>
      </c>
      <c r="F1080" s="76" t="s">
        <v>2381</v>
      </c>
      <c r="G1080" s="83">
        <v>800.0</v>
      </c>
      <c r="DN1080" s="92" t="s">
        <v>2382</v>
      </c>
    </row>
    <row r="1081">
      <c r="A1081" s="75" t="s">
        <v>2383</v>
      </c>
      <c r="B1081" s="75"/>
      <c r="C1081" s="75" t="s">
        <v>2371</v>
      </c>
      <c r="D1081" s="76" t="s">
        <v>2384</v>
      </c>
      <c r="E1081" s="53" t="s">
        <v>852</v>
      </c>
      <c r="F1081" s="76" t="s">
        <v>2385</v>
      </c>
      <c r="G1081" s="55">
        <v>300.0</v>
      </c>
      <c r="DN1081" s="92">
        <v>4.0</v>
      </c>
    </row>
    <row r="1082">
      <c r="A1082" s="75" t="s">
        <v>2386</v>
      </c>
      <c r="B1082" s="75"/>
      <c r="C1082" s="75" t="s">
        <v>2371</v>
      </c>
      <c r="D1082" s="76" t="s">
        <v>2387</v>
      </c>
      <c r="E1082" s="53" t="s">
        <v>2388</v>
      </c>
      <c r="F1082" s="76" t="s">
        <v>2389</v>
      </c>
      <c r="G1082" s="55">
        <v>350.0</v>
      </c>
      <c r="DN1082" s="91">
        <v>2.0</v>
      </c>
    </row>
    <row r="1083">
      <c r="A1083" s="75" t="s">
        <v>2390</v>
      </c>
      <c r="B1083" s="75"/>
      <c r="C1083" s="75" t="s">
        <v>2371</v>
      </c>
      <c r="D1083" s="76" t="s">
        <v>867</v>
      </c>
      <c r="E1083" s="53" t="s">
        <v>856</v>
      </c>
      <c r="F1083" s="76" t="s">
        <v>2373</v>
      </c>
      <c r="G1083" s="55">
        <v>300.0</v>
      </c>
      <c r="DN1083" s="92">
        <v>1.0</v>
      </c>
    </row>
    <row r="1084">
      <c r="A1084" s="75" t="s">
        <v>2391</v>
      </c>
      <c r="B1084" s="75"/>
      <c r="C1084" s="75" t="s">
        <v>2371</v>
      </c>
      <c r="D1084" s="76" t="s">
        <v>2392</v>
      </c>
      <c r="E1084" s="53" t="s">
        <v>2393</v>
      </c>
      <c r="F1084" s="76" t="s">
        <v>2394</v>
      </c>
      <c r="G1084" s="83">
        <v>1000.0</v>
      </c>
      <c r="DN1084" s="92">
        <v>9.0</v>
      </c>
    </row>
    <row r="1085">
      <c r="A1085" s="75" t="s">
        <v>2395</v>
      </c>
      <c r="B1085" s="75"/>
      <c r="C1085" s="75" t="s">
        <v>2371</v>
      </c>
      <c r="D1085" s="76" t="s">
        <v>867</v>
      </c>
      <c r="E1085" s="53" t="s">
        <v>852</v>
      </c>
      <c r="F1085" s="76" t="s">
        <v>2389</v>
      </c>
      <c r="G1085" s="55">
        <v>300.0</v>
      </c>
      <c r="DN1085" s="92">
        <v>0.0</v>
      </c>
    </row>
    <row r="1086">
      <c r="A1086" s="75" t="s">
        <v>2396</v>
      </c>
      <c r="B1086" s="75"/>
      <c r="C1086" s="75" t="s">
        <v>2371</v>
      </c>
      <c r="D1086" s="76" t="s">
        <v>2397</v>
      </c>
      <c r="E1086" s="53" t="s">
        <v>2398</v>
      </c>
      <c r="F1086" s="76" t="s">
        <v>2394</v>
      </c>
      <c r="G1086" s="83">
        <v>600.0</v>
      </c>
      <c r="DN1086" s="91">
        <v>4.0</v>
      </c>
    </row>
    <row r="1087">
      <c r="A1087" s="75" t="s">
        <v>2399</v>
      </c>
      <c r="B1087" s="75"/>
      <c r="C1087" s="75" t="s">
        <v>2371</v>
      </c>
      <c r="D1087" s="76" t="s">
        <v>2400</v>
      </c>
      <c r="E1087" s="53" t="s">
        <v>852</v>
      </c>
      <c r="F1087" s="76" t="s">
        <v>2389</v>
      </c>
      <c r="G1087" s="55">
        <v>300.0</v>
      </c>
      <c r="DN1087" s="91">
        <v>1.0</v>
      </c>
    </row>
    <row r="1088">
      <c r="A1088" s="75" t="s">
        <v>2401</v>
      </c>
      <c r="B1088" s="75"/>
      <c r="C1088" s="75" t="s">
        <v>2371</v>
      </c>
      <c r="D1088" s="76" t="s">
        <v>2402</v>
      </c>
      <c r="E1088" s="53" t="s">
        <v>2403</v>
      </c>
      <c r="F1088" s="76" t="s">
        <v>2404</v>
      </c>
      <c r="G1088" s="55">
        <v>550.0</v>
      </c>
      <c r="DN1088" s="92">
        <v>3.0</v>
      </c>
    </row>
    <row r="1089">
      <c r="A1089" s="75" t="s">
        <v>2405</v>
      </c>
      <c r="B1089" s="75"/>
      <c r="C1089" s="75" t="s">
        <v>2371</v>
      </c>
      <c r="D1089" s="76" t="s">
        <v>2406</v>
      </c>
      <c r="E1089" s="53" t="s">
        <v>852</v>
      </c>
      <c r="F1089" s="76" t="s">
        <v>2373</v>
      </c>
      <c r="G1089" s="83">
        <v>200.0</v>
      </c>
      <c r="DN1089" s="92">
        <v>3.0</v>
      </c>
    </row>
    <row r="1090">
      <c r="A1090" s="75" t="s">
        <v>2407</v>
      </c>
      <c r="B1090" s="75"/>
      <c r="C1090" s="75" t="s">
        <v>2371</v>
      </c>
      <c r="D1090" s="76" t="s">
        <v>2408</v>
      </c>
      <c r="E1090" s="53" t="s">
        <v>2409</v>
      </c>
      <c r="F1090" s="76" t="s">
        <v>2404</v>
      </c>
      <c r="G1090" s="55">
        <v>500.0</v>
      </c>
      <c r="DN1090" s="91">
        <v>1.0</v>
      </c>
    </row>
    <row r="1091">
      <c r="A1091" s="75" t="s">
        <v>2410</v>
      </c>
      <c r="B1091" s="75"/>
      <c r="C1091" s="75" t="s">
        <v>2371</v>
      </c>
      <c r="D1091" s="76" t="s">
        <v>2411</v>
      </c>
      <c r="E1091" s="53" t="s">
        <v>852</v>
      </c>
      <c r="F1091" s="76" t="s">
        <v>2389</v>
      </c>
      <c r="G1091" s="55">
        <v>450.0</v>
      </c>
      <c r="DN1091" s="91">
        <v>1.0</v>
      </c>
    </row>
    <row r="1092">
      <c r="A1092" s="75" t="s">
        <v>2412</v>
      </c>
      <c r="B1092" s="75"/>
      <c r="C1092" s="75" t="s">
        <v>2371</v>
      </c>
      <c r="D1092" s="76" t="s">
        <v>2413</v>
      </c>
      <c r="E1092" s="53" t="s">
        <v>2414</v>
      </c>
      <c r="F1092" s="76" t="s">
        <v>2415</v>
      </c>
      <c r="G1092" s="55">
        <v>450.0</v>
      </c>
      <c r="DN1092" s="91">
        <v>1.0</v>
      </c>
    </row>
    <row r="1093">
      <c r="A1093" s="75" t="s">
        <v>2416</v>
      </c>
      <c r="B1093" s="75"/>
      <c r="C1093" s="75" t="s">
        <v>2371</v>
      </c>
      <c r="D1093" s="76" t="s">
        <v>2417</v>
      </c>
      <c r="E1093" s="53" t="s">
        <v>2409</v>
      </c>
      <c r="F1093" s="76" t="s">
        <v>2404</v>
      </c>
      <c r="G1093" s="83">
        <v>1000.0</v>
      </c>
      <c r="DN1093" s="92">
        <v>1.0</v>
      </c>
    </row>
    <row r="1094">
      <c r="A1094" s="75" t="s">
        <v>2418</v>
      </c>
      <c r="B1094" s="75"/>
      <c r="C1094" s="75" t="s">
        <v>2371</v>
      </c>
      <c r="D1094" s="76" t="s">
        <v>2419</v>
      </c>
      <c r="E1094" s="53" t="s">
        <v>2409</v>
      </c>
      <c r="F1094" s="76" t="s">
        <v>2381</v>
      </c>
      <c r="G1094" s="83">
        <v>1000.0</v>
      </c>
      <c r="DN1094" s="92">
        <v>1.0</v>
      </c>
    </row>
    <row r="1095">
      <c r="A1095" s="75" t="s">
        <v>2420</v>
      </c>
      <c r="B1095" s="75"/>
      <c r="C1095" s="75" t="s">
        <v>2371</v>
      </c>
      <c r="D1095" s="76" t="s">
        <v>2421</v>
      </c>
      <c r="E1095" s="53"/>
      <c r="F1095" s="76" t="s">
        <v>2381</v>
      </c>
      <c r="G1095" s="83">
        <v>1000.0</v>
      </c>
      <c r="DN1095" s="92">
        <v>4.0</v>
      </c>
    </row>
    <row r="1096">
      <c r="A1096" s="75" t="s">
        <v>2422</v>
      </c>
      <c r="B1096" s="75"/>
      <c r="C1096" s="75" t="s">
        <v>2371</v>
      </c>
      <c r="D1096" s="76" t="s">
        <v>2400</v>
      </c>
      <c r="E1096" s="53" t="s">
        <v>852</v>
      </c>
      <c r="F1096" s="76" t="s">
        <v>2389</v>
      </c>
      <c r="G1096" s="55">
        <v>400.0</v>
      </c>
      <c r="DN1096" s="92">
        <v>1.0</v>
      </c>
    </row>
    <row r="1097">
      <c r="A1097" s="75" t="s">
        <v>2423</v>
      </c>
      <c r="B1097" s="75"/>
      <c r="C1097" s="75" t="s">
        <v>2371</v>
      </c>
      <c r="D1097" s="76" t="s">
        <v>2424</v>
      </c>
      <c r="E1097" s="53" t="s">
        <v>858</v>
      </c>
      <c r="F1097" s="76" t="s">
        <v>2404</v>
      </c>
      <c r="G1097" s="55">
        <v>550.0</v>
      </c>
      <c r="DN1097" s="92">
        <v>4.0</v>
      </c>
    </row>
    <row r="1098">
      <c r="A1098" s="75" t="s">
        <v>2425</v>
      </c>
      <c r="B1098" s="75"/>
      <c r="C1098" s="75" t="s">
        <v>2371</v>
      </c>
      <c r="D1098" s="76" t="s">
        <v>2426</v>
      </c>
      <c r="E1098" s="53" t="s">
        <v>2380</v>
      </c>
      <c r="F1098" s="76" t="s">
        <v>2404</v>
      </c>
      <c r="G1098" s="55">
        <v>500.0</v>
      </c>
      <c r="DN1098" s="92">
        <v>7.0</v>
      </c>
    </row>
    <row r="1099">
      <c r="A1099" s="133" t="s">
        <v>2427</v>
      </c>
      <c r="B1099" s="133"/>
      <c r="C1099" s="75" t="s">
        <v>2371</v>
      </c>
      <c r="D1099" s="76" t="s">
        <v>2428</v>
      </c>
      <c r="E1099" s="53" t="s">
        <v>2409</v>
      </c>
      <c r="F1099" s="76" t="s">
        <v>2429</v>
      </c>
      <c r="G1099" s="55">
        <v>200.0</v>
      </c>
      <c r="DN1099" s="135">
        <v>8.0</v>
      </c>
    </row>
    <row r="1100">
      <c r="A1100" s="75" t="s">
        <v>2430</v>
      </c>
      <c r="B1100" s="75"/>
      <c r="C1100" s="75" t="s">
        <v>2371</v>
      </c>
      <c r="D1100" s="76" t="s">
        <v>867</v>
      </c>
      <c r="E1100" s="75" t="s">
        <v>2431</v>
      </c>
      <c r="F1100" s="76" t="s">
        <v>2389</v>
      </c>
      <c r="G1100" s="55">
        <v>450.0</v>
      </c>
      <c r="DN1100" s="92">
        <v>0.0</v>
      </c>
    </row>
    <row r="1101">
      <c r="A1101" s="75" t="s">
        <v>2432</v>
      </c>
      <c r="B1101" s="75"/>
      <c r="C1101" s="75" t="s">
        <v>2371</v>
      </c>
      <c r="D1101" s="96" t="s">
        <v>2433</v>
      </c>
      <c r="E1101" s="53" t="s">
        <v>2434</v>
      </c>
      <c r="F1101" s="76" t="s">
        <v>2435</v>
      </c>
      <c r="G1101" s="55">
        <v>350.0</v>
      </c>
      <c r="DN1101" s="92">
        <v>2.0</v>
      </c>
    </row>
    <row r="1102">
      <c r="A1102" s="75" t="s">
        <v>2436</v>
      </c>
      <c r="B1102" s="75"/>
      <c r="C1102" s="75" t="s">
        <v>2371</v>
      </c>
      <c r="D1102" s="76" t="s">
        <v>2437</v>
      </c>
      <c r="E1102" s="53" t="s">
        <v>852</v>
      </c>
      <c r="F1102" s="76" t="s">
        <v>2394</v>
      </c>
      <c r="G1102" s="55">
        <v>400.0</v>
      </c>
      <c r="DN1102" s="92">
        <v>1.0</v>
      </c>
    </row>
    <row r="1103" ht="17.25" customHeight="1">
      <c r="A1103" s="75" t="s">
        <v>2438</v>
      </c>
      <c r="B1103" s="75"/>
      <c r="C1103" s="75" t="s">
        <v>2371</v>
      </c>
      <c r="D1103" s="96" t="s">
        <v>2439</v>
      </c>
      <c r="E1103" s="53" t="s">
        <v>2440</v>
      </c>
      <c r="F1103" s="76" t="s">
        <v>2441</v>
      </c>
      <c r="G1103" s="55">
        <v>100.0</v>
      </c>
      <c r="DN1103" s="92">
        <v>23.0</v>
      </c>
    </row>
    <row r="1104">
      <c r="A1104" s="75" t="s">
        <v>2443</v>
      </c>
      <c r="B1104" s="75"/>
      <c r="C1104" s="75" t="s">
        <v>2371</v>
      </c>
      <c r="D1104" s="76" t="s">
        <v>867</v>
      </c>
      <c r="E1104" s="53"/>
      <c r="F1104" s="76"/>
      <c r="G1104" s="83">
        <v>300.0</v>
      </c>
      <c r="DN1104" s="92">
        <v>0.0</v>
      </c>
    </row>
    <row r="1105">
      <c r="A1105" s="75" t="s">
        <v>2444</v>
      </c>
      <c r="B1105" s="75"/>
      <c r="C1105" s="75" t="s">
        <v>2371</v>
      </c>
      <c r="D1105" s="76" t="s">
        <v>2445</v>
      </c>
      <c r="E1105" s="53" t="s">
        <v>852</v>
      </c>
      <c r="F1105" s="76" t="s">
        <v>2373</v>
      </c>
      <c r="G1105" s="55">
        <v>300.0</v>
      </c>
      <c r="DN1105" s="91">
        <v>3.0</v>
      </c>
    </row>
    <row r="1106">
      <c r="A1106" s="75" t="s">
        <v>423</v>
      </c>
      <c r="B1106" s="75"/>
      <c r="C1106" s="75" t="s">
        <v>2371</v>
      </c>
      <c r="D1106" s="76" t="s">
        <v>2446</v>
      </c>
      <c r="E1106" s="53" t="s">
        <v>2447</v>
      </c>
      <c r="F1106" s="76" t="s">
        <v>2404</v>
      </c>
      <c r="G1106" s="55">
        <v>400.0</v>
      </c>
      <c r="DN1106" s="92">
        <v>4.0</v>
      </c>
    </row>
    <row r="1107">
      <c r="A1107" s="75" t="s">
        <v>2448</v>
      </c>
      <c r="B1107" s="75"/>
      <c r="C1107" s="75" t="s">
        <v>2371</v>
      </c>
      <c r="D1107" s="76" t="s">
        <v>2449</v>
      </c>
      <c r="E1107" s="53" t="s">
        <v>852</v>
      </c>
      <c r="F1107" s="76" t="s">
        <v>2394</v>
      </c>
      <c r="G1107" s="55">
        <v>500.0</v>
      </c>
      <c r="DN1107" s="92">
        <v>1.0</v>
      </c>
    </row>
    <row r="1108">
      <c r="A1108" s="75" t="s">
        <v>2450</v>
      </c>
      <c r="B1108" s="75"/>
      <c r="C1108" s="75" t="s">
        <v>2371</v>
      </c>
      <c r="D1108" s="76" t="s">
        <v>2451</v>
      </c>
      <c r="E1108" s="53" t="s">
        <v>2452</v>
      </c>
      <c r="F1108" s="76" t="s">
        <v>2373</v>
      </c>
      <c r="G1108" s="83">
        <v>250.0</v>
      </c>
      <c r="DN1108" s="92">
        <v>36.0</v>
      </c>
    </row>
    <row r="1109">
      <c r="A1109" s="75" t="s">
        <v>2454</v>
      </c>
      <c r="B1109" s="75"/>
      <c r="C1109" s="75" t="s">
        <v>2371</v>
      </c>
      <c r="D1109" s="76" t="s">
        <v>2455</v>
      </c>
      <c r="E1109" s="53" t="s">
        <v>2409</v>
      </c>
      <c r="F1109" s="76" t="s">
        <v>2373</v>
      </c>
      <c r="G1109" s="83">
        <v>100.0</v>
      </c>
      <c r="DN1109" s="91">
        <v>1.0</v>
      </c>
    </row>
    <row r="1110">
      <c r="A1110" s="75" t="s">
        <v>2456</v>
      </c>
      <c r="B1110" s="75"/>
      <c r="C1110" s="75" t="s">
        <v>2371</v>
      </c>
      <c r="D1110" s="76" t="s">
        <v>2457</v>
      </c>
      <c r="E1110" s="53" t="s">
        <v>2409</v>
      </c>
      <c r="F1110" s="76" t="s">
        <v>2394</v>
      </c>
      <c r="G1110" s="55">
        <v>350.0</v>
      </c>
      <c r="DN1110" s="92">
        <v>2.0</v>
      </c>
    </row>
    <row r="1111">
      <c r="A1111" s="75" t="s">
        <v>2458</v>
      </c>
      <c r="B1111" s="75"/>
      <c r="C1111" s="75" t="s">
        <v>2371</v>
      </c>
      <c r="D1111" s="76" t="s">
        <v>2459</v>
      </c>
      <c r="E1111" s="53" t="s">
        <v>858</v>
      </c>
      <c r="F1111" s="76" t="s">
        <v>2394</v>
      </c>
      <c r="G1111" s="55">
        <v>1000.0</v>
      </c>
      <c r="DN1111" s="92">
        <v>11.0</v>
      </c>
    </row>
    <row r="1112">
      <c r="A1112" s="75" t="s">
        <v>2460</v>
      </c>
      <c r="B1112" s="75"/>
      <c r="C1112" s="75" t="s">
        <v>2371</v>
      </c>
      <c r="D1112" s="76" t="s">
        <v>2461</v>
      </c>
      <c r="E1112" s="53" t="s">
        <v>856</v>
      </c>
      <c r="F1112" s="76" t="s">
        <v>2394</v>
      </c>
      <c r="G1112" s="55">
        <v>750.0</v>
      </c>
      <c r="DN1112" s="91">
        <v>4.0</v>
      </c>
    </row>
    <row r="1113">
      <c r="A1113" s="75" t="s">
        <v>2462</v>
      </c>
      <c r="B1113" s="75"/>
      <c r="C1113" s="75" t="s">
        <v>2371</v>
      </c>
      <c r="D1113" s="76" t="s">
        <v>2463</v>
      </c>
      <c r="E1113" s="53"/>
      <c r="F1113" s="76" t="s">
        <v>2415</v>
      </c>
      <c r="G1113" s="83">
        <v>500.0</v>
      </c>
      <c r="DN1113" s="91">
        <v>1.0</v>
      </c>
    </row>
    <row r="1114">
      <c r="A1114" s="75" t="s">
        <v>2464</v>
      </c>
      <c r="B1114" s="75"/>
      <c r="C1114" s="75" t="s">
        <v>2371</v>
      </c>
      <c r="D1114" s="76" t="s">
        <v>2465</v>
      </c>
      <c r="E1114" s="53"/>
      <c r="F1114" s="76" t="s">
        <v>2466</v>
      </c>
      <c r="G1114" s="83">
        <v>1200.0</v>
      </c>
      <c r="DN1114" s="92">
        <v>3.0</v>
      </c>
    </row>
    <row r="1115">
      <c r="A1115" s="75" t="s">
        <v>2467</v>
      </c>
      <c r="B1115" s="75"/>
      <c r="C1115" s="75" t="s">
        <v>2371</v>
      </c>
      <c r="D1115" s="76" t="s">
        <v>867</v>
      </c>
      <c r="E1115" s="53" t="s">
        <v>852</v>
      </c>
      <c r="F1115" s="76" t="s">
        <v>2468</v>
      </c>
      <c r="G1115" s="55">
        <v>500.0</v>
      </c>
      <c r="DN1115" s="92">
        <v>0.0</v>
      </c>
    </row>
    <row r="1116">
      <c r="A1116" s="75" t="s">
        <v>2469</v>
      </c>
      <c r="B1116" s="75"/>
      <c r="C1116" s="75" t="s">
        <v>2371</v>
      </c>
      <c r="D1116" s="76" t="s">
        <v>2470</v>
      </c>
      <c r="E1116" s="53" t="s">
        <v>858</v>
      </c>
      <c r="F1116" s="76" t="s">
        <v>2394</v>
      </c>
      <c r="G1116" s="55">
        <v>800.0</v>
      </c>
      <c r="DN1116" s="92">
        <v>3.0</v>
      </c>
    </row>
    <row r="1117">
      <c r="A1117" s="75" t="s">
        <v>2471</v>
      </c>
      <c r="B1117" s="75"/>
      <c r="C1117" s="75" t="s">
        <v>2371</v>
      </c>
      <c r="D1117" s="76" t="s">
        <v>2472</v>
      </c>
      <c r="E1117" s="53" t="s">
        <v>852</v>
      </c>
      <c r="F1117" s="76" t="s">
        <v>2394</v>
      </c>
      <c r="G1117" s="55">
        <v>800.0</v>
      </c>
      <c r="DN1117" s="92">
        <v>3.0</v>
      </c>
    </row>
    <row r="1118">
      <c r="A1118" s="75" t="s">
        <v>2473</v>
      </c>
      <c r="B1118" s="75"/>
      <c r="C1118" s="75" t="s">
        <v>2371</v>
      </c>
      <c r="D1118" s="76" t="s">
        <v>2474</v>
      </c>
      <c r="E1118" s="53" t="s">
        <v>2409</v>
      </c>
      <c r="F1118" s="76" t="s">
        <v>2394</v>
      </c>
      <c r="G1118" s="83" t="s">
        <v>2475</v>
      </c>
      <c r="DN1118" s="92">
        <v>9.0</v>
      </c>
    </row>
    <row r="1119">
      <c r="A1119" s="75" t="s">
        <v>2476</v>
      </c>
      <c r="B1119" s="75"/>
      <c r="C1119" s="75" t="s">
        <v>2371</v>
      </c>
      <c r="D1119" s="76" t="s">
        <v>2477</v>
      </c>
      <c r="E1119" s="53" t="s">
        <v>852</v>
      </c>
      <c r="F1119" s="76" t="s">
        <v>2381</v>
      </c>
      <c r="G1119" s="83">
        <v>800.0</v>
      </c>
      <c r="DN1119" s="92">
        <v>2.0</v>
      </c>
    </row>
    <row r="1120">
      <c r="A1120" s="75" t="s">
        <v>2478</v>
      </c>
      <c r="B1120" s="75"/>
      <c r="C1120" s="75" t="s">
        <v>2371</v>
      </c>
      <c r="D1120" s="76" t="s">
        <v>2479</v>
      </c>
      <c r="E1120" s="53" t="s">
        <v>852</v>
      </c>
      <c r="F1120" s="76" t="s">
        <v>2404</v>
      </c>
      <c r="G1120" s="55">
        <v>350.0</v>
      </c>
      <c r="DN1120" s="91">
        <v>4.0</v>
      </c>
    </row>
    <row r="1121">
      <c r="A1121" s="75" t="s">
        <v>2480</v>
      </c>
      <c r="B1121" s="75"/>
      <c r="C1121" s="75" t="s">
        <v>2371</v>
      </c>
      <c r="D1121" s="76" t="s">
        <v>867</v>
      </c>
      <c r="E1121" s="53" t="s">
        <v>1050</v>
      </c>
      <c r="F1121" s="76" t="s">
        <v>2404</v>
      </c>
      <c r="G1121" s="55">
        <v>400.0</v>
      </c>
      <c r="DN1121" s="92">
        <v>0.0</v>
      </c>
    </row>
    <row r="1122">
      <c r="A1122" s="75" t="s">
        <v>2481</v>
      </c>
      <c r="B1122" s="75"/>
      <c r="C1122" s="75" t="s">
        <v>2371</v>
      </c>
      <c r="D1122" s="76" t="s">
        <v>2482</v>
      </c>
      <c r="E1122" s="53" t="s">
        <v>852</v>
      </c>
      <c r="F1122" s="76" t="s">
        <v>2404</v>
      </c>
      <c r="G1122" s="55">
        <v>400.0</v>
      </c>
      <c r="DN1122" s="92">
        <v>1.0</v>
      </c>
    </row>
    <row r="1123">
      <c r="A1123" s="75" t="s">
        <v>2483</v>
      </c>
      <c r="B1123" s="75"/>
      <c r="C1123" s="75" t="s">
        <v>2371</v>
      </c>
      <c r="D1123" s="76" t="s">
        <v>2484</v>
      </c>
      <c r="E1123" s="53" t="s">
        <v>856</v>
      </c>
      <c r="F1123" s="76" t="s">
        <v>2404</v>
      </c>
      <c r="G1123" s="83">
        <v>400.0</v>
      </c>
      <c r="DN1123" s="92">
        <v>2.0</v>
      </c>
    </row>
    <row r="1124">
      <c r="A1124" s="75" t="s">
        <v>2485</v>
      </c>
      <c r="B1124" s="75"/>
      <c r="C1124" s="75" t="s">
        <v>2371</v>
      </c>
      <c r="D1124" s="76" t="s">
        <v>867</v>
      </c>
      <c r="E1124" s="53" t="s">
        <v>856</v>
      </c>
      <c r="F1124" s="76" t="s">
        <v>2404</v>
      </c>
      <c r="G1124" s="55">
        <v>800.0</v>
      </c>
      <c r="DN1124" s="92">
        <v>0.0</v>
      </c>
    </row>
    <row r="1125">
      <c r="A1125" s="75" t="s">
        <v>2486</v>
      </c>
      <c r="B1125" s="75"/>
      <c r="C1125" s="75" t="s">
        <v>2371</v>
      </c>
      <c r="D1125" s="76" t="s">
        <v>2487</v>
      </c>
      <c r="E1125" s="53" t="s">
        <v>852</v>
      </c>
      <c r="F1125" s="76" t="s">
        <v>2373</v>
      </c>
      <c r="G1125" s="55">
        <v>250.0</v>
      </c>
      <c r="DN1125" s="91">
        <v>2.0</v>
      </c>
    </row>
    <row r="1126">
      <c r="A1126" s="75" t="s">
        <v>2488</v>
      </c>
      <c r="B1126" s="75"/>
      <c r="C1126" s="75" t="s">
        <v>2371</v>
      </c>
      <c r="D1126" s="76" t="s">
        <v>2489</v>
      </c>
      <c r="E1126" s="53" t="s">
        <v>858</v>
      </c>
      <c r="F1126" s="76" t="s">
        <v>2404</v>
      </c>
      <c r="G1126" s="55">
        <v>750.0</v>
      </c>
      <c r="DN1126" s="91">
        <v>2.0</v>
      </c>
    </row>
    <row r="1127">
      <c r="A1127" s="75" t="s">
        <v>2490</v>
      </c>
      <c r="B1127" s="75"/>
      <c r="C1127" s="75" t="s">
        <v>2371</v>
      </c>
      <c r="D1127" s="76" t="s">
        <v>2491</v>
      </c>
      <c r="E1127" s="53" t="s">
        <v>2492</v>
      </c>
      <c r="F1127" s="76" t="s">
        <v>2404</v>
      </c>
      <c r="G1127" s="55">
        <v>800.0</v>
      </c>
      <c r="DN1127" s="92">
        <v>1.0</v>
      </c>
    </row>
    <row r="1128">
      <c r="A1128" s="75" t="s">
        <v>2493</v>
      </c>
      <c r="B1128" s="75"/>
      <c r="C1128" s="75" t="s">
        <v>2371</v>
      </c>
      <c r="D1128" s="76" t="s">
        <v>2494</v>
      </c>
      <c r="E1128" s="53" t="s">
        <v>852</v>
      </c>
      <c r="F1128" s="76" t="s">
        <v>2404</v>
      </c>
      <c r="G1128" s="55">
        <v>800.0</v>
      </c>
      <c r="DN1128" s="92">
        <v>1.0</v>
      </c>
    </row>
    <row r="1129">
      <c r="A1129" s="75" t="s">
        <v>2495</v>
      </c>
      <c r="B1129" s="75"/>
      <c r="C1129" s="75" t="s">
        <v>2371</v>
      </c>
      <c r="D1129" s="76" t="s">
        <v>2496</v>
      </c>
      <c r="E1129" s="53" t="s">
        <v>1050</v>
      </c>
      <c r="F1129" s="76" t="s">
        <v>2404</v>
      </c>
      <c r="G1129" s="55">
        <v>1000.0</v>
      </c>
      <c r="DN1129" s="92">
        <v>1.0</v>
      </c>
    </row>
    <row r="1130">
      <c r="A1130" s="75" t="s">
        <v>2497</v>
      </c>
      <c r="B1130" s="75"/>
      <c r="C1130" s="75" t="s">
        <v>2371</v>
      </c>
      <c r="D1130" s="76" t="s">
        <v>867</v>
      </c>
      <c r="E1130" s="53" t="s">
        <v>1050</v>
      </c>
      <c r="F1130" s="76" t="s">
        <v>2404</v>
      </c>
      <c r="G1130" s="55">
        <v>900.0</v>
      </c>
      <c r="DN1130" s="91">
        <v>1.0</v>
      </c>
    </row>
    <row r="1131">
      <c r="A1131" s="75" t="s">
        <v>2498</v>
      </c>
      <c r="B1131" s="75"/>
      <c r="C1131" s="75" t="s">
        <v>2371</v>
      </c>
      <c r="D1131" s="76" t="s">
        <v>1049</v>
      </c>
      <c r="E1131" s="53" t="s">
        <v>1050</v>
      </c>
      <c r="F1131" s="76" t="s">
        <v>2404</v>
      </c>
      <c r="G1131" s="55">
        <v>550.0</v>
      </c>
      <c r="DN1131" s="91">
        <v>1.0</v>
      </c>
    </row>
    <row r="1132">
      <c r="A1132" s="121" t="s">
        <v>2499</v>
      </c>
      <c r="B1132" s="121"/>
      <c r="C1132" s="121" t="s">
        <v>2371</v>
      </c>
      <c r="D1132" s="96" t="s">
        <v>2500</v>
      </c>
      <c r="E1132" s="53" t="s">
        <v>1050</v>
      </c>
      <c r="F1132" s="96" t="s">
        <v>2404</v>
      </c>
      <c r="G1132" s="136">
        <v>500.0</v>
      </c>
      <c r="DN1132" s="91">
        <v>2.0</v>
      </c>
    </row>
    <row r="1133">
      <c r="A1133" s="75" t="s">
        <v>2501</v>
      </c>
      <c r="B1133" s="75"/>
      <c r="C1133" s="75"/>
      <c r="D1133" s="76" t="s">
        <v>2502</v>
      </c>
      <c r="E1133" s="53"/>
      <c r="F1133" s="76" t="s">
        <v>2381</v>
      </c>
      <c r="G1133" s="83">
        <v>800.0</v>
      </c>
      <c r="DN1133" s="92">
        <v>2.0</v>
      </c>
    </row>
    <row r="1134">
      <c r="A1134" s="75" t="s">
        <v>2503</v>
      </c>
      <c r="B1134" s="75"/>
      <c r="C1134" s="75" t="s">
        <v>2371</v>
      </c>
      <c r="D1134" s="76" t="s">
        <v>867</v>
      </c>
      <c r="E1134" s="53" t="s">
        <v>856</v>
      </c>
      <c r="F1134" s="76" t="s">
        <v>2404</v>
      </c>
      <c r="G1134" s="83">
        <v>450.0</v>
      </c>
      <c r="DN1134" s="92">
        <v>1.0</v>
      </c>
    </row>
    <row r="1135">
      <c r="A1135" s="75" t="s">
        <v>2504</v>
      </c>
      <c r="B1135" s="75"/>
      <c r="C1135" s="75" t="s">
        <v>2371</v>
      </c>
      <c r="D1135" s="76" t="s">
        <v>2505</v>
      </c>
      <c r="E1135" s="137" t="s">
        <v>2506</v>
      </c>
      <c r="F1135" s="76"/>
      <c r="G1135" s="83">
        <v>500.0</v>
      </c>
      <c r="DN1135" s="77">
        <v>2.0</v>
      </c>
    </row>
    <row r="1136">
      <c r="A1136" s="75" t="s">
        <v>2507</v>
      </c>
      <c r="B1136" s="75"/>
      <c r="C1136" s="75" t="s">
        <v>2371</v>
      </c>
      <c r="D1136" s="76" t="s">
        <v>1123</v>
      </c>
      <c r="E1136" s="53" t="s">
        <v>858</v>
      </c>
      <c r="F1136" s="76" t="s">
        <v>2404</v>
      </c>
      <c r="G1136" s="55">
        <v>1000.0</v>
      </c>
      <c r="DN1136" s="77">
        <v>10.0</v>
      </c>
    </row>
    <row r="1137">
      <c r="A1137" s="75" t="s">
        <v>2508</v>
      </c>
      <c r="B1137" s="75"/>
      <c r="C1137" s="75" t="s">
        <v>2371</v>
      </c>
      <c r="D1137" s="76" t="s">
        <v>867</v>
      </c>
      <c r="E1137" s="53" t="s">
        <v>856</v>
      </c>
      <c r="F1137" s="76" t="s">
        <v>2404</v>
      </c>
      <c r="G1137" s="55">
        <v>1000.0</v>
      </c>
      <c r="DN1137" s="77">
        <v>0.0</v>
      </c>
    </row>
    <row r="1138">
      <c r="A1138" s="75" t="s">
        <v>2509</v>
      </c>
      <c r="B1138" s="75"/>
      <c r="C1138" s="75" t="s">
        <v>2371</v>
      </c>
      <c r="D1138" s="76" t="s">
        <v>2510</v>
      </c>
      <c r="E1138" s="53" t="s">
        <v>852</v>
      </c>
      <c r="F1138" s="76"/>
      <c r="G1138" s="83">
        <v>600.0</v>
      </c>
      <c r="DN1138" s="77">
        <v>3.0</v>
      </c>
    </row>
    <row r="1139">
      <c r="A1139" s="75" t="s">
        <v>2511</v>
      </c>
      <c r="B1139" s="75"/>
      <c r="C1139" s="75" t="s">
        <v>2371</v>
      </c>
      <c r="D1139" s="76" t="s">
        <v>2512</v>
      </c>
      <c r="E1139" s="53" t="s">
        <v>856</v>
      </c>
      <c r="F1139" s="76" t="s">
        <v>2404</v>
      </c>
      <c r="G1139" s="83">
        <v>800.0</v>
      </c>
      <c r="DN1139" s="77">
        <v>8.0</v>
      </c>
    </row>
    <row r="1140">
      <c r="A1140" s="75" t="s">
        <v>2513</v>
      </c>
      <c r="B1140" s="75"/>
      <c r="C1140" s="75" t="s">
        <v>2371</v>
      </c>
      <c r="D1140" s="76" t="s">
        <v>2514</v>
      </c>
      <c r="E1140" s="53" t="s">
        <v>852</v>
      </c>
      <c r="F1140" s="76" t="s">
        <v>2373</v>
      </c>
      <c r="G1140" s="55">
        <v>250.0</v>
      </c>
      <c r="DN1140" s="57">
        <v>4.0</v>
      </c>
    </row>
    <row r="1141">
      <c r="A1141" s="75" t="s">
        <v>2515</v>
      </c>
      <c r="B1141" s="75"/>
      <c r="C1141" s="75" t="s">
        <v>2371</v>
      </c>
      <c r="D1141" s="76" t="s">
        <v>2516</v>
      </c>
      <c r="E1141" s="53" t="s">
        <v>852</v>
      </c>
      <c r="F1141" s="76" t="s">
        <v>2373</v>
      </c>
      <c r="G1141" s="55">
        <v>200.0</v>
      </c>
      <c r="DN1141" s="77">
        <v>6.0</v>
      </c>
    </row>
    <row r="1142">
      <c r="A1142" s="75" t="s">
        <v>2517</v>
      </c>
      <c r="B1142" s="75"/>
      <c r="C1142" s="75" t="s">
        <v>2371</v>
      </c>
      <c r="D1142" s="76" t="s">
        <v>2518</v>
      </c>
      <c r="E1142" s="53" t="s">
        <v>852</v>
      </c>
      <c r="F1142" s="76" t="s">
        <v>2373</v>
      </c>
      <c r="G1142" s="55">
        <v>350.0</v>
      </c>
      <c r="DN1142" s="77">
        <v>1.0</v>
      </c>
    </row>
    <row r="1143">
      <c r="A1143" s="75" t="s">
        <v>2519</v>
      </c>
      <c r="B1143" s="75"/>
      <c r="C1143" s="75" t="s">
        <v>2371</v>
      </c>
      <c r="D1143" s="76" t="s">
        <v>2520</v>
      </c>
      <c r="E1143" s="53" t="s">
        <v>2521</v>
      </c>
      <c r="F1143" s="76" t="s">
        <v>2522</v>
      </c>
      <c r="G1143" s="55">
        <v>300.0</v>
      </c>
      <c r="DN1143" s="57">
        <v>1.0</v>
      </c>
    </row>
    <row r="1144">
      <c r="A1144" s="75" t="s">
        <v>2523</v>
      </c>
      <c r="B1144" s="75"/>
      <c r="C1144" s="75" t="s">
        <v>2371</v>
      </c>
      <c r="D1144" s="76" t="s">
        <v>867</v>
      </c>
      <c r="E1144" s="53" t="s">
        <v>856</v>
      </c>
      <c r="F1144" s="76" t="s">
        <v>2404</v>
      </c>
      <c r="G1144" s="55">
        <v>500.0</v>
      </c>
      <c r="DN1144" s="77">
        <v>0.0</v>
      </c>
    </row>
    <row r="1145">
      <c r="A1145" s="75" t="s">
        <v>2524</v>
      </c>
      <c r="B1145" s="75"/>
      <c r="C1145" s="75" t="s">
        <v>2371</v>
      </c>
      <c r="D1145" s="76" t="s">
        <v>2525</v>
      </c>
      <c r="E1145" s="53" t="s">
        <v>2526</v>
      </c>
      <c r="F1145" s="76" t="s">
        <v>2404</v>
      </c>
      <c r="G1145" s="83">
        <v>600.0</v>
      </c>
      <c r="DN1145" s="77">
        <v>2.0</v>
      </c>
    </row>
    <row r="1146">
      <c r="A1146" s="75" t="s">
        <v>2527</v>
      </c>
      <c r="B1146" s="75"/>
      <c r="C1146" s="75" t="s">
        <v>2371</v>
      </c>
      <c r="D1146" s="76" t="s">
        <v>2520</v>
      </c>
      <c r="E1146" s="53" t="s">
        <v>852</v>
      </c>
      <c r="F1146" s="76" t="s">
        <v>2404</v>
      </c>
      <c r="G1146" s="55">
        <v>450.0</v>
      </c>
      <c r="DN1146" s="57">
        <v>1.0</v>
      </c>
    </row>
    <row r="1147">
      <c r="A1147" s="75" t="s">
        <v>2528</v>
      </c>
      <c r="B1147" s="75"/>
      <c r="C1147" s="75" t="s">
        <v>2371</v>
      </c>
      <c r="D1147" s="76" t="s">
        <v>1676</v>
      </c>
      <c r="E1147" s="53" t="s">
        <v>852</v>
      </c>
      <c r="F1147" s="76" t="s">
        <v>2373</v>
      </c>
      <c r="G1147" s="55">
        <v>200.0</v>
      </c>
      <c r="DN1147" s="57">
        <v>1.0</v>
      </c>
    </row>
    <row r="1148">
      <c r="A1148" s="75" t="s">
        <v>2529</v>
      </c>
      <c r="B1148" s="75"/>
      <c r="C1148" s="75" t="s">
        <v>2371</v>
      </c>
      <c r="D1148" s="76" t="s">
        <v>2530</v>
      </c>
      <c r="E1148" s="53" t="s">
        <v>2409</v>
      </c>
      <c r="F1148" s="76" t="s">
        <v>2373</v>
      </c>
      <c r="G1148" s="55">
        <v>150.0</v>
      </c>
      <c r="DN1148" s="57">
        <v>1.0</v>
      </c>
    </row>
    <row r="1149">
      <c r="A1149" s="75" t="s">
        <v>2531</v>
      </c>
      <c r="B1149" s="75"/>
      <c r="C1149" s="75" t="s">
        <v>2371</v>
      </c>
      <c r="D1149" s="76" t="s">
        <v>2532</v>
      </c>
      <c r="E1149" s="53" t="s">
        <v>932</v>
      </c>
      <c r="F1149" s="76"/>
      <c r="G1149" s="55">
        <v>300.0</v>
      </c>
      <c r="DN1149" s="77">
        <v>19.0</v>
      </c>
    </row>
    <row r="1150">
      <c r="A1150" s="75" t="s">
        <v>2533</v>
      </c>
      <c r="B1150" s="75"/>
      <c r="C1150" s="75" t="s">
        <v>2371</v>
      </c>
      <c r="D1150" s="76" t="s">
        <v>2534</v>
      </c>
      <c r="E1150" s="53" t="s">
        <v>932</v>
      </c>
      <c r="F1150" s="76"/>
      <c r="G1150" s="55">
        <v>300.0</v>
      </c>
      <c r="DN1150" s="57">
        <v>16.0</v>
      </c>
    </row>
    <row r="1151">
      <c r="A1151" s="75" t="s">
        <v>2535</v>
      </c>
      <c r="B1151" s="75"/>
      <c r="C1151" s="75" t="s">
        <v>2371</v>
      </c>
      <c r="D1151" s="76" t="s">
        <v>2536</v>
      </c>
      <c r="E1151" s="53" t="s">
        <v>932</v>
      </c>
      <c r="F1151" s="76"/>
      <c r="G1151" s="55">
        <v>300.0</v>
      </c>
      <c r="DN1151" s="77">
        <v>24.0</v>
      </c>
    </row>
    <row r="1152">
      <c r="A1152" s="75" t="s">
        <v>2537</v>
      </c>
      <c r="B1152" s="75"/>
      <c r="C1152" s="75" t="s">
        <v>2371</v>
      </c>
      <c r="D1152" s="76" t="s">
        <v>2538</v>
      </c>
      <c r="E1152" s="53" t="s">
        <v>932</v>
      </c>
      <c r="F1152" s="76"/>
      <c r="G1152" s="55">
        <v>300.0</v>
      </c>
      <c r="DN1152" s="57">
        <v>23.0</v>
      </c>
    </row>
    <row r="1153">
      <c r="A1153" s="75" t="s">
        <v>2539</v>
      </c>
      <c r="B1153" s="75"/>
      <c r="C1153" s="75" t="s">
        <v>2371</v>
      </c>
      <c r="D1153" s="76" t="s">
        <v>2540</v>
      </c>
      <c r="E1153" s="53" t="s">
        <v>932</v>
      </c>
      <c r="F1153" s="76"/>
      <c r="G1153" s="55">
        <v>300.0</v>
      </c>
      <c r="DN1153" s="88">
        <v>9.0</v>
      </c>
    </row>
    <row r="1154">
      <c r="A1154" s="75" t="s">
        <v>2541</v>
      </c>
      <c r="B1154" s="75"/>
      <c r="C1154" s="75" t="s">
        <v>2371</v>
      </c>
      <c r="D1154" s="76" t="s">
        <v>2542</v>
      </c>
      <c r="E1154" s="53" t="s">
        <v>932</v>
      </c>
      <c r="F1154" s="76"/>
      <c r="G1154" s="83">
        <v>100.0</v>
      </c>
      <c r="DN1154" s="86">
        <v>7.0</v>
      </c>
    </row>
    <row r="1155">
      <c r="A1155" s="75" t="s">
        <v>2543</v>
      </c>
      <c r="B1155" s="75"/>
      <c r="C1155" s="75" t="s">
        <v>2371</v>
      </c>
      <c r="D1155" s="76" t="s">
        <v>2544</v>
      </c>
      <c r="E1155" s="53" t="s">
        <v>2545</v>
      </c>
      <c r="F1155" s="76" t="s">
        <v>2546</v>
      </c>
      <c r="G1155" s="55"/>
      <c r="DN1155" s="86">
        <v>11.0</v>
      </c>
    </row>
    <row r="1156">
      <c r="A1156" s="75" t="s">
        <v>2548</v>
      </c>
      <c r="B1156" s="75"/>
      <c r="C1156" s="75" t="s">
        <v>2371</v>
      </c>
      <c r="D1156" s="76" t="s">
        <v>2455</v>
      </c>
      <c r="E1156" s="53" t="s">
        <v>2409</v>
      </c>
      <c r="F1156" s="76"/>
      <c r="G1156" s="55">
        <v>100.0</v>
      </c>
      <c r="DN1156" s="88">
        <v>1.0</v>
      </c>
    </row>
    <row r="1157">
      <c r="A1157" s="75" t="s">
        <v>2549</v>
      </c>
      <c r="B1157" s="75"/>
      <c r="C1157" s="75" t="s">
        <v>2371</v>
      </c>
      <c r="D1157" s="76" t="s">
        <v>2455</v>
      </c>
      <c r="E1157" s="53" t="s">
        <v>2452</v>
      </c>
      <c r="F1157" s="76" t="s">
        <v>2429</v>
      </c>
      <c r="G1157" s="55">
        <v>100.0</v>
      </c>
      <c r="DN1157" s="88">
        <v>1.0</v>
      </c>
    </row>
    <row r="1158">
      <c r="A1158" s="121" t="s">
        <v>2550</v>
      </c>
      <c r="B1158" s="121"/>
      <c r="C1158" s="121" t="s">
        <v>2371</v>
      </c>
      <c r="D1158" s="96" t="s">
        <v>1639</v>
      </c>
      <c r="E1158" s="53" t="s">
        <v>1050</v>
      </c>
      <c r="F1158" s="96" t="s">
        <v>2429</v>
      </c>
      <c r="G1158" s="136">
        <v>150.0</v>
      </c>
      <c r="DN1158" s="88">
        <v>1.0</v>
      </c>
    </row>
    <row r="1159" ht="14.25" customHeight="1">
      <c r="A1159" s="75" t="s">
        <v>2551</v>
      </c>
      <c r="B1159" s="75"/>
      <c r="C1159" s="75" t="s">
        <v>2371</v>
      </c>
      <c r="D1159" s="76" t="s">
        <v>2455</v>
      </c>
      <c r="E1159" s="53" t="s">
        <v>2409</v>
      </c>
      <c r="F1159" s="76" t="s">
        <v>2429</v>
      </c>
      <c r="G1159" s="55">
        <v>200.0</v>
      </c>
      <c r="DN1159" s="88">
        <v>1.0</v>
      </c>
    </row>
    <row r="1160">
      <c r="A1160" s="75" t="s">
        <v>2552</v>
      </c>
      <c r="B1160" s="75"/>
      <c r="C1160" s="75" t="s">
        <v>2371</v>
      </c>
      <c r="D1160" s="76" t="s">
        <v>2455</v>
      </c>
      <c r="E1160" s="53" t="s">
        <v>2553</v>
      </c>
      <c r="F1160" s="76" t="s">
        <v>2429</v>
      </c>
      <c r="G1160" s="55">
        <v>150.0</v>
      </c>
      <c r="DN1160" s="88">
        <v>1.0</v>
      </c>
    </row>
    <row r="1161">
      <c r="A1161" s="75" t="s">
        <v>2554</v>
      </c>
      <c r="B1161" s="75"/>
      <c r="C1161" s="75" t="s">
        <v>2371</v>
      </c>
      <c r="D1161" s="76" t="s">
        <v>2555</v>
      </c>
      <c r="E1161" s="53" t="s">
        <v>2409</v>
      </c>
      <c r="F1161" s="76" t="s">
        <v>2546</v>
      </c>
      <c r="G1161" s="55">
        <v>150.0</v>
      </c>
      <c r="DN1161" s="86">
        <v>2.0</v>
      </c>
    </row>
    <row r="1162">
      <c r="A1162" s="75" t="s">
        <v>2556</v>
      </c>
      <c r="B1162" s="75"/>
      <c r="C1162" s="75" t="s">
        <v>2371</v>
      </c>
      <c r="D1162" s="76" t="s">
        <v>2557</v>
      </c>
      <c r="E1162" s="53" t="s">
        <v>2409</v>
      </c>
      <c r="F1162" s="76" t="s">
        <v>2546</v>
      </c>
      <c r="G1162" s="55">
        <v>250.0</v>
      </c>
      <c r="DN1162" s="86">
        <v>1.0</v>
      </c>
    </row>
    <row r="1163">
      <c r="A1163" s="75" t="s">
        <v>2558</v>
      </c>
      <c r="B1163" s="75"/>
      <c r="C1163" s="75" t="s">
        <v>2371</v>
      </c>
      <c r="D1163" s="96" t="s">
        <v>2408</v>
      </c>
      <c r="E1163" s="103" t="s">
        <v>856</v>
      </c>
      <c r="F1163" s="76" t="s">
        <v>2381</v>
      </c>
      <c r="G1163" s="55">
        <v>450.0</v>
      </c>
      <c r="DN1163" s="86">
        <v>1.0</v>
      </c>
    </row>
    <row r="1164">
      <c r="A1164" s="75" t="s">
        <v>2559</v>
      </c>
      <c r="B1164" s="75"/>
      <c r="C1164" s="75" t="s">
        <v>2371</v>
      </c>
      <c r="D1164" s="76" t="s">
        <v>2560</v>
      </c>
      <c r="E1164" s="53" t="s">
        <v>2409</v>
      </c>
      <c r="F1164" s="76" t="s">
        <v>2415</v>
      </c>
      <c r="G1164" s="55">
        <v>300.0</v>
      </c>
      <c r="DN1164" s="88">
        <v>1.0</v>
      </c>
    </row>
    <row r="1165">
      <c r="A1165" s="75" t="s">
        <v>2561</v>
      </c>
      <c r="B1165" s="75"/>
      <c r="C1165" s="75" t="s">
        <v>2371</v>
      </c>
      <c r="D1165" s="76" t="s">
        <v>867</v>
      </c>
      <c r="E1165" s="53" t="s">
        <v>2562</v>
      </c>
      <c r="F1165" s="76" t="s">
        <v>2381</v>
      </c>
      <c r="G1165" s="55">
        <v>350.0</v>
      </c>
      <c r="DN1165" s="86">
        <v>1.0</v>
      </c>
    </row>
    <row r="1166">
      <c r="A1166" s="75" t="s">
        <v>2563</v>
      </c>
      <c r="B1166" s="75"/>
      <c r="C1166" s="75" t="s">
        <v>2371</v>
      </c>
      <c r="D1166" s="76" t="s">
        <v>2564</v>
      </c>
      <c r="E1166" s="53" t="s">
        <v>856</v>
      </c>
      <c r="F1166" s="76" t="s">
        <v>2381</v>
      </c>
      <c r="G1166" s="55">
        <v>500.0</v>
      </c>
      <c r="DN1166" s="88">
        <v>6.0</v>
      </c>
    </row>
    <row r="1167">
      <c r="A1167" s="75" t="s">
        <v>2565</v>
      </c>
      <c r="B1167" s="75"/>
      <c r="C1167" s="75" t="s">
        <v>2371</v>
      </c>
      <c r="D1167" s="76" t="s">
        <v>1049</v>
      </c>
      <c r="E1167" s="53" t="s">
        <v>1050</v>
      </c>
      <c r="F1167" s="76" t="s">
        <v>2415</v>
      </c>
      <c r="G1167" s="83">
        <v>400.0</v>
      </c>
      <c r="DN1167" s="88">
        <v>1.0</v>
      </c>
    </row>
    <row r="1168">
      <c r="A1168" s="75" t="s">
        <v>1699</v>
      </c>
      <c r="B1168" s="75"/>
      <c r="C1168" s="75" t="s">
        <v>2371</v>
      </c>
      <c r="D1168" s="76" t="s">
        <v>867</v>
      </c>
      <c r="E1168" s="53" t="s">
        <v>856</v>
      </c>
      <c r="F1168" s="76" t="s">
        <v>2415</v>
      </c>
      <c r="G1168" s="55">
        <v>400.0</v>
      </c>
      <c r="DN1168" s="86">
        <v>0.0</v>
      </c>
    </row>
    <row r="1169">
      <c r="A1169" s="75" t="s">
        <v>2566</v>
      </c>
      <c r="B1169" s="75"/>
      <c r="C1169" s="75" t="s">
        <v>2371</v>
      </c>
      <c r="D1169" s="76" t="s">
        <v>2567</v>
      </c>
      <c r="E1169" s="53" t="s">
        <v>885</v>
      </c>
      <c r="F1169" s="76"/>
      <c r="G1169" s="55">
        <v>120.0</v>
      </c>
      <c r="DN1169" s="86">
        <v>8.0</v>
      </c>
    </row>
    <row r="1170">
      <c r="A1170" s="75" t="s">
        <v>2568</v>
      </c>
      <c r="B1170" s="75"/>
      <c r="C1170" s="75" t="s">
        <v>2371</v>
      </c>
      <c r="D1170" s="76" t="s">
        <v>2569</v>
      </c>
      <c r="E1170" s="53" t="s">
        <v>2570</v>
      </c>
      <c r="F1170" s="76" t="s">
        <v>2571</v>
      </c>
      <c r="G1170" s="55">
        <v>450.0</v>
      </c>
      <c r="DN1170" s="88">
        <v>3.0</v>
      </c>
    </row>
    <row r="1171">
      <c r="A1171" s="75" t="s">
        <v>2572</v>
      </c>
      <c r="B1171" s="75"/>
      <c r="C1171" s="75" t="s">
        <v>2371</v>
      </c>
      <c r="D1171" s="76" t="s">
        <v>2573</v>
      </c>
      <c r="E1171" s="53" t="s">
        <v>2452</v>
      </c>
      <c r="F1171" s="76" t="s">
        <v>2429</v>
      </c>
      <c r="G1171" s="55">
        <v>100.0</v>
      </c>
      <c r="DN1171" s="88">
        <v>3.0</v>
      </c>
    </row>
    <row r="1172">
      <c r="A1172" s="75" t="s">
        <v>2574</v>
      </c>
      <c r="B1172" s="75"/>
      <c r="C1172" s="75" t="s">
        <v>2371</v>
      </c>
      <c r="D1172" s="76" t="s">
        <v>2575</v>
      </c>
      <c r="E1172" s="53" t="s">
        <v>885</v>
      </c>
      <c r="F1172" s="76"/>
      <c r="G1172" s="55">
        <v>250.0</v>
      </c>
      <c r="DN1172" s="88">
        <v>1.0</v>
      </c>
    </row>
    <row r="1173">
      <c r="A1173" s="75" t="s">
        <v>2576</v>
      </c>
      <c r="B1173" s="75"/>
      <c r="C1173" s="75" t="s">
        <v>2371</v>
      </c>
      <c r="D1173" s="76" t="s">
        <v>2577</v>
      </c>
      <c r="E1173" s="53" t="s">
        <v>885</v>
      </c>
      <c r="F1173" s="76"/>
      <c r="G1173" s="55">
        <v>350.0</v>
      </c>
      <c r="DN1173" s="86">
        <v>20.0</v>
      </c>
    </row>
    <row r="1174">
      <c r="A1174" s="75" t="s">
        <v>2578</v>
      </c>
      <c r="B1174" s="75"/>
      <c r="C1174" s="75" t="s">
        <v>2371</v>
      </c>
      <c r="D1174" s="76" t="s">
        <v>2579</v>
      </c>
      <c r="E1174" s="53" t="s">
        <v>885</v>
      </c>
      <c r="F1174" s="76"/>
      <c r="G1174" s="55">
        <v>200.0</v>
      </c>
      <c r="DN1174" s="86">
        <v>2.0</v>
      </c>
    </row>
    <row r="1175">
      <c r="A1175" s="75" t="s">
        <v>2580</v>
      </c>
      <c r="B1175" s="75"/>
      <c r="C1175" s="75" t="s">
        <v>2371</v>
      </c>
      <c r="D1175" s="76" t="s">
        <v>2581</v>
      </c>
      <c r="E1175" s="53" t="s">
        <v>2452</v>
      </c>
      <c r="F1175" s="76"/>
      <c r="G1175" s="83">
        <v>120.0</v>
      </c>
      <c r="DN1175" s="88">
        <v>1.0</v>
      </c>
    </row>
    <row r="1176">
      <c r="A1176" s="75" t="s">
        <v>2583</v>
      </c>
      <c r="B1176" s="75"/>
      <c r="C1176" s="75" t="s">
        <v>2371</v>
      </c>
      <c r="D1176" s="76" t="s">
        <v>1123</v>
      </c>
      <c r="E1176" s="53" t="s">
        <v>2584</v>
      </c>
      <c r="F1176" s="76"/>
      <c r="G1176" s="83">
        <v>1.0</v>
      </c>
      <c r="DN1176" s="86">
        <v>0.0</v>
      </c>
    </row>
    <row r="1177">
      <c r="A1177" s="75" t="s">
        <v>2585</v>
      </c>
      <c r="B1177" s="75"/>
      <c r="C1177" s="75" t="s">
        <v>2586</v>
      </c>
      <c r="D1177" s="96" t="s">
        <v>2408</v>
      </c>
      <c r="E1177" s="53"/>
      <c r="F1177" s="76"/>
      <c r="G1177" s="83">
        <v>200.0</v>
      </c>
      <c r="DN1177" s="88">
        <v>1.0</v>
      </c>
    </row>
    <row r="1178">
      <c r="A1178" s="75" t="s">
        <v>2091</v>
      </c>
      <c r="B1178" s="75"/>
      <c r="C1178" s="75" t="s">
        <v>2586</v>
      </c>
      <c r="D1178" s="96" t="s">
        <v>2587</v>
      </c>
      <c r="E1178" s="53"/>
      <c r="F1178" s="76"/>
      <c r="G1178" s="138" t="s">
        <v>2588</v>
      </c>
      <c r="DN1178" s="92">
        <v>57.0</v>
      </c>
    </row>
    <row r="1179">
      <c r="A1179" s="75" t="s">
        <v>2589</v>
      </c>
      <c r="B1179" s="75"/>
      <c r="C1179" s="75" t="s">
        <v>2371</v>
      </c>
      <c r="D1179" s="96" t="s">
        <v>2590</v>
      </c>
      <c r="E1179" s="139"/>
      <c r="F1179" s="76" t="s">
        <v>2591</v>
      </c>
      <c r="G1179" s="83">
        <v>200.0</v>
      </c>
      <c r="DN1179" s="92">
        <v>8.0</v>
      </c>
    </row>
    <row r="1180">
      <c r="A1180" s="75" t="s">
        <v>2592</v>
      </c>
      <c r="B1180" s="75"/>
      <c r="C1180" s="75" t="s">
        <v>2371</v>
      </c>
      <c r="D1180" s="76" t="s">
        <v>2408</v>
      </c>
      <c r="E1180" s="53"/>
      <c r="F1180" s="76"/>
      <c r="G1180" s="83">
        <v>250.0</v>
      </c>
      <c r="DN1180" s="91">
        <v>1.0</v>
      </c>
    </row>
    <row r="1181">
      <c r="A1181" s="75" t="s">
        <v>2593</v>
      </c>
      <c r="B1181" s="75"/>
      <c r="C1181" s="75" t="s">
        <v>2371</v>
      </c>
      <c r="D1181" s="76" t="s">
        <v>2594</v>
      </c>
      <c r="E1181" s="53" t="s">
        <v>2595</v>
      </c>
      <c r="F1181" s="76"/>
      <c r="G1181" s="83">
        <v>100.0</v>
      </c>
      <c r="DN1181" s="92">
        <v>47.0</v>
      </c>
    </row>
    <row r="1182">
      <c r="A1182" s="75" t="s">
        <v>2596</v>
      </c>
      <c r="B1182" s="75"/>
      <c r="C1182" s="75" t="s">
        <v>2371</v>
      </c>
      <c r="D1182" s="76" t="s">
        <v>2597</v>
      </c>
      <c r="E1182" s="53" t="s">
        <v>2429</v>
      </c>
      <c r="F1182" s="76"/>
      <c r="G1182" s="140" t="s">
        <v>2598</v>
      </c>
      <c r="DN1182" s="92">
        <v>6.0</v>
      </c>
    </row>
    <row r="1183">
      <c r="A1183" s="75" t="s">
        <v>2599</v>
      </c>
      <c r="B1183" s="75"/>
      <c r="C1183" s="75" t="s">
        <v>2371</v>
      </c>
      <c r="D1183" s="96" t="s">
        <v>2600</v>
      </c>
      <c r="E1183" s="53"/>
      <c r="F1183" s="76" t="s">
        <v>2601</v>
      </c>
      <c r="G1183" s="83">
        <v>200.0</v>
      </c>
      <c r="DN1183" s="92">
        <v>2.0</v>
      </c>
    </row>
    <row r="1184">
      <c r="A1184" s="75" t="s">
        <v>2602</v>
      </c>
      <c r="B1184" s="75"/>
      <c r="C1184" s="75" t="s">
        <v>2371</v>
      </c>
      <c r="D1184" s="76" t="s">
        <v>2603</v>
      </c>
      <c r="E1184" s="53"/>
      <c r="F1184" s="76"/>
      <c r="G1184" s="83">
        <v>150.0</v>
      </c>
      <c r="DN1184" s="92">
        <v>22.0</v>
      </c>
    </row>
    <row r="1185">
      <c r="A1185" s="75" t="s">
        <v>2604</v>
      </c>
      <c r="B1185" s="75"/>
      <c r="C1185" s="75" t="s">
        <v>2371</v>
      </c>
      <c r="D1185" s="76" t="s">
        <v>2605</v>
      </c>
      <c r="E1185" s="53"/>
      <c r="F1185" s="76" t="s">
        <v>2381</v>
      </c>
      <c r="G1185" s="83">
        <v>800.0</v>
      </c>
      <c r="DN1185" s="92">
        <v>5.0</v>
      </c>
    </row>
    <row r="1186">
      <c r="A1186" s="75" t="s">
        <v>2606</v>
      </c>
      <c r="B1186" s="75"/>
      <c r="C1186" s="75" t="s">
        <v>2371</v>
      </c>
      <c r="D1186" s="76" t="s">
        <v>2607</v>
      </c>
      <c r="E1186" s="53" t="s">
        <v>2415</v>
      </c>
      <c r="F1186" s="76"/>
      <c r="G1186" s="83">
        <v>150.0</v>
      </c>
      <c r="DN1186" s="92">
        <v>80.0</v>
      </c>
    </row>
    <row r="1187">
      <c r="A1187" s="75" t="s">
        <v>2608</v>
      </c>
      <c r="B1187" s="75"/>
      <c r="C1187" s="75" t="s">
        <v>2371</v>
      </c>
      <c r="D1187" s="76" t="s">
        <v>2609</v>
      </c>
      <c r="E1187" s="16"/>
      <c r="F1187" s="80"/>
      <c r="G1187" s="81">
        <v>250.0</v>
      </c>
      <c r="DN1187" s="91">
        <v>6.0</v>
      </c>
    </row>
    <row r="1188">
      <c r="A1188" s="75" t="s">
        <v>2610</v>
      </c>
      <c r="B1188" s="75"/>
      <c r="C1188" s="75" t="s">
        <v>2371</v>
      </c>
      <c r="D1188" s="96" t="s">
        <v>2408</v>
      </c>
      <c r="E1188" s="53" t="s">
        <v>2415</v>
      </c>
      <c r="F1188" s="76"/>
      <c r="G1188" s="83">
        <v>300.0</v>
      </c>
      <c r="DN1188" s="91">
        <v>1.0</v>
      </c>
    </row>
    <row r="1189">
      <c r="A1189" s="75" t="s">
        <v>2611</v>
      </c>
      <c r="B1189" s="75"/>
      <c r="C1189" s="75" t="s">
        <v>2371</v>
      </c>
      <c r="D1189" s="76" t="s">
        <v>2612</v>
      </c>
      <c r="E1189" s="53" t="s">
        <v>2415</v>
      </c>
      <c r="F1189" s="76" t="s">
        <v>2415</v>
      </c>
      <c r="G1189" s="83">
        <v>450.0</v>
      </c>
      <c r="DN1189" s="92">
        <v>2.0</v>
      </c>
    </row>
    <row r="1190" ht="17.25" customHeight="1">
      <c r="A1190" s="75" t="s">
        <v>2613</v>
      </c>
      <c r="B1190" s="75"/>
      <c r="C1190" s="75" t="s">
        <v>2371</v>
      </c>
      <c r="D1190" s="76" t="s">
        <v>2614</v>
      </c>
      <c r="E1190" s="53"/>
      <c r="F1190" s="42" t="s">
        <v>2381</v>
      </c>
      <c r="G1190" s="76">
        <v>450.0</v>
      </c>
      <c r="DN1190" s="92">
        <v>2.0</v>
      </c>
    </row>
    <row r="1191">
      <c r="A1191" s="75" t="s">
        <v>2615</v>
      </c>
      <c r="B1191" s="75"/>
      <c r="C1191" s="75" t="s">
        <v>2371</v>
      </c>
      <c r="D1191" s="76" t="s">
        <v>2616</v>
      </c>
      <c r="E1191" s="53"/>
      <c r="F1191" s="76" t="s">
        <v>2415</v>
      </c>
      <c r="G1191" s="83">
        <v>500.0</v>
      </c>
      <c r="DN1191" s="92">
        <v>1.0</v>
      </c>
    </row>
    <row r="1192">
      <c r="A1192" s="75" t="s">
        <v>2617</v>
      </c>
      <c r="B1192" s="75"/>
      <c r="C1192" s="75" t="s">
        <v>2371</v>
      </c>
      <c r="D1192" s="76" t="s">
        <v>2618</v>
      </c>
      <c r="E1192" s="53"/>
      <c r="F1192" s="76" t="s">
        <v>2381</v>
      </c>
      <c r="G1192" s="83">
        <v>400.0</v>
      </c>
      <c r="DN1192" s="92">
        <v>1.0</v>
      </c>
    </row>
    <row r="1193">
      <c r="A1193" s="75" t="s">
        <v>2619</v>
      </c>
      <c r="B1193" s="75"/>
      <c r="C1193" s="75" t="s">
        <v>2371</v>
      </c>
      <c r="D1193" s="76" t="s">
        <v>2620</v>
      </c>
      <c r="E1193" s="53"/>
      <c r="F1193" s="76" t="s">
        <v>2429</v>
      </c>
      <c r="G1193" s="83">
        <v>200.0</v>
      </c>
      <c r="DN1193" s="92" t="s">
        <v>2429</v>
      </c>
    </row>
    <row r="1194">
      <c r="A1194" s="75" t="s">
        <v>2621</v>
      </c>
      <c r="B1194" s="75"/>
      <c r="C1194" s="75" t="s">
        <v>2371</v>
      </c>
      <c r="D1194" s="76" t="s">
        <v>2542</v>
      </c>
      <c r="E1194" s="53"/>
      <c r="F1194" s="76" t="s">
        <v>2622</v>
      </c>
      <c r="G1194" s="83">
        <v>100.0</v>
      </c>
      <c r="DN1194" s="91">
        <v>7.0</v>
      </c>
    </row>
    <row r="1195">
      <c r="A1195" s="75" t="s">
        <v>2623</v>
      </c>
      <c r="B1195" s="75"/>
      <c r="C1195" s="75" t="s">
        <v>2371</v>
      </c>
      <c r="D1195" s="76" t="s">
        <v>2624</v>
      </c>
      <c r="E1195" s="53"/>
      <c r="F1195" s="76" t="s">
        <v>2381</v>
      </c>
      <c r="G1195" s="83">
        <v>800.0</v>
      </c>
      <c r="DN1195" s="92">
        <v>7.0</v>
      </c>
    </row>
    <row r="1196">
      <c r="A1196" s="75" t="s">
        <v>2625</v>
      </c>
      <c r="B1196" s="75"/>
      <c r="C1196" s="75" t="s">
        <v>2371</v>
      </c>
      <c r="D1196" s="76" t="s">
        <v>2626</v>
      </c>
      <c r="E1196" s="53"/>
      <c r="F1196" s="76" t="s">
        <v>2415</v>
      </c>
      <c r="G1196" s="83">
        <v>450.0</v>
      </c>
      <c r="DN1196" s="92">
        <v>3.0</v>
      </c>
    </row>
    <row r="1197">
      <c r="A1197" s="75" t="s">
        <v>2627</v>
      </c>
      <c r="B1197" s="75"/>
      <c r="C1197" s="75" t="s">
        <v>2371</v>
      </c>
      <c r="D1197" s="76" t="s">
        <v>867</v>
      </c>
      <c r="E1197" s="53"/>
      <c r="F1197" s="76" t="s">
        <v>2628</v>
      </c>
      <c r="G1197" s="83">
        <v>450.0</v>
      </c>
      <c r="DN1197" s="91">
        <v>0.0</v>
      </c>
    </row>
    <row r="1198">
      <c r="A1198" s="75" t="s">
        <v>2629</v>
      </c>
      <c r="B1198" s="75"/>
      <c r="C1198" s="75" t="s">
        <v>2371</v>
      </c>
      <c r="D1198" s="76" t="s">
        <v>2630</v>
      </c>
      <c r="E1198" s="53"/>
      <c r="F1198" s="76" t="s">
        <v>2631</v>
      </c>
      <c r="G1198" s="83">
        <v>200.0</v>
      </c>
      <c r="DN1198" s="92">
        <v>35.0</v>
      </c>
    </row>
    <row r="1199">
      <c r="A1199" s="75" t="s">
        <v>2632</v>
      </c>
      <c r="B1199" s="75"/>
      <c r="C1199" s="75" t="s">
        <v>2371</v>
      </c>
      <c r="D1199" s="76" t="s">
        <v>2633</v>
      </c>
      <c r="E1199" s="53"/>
      <c r="F1199" s="76" t="s">
        <v>2634</v>
      </c>
      <c r="G1199" s="83">
        <v>1200.0</v>
      </c>
      <c r="DN1199" s="92">
        <v>2.0</v>
      </c>
    </row>
    <row r="1200">
      <c r="A1200" s="75" t="s">
        <v>2635</v>
      </c>
      <c r="B1200" s="75"/>
      <c r="C1200" s="75" t="s">
        <v>2371</v>
      </c>
      <c r="D1200" s="76" t="s">
        <v>2636</v>
      </c>
      <c r="E1200" s="53"/>
      <c r="F1200" s="76" t="s">
        <v>2634</v>
      </c>
      <c r="G1200" s="83">
        <v>1200.0</v>
      </c>
      <c r="DN1200" s="92">
        <v>8.0</v>
      </c>
    </row>
    <row r="1201">
      <c r="A1201" s="75" t="s">
        <v>2637</v>
      </c>
      <c r="B1201" s="75"/>
      <c r="C1201" s="75" t="s">
        <v>2371</v>
      </c>
      <c r="D1201" s="76" t="s">
        <v>2638</v>
      </c>
      <c r="E1201" s="53"/>
      <c r="F1201" s="76"/>
      <c r="G1201" s="83"/>
      <c r="DN1201" s="92">
        <v>6.0</v>
      </c>
    </row>
    <row r="1202">
      <c r="A1202" s="75" t="s">
        <v>2639</v>
      </c>
      <c r="B1202" s="75"/>
      <c r="C1202" s="75" t="s">
        <v>2371</v>
      </c>
      <c r="D1202" s="76" t="s">
        <v>2640</v>
      </c>
      <c r="F1202" s="76" t="s">
        <v>2628</v>
      </c>
      <c r="G1202" s="83">
        <v>1000.0</v>
      </c>
      <c r="DN1202" s="91">
        <v>2.0</v>
      </c>
    </row>
    <row r="1203">
      <c r="A1203" s="75" t="s">
        <v>2642</v>
      </c>
      <c r="B1203" s="75"/>
      <c r="C1203" s="75" t="s">
        <v>2371</v>
      </c>
      <c r="D1203" s="76" t="s">
        <v>2643</v>
      </c>
      <c r="E1203" s="53"/>
      <c r="F1203" s="76"/>
      <c r="G1203" s="83">
        <v>500.0</v>
      </c>
      <c r="DN1203" s="91">
        <v>1.0</v>
      </c>
    </row>
    <row r="1204">
      <c r="A1204" s="75" t="s">
        <v>2644</v>
      </c>
      <c r="B1204" s="75"/>
      <c r="C1204" s="75" t="s">
        <v>2371</v>
      </c>
      <c r="D1204" s="76" t="s">
        <v>2411</v>
      </c>
      <c r="E1204" s="53"/>
      <c r="F1204" s="76" t="s">
        <v>2634</v>
      </c>
      <c r="G1204" s="83">
        <v>900.0</v>
      </c>
      <c r="DN1204" s="91">
        <v>1.0</v>
      </c>
    </row>
    <row r="1205">
      <c r="A1205" s="75" t="s">
        <v>2645</v>
      </c>
      <c r="B1205" s="75"/>
      <c r="C1205" s="75" t="s">
        <v>2371</v>
      </c>
      <c r="D1205" s="76" t="s">
        <v>2646</v>
      </c>
      <c r="E1205" s="53"/>
      <c r="F1205" s="76" t="s">
        <v>2634</v>
      </c>
      <c r="G1205" s="83">
        <v>1200.0</v>
      </c>
      <c r="DN1205" s="91">
        <v>4.0</v>
      </c>
    </row>
    <row r="1206">
      <c r="A1206" s="75" t="s">
        <v>2647</v>
      </c>
      <c r="B1206" s="75"/>
      <c r="C1206" s="75" t="s">
        <v>2371</v>
      </c>
      <c r="D1206" s="76" t="s">
        <v>2648</v>
      </c>
      <c r="E1206" s="53"/>
      <c r="F1206" s="76" t="s">
        <v>2634</v>
      </c>
      <c r="G1206" s="83">
        <v>1000.0</v>
      </c>
      <c r="DN1206" s="92">
        <v>1.0</v>
      </c>
    </row>
    <row r="1207">
      <c r="A1207" s="75" t="s">
        <v>2649</v>
      </c>
      <c r="B1207" s="75"/>
      <c r="C1207" s="75" t="s">
        <v>2371</v>
      </c>
      <c r="D1207" s="76" t="s">
        <v>2496</v>
      </c>
      <c r="E1207" s="53"/>
      <c r="F1207" s="76" t="s">
        <v>2634</v>
      </c>
      <c r="G1207" s="83">
        <v>1200.0</v>
      </c>
      <c r="DN1207" s="91">
        <v>1.0</v>
      </c>
    </row>
    <row r="1208">
      <c r="A1208" s="75" t="s">
        <v>2650</v>
      </c>
      <c r="B1208" s="75"/>
      <c r="C1208" s="75" t="s">
        <v>2371</v>
      </c>
      <c r="D1208" s="76" t="s">
        <v>2651</v>
      </c>
      <c r="E1208" s="53"/>
      <c r="F1208" s="76" t="s">
        <v>2429</v>
      </c>
      <c r="G1208" s="83">
        <v>250.0</v>
      </c>
      <c r="DN1208" s="92">
        <v>1.0</v>
      </c>
    </row>
    <row r="1209">
      <c r="A1209" s="75" t="s">
        <v>2652</v>
      </c>
      <c r="B1209" s="75"/>
      <c r="C1209" s="75" t="s">
        <v>2371</v>
      </c>
      <c r="D1209" s="76" t="s">
        <v>2653</v>
      </c>
      <c r="E1209" s="53"/>
      <c r="F1209" s="76" t="s">
        <v>2628</v>
      </c>
      <c r="G1209" s="83">
        <v>1400.0</v>
      </c>
      <c r="DN1209" s="91">
        <v>7.0</v>
      </c>
    </row>
    <row r="1210">
      <c r="A1210" s="75" t="s">
        <v>2654</v>
      </c>
      <c r="B1210" s="75"/>
      <c r="C1210" s="75" t="s">
        <v>2371</v>
      </c>
      <c r="D1210" s="76" t="s">
        <v>2655</v>
      </c>
      <c r="E1210" s="53"/>
      <c r="F1210" s="76" t="s">
        <v>2381</v>
      </c>
      <c r="G1210" s="83">
        <v>800.0</v>
      </c>
      <c r="DN1210" s="92">
        <v>5.0</v>
      </c>
    </row>
    <row r="1211">
      <c r="A1211" s="75" t="s">
        <v>2656</v>
      </c>
      <c r="B1211" s="75"/>
      <c r="C1211" s="75" t="s">
        <v>2371</v>
      </c>
      <c r="D1211" s="76" t="s">
        <v>2657</v>
      </c>
      <c r="E1211" s="53"/>
      <c r="F1211" s="76" t="s">
        <v>2381</v>
      </c>
      <c r="G1211" s="83">
        <v>800.0</v>
      </c>
      <c r="DN1211" s="92">
        <v>1.0</v>
      </c>
    </row>
    <row r="1212">
      <c r="A1212" s="75" t="s">
        <v>2658</v>
      </c>
      <c r="B1212" s="75"/>
      <c r="C1212" s="75" t="s">
        <v>2371</v>
      </c>
      <c r="D1212" s="76" t="s">
        <v>2659</v>
      </c>
      <c r="E1212" s="53"/>
      <c r="F1212" s="76" t="s">
        <v>2381</v>
      </c>
      <c r="G1212" s="83">
        <v>550.0</v>
      </c>
      <c r="DN1212" s="141">
        <v>1.0</v>
      </c>
    </row>
    <row r="1213">
      <c r="A1213" s="75" t="s">
        <v>2660</v>
      </c>
      <c r="B1213" s="75"/>
      <c r="C1213" s="75" t="s">
        <v>2371</v>
      </c>
      <c r="D1213" s="76" t="s">
        <v>1707</v>
      </c>
      <c r="E1213" s="53"/>
      <c r="F1213" s="76" t="s">
        <v>2381</v>
      </c>
      <c r="G1213" s="83">
        <v>800.0</v>
      </c>
      <c r="DN1213" s="91">
        <v>1.0</v>
      </c>
    </row>
    <row r="1214">
      <c r="A1214" s="75" t="s">
        <v>2661</v>
      </c>
      <c r="B1214" s="75"/>
      <c r="C1214" s="75" t="s">
        <v>2371</v>
      </c>
      <c r="D1214" s="76" t="s">
        <v>2662</v>
      </c>
      <c r="E1214" s="53"/>
      <c r="F1214" s="76" t="s">
        <v>2381</v>
      </c>
      <c r="G1214" s="83">
        <v>800.0</v>
      </c>
      <c r="DN1214" s="92">
        <v>8.0</v>
      </c>
    </row>
    <row r="1215">
      <c r="A1215" s="75" t="s">
        <v>2663</v>
      </c>
      <c r="B1215" s="75"/>
      <c r="C1215" s="75" t="s">
        <v>2371</v>
      </c>
      <c r="D1215" s="76" t="s">
        <v>2664</v>
      </c>
      <c r="E1215" s="53"/>
      <c r="F1215" s="76"/>
      <c r="G1215" s="83">
        <v>1000.0</v>
      </c>
      <c r="DN1215" s="92">
        <v>1.0</v>
      </c>
    </row>
    <row r="1216">
      <c r="A1216" s="75" t="s">
        <v>2665</v>
      </c>
      <c r="B1216" s="75"/>
      <c r="C1216" s="75" t="s">
        <v>2371</v>
      </c>
      <c r="D1216" s="76" t="s">
        <v>2666</v>
      </c>
      <c r="E1216" s="53"/>
      <c r="F1216" s="76" t="s">
        <v>2381</v>
      </c>
      <c r="G1216" s="83">
        <v>700.0</v>
      </c>
      <c r="DN1216" s="92">
        <v>5.0</v>
      </c>
    </row>
    <row r="1217">
      <c r="A1217" s="75" t="s">
        <v>2667</v>
      </c>
      <c r="B1217" s="75"/>
      <c r="C1217" s="75" t="s">
        <v>2371</v>
      </c>
      <c r="D1217" s="76" t="s">
        <v>2659</v>
      </c>
      <c r="E1217" s="53"/>
      <c r="F1217" s="76" t="s">
        <v>2381</v>
      </c>
      <c r="G1217" s="83">
        <v>550.0</v>
      </c>
      <c r="DN1217" s="91">
        <v>1.0</v>
      </c>
    </row>
    <row r="1218">
      <c r="A1218" s="75" t="s">
        <v>2668</v>
      </c>
      <c r="B1218" s="75"/>
      <c r="C1218" s="75" t="s">
        <v>2371</v>
      </c>
      <c r="D1218" s="76" t="s">
        <v>867</v>
      </c>
      <c r="E1218" s="53"/>
      <c r="F1218" s="76" t="s">
        <v>2381</v>
      </c>
      <c r="G1218" s="83">
        <v>700.0</v>
      </c>
      <c r="DN1218" s="92">
        <v>0.0</v>
      </c>
    </row>
    <row r="1219">
      <c r="A1219" s="75" t="s">
        <v>2669</v>
      </c>
      <c r="B1219" s="75"/>
      <c r="C1219" s="75" t="s">
        <v>2371</v>
      </c>
      <c r="D1219" s="76" t="s">
        <v>2670</v>
      </c>
      <c r="E1219" s="53"/>
      <c r="F1219" s="76" t="s">
        <v>2634</v>
      </c>
      <c r="G1219" s="83">
        <v>900.0</v>
      </c>
      <c r="DN1219" s="92">
        <v>8.0</v>
      </c>
    </row>
    <row r="1220">
      <c r="A1220" s="75" t="s">
        <v>2671</v>
      </c>
      <c r="B1220" s="75"/>
      <c r="C1220" s="75" t="s">
        <v>2371</v>
      </c>
      <c r="D1220" s="76" t="s">
        <v>2672</v>
      </c>
      <c r="E1220" s="53"/>
      <c r="F1220" s="76" t="s">
        <v>2634</v>
      </c>
      <c r="G1220" s="83">
        <v>900.0</v>
      </c>
      <c r="DN1220" s="92">
        <v>3.0</v>
      </c>
    </row>
    <row r="1221">
      <c r="A1221" s="75" t="s">
        <v>2673</v>
      </c>
      <c r="B1221" s="75"/>
      <c r="C1221" s="75" t="s">
        <v>2371</v>
      </c>
      <c r="D1221" s="76" t="s">
        <v>2674</v>
      </c>
      <c r="E1221" s="53"/>
      <c r="F1221" s="76" t="s">
        <v>2634</v>
      </c>
      <c r="G1221" s="83">
        <v>700.0</v>
      </c>
      <c r="DN1221" s="92">
        <v>5.0</v>
      </c>
    </row>
    <row r="1222">
      <c r="A1222" s="75" t="s">
        <v>2676</v>
      </c>
      <c r="B1222" s="75"/>
      <c r="C1222" s="75" t="s">
        <v>2371</v>
      </c>
      <c r="D1222" s="76" t="s">
        <v>2677</v>
      </c>
      <c r="E1222" s="53"/>
      <c r="F1222" s="76" t="s">
        <v>2678</v>
      </c>
      <c r="G1222" s="83">
        <v>500.0</v>
      </c>
      <c r="DN1222" s="92">
        <v>4.0</v>
      </c>
    </row>
    <row r="1223">
      <c r="A1223" s="75" t="s">
        <v>2679</v>
      </c>
      <c r="B1223" s="75"/>
      <c r="C1223" s="75" t="s">
        <v>2371</v>
      </c>
      <c r="D1223" s="76" t="s">
        <v>2680</v>
      </c>
      <c r="E1223" s="53"/>
      <c r="F1223" s="76" t="s">
        <v>2634</v>
      </c>
      <c r="G1223" s="83">
        <v>700.0</v>
      </c>
      <c r="DN1223" s="91">
        <v>6.0</v>
      </c>
    </row>
    <row r="1224">
      <c r="A1224" s="75" t="s">
        <v>2681</v>
      </c>
      <c r="B1224" s="75"/>
      <c r="C1224" s="75" t="s">
        <v>2371</v>
      </c>
      <c r="D1224" s="76" t="s">
        <v>2659</v>
      </c>
      <c r="E1224" s="53"/>
      <c r="F1224" s="76" t="s">
        <v>2381</v>
      </c>
      <c r="G1224" s="83">
        <v>700.0</v>
      </c>
      <c r="DN1224" s="92">
        <v>1.0</v>
      </c>
    </row>
    <row r="1225">
      <c r="A1225" s="75" t="s">
        <v>2682</v>
      </c>
      <c r="B1225" s="75"/>
      <c r="C1225" s="75" t="s">
        <v>2371</v>
      </c>
      <c r="D1225" s="76" t="s">
        <v>2683</v>
      </c>
      <c r="E1225" s="53"/>
      <c r="F1225" s="76" t="s">
        <v>2381</v>
      </c>
      <c r="G1225" s="83">
        <v>700.0</v>
      </c>
      <c r="DN1225" s="92">
        <v>1.0</v>
      </c>
    </row>
    <row r="1226">
      <c r="A1226" s="75" t="s">
        <v>2685</v>
      </c>
      <c r="B1226" s="75"/>
      <c r="C1226" s="75" t="s">
        <v>2371</v>
      </c>
      <c r="D1226" s="76" t="s">
        <v>2686</v>
      </c>
      <c r="E1226" s="53"/>
      <c r="F1226" s="76"/>
      <c r="G1226" s="83">
        <v>700.0</v>
      </c>
      <c r="DN1226" s="92">
        <v>3.0</v>
      </c>
    </row>
    <row r="1227">
      <c r="A1227" s="75" t="s">
        <v>2687</v>
      </c>
      <c r="B1227" s="75"/>
      <c r="C1227" s="75" t="s">
        <v>2371</v>
      </c>
      <c r="D1227" s="76" t="s">
        <v>2659</v>
      </c>
      <c r="E1227" s="53"/>
      <c r="F1227" s="76"/>
      <c r="G1227" s="83">
        <v>700.0</v>
      </c>
      <c r="DN1227" s="91">
        <v>1.0</v>
      </c>
    </row>
    <row r="1228">
      <c r="A1228" s="75" t="s">
        <v>2688</v>
      </c>
      <c r="B1228" s="75"/>
      <c r="C1228" s="75" t="s">
        <v>2371</v>
      </c>
      <c r="D1228" s="76" t="s">
        <v>867</v>
      </c>
      <c r="E1228" s="53"/>
      <c r="F1228" s="76" t="s">
        <v>2381</v>
      </c>
      <c r="G1228" s="83">
        <v>800.0</v>
      </c>
      <c r="DN1228" s="92">
        <v>0.0</v>
      </c>
    </row>
    <row r="1229">
      <c r="A1229" s="75" t="s">
        <v>2689</v>
      </c>
      <c r="B1229" s="75"/>
      <c r="C1229" s="75" t="s">
        <v>2371</v>
      </c>
      <c r="D1229" s="76" t="s">
        <v>2690</v>
      </c>
      <c r="E1229" s="53"/>
      <c r="F1229" s="76" t="s">
        <v>2634</v>
      </c>
      <c r="G1229" s="83">
        <v>700.0</v>
      </c>
      <c r="DN1229" s="92">
        <v>6.0</v>
      </c>
    </row>
    <row r="1230">
      <c r="A1230" s="75" t="s">
        <v>2691</v>
      </c>
      <c r="B1230" s="75"/>
      <c r="C1230" s="75" t="s">
        <v>2371</v>
      </c>
      <c r="D1230" s="76" t="s">
        <v>2692</v>
      </c>
      <c r="E1230" s="53"/>
      <c r="F1230" s="76" t="s">
        <v>2634</v>
      </c>
      <c r="G1230" s="83">
        <v>700.0</v>
      </c>
      <c r="DN1230" s="92">
        <v>2.0</v>
      </c>
    </row>
    <row r="1231">
      <c r="A1231" s="75" t="s">
        <v>2693</v>
      </c>
      <c r="B1231" s="75"/>
      <c r="C1231" s="75" t="s">
        <v>2371</v>
      </c>
      <c r="D1231" s="76" t="s">
        <v>2694</v>
      </c>
      <c r="E1231" s="53"/>
      <c r="F1231" s="76" t="s">
        <v>2381</v>
      </c>
      <c r="G1231" s="83">
        <v>700.0</v>
      </c>
      <c r="DN1231" s="143">
        <v>4.0</v>
      </c>
    </row>
    <row r="1232">
      <c r="A1232" s="75" t="s">
        <v>2695</v>
      </c>
      <c r="B1232" s="75"/>
      <c r="C1232" s="75" t="s">
        <v>2371</v>
      </c>
      <c r="D1232" s="76" t="s">
        <v>867</v>
      </c>
      <c r="E1232" s="53"/>
      <c r="F1232" s="76" t="s">
        <v>2381</v>
      </c>
      <c r="G1232" s="83">
        <v>800.0</v>
      </c>
      <c r="DN1232" s="92">
        <v>0.0</v>
      </c>
    </row>
    <row r="1233">
      <c r="A1233" s="75" t="s">
        <v>2696</v>
      </c>
      <c r="B1233" s="75"/>
      <c r="C1233" s="75" t="s">
        <v>2371</v>
      </c>
      <c r="D1233" s="76" t="s">
        <v>2697</v>
      </c>
      <c r="E1233" s="144"/>
      <c r="F1233" s="76" t="s">
        <v>2381</v>
      </c>
      <c r="G1233" s="83">
        <v>1000.0</v>
      </c>
      <c r="DN1233" s="92">
        <v>4.0</v>
      </c>
    </row>
    <row r="1234">
      <c r="A1234" s="52" t="s">
        <v>2698</v>
      </c>
      <c r="B1234" s="52"/>
      <c r="C1234" s="75" t="s">
        <v>2371</v>
      </c>
      <c r="D1234" s="76" t="s">
        <v>2699</v>
      </c>
      <c r="E1234" s="144" t="s">
        <v>2700</v>
      </c>
      <c r="F1234" s="76" t="s">
        <v>2429</v>
      </c>
      <c r="G1234" s="83">
        <v>250.0</v>
      </c>
      <c r="DN1234" s="92">
        <v>10.0</v>
      </c>
    </row>
    <row r="1235">
      <c r="A1235" s="52" t="s">
        <v>2701</v>
      </c>
      <c r="B1235" s="52"/>
      <c r="C1235" s="75" t="s">
        <v>2371</v>
      </c>
      <c r="D1235" s="76" t="s">
        <v>2400</v>
      </c>
      <c r="E1235" s="144" t="s">
        <v>1453</v>
      </c>
      <c r="F1235" s="76" t="s">
        <v>2702</v>
      </c>
      <c r="G1235" s="83">
        <v>400.0</v>
      </c>
      <c r="DN1235" s="91">
        <v>1.0</v>
      </c>
    </row>
    <row r="1236">
      <c r="A1236" s="52" t="s">
        <v>2703</v>
      </c>
      <c r="B1236" s="52"/>
      <c r="C1236" s="75" t="s">
        <v>2371</v>
      </c>
      <c r="D1236" s="76" t="s">
        <v>2704</v>
      </c>
      <c r="E1236" s="144" t="s">
        <v>2705</v>
      </c>
      <c r="F1236" s="76" t="s">
        <v>2415</v>
      </c>
      <c r="G1236" s="83">
        <v>500.0</v>
      </c>
      <c r="DN1236" s="92">
        <v>41.0</v>
      </c>
    </row>
    <row r="1237">
      <c r="A1237" s="52" t="s">
        <v>2708</v>
      </c>
      <c r="B1237" s="52"/>
      <c r="C1237" s="75" t="s">
        <v>2371</v>
      </c>
      <c r="D1237" s="76" t="s">
        <v>2709</v>
      </c>
      <c r="E1237" s="144" t="s">
        <v>2710</v>
      </c>
      <c r="F1237" s="76" t="s">
        <v>2415</v>
      </c>
      <c r="G1237" s="83">
        <v>450.0</v>
      </c>
      <c r="DN1237" s="92">
        <v>1.0</v>
      </c>
    </row>
    <row r="1238">
      <c r="A1238" s="52" t="s">
        <v>2711</v>
      </c>
      <c r="B1238" s="52"/>
      <c r="C1238" s="75" t="s">
        <v>2371</v>
      </c>
      <c r="D1238" s="76" t="s">
        <v>2712</v>
      </c>
      <c r="E1238" s="144" t="s">
        <v>2515</v>
      </c>
      <c r="F1238" s="76" t="s">
        <v>2415</v>
      </c>
      <c r="G1238" s="83">
        <v>350.0</v>
      </c>
      <c r="DN1238" s="92">
        <v>1.0</v>
      </c>
    </row>
    <row r="1239">
      <c r="A1239" s="52" t="s">
        <v>2713</v>
      </c>
      <c r="B1239" s="52"/>
      <c r="C1239" s="75" t="s">
        <v>2371</v>
      </c>
      <c r="D1239" s="76" t="s">
        <v>2714</v>
      </c>
      <c r="E1239" s="144" t="s">
        <v>2515</v>
      </c>
      <c r="F1239" s="76" t="s">
        <v>2429</v>
      </c>
      <c r="G1239" s="83">
        <v>350.0</v>
      </c>
      <c r="DN1239" s="92">
        <v>12.0</v>
      </c>
    </row>
    <row r="1240">
      <c r="A1240" s="52" t="s">
        <v>2716</v>
      </c>
      <c r="B1240" s="52"/>
      <c r="C1240" s="75" t="s">
        <v>2371</v>
      </c>
      <c r="D1240" s="76" t="s">
        <v>2387</v>
      </c>
      <c r="E1240" s="144" t="s">
        <v>2515</v>
      </c>
      <c r="F1240" s="76" t="s">
        <v>2429</v>
      </c>
      <c r="G1240" s="83">
        <v>300.0</v>
      </c>
      <c r="DN1240" s="91">
        <v>2.0</v>
      </c>
    </row>
    <row r="1241" ht="18.75" customHeight="1">
      <c r="A1241" s="147" t="s">
        <v>2717</v>
      </c>
      <c r="B1241" s="147"/>
      <c r="C1241" s="75" t="s">
        <v>2371</v>
      </c>
      <c r="D1241" s="76" t="s">
        <v>2718</v>
      </c>
      <c r="E1241" s="144" t="s">
        <v>2719</v>
      </c>
      <c r="F1241" s="80"/>
      <c r="G1241" s="76">
        <v>200.0</v>
      </c>
      <c r="DN1241" s="92">
        <v>3.0</v>
      </c>
    </row>
    <row r="1242">
      <c r="A1242" s="147" t="s">
        <v>2720</v>
      </c>
      <c r="B1242" s="147"/>
      <c r="C1242" s="75" t="s">
        <v>2371</v>
      </c>
      <c r="D1242" s="76" t="s">
        <v>2721</v>
      </c>
      <c r="E1242" s="144" t="s">
        <v>2515</v>
      </c>
      <c r="F1242" s="42" t="s">
        <v>2415</v>
      </c>
      <c r="G1242" s="76">
        <v>300.0</v>
      </c>
      <c r="DN1242" s="92">
        <v>1.0</v>
      </c>
    </row>
    <row r="1243">
      <c r="A1243" s="147" t="s">
        <v>2722</v>
      </c>
      <c r="B1243" s="147"/>
      <c r="C1243" s="75" t="s">
        <v>2371</v>
      </c>
      <c r="D1243" s="76" t="s">
        <v>2723</v>
      </c>
      <c r="E1243" s="144" t="s">
        <v>2515</v>
      </c>
      <c r="F1243" s="80"/>
      <c r="G1243" s="76">
        <v>800.0</v>
      </c>
      <c r="DN1243" s="91">
        <v>1.0</v>
      </c>
    </row>
    <row r="1244">
      <c r="A1244" s="147" t="s">
        <v>2724</v>
      </c>
      <c r="B1244" s="147"/>
      <c r="C1244" s="75" t="s">
        <v>2371</v>
      </c>
      <c r="D1244" s="76" t="s">
        <v>2659</v>
      </c>
      <c r="E1244" s="148" t="s">
        <v>2725</v>
      </c>
      <c r="F1244" s="42" t="s">
        <v>2381</v>
      </c>
      <c r="G1244" s="76">
        <v>550.0</v>
      </c>
      <c r="DN1244" s="91">
        <v>1.0</v>
      </c>
    </row>
    <row r="1245">
      <c r="A1245" s="147" t="s">
        <v>2726</v>
      </c>
      <c r="B1245" s="147"/>
      <c r="C1245" s="75" t="s">
        <v>2371</v>
      </c>
      <c r="D1245" s="76" t="s">
        <v>867</v>
      </c>
      <c r="E1245" s="144" t="s">
        <v>2515</v>
      </c>
      <c r="F1245" s="42" t="s">
        <v>2466</v>
      </c>
      <c r="G1245" s="76">
        <v>600.0</v>
      </c>
      <c r="DN1245" s="92">
        <v>0.0</v>
      </c>
    </row>
    <row r="1246">
      <c r="A1246" s="147" t="s">
        <v>2727</v>
      </c>
      <c r="B1246" s="147"/>
      <c r="C1246" s="75" t="s">
        <v>2371</v>
      </c>
      <c r="D1246" s="76" t="s">
        <v>2728</v>
      </c>
      <c r="E1246" s="144" t="s">
        <v>2729</v>
      </c>
      <c r="F1246" s="42" t="s">
        <v>2466</v>
      </c>
      <c r="G1246" s="76">
        <v>800.0</v>
      </c>
      <c r="DN1246" s="91">
        <v>4.0</v>
      </c>
    </row>
    <row r="1247">
      <c r="A1247" s="147" t="s">
        <v>2730</v>
      </c>
      <c r="B1247" s="147"/>
      <c r="C1247" s="75" t="s">
        <v>2371</v>
      </c>
      <c r="D1247" s="76" t="s">
        <v>2659</v>
      </c>
      <c r="E1247" s="148" t="s">
        <v>2725</v>
      </c>
      <c r="F1247" s="42" t="s">
        <v>2381</v>
      </c>
      <c r="G1247" s="76">
        <v>550.0</v>
      </c>
      <c r="DN1247" s="91">
        <v>1.0</v>
      </c>
    </row>
    <row r="1248">
      <c r="A1248" s="66" t="s">
        <v>2731</v>
      </c>
      <c r="B1248" s="66"/>
      <c r="C1248" s="75" t="s">
        <v>2371</v>
      </c>
      <c r="D1248" s="76" t="s">
        <v>2732</v>
      </c>
      <c r="E1248" s="144" t="s">
        <v>2515</v>
      </c>
      <c r="F1248" s="42" t="s">
        <v>2381</v>
      </c>
      <c r="G1248" s="76">
        <v>800.0</v>
      </c>
      <c r="DN1248" s="92">
        <v>1.0</v>
      </c>
    </row>
    <row r="1249">
      <c r="A1249" s="147" t="s">
        <v>2733</v>
      </c>
      <c r="B1249" s="147"/>
      <c r="C1249" s="75" t="s">
        <v>2371</v>
      </c>
      <c r="D1249" s="76" t="s">
        <v>2734</v>
      </c>
      <c r="E1249" s="144" t="s">
        <v>2515</v>
      </c>
      <c r="F1249" s="42" t="s">
        <v>2678</v>
      </c>
      <c r="G1249" s="76">
        <v>800.0</v>
      </c>
      <c r="DN1249" s="92">
        <v>4.0</v>
      </c>
    </row>
    <row r="1250">
      <c r="A1250" s="52" t="s">
        <v>2735</v>
      </c>
      <c r="B1250" s="52"/>
      <c r="C1250" s="75" t="s">
        <v>2371</v>
      </c>
      <c r="D1250" s="76" t="s">
        <v>867</v>
      </c>
      <c r="E1250" s="144" t="s">
        <v>2086</v>
      </c>
      <c r="F1250" s="76" t="s">
        <v>2415</v>
      </c>
      <c r="G1250" s="83">
        <v>300.0</v>
      </c>
      <c r="DN1250" s="92">
        <v>0.0</v>
      </c>
    </row>
    <row r="1251">
      <c r="A1251" s="52" t="s">
        <v>2736</v>
      </c>
      <c r="B1251" s="52"/>
      <c r="C1251" s="75" t="s">
        <v>2371</v>
      </c>
      <c r="D1251" s="76" t="s">
        <v>2737</v>
      </c>
      <c r="E1251" s="15" t="s">
        <v>1453</v>
      </c>
      <c r="F1251" s="76" t="s">
        <v>2738</v>
      </c>
      <c r="G1251" s="83">
        <v>400.0</v>
      </c>
      <c r="DN1251" s="92">
        <v>4.0</v>
      </c>
    </row>
    <row r="1252">
      <c r="A1252" s="52" t="s">
        <v>2739</v>
      </c>
      <c r="B1252" s="52"/>
      <c r="C1252" s="75" t="s">
        <v>2371</v>
      </c>
      <c r="D1252" s="76" t="s">
        <v>867</v>
      </c>
      <c r="E1252" s="144" t="s">
        <v>2086</v>
      </c>
      <c r="F1252" s="76" t="s">
        <v>2415</v>
      </c>
      <c r="G1252" s="83">
        <v>450.0</v>
      </c>
      <c r="DN1252" s="92">
        <v>0.0</v>
      </c>
    </row>
    <row r="1253">
      <c r="A1253" s="52" t="s">
        <v>2740</v>
      </c>
      <c r="B1253" s="52"/>
      <c r="C1253" s="75" t="s">
        <v>2371</v>
      </c>
      <c r="D1253" s="76" t="s">
        <v>2741</v>
      </c>
      <c r="E1253" s="144" t="s">
        <v>2515</v>
      </c>
      <c r="F1253" s="76" t="s">
        <v>2415</v>
      </c>
      <c r="G1253" s="83">
        <v>350.0</v>
      </c>
      <c r="DN1253" s="92">
        <v>3.0</v>
      </c>
    </row>
    <row r="1254">
      <c r="A1254" s="52" t="s">
        <v>2742</v>
      </c>
      <c r="B1254" s="52"/>
      <c r="C1254" s="75" t="s">
        <v>2371</v>
      </c>
      <c r="D1254" s="76" t="s">
        <v>2659</v>
      </c>
      <c r="E1254" s="76"/>
      <c r="F1254" s="76" t="s">
        <v>2381</v>
      </c>
      <c r="G1254" s="83">
        <v>550.0</v>
      </c>
      <c r="DN1254" s="91">
        <v>1.0</v>
      </c>
    </row>
    <row r="1255">
      <c r="A1255" s="52" t="s">
        <v>2743</v>
      </c>
      <c r="B1255" s="52"/>
      <c r="C1255" s="75" t="s">
        <v>2371</v>
      </c>
      <c r="D1255" s="76" t="s">
        <v>2744</v>
      </c>
      <c r="E1255" s="76"/>
      <c r="F1255" s="76" t="s">
        <v>2415</v>
      </c>
      <c r="G1255" s="83">
        <v>350.0</v>
      </c>
      <c r="DN1255" s="92">
        <v>3.0</v>
      </c>
    </row>
    <row r="1256">
      <c r="A1256" s="52" t="s">
        <v>2745</v>
      </c>
      <c r="B1256" s="52"/>
      <c r="C1256" s="75" t="s">
        <v>2371</v>
      </c>
      <c r="D1256" s="76" t="s">
        <v>2659</v>
      </c>
      <c r="E1256" s="144"/>
      <c r="F1256" s="76" t="s">
        <v>2415</v>
      </c>
      <c r="G1256" s="83">
        <v>150.0</v>
      </c>
      <c r="DN1256" s="91">
        <v>1.0</v>
      </c>
    </row>
    <row r="1257">
      <c r="A1257" s="52" t="s">
        <v>2746</v>
      </c>
      <c r="B1257" s="52"/>
      <c r="C1257" s="75" t="s">
        <v>2371</v>
      </c>
      <c r="D1257" s="76" t="s">
        <v>2747</v>
      </c>
      <c r="E1257" s="144"/>
      <c r="F1257" s="76" t="s">
        <v>2634</v>
      </c>
      <c r="G1257" s="83">
        <v>700.0</v>
      </c>
      <c r="DN1257" s="92">
        <v>7.0</v>
      </c>
    </row>
    <row r="1258">
      <c r="A1258" s="52" t="s">
        <v>2748</v>
      </c>
      <c r="B1258" s="52"/>
      <c r="C1258" s="75" t="s">
        <v>2371</v>
      </c>
      <c r="D1258" s="76" t="s">
        <v>2744</v>
      </c>
      <c r="E1258" s="53"/>
      <c r="F1258" s="76" t="s">
        <v>2415</v>
      </c>
      <c r="G1258" s="83">
        <v>300.0</v>
      </c>
      <c r="DN1258" s="91">
        <v>3.0</v>
      </c>
    </row>
    <row r="1259">
      <c r="A1259" s="52" t="s">
        <v>2749</v>
      </c>
      <c r="B1259" s="52"/>
      <c r="C1259" s="75" t="s">
        <v>2371</v>
      </c>
      <c r="D1259" s="76" t="s">
        <v>2750</v>
      </c>
      <c r="E1259" s="144" t="s">
        <v>2086</v>
      </c>
      <c r="F1259" s="76" t="s">
        <v>2429</v>
      </c>
      <c r="G1259" s="83">
        <v>200.0</v>
      </c>
      <c r="DN1259" s="91">
        <v>1.0</v>
      </c>
    </row>
    <row r="1260">
      <c r="A1260" s="52" t="s">
        <v>2751</v>
      </c>
      <c r="B1260" s="52">
        <v>59.0</v>
      </c>
      <c r="C1260" s="75" t="str">
        <f>vlookup(left(A1260,2),Brands!$A$1:$B$36,2,0)</f>
        <v>Calvin Klein</v>
      </c>
      <c r="D1260" s="76" t="s">
        <v>1496</v>
      </c>
      <c r="E1260" s="144" t="s">
        <v>885</v>
      </c>
      <c r="F1260" s="76"/>
      <c r="G1260" s="83">
        <v>8050.0</v>
      </c>
      <c r="DN1260" s="91">
        <v>1.0</v>
      </c>
    </row>
    <row r="1261">
      <c r="A1261" s="52" t="s">
        <v>2752</v>
      </c>
      <c r="B1261" s="52">
        <v>62.0</v>
      </c>
      <c r="C1261" s="75" t="str">
        <f>vlookup(left(A1261,2),Brands!$A$1:$B$36,2,0)</f>
        <v>Calvin Klein</v>
      </c>
      <c r="D1261" s="99" t="s">
        <v>1036</v>
      </c>
      <c r="E1261" s="144"/>
      <c r="F1261" s="76"/>
      <c r="G1261" s="83"/>
      <c r="DN1261" s="91">
        <v>1.0</v>
      </c>
    </row>
    <row r="1262">
      <c r="A1262" s="52" t="s">
        <v>2753</v>
      </c>
      <c r="B1262" s="52">
        <v>62.0</v>
      </c>
      <c r="C1262" s="75" t="str">
        <f>vlookup(left(A1262,2),Brands!$A$1:$B$36,2,0)</f>
        <v>Calvin Klein</v>
      </c>
      <c r="D1262" s="149" t="s">
        <v>1004</v>
      </c>
      <c r="E1262" s="144" t="s">
        <v>885</v>
      </c>
      <c r="F1262" s="76"/>
      <c r="G1262" s="83">
        <v>9000.0</v>
      </c>
      <c r="DN1262" s="91">
        <v>1.0</v>
      </c>
    </row>
    <row r="1263">
      <c r="A1263" s="52" t="s">
        <v>2754</v>
      </c>
      <c r="B1263" s="52">
        <v>59.0</v>
      </c>
      <c r="C1263" s="75" t="str">
        <f>vlookup(left(A1263,2),Brands!$A$1:$B$36,2,0)</f>
        <v>Calvin Klein</v>
      </c>
      <c r="D1263" s="76" t="s">
        <v>1689</v>
      </c>
      <c r="E1263" s="144" t="s">
        <v>885</v>
      </c>
      <c r="F1263" s="76"/>
      <c r="G1263" s="83">
        <v>9000.0</v>
      </c>
      <c r="DN1263" s="91">
        <v>1.0</v>
      </c>
    </row>
    <row r="1264">
      <c r="A1264" s="52" t="s">
        <v>2755</v>
      </c>
      <c r="B1264" s="52">
        <v>55.0</v>
      </c>
      <c r="C1264" s="75" t="str">
        <f>vlookup(left(A1264,2),Brands!$A$1:$B$36,2,0)</f>
        <v>Calvin Klein</v>
      </c>
      <c r="D1264" s="99" t="s">
        <v>1040</v>
      </c>
      <c r="E1264" s="144" t="s">
        <v>885</v>
      </c>
      <c r="F1264" s="76"/>
      <c r="G1264" s="55"/>
      <c r="DN1264" s="91">
        <v>1.0</v>
      </c>
    </row>
    <row r="1265">
      <c r="A1265" s="52" t="s">
        <v>2756</v>
      </c>
      <c r="B1265" s="52">
        <v>55.0</v>
      </c>
      <c r="C1265" s="75" t="str">
        <f>vlookup(left(A1265,2),Brands!$A$1:$B$36,2,0)</f>
        <v>Calvin Klein</v>
      </c>
      <c r="D1265" s="76" t="s">
        <v>2757</v>
      </c>
      <c r="E1265" s="144" t="s">
        <v>885</v>
      </c>
      <c r="F1265" s="76"/>
      <c r="G1265" s="55"/>
      <c r="DN1265" s="91">
        <v>1.0</v>
      </c>
    </row>
    <row r="1266">
      <c r="A1266" s="52" t="s">
        <v>2758</v>
      </c>
      <c r="B1266" s="52">
        <v>54.0</v>
      </c>
      <c r="C1266" s="75" t="str">
        <f>vlookup(left(A1266,2),Brands!$A$1:$B$36,2,0)</f>
        <v>Calvin Klein</v>
      </c>
      <c r="D1266" s="76" t="s">
        <v>2757</v>
      </c>
      <c r="E1266" s="144" t="s">
        <v>885</v>
      </c>
      <c r="F1266" s="42"/>
      <c r="G1266" s="42">
        <v>8500.0</v>
      </c>
      <c r="DN1266" s="91">
        <v>1.0</v>
      </c>
    </row>
    <row r="1267">
      <c r="A1267" s="63" t="s">
        <v>2759</v>
      </c>
      <c r="B1267" s="63">
        <v>57.0</v>
      </c>
      <c r="C1267" s="75" t="str">
        <f>vlookup(left(A1267,2),Brands!$A$1:$B$36,2,0)</f>
        <v>Calvin Klein</v>
      </c>
      <c r="D1267" s="76" t="s">
        <v>1040</v>
      </c>
      <c r="E1267" s="144" t="s">
        <v>885</v>
      </c>
      <c r="F1267" s="80"/>
      <c r="G1267" s="76">
        <v>8395.0</v>
      </c>
      <c r="DN1267" s="91">
        <v>1.0</v>
      </c>
    </row>
    <row r="1268">
      <c r="A1268" s="63" t="s">
        <v>2760</v>
      </c>
      <c r="B1268" s="63">
        <v>55.0</v>
      </c>
      <c r="C1268" s="75" t="str">
        <f>vlookup(left(A1268,2),Brands!$A$1:$B$36,2,0)</f>
        <v>Calvin Klein</v>
      </c>
      <c r="D1268" s="76" t="s">
        <v>1040</v>
      </c>
      <c r="E1268" s="144" t="s">
        <v>885</v>
      </c>
      <c r="F1268" s="80"/>
      <c r="G1268" s="76">
        <v>8395.0</v>
      </c>
      <c r="DN1268" s="91">
        <v>1.0</v>
      </c>
    </row>
    <row r="1269">
      <c r="A1269" s="63" t="s">
        <v>2761</v>
      </c>
      <c r="B1269" s="63">
        <v>55.0</v>
      </c>
      <c r="C1269" s="75" t="str">
        <f>vlookup(left(A1269,2),Brands!$A$1:$B$36,2,0)</f>
        <v>Calvin Klein</v>
      </c>
      <c r="D1269" s="76" t="s">
        <v>2757</v>
      </c>
      <c r="E1269" s="144" t="s">
        <v>885</v>
      </c>
      <c r="F1269" s="80"/>
      <c r="G1269" s="76">
        <v>8395.0</v>
      </c>
      <c r="DN1269" s="91">
        <v>1.0</v>
      </c>
    </row>
    <row r="1270">
      <c r="A1270" s="63" t="s">
        <v>2762</v>
      </c>
      <c r="B1270" s="63">
        <v>54.0</v>
      </c>
      <c r="C1270" s="75" t="str">
        <f>vlookup(left(A1270,2),Brands!$A$1:$B$36,2,0)</f>
        <v>Calvin Klein</v>
      </c>
      <c r="D1270" s="106" t="s">
        <v>1674</v>
      </c>
      <c r="E1270" s="144" t="s">
        <v>932</v>
      </c>
      <c r="F1270" s="80"/>
      <c r="G1270" s="76">
        <v>9562.0</v>
      </c>
      <c r="DN1270" s="91">
        <v>1.0</v>
      </c>
    </row>
    <row r="1271">
      <c r="A1271" s="63" t="s">
        <v>2763</v>
      </c>
      <c r="B1271" s="63">
        <v>54.0</v>
      </c>
      <c r="C1271" s="75" t="str">
        <f>vlookup(left(A1271,2),Brands!$A$1:$B$36,2,0)</f>
        <v>Calvin Klein</v>
      </c>
      <c r="D1271" s="106" t="s">
        <v>1674</v>
      </c>
      <c r="E1271" s="144" t="s">
        <v>932</v>
      </c>
      <c r="F1271" s="80"/>
      <c r="G1271" s="76">
        <v>9562.0</v>
      </c>
      <c r="DN1271" s="91">
        <v>1.0</v>
      </c>
    </row>
    <row r="1272">
      <c r="A1272" s="52" t="s">
        <v>2764</v>
      </c>
      <c r="B1272" s="52">
        <v>52.0</v>
      </c>
      <c r="C1272" s="75" t="str">
        <f>vlookup(left(A1272,2),Brands!$A$1:$B$36,2,0)</f>
        <v>Calvin Klein</v>
      </c>
      <c r="D1272" s="106" t="s">
        <v>1674</v>
      </c>
      <c r="E1272" s="144" t="s">
        <v>932</v>
      </c>
      <c r="F1272" s="80"/>
      <c r="G1272" s="76"/>
      <c r="DN1272" s="91">
        <v>1.0</v>
      </c>
    </row>
    <row r="1273">
      <c r="A1273" s="63" t="s">
        <v>683</v>
      </c>
      <c r="B1273" s="63">
        <v>54.0</v>
      </c>
      <c r="C1273" s="75" t="str">
        <f>vlookup(left(A1273,2),Brands!$A$1:$B$36,2,0)</f>
        <v>David Jones</v>
      </c>
      <c r="D1273" s="76" t="s">
        <v>2765</v>
      </c>
      <c r="E1273" s="144" t="s">
        <v>932</v>
      </c>
      <c r="F1273" s="80"/>
      <c r="G1273" s="76">
        <v>3000.0</v>
      </c>
      <c r="DN1273" s="91">
        <v>2.0</v>
      </c>
    </row>
    <row r="1274">
      <c r="A1274" s="52" t="s">
        <v>2766</v>
      </c>
      <c r="B1274" s="52">
        <v>53.0</v>
      </c>
      <c r="C1274" s="75" t="str">
        <f>vlookup(left(A1274,2),Brands!$A$1:$B$36,2,0)</f>
        <v>David Jones</v>
      </c>
      <c r="D1274" s="76" t="s">
        <v>867</v>
      </c>
      <c r="E1274" s="144"/>
      <c r="F1274" s="80"/>
      <c r="G1274" s="76">
        <v>1800.0</v>
      </c>
      <c r="DN1274" s="92">
        <v>0.0</v>
      </c>
    </row>
    <row r="1275">
      <c r="A1275" s="52" t="s">
        <v>686</v>
      </c>
      <c r="B1275" s="52">
        <v>54.0</v>
      </c>
      <c r="C1275" s="75" t="str">
        <f>vlookup(left(A1275,2),Brands!$A$1:$B$36,2,0)</f>
        <v>David Jones</v>
      </c>
      <c r="D1275" s="76" t="s">
        <v>1129</v>
      </c>
      <c r="E1275" s="144"/>
      <c r="F1275" s="80"/>
      <c r="G1275" s="76">
        <v>1800.0</v>
      </c>
      <c r="DN1275" s="91">
        <v>1.0</v>
      </c>
    </row>
    <row r="1276">
      <c r="A1276" s="52" t="s">
        <v>687</v>
      </c>
      <c r="B1276" s="52">
        <v>59.0</v>
      </c>
      <c r="C1276" s="153"/>
      <c r="D1276" s="76" t="s">
        <v>1714</v>
      </c>
      <c r="E1276" s="144" t="s">
        <v>885</v>
      </c>
      <c r="F1276" s="80"/>
      <c r="G1276" s="76">
        <v>5400.0</v>
      </c>
      <c r="DN1276" s="91">
        <v>1.0</v>
      </c>
    </row>
    <row r="1277">
      <c r="A1277" s="52" t="s">
        <v>688</v>
      </c>
      <c r="B1277" s="52">
        <v>52.0</v>
      </c>
      <c r="C1277" s="153"/>
      <c r="D1277" s="76" t="s">
        <v>1714</v>
      </c>
      <c r="E1277" s="144" t="s">
        <v>885</v>
      </c>
      <c r="F1277" s="80"/>
      <c r="G1277" s="76">
        <v>7200.0</v>
      </c>
      <c r="DN1277" s="91">
        <v>1.0</v>
      </c>
    </row>
    <row r="1278">
      <c r="A1278" s="59" t="s">
        <v>689</v>
      </c>
      <c r="B1278" s="59"/>
      <c r="C1278" s="75" t="s">
        <v>2371</v>
      </c>
      <c r="D1278" s="76" t="s">
        <v>867</v>
      </c>
      <c r="E1278" s="144"/>
      <c r="F1278" s="76" t="s">
        <v>2381</v>
      </c>
      <c r="G1278" s="83">
        <v>800.0</v>
      </c>
      <c r="DN1278" s="92">
        <v>0.0</v>
      </c>
    </row>
    <row r="1279">
      <c r="A1279" s="59" t="s">
        <v>2767</v>
      </c>
      <c r="B1279" s="59"/>
      <c r="C1279" s="75" t="s">
        <v>2371</v>
      </c>
      <c r="D1279" s="53" t="s">
        <v>2768</v>
      </c>
      <c r="F1279" s="76" t="s">
        <v>2381</v>
      </c>
      <c r="G1279" s="83">
        <v>700.0</v>
      </c>
      <c r="DN1279" s="92">
        <v>4.0</v>
      </c>
    </row>
    <row r="1280">
      <c r="A1280" s="59" t="s">
        <v>694</v>
      </c>
      <c r="B1280" s="59" t="s">
        <v>1003</v>
      </c>
      <c r="C1280" s="75" t="str">
        <f>vlookup(left(A1280,2),Brands!$A$1:$B$36,2,0)</f>
        <v>Fastrack</v>
      </c>
      <c r="D1280" s="76" t="s">
        <v>2769</v>
      </c>
      <c r="E1280" s="144"/>
      <c r="F1280" s="155" t="s">
        <v>885</v>
      </c>
      <c r="G1280" s="76">
        <v>1299.0</v>
      </c>
      <c r="DN1280" s="91">
        <v>2.0</v>
      </c>
    </row>
    <row r="1281">
      <c r="A1281" s="60" t="s">
        <v>695</v>
      </c>
      <c r="B1281" s="60" t="s">
        <v>1003</v>
      </c>
      <c r="C1281" s="75" t="str">
        <f>vlookup(left(A1281,2),Brands!$A$1:$B$36,2,0)</f>
        <v>Fastrack</v>
      </c>
      <c r="D1281" s="76" t="s">
        <v>1265</v>
      </c>
      <c r="E1281" s="144"/>
      <c r="F1281" s="42" t="s">
        <v>1229</v>
      </c>
      <c r="G1281" s="76">
        <v>2899.0</v>
      </c>
      <c r="DN1281" s="91">
        <v>1.0</v>
      </c>
    </row>
    <row r="1282">
      <c r="A1282" s="59" t="s">
        <v>696</v>
      </c>
      <c r="B1282" s="59" t="s">
        <v>1003</v>
      </c>
      <c r="C1282" s="75" t="str">
        <f>vlookup(left(A1282,2),Brands!$A$1:$B$36,2,0)</f>
        <v>Fastrack</v>
      </c>
      <c r="D1282" s="76" t="s">
        <v>1277</v>
      </c>
      <c r="E1282" s="16"/>
      <c r="F1282" s="155" t="s">
        <v>885</v>
      </c>
      <c r="G1282" s="76">
        <v>1999.0</v>
      </c>
      <c r="DN1282" s="91">
        <v>1.0</v>
      </c>
    </row>
    <row r="1283">
      <c r="A1283" s="59" t="s">
        <v>697</v>
      </c>
      <c r="B1283" s="59" t="s">
        <v>1003</v>
      </c>
      <c r="C1283" s="75" t="str">
        <f>vlookup(left(A1283,2),Brands!$A$1:$B$36,2,0)</f>
        <v>Fastrack</v>
      </c>
      <c r="D1283" s="76" t="s">
        <v>1243</v>
      </c>
      <c r="E1283" s="15" t="s">
        <v>1229</v>
      </c>
      <c r="F1283" s="155" t="s">
        <v>885</v>
      </c>
      <c r="G1283" s="76">
        <v>2499.0</v>
      </c>
      <c r="DN1283" s="91">
        <v>1.0</v>
      </c>
    </row>
    <row r="1284">
      <c r="A1284" s="59" t="s">
        <v>699</v>
      </c>
      <c r="B1284" s="59" t="s">
        <v>1003</v>
      </c>
      <c r="C1284" s="75" t="str">
        <f>vlookup(left(A1284,2),Brands!$A$1:$B$36,2,0)</f>
        <v>Fastrack</v>
      </c>
      <c r="D1284" s="81" t="s">
        <v>1277</v>
      </c>
      <c r="E1284" s="16"/>
      <c r="F1284" s="155" t="s">
        <v>885</v>
      </c>
      <c r="G1284" s="76">
        <v>1699.0</v>
      </c>
      <c r="DN1284" s="91">
        <v>1.0</v>
      </c>
    </row>
    <row r="1285">
      <c r="A1285" s="59" t="s">
        <v>700</v>
      </c>
      <c r="B1285" s="59" t="s">
        <v>1003</v>
      </c>
      <c r="C1285" s="75" t="str">
        <f>vlookup(left(A1285,2),Brands!$A$1:$B$36,2,0)</f>
        <v>Fastrack</v>
      </c>
      <c r="D1285" s="81" t="s">
        <v>2770</v>
      </c>
      <c r="E1285" s="16"/>
      <c r="F1285" s="155" t="s">
        <v>885</v>
      </c>
      <c r="G1285" s="76">
        <v>1399.0</v>
      </c>
      <c r="DN1285" s="91">
        <v>4.0</v>
      </c>
    </row>
    <row r="1286">
      <c r="A1286" s="59" t="s">
        <v>701</v>
      </c>
      <c r="B1286" s="59" t="s">
        <v>1003</v>
      </c>
      <c r="C1286" s="75" t="str">
        <f>vlookup(left(A1286,2),Brands!$A$1:$B$36,2,0)</f>
        <v>Fastrack</v>
      </c>
      <c r="D1286" s="76" t="s">
        <v>2771</v>
      </c>
      <c r="E1286" s="16"/>
      <c r="F1286" s="155" t="s">
        <v>885</v>
      </c>
      <c r="G1286" s="76">
        <v>2899.0</v>
      </c>
      <c r="DN1286" s="91">
        <v>2.0</v>
      </c>
    </row>
    <row r="1287">
      <c r="A1287" s="59" t="s">
        <v>702</v>
      </c>
      <c r="B1287" s="59">
        <v>58.0</v>
      </c>
      <c r="C1287" s="75" t="str">
        <f>vlookup(left(A1287,2),Brands!$A$1:$B$36,2,0)</f>
        <v>Fastrack</v>
      </c>
      <c r="D1287" s="76" t="s">
        <v>1272</v>
      </c>
      <c r="E1287" s="16"/>
      <c r="F1287" s="155" t="s">
        <v>885</v>
      </c>
      <c r="G1287" s="76">
        <v>2499.0</v>
      </c>
      <c r="DN1287" s="91">
        <v>3.0</v>
      </c>
    </row>
    <row r="1288">
      <c r="A1288" s="52" t="s">
        <v>703</v>
      </c>
      <c r="B1288" s="52">
        <v>51.0</v>
      </c>
      <c r="C1288" s="75" t="s">
        <v>631</v>
      </c>
      <c r="D1288" s="76" t="s">
        <v>1414</v>
      </c>
      <c r="E1288" s="144"/>
      <c r="F1288" s="76" t="s">
        <v>932</v>
      </c>
      <c r="G1288" s="76">
        <v>1800.0</v>
      </c>
      <c r="DN1288" s="91">
        <v>1.0</v>
      </c>
    </row>
    <row r="1289">
      <c r="A1289" s="52" t="s">
        <v>704</v>
      </c>
      <c r="B1289" s="52">
        <v>54.0</v>
      </c>
      <c r="C1289" s="75" t="s">
        <v>631</v>
      </c>
      <c r="D1289" s="76" t="s">
        <v>1460</v>
      </c>
      <c r="E1289" s="144"/>
      <c r="F1289" s="76" t="s">
        <v>932</v>
      </c>
      <c r="G1289" s="76">
        <v>1800.0</v>
      </c>
      <c r="DN1289" s="91">
        <v>1.0</v>
      </c>
    </row>
    <row r="1290">
      <c r="A1290" s="52" t="s">
        <v>705</v>
      </c>
      <c r="B1290" s="52">
        <v>53.0</v>
      </c>
      <c r="C1290" s="75" t="str">
        <f>vlookup(left(A1290,2),Brands!$A$1:$B$36,2,0)</f>
        <v>IDEE</v>
      </c>
      <c r="D1290" s="76" t="s">
        <v>2772</v>
      </c>
      <c r="E1290" s="144"/>
      <c r="F1290" s="76" t="s">
        <v>932</v>
      </c>
      <c r="G1290" s="76"/>
      <c r="DN1290" s="91">
        <v>1.0</v>
      </c>
    </row>
    <row r="1291">
      <c r="A1291" s="52" t="s">
        <v>706</v>
      </c>
      <c r="B1291" s="52">
        <v>51.0</v>
      </c>
      <c r="C1291" s="75" t="str">
        <f>vlookup(left(A1291,2),Brands!$A$1:$B$36,2,0)</f>
        <v>IDEE</v>
      </c>
      <c r="D1291" s="76" t="s">
        <v>2772</v>
      </c>
      <c r="E1291" s="144"/>
      <c r="F1291" s="76" t="s">
        <v>932</v>
      </c>
      <c r="G1291" s="76">
        <v>2400.0</v>
      </c>
      <c r="DN1291" s="91">
        <v>1.0</v>
      </c>
    </row>
    <row r="1292">
      <c r="A1292" s="61" t="s">
        <v>707</v>
      </c>
      <c r="B1292" s="61">
        <v>53.0</v>
      </c>
      <c r="C1292" s="75" t="str">
        <f>vlookup(left(A1292,2),Brands!$A$1:$B$36,2,0)</f>
        <v>IDEE</v>
      </c>
      <c r="D1292" s="107" t="s">
        <v>1319</v>
      </c>
      <c r="E1292" s="144"/>
      <c r="F1292" s="76" t="s">
        <v>932</v>
      </c>
      <c r="G1292" s="76">
        <v>1800.0</v>
      </c>
      <c r="DN1292" s="91">
        <v>1.0</v>
      </c>
    </row>
    <row r="1293">
      <c r="A1293" s="62" t="s">
        <v>708</v>
      </c>
      <c r="B1293" s="62">
        <v>51.0</v>
      </c>
      <c r="C1293" s="75" t="str">
        <f>vlookup(left(A1293,2),Brands!$A$1:$B$36,2,0)</f>
        <v>IDEE</v>
      </c>
      <c r="D1293" s="76" t="s">
        <v>2772</v>
      </c>
      <c r="E1293" s="144"/>
      <c r="F1293" s="76" t="s">
        <v>932</v>
      </c>
      <c r="G1293" s="76"/>
      <c r="DN1293" s="91">
        <v>1.0</v>
      </c>
    </row>
    <row r="1294">
      <c r="A1294" s="62" t="s">
        <v>709</v>
      </c>
      <c r="B1294" s="62">
        <v>51.0</v>
      </c>
      <c r="C1294" s="75" t="str">
        <f>vlookup(left(A1294,2),Brands!$A$1:$B$36,2,0)</f>
        <v>IDEE</v>
      </c>
      <c r="D1294" s="76" t="s">
        <v>2772</v>
      </c>
      <c r="E1294" s="144"/>
      <c r="F1294" s="76" t="s">
        <v>932</v>
      </c>
      <c r="G1294" s="76">
        <v>1800.0</v>
      </c>
      <c r="DN1294" s="91">
        <v>1.0</v>
      </c>
    </row>
    <row r="1295">
      <c r="A1295" s="63" t="s">
        <v>710</v>
      </c>
      <c r="B1295" s="63">
        <v>54.0</v>
      </c>
      <c r="C1295" s="75" t="str">
        <f>vlookup(left(A1295,2),Brands!$A$1:$B$36,2,0)</f>
        <v>IDEE</v>
      </c>
      <c r="D1295" s="76" t="s">
        <v>2773</v>
      </c>
      <c r="E1295" s="144"/>
      <c r="F1295" s="76" t="s">
        <v>932</v>
      </c>
      <c r="G1295" s="76">
        <v>1800.0</v>
      </c>
      <c r="DN1295" s="91">
        <v>2.0</v>
      </c>
    </row>
    <row r="1296">
      <c r="A1296" s="52" t="s">
        <v>711</v>
      </c>
      <c r="B1296" s="52">
        <v>52.0</v>
      </c>
      <c r="C1296" s="75" t="str">
        <f>vlookup(left(A1296,2),Brands!$A$1:$B$36,2,0)</f>
        <v>IDEE</v>
      </c>
      <c r="D1296" s="76" t="s">
        <v>1460</v>
      </c>
      <c r="E1296" s="144"/>
      <c r="F1296" s="76" t="s">
        <v>932</v>
      </c>
      <c r="G1296" s="76">
        <v>1800.0</v>
      </c>
      <c r="DN1296" s="91">
        <v>1.0</v>
      </c>
    </row>
    <row r="1297">
      <c r="A1297" s="52" t="s">
        <v>712</v>
      </c>
      <c r="B1297" s="52">
        <v>54.0</v>
      </c>
      <c r="C1297" s="75" t="str">
        <f>vlookup(left(A1297,2),Brands!$A$1:$B$36,2,0)</f>
        <v>IDEE</v>
      </c>
      <c r="D1297" s="106" t="s">
        <v>1362</v>
      </c>
      <c r="E1297" s="144"/>
      <c r="F1297" s="76" t="s">
        <v>932</v>
      </c>
      <c r="G1297" s="76"/>
      <c r="DN1297" s="91">
        <v>1.0</v>
      </c>
    </row>
    <row r="1298">
      <c r="A1298" s="52" t="s">
        <v>713</v>
      </c>
      <c r="B1298" s="52">
        <v>52.0</v>
      </c>
      <c r="C1298" s="75" t="str">
        <f>vlookup(left(A1298,2),Brands!$A$1:$B$36,2,0)</f>
        <v>IDEE</v>
      </c>
      <c r="D1298" s="156" t="s">
        <v>1311</v>
      </c>
      <c r="E1298" s="144"/>
      <c r="F1298" s="76" t="s">
        <v>932</v>
      </c>
      <c r="G1298" s="76">
        <v>2250.0</v>
      </c>
      <c r="DN1298" s="91">
        <v>1.0</v>
      </c>
    </row>
    <row r="1299">
      <c r="A1299" s="52" t="s">
        <v>714</v>
      </c>
      <c r="B1299" s="52">
        <v>52.0</v>
      </c>
      <c r="C1299" s="75" t="str">
        <f>vlookup(left(A1299,2),Brands!$A$1:$B$36,2,0)</f>
        <v>IDEE</v>
      </c>
      <c r="D1299" s="76" t="s">
        <v>2774</v>
      </c>
      <c r="E1299" s="144"/>
      <c r="F1299" s="76" t="s">
        <v>932</v>
      </c>
      <c r="G1299" s="76">
        <v>2250.0</v>
      </c>
      <c r="DN1299" s="91">
        <v>1.0</v>
      </c>
    </row>
    <row r="1300">
      <c r="A1300" s="63" t="s">
        <v>715</v>
      </c>
      <c r="B1300" s="63">
        <v>52.0</v>
      </c>
      <c r="C1300" s="75" t="str">
        <f>vlookup(left(A1300,2),Brands!$A$1:$B$36,2,0)</f>
        <v>IDEE</v>
      </c>
      <c r="D1300" s="76" t="s">
        <v>2775</v>
      </c>
      <c r="E1300" s="144"/>
      <c r="F1300" s="76" t="s">
        <v>932</v>
      </c>
      <c r="G1300" s="76">
        <v>2450.0</v>
      </c>
      <c r="DN1300" s="91">
        <v>2.0</v>
      </c>
    </row>
    <row r="1301">
      <c r="A1301" s="64" t="s">
        <v>716</v>
      </c>
      <c r="B1301" s="64">
        <v>50.0</v>
      </c>
      <c r="C1301" s="75" t="str">
        <f>vlookup(left(A1301,2),Brands!$A$1:$B$36,2,0)</f>
        <v>IDEE</v>
      </c>
      <c r="D1301" s="76" t="s">
        <v>2776</v>
      </c>
      <c r="E1301" s="144"/>
      <c r="F1301" s="76" t="s">
        <v>932</v>
      </c>
      <c r="G1301" s="76">
        <v>2450.0</v>
      </c>
      <c r="DN1301" s="91">
        <v>2.0</v>
      </c>
    </row>
    <row r="1302">
      <c r="A1302" s="64" t="s">
        <v>717</v>
      </c>
      <c r="B1302" s="64">
        <v>50.0</v>
      </c>
      <c r="C1302" s="75" t="str">
        <f>vlookup(left(A1302,2),Brands!$A$1:$B$36,2,0)</f>
        <v>IDEE</v>
      </c>
      <c r="D1302" s="76" t="s">
        <v>1347</v>
      </c>
      <c r="E1302" s="144"/>
      <c r="F1302" s="76" t="s">
        <v>932</v>
      </c>
      <c r="G1302" s="76">
        <v>2450.0</v>
      </c>
      <c r="DN1302" s="91">
        <v>1.0</v>
      </c>
    </row>
    <row r="1303">
      <c r="A1303" s="65" t="s">
        <v>718</v>
      </c>
      <c r="B1303" s="65">
        <v>51.0</v>
      </c>
      <c r="C1303" s="75" t="str">
        <f>vlookup(left(A1303,2),Brands!$A$1:$B$36,2,0)</f>
        <v>IDEE</v>
      </c>
      <c r="D1303" s="76" t="s">
        <v>2777</v>
      </c>
      <c r="E1303" s="144"/>
      <c r="F1303" s="76" t="s">
        <v>932</v>
      </c>
      <c r="G1303" s="76">
        <v>2390.0</v>
      </c>
      <c r="DN1303" s="91">
        <v>2.0</v>
      </c>
    </row>
    <row r="1304">
      <c r="A1304" s="64" t="s">
        <v>719</v>
      </c>
      <c r="B1304" s="64">
        <v>51.0</v>
      </c>
      <c r="C1304" s="75" t="str">
        <f>vlookup(left(A1304,2),Brands!$A$1:$B$36,2,0)</f>
        <v>IDEE</v>
      </c>
      <c r="D1304" s="106" t="s">
        <v>1362</v>
      </c>
      <c r="E1304" s="144"/>
      <c r="F1304" s="76" t="s">
        <v>932</v>
      </c>
      <c r="G1304" s="76"/>
      <c r="DN1304" s="91">
        <v>1.0</v>
      </c>
    </row>
    <row r="1305">
      <c r="A1305" s="64" t="s">
        <v>720</v>
      </c>
      <c r="B1305" s="64">
        <v>50.0</v>
      </c>
      <c r="C1305" s="75" t="str">
        <f>vlookup(left(A1305,2),Brands!$A$1:$B$36,2,0)</f>
        <v>IDEE</v>
      </c>
      <c r="D1305" s="76" t="s">
        <v>2778</v>
      </c>
      <c r="E1305" s="144"/>
      <c r="F1305" s="76" t="s">
        <v>932</v>
      </c>
      <c r="G1305" s="76">
        <v>2160.0</v>
      </c>
      <c r="DN1305" s="91">
        <v>14.0</v>
      </c>
    </row>
    <row r="1306">
      <c r="A1306" s="64" t="s">
        <v>722</v>
      </c>
      <c r="B1306" s="64">
        <v>51.0</v>
      </c>
      <c r="C1306" s="75" t="str">
        <f>vlookup(left(A1306,2),Brands!$A$1:$B$36,2,0)</f>
        <v>IDEE</v>
      </c>
      <c r="D1306" s="76" t="s">
        <v>1308</v>
      </c>
      <c r="E1306" s="144"/>
      <c r="F1306" s="76" t="s">
        <v>932</v>
      </c>
      <c r="G1306" s="76">
        <v>1980.0</v>
      </c>
      <c r="DN1306" s="91">
        <v>1.0</v>
      </c>
    </row>
    <row r="1307">
      <c r="A1307" s="64" t="s">
        <v>723</v>
      </c>
      <c r="B1307" s="64">
        <v>51.0</v>
      </c>
      <c r="C1307" s="75" t="str">
        <f>vlookup(left(A1307,2),Brands!$A$1:$B$36,2,0)</f>
        <v>IDEE</v>
      </c>
      <c r="D1307" s="107" t="s">
        <v>1311</v>
      </c>
      <c r="E1307" s="144"/>
      <c r="F1307" s="76" t="s">
        <v>932</v>
      </c>
      <c r="G1307" s="76">
        <v>1980.0</v>
      </c>
      <c r="DN1307" s="91">
        <v>1.0</v>
      </c>
    </row>
    <row r="1308">
      <c r="A1308" s="64" t="s">
        <v>724</v>
      </c>
      <c r="B1308" s="64">
        <v>54.0</v>
      </c>
      <c r="C1308" s="75" t="str">
        <f>vlookup(left(A1308,2),Brands!$A$1:$B$36,2,0)</f>
        <v>IDEE</v>
      </c>
      <c r="D1308" s="76" t="s">
        <v>2779</v>
      </c>
      <c r="E1308" s="144"/>
      <c r="F1308" s="76" t="s">
        <v>932</v>
      </c>
      <c r="G1308" s="76">
        <v>2380.0</v>
      </c>
      <c r="DN1308" s="91">
        <v>2.0</v>
      </c>
    </row>
    <row r="1309">
      <c r="A1309" s="63" t="s">
        <v>725</v>
      </c>
      <c r="B1309" s="63">
        <v>53.0</v>
      </c>
      <c r="C1309" s="75" t="str">
        <f>vlookup(left(A1309,2),Brands!$A$1:$B$36,2,0)</f>
        <v>IDEE</v>
      </c>
      <c r="D1309" s="76" t="s">
        <v>2780</v>
      </c>
      <c r="E1309" s="144"/>
      <c r="F1309" s="76" t="s">
        <v>932</v>
      </c>
      <c r="G1309" s="76">
        <v>1950.0</v>
      </c>
      <c r="DN1309" s="91">
        <v>10.0</v>
      </c>
    </row>
    <row r="1310">
      <c r="A1310" s="63" t="s">
        <v>729</v>
      </c>
      <c r="B1310" s="63">
        <v>47.0</v>
      </c>
      <c r="C1310" s="75" t="str">
        <f>vlookup(left(A1310,2),Brands!$A$1:$B$36,2,0)</f>
        <v>IDEE</v>
      </c>
      <c r="D1310" s="76" t="s">
        <v>2781</v>
      </c>
      <c r="E1310" s="144"/>
      <c r="F1310" s="76" t="s">
        <v>932</v>
      </c>
      <c r="G1310" s="76">
        <v>2590.0</v>
      </c>
      <c r="DN1310" s="91">
        <v>3.0</v>
      </c>
    </row>
    <row r="1311">
      <c r="A1311" s="52" t="s">
        <v>731</v>
      </c>
      <c r="B1311" s="52">
        <v>49.0</v>
      </c>
      <c r="C1311" s="75" t="str">
        <f>vlookup(left(A1311,2),Brands!$A$1:$B$36,2,0)</f>
        <v>IDEE</v>
      </c>
      <c r="D1311" s="76" t="s">
        <v>1315</v>
      </c>
      <c r="E1311" s="144" t="s">
        <v>932</v>
      </c>
      <c r="F1311" s="76" t="s">
        <v>932</v>
      </c>
      <c r="G1311" s="76">
        <v>1800.0</v>
      </c>
      <c r="DN1311" s="91">
        <v>1.0</v>
      </c>
    </row>
    <row r="1312">
      <c r="A1312" s="52" t="s">
        <v>734</v>
      </c>
      <c r="B1312" s="52">
        <v>51.0</v>
      </c>
      <c r="C1312" s="75" t="str">
        <f>vlookup(left(A1312,2),Brands!$A$1:$B$36,2,0)</f>
        <v>IDEE</v>
      </c>
      <c r="D1312" s="76" t="s">
        <v>1460</v>
      </c>
      <c r="E1312" s="144"/>
      <c r="F1312" s="76" t="s">
        <v>932</v>
      </c>
      <c r="G1312" s="76">
        <v>1800.0</v>
      </c>
      <c r="DN1312" s="91">
        <v>1.0</v>
      </c>
    </row>
    <row r="1313">
      <c r="A1313" s="52" t="s">
        <v>735</v>
      </c>
      <c r="B1313" s="52">
        <v>50.0</v>
      </c>
      <c r="C1313" s="75" t="str">
        <f>vlookup(left(A1313,2),Brands!$A$1:$B$36,2,0)</f>
        <v>IDEE</v>
      </c>
      <c r="D1313" s="76" t="s">
        <v>1377</v>
      </c>
      <c r="E1313" s="144"/>
      <c r="F1313" s="76" t="s">
        <v>932</v>
      </c>
      <c r="G1313" s="76">
        <v>2200.0</v>
      </c>
      <c r="DN1313" s="91">
        <v>1.0</v>
      </c>
    </row>
    <row r="1314">
      <c r="A1314" s="52" t="s">
        <v>736</v>
      </c>
      <c r="B1314" s="52">
        <v>52.0</v>
      </c>
      <c r="C1314" s="75" t="str">
        <f>vlookup(left(A1314,2),Brands!$A$1:$B$36,2,0)</f>
        <v>IDEE</v>
      </c>
      <c r="D1314" s="76" t="s">
        <v>1377</v>
      </c>
      <c r="E1314" s="144"/>
      <c r="F1314" s="76" t="s">
        <v>932</v>
      </c>
      <c r="G1314" s="76">
        <v>1800.0</v>
      </c>
      <c r="DN1314" s="91">
        <v>1.0</v>
      </c>
    </row>
    <row r="1315">
      <c r="A1315" s="62" t="s">
        <v>737</v>
      </c>
      <c r="B1315" s="62">
        <v>52.0</v>
      </c>
      <c r="C1315" s="75" t="str">
        <f>vlookup(left(A1315,2),Brands!$A$1:$B$36,2,0)</f>
        <v>IDEE</v>
      </c>
      <c r="D1315" s="76" t="s">
        <v>1511</v>
      </c>
      <c r="E1315" s="144"/>
      <c r="F1315" s="42" t="s">
        <v>885</v>
      </c>
      <c r="G1315" s="76">
        <v>2850.0</v>
      </c>
      <c r="DN1315" s="91">
        <v>1.0</v>
      </c>
    </row>
    <row r="1316">
      <c r="A1316" s="62" t="s">
        <v>738</v>
      </c>
      <c r="B1316" s="62">
        <v>52.0</v>
      </c>
      <c r="C1316" s="75" t="str">
        <f>vlookup(left(A1316,2),Brands!$A$1:$B$36,2,0)</f>
        <v>IDEE</v>
      </c>
      <c r="D1316" s="76" t="s">
        <v>1496</v>
      </c>
      <c r="E1316" s="144"/>
      <c r="F1316" s="42" t="s">
        <v>885</v>
      </c>
      <c r="G1316" s="76">
        <v>2850.0</v>
      </c>
      <c r="DN1316" s="91">
        <v>1.0</v>
      </c>
    </row>
    <row r="1317">
      <c r="A1317" s="62" t="s">
        <v>740</v>
      </c>
      <c r="B1317" s="62">
        <v>57.0</v>
      </c>
      <c r="C1317" s="75" t="str">
        <f>vlookup(left(A1317,2),Brands!$A$1:$B$36,2,0)</f>
        <v>IDEE</v>
      </c>
      <c r="D1317" s="76" t="s">
        <v>1496</v>
      </c>
      <c r="E1317" s="144"/>
      <c r="F1317" s="42" t="s">
        <v>885</v>
      </c>
      <c r="G1317" s="76">
        <v>1980.0</v>
      </c>
      <c r="DN1317" s="91">
        <v>1.0</v>
      </c>
    </row>
    <row r="1318">
      <c r="A1318" s="159" t="s">
        <v>2782</v>
      </c>
      <c r="B1318" s="159"/>
      <c r="C1318" s="75" t="s">
        <v>2371</v>
      </c>
      <c r="D1318" s="76" t="s">
        <v>2657</v>
      </c>
      <c r="E1318" s="160" t="s">
        <v>2381</v>
      </c>
      <c r="F1318" s="76" t="s">
        <v>932</v>
      </c>
      <c r="G1318" s="76">
        <v>800.0</v>
      </c>
      <c r="DN1318" s="92">
        <v>1.0</v>
      </c>
    </row>
    <row r="1319">
      <c r="A1319" s="161" t="s">
        <v>2783</v>
      </c>
      <c r="B1319" s="161"/>
      <c r="C1319" s="75" t="s">
        <v>2371</v>
      </c>
      <c r="D1319" s="67" t="s">
        <v>2784</v>
      </c>
      <c r="E1319" s="160" t="s">
        <v>2381</v>
      </c>
      <c r="F1319" s="76" t="s">
        <v>932</v>
      </c>
      <c r="G1319" s="67">
        <v>800.0</v>
      </c>
      <c r="DN1319" s="141">
        <v>12.0</v>
      </c>
    </row>
    <row r="1320">
      <c r="A1320" s="161" t="s">
        <v>2785</v>
      </c>
      <c r="B1320" s="161"/>
      <c r="C1320" s="75" t="s">
        <v>2371</v>
      </c>
      <c r="D1320" s="67" t="s">
        <v>2648</v>
      </c>
      <c r="E1320" s="160" t="s">
        <v>2381</v>
      </c>
      <c r="F1320" s="76" t="s">
        <v>932</v>
      </c>
      <c r="G1320" s="67">
        <v>800.0</v>
      </c>
      <c r="DN1320" s="92">
        <v>1.0</v>
      </c>
    </row>
    <row r="1321">
      <c r="A1321" s="122" t="s">
        <v>2786</v>
      </c>
      <c r="B1321" s="122"/>
      <c r="C1321" s="122"/>
      <c r="D1321" s="76" t="s">
        <v>867</v>
      </c>
      <c r="E1321" s="160" t="s">
        <v>2415</v>
      </c>
      <c r="F1321" s="76" t="s">
        <v>932</v>
      </c>
      <c r="G1321" s="76">
        <v>300.0</v>
      </c>
      <c r="DN1321" s="92">
        <v>0.0</v>
      </c>
    </row>
    <row r="1322">
      <c r="A1322" s="118" t="s">
        <v>2787</v>
      </c>
      <c r="B1322" s="118"/>
      <c r="C1322" s="167"/>
      <c r="D1322" s="168" t="s">
        <v>2648</v>
      </c>
      <c r="E1322" s="118" t="s">
        <v>2381</v>
      </c>
      <c r="F1322" s="76" t="s">
        <v>932</v>
      </c>
      <c r="G1322" s="76">
        <v>550.0</v>
      </c>
      <c r="DN1322" s="92">
        <v>1.0</v>
      </c>
    </row>
    <row r="1323">
      <c r="A1323" s="118" t="s">
        <v>2788</v>
      </c>
      <c r="B1323" s="118"/>
      <c r="C1323" s="167"/>
      <c r="D1323" s="76" t="s">
        <v>2789</v>
      </c>
      <c r="E1323" s="118"/>
      <c r="F1323" s="76" t="s">
        <v>932</v>
      </c>
      <c r="G1323" s="76">
        <v>300.0</v>
      </c>
      <c r="DN1323" s="92">
        <v>12.0</v>
      </c>
    </row>
    <row r="1324">
      <c r="A1324" s="118" t="s">
        <v>2790</v>
      </c>
      <c r="B1324" s="118"/>
      <c r="C1324" s="167"/>
      <c r="D1324" s="76" t="s">
        <v>2791</v>
      </c>
      <c r="E1324" s="118" t="s">
        <v>2678</v>
      </c>
      <c r="F1324" s="76" t="s">
        <v>932</v>
      </c>
      <c r="G1324" s="76">
        <v>900.0</v>
      </c>
      <c r="DN1324" s="92">
        <v>2.0</v>
      </c>
    </row>
    <row r="1325">
      <c r="A1325" s="118" t="s">
        <v>2792</v>
      </c>
      <c r="B1325" s="118"/>
      <c r="C1325" s="167"/>
      <c r="D1325" s="76" t="s">
        <v>2793</v>
      </c>
      <c r="E1325" s="118" t="s">
        <v>2381</v>
      </c>
      <c r="F1325" s="76" t="s">
        <v>932</v>
      </c>
      <c r="G1325" s="76">
        <v>600.0</v>
      </c>
      <c r="DN1325" s="92">
        <v>2.0</v>
      </c>
    </row>
    <row r="1326">
      <c r="A1326" s="118" t="s">
        <v>2794</v>
      </c>
      <c r="B1326" s="118"/>
      <c r="C1326" s="167"/>
      <c r="D1326" s="76" t="s">
        <v>867</v>
      </c>
      <c r="E1326" s="118" t="s">
        <v>2381</v>
      </c>
      <c r="F1326" s="76" t="s">
        <v>932</v>
      </c>
      <c r="G1326" s="76">
        <v>550.0</v>
      </c>
      <c r="DN1326" s="92">
        <v>0.0</v>
      </c>
    </row>
    <row r="1327">
      <c r="A1327" s="118" t="s">
        <v>2795</v>
      </c>
      <c r="B1327" s="118"/>
      <c r="C1327" s="167"/>
      <c r="D1327" s="76" t="s">
        <v>867</v>
      </c>
      <c r="E1327" s="118" t="s">
        <v>2381</v>
      </c>
      <c r="F1327" s="76" t="s">
        <v>932</v>
      </c>
      <c r="G1327" s="76">
        <v>550.0</v>
      </c>
      <c r="DN1327" s="92">
        <v>0.0</v>
      </c>
    </row>
    <row r="1328">
      <c r="A1328" s="118" t="s">
        <v>2796</v>
      </c>
      <c r="B1328" s="118"/>
      <c r="C1328" s="167"/>
      <c r="D1328" s="76" t="s">
        <v>2797</v>
      </c>
      <c r="E1328" s="118" t="s">
        <v>2381</v>
      </c>
      <c r="F1328" s="76" t="s">
        <v>932</v>
      </c>
      <c r="G1328" s="76">
        <v>500.0</v>
      </c>
      <c r="DN1328" s="92">
        <v>3.0</v>
      </c>
    </row>
    <row r="1329">
      <c r="A1329" s="118" t="s">
        <v>2798</v>
      </c>
      <c r="B1329" s="118"/>
      <c r="C1329" s="167"/>
      <c r="D1329" s="76" t="s">
        <v>867</v>
      </c>
      <c r="E1329" s="118" t="s">
        <v>2415</v>
      </c>
      <c r="F1329" s="76" t="s">
        <v>932</v>
      </c>
      <c r="G1329" s="76">
        <v>450.0</v>
      </c>
      <c r="DN1329" s="92">
        <v>0.0</v>
      </c>
    </row>
    <row r="1330">
      <c r="A1330" s="118" t="s">
        <v>2799</v>
      </c>
      <c r="B1330" s="118"/>
      <c r="C1330" s="167"/>
      <c r="D1330" s="76" t="s">
        <v>867</v>
      </c>
      <c r="E1330" s="118" t="s">
        <v>2415</v>
      </c>
      <c r="F1330" s="76" t="s">
        <v>932</v>
      </c>
      <c r="G1330" s="76">
        <v>400.0</v>
      </c>
      <c r="DN1330" s="92">
        <v>0.0</v>
      </c>
    </row>
    <row r="1331">
      <c r="A1331" s="118" t="s">
        <v>2800</v>
      </c>
      <c r="B1331" s="118"/>
      <c r="C1331" s="167"/>
      <c r="D1331" s="76" t="s">
        <v>2801</v>
      </c>
      <c r="E1331" s="118" t="s">
        <v>2415</v>
      </c>
      <c r="F1331" s="76" t="s">
        <v>932</v>
      </c>
      <c r="G1331" s="76">
        <v>300.0</v>
      </c>
      <c r="DN1331" s="92">
        <v>3.0</v>
      </c>
    </row>
    <row r="1332">
      <c r="A1332" s="118" t="s">
        <v>2802</v>
      </c>
      <c r="B1332" s="118"/>
      <c r="C1332" s="167"/>
      <c r="D1332" s="76" t="s">
        <v>2803</v>
      </c>
      <c r="E1332" s="118" t="s">
        <v>2381</v>
      </c>
      <c r="F1332" s="76" t="s">
        <v>932</v>
      </c>
      <c r="G1332" s="76">
        <v>450.0</v>
      </c>
      <c r="DN1332" s="92">
        <v>1.0</v>
      </c>
    </row>
    <row r="1333">
      <c r="A1333" s="118" t="s">
        <v>2804</v>
      </c>
      <c r="B1333" s="118"/>
      <c r="C1333" s="167"/>
      <c r="D1333" s="76" t="s">
        <v>867</v>
      </c>
      <c r="E1333" s="118" t="s">
        <v>2415</v>
      </c>
      <c r="F1333" s="76" t="s">
        <v>932</v>
      </c>
      <c r="G1333" s="76">
        <v>300.0</v>
      </c>
      <c r="DN1333" s="92">
        <v>0.0</v>
      </c>
    </row>
    <row r="1334">
      <c r="A1334" s="118" t="s">
        <v>2806</v>
      </c>
      <c r="B1334" s="118"/>
      <c r="C1334" s="167"/>
      <c r="D1334" s="76" t="s">
        <v>2807</v>
      </c>
      <c r="E1334" s="118" t="s">
        <v>2415</v>
      </c>
      <c r="F1334" s="76" t="s">
        <v>932</v>
      </c>
      <c r="G1334" s="76">
        <v>450.0</v>
      </c>
      <c r="DN1334" s="92">
        <v>6.0</v>
      </c>
    </row>
    <row r="1335">
      <c r="A1335" s="118" t="s">
        <v>2808</v>
      </c>
      <c r="B1335" s="118"/>
      <c r="C1335" s="167"/>
      <c r="D1335" s="76" t="s">
        <v>2809</v>
      </c>
      <c r="E1335" s="118" t="s">
        <v>2429</v>
      </c>
      <c r="F1335" s="76" t="s">
        <v>932</v>
      </c>
      <c r="G1335" s="76">
        <v>200.0</v>
      </c>
      <c r="DN1335" s="92">
        <v>304.0</v>
      </c>
    </row>
    <row r="1336">
      <c r="A1336" s="118" t="s">
        <v>2812</v>
      </c>
      <c r="B1336" s="118"/>
      <c r="C1336" s="167"/>
      <c r="D1336" s="76" t="s">
        <v>867</v>
      </c>
      <c r="E1336" s="118" t="s">
        <v>2415</v>
      </c>
      <c r="F1336" s="76" t="s">
        <v>932</v>
      </c>
      <c r="G1336" s="76">
        <v>450.0</v>
      </c>
      <c r="DN1336" s="92">
        <v>0.0</v>
      </c>
    </row>
    <row r="1337">
      <c r="A1337" s="118" t="s">
        <v>2813</v>
      </c>
      <c r="B1337" s="118"/>
      <c r="C1337" s="167"/>
      <c r="D1337" s="76" t="s">
        <v>2814</v>
      </c>
      <c r="E1337" s="118" t="s">
        <v>2678</v>
      </c>
      <c r="F1337" s="76" t="s">
        <v>932</v>
      </c>
      <c r="G1337" s="76">
        <v>1000.0</v>
      </c>
      <c r="DN1337" s="91">
        <v>2.0</v>
      </c>
    </row>
    <row r="1338">
      <c r="A1338" s="118" t="s">
        <v>2815</v>
      </c>
      <c r="B1338" s="118"/>
      <c r="C1338" s="167"/>
      <c r="D1338" s="76" t="s">
        <v>2816</v>
      </c>
      <c r="E1338" s="118" t="s">
        <v>2678</v>
      </c>
      <c r="F1338" s="76" t="s">
        <v>932</v>
      </c>
      <c r="G1338" s="76">
        <v>1000.0</v>
      </c>
      <c r="DN1338" s="92">
        <v>9.0</v>
      </c>
    </row>
    <row r="1339">
      <c r="A1339" s="118" t="s">
        <v>2817</v>
      </c>
      <c r="B1339" s="118"/>
      <c r="C1339" s="167"/>
      <c r="D1339" s="76" t="s">
        <v>2818</v>
      </c>
      <c r="E1339" s="118" t="s">
        <v>2381</v>
      </c>
      <c r="F1339" s="76" t="s">
        <v>932</v>
      </c>
      <c r="G1339" s="76">
        <v>700.0</v>
      </c>
      <c r="DN1339" s="92">
        <v>1.0</v>
      </c>
    </row>
    <row r="1340">
      <c r="A1340" s="118" t="s">
        <v>2819</v>
      </c>
      <c r="B1340" s="118"/>
      <c r="C1340" s="167"/>
      <c r="D1340" s="76" t="s">
        <v>2820</v>
      </c>
      <c r="E1340" s="118"/>
      <c r="F1340" s="76" t="s">
        <v>2821</v>
      </c>
      <c r="G1340" s="76">
        <v>450.0</v>
      </c>
      <c r="DN1340" s="92">
        <v>5.0</v>
      </c>
    </row>
    <row r="1341">
      <c r="A1341" s="118" t="s">
        <v>2822</v>
      </c>
      <c r="B1341" s="118"/>
      <c r="C1341" s="167"/>
      <c r="D1341" s="76" t="s">
        <v>2823</v>
      </c>
      <c r="E1341" s="118"/>
      <c r="F1341" s="76" t="s">
        <v>2824</v>
      </c>
      <c r="G1341" s="76">
        <v>450.0</v>
      </c>
      <c r="DN1341" s="92">
        <v>1.0</v>
      </c>
    </row>
    <row r="1342">
      <c r="A1342" s="118" t="s">
        <v>2825</v>
      </c>
      <c r="B1342" s="118"/>
      <c r="C1342" s="167"/>
      <c r="D1342" s="76" t="s">
        <v>2823</v>
      </c>
      <c r="E1342" s="15"/>
      <c r="F1342" s="76" t="s">
        <v>2824</v>
      </c>
      <c r="G1342" s="76">
        <v>450.0</v>
      </c>
      <c r="DN1342" s="92">
        <v>1.0</v>
      </c>
    </row>
    <row r="1343">
      <c r="A1343" s="118" t="s">
        <v>2826</v>
      </c>
      <c r="B1343" s="118"/>
      <c r="C1343" s="167"/>
      <c r="D1343" s="76" t="s">
        <v>867</v>
      </c>
      <c r="E1343" s="15"/>
      <c r="F1343" s="76" t="s">
        <v>2824</v>
      </c>
      <c r="G1343" s="76">
        <v>450.0</v>
      </c>
      <c r="DN1343" s="92">
        <v>0.0</v>
      </c>
    </row>
    <row r="1344">
      <c r="A1344" s="118" t="s">
        <v>2827</v>
      </c>
      <c r="B1344" s="118"/>
      <c r="C1344" s="167"/>
      <c r="D1344" s="76" t="s">
        <v>2828</v>
      </c>
      <c r="E1344" s="15"/>
      <c r="F1344" s="76" t="s">
        <v>2824</v>
      </c>
      <c r="G1344" s="76">
        <v>450.0</v>
      </c>
      <c r="DN1344" s="92">
        <v>5.0</v>
      </c>
    </row>
    <row r="1345">
      <c r="A1345" s="118" t="s">
        <v>2829</v>
      </c>
      <c r="B1345" s="118"/>
      <c r="C1345" s="167"/>
      <c r="D1345" s="76" t="s">
        <v>2830</v>
      </c>
      <c r="E1345" s="15"/>
      <c r="F1345" s="76" t="s">
        <v>2824</v>
      </c>
      <c r="G1345" s="76">
        <v>450.0</v>
      </c>
      <c r="DN1345" s="92">
        <v>4.0</v>
      </c>
    </row>
    <row r="1346">
      <c r="A1346" s="118" t="s">
        <v>2831</v>
      </c>
      <c r="B1346" s="118"/>
      <c r="C1346" s="167"/>
      <c r="D1346" s="76" t="s">
        <v>2832</v>
      </c>
      <c r="E1346" s="15"/>
      <c r="F1346" s="76" t="s">
        <v>2821</v>
      </c>
      <c r="G1346" s="76">
        <v>450.0</v>
      </c>
      <c r="DN1346" s="92">
        <v>5.0</v>
      </c>
    </row>
    <row r="1347">
      <c r="A1347" s="119" t="s">
        <v>2833</v>
      </c>
      <c r="B1347" s="119"/>
      <c r="C1347" s="167"/>
      <c r="D1347" s="81" t="s">
        <v>2834</v>
      </c>
      <c r="E1347" s="119"/>
      <c r="F1347" s="81" t="s">
        <v>2381</v>
      </c>
      <c r="G1347" s="81">
        <v>600.0</v>
      </c>
      <c r="DN1347" s="92">
        <v>7.0</v>
      </c>
    </row>
    <row r="1348">
      <c r="A1348" s="119" t="s">
        <v>2835</v>
      </c>
      <c r="B1348" s="119"/>
      <c r="C1348" s="167"/>
      <c r="D1348" s="81" t="s">
        <v>867</v>
      </c>
      <c r="E1348" s="119"/>
      <c r="F1348" s="81" t="s">
        <v>2381</v>
      </c>
      <c r="G1348" s="81">
        <v>600.0</v>
      </c>
      <c r="DN1348" s="92">
        <v>0.0</v>
      </c>
    </row>
    <row r="1349">
      <c r="A1349" s="15" t="s">
        <v>2836</v>
      </c>
      <c r="B1349" s="15"/>
      <c r="C1349" s="167"/>
      <c r="D1349" s="81" t="s">
        <v>2837</v>
      </c>
      <c r="E1349" s="15"/>
      <c r="F1349" s="42" t="s">
        <v>2381</v>
      </c>
      <c r="G1349" s="42">
        <v>800.0</v>
      </c>
      <c r="DN1349" s="92">
        <v>3.0</v>
      </c>
    </row>
    <row r="1350">
      <c r="A1350" s="15" t="s">
        <v>2838</v>
      </c>
      <c r="B1350" s="15"/>
      <c r="C1350" s="167"/>
      <c r="D1350" s="81" t="s">
        <v>2839</v>
      </c>
      <c r="E1350" s="15"/>
      <c r="F1350" s="42" t="s">
        <v>2381</v>
      </c>
      <c r="G1350" s="42">
        <v>800.0</v>
      </c>
      <c r="DN1350" s="92">
        <v>4.0</v>
      </c>
    </row>
    <row r="1351">
      <c r="A1351" s="15" t="s">
        <v>2840</v>
      </c>
      <c r="B1351" s="15"/>
      <c r="C1351" s="167"/>
      <c r="D1351" s="81" t="s">
        <v>2841</v>
      </c>
      <c r="E1351" s="15"/>
      <c r="F1351" s="42" t="s">
        <v>2381</v>
      </c>
      <c r="G1351" s="42">
        <v>800.0</v>
      </c>
      <c r="DN1351" s="92">
        <v>7.0</v>
      </c>
    </row>
    <row r="1352">
      <c r="A1352" s="15" t="s">
        <v>2842</v>
      </c>
      <c r="B1352" s="15"/>
      <c r="C1352" s="167"/>
      <c r="D1352" s="42" t="s">
        <v>2843</v>
      </c>
      <c r="E1352" s="15"/>
      <c r="F1352" s="42" t="s">
        <v>2381</v>
      </c>
      <c r="G1352" s="42">
        <v>800.0</v>
      </c>
      <c r="DN1352" s="91">
        <v>4.0</v>
      </c>
    </row>
    <row r="1353">
      <c r="A1353" s="15" t="s">
        <v>2844</v>
      </c>
      <c r="B1353" s="15"/>
      <c r="C1353" s="167"/>
      <c r="D1353" s="42" t="s">
        <v>2845</v>
      </c>
      <c r="E1353" s="15"/>
      <c r="F1353" s="42" t="s">
        <v>2381</v>
      </c>
      <c r="G1353" s="42">
        <v>800.0</v>
      </c>
      <c r="DN1353" s="92">
        <v>7.0</v>
      </c>
    </row>
    <row r="1354">
      <c r="A1354" s="15" t="s">
        <v>2846</v>
      </c>
      <c r="B1354" s="15"/>
      <c r="C1354" s="167"/>
      <c r="D1354" s="42" t="s">
        <v>2847</v>
      </c>
      <c r="E1354" s="15"/>
      <c r="F1354" s="42" t="s">
        <v>2381</v>
      </c>
      <c r="G1354" s="42">
        <v>800.0</v>
      </c>
      <c r="DN1354" s="92">
        <v>3.0</v>
      </c>
    </row>
    <row r="1355">
      <c r="A1355" s="15" t="s">
        <v>2848</v>
      </c>
      <c r="B1355" s="15"/>
      <c r="C1355" s="167"/>
      <c r="D1355" s="42" t="s">
        <v>2849</v>
      </c>
      <c r="E1355" s="15"/>
      <c r="F1355" s="42" t="s">
        <v>2381</v>
      </c>
      <c r="G1355" s="42">
        <v>900.0</v>
      </c>
      <c r="DN1355" s="92">
        <v>8.0</v>
      </c>
    </row>
    <row r="1356">
      <c r="A1356" s="15" t="s">
        <v>2850</v>
      </c>
      <c r="B1356" s="15"/>
      <c r="C1356" s="167"/>
      <c r="D1356" s="42" t="s">
        <v>2839</v>
      </c>
      <c r="E1356" s="15"/>
      <c r="F1356" s="42" t="s">
        <v>2381</v>
      </c>
      <c r="G1356" s="42">
        <v>800.0</v>
      </c>
      <c r="DN1356" s="91">
        <v>4.0</v>
      </c>
    </row>
    <row r="1357">
      <c r="A1357" s="15" t="s">
        <v>2851</v>
      </c>
      <c r="B1357" s="15"/>
      <c r="C1357" s="167"/>
      <c r="D1357" s="42" t="s">
        <v>867</v>
      </c>
      <c r="E1357" s="15"/>
      <c r="F1357" s="42" t="s">
        <v>2429</v>
      </c>
      <c r="G1357" s="42">
        <v>300.0</v>
      </c>
      <c r="DN1357" s="92">
        <v>0.0</v>
      </c>
    </row>
    <row r="1358">
      <c r="A1358" s="15" t="s">
        <v>2852</v>
      </c>
      <c r="B1358" s="15"/>
      <c r="C1358" s="167"/>
      <c r="D1358" s="42" t="s">
        <v>2853</v>
      </c>
      <c r="E1358" s="15"/>
      <c r="F1358" s="42" t="s">
        <v>2429</v>
      </c>
      <c r="G1358" s="42">
        <v>300.0</v>
      </c>
      <c r="DN1358" s="91">
        <v>2.0</v>
      </c>
    </row>
    <row r="1359">
      <c r="A1359" s="173" t="s">
        <v>2854</v>
      </c>
      <c r="B1359" s="173"/>
      <c r="C1359" s="167"/>
      <c r="D1359" s="174" t="s">
        <v>2855</v>
      </c>
      <c r="E1359" s="173"/>
      <c r="F1359" s="174" t="s">
        <v>2429</v>
      </c>
      <c r="G1359" s="174">
        <v>300.0</v>
      </c>
      <c r="DN1359" s="91">
        <v>12.0</v>
      </c>
    </row>
    <row r="1360">
      <c r="A1360" s="15" t="s">
        <v>2856</v>
      </c>
      <c r="B1360" s="15"/>
      <c r="C1360" s="167"/>
      <c r="D1360" s="174" t="s">
        <v>2857</v>
      </c>
      <c r="E1360" s="15"/>
      <c r="F1360" s="42" t="s">
        <v>2429</v>
      </c>
      <c r="G1360" s="42">
        <v>300.0</v>
      </c>
      <c r="DN1360" s="92">
        <v>2.0</v>
      </c>
    </row>
    <row r="1361">
      <c r="A1361" s="15" t="s">
        <v>2858</v>
      </c>
      <c r="B1361" s="15"/>
      <c r="C1361" s="167"/>
      <c r="D1361" s="42" t="s">
        <v>2616</v>
      </c>
      <c r="E1361" s="15" t="s">
        <v>2415</v>
      </c>
      <c r="F1361" s="80"/>
      <c r="G1361" s="42">
        <v>350.0</v>
      </c>
      <c r="DN1361" s="92">
        <v>1.0</v>
      </c>
    </row>
    <row r="1362">
      <c r="A1362" s="15" t="s">
        <v>2859</v>
      </c>
      <c r="B1362" s="15"/>
      <c r="C1362" s="167"/>
      <c r="D1362" s="42" t="s">
        <v>1707</v>
      </c>
      <c r="E1362" s="15" t="s">
        <v>2381</v>
      </c>
      <c r="F1362" s="80"/>
      <c r="G1362" s="42">
        <v>450.0</v>
      </c>
      <c r="DN1362" s="92">
        <v>1.0</v>
      </c>
    </row>
    <row r="1363">
      <c r="A1363" s="15" t="s">
        <v>2860</v>
      </c>
      <c r="B1363" s="15"/>
      <c r="C1363" s="167"/>
      <c r="D1363" s="42" t="s">
        <v>2484</v>
      </c>
      <c r="E1363" s="15" t="s">
        <v>2381</v>
      </c>
      <c r="F1363" s="80"/>
      <c r="G1363" s="42">
        <v>450.0</v>
      </c>
      <c r="DN1363" s="92">
        <v>2.0</v>
      </c>
    </row>
    <row r="1364">
      <c r="A1364" s="15" t="s">
        <v>2861</v>
      </c>
      <c r="B1364" s="15"/>
      <c r="C1364" s="167"/>
      <c r="D1364" s="42" t="s">
        <v>2709</v>
      </c>
      <c r="E1364" s="15" t="s">
        <v>2381</v>
      </c>
      <c r="F1364" s="80"/>
      <c r="G1364" s="42">
        <v>450.0</v>
      </c>
      <c r="DN1364" s="92">
        <v>1.0</v>
      </c>
    </row>
    <row r="1365">
      <c r="A1365" s="178" t="s">
        <v>2862</v>
      </c>
      <c r="B1365" s="178"/>
      <c r="C1365" s="167"/>
      <c r="D1365" s="179" t="s">
        <v>2863</v>
      </c>
      <c r="E1365" s="178" t="s">
        <v>2415</v>
      </c>
      <c r="F1365" s="180"/>
      <c r="G1365" s="179">
        <v>450.0</v>
      </c>
      <c r="DN1365" s="6">
        <v>0.0</v>
      </c>
    </row>
    <row r="1366">
      <c r="A1366" s="15" t="s">
        <v>2864</v>
      </c>
      <c r="B1366" s="15"/>
      <c r="C1366" s="167"/>
      <c r="D1366" s="42" t="s">
        <v>2865</v>
      </c>
      <c r="E1366" s="15" t="s">
        <v>2415</v>
      </c>
      <c r="F1366" s="80"/>
      <c r="G1366" s="42">
        <v>300.0</v>
      </c>
      <c r="DN1366" s="92">
        <v>3.0</v>
      </c>
    </row>
    <row r="1367">
      <c r="A1367" s="15" t="s">
        <v>2866</v>
      </c>
      <c r="B1367" s="15"/>
      <c r="C1367" s="167"/>
      <c r="D1367" s="42" t="s">
        <v>2709</v>
      </c>
      <c r="E1367" s="15" t="s">
        <v>2415</v>
      </c>
      <c r="F1367" s="80"/>
      <c r="G1367" s="42">
        <v>300.0</v>
      </c>
      <c r="DN1367" s="92">
        <v>1.0</v>
      </c>
    </row>
    <row r="1368">
      <c r="A1368" s="15" t="s">
        <v>2867</v>
      </c>
      <c r="B1368" s="15"/>
      <c r="C1368" s="167"/>
      <c r="D1368" s="42" t="s">
        <v>2868</v>
      </c>
      <c r="E1368" s="15" t="s">
        <v>2381</v>
      </c>
      <c r="F1368" s="80"/>
      <c r="G1368" s="42">
        <v>400.0</v>
      </c>
      <c r="DN1368" s="92">
        <v>2.0</v>
      </c>
    </row>
    <row r="1369">
      <c r="A1369" s="15" t="s">
        <v>2869</v>
      </c>
      <c r="B1369" s="15"/>
      <c r="C1369" s="167"/>
      <c r="D1369" s="42" t="s">
        <v>1616</v>
      </c>
      <c r="E1369" s="15" t="s">
        <v>2415</v>
      </c>
      <c r="F1369" s="80"/>
      <c r="G1369" s="42">
        <v>300.0</v>
      </c>
      <c r="DN1369" s="92">
        <v>1.0</v>
      </c>
    </row>
    <row r="1370">
      <c r="A1370" s="15" t="s">
        <v>2870</v>
      </c>
      <c r="B1370" s="15"/>
      <c r="C1370" s="167"/>
      <c r="D1370" s="42" t="s">
        <v>1707</v>
      </c>
      <c r="E1370" s="15" t="s">
        <v>2415</v>
      </c>
      <c r="F1370" s="80"/>
      <c r="G1370" s="42">
        <v>300.0</v>
      </c>
      <c r="DN1370" s="92">
        <v>1.0</v>
      </c>
    </row>
    <row r="1371">
      <c r="A1371" s="15" t="s">
        <v>2871</v>
      </c>
      <c r="B1371" s="15"/>
      <c r="C1371" s="167"/>
      <c r="D1371" s="186" t="s">
        <v>2872</v>
      </c>
      <c r="E1371" s="15" t="s">
        <v>2381</v>
      </c>
      <c r="F1371" s="80"/>
      <c r="G1371" s="42">
        <v>500.0</v>
      </c>
      <c r="DN1371" s="92">
        <v>4.0</v>
      </c>
    </row>
    <row r="1372">
      <c r="A1372" s="15" t="s">
        <v>2873</v>
      </c>
      <c r="B1372" s="15"/>
      <c r="C1372" s="167"/>
      <c r="D1372" s="42" t="s">
        <v>1123</v>
      </c>
      <c r="E1372" s="15" t="s">
        <v>2634</v>
      </c>
      <c r="F1372" s="80"/>
      <c r="G1372" s="42">
        <v>1100.0</v>
      </c>
      <c r="DN1372" s="92">
        <v>0.0</v>
      </c>
    </row>
    <row r="1373">
      <c r="A1373" s="15" t="s">
        <v>2874</v>
      </c>
      <c r="B1373" s="15"/>
      <c r="C1373" s="167"/>
      <c r="D1373" s="42" t="s">
        <v>1123</v>
      </c>
      <c r="E1373" s="15" t="s">
        <v>2381</v>
      </c>
      <c r="F1373" s="80"/>
      <c r="G1373" s="42">
        <v>650.0</v>
      </c>
      <c r="DN1373" s="92">
        <v>0.0</v>
      </c>
    </row>
    <row r="1374">
      <c r="A1374" s="15" t="s">
        <v>2875</v>
      </c>
      <c r="B1374" s="15"/>
      <c r="C1374" s="167"/>
      <c r="D1374" s="42" t="s">
        <v>2876</v>
      </c>
      <c r="E1374" s="15" t="s">
        <v>2381</v>
      </c>
      <c r="F1374" s="80"/>
      <c r="G1374" s="42">
        <v>500.0</v>
      </c>
      <c r="DN1374" s="92">
        <v>1.0</v>
      </c>
    </row>
    <row r="1375">
      <c r="A1375" s="15" t="s">
        <v>2877</v>
      </c>
      <c r="B1375" s="15"/>
      <c r="C1375" s="167"/>
      <c r="D1375" s="42" t="s">
        <v>2878</v>
      </c>
      <c r="E1375" s="15" t="s">
        <v>2415</v>
      </c>
      <c r="F1375" s="80"/>
      <c r="G1375" s="42">
        <v>400.0</v>
      </c>
      <c r="DN1375" s="92">
        <v>3.0</v>
      </c>
    </row>
    <row r="1376">
      <c r="A1376" s="15" t="s">
        <v>2879</v>
      </c>
      <c r="B1376" s="15"/>
      <c r="C1376" s="167"/>
      <c r="D1376" s="42" t="s">
        <v>2880</v>
      </c>
      <c r="E1376" s="15" t="s">
        <v>2415</v>
      </c>
      <c r="F1376" s="80"/>
      <c r="G1376" s="42">
        <v>300.0</v>
      </c>
      <c r="DN1376" s="91">
        <v>3.0</v>
      </c>
    </row>
    <row r="1377">
      <c r="A1377" s="15" t="s">
        <v>2881</v>
      </c>
      <c r="B1377" s="15"/>
      <c r="C1377" s="167"/>
      <c r="D1377" s="42" t="s">
        <v>2882</v>
      </c>
      <c r="E1377" s="15" t="s">
        <v>2381</v>
      </c>
      <c r="F1377" s="80"/>
      <c r="G1377" s="42">
        <v>550.0</v>
      </c>
      <c r="DN1377" s="92">
        <v>3.0</v>
      </c>
    </row>
    <row r="1378">
      <c r="A1378" s="15" t="s">
        <v>2883</v>
      </c>
      <c r="B1378" s="15"/>
      <c r="C1378" s="167"/>
      <c r="D1378" s="42" t="s">
        <v>2884</v>
      </c>
      <c r="E1378" s="15" t="s">
        <v>2415</v>
      </c>
      <c r="F1378" s="80"/>
      <c r="G1378" s="42">
        <v>300.0</v>
      </c>
      <c r="DN1378" s="92">
        <v>3.0</v>
      </c>
    </row>
    <row r="1379">
      <c r="A1379" s="15" t="s">
        <v>2885</v>
      </c>
      <c r="B1379" s="15"/>
      <c r="C1379" s="167"/>
      <c r="D1379" s="42" t="s">
        <v>2712</v>
      </c>
      <c r="E1379" s="15" t="s">
        <v>2415</v>
      </c>
      <c r="F1379" s="80"/>
      <c r="G1379" s="42">
        <v>300.0</v>
      </c>
      <c r="DN1379" s="92">
        <v>0.0</v>
      </c>
    </row>
    <row r="1380">
      <c r="A1380" s="15" t="s">
        <v>2886</v>
      </c>
      <c r="B1380" s="15"/>
      <c r="C1380" s="167"/>
      <c r="D1380" s="42" t="s">
        <v>2887</v>
      </c>
      <c r="E1380" s="15" t="s">
        <v>2381</v>
      </c>
      <c r="F1380" s="80"/>
      <c r="G1380" s="42">
        <v>500.0</v>
      </c>
      <c r="DN1380" s="92">
        <v>13.0</v>
      </c>
    </row>
    <row r="1381">
      <c r="A1381" s="15" t="s">
        <v>2889</v>
      </c>
      <c r="B1381" s="15"/>
      <c r="C1381" s="167"/>
      <c r="D1381" s="42" t="s">
        <v>2890</v>
      </c>
      <c r="E1381" s="15" t="s">
        <v>2415</v>
      </c>
      <c r="F1381" s="80"/>
      <c r="G1381" s="42">
        <v>450.0</v>
      </c>
      <c r="DN1381" s="92">
        <v>1.0</v>
      </c>
    </row>
    <row r="1382">
      <c r="A1382" s="15" t="s">
        <v>2891</v>
      </c>
      <c r="B1382" s="15"/>
      <c r="C1382" s="167"/>
      <c r="D1382" s="187" t="s">
        <v>2892</v>
      </c>
      <c r="E1382" s="15" t="s">
        <v>2381</v>
      </c>
      <c r="F1382" s="80"/>
      <c r="G1382" s="42">
        <v>450.0</v>
      </c>
      <c r="DN1382" s="92">
        <v>1.0</v>
      </c>
    </row>
    <row r="1383">
      <c r="A1383" s="15" t="s">
        <v>2893</v>
      </c>
      <c r="B1383" s="15"/>
      <c r="C1383" s="167"/>
      <c r="D1383" s="42" t="s">
        <v>867</v>
      </c>
      <c r="E1383" s="15" t="s">
        <v>2381</v>
      </c>
      <c r="F1383" s="80"/>
      <c r="G1383" s="42">
        <v>400.0</v>
      </c>
      <c r="DN1383" s="92">
        <v>0.0</v>
      </c>
    </row>
    <row r="1384">
      <c r="A1384" s="15" t="s">
        <v>2894</v>
      </c>
      <c r="B1384" s="15"/>
      <c r="C1384" s="167"/>
      <c r="D1384" s="42" t="s">
        <v>867</v>
      </c>
      <c r="E1384" s="15" t="s">
        <v>2415</v>
      </c>
      <c r="F1384" s="80"/>
      <c r="G1384" s="42">
        <v>400.0</v>
      </c>
      <c r="DN1384" s="92">
        <v>0.0</v>
      </c>
    </row>
    <row r="1385">
      <c r="A1385" s="15" t="s">
        <v>2895</v>
      </c>
      <c r="B1385" s="15"/>
      <c r="C1385" s="167"/>
      <c r="D1385" s="42" t="s">
        <v>2896</v>
      </c>
      <c r="E1385" s="15" t="s">
        <v>2415</v>
      </c>
      <c r="F1385" s="80"/>
      <c r="G1385" s="42">
        <v>450.0</v>
      </c>
      <c r="DN1385" s="92">
        <v>1.0</v>
      </c>
    </row>
    <row r="1386">
      <c r="A1386" s="15" t="s">
        <v>2897</v>
      </c>
      <c r="B1386" s="15"/>
      <c r="C1386" s="167"/>
      <c r="D1386" s="42" t="s">
        <v>867</v>
      </c>
      <c r="E1386" s="15" t="s">
        <v>2381</v>
      </c>
      <c r="F1386" s="80"/>
      <c r="G1386" s="42">
        <v>500.0</v>
      </c>
      <c r="DN1386" s="92">
        <v>0.0</v>
      </c>
    </row>
    <row r="1387">
      <c r="A1387" s="15" t="s">
        <v>2898</v>
      </c>
      <c r="B1387" s="15"/>
      <c r="C1387" s="167"/>
      <c r="D1387" s="42" t="s">
        <v>2709</v>
      </c>
      <c r="E1387" s="15" t="s">
        <v>2381</v>
      </c>
      <c r="F1387" s="80"/>
      <c r="G1387" s="42">
        <v>500.0</v>
      </c>
      <c r="DN1387" s="91">
        <v>1.0</v>
      </c>
    </row>
    <row r="1388">
      <c r="A1388" s="15" t="s">
        <v>2899</v>
      </c>
      <c r="B1388" s="15"/>
      <c r="C1388" s="167"/>
      <c r="D1388" s="42" t="s">
        <v>867</v>
      </c>
      <c r="E1388" s="15" t="s">
        <v>2381</v>
      </c>
      <c r="F1388" s="80"/>
      <c r="G1388" s="42">
        <v>500.0</v>
      </c>
      <c r="DN1388" s="92">
        <v>0.0</v>
      </c>
    </row>
    <row r="1389">
      <c r="A1389" s="15" t="s">
        <v>2900</v>
      </c>
      <c r="B1389" s="15"/>
      <c r="C1389" s="167"/>
      <c r="D1389" s="42" t="s">
        <v>2648</v>
      </c>
      <c r="E1389" s="15" t="s">
        <v>2381</v>
      </c>
      <c r="F1389" s="80"/>
      <c r="G1389" s="42">
        <v>900.0</v>
      </c>
      <c r="DN1389" s="91">
        <v>1.0</v>
      </c>
    </row>
    <row r="1390">
      <c r="A1390" s="15" t="s">
        <v>2901</v>
      </c>
      <c r="B1390" s="15"/>
      <c r="C1390" s="167"/>
      <c r="D1390" s="42" t="s">
        <v>867</v>
      </c>
      <c r="E1390" s="15" t="s">
        <v>2381</v>
      </c>
      <c r="F1390" s="80"/>
      <c r="G1390" s="42">
        <v>900.0</v>
      </c>
      <c r="DN1390" s="92">
        <v>0.0</v>
      </c>
    </row>
    <row r="1391">
      <c r="A1391" s="15" t="s">
        <v>2902</v>
      </c>
      <c r="B1391" s="15"/>
      <c r="C1391" s="167"/>
      <c r="D1391" s="42" t="s">
        <v>2903</v>
      </c>
      <c r="E1391" s="15" t="s">
        <v>2381</v>
      </c>
      <c r="F1391" s="42"/>
      <c r="G1391" s="42">
        <v>900.0</v>
      </c>
      <c r="DN1391" s="92">
        <v>4.0</v>
      </c>
    </row>
    <row r="1392">
      <c r="A1392" s="15" t="s">
        <v>2904</v>
      </c>
      <c r="B1392" s="15"/>
      <c r="C1392" s="167"/>
      <c r="D1392" s="42" t="s">
        <v>2905</v>
      </c>
      <c r="E1392" s="15" t="s">
        <v>2381</v>
      </c>
      <c r="F1392" s="42"/>
      <c r="G1392" s="42">
        <v>900.0</v>
      </c>
      <c r="DN1392" s="91">
        <v>4.0</v>
      </c>
    </row>
    <row r="1393">
      <c r="A1393" s="15" t="s">
        <v>2906</v>
      </c>
      <c r="B1393" s="15"/>
      <c r="C1393" s="167"/>
      <c r="D1393" s="42" t="s">
        <v>2907</v>
      </c>
      <c r="E1393" s="15" t="s">
        <v>2381</v>
      </c>
      <c r="F1393" s="42"/>
      <c r="G1393" s="42">
        <v>900.0</v>
      </c>
      <c r="DN1393" s="91">
        <v>2.0</v>
      </c>
    </row>
    <row r="1394">
      <c r="A1394" s="15" t="s">
        <v>2908</v>
      </c>
      <c r="B1394" s="15"/>
      <c r="C1394" s="167"/>
      <c r="D1394" s="42" t="s">
        <v>1609</v>
      </c>
      <c r="E1394" s="15" t="s">
        <v>2381</v>
      </c>
      <c r="F1394" s="42"/>
      <c r="G1394" s="42">
        <v>900.0</v>
      </c>
      <c r="DN1394" s="91">
        <v>1.0</v>
      </c>
    </row>
    <row r="1395">
      <c r="A1395" s="15" t="s">
        <v>2909</v>
      </c>
      <c r="B1395" s="15"/>
      <c r="C1395" s="167"/>
      <c r="D1395" s="42" t="s">
        <v>2910</v>
      </c>
      <c r="E1395" s="15" t="s">
        <v>2381</v>
      </c>
      <c r="F1395" s="42"/>
      <c r="G1395" s="42">
        <v>800.0</v>
      </c>
      <c r="DN1395" s="92">
        <v>14.0</v>
      </c>
    </row>
    <row r="1396">
      <c r="A1396" s="15" t="s">
        <v>2911</v>
      </c>
      <c r="B1396" s="15"/>
      <c r="C1396" s="167"/>
      <c r="D1396" s="42" t="s">
        <v>867</v>
      </c>
      <c r="E1396" s="15" t="s">
        <v>2429</v>
      </c>
      <c r="F1396" s="42"/>
      <c r="G1396" s="42">
        <v>250.0</v>
      </c>
      <c r="DN1396" s="92">
        <v>0.0</v>
      </c>
    </row>
    <row r="1397">
      <c r="A1397" s="15" t="s">
        <v>2912</v>
      </c>
      <c r="B1397" s="15"/>
      <c r="C1397" s="167"/>
      <c r="D1397" s="42" t="s">
        <v>867</v>
      </c>
      <c r="E1397" s="15" t="s">
        <v>2415</v>
      </c>
      <c r="F1397" s="42"/>
      <c r="G1397" s="42">
        <v>400.0</v>
      </c>
      <c r="DN1397" s="92">
        <v>0.0</v>
      </c>
    </row>
    <row r="1398">
      <c r="A1398" s="15" t="s">
        <v>2913</v>
      </c>
      <c r="B1398" s="15"/>
      <c r="C1398" s="167"/>
      <c r="D1398" s="42" t="s">
        <v>2914</v>
      </c>
      <c r="E1398" s="15" t="s">
        <v>2429</v>
      </c>
      <c r="F1398" s="42"/>
      <c r="G1398" s="42">
        <v>150.0</v>
      </c>
      <c r="DN1398" s="92">
        <v>6.0</v>
      </c>
    </row>
    <row r="1399">
      <c r="A1399" s="15" t="s">
        <v>2915</v>
      </c>
      <c r="B1399" s="15"/>
      <c r="C1399" s="167"/>
      <c r="D1399" s="42" t="s">
        <v>867</v>
      </c>
      <c r="E1399" s="15" t="s">
        <v>2429</v>
      </c>
      <c r="F1399" s="42"/>
      <c r="G1399" s="42">
        <v>300.0</v>
      </c>
      <c r="DN1399" s="92">
        <v>0.0</v>
      </c>
    </row>
    <row r="1400">
      <c r="A1400" s="15" t="s">
        <v>2916</v>
      </c>
      <c r="B1400" s="15"/>
      <c r="C1400" s="167"/>
      <c r="D1400" s="174" t="s">
        <v>2917</v>
      </c>
      <c r="E1400" s="15" t="s">
        <v>2381</v>
      </c>
      <c r="F1400" s="42"/>
      <c r="G1400" s="42">
        <v>500.0</v>
      </c>
      <c r="DN1400" s="92">
        <v>1.0</v>
      </c>
    </row>
    <row r="1401">
      <c r="A1401" s="15" t="s">
        <v>2918</v>
      </c>
      <c r="B1401" s="15"/>
      <c r="C1401" s="167"/>
      <c r="D1401" s="42" t="s">
        <v>1123</v>
      </c>
      <c r="E1401" s="15" t="s">
        <v>2415</v>
      </c>
      <c r="F1401" s="42"/>
      <c r="G1401" s="42">
        <v>450.0</v>
      </c>
      <c r="DN1401" s="92">
        <v>0.0</v>
      </c>
    </row>
    <row r="1402">
      <c r="A1402" s="15" t="s">
        <v>2919</v>
      </c>
      <c r="B1402" s="15"/>
      <c r="C1402" s="167"/>
      <c r="D1402" s="42" t="s">
        <v>2920</v>
      </c>
      <c r="E1402" s="15" t="s">
        <v>2415</v>
      </c>
      <c r="F1402" s="42"/>
      <c r="G1402" s="42">
        <v>450.0</v>
      </c>
      <c r="DN1402" s="92">
        <v>2.0</v>
      </c>
    </row>
    <row r="1403">
      <c r="A1403" s="15" t="s">
        <v>2921</v>
      </c>
      <c r="B1403" s="15"/>
      <c r="C1403" s="167"/>
      <c r="D1403" s="42" t="s">
        <v>867</v>
      </c>
      <c r="E1403" s="15" t="s">
        <v>2429</v>
      </c>
      <c r="F1403" s="42"/>
      <c r="G1403" s="42">
        <v>300.0</v>
      </c>
      <c r="DN1403" s="92">
        <v>1.0</v>
      </c>
    </row>
    <row r="1404">
      <c r="A1404" s="15" t="s">
        <v>2922</v>
      </c>
      <c r="B1404" s="15"/>
      <c r="C1404" s="167"/>
      <c r="D1404" s="42" t="s">
        <v>2923</v>
      </c>
      <c r="E1404" s="15" t="s">
        <v>2415</v>
      </c>
      <c r="F1404" s="42"/>
      <c r="G1404" s="42">
        <v>400.0</v>
      </c>
      <c r="DN1404" s="92">
        <v>2.0</v>
      </c>
    </row>
    <row r="1405">
      <c r="A1405" s="15" t="s">
        <v>2924</v>
      </c>
      <c r="B1405" s="15"/>
      <c r="C1405" s="167"/>
      <c r="D1405" s="42" t="s">
        <v>2925</v>
      </c>
      <c r="E1405" s="15" t="s">
        <v>2415</v>
      </c>
      <c r="F1405" s="42"/>
      <c r="G1405" s="42">
        <v>400.0</v>
      </c>
      <c r="DN1405" s="92">
        <v>1.0</v>
      </c>
    </row>
    <row r="1406">
      <c r="A1406" s="15" t="s">
        <v>2926</v>
      </c>
      <c r="B1406" s="15"/>
      <c r="C1406" s="167"/>
      <c r="D1406" s="42" t="s">
        <v>2927</v>
      </c>
      <c r="E1406" s="15" t="s">
        <v>2415</v>
      </c>
      <c r="F1406" s="42"/>
      <c r="G1406" s="42">
        <v>400.0</v>
      </c>
      <c r="DN1406" s="92">
        <v>6.0</v>
      </c>
    </row>
    <row r="1407">
      <c r="A1407" s="15" t="s">
        <v>2928</v>
      </c>
      <c r="B1407" s="15"/>
      <c r="C1407" s="167"/>
      <c r="D1407" s="42" t="s">
        <v>2929</v>
      </c>
      <c r="E1407" s="15" t="s">
        <v>2429</v>
      </c>
      <c r="F1407" s="42"/>
      <c r="G1407" s="42">
        <v>300.0</v>
      </c>
      <c r="DN1407" s="92">
        <v>2.0</v>
      </c>
    </row>
    <row r="1408">
      <c r="A1408" s="15" t="s">
        <v>2930</v>
      </c>
      <c r="B1408" s="15"/>
      <c r="C1408" s="167"/>
      <c r="D1408" s="42" t="s">
        <v>2709</v>
      </c>
      <c r="E1408" s="15" t="s">
        <v>2429</v>
      </c>
      <c r="F1408" s="42"/>
      <c r="G1408" s="42">
        <v>250.0</v>
      </c>
      <c r="DN1408" s="91">
        <v>1.0</v>
      </c>
    </row>
    <row r="1409">
      <c r="A1409" s="15" t="s">
        <v>2931</v>
      </c>
      <c r="B1409" s="15"/>
      <c r="C1409" s="167"/>
      <c r="D1409" s="42" t="s">
        <v>2932</v>
      </c>
      <c r="E1409" s="15" t="s">
        <v>2381</v>
      </c>
      <c r="F1409" s="42"/>
      <c r="G1409" s="42">
        <v>800.0</v>
      </c>
      <c r="DN1409" s="92">
        <v>3.0</v>
      </c>
    </row>
    <row r="1410">
      <c r="A1410" s="15" t="s">
        <v>2933</v>
      </c>
      <c r="B1410" s="15"/>
      <c r="C1410" s="167"/>
      <c r="D1410" s="42" t="s">
        <v>867</v>
      </c>
      <c r="E1410" s="15" t="s">
        <v>2415</v>
      </c>
      <c r="F1410" s="42"/>
      <c r="G1410" s="42">
        <v>450.0</v>
      </c>
      <c r="DN1410" s="92">
        <v>4.0</v>
      </c>
    </row>
    <row r="1411">
      <c r="A1411" s="15" t="s">
        <v>2934</v>
      </c>
      <c r="B1411" s="15"/>
      <c r="C1411" s="167"/>
      <c r="D1411" s="42" t="s">
        <v>867</v>
      </c>
      <c r="E1411" s="15" t="s">
        <v>2415</v>
      </c>
      <c r="F1411" s="42"/>
      <c r="G1411" s="42">
        <v>350.0</v>
      </c>
      <c r="DN1411" s="92">
        <v>0.0</v>
      </c>
    </row>
    <row r="1412">
      <c r="A1412" s="15" t="s">
        <v>2935</v>
      </c>
      <c r="B1412" s="15"/>
      <c r="C1412" s="167"/>
      <c r="D1412" s="42" t="s">
        <v>867</v>
      </c>
      <c r="E1412" s="15" t="s">
        <v>2415</v>
      </c>
      <c r="F1412" s="42"/>
      <c r="G1412" s="42">
        <v>400.0</v>
      </c>
      <c r="DN1412" s="92">
        <v>0.0</v>
      </c>
    </row>
    <row r="1413">
      <c r="A1413" s="15" t="s">
        <v>2936</v>
      </c>
      <c r="B1413" s="15"/>
      <c r="C1413" s="167"/>
      <c r="D1413" s="42" t="s">
        <v>1616</v>
      </c>
      <c r="E1413" s="15" t="s">
        <v>2415</v>
      </c>
      <c r="F1413" s="42"/>
      <c r="G1413" s="42">
        <v>400.0</v>
      </c>
      <c r="DN1413" s="92">
        <v>1.0</v>
      </c>
    </row>
    <row r="1414">
      <c r="A1414" s="15" t="s">
        <v>2937</v>
      </c>
      <c r="B1414" s="15"/>
      <c r="C1414" s="167"/>
      <c r="D1414" s="42" t="s">
        <v>2938</v>
      </c>
      <c r="E1414" s="15" t="s">
        <v>2381</v>
      </c>
      <c r="F1414" s="42"/>
      <c r="G1414" s="42">
        <v>450.0</v>
      </c>
      <c r="DN1414" s="92">
        <v>14.0</v>
      </c>
    </row>
    <row r="1415">
      <c r="A1415" s="15" t="s">
        <v>2939</v>
      </c>
      <c r="B1415" s="15"/>
      <c r="C1415" s="167"/>
      <c r="D1415" s="42" t="s">
        <v>2940</v>
      </c>
      <c r="E1415" s="15" t="s">
        <v>2381</v>
      </c>
      <c r="F1415" s="42"/>
      <c r="G1415" s="42">
        <v>500.0</v>
      </c>
      <c r="DN1415" s="92">
        <v>2.0</v>
      </c>
    </row>
    <row r="1416">
      <c r="A1416" s="15" t="s">
        <v>2941</v>
      </c>
      <c r="B1416" s="15"/>
      <c r="C1416" s="167"/>
      <c r="D1416" s="42" t="s">
        <v>2616</v>
      </c>
      <c r="E1416" s="15" t="s">
        <v>2381</v>
      </c>
      <c r="F1416" s="42"/>
      <c r="G1416" s="42">
        <v>450.0</v>
      </c>
      <c r="DN1416" s="92">
        <v>1.0</v>
      </c>
    </row>
    <row r="1417">
      <c r="A1417" s="15" t="s">
        <v>2942</v>
      </c>
      <c r="B1417" s="15"/>
      <c r="C1417" s="167"/>
      <c r="D1417" s="42" t="s">
        <v>2648</v>
      </c>
      <c r="E1417" s="15" t="s">
        <v>2415</v>
      </c>
      <c r="F1417" s="42"/>
      <c r="G1417" s="42">
        <v>400.0</v>
      </c>
      <c r="DN1417" s="92">
        <v>1.0</v>
      </c>
    </row>
    <row r="1418">
      <c r="A1418" s="15" t="s">
        <v>2943</v>
      </c>
      <c r="B1418" s="15"/>
      <c r="C1418" s="167"/>
      <c r="D1418" s="42" t="s">
        <v>2944</v>
      </c>
      <c r="E1418" s="15" t="s">
        <v>2415</v>
      </c>
      <c r="F1418" s="42"/>
      <c r="G1418" s="42">
        <v>400.0</v>
      </c>
      <c r="DN1418" s="92">
        <v>2.0</v>
      </c>
    </row>
    <row r="1419" ht="19.5" customHeight="1">
      <c r="A1419" s="15" t="s">
        <v>2945</v>
      </c>
      <c r="B1419" s="15"/>
      <c r="C1419" s="167"/>
      <c r="D1419" s="42" t="s">
        <v>2946</v>
      </c>
      <c r="E1419" s="15" t="s">
        <v>2429</v>
      </c>
      <c r="F1419" s="42"/>
      <c r="G1419" s="42">
        <v>300.0</v>
      </c>
      <c r="DN1419" s="92">
        <v>4.0</v>
      </c>
    </row>
    <row r="1420">
      <c r="A1420" s="15" t="s">
        <v>2947</v>
      </c>
      <c r="B1420" s="15"/>
      <c r="C1420" s="167"/>
      <c r="D1420" s="42" t="s">
        <v>1054</v>
      </c>
      <c r="E1420" s="15" t="s">
        <v>2415</v>
      </c>
      <c r="F1420" s="42"/>
      <c r="G1420" s="42">
        <v>400.0</v>
      </c>
      <c r="DN1420" s="92">
        <v>1.0</v>
      </c>
    </row>
    <row r="1421">
      <c r="A1421" s="15" t="s">
        <v>2948</v>
      </c>
      <c r="B1421" s="15"/>
      <c r="C1421" s="167"/>
      <c r="D1421" s="42" t="s">
        <v>867</v>
      </c>
      <c r="E1421" s="15" t="s">
        <v>2415</v>
      </c>
      <c r="F1421" s="42"/>
      <c r="G1421" s="42">
        <v>400.0</v>
      </c>
      <c r="DN1421" s="92">
        <v>0.0</v>
      </c>
    </row>
    <row r="1422">
      <c r="A1422" s="15" t="s">
        <v>2949</v>
      </c>
      <c r="B1422" s="15"/>
      <c r="C1422" s="167"/>
      <c r="D1422" s="42" t="s">
        <v>867</v>
      </c>
      <c r="E1422" s="15" t="s">
        <v>2381</v>
      </c>
      <c r="F1422" s="42"/>
      <c r="G1422" s="42">
        <v>700.0</v>
      </c>
      <c r="DN1422" s="92">
        <v>0.0</v>
      </c>
    </row>
    <row r="1423">
      <c r="A1423" s="15" t="s">
        <v>2950</v>
      </c>
      <c r="B1423" s="15"/>
      <c r="C1423" s="167"/>
      <c r="D1423" s="42" t="s">
        <v>2659</v>
      </c>
      <c r="E1423" s="15" t="s">
        <v>2415</v>
      </c>
      <c r="F1423" s="42"/>
      <c r="G1423" s="42">
        <v>450.0</v>
      </c>
      <c r="DN1423" s="92">
        <v>1.0</v>
      </c>
    </row>
    <row r="1424">
      <c r="A1424" s="15" t="s">
        <v>2951</v>
      </c>
      <c r="B1424" s="15"/>
      <c r="C1424" s="167"/>
      <c r="D1424" s="42" t="s">
        <v>2648</v>
      </c>
      <c r="E1424" s="15" t="s">
        <v>2381</v>
      </c>
      <c r="F1424" s="42"/>
      <c r="G1424" s="42">
        <v>600.0</v>
      </c>
      <c r="DN1424" s="92">
        <v>2.0</v>
      </c>
    </row>
    <row r="1425">
      <c r="A1425" s="15" t="s">
        <v>2952</v>
      </c>
      <c r="B1425" s="15"/>
      <c r="C1425" s="167"/>
      <c r="D1425" s="76" t="s">
        <v>867</v>
      </c>
      <c r="E1425" s="15" t="s">
        <v>2415</v>
      </c>
      <c r="F1425" s="42"/>
      <c r="G1425" s="42"/>
      <c r="DN1425" s="92">
        <v>0.0</v>
      </c>
    </row>
    <row r="1426">
      <c r="A1426" s="15" t="s">
        <v>2953</v>
      </c>
      <c r="B1426" s="15"/>
      <c r="C1426" s="167"/>
      <c r="D1426" s="42" t="s">
        <v>2823</v>
      </c>
      <c r="E1426" s="15" t="s">
        <v>932</v>
      </c>
      <c r="F1426" s="42"/>
      <c r="G1426" s="42">
        <v>450.0</v>
      </c>
      <c r="DN1426" s="92">
        <v>1.0</v>
      </c>
    </row>
    <row r="1427">
      <c r="A1427" s="15" t="s">
        <v>2954</v>
      </c>
      <c r="B1427" s="15"/>
      <c r="C1427" s="167"/>
      <c r="D1427" s="42" t="s">
        <v>2955</v>
      </c>
      <c r="E1427" s="16"/>
      <c r="F1427" s="42"/>
      <c r="G1427" s="42">
        <v>300.0</v>
      </c>
      <c r="DN1427" s="92">
        <v>21.0</v>
      </c>
    </row>
    <row r="1428">
      <c r="A1428" s="15" t="s">
        <v>2956</v>
      </c>
      <c r="B1428" s="15"/>
      <c r="C1428" s="167"/>
      <c r="D1428" s="42" t="s">
        <v>2853</v>
      </c>
      <c r="E1428" s="16"/>
      <c r="F1428" s="42"/>
      <c r="G1428" s="42">
        <v>500.0</v>
      </c>
      <c r="DN1428" s="92">
        <v>1.0</v>
      </c>
    </row>
    <row r="1429">
      <c r="A1429" s="15" t="s">
        <v>2957</v>
      </c>
      <c r="B1429" s="15"/>
      <c r="C1429" s="167"/>
      <c r="D1429" s="42" t="s">
        <v>2958</v>
      </c>
      <c r="E1429" s="16"/>
      <c r="F1429" s="42"/>
      <c r="G1429" s="42">
        <v>800.0</v>
      </c>
      <c r="DN1429" s="92">
        <v>5.0</v>
      </c>
    </row>
    <row r="1430">
      <c r="A1430" s="15" t="s">
        <v>2959</v>
      </c>
      <c r="B1430" s="15"/>
      <c r="C1430" s="167"/>
      <c r="D1430" s="42" t="s">
        <v>2960</v>
      </c>
      <c r="E1430" s="16"/>
      <c r="F1430" s="42"/>
      <c r="G1430" s="42">
        <v>800.0</v>
      </c>
      <c r="DN1430" s="92">
        <v>1.0</v>
      </c>
    </row>
    <row r="1431" ht="16.5" customHeight="1">
      <c r="A1431" s="15" t="s">
        <v>2961</v>
      </c>
      <c r="B1431" s="15"/>
      <c r="C1431" s="167"/>
      <c r="D1431" s="42" t="s">
        <v>2962</v>
      </c>
      <c r="E1431" s="16"/>
      <c r="F1431" s="42"/>
      <c r="G1431" s="42">
        <v>500.0</v>
      </c>
      <c r="DN1431" s="92">
        <v>47.0</v>
      </c>
    </row>
    <row r="1432">
      <c r="A1432" s="15" t="s">
        <v>2963</v>
      </c>
      <c r="B1432" s="15"/>
      <c r="C1432" s="167"/>
      <c r="D1432" s="42" t="s">
        <v>2964</v>
      </c>
      <c r="E1432" s="16"/>
      <c r="F1432" s="42"/>
      <c r="G1432" s="42">
        <v>350.0</v>
      </c>
      <c r="DN1432" s="92">
        <v>39.0</v>
      </c>
    </row>
    <row r="1433">
      <c r="A1433" s="15" t="s">
        <v>2966</v>
      </c>
      <c r="B1433" s="15"/>
      <c r="C1433" s="167"/>
      <c r="D1433" s="42" t="s">
        <v>2967</v>
      </c>
      <c r="E1433" s="16"/>
      <c r="F1433" s="42"/>
      <c r="G1433" s="42">
        <v>150.0</v>
      </c>
      <c r="DN1433" s="92">
        <v>103.0</v>
      </c>
    </row>
    <row r="1434">
      <c r="A1434" s="15" t="s">
        <v>2968</v>
      </c>
      <c r="B1434" s="15"/>
      <c r="C1434" s="167"/>
      <c r="D1434" s="3" t="s">
        <v>2969</v>
      </c>
      <c r="E1434" s="16"/>
      <c r="F1434" s="42"/>
      <c r="G1434" s="42">
        <v>600.0</v>
      </c>
      <c r="DN1434" s="92">
        <v>11.0</v>
      </c>
    </row>
    <row r="1435">
      <c r="A1435" s="15" t="s">
        <v>2970</v>
      </c>
      <c r="B1435" s="15"/>
      <c r="C1435" s="167"/>
      <c r="D1435" s="42" t="s">
        <v>2971</v>
      </c>
      <c r="E1435" s="16"/>
      <c r="F1435" s="42"/>
      <c r="G1435" s="42">
        <v>500.0</v>
      </c>
      <c r="DN1435" s="92">
        <v>5.0</v>
      </c>
    </row>
    <row r="1436">
      <c r="A1436" s="15" t="s">
        <v>2972</v>
      </c>
      <c r="B1436" s="15"/>
      <c r="C1436" s="167"/>
      <c r="D1436" s="42" t="s">
        <v>2973</v>
      </c>
      <c r="E1436" s="16"/>
      <c r="F1436" s="42" t="s">
        <v>2888</v>
      </c>
      <c r="G1436" s="42">
        <v>500.0</v>
      </c>
      <c r="DN1436" s="92">
        <v>2.0</v>
      </c>
    </row>
    <row r="1437">
      <c r="A1437" s="15" t="s">
        <v>2974</v>
      </c>
      <c r="B1437" s="15"/>
      <c r="C1437" s="167"/>
      <c r="D1437" s="42" t="s">
        <v>2975</v>
      </c>
      <c r="E1437" s="16"/>
      <c r="F1437" s="42"/>
      <c r="G1437" s="42">
        <v>500.0</v>
      </c>
      <c r="DN1437" s="92">
        <v>6.0</v>
      </c>
    </row>
    <row r="1438">
      <c r="A1438" s="15" t="s">
        <v>2976</v>
      </c>
      <c r="B1438" s="15"/>
      <c r="C1438" s="167"/>
      <c r="D1438" s="42" t="s">
        <v>2977</v>
      </c>
      <c r="E1438" s="16"/>
      <c r="F1438" s="42" t="s">
        <v>2888</v>
      </c>
      <c r="G1438" s="42">
        <v>350.0</v>
      </c>
      <c r="DN1438" s="92">
        <v>53.0</v>
      </c>
    </row>
    <row r="1439">
      <c r="A1439" s="15" t="s">
        <v>2978</v>
      </c>
      <c r="B1439" s="15"/>
      <c r="C1439" s="167"/>
      <c r="D1439" s="42" t="s">
        <v>2979</v>
      </c>
      <c r="E1439" s="16"/>
      <c r="F1439" s="42"/>
      <c r="G1439" s="42">
        <v>500.0</v>
      </c>
      <c r="DN1439" s="92">
        <v>43.0</v>
      </c>
    </row>
    <row r="1440">
      <c r="A1440" s="15" t="s">
        <v>2981</v>
      </c>
      <c r="B1440" s="15"/>
      <c r="C1440" s="167"/>
      <c r="D1440" s="42" t="s">
        <v>2982</v>
      </c>
      <c r="E1440" s="16"/>
      <c r="F1440" s="42"/>
      <c r="G1440" s="42">
        <v>200.0</v>
      </c>
      <c r="DN1440" s="92">
        <v>53.0</v>
      </c>
    </row>
    <row r="1441">
      <c r="A1441" s="15" t="s">
        <v>2983</v>
      </c>
      <c r="B1441" s="15"/>
      <c r="C1441" s="167"/>
      <c r="D1441" s="42" t="s">
        <v>2984</v>
      </c>
      <c r="E1441" s="15" t="s">
        <v>2985</v>
      </c>
      <c r="F1441" s="42"/>
      <c r="G1441" s="42">
        <v>550.0</v>
      </c>
      <c r="DN1441" s="92">
        <v>26.0</v>
      </c>
    </row>
    <row r="1442">
      <c r="A1442" s="15" t="s">
        <v>2986</v>
      </c>
      <c r="B1442" s="15"/>
      <c r="C1442" s="167"/>
      <c r="D1442" s="42" t="s">
        <v>2987</v>
      </c>
      <c r="E1442" s="16"/>
      <c r="F1442" s="42"/>
      <c r="G1442" s="42">
        <v>550.0</v>
      </c>
      <c r="DN1442" s="92">
        <v>25.0</v>
      </c>
    </row>
    <row r="1443">
      <c r="A1443" s="15" t="s">
        <v>2988</v>
      </c>
      <c r="B1443" s="15"/>
      <c r="C1443" s="167"/>
      <c r="D1443" s="42" t="s">
        <v>2989</v>
      </c>
      <c r="E1443" s="16"/>
      <c r="F1443" s="42"/>
      <c r="G1443" s="42">
        <v>550.0</v>
      </c>
      <c r="DN1443" s="92">
        <v>6.0</v>
      </c>
    </row>
    <row r="1444">
      <c r="A1444" s="15" t="s">
        <v>2990</v>
      </c>
      <c r="B1444" s="15"/>
      <c r="C1444" s="167"/>
      <c r="D1444" s="42" t="s">
        <v>2991</v>
      </c>
      <c r="E1444" s="16"/>
      <c r="F1444" s="42"/>
      <c r="G1444" s="42">
        <v>550.0</v>
      </c>
      <c r="DN1444" s="92">
        <v>7.0</v>
      </c>
    </row>
    <row r="1445">
      <c r="A1445" s="15" t="s">
        <v>2992</v>
      </c>
      <c r="B1445" s="15"/>
      <c r="C1445" s="167"/>
      <c r="D1445" s="42" t="s">
        <v>2993</v>
      </c>
      <c r="E1445" s="16"/>
      <c r="F1445" s="42"/>
      <c r="G1445" s="42">
        <v>450.0</v>
      </c>
      <c r="DN1445" s="92">
        <v>2.0</v>
      </c>
    </row>
    <row r="1446">
      <c r="A1446" s="15" t="s">
        <v>2994</v>
      </c>
      <c r="B1446" s="15"/>
      <c r="C1446" s="167"/>
      <c r="D1446" s="42" t="s">
        <v>867</v>
      </c>
      <c r="E1446" s="16"/>
      <c r="F1446" s="42"/>
      <c r="G1446" s="42">
        <v>400.0</v>
      </c>
      <c r="DN1446" s="92">
        <v>0.0</v>
      </c>
    </row>
    <row r="1447">
      <c r="A1447" s="15" t="s">
        <v>2995</v>
      </c>
      <c r="B1447" s="15"/>
      <c r="C1447" s="167"/>
      <c r="D1447" s="42" t="s">
        <v>2996</v>
      </c>
      <c r="E1447" s="16"/>
      <c r="F1447" s="42"/>
      <c r="G1447" s="42">
        <v>450.0</v>
      </c>
      <c r="DN1447" s="92">
        <v>2.0</v>
      </c>
    </row>
    <row r="1448">
      <c r="A1448" s="15" t="s">
        <v>2997</v>
      </c>
      <c r="B1448" s="15"/>
      <c r="C1448" s="167"/>
      <c r="D1448" s="42" t="s">
        <v>2998</v>
      </c>
      <c r="E1448" s="16"/>
      <c r="F1448" s="42"/>
      <c r="G1448" s="42">
        <v>300.0</v>
      </c>
      <c r="DN1448" s="92">
        <v>1.0</v>
      </c>
    </row>
    <row r="1449">
      <c r="A1449" s="15" t="s">
        <v>2999</v>
      </c>
      <c r="B1449" s="15"/>
      <c r="C1449" s="167"/>
      <c r="D1449" s="42" t="s">
        <v>867</v>
      </c>
      <c r="E1449" s="16"/>
      <c r="F1449" s="42"/>
      <c r="G1449" s="42">
        <v>400.0</v>
      </c>
      <c r="DN1449" s="92">
        <v>0.0</v>
      </c>
    </row>
    <row r="1450">
      <c r="A1450" s="15" t="s">
        <v>3001</v>
      </c>
      <c r="B1450" s="15"/>
      <c r="C1450" s="167"/>
      <c r="D1450" s="42" t="s">
        <v>2823</v>
      </c>
      <c r="E1450" s="16"/>
      <c r="F1450" s="42"/>
      <c r="G1450" s="42">
        <v>450.0</v>
      </c>
      <c r="DN1450" s="92">
        <v>1.0</v>
      </c>
    </row>
    <row r="1451">
      <c r="A1451" s="15" t="s">
        <v>3002</v>
      </c>
      <c r="B1451" s="15"/>
      <c r="C1451" s="167"/>
      <c r="D1451" s="42" t="s">
        <v>867</v>
      </c>
      <c r="E1451" s="16"/>
      <c r="F1451" s="42"/>
      <c r="G1451" s="42">
        <v>350.0</v>
      </c>
      <c r="DN1451" s="92">
        <v>0.0</v>
      </c>
    </row>
    <row r="1452">
      <c r="A1452" s="15" t="s">
        <v>3003</v>
      </c>
      <c r="B1452" s="15"/>
      <c r="C1452" s="167"/>
      <c r="D1452" s="42" t="s">
        <v>3004</v>
      </c>
      <c r="E1452" s="16"/>
      <c r="F1452" s="42"/>
      <c r="G1452" s="42">
        <v>600.0</v>
      </c>
      <c r="DN1452" s="92">
        <v>1.0</v>
      </c>
    </row>
    <row r="1453">
      <c r="A1453" s="15" t="s">
        <v>3005</v>
      </c>
      <c r="B1453" s="15"/>
      <c r="C1453" s="167"/>
      <c r="D1453" s="42" t="s">
        <v>2998</v>
      </c>
      <c r="E1453" s="16"/>
      <c r="F1453" s="42"/>
      <c r="G1453" s="42">
        <v>450.0</v>
      </c>
      <c r="DN1453" s="92">
        <v>1.0</v>
      </c>
    </row>
    <row r="1454">
      <c r="A1454" s="15" t="s">
        <v>3006</v>
      </c>
      <c r="B1454" s="15"/>
      <c r="C1454" s="167"/>
      <c r="D1454" s="42" t="s">
        <v>2657</v>
      </c>
      <c r="E1454" s="16"/>
      <c r="F1454" s="42"/>
      <c r="G1454" s="42">
        <v>300.0</v>
      </c>
      <c r="DN1454" s="92">
        <v>1.0</v>
      </c>
    </row>
    <row r="1455">
      <c r="A1455" s="15" t="s">
        <v>3007</v>
      </c>
      <c r="B1455" s="15"/>
      <c r="C1455" s="167"/>
      <c r="D1455" s="76" t="s">
        <v>3008</v>
      </c>
      <c r="E1455" s="16"/>
      <c r="F1455" s="42"/>
      <c r="G1455" s="42">
        <v>300.0</v>
      </c>
      <c r="DN1455" s="92">
        <v>2.0</v>
      </c>
    </row>
    <row r="1456">
      <c r="A1456" s="15" t="s">
        <v>3009</v>
      </c>
      <c r="B1456" s="15"/>
      <c r="C1456" s="167"/>
      <c r="D1456" s="42" t="s">
        <v>2633</v>
      </c>
      <c r="E1456" s="16"/>
      <c r="F1456" s="42"/>
      <c r="G1456" s="42">
        <v>450.0</v>
      </c>
      <c r="DN1456" s="92">
        <v>2.0</v>
      </c>
    </row>
    <row r="1457">
      <c r="A1457" s="15" t="s">
        <v>3010</v>
      </c>
      <c r="B1457" s="15"/>
      <c r="C1457" s="167"/>
      <c r="D1457" s="42" t="s">
        <v>2494</v>
      </c>
      <c r="E1457" s="16"/>
      <c r="F1457" s="42"/>
      <c r="G1457" s="42">
        <v>450.0</v>
      </c>
      <c r="DN1457" s="92">
        <v>1.0</v>
      </c>
    </row>
    <row r="1458">
      <c r="A1458" s="15" t="s">
        <v>3011</v>
      </c>
      <c r="B1458" s="15"/>
      <c r="C1458" s="167"/>
      <c r="D1458" s="42" t="s">
        <v>3012</v>
      </c>
      <c r="E1458" s="16"/>
      <c r="F1458" s="42"/>
      <c r="G1458" s="42">
        <v>350.0</v>
      </c>
      <c r="DN1458" s="92">
        <v>1.0</v>
      </c>
    </row>
    <row r="1459">
      <c r="A1459" s="15" t="s">
        <v>3013</v>
      </c>
      <c r="B1459" s="15"/>
      <c r="C1459" s="167"/>
      <c r="D1459" s="42" t="s">
        <v>867</v>
      </c>
      <c r="E1459" s="16"/>
      <c r="F1459" s="42"/>
      <c r="G1459" s="42">
        <v>150.0</v>
      </c>
      <c r="DN1459" s="92">
        <v>0.0</v>
      </c>
    </row>
    <row r="1460">
      <c r="A1460" s="15" t="s">
        <v>3014</v>
      </c>
      <c r="B1460" s="15"/>
      <c r="C1460" s="167"/>
      <c r="D1460" s="42" t="s">
        <v>867</v>
      </c>
      <c r="E1460" s="16"/>
      <c r="F1460" s="42"/>
      <c r="G1460" s="42">
        <v>300.0</v>
      </c>
      <c r="DN1460" s="92">
        <v>0.0</v>
      </c>
    </row>
    <row r="1461">
      <c r="A1461" s="15" t="s">
        <v>3015</v>
      </c>
      <c r="B1461" s="15"/>
      <c r="C1461" s="167"/>
      <c r="D1461" s="42" t="s">
        <v>1616</v>
      </c>
      <c r="E1461" s="16"/>
      <c r="F1461" s="42"/>
      <c r="G1461" s="42">
        <v>450.0</v>
      </c>
      <c r="DN1461" s="92">
        <v>1.0</v>
      </c>
    </row>
    <row r="1462">
      <c r="A1462" s="15" t="s">
        <v>3016</v>
      </c>
      <c r="B1462" s="15"/>
      <c r="C1462" s="167"/>
      <c r="D1462" s="42" t="s">
        <v>3017</v>
      </c>
      <c r="E1462" s="16"/>
      <c r="F1462" s="42"/>
      <c r="G1462" s="42">
        <v>500.0</v>
      </c>
      <c r="DN1462" s="92">
        <v>5.0</v>
      </c>
    </row>
    <row r="1463">
      <c r="A1463" s="15" t="s">
        <v>3018</v>
      </c>
      <c r="B1463" s="15"/>
      <c r="C1463" s="167"/>
      <c r="D1463" s="42" t="s">
        <v>3019</v>
      </c>
      <c r="E1463" s="16"/>
      <c r="F1463" s="42"/>
      <c r="G1463" s="42">
        <v>400.0</v>
      </c>
      <c r="DN1463" s="92">
        <v>1.0</v>
      </c>
    </row>
    <row r="1464">
      <c r="A1464" s="15" t="s">
        <v>3020</v>
      </c>
      <c r="B1464" s="15"/>
      <c r="C1464" s="167"/>
      <c r="D1464" s="42" t="s">
        <v>3021</v>
      </c>
      <c r="E1464" s="16"/>
      <c r="F1464" s="42"/>
      <c r="G1464" s="42">
        <v>400.0</v>
      </c>
      <c r="DN1464" s="92">
        <v>4.0</v>
      </c>
    </row>
    <row r="1465">
      <c r="A1465" s="15" t="s">
        <v>3022</v>
      </c>
      <c r="B1465" s="15"/>
      <c r="C1465" s="167"/>
      <c r="D1465" s="42" t="s">
        <v>2925</v>
      </c>
      <c r="E1465" s="16"/>
      <c r="F1465" s="42"/>
      <c r="G1465" s="42">
        <v>350.0</v>
      </c>
      <c r="DN1465" s="92">
        <v>1.0</v>
      </c>
    </row>
    <row r="1466">
      <c r="A1466" s="15" t="s">
        <v>3023</v>
      </c>
      <c r="B1466" s="15"/>
      <c r="C1466" s="167"/>
      <c r="D1466" s="42" t="s">
        <v>3024</v>
      </c>
      <c r="E1466" s="16"/>
      <c r="F1466" s="42"/>
      <c r="G1466" s="42">
        <v>400.0</v>
      </c>
      <c r="DN1466" s="92">
        <v>2.0</v>
      </c>
    </row>
    <row r="1467">
      <c r="A1467" s="15" t="s">
        <v>3025</v>
      </c>
      <c r="B1467" s="15"/>
      <c r="C1467" s="167"/>
      <c r="D1467" s="42" t="s">
        <v>3026</v>
      </c>
      <c r="E1467" s="16"/>
      <c r="F1467" s="42"/>
      <c r="G1467" s="42">
        <v>400.0</v>
      </c>
      <c r="DN1467" s="92">
        <v>3.0</v>
      </c>
    </row>
    <row r="1468">
      <c r="A1468" s="15" t="s">
        <v>3027</v>
      </c>
      <c r="B1468" s="15"/>
      <c r="C1468" s="167"/>
      <c r="D1468" s="42" t="s">
        <v>2998</v>
      </c>
      <c r="E1468" s="16"/>
      <c r="F1468" s="42"/>
      <c r="G1468" s="42">
        <v>350.0</v>
      </c>
      <c r="DN1468" s="92">
        <v>1.0</v>
      </c>
    </row>
    <row r="1469">
      <c r="A1469" s="15" t="s">
        <v>3028</v>
      </c>
      <c r="B1469" s="15"/>
      <c r="C1469" s="167"/>
      <c r="D1469" s="42" t="s">
        <v>3029</v>
      </c>
      <c r="E1469" s="16"/>
      <c r="F1469" s="42"/>
      <c r="G1469" s="42">
        <v>500.0</v>
      </c>
      <c r="DN1469" s="92">
        <v>39.0</v>
      </c>
    </row>
    <row r="1470">
      <c r="A1470" s="15" t="s">
        <v>3030</v>
      </c>
      <c r="B1470" s="15"/>
      <c r="C1470" s="167"/>
      <c r="D1470" s="42" t="s">
        <v>1123</v>
      </c>
      <c r="E1470" s="16"/>
      <c r="F1470" s="42"/>
      <c r="G1470" s="42">
        <v>400.0</v>
      </c>
      <c r="DN1470" s="92">
        <v>0.0</v>
      </c>
    </row>
    <row r="1471">
      <c r="A1471" s="15" t="s">
        <v>3031</v>
      </c>
      <c r="B1471" s="15"/>
      <c r="C1471" s="167"/>
      <c r="D1471" s="42" t="s">
        <v>867</v>
      </c>
      <c r="E1471" s="16"/>
      <c r="F1471" s="42"/>
      <c r="G1471" s="42">
        <v>350.0</v>
      </c>
      <c r="DN1471" s="92">
        <v>0.0</v>
      </c>
    </row>
    <row r="1472">
      <c r="A1472" s="15" t="s">
        <v>3032</v>
      </c>
      <c r="B1472" s="15"/>
      <c r="C1472" s="167"/>
      <c r="D1472" s="42" t="s">
        <v>1054</v>
      </c>
      <c r="E1472" s="16"/>
      <c r="F1472" s="42"/>
      <c r="G1472" s="42">
        <v>350.0</v>
      </c>
      <c r="DN1472" s="92">
        <v>1.0</v>
      </c>
    </row>
    <row r="1473">
      <c r="A1473" s="15" t="s">
        <v>3033</v>
      </c>
      <c r="B1473" s="15"/>
      <c r="C1473" s="167"/>
      <c r="D1473" s="42" t="s">
        <v>3034</v>
      </c>
      <c r="E1473" s="16"/>
      <c r="F1473" s="42"/>
      <c r="G1473" s="42">
        <v>200.0</v>
      </c>
      <c r="DN1473" s="92">
        <v>250.0</v>
      </c>
    </row>
    <row r="1474">
      <c r="A1474" s="15" t="s">
        <v>3036</v>
      </c>
      <c r="B1474" s="15"/>
      <c r="C1474" s="167"/>
      <c r="D1474" s="42" t="s">
        <v>3037</v>
      </c>
      <c r="E1474" s="16"/>
      <c r="F1474" s="42"/>
      <c r="G1474" s="42"/>
      <c r="DN1474" s="92">
        <v>24.0</v>
      </c>
    </row>
    <row r="1475">
      <c r="A1475" s="15" t="s">
        <v>3039</v>
      </c>
      <c r="B1475" s="15"/>
      <c r="C1475" s="167"/>
      <c r="D1475" s="42" t="s">
        <v>3040</v>
      </c>
      <c r="E1475" s="16"/>
      <c r="F1475" s="42"/>
      <c r="G1475" s="42"/>
      <c r="DN1475" s="92">
        <v>65.0</v>
      </c>
    </row>
    <row r="1476">
      <c r="A1476" s="15" t="s">
        <v>3041</v>
      </c>
      <c r="B1476" s="15"/>
      <c r="C1476" s="167"/>
      <c r="D1476" s="42" t="s">
        <v>867</v>
      </c>
      <c r="E1476" s="16"/>
      <c r="F1476" s="42"/>
      <c r="G1476" s="42">
        <v>400.0</v>
      </c>
      <c r="DN1476" s="92">
        <v>0.0</v>
      </c>
    </row>
    <row r="1477">
      <c r="A1477" s="15" t="s">
        <v>3042</v>
      </c>
      <c r="B1477" s="15"/>
      <c r="C1477" s="167"/>
      <c r="D1477" s="42" t="s">
        <v>867</v>
      </c>
      <c r="E1477" s="16"/>
      <c r="F1477" s="42"/>
      <c r="G1477" s="42">
        <v>400.0</v>
      </c>
      <c r="DN1477" s="92">
        <v>0.0</v>
      </c>
    </row>
    <row r="1478">
      <c r="A1478" s="15" t="s">
        <v>3043</v>
      </c>
      <c r="B1478" s="15"/>
      <c r="C1478" s="167"/>
      <c r="D1478" s="42"/>
      <c r="E1478" s="16"/>
      <c r="F1478" s="42"/>
      <c r="G1478" s="42">
        <v>300.0</v>
      </c>
      <c r="DN1478" s="92">
        <v>2.0</v>
      </c>
    </row>
    <row r="1479">
      <c r="A1479" s="15" t="s">
        <v>3044</v>
      </c>
      <c r="B1479" s="15"/>
      <c r="C1479" s="167"/>
      <c r="D1479" s="42" t="s">
        <v>3045</v>
      </c>
      <c r="E1479" s="16"/>
      <c r="F1479" s="42"/>
      <c r="G1479" s="42">
        <v>350.0</v>
      </c>
      <c r="DN1479" s="92">
        <v>2.0</v>
      </c>
    </row>
    <row r="1480">
      <c r="A1480" s="15" t="s">
        <v>3046</v>
      </c>
      <c r="B1480" s="15"/>
      <c r="C1480" s="167"/>
      <c r="D1480" s="42" t="s">
        <v>867</v>
      </c>
      <c r="E1480" s="16"/>
      <c r="F1480" s="42"/>
      <c r="G1480" s="42">
        <v>550.0</v>
      </c>
      <c r="DN1480" s="92">
        <v>0.0</v>
      </c>
    </row>
    <row r="1481">
      <c r="A1481" s="15" t="s">
        <v>3047</v>
      </c>
      <c r="B1481" s="15"/>
      <c r="C1481" s="167"/>
      <c r="D1481" s="42" t="s">
        <v>3048</v>
      </c>
      <c r="E1481" s="16"/>
      <c r="F1481" s="42"/>
      <c r="G1481" s="42">
        <v>450.0</v>
      </c>
      <c r="DN1481" s="92">
        <v>1.0</v>
      </c>
    </row>
    <row r="1482">
      <c r="A1482" s="15" t="s">
        <v>3049</v>
      </c>
      <c r="B1482" s="15"/>
      <c r="C1482" s="167"/>
      <c r="D1482" s="76" t="s">
        <v>2400</v>
      </c>
      <c r="E1482" s="16"/>
      <c r="F1482" s="42"/>
      <c r="G1482" s="42">
        <v>400.0</v>
      </c>
      <c r="DN1482" s="92">
        <v>1.0</v>
      </c>
    </row>
    <row r="1483">
      <c r="A1483" s="15" t="s">
        <v>3050</v>
      </c>
      <c r="B1483" s="15"/>
      <c r="C1483" s="167"/>
      <c r="D1483" s="42" t="s">
        <v>3051</v>
      </c>
      <c r="E1483" s="16"/>
      <c r="F1483" s="42"/>
      <c r="G1483" s="42">
        <v>300.0</v>
      </c>
      <c r="DN1483" s="92">
        <v>4.0</v>
      </c>
    </row>
    <row r="1484">
      <c r="A1484" s="15" t="s">
        <v>3052</v>
      </c>
      <c r="B1484" s="15"/>
      <c r="C1484" s="167"/>
      <c r="D1484" s="174" t="s">
        <v>2616</v>
      </c>
      <c r="E1484" s="16"/>
      <c r="F1484" s="42"/>
      <c r="G1484" s="42">
        <v>350.0</v>
      </c>
      <c r="DN1484" s="92">
        <v>1.0</v>
      </c>
    </row>
    <row r="1485">
      <c r="A1485" s="15" t="s">
        <v>3053</v>
      </c>
      <c r="B1485" s="15"/>
      <c r="C1485" s="167"/>
      <c r="D1485" s="42" t="s">
        <v>867</v>
      </c>
      <c r="E1485" s="16"/>
      <c r="F1485" s="42"/>
      <c r="G1485" s="42">
        <v>500.0</v>
      </c>
      <c r="DN1485" s="92">
        <v>0.0</v>
      </c>
    </row>
    <row r="1486">
      <c r="A1486" s="15" t="s">
        <v>3054</v>
      </c>
      <c r="B1486" s="15"/>
      <c r="C1486" s="167"/>
      <c r="D1486" s="42" t="s">
        <v>2993</v>
      </c>
      <c r="E1486" s="16"/>
      <c r="F1486" s="42"/>
      <c r="G1486" s="42">
        <v>600.0</v>
      </c>
      <c r="DN1486" s="92">
        <v>2.0</v>
      </c>
    </row>
    <row r="1487">
      <c r="A1487" s="15" t="s">
        <v>3055</v>
      </c>
      <c r="B1487" s="15"/>
      <c r="C1487" s="167"/>
      <c r="D1487" s="42" t="s">
        <v>2518</v>
      </c>
      <c r="E1487" s="16"/>
      <c r="F1487" s="42"/>
      <c r="G1487" s="42">
        <v>500.0</v>
      </c>
      <c r="DN1487" s="92">
        <v>1.0</v>
      </c>
    </row>
    <row r="1488">
      <c r="A1488" s="15" t="s">
        <v>3056</v>
      </c>
      <c r="B1488" s="15"/>
      <c r="C1488" s="167"/>
      <c r="D1488" s="42" t="s">
        <v>867</v>
      </c>
      <c r="E1488" s="16"/>
      <c r="F1488" s="42"/>
      <c r="G1488" s="42">
        <v>300.0</v>
      </c>
      <c r="DN1488" s="92">
        <v>0.0</v>
      </c>
    </row>
    <row r="1489">
      <c r="A1489" s="15" t="s">
        <v>3057</v>
      </c>
      <c r="B1489" s="15"/>
      <c r="C1489" s="167"/>
      <c r="D1489" s="42" t="s">
        <v>2494</v>
      </c>
      <c r="E1489" s="16"/>
      <c r="F1489" s="42"/>
      <c r="G1489" s="42">
        <v>500.0</v>
      </c>
      <c r="DN1489" s="92">
        <v>1.0</v>
      </c>
    </row>
    <row r="1490">
      <c r="A1490" s="15" t="s">
        <v>3058</v>
      </c>
      <c r="B1490" s="15"/>
      <c r="C1490" s="167"/>
      <c r="D1490" s="42" t="s">
        <v>867</v>
      </c>
      <c r="E1490" s="16"/>
      <c r="F1490" s="42"/>
      <c r="G1490" s="42">
        <v>500.0</v>
      </c>
      <c r="DN1490" s="92">
        <v>0.0</v>
      </c>
    </row>
    <row r="1491">
      <c r="A1491" s="15" t="s">
        <v>3059</v>
      </c>
      <c r="B1491" s="15"/>
      <c r="C1491" s="167"/>
      <c r="D1491" s="42" t="s">
        <v>867</v>
      </c>
      <c r="E1491" s="16"/>
      <c r="F1491" s="42"/>
      <c r="G1491" s="42">
        <v>300.0</v>
      </c>
      <c r="DN1491" s="92">
        <v>0.0</v>
      </c>
    </row>
    <row r="1492">
      <c r="A1492" s="15" t="s">
        <v>3060</v>
      </c>
      <c r="B1492" s="15"/>
      <c r="C1492" s="167"/>
      <c r="D1492" s="42" t="s">
        <v>2482</v>
      </c>
      <c r="E1492" s="16"/>
      <c r="F1492" s="42"/>
      <c r="G1492" s="42">
        <v>350.0</v>
      </c>
      <c r="DN1492" s="92">
        <v>2.0</v>
      </c>
    </row>
    <row r="1493">
      <c r="A1493" s="15" t="s">
        <v>3061</v>
      </c>
      <c r="B1493" s="15"/>
      <c r="C1493" s="167"/>
      <c r="D1493" s="42" t="s">
        <v>2925</v>
      </c>
      <c r="E1493" s="16"/>
      <c r="F1493" s="42"/>
      <c r="G1493" s="42">
        <v>400.0</v>
      </c>
      <c r="DN1493" s="92">
        <v>1.0</v>
      </c>
    </row>
    <row r="1494">
      <c r="A1494" s="15" t="s">
        <v>3062</v>
      </c>
      <c r="B1494" s="15"/>
      <c r="C1494" s="167"/>
      <c r="D1494" s="42" t="s">
        <v>3063</v>
      </c>
      <c r="E1494" s="16"/>
      <c r="F1494" s="42"/>
      <c r="G1494" s="42">
        <v>350.0</v>
      </c>
      <c r="DN1494" s="92">
        <v>3.0</v>
      </c>
    </row>
    <row r="1495">
      <c r="A1495" s="15" t="s">
        <v>3064</v>
      </c>
      <c r="B1495" s="15"/>
      <c r="C1495" s="167"/>
      <c r="D1495" s="42" t="s">
        <v>867</v>
      </c>
      <c r="E1495" s="16"/>
      <c r="F1495" s="42"/>
      <c r="G1495" s="42">
        <v>350.0</v>
      </c>
      <c r="DN1495" s="92">
        <v>0.0</v>
      </c>
    </row>
    <row r="1496">
      <c r="A1496" s="15" t="s">
        <v>3065</v>
      </c>
      <c r="B1496" s="15"/>
      <c r="C1496" s="167"/>
      <c r="D1496" s="42" t="s">
        <v>2616</v>
      </c>
      <c r="E1496" s="16"/>
      <c r="F1496" s="42"/>
      <c r="G1496" s="42">
        <v>350.0</v>
      </c>
      <c r="DN1496" s="92">
        <v>1.0</v>
      </c>
    </row>
    <row r="1497">
      <c r="A1497" s="15" t="s">
        <v>3066</v>
      </c>
      <c r="B1497" s="15"/>
      <c r="C1497" s="167"/>
      <c r="D1497" s="42" t="s">
        <v>2823</v>
      </c>
      <c r="E1497" s="16"/>
      <c r="F1497" s="42"/>
      <c r="G1497" s="42">
        <v>350.0</v>
      </c>
      <c r="DN1497" s="92">
        <v>1.0</v>
      </c>
    </row>
    <row r="1498">
      <c r="A1498" s="15" t="s">
        <v>3067</v>
      </c>
      <c r="B1498" s="15"/>
      <c r="C1498" s="167"/>
      <c r="D1498" s="42" t="s">
        <v>3068</v>
      </c>
      <c r="E1498" s="16"/>
      <c r="F1498" s="42"/>
      <c r="G1498" s="42">
        <v>350.0</v>
      </c>
      <c r="DN1498" s="92">
        <v>2.0</v>
      </c>
    </row>
    <row r="1499">
      <c r="A1499" s="15" t="s">
        <v>3069</v>
      </c>
      <c r="B1499" s="15"/>
      <c r="C1499" s="167"/>
      <c r="D1499" s="42" t="s">
        <v>867</v>
      </c>
      <c r="E1499" s="16"/>
      <c r="F1499" s="42"/>
      <c r="G1499" s="42">
        <v>500.0</v>
      </c>
      <c r="DN1499" s="92">
        <v>1.0</v>
      </c>
    </row>
    <row r="1500" ht="15.0" customHeight="1">
      <c r="A1500" s="15" t="s">
        <v>3070</v>
      </c>
      <c r="B1500" s="15"/>
      <c r="C1500" s="167"/>
      <c r="D1500" s="42" t="s">
        <v>3071</v>
      </c>
      <c r="E1500" s="16"/>
      <c r="F1500" s="42"/>
      <c r="G1500" s="42">
        <v>450.0</v>
      </c>
      <c r="DN1500" s="92">
        <v>3.0</v>
      </c>
    </row>
    <row r="1501">
      <c r="A1501" s="15" t="s">
        <v>3072</v>
      </c>
      <c r="B1501" s="15"/>
      <c r="C1501" s="167"/>
      <c r="D1501" s="42" t="s">
        <v>3073</v>
      </c>
      <c r="E1501" s="16"/>
      <c r="F1501" s="42"/>
      <c r="G1501" s="42">
        <v>600.0</v>
      </c>
      <c r="DN1501" s="92">
        <v>2.0</v>
      </c>
    </row>
    <row r="1502">
      <c r="A1502" s="15" t="s">
        <v>3074</v>
      </c>
      <c r="B1502" s="15"/>
      <c r="C1502" s="167"/>
      <c r="D1502" s="42" t="s">
        <v>3075</v>
      </c>
      <c r="E1502" s="16"/>
      <c r="F1502" s="42"/>
      <c r="G1502" s="42">
        <v>600.0</v>
      </c>
      <c r="DN1502" s="92">
        <v>4.0</v>
      </c>
    </row>
    <row r="1503">
      <c r="A1503" s="15" t="s">
        <v>3076</v>
      </c>
      <c r="B1503" s="15"/>
      <c r="C1503" s="167"/>
      <c r="D1503" s="42" t="s">
        <v>3077</v>
      </c>
      <c r="E1503" s="16"/>
      <c r="F1503" s="42"/>
      <c r="G1503" s="42">
        <v>700.0</v>
      </c>
      <c r="DN1503" s="92">
        <v>3.0</v>
      </c>
    </row>
    <row r="1504">
      <c r="A1504" s="15" t="s">
        <v>3078</v>
      </c>
      <c r="B1504" s="15"/>
      <c r="C1504" s="167"/>
      <c r="D1504" s="42" t="s">
        <v>867</v>
      </c>
      <c r="E1504" s="16"/>
      <c r="F1504" s="42"/>
      <c r="G1504" s="42">
        <v>450.0</v>
      </c>
      <c r="DN1504" s="92">
        <v>0.0</v>
      </c>
    </row>
    <row r="1505">
      <c r="A1505" s="15" t="s">
        <v>3079</v>
      </c>
      <c r="B1505" s="15"/>
      <c r="C1505" s="167"/>
      <c r="D1505" s="42" t="s">
        <v>3080</v>
      </c>
      <c r="E1505" s="16"/>
      <c r="F1505" s="42"/>
      <c r="G1505" s="42">
        <v>500.0</v>
      </c>
      <c r="DN1505" s="92">
        <v>2.0</v>
      </c>
    </row>
    <row r="1506">
      <c r="A1506" s="15" t="s">
        <v>3081</v>
      </c>
      <c r="B1506" s="15"/>
      <c r="C1506" s="167"/>
      <c r="D1506" s="42" t="s">
        <v>1707</v>
      </c>
      <c r="E1506" s="16"/>
      <c r="F1506" s="42"/>
      <c r="G1506" s="42">
        <v>400.0</v>
      </c>
      <c r="DN1506" s="92">
        <v>4.0</v>
      </c>
    </row>
    <row r="1507">
      <c r="A1507" s="15" t="s">
        <v>3082</v>
      </c>
      <c r="B1507" s="15"/>
      <c r="C1507" s="167"/>
      <c r="D1507" s="42" t="s">
        <v>867</v>
      </c>
      <c r="E1507" s="16"/>
      <c r="F1507" s="42"/>
      <c r="G1507" s="42">
        <v>400.0</v>
      </c>
      <c r="DN1507" s="92">
        <v>0.0</v>
      </c>
    </row>
    <row r="1508">
      <c r="A1508" s="15" t="s">
        <v>3083</v>
      </c>
      <c r="B1508" s="15"/>
      <c r="C1508" s="167"/>
      <c r="D1508" s="42" t="s">
        <v>3084</v>
      </c>
      <c r="E1508" s="16"/>
      <c r="F1508" s="42"/>
      <c r="G1508" s="42">
        <v>700.0</v>
      </c>
      <c r="DN1508" s="92">
        <v>5.0</v>
      </c>
    </row>
    <row r="1509">
      <c r="A1509" s="15" t="s">
        <v>3085</v>
      </c>
      <c r="B1509" s="15"/>
      <c r="C1509" s="167"/>
      <c r="D1509" s="42" t="s">
        <v>867</v>
      </c>
      <c r="E1509" s="16"/>
      <c r="F1509" s="42"/>
      <c r="G1509" s="42">
        <v>400.0</v>
      </c>
      <c r="DN1509" s="92">
        <v>0.0</v>
      </c>
    </row>
    <row r="1510">
      <c r="A1510" s="15" t="s">
        <v>3086</v>
      </c>
      <c r="B1510" s="15"/>
      <c r="C1510" s="167"/>
      <c r="D1510" s="42" t="s">
        <v>867</v>
      </c>
      <c r="E1510" s="16"/>
      <c r="F1510" s="42"/>
      <c r="G1510" s="42">
        <v>150.0</v>
      </c>
      <c r="DN1510" s="92">
        <v>0.0</v>
      </c>
    </row>
    <row r="1511">
      <c r="A1511" s="15" t="s">
        <v>3087</v>
      </c>
      <c r="B1511" s="15"/>
      <c r="C1511" s="167"/>
      <c r="D1511" s="42" t="s">
        <v>2723</v>
      </c>
      <c r="E1511" s="16"/>
      <c r="F1511" s="42"/>
      <c r="G1511" s="42">
        <v>300.0</v>
      </c>
      <c r="DN1511" s="92">
        <v>1.0</v>
      </c>
    </row>
    <row r="1512">
      <c r="A1512" s="15" t="s">
        <v>3088</v>
      </c>
      <c r="B1512" s="15"/>
      <c r="C1512" s="167"/>
      <c r="D1512" s="42" t="s">
        <v>2616</v>
      </c>
      <c r="E1512" s="16"/>
      <c r="F1512" s="42"/>
      <c r="G1512" s="42">
        <v>300.0</v>
      </c>
      <c r="DN1512" s="92">
        <v>1.0</v>
      </c>
    </row>
    <row r="1513">
      <c r="A1513" s="15" t="s">
        <v>3089</v>
      </c>
      <c r="B1513" s="15"/>
      <c r="C1513" s="167"/>
      <c r="D1513" s="42" t="s">
        <v>2709</v>
      </c>
      <c r="E1513" s="16"/>
      <c r="F1513" s="42"/>
      <c r="G1513" s="42">
        <v>400.0</v>
      </c>
      <c r="DN1513" s="92">
        <v>1.0</v>
      </c>
    </row>
    <row r="1514">
      <c r="A1514" s="15" t="s">
        <v>3090</v>
      </c>
      <c r="B1514" s="15"/>
      <c r="C1514" s="167"/>
      <c r="D1514" s="42" t="s">
        <v>867</v>
      </c>
      <c r="E1514" s="16"/>
      <c r="F1514" s="42"/>
      <c r="G1514" s="42">
        <v>600.0</v>
      </c>
      <c r="DN1514" s="92">
        <v>0.0</v>
      </c>
    </row>
    <row r="1515">
      <c r="A1515" s="15" t="s">
        <v>3091</v>
      </c>
      <c r="B1515" s="15"/>
      <c r="C1515" s="167"/>
      <c r="D1515" s="42" t="s">
        <v>3092</v>
      </c>
      <c r="E1515" s="16"/>
      <c r="F1515" s="42"/>
      <c r="G1515" s="42">
        <v>600.0</v>
      </c>
      <c r="DN1515" s="92">
        <v>1.0</v>
      </c>
    </row>
    <row r="1516">
      <c r="A1516" s="15" t="s">
        <v>3093</v>
      </c>
      <c r="B1516" s="15"/>
      <c r="C1516" s="167"/>
      <c r="D1516" s="42" t="s">
        <v>1616</v>
      </c>
      <c r="E1516" s="16"/>
      <c r="F1516" s="42"/>
      <c r="G1516" s="42">
        <v>300.0</v>
      </c>
      <c r="DN1516" s="92">
        <v>1.0</v>
      </c>
    </row>
    <row r="1517">
      <c r="A1517" s="15" t="s">
        <v>3094</v>
      </c>
      <c r="B1517" s="15"/>
      <c r="C1517" s="167"/>
      <c r="D1517" s="42" t="s">
        <v>867</v>
      </c>
      <c r="E1517" s="16"/>
      <c r="F1517" s="42"/>
      <c r="G1517" s="42">
        <v>450.0</v>
      </c>
      <c r="DN1517" s="92">
        <v>0.0</v>
      </c>
    </row>
    <row r="1518">
      <c r="A1518" s="15" t="s">
        <v>3095</v>
      </c>
      <c r="B1518" s="15"/>
      <c r="C1518" s="167"/>
      <c r="D1518" s="42" t="s">
        <v>3096</v>
      </c>
      <c r="E1518" s="15"/>
      <c r="F1518" s="42"/>
      <c r="G1518" s="42">
        <v>300.0</v>
      </c>
      <c r="DN1518" s="92">
        <v>5.0</v>
      </c>
    </row>
    <row r="1519">
      <c r="A1519" s="15" t="s">
        <v>3097</v>
      </c>
      <c r="B1519" s="15"/>
      <c r="C1519" s="167"/>
      <c r="D1519" s="42" t="s">
        <v>867</v>
      </c>
      <c r="E1519" s="16"/>
      <c r="F1519" s="42"/>
      <c r="G1519" s="42">
        <v>300.0</v>
      </c>
      <c r="DN1519" s="92">
        <v>0.0</v>
      </c>
    </row>
    <row r="1520">
      <c r="A1520" s="15" t="s">
        <v>3098</v>
      </c>
      <c r="B1520" s="15"/>
      <c r="C1520" s="167"/>
      <c r="D1520" s="42" t="s">
        <v>867</v>
      </c>
      <c r="E1520" s="16"/>
      <c r="F1520" s="42"/>
      <c r="G1520" s="42">
        <v>400.0</v>
      </c>
      <c r="DN1520" s="92">
        <v>0.0</v>
      </c>
    </row>
    <row r="1521">
      <c r="A1521" s="15" t="s">
        <v>3099</v>
      </c>
      <c r="B1521" s="15"/>
      <c r="C1521" s="167"/>
      <c r="D1521" s="42" t="s">
        <v>867</v>
      </c>
      <c r="E1521" s="16"/>
      <c r="F1521" s="42"/>
      <c r="G1521" s="42">
        <v>400.0</v>
      </c>
      <c r="DN1521" s="92">
        <v>0.0</v>
      </c>
    </row>
    <row r="1522">
      <c r="A1522" s="15" t="s">
        <v>3100</v>
      </c>
      <c r="B1522" s="15"/>
      <c r="C1522" s="167"/>
      <c r="D1522" s="42" t="s">
        <v>867</v>
      </c>
      <c r="E1522" s="16"/>
      <c r="F1522" s="42"/>
      <c r="G1522" s="42">
        <v>300.0</v>
      </c>
      <c r="DN1522" s="92">
        <v>0.0</v>
      </c>
    </row>
    <row r="1523">
      <c r="A1523" s="15" t="s">
        <v>3101</v>
      </c>
      <c r="B1523" s="15"/>
      <c r="C1523" s="167"/>
      <c r="D1523" s="42" t="s">
        <v>867</v>
      </c>
      <c r="E1523" s="16"/>
      <c r="F1523" s="42"/>
      <c r="G1523" s="42">
        <v>400.0</v>
      </c>
      <c r="DN1523" s="92">
        <v>0.0</v>
      </c>
    </row>
    <row r="1524">
      <c r="A1524" s="15" t="s">
        <v>3102</v>
      </c>
      <c r="B1524" s="15"/>
      <c r="C1524" s="167"/>
      <c r="D1524" s="42" t="s">
        <v>867</v>
      </c>
      <c r="E1524" s="16"/>
      <c r="F1524" s="42"/>
      <c r="G1524" s="42">
        <v>300.0</v>
      </c>
      <c r="DN1524" s="92">
        <v>0.0</v>
      </c>
    </row>
    <row r="1525">
      <c r="A1525" s="15" t="s">
        <v>3103</v>
      </c>
      <c r="B1525" s="15"/>
      <c r="C1525" s="167"/>
      <c r="D1525" s="42" t="s">
        <v>867</v>
      </c>
      <c r="E1525" s="16"/>
      <c r="F1525" s="42"/>
      <c r="G1525" s="42">
        <v>450.0</v>
      </c>
      <c r="DN1525" s="92">
        <v>1.0</v>
      </c>
    </row>
    <row r="1526">
      <c r="A1526" s="15" t="s">
        <v>3104</v>
      </c>
      <c r="B1526" s="15"/>
      <c r="C1526" s="167"/>
      <c r="D1526" s="42" t="s">
        <v>3105</v>
      </c>
      <c r="E1526" s="16"/>
      <c r="F1526" s="42"/>
      <c r="G1526" s="42">
        <v>600.0</v>
      </c>
      <c r="DN1526" s="92">
        <v>2.0</v>
      </c>
    </row>
    <row r="1527">
      <c r="A1527" s="15" t="s">
        <v>3106</v>
      </c>
      <c r="B1527" s="15"/>
      <c r="C1527" s="167"/>
      <c r="D1527" s="42" t="s">
        <v>2419</v>
      </c>
      <c r="E1527" s="16"/>
      <c r="F1527" s="42"/>
      <c r="G1527" s="42">
        <v>350.0</v>
      </c>
      <c r="DN1527" s="92">
        <v>1.0</v>
      </c>
    </row>
    <row r="1528">
      <c r="A1528" s="15" t="s">
        <v>3107</v>
      </c>
      <c r="B1528" s="15"/>
      <c r="C1528" s="167"/>
      <c r="D1528" s="42" t="s">
        <v>1616</v>
      </c>
      <c r="E1528" s="16"/>
      <c r="F1528" s="42"/>
      <c r="G1528" s="42">
        <v>300.0</v>
      </c>
      <c r="DN1528" s="92">
        <v>1.0</v>
      </c>
    </row>
    <row r="1529">
      <c r="A1529" s="15" t="s">
        <v>3108</v>
      </c>
      <c r="B1529" s="15"/>
      <c r="C1529" s="167"/>
      <c r="D1529" s="42" t="s">
        <v>2419</v>
      </c>
      <c r="E1529" s="16"/>
      <c r="F1529" s="42"/>
      <c r="G1529" s="42">
        <v>500.0</v>
      </c>
      <c r="DN1529" s="92">
        <v>1.0</v>
      </c>
    </row>
    <row r="1530">
      <c r="A1530" s="15" t="s">
        <v>3109</v>
      </c>
      <c r="B1530" s="15"/>
      <c r="C1530" s="15"/>
      <c r="D1530" s="42" t="s">
        <v>3110</v>
      </c>
      <c r="E1530" s="16"/>
      <c r="F1530" s="42"/>
      <c r="G1530" s="42">
        <v>400.0</v>
      </c>
      <c r="DN1530" s="92">
        <v>1.0</v>
      </c>
    </row>
    <row r="1531">
      <c r="A1531" s="15" t="s">
        <v>3111</v>
      </c>
      <c r="B1531" s="15"/>
      <c r="C1531" s="15"/>
      <c r="D1531" s="42" t="s">
        <v>2823</v>
      </c>
      <c r="E1531" s="15" t="s">
        <v>2888</v>
      </c>
      <c r="F1531" s="42"/>
      <c r="G1531" s="42">
        <v>400.0</v>
      </c>
      <c r="DN1531" s="92">
        <v>1.0</v>
      </c>
    </row>
    <row r="1532">
      <c r="A1532" s="15" t="s">
        <v>3113</v>
      </c>
      <c r="B1532" s="15"/>
      <c r="C1532" s="15"/>
      <c r="D1532" s="42" t="s">
        <v>3114</v>
      </c>
      <c r="E1532" s="15" t="s">
        <v>3115</v>
      </c>
      <c r="F1532" s="42"/>
      <c r="G1532" s="42">
        <v>500.0</v>
      </c>
      <c r="DN1532" s="92">
        <v>2.0</v>
      </c>
    </row>
    <row r="1533">
      <c r="A1533" s="192" t="s">
        <v>3116</v>
      </c>
      <c r="B1533" s="193"/>
      <c r="C1533" s="194"/>
      <c r="D1533" s="195" t="s">
        <v>3117</v>
      </c>
      <c r="E1533" s="196" t="s">
        <v>3115</v>
      </c>
      <c r="F1533" s="193"/>
      <c r="G1533" s="197">
        <v>450.0</v>
      </c>
      <c r="DN1533" s="92">
        <v>24.0</v>
      </c>
    </row>
    <row r="1534">
      <c r="A1534" s="15" t="s">
        <v>3118</v>
      </c>
      <c r="B1534" s="15"/>
      <c r="C1534" s="15"/>
      <c r="D1534" s="42" t="s">
        <v>3119</v>
      </c>
      <c r="E1534" s="15" t="s">
        <v>3115</v>
      </c>
      <c r="F1534" s="42"/>
      <c r="G1534" s="42">
        <v>700.0</v>
      </c>
      <c r="DN1534" s="92">
        <v>39.0</v>
      </c>
    </row>
    <row r="1535">
      <c r="A1535" s="15" t="s">
        <v>3120</v>
      </c>
      <c r="B1535" s="15"/>
      <c r="C1535" s="15"/>
      <c r="D1535" s="42" t="s">
        <v>3121</v>
      </c>
      <c r="E1535" s="15" t="s">
        <v>3115</v>
      </c>
      <c r="F1535" s="42"/>
      <c r="G1535" s="42">
        <v>150.0</v>
      </c>
      <c r="DN1535" s="92">
        <v>16.0</v>
      </c>
    </row>
    <row r="1536">
      <c r="A1536" s="15" t="s">
        <v>3122</v>
      </c>
      <c r="B1536" s="15"/>
      <c r="C1536" s="15"/>
      <c r="D1536" s="42" t="s">
        <v>3123</v>
      </c>
      <c r="E1536" s="15" t="s">
        <v>3115</v>
      </c>
      <c r="F1536" s="42"/>
      <c r="G1536" s="42">
        <v>450.0</v>
      </c>
      <c r="DN1536" s="92">
        <v>3.0</v>
      </c>
    </row>
    <row r="1537">
      <c r="A1537" s="15" t="s">
        <v>3124</v>
      </c>
      <c r="B1537" s="15"/>
      <c r="C1537" s="15"/>
      <c r="D1537" s="42" t="s">
        <v>3125</v>
      </c>
      <c r="E1537" s="15" t="s">
        <v>3115</v>
      </c>
      <c r="F1537" s="42"/>
      <c r="G1537" s="42">
        <v>350.0</v>
      </c>
      <c r="DN1537" s="92">
        <v>15.0</v>
      </c>
    </row>
    <row r="1538">
      <c r="A1538" s="15" t="s">
        <v>3126</v>
      </c>
      <c r="B1538" s="15"/>
      <c r="C1538" s="15"/>
      <c r="D1538" s="42" t="s">
        <v>3127</v>
      </c>
      <c r="E1538" s="15" t="s">
        <v>3115</v>
      </c>
      <c r="F1538" s="42"/>
      <c r="G1538" s="42">
        <v>300.0</v>
      </c>
      <c r="DN1538" s="92">
        <v>13.0</v>
      </c>
    </row>
    <row r="1539">
      <c r="A1539" s="15" t="s">
        <v>3128</v>
      </c>
      <c r="B1539" s="15"/>
      <c r="C1539" s="15"/>
      <c r="D1539" s="42" t="s">
        <v>3129</v>
      </c>
      <c r="E1539" s="15" t="s">
        <v>3115</v>
      </c>
      <c r="F1539" s="42"/>
      <c r="G1539" s="42">
        <v>150.0</v>
      </c>
      <c r="DN1539" s="92">
        <v>3.0</v>
      </c>
    </row>
    <row r="1540">
      <c r="A1540" s="15" t="s">
        <v>3130</v>
      </c>
      <c r="B1540" s="15"/>
      <c r="C1540" s="15"/>
      <c r="D1540" s="42" t="s">
        <v>3131</v>
      </c>
      <c r="E1540" s="15" t="s">
        <v>3115</v>
      </c>
      <c r="F1540" s="42"/>
      <c r="G1540" s="42">
        <v>150.0</v>
      </c>
      <c r="DN1540" s="92">
        <v>4.0</v>
      </c>
    </row>
    <row r="1541">
      <c r="A1541" s="15" t="s">
        <v>3133</v>
      </c>
      <c r="B1541" s="15"/>
      <c r="C1541" s="15"/>
      <c r="D1541" s="42" t="s">
        <v>3134</v>
      </c>
      <c r="E1541" s="15" t="s">
        <v>3115</v>
      </c>
      <c r="F1541" s="42"/>
      <c r="G1541" s="42">
        <v>200.0</v>
      </c>
      <c r="DN1541" s="92">
        <v>2.0</v>
      </c>
    </row>
    <row r="1542">
      <c r="A1542" s="15" t="s">
        <v>3135</v>
      </c>
      <c r="B1542" s="15"/>
      <c r="C1542" s="15"/>
      <c r="D1542" s="42" t="s">
        <v>3136</v>
      </c>
      <c r="E1542" s="15" t="s">
        <v>3115</v>
      </c>
      <c r="F1542" s="42"/>
      <c r="G1542" s="42">
        <v>200.0</v>
      </c>
      <c r="DN1542" s="92">
        <v>6.0</v>
      </c>
    </row>
    <row r="1543">
      <c r="A1543" s="15" t="s">
        <v>3137</v>
      </c>
      <c r="B1543" s="15"/>
      <c r="C1543" s="15"/>
      <c r="D1543" s="42" t="s">
        <v>3138</v>
      </c>
      <c r="E1543" s="15" t="s">
        <v>3115</v>
      </c>
      <c r="F1543" s="42"/>
      <c r="G1543" s="42">
        <v>450.0</v>
      </c>
      <c r="DN1543" s="92">
        <v>3.0</v>
      </c>
    </row>
    <row r="1544">
      <c r="A1544" s="15" t="s">
        <v>3139</v>
      </c>
      <c r="B1544" s="15"/>
      <c r="C1544" s="15"/>
      <c r="D1544" s="42" t="s">
        <v>3140</v>
      </c>
      <c r="E1544" s="15" t="s">
        <v>3115</v>
      </c>
      <c r="F1544" s="42"/>
      <c r="G1544" s="42">
        <v>450.0</v>
      </c>
      <c r="DN1544" s="92">
        <v>3.0</v>
      </c>
    </row>
    <row r="1545">
      <c r="A1545" s="15" t="s">
        <v>3141</v>
      </c>
      <c r="B1545" s="15"/>
      <c r="C1545" s="15"/>
      <c r="D1545" s="42" t="s">
        <v>3142</v>
      </c>
      <c r="E1545" s="15" t="s">
        <v>3115</v>
      </c>
      <c r="F1545" s="42"/>
      <c r="G1545" s="42">
        <v>450.0</v>
      </c>
      <c r="DN1545" s="92">
        <v>2.0</v>
      </c>
    </row>
    <row r="1546">
      <c r="A1546" s="15" t="s">
        <v>3143</v>
      </c>
      <c r="B1546" s="15"/>
      <c r="C1546" s="15"/>
      <c r="D1546" s="42" t="s">
        <v>1123</v>
      </c>
      <c r="E1546" s="15" t="s">
        <v>3115</v>
      </c>
      <c r="F1546" s="42"/>
      <c r="G1546" s="42">
        <v>300.0</v>
      </c>
      <c r="DN1546" s="92">
        <v>0.0</v>
      </c>
    </row>
    <row r="1547">
      <c r="A1547" s="15" t="s">
        <v>3144</v>
      </c>
      <c r="B1547" s="15"/>
      <c r="C1547" s="15"/>
      <c r="D1547" s="42" t="s">
        <v>867</v>
      </c>
      <c r="E1547" s="15" t="s">
        <v>3115</v>
      </c>
      <c r="F1547" s="42"/>
      <c r="G1547" s="42">
        <v>400.0</v>
      </c>
      <c r="DN1547" s="92">
        <v>0.0</v>
      </c>
    </row>
    <row r="1548">
      <c r="A1548" s="15" t="s">
        <v>3145</v>
      </c>
      <c r="B1548" s="15"/>
      <c r="C1548" s="15"/>
      <c r="D1548" s="42" t="s">
        <v>3146</v>
      </c>
      <c r="E1548" s="15" t="s">
        <v>3115</v>
      </c>
      <c r="F1548" s="42"/>
      <c r="G1548" s="42">
        <v>450.0</v>
      </c>
      <c r="DN1548" s="92">
        <v>4.0</v>
      </c>
    </row>
    <row r="1549">
      <c r="A1549" s="15" t="s">
        <v>3147</v>
      </c>
      <c r="B1549" s="15"/>
      <c r="C1549" s="15"/>
      <c r="D1549" s="42" t="s">
        <v>867</v>
      </c>
      <c r="E1549" s="15" t="s">
        <v>3115</v>
      </c>
      <c r="F1549" s="42"/>
      <c r="G1549" s="42">
        <v>500.0</v>
      </c>
      <c r="DN1549" s="92">
        <v>0.0</v>
      </c>
    </row>
    <row r="1550">
      <c r="A1550" s="15" t="s">
        <v>3148</v>
      </c>
      <c r="B1550" s="15"/>
      <c r="C1550" s="15"/>
      <c r="D1550" s="42" t="s">
        <v>867</v>
      </c>
      <c r="E1550" s="15" t="s">
        <v>3115</v>
      </c>
      <c r="F1550" s="42"/>
      <c r="G1550" s="42">
        <v>500.0</v>
      </c>
      <c r="DN1550" s="92">
        <v>0.0</v>
      </c>
    </row>
    <row r="1551">
      <c r="A1551" s="15" t="s">
        <v>3149</v>
      </c>
      <c r="B1551" s="15"/>
      <c r="C1551" s="15"/>
      <c r="D1551" s="42" t="s">
        <v>3048</v>
      </c>
      <c r="E1551" s="15" t="s">
        <v>3115</v>
      </c>
      <c r="F1551" s="42"/>
      <c r="G1551" s="42">
        <v>400.0</v>
      </c>
      <c r="DN1551" s="92">
        <v>1.0</v>
      </c>
    </row>
    <row r="1552">
      <c r="A1552" s="15" t="s">
        <v>3150</v>
      </c>
      <c r="B1552" s="15"/>
      <c r="C1552" s="15"/>
      <c r="D1552" s="42" t="s">
        <v>2525</v>
      </c>
      <c r="E1552" s="15" t="s">
        <v>3115</v>
      </c>
      <c r="F1552" s="42"/>
      <c r="G1552" s="42">
        <v>600.0</v>
      </c>
      <c r="DN1552" s="92">
        <v>2.0</v>
      </c>
    </row>
    <row r="1553">
      <c r="A1553" s="15" t="s">
        <v>3151</v>
      </c>
      <c r="B1553" s="15"/>
      <c r="C1553" s="15"/>
      <c r="D1553" s="42" t="s">
        <v>3152</v>
      </c>
      <c r="E1553" s="15" t="s">
        <v>3115</v>
      </c>
      <c r="F1553" s="42"/>
      <c r="G1553" s="42">
        <v>300.0</v>
      </c>
      <c r="DN1553" s="92">
        <v>25.0</v>
      </c>
    </row>
    <row r="1554">
      <c r="A1554" s="15" t="s">
        <v>3153</v>
      </c>
      <c r="B1554" s="15"/>
      <c r="C1554" s="15"/>
      <c r="D1554" s="42" t="s">
        <v>867</v>
      </c>
      <c r="E1554" s="15" t="s">
        <v>3115</v>
      </c>
      <c r="F1554" s="42"/>
      <c r="G1554" s="42">
        <v>550.0</v>
      </c>
      <c r="DN1554" s="92">
        <v>0.0</v>
      </c>
    </row>
    <row r="1555">
      <c r="A1555" s="15" t="s">
        <v>3154</v>
      </c>
      <c r="B1555" s="15"/>
      <c r="C1555" s="15"/>
      <c r="D1555" s="42" t="s">
        <v>1616</v>
      </c>
      <c r="E1555" s="15" t="s">
        <v>3115</v>
      </c>
      <c r="F1555" s="42"/>
      <c r="G1555" s="42">
        <v>550.0</v>
      </c>
      <c r="DN1555" s="92">
        <v>1.0</v>
      </c>
    </row>
    <row r="1556">
      <c r="A1556" s="15" t="s">
        <v>3155</v>
      </c>
      <c r="B1556" s="15"/>
      <c r="C1556" s="15"/>
      <c r="D1556" s="42" t="s">
        <v>1616</v>
      </c>
      <c r="E1556" s="15" t="s">
        <v>3115</v>
      </c>
      <c r="F1556" s="42"/>
      <c r="G1556" s="42">
        <v>550.0</v>
      </c>
      <c r="DN1556" s="92">
        <v>1.0</v>
      </c>
    </row>
    <row r="1557">
      <c r="A1557" s="15" t="s">
        <v>3156</v>
      </c>
      <c r="B1557" s="15"/>
      <c r="C1557" s="15"/>
      <c r="D1557" s="42" t="s">
        <v>867</v>
      </c>
      <c r="E1557" s="15" t="s">
        <v>3115</v>
      </c>
      <c r="F1557" s="42"/>
      <c r="G1557" s="42">
        <v>550.0</v>
      </c>
      <c r="DN1557" s="92">
        <v>0.0</v>
      </c>
    </row>
    <row r="1558">
      <c r="A1558" s="15" t="s">
        <v>3157</v>
      </c>
      <c r="B1558" s="15"/>
      <c r="C1558" s="15"/>
      <c r="D1558" s="42" t="s">
        <v>867</v>
      </c>
      <c r="E1558" s="15" t="s">
        <v>3115</v>
      </c>
      <c r="F1558" s="42"/>
      <c r="G1558" s="42">
        <v>550.0</v>
      </c>
      <c r="DN1558" s="92">
        <v>0.0</v>
      </c>
    </row>
    <row r="1559">
      <c r="A1559" s="15" t="s">
        <v>3158</v>
      </c>
      <c r="B1559" s="15"/>
      <c r="C1559" s="15"/>
      <c r="D1559" s="42" t="s">
        <v>3159</v>
      </c>
      <c r="E1559" s="15" t="s">
        <v>3115</v>
      </c>
      <c r="F1559" s="42"/>
      <c r="G1559" s="42">
        <v>550.0</v>
      </c>
      <c r="DN1559" s="92">
        <v>2.0</v>
      </c>
    </row>
    <row r="1560">
      <c r="A1560" s="15" t="s">
        <v>3160</v>
      </c>
      <c r="B1560" s="15">
        <v>53.0</v>
      </c>
      <c r="C1560" s="15" t="s">
        <v>3161</v>
      </c>
      <c r="D1560" s="42" t="s">
        <v>3162</v>
      </c>
      <c r="E1560" s="16"/>
      <c r="F1560" s="42"/>
      <c r="G1560" s="42">
        <v>4950.0</v>
      </c>
      <c r="DN1560" s="92">
        <v>1.0</v>
      </c>
    </row>
    <row r="1561">
      <c r="A1561" s="15" t="s">
        <v>3163</v>
      </c>
      <c r="B1561" s="15">
        <v>54.0</v>
      </c>
      <c r="C1561" s="15" t="s">
        <v>3161</v>
      </c>
      <c r="D1561" s="42" t="s">
        <v>867</v>
      </c>
      <c r="E1561" s="16"/>
      <c r="F1561" s="42"/>
      <c r="G1561" s="42">
        <v>4950.0</v>
      </c>
      <c r="DN1561" s="92">
        <v>0.0</v>
      </c>
    </row>
    <row r="1562">
      <c r="A1562" s="15" t="s">
        <v>3164</v>
      </c>
      <c r="B1562" s="15">
        <v>55.0</v>
      </c>
      <c r="C1562" s="15" t="s">
        <v>3161</v>
      </c>
      <c r="D1562" s="42" t="s">
        <v>3162</v>
      </c>
      <c r="E1562" s="16"/>
      <c r="F1562" s="42"/>
      <c r="G1562" s="42">
        <v>4950.0</v>
      </c>
      <c r="DN1562" s="92">
        <v>0.0</v>
      </c>
    </row>
    <row r="1563">
      <c r="A1563" s="15" t="s">
        <v>3165</v>
      </c>
      <c r="B1563" s="15">
        <v>55.0</v>
      </c>
      <c r="C1563" s="15" t="s">
        <v>3161</v>
      </c>
      <c r="D1563" s="42" t="s">
        <v>867</v>
      </c>
      <c r="E1563" s="16"/>
      <c r="F1563" s="42"/>
      <c r="G1563" s="42">
        <v>4950.0</v>
      </c>
      <c r="DN1563" s="92">
        <v>0.0</v>
      </c>
    </row>
    <row r="1564">
      <c r="A1564" s="15" t="s">
        <v>3166</v>
      </c>
      <c r="B1564" s="15">
        <v>53.0</v>
      </c>
      <c r="C1564" s="15" t="s">
        <v>3161</v>
      </c>
      <c r="D1564" s="42" t="s">
        <v>3167</v>
      </c>
      <c r="E1564" s="16"/>
      <c r="F1564" s="42"/>
      <c r="G1564" s="42">
        <v>4950.0</v>
      </c>
      <c r="DN1564" s="92">
        <v>1.0</v>
      </c>
    </row>
    <row r="1565">
      <c r="A1565" s="15" t="s">
        <v>3168</v>
      </c>
      <c r="B1565" s="15">
        <v>52.0</v>
      </c>
      <c r="C1565" s="15" t="s">
        <v>3161</v>
      </c>
      <c r="D1565" s="42" t="s">
        <v>3167</v>
      </c>
      <c r="E1565" s="16"/>
      <c r="F1565" s="42"/>
      <c r="G1565" s="42">
        <v>4950.0</v>
      </c>
      <c r="DN1565" s="92">
        <v>0.0</v>
      </c>
    </row>
    <row r="1566">
      <c r="A1566" s="15" t="s">
        <v>3169</v>
      </c>
      <c r="B1566" s="15">
        <v>54.0</v>
      </c>
      <c r="C1566" s="15" t="s">
        <v>3161</v>
      </c>
      <c r="D1566" s="42" t="s">
        <v>3167</v>
      </c>
      <c r="E1566" s="16"/>
      <c r="F1566" s="42"/>
      <c r="G1566" s="42">
        <v>4950.0</v>
      </c>
      <c r="DN1566" s="92">
        <v>1.0</v>
      </c>
    </row>
    <row r="1567">
      <c r="A1567" s="15" t="s">
        <v>3170</v>
      </c>
      <c r="B1567" s="15">
        <v>54.0</v>
      </c>
      <c r="C1567" s="15" t="s">
        <v>3161</v>
      </c>
      <c r="D1567" s="42" t="s">
        <v>3171</v>
      </c>
      <c r="E1567" s="16"/>
      <c r="F1567" s="42"/>
      <c r="G1567" s="42">
        <v>4200.0</v>
      </c>
      <c r="DN1567" s="92">
        <v>1.0</v>
      </c>
    </row>
    <row r="1568">
      <c r="A1568" s="15" t="s">
        <v>3172</v>
      </c>
      <c r="B1568" s="15">
        <v>54.0</v>
      </c>
      <c r="C1568" s="15" t="s">
        <v>3161</v>
      </c>
      <c r="D1568" s="42" t="s">
        <v>3171</v>
      </c>
      <c r="E1568" s="16"/>
      <c r="F1568" s="42"/>
      <c r="G1568" s="42">
        <v>4200.0</v>
      </c>
      <c r="DN1568" s="92">
        <v>1.0</v>
      </c>
    </row>
    <row r="1569">
      <c r="A1569" s="15" t="s">
        <v>3173</v>
      </c>
      <c r="B1569" s="15">
        <v>53.0</v>
      </c>
      <c r="C1569" s="15" t="s">
        <v>3161</v>
      </c>
      <c r="D1569" s="42" t="s">
        <v>3171</v>
      </c>
      <c r="E1569" s="16"/>
      <c r="F1569" s="42"/>
      <c r="G1569" s="42">
        <v>4950.0</v>
      </c>
      <c r="DN1569" s="92">
        <v>1.0</v>
      </c>
    </row>
    <row r="1570">
      <c r="A1570" s="15" t="s">
        <v>3174</v>
      </c>
      <c r="B1570" s="15"/>
      <c r="C1570" s="15"/>
      <c r="D1570" s="42" t="s">
        <v>3175</v>
      </c>
      <c r="E1570" s="16"/>
      <c r="F1570" s="42"/>
      <c r="G1570" s="42">
        <v>300.0</v>
      </c>
      <c r="DN1570" s="92">
        <v>12.0</v>
      </c>
    </row>
    <row r="1571">
      <c r="A1571" s="15" t="s">
        <v>3176</v>
      </c>
      <c r="B1571" s="15"/>
      <c r="C1571" s="15"/>
      <c r="D1571" s="42" t="s">
        <v>3177</v>
      </c>
      <c r="E1571" s="16"/>
      <c r="F1571" s="42"/>
      <c r="G1571" s="42">
        <v>350.0</v>
      </c>
      <c r="DN1571" s="92">
        <v>15.0</v>
      </c>
    </row>
    <row r="1572">
      <c r="A1572" s="15" t="s">
        <v>3178</v>
      </c>
      <c r="B1572" s="15"/>
      <c r="C1572" s="15"/>
      <c r="D1572" s="42" t="s">
        <v>3179</v>
      </c>
      <c r="E1572" s="16"/>
      <c r="F1572" s="42"/>
      <c r="G1572" s="42">
        <v>600.0</v>
      </c>
      <c r="DN1572" s="92">
        <v>70.0</v>
      </c>
    </row>
    <row r="1573">
      <c r="A1573" s="15" t="s">
        <v>3180</v>
      </c>
      <c r="B1573" s="15"/>
      <c r="C1573" s="15"/>
      <c r="D1573" s="42" t="s">
        <v>3181</v>
      </c>
      <c r="E1573" s="16"/>
      <c r="F1573" s="42"/>
      <c r="G1573" s="42">
        <v>550.0</v>
      </c>
      <c r="DN1573" s="92">
        <v>14.0</v>
      </c>
    </row>
    <row r="1574">
      <c r="A1574" s="15" t="s">
        <v>3182</v>
      </c>
      <c r="B1574" s="15"/>
      <c r="C1574" s="15"/>
      <c r="D1574" s="42" t="s">
        <v>3183</v>
      </c>
      <c r="E1574" s="16"/>
      <c r="F1574" s="42"/>
      <c r="G1574" s="42">
        <v>600.0</v>
      </c>
      <c r="DN1574" s="92">
        <v>28.0</v>
      </c>
    </row>
    <row r="1575">
      <c r="A1575" s="15"/>
      <c r="B1575" s="15"/>
      <c r="C1575" s="15"/>
      <c r="D1575" s="42"/>
      <c r="E1575" s="16"/>
      <c r="F1575" s="42"/>
      <c r="G1575" s="42"/>
      <c r="DN1575" s="191"/>
    </row>
    <row r="1576">
      <c r="A1576" s="15"/>
      <c r="B1576" s="15"/>
      <c r="C1576" s="15"/>
      <c r="D1576" s="42"/>
      <c r="E1576" s="16"/>
      <c r="F1576" s="42"/>
      <c r="G1576" s="42"/>
      <c r="DN1576" s="191"/>
    </row>
    <row r="1577">
      <c r="A1577" s="15"/>
      <c r="B1577" s="15"/>
      <c r="C1577" s="15"/>
      <c r="D1577" s="42"/>
      <c r="E1577" s="16"/>
      <c r="F1577" s="42"/>
      <c r="G1577" s="42"/>
      <c r="DN1577" s="191"/>
    </row>
    <row r="1578">
      <c r="A1578" s="15"/>
      <c r="B1578" s="15"/>
      <c r="C1578" s="15"/>
      <c r="D1578" s="42"/>
      <c r="E1578" s="16"/>
      <c r="F1578" s="42"/>
      <c r="G1578" s="42"/>
      <c r="DN1578" s="191"/>
    </row>
    <row r="1579">
      <c r="A1579" s="15"/>
      <c r="B1579" s="15"/>
      <c r="C1579" s="15"/>
      <c r="D1579" s="42"/>
      <c r="E1579" s="16"/>
      <c r="F1579" s="42"/>
      <c r="G1579" s="42"/>
      <c r="DN1579" s="191"/>
    </row>
    <row r="1580">
      <c r="A1580" s="15"/>
      <c r="B1580" s="15"/>
      <c r="C1580" s="15"/>
      <c r="D1580" s="42"/>
      <c r="E1580" s="16"/>
      <c r="F1580" s="42"/>
      <c r="G1580" s="42"/>
      <c r="DN1580" s="191"/>
    </row>
    <row r="1581">
      <c r="A1581" s="15"/>
      <c r="B1581" s="15"/>
      <c r="C1581" s="15"/>
      <c r="D1581" s="42"/>
      <c r="E1581" s="16"/>
      <c r="F1581" s="42"/>
      <c r="G1581" s="42"/>
      <c r="DN1581" s="191"/>
    </row>
    <row r="1582">
      <c r="A1582" s="15"/>
      <c r="B1582" s="15"/>
      <c r="C1582" s="15"/>
      <c r="D1582" s="42"/>
      <c r="E1582" s="16"/>
      <c r="F1582" s="42"/>
      <c r="G1582" s="42"/>
      <c r="DN1582" s="191"/>
    </row>
    <row r="1583">
      <c r="A1583" s="15"/>
      <c r="B1583" s="15"/>
      <c r="C1583" s="15"/>
      <c r="D1583" s="42"/>
      <c r="E1583" s="16"/>
      <c r="F1583" s="42"/>
      <c r="G1583" s="42"/>
      <c r="DN1583" s="191"/>
    </row>
    <row r="1584">
      <c r="A1584" s="15"/>
      <c r="B1584" s="15"/>
      <c r="C1584" s="15"/>
      <c r="D1584" s="42"/>
      <c r="E1584" s="16"/>
      <c r="F1584" s="42"/>
      <c r="G1584" s="42"/>
      <c r="DN1584" s="191"/>
    </row>
    <row r="1585">
      <c r="A1585" s="15"/>
      <c r="B1585" s="15"/>
      <c r="C1585" s="15"/>
      <c r="D1585" s="42"/>
      <c r="E1585" s="16"/>
      <c r="F1585" s="42"/>
      <c r="G1585" s="42"/>
      <c r="DN1585" s="191"/>
    </row>
    <row r="1586">
      <c r="A1586" s="15"/>
      <c r="B1586" s="15"/>
      <c r="C1586" s="15"/>
      <c r="D1586" s="42"/>
      <c r="E1586" s="16"/>
      <c r="F1586" s="42"/>
      <c r="G1586" s="42"/>
      <c r="DN1586" s="191"/>
    </row>
    <row r="1587">
      <c r="A1587" s="15"/>
      <c r="B1587" s="15"/>
      <c r="C1587" s="15"/>
      <c r="D1587" s="42"/>
      <c r="E1587" s="16"/>
      <c r="F1587" s="42"/>
      <c r="G1587" s="42"/>
      <c r="DN1587" s="191"/>
    </row>
    <row r="1588">
      <c r="A1588" s="15"/>
      <c r="B1588" s="15"/>
      <c r="C1588" s="15"/>
      <c r="D1588" s="42"/>
      <c r="E1588" s="16"/>
      <c r="F1588" s="42"/>
      <c r="G1588" s="42"/>
      <c r="DN1588" s="191"/>
    </row>
    <row r="1589">
      <c r="A1589" s="15"/>
      <c r="B1589" s="15"/>
      <c r="C1589" s="15"/>
      <c r="D1589" s="42"/>
      <c r="E1589" s="16"/>
      <c r="F1589" s="42"/>
      <c r="G1589" s="42"/>
      <c r="DN1589" s="191"/>
    </row>
    <row r="1590">
      <c r="A1590" s="15"/>
      <c r="B1590" s="15"/>
      <c r="C1590" s="15"/>
      <c r="D1590" s="42"/>
      <c r="E1590" s="16"/>
      <c r="F1590" s="42"/>
      <c r="G1590" s="42"/>
      <c r="DN1590" s="191"/>
    </row>
    <row r="1591">
      <c r="A1591" s="15"/>
      <c r="B1591" s="15"/>
      <c r="C1591" s="15"/>
      <c r="D1591" s="42"/>
      <c r="E1591" s="16"/>
      <c r="F1591" s="42"/>
      <c r="G1591" s="42"/>
      <c r="DN1591" s="191"/>
    </row>
    <row r="1592">
      <c r="A1592" s="15"/>
      <c r="B1592" s="15"/>
      <c r="C1592" s="15"/>
      <c r="D1592" s="42"/>
      <c r="E1592" s="16"/>
      <c r="F1592" s="42"/>
      <c r="G1592" s="42"/>
      <c r="DN1592" s="191"/>
    </row>
    <row r="1593">
      <c r="A1593" s="15"/>
      <c r="B1593" s="15"/>
      <c r="C1593" s="15"/>
      <c r="D1593" s="42"/>
      <c r="E1593" s="16"/>
      <c r="F1593" s="42"/>
      <c r="G1593" s="42"/>
      <c r="DN1593" s="191"/>
    </row>
    <row r="1594">
      <c r="A1594" s="15"/>
      <c r="B1594" s="15"/>
      <c r="C1594" s="15"/>
      <c r="D1594" s="42"/>
      <c r="E1594" s="16"/>
      <c r="F1594" s="42"/>
      <c r="G1594" s="42"/>
      <c r="DN1594" s="191"/>
    </row>
    <row r="1595">
      <c r="A1595" s="15"/>
      <c r="B1595" s="15"/>
      <c r="C1595" s="15"/>
      <c r="D1595" s="42"/>
      <c r="E1595" s="16"/>
      <c r="F1595" s="42"/>
      <c r="G1595" s="42"/>
      <c r="DN1595" s="191"/>
    </row>
    <row r="1596">
      <c r="A1596" s="15"/>
      <c r="B1596" s="15"/>
      <c r="C1596" s="15"/>
      <c r="D1596" s="42"/>
      <c r="E1596" s="16"/>
      <c r="F1596" s="42"/>
      <c r="G1596" s="42"/>
      <c r="DN1596" s="191"/>
    </row>
    <row r="1597">
      <c r="A1597" s="15"/>
      <c r="B1597" s="15"/>
      <c r="C1597" s="15"/>
      <c r="D1597" s="42"/>
      <c r="E1597" s="16"/>
      <c r="F1597" s="42"/>
      <c r="G1597" s="42"/>
      <c r="DN1597" s="191"/>
    </row>
    <row r="1598">
      <c r="A1598" s="15"/>
      <c r="B1598" s="15"/>
      <c r="C1598" s="15"/>
      <c r="D1598" s="42"/>
      <c r="E1598" s="16"/>
      <c r="F1598" s="42"/>
      <c r="G1598" s="42"/>
      <c r="DN1598" s="191"/>
    </row>
    <row r="1599">
      <c r="A1599" s="15"/>
      <c r="B1599" s="15"/>
      <c r="C1599" s="15"/>
      <c r="D1599" s="42"/>
      <c r="E1599" s="16"/>
      <c r="F1599" s="42"/>
      <c r="G1599" s="42"/>
      <c r="DN1599" s="191"/>
    </row>
    <row r="1600">
      <c r="A1600" s="15"/>
      <c r="B1600" s="15"/>
      <c r="C1600" s="15"/>
      <c r="D1600" s="42"/>
      <c r="E1600" s="16"/>
      <c r="F1600" s="42"/>
      <c r="G1600" s="42"/>
      <c r="DN1600" s="191"/>
    </row>
    <row r="1601">
      <c r="A1601" s="15"/>
      <c r="B1601" s="15"/>
      <c r="C1601" s="15"/>
      <c r="D1601" s="42"/>
      <c r="E1601" s="16"/>
      <c r="F1601" s="42"/>
      <c r="G1601" s="42"/>
      <c r="DN1601" s="191"/>
    </row>
    <row r="1602">
      <c r="A1602" s="15"/>
      <c r="B1602" s="15"/>
      <c r="C1602" s="15"/>
      <c r="D1602" s="42"/>
      <c r="E1602" s="16"/>
      <c r="F1602" s="42"/>
      <c r="G1602" s="42"/>
      <c r="DN1602" s="191"/>
    </row>
    <row r="1603">
      <c r="A1603" s="15"/>
      <c r="B1603" s="15"/>
      <c r="C1603" s="15"/>
      <c r="D1603" s="42"/>
      <c r="E1603" s="16"/>
      <c r="F1603" s="42"/>
      <c r="G1603" s="42"/>
      <c r="DN1603" s="191"/>
    </row>
    <row r="1604">
      <c r="A1604" s="15"/>
      <c r="B1604" s="15"/>
      <c r="C1604" s="15"/>
      <c r="D1604" s="42"/>
      <c r="E1604" s="16"/>
      <c r="F1604" s="42"/>
      <c r="G1604" s="42"/>
      <c r="DN1604" s="191"/>
    </row>
    <row r="1605">
      <c r="A1605" s="15"/>
      <c r="B1605" s="15"/>
      <c r="C1605" s="15"/>
      <c r="D1605" s="42"/>
      <c r="E1605" s="16"/>
      <c r="F1605" s="42"/>
      <c r="G1605" s="42"/>
      <c r="DN1605" s="191"/>
    </row>
    <row r="1606">
      <c r="A1606" s="15"/>
      <c r="B1606" s="15"/>
      <c r="C1606" s="15"/>
      <c r="D1606" s="42"/>
      <c r="E1606" s="16"/>
      <c r="F1606" s="42"/>
      <c r="G1606" s="42"/>
      <c r="DN1606" s="191"/>
    </row>
    <row r="1607">
      <c r="A1607" s="15"/>
      <c r="B1607" s="15"/>
      <c r="C1607" s="15"/>
      <c r="D1607" s="42"/>
      <c r="E1607" s="16"/>
      <c r="F1607" s="42"/>
      <c r="G1607" s="42"/>
      <c r="DN1607" s="191"/>
    </row>
    <row r="1608">
      <c r="A1608" s="15"/>
      <c r="B1608" s="15"/>
      <c r="C1608" s="15"/>
      <c r="D1608" s="42"/>
      <c r="E1608" s="16"/>
      <c r="F1608" s="42"/>
      <c r="G1608" s="42"/>
      <c r="DN1608" s="191"/>
    </row>
    <row r="1609">
      <c r="A1609" s="15"/>
      <c r="B1609" s="15"/>
      <c r="C1609" s="15"/>
      <c r="D1609" s="42"/>
      <c r="E1609" s="16"/>
      <c r="F1609" s="42"/>
      <c r="G1609" s="42"/>
      <c r="DN1609" s="191"/>
    </row>
    <row r="1610">
      <c r="A1610" s="15"/>
      <c r="B1610" s="15"/>
      <c r="C1610" s="15"/>
      <c r="D1610" s="42"/>
      <c r="E1610" s="16"/>
      <c r="F1610" s="42"/>
      <c r="G1610" s="42"/>
      <c r="DN1610" s="191"/>
    </row>
    <row r="1611">
      <c r="A1611" s="15"/>
      <c r="B1611" s="15"/>
      <c r="C1611" s="15"/>
      <c r="D1611" s="42"/>
      <c r="E1611" s="16"/>
      <c r="F1611" s="42"/>
      <c r="G1611" s="42"/>
      <c r="DN1611" s="191"/>
    </row>
    <row r="1612">
      <c r="A1612" s="15"/>
      <c r="B1612" s="15"/>
      <c r="C1612" s="15"/>
      <c r="D1612" s="42"/>
      <c r="E1612" s="16"/>
      <c r="F1612" s="42"/>
      <c r="G1612" s="42"/>
      <c r="DN1612" s="191"/>
    </row>
    <row r="1613">
      <c r="A1613" s="15"/>
      <c r="B1613" s="15"/>
      <c r="C1613" s="15"/>
      <c r="D1613" s="42"/>
      <c r="E1613" s="16"/>
      <c r="F1613" s="42"/>
      <c r="G1613" s="42"/>
      <c r="DN1613" s="191"/>
    </row>
    <row r="1614">
      <c r="A1614" s="15"/>
      <c r="B1614" s="15"/>
      <c r="C1614" s="15"/>
      <c r="D1614" s="42"/>
      <c r="E1614" s="16"/>
      <c r="F1614" s="42"/>
      <c r="G1614" s="42"/>
      <c r="DN1614" s="191"/>
    </row>
    <row r="1615">
      <c r="A1615" s="15"/>
      <c r="B1615" s="15"/>
      <c r="C1615" s="15"/>
      <c r="D1615" s="42"/>
      <c r="E1615" s="16"/>
      <c r="F1615" s="42"/>
      <c r="G1615" s="42"/>
      <c r="DN1615" s="191"/>
    </row>
    <row r="1616">
      <c r="A1616" s="15"/>
      <c r="B1616" s="15"/>
      <c r="C1616" s="15"/>
      <c r="D1616" s="42"/>
      <c r="E1616" s="16"/>
      <c r="F1616" s="42"/>
      <c r="G1616" s="42"/>
      <c r="DN1616" s="191"/>
    </row>
    <row r="1617">
      <c r="A1617" s="15"/>
      <c r="B1617" s="15"/>
      <c r="C1617" s="15"/>
      <c r="D1617" s="42"/>
      <c r="E1617" s="16"/>
      <c r="F1617" s="42"/>
      <c r="G1617" s="42"/>
      <c r="DN1617" s="191"/>
    </row>
    <row r="1618">
      <c r="A1618" s="15"/>
      <c r="B1618" s="15"/>
      <c r="C1618" s="15"/>
      <c r="D1618" s="42"/>
      <c r="E1618" s="16"/>
      <c r="F1618" s="42"/>
      <c r="G1618" s="42"/>
      <c r="DN1618" s="191"/>
    </row>
    <row r="1619">
      <c r="A1619" s="15"/>
      <c r="B1619" s="15"/>
      <c r="C1619" s="15"/>
      <c r="D1619" s="42"/>
      <c r="E1619" s="16"/>
      <c r="F1619" s="42"/>
      <c r="G1619" s="42"/>
      <c r="DN1619" s="191"/>
    </row>
    <row r="1620">
      <c r="A1620" s="15"/>
      <c r="B1620" s="15"/>
      <c r="C1620" s="15"/>
      <c r="D1620" s="42"/>
      <c r="E1620" s="16"/>
      <c r="F1620" s="42"/>
      <c r="G1620" s="42"/>
      <c r="DN1620" s="191"/>
    </row>
    <row r="1621">
      <c r="A1621" s="15"/>
      <c r="B1621" s="15"/>
      <c r="C1621" s="15"/>
      <c r="D1621" s="42"/>
      <c r="E1621" s="16"/>
      <c r="F1621" s="42"/>
      <c r="G1621" s="42"/>
      <c r="DN1621" s="191"/>
    </row>
    <row r="1622">
      <c r="A1622" s="15"/>
      <c r="B1622" s="15"/>
      <c r="C1622" s="15"/>
      <c r="D1622" s="42"/>
      <c r="E1622" s="16"/>
      <c r="F1622" s="42"/>
      <c r="G1622" s="42"/>
      <c r="DN1622" s="191"/>
    </row>
    <row r="1623">
      <c r="A1623" s="15"/>
      <c r="B1623" s="15"/>
      <c r="C1623" s="15"/>
      <c r="D1623" s="42"/>
      <c r="E1623" s="16"/>
      <c r="F1623" s="42"/>
      <c r="G1623" s="42"/>
      <c r="DN1623" s="191"/>
    </row>
    <row r="1624">
      <c r="A1624" s="15"/>
      <c r="B1624" s="15"/>
      <c r="C1624" s="15"/>
      <c r="D1624" s="42"/>
      <c r="E1624" s="16"/>
      <c r="F1624" s="42"/>
      <c r="G1624" s="42"/>
      <c r="DN1624" s="191"/>
    </row>
    <row r="1625">
      <c r="A1625" s="15"/>
      <c r="B1625" s="15"/>
      <c r="C1625" s="15"/>
      <c r="D1625" s="42"/>
      <c r="E1625" s="16"/>
      <c r="F1625" s="42"/>
      <c r="G1625" s="42"/>
      <c r="DN1625" s="191"/>
    </row>
    <row r="1626">
      <c r="A1626" s="15"/>
      <c r="B1626" s="15"/>
      <c r="C1626" s="15"/>
      <c r="D1626" s="42"/>
      <c r="E1626" s="16"/>
      <c r="F1626" s="42"/>
      <c r="G1626" s="42"/>
      <c r="DN1626" s="191"/>
    </row>
    <row r="1627">
      <c r="A1627" s="15"/>
      <c r="B1627" s="15"/>
      <c r="C1627" s="15"/>
      <c r="D1627" s="42"/>
      <c r="E1627" s="16"/>
      <c r="F1627" s="42"/>
      <c r="G1627" s="42"/>
      <c r="DN1627" s="191"/>
    </row>
    <row r="1628">
      <c r="A1628" s="15"/>
      <c r="B1628" s="15"/>
      <c r="C1628" s="15"/>
      <c r="D1628" s="42"/>
      <c r="E1628" s="16"/>
      <c r="F1628" s="42"/>
      <c r="G1628" s="42"/>
      <c r="DN1628" s="191"/>
    </row>
    <row r="1629">
      <c r="A1629" s="15"/>
      <c r="B1629" s="15"/>
      <c r="C1629" s="15"/>
      <c r="D1629" s="42"/>
      <c r="E1629" s="16"/>
      <c r="F1629" s="42"/>
      <c r="G1629" s="42"/>
      <c r="DN1629" s="191"/>
    </row>
    <row r="1630">
      <c r="A1630" s="15"/>
      <c r="B1630" s="15"/>
      <c r="C1630" s="15"/>
      <c r="D1630" s="42"/>
      <c r="E1630" s="16"/>
      <c r="F1630" s="42"/>
      <c r="G1630" s="42"/>
      <c r="DN1630" s="191"/>
    </row>
    <row r="1631">
      <c r="A1631" s="15"/>
      <c r="B1631" s="15"/>
      <c r="C1631" s="15"/>
      <c r="D1631" s="42"/>
      <c r="E1631" s="16"/>
      <c r="F1631" s="42"/>
      <c r="G1631" s="42"/>
      <c r="DN1631" s="191"/>
    </row>
    <row r="1632">
      <c r="A1632" s="15"/>
      <c r="B1632" s="15"/>
      <c r="C1632" s="15"/>
      <c r="D1632" s="42"/>
      <c r="E1632" s="16"/>
      <c r="F1632" s="42"/>
      <c r="G1632" s="42"/>
      <c r="DN1632" s="191"/>
    </row>
    <row r="1633">
      <c r="A1633" s="15"/>
      <c r="B1633" s="15"/>
      <c r="C1633" s="15"/>
      <c r="D1633" s="42"/>
      <c r="E1633" s="16"/>
      <c r="F1633" s="42"/>
      <c r="G1633" s="42"/>
      <c r="DN1633" s="191"/>
    </row>
    <row r="1634">
      <c r="A1634" s="15"/>
      <c r="B1634" s="15"/>
      <c r="C1634" s="15"/>
      <c r="D1634" s="42"/>
      <c r="E1634" s="16"/>
      <c r="F1634" s="42"/>
      <c r="G1634" s="42"/>
      <c r="DN1634" s="191"/>
    </row>
    <row r="1635">
      <c r="A1635" s="15"/>
      <c r="B1635" s="15"/>
      <c r="C1635" s="15"/>
      <c r="D1635" s="42"/>
      <c r="E1635" s="16"/>
      <c r="F1635" s="42"/>
      <c r="G1635" s="42"/>
      <c r="DN1635" s="191"/>
    </row>
    <row r="1636">
      <c r="A1636" s="15"/>
      <c r="B1636" s="15"/>
      <c r="C1636" s="15"/>
      <c r="D1636" s="42"/>
      <c r="E1636" s="16"/>
      <c r="F1636" s="42"/>
      <c r="G1636" s="42"/>
      <c r="DN1636" s="191"/>
    </row>
    <row r="1637">
      <c r="A1637" s="15"/>
      <c r="B1637" s="15"/>
      <c r="C1637" s="15"/>
      <c r="D1637" s="42"/>
      <c r="E1637" s="16"/>
      <c r="F1637" s="42"/>
      <c r="G1637" s="42"/>
      <c r="DN1637" s="191"/>
    </row>
    <row r="1638">
      <c r="A1638" s="15"/>
      <c r="B1638" s="15"/>
      <c r="C1638" s="15"/>
      <c r="D1638" s="42"/>
      <c r="E1638" s="16"/>
      <c r="F1638" s="42"/>
      <c r="G1638" s="42"/>
      <c r="DN1638" s="191"/>
    </row>
    <row r="1639">
      <c r="A1639" s="15"/>
      <c r="B1639" s="15"/>
      <c r="C1639" s="15"/>
      <c r="D1639" s="42"/>
      <c r="E1639" s="16"/>
      <c r="F1639" s="42"/>
      <c r="G1639" s="42"/>
      <c r="DN1639" s="191"/>
    </row>
    <row r="1640">
      <c r="A1640" s="15"/>
      <c r="B1640" s="15"/>
      <c r="C1640" s="15"/>
      <c r="D1640" s="42"/>
      <c r="E1640" s="16"/>
      <c r="F1640" s="42"/>
      <c r="G1640" s="42"/>
      <c r="DN1640" s="191"/>
    </row>
    <row r="1641">
      <c r="A1641" s="15"/>
      <c r="B1641" s="15"/>
      <c r="C1641" s="15"/>
      <c r="D1641" s="42"/>
      <c r="E1641" s="16"/>
      <c r="F1641" s="42"/>
      <c r="G1641" s="42"/>
      <c r="DN1641" s="191"/>
    </row>
    <row r="1642">
      <c r="A1642" s="15"/>
      <c r="B1642" s="15"/>
      <c r="C1642" s="15"/>
      <c r="D1642" s="42"/>
      <c r="E1642" s="16"/>
      <c r="F1642" s="42"/>
      <c r="G1642" s="42"/>
      <c r="DN1642" s="191"/>
    </row>
    <row r="1643">
      <c r="A1643" s="15"/>
      <c r="B1643" s="15"/>
      <c r="C1643" s="15"/>
      <c r="D1643" s="42"/>
      <c r="E1643" s="16"/>
      <c r="F1643" s="42"/>
      <c r="G1643" s="42"/>
      <c r="DN1643" s="191"/>
    </row>
    <row r="1644">
      <c r="A1644" s="15"/>
      <c r="B1644" s="15"/>
      <c r="C1644" s="15"/>
      <c r="D1644" s="42"/>
      <c r="E1644" s="16"/>
      <c r="F1644" s="42"/>
      <c r="G1644" s="42"/>
      <c r="DN1644" s="191"/>
    </row>
    <row r="1645">
      <c r="A1645" s="15"/>
      <c r="B1645" s="15"/>
      <c r="C1645" s="15"/>
      <c r="D1645" s="42"/>
      <c r="E1645" s="16"/>
      <c r="F1645" s="42"/>
      <c r="G1645" s="42"/>
      <c r="DN1645" s="191"/>
    </row>
    <row r="1646">
      <c r="A1646" s="15"/>
      <c r="B1646" s="15"/>
      <c r="C1646" s="15"/>
      <c r="D1646" s="42"/>
      <c r="E1646" s="16"/>
      <c r="F1646" s="42"/>
      <c r="G1646" s="42"/>
      <c r="DN1646" s="191"/>
    </row>
    <row r="1647">
      <c r="A1647" s="15"/>
      <c r="B1647" s="15"/>
      <c r="C1647" s="15"/>
      <c r="D1647" s="42"/>
      <c r="E1647" s="16"/>
      <c r="F1647" s="42"/>
      <c r="G1647" s="42"/>
      <c r="DN1647" s="191"/>
    </row>
    <row r="1648">
      <c r="A1648" s="15"/>
      <c r="B1648" s="15"/>
      <c r="C1648" s="15"/>
      <c r="D1648" s="42"/>
      <c r="E1648" s="16"/>
      <c r="F1648" s="42"/>
      <c r="G1648" s="42"/>
      <c r="DN1648" s="191"/>
    </row>
    <row r="1649">
      <c r="A1649" s="15"/>
      <c r="B1649" s="15"/>
      <c r="C1649" s="15"/>
      <c r="D1649" s="42"/>
      <c r="E1649" s="16"/>
      <c r="F1649" s="42"/>
      <c r="G1649" s="42"/>
      <c r="DN1649" s="191"/>
    </row>
    <row r="1650">
      <c r="A1650" s="15"/>
      <c r="B1650" s="15"/>
      <c r="C1650" s="15"/>
      <c r="D1650" s="42"/>
      <c r="E1650" s="16"/>
      <c r="F1650" s="42"/>
      <c r="G1650" s="42"/>
      <c r="DN1650" s="191"/>
    </row>
    <row r="1651">
      <c r="A1651" s="15"/>
      <c r="B1651" s="15"/>
      <c r="C1651" s="15"/>
      <c r="D1651" s="42"/>
      <c r="E1651" s="16"/>
      <c r="F1651" s="42"/>
      <c r="G1651" s="42"/>
      <c r="DN1651" s="191"/>
    </row>
    <row r="1652">
      <c r="A1652" s="15"/>
      <c r="B1652" s="15"/>
      <c r="C1652" s="15"/>
      <c r="D1652" s="42"/>
      <c r="E1652" s="16"/>
      <c r="F1652" s="42"/>
      <c r="G1652" s="42"/>
      <c r="DN1652" s="191"/>
    </row>
    <row r="1653">
      <c r="A1653" s="15"/>
      <c r="B1653" s="15"/>
      <c r="C1653" s="15"/>
      <c r="D1653" s="42"/>
      <c r="E1653" s="16"/>
      <c r="F1653" s="42"/>
      <c r="G1653" s="42"/>
      <c r="DN1653" s="191"/>
    </row>
    <row r="1654">
      <c r="A1654" s="15"/>
      <c r="B1654" s="15"/>
      <c r="C1654" s="15"/>
      <c r="D1654" s="42"/>
      <c r="E1654" s="16"/>
      <c r="F1654" s="42"/>
      <c r="G1654" s="42"/>
      <c r="DN1654" s="191"/>
    </row>
    <row r="1655">
      <c r="A1655" s="15"/>
      <c r="B1655" s="15"/>
      <c r="C1655" s="15"/>
      <c r="D1655" s="42"/>
      <c r="E1655" s="16"/>
      <c r="F1655" s="42"/>
      <c r="G1655" s="42"/>
      <c r="DN1655" s="191"/>
    </row>
    <row r="1656">
      <c r="A1656" s="15"/>
      <c r="B1656" s="15"/>
      <c r="C1656" s="15"/>
      <c r="D1656" s="42"/>
      <c r="E1656" s="16"/>
      <c r="F1656" s="42"/>
      <c r="G1656" s="42"/>
      <c r="DN1656" s="191"/>
    </row>
    <row r="1657">
      <c r="A1657" s="15"/>
      <c r="B1657" s="15"/>
      <c r="C1657" s="15"/>
      <c r="D1657" s="42"/>
      <c r="E1657" s="16"/>
      <c r="F1657" s="42"/>
      <c r="G1657" s="42"/>
      <c r="DN1657" s="191"/>
    </row>
    <row r="1658">
      <c r="A1658" s="15"/>
      <c r="B1658" s="15"/>
      <c r="C1658" s="15"/>
      <c r="D1658" s="42"/>
      <c r="E1658" s="16"/>
      <c r="F1658" s="42"/>
      <c r="G1658" s="42"/>
      <c r="DN1658" s="191"/>
    </row>
    <row r="1659">
      <c r="A1659" s="15"/>
      <c r="B1659" s="15"/>
      <c r="C1659" s="15"/>
      <c r="D1659" s="42"/>
      <c r="E1659" s="16"/>
      <c r="F1659" s="42"/>
      <c r="G1659" s="42"/>
      <c r="DN1659" s="191"/>
    </row>
    <row r="1660">
      <c r="A1660" s="15"/>
      <c r="B1660" s="15"/>
      <c r="C1660" s="15"/>
      <c r="D1660" s="42"/>
      <c r="E1660" s="16"/>
      <c r="F1660" s="42"/>
      <c r="G1660" s="42"/>
      <c r="DN1660" s="191"/>
    </row>
    <row r="1661">
      <c r="A1661" s="15"/>
      <c r="B1661" s="15"/>
      <c r="C1661" s="15"/>
      <c r="D1661" s="42"/>
      <c r="E1661" s="16"/>
      <c r="F1661" s="42"/>
      <c r="G1661" s="42"/>
      <c r="DN1661" s="191"/>
    </row>
    <row r="1662">
      <c r="A1662" s="15"/>
      <c r="B1662" s="15"/>
      <c r="C1662" s="15"/>
      <c r="D1662" s="42"/>
      <c r="E1662" s="16"/>
      <c r="F1662" s="42"/>
      <c r="G1662" s="42"/>
      <c r="DN1662" s="191"/>
    </row>
    <row r="1663">
      <c r="A1663" s="15"/>
      <c r="B1663" s="15"/>
      <c r="C1663" s="15"/>
      <c r="D1663" s="42"/>
      <c r="E1663" s="16"/>
      <c r="F1663" s="42"/>
      <c r="G1663" s="42"/>
      <c r="DN1663" s="191"/>
    </row>
    <row r="1664">
      <c r="A1664" s="15"/>
      <c r="B1664" s="15"/>
      <c r="C1664" s="15"/>
      <c r="D1664" s="42"/>
      <c r="E1664" s="16"/>
      <c r="F1664" s="42"/>
      <c r="G1664" s="42"/>
      <c r="DN1664" s="191"/>
    </row>
    <row r="1665">
      <c r="A1665" s="15"/>
      <c r="B1665" s="15"/>
      <c r="C1665" s="15"/>
      <c r="D1665" s="42"/>
      <c r="E1665" s="16"/>
      <c r="F1665" s="42"/>
      <c r="G1665" s="42"/>
      <c r="DN1665" s="191"/>
    </row>
    <row r="1666">
      <c r="A1666" s="15"/>
      <c r="B1666" s="15"/>
      <c r="C1666" s="15"/>
      <c r="D1666" s="42"/>
      <c r="E1666" s="16"/>
      <c r="F1666" s="42"/>
      <c r="G1666" s="42"/>
      <c r="DN1666" s="191"/>
    </row>
    <row r="1667">
      <c r="A1667" s="15"/>
      <c r="B1667" s="15"/>
      <c r="C1667" s="15"/>
      <c r="D1667" s="42"/>
      <c r="E1667" s="16"/>
      <c r="F1667" s="42"/>
      <c r="G1667" s="42"/>
      <c r="DN1667" s="191"/>
    </row>
    <row r="1668">
      <c r="A1668" s="15"/>
      <c r="B1668" s="15"/>
      <c r="C1668" s="15"/>
      <c r="D1668" s="42"/>
      <c r="E1668" s="16"/>
      <c r="F1668" s="42"/>
      <c r="G1668" s="42"/>
      <c r="DN1668" s="191"/>
    </row>
    <row r="1669">
      <c r="A1669" s="15"/>
      <c r="B1669" s="15"/>
      <c r="C1669" s="15"/>
      <c r="D1669" s="42"/>
      <c r="E1669" s="16"/>
      <c r="F1669" s="42"/>
      <c r="G1669" s="42"/>
      <c r="DN1669" s="191"/>
    </row>
    <row r="1670">
      <c r="A1670" s="15"/>
      <c r="B1670" s="15"/>
      <c r="C1670" s="15"/>
      <c r="D1670" s="42"/>
      <c r="E1670" s="16"/>
      <c r="F1670" s="42"/>
      <c r="G1670" s="42"/>
      <c r="DN1670" s="191"/>
    </row>
    <row r="1671">
      <c r="A1671" s="15"/>
      <c r="B1671" s="15"/>
      <c r="C1671" s="15"/>
      <c r="D1671" s="42"/>
      <c r="E1671" s="16"/>
      <c r="F1671" s="42"/>
      <c r="G1671" s="42"/>
      <c r="DN1671" s="191"/>
    </row>
    <row r="1672">
      <c r="A1672" s="15"/>
      <c r="B1672" s="15"/>
      <c r="C1672" s="15"/>
      <c r="D1672" s="42"/>
      <c r="E1672" s="16"/>
      <c r="F1672" s="42"/>
      <c r="G1672" s="42"/>
      <c r="DN1672" s="191"/>
    </row>
    <row r="1673">
      <c r="A1673" s="15"/>
      <c r="B1673" s="15"/>
      <c r="C1673" s="15"/>
      <c r="D1673" s="42"/>
      <c r="E1673" s="16"/>
      <c r="F1673" s="42"/>
      <c r="G1673" s="42"/>
      <c r="DN1673" s="191"/>
    </row>
    <row r="1674">
      <c r="A1674" s="15"/>
      <c r="B1674" s="15"/>
      <c r="C1674" s="15"/>
      <c r="D1674" s="42"/>
      <c r="E1674" s="16"/>
      <c r="F1674" s="42"/>
      <c r="G1674" s="42"/>
      <c r="DN1674" s="191"/>
    </row>
    <row r="1675">
      <c r="A1675" s="15"/>
      <c r="B1675" s="15"/>
      <c r="C1675" s="15"/>
      <c r="D1675" s="42"/>
      <c r="E1675" s="16"/>
      <c r="F1675" s="42"/>
      <c r="G1675" s="42"/>
      <c r="DN1675" s="191"/>
    </row>
    <row r="1676">
      <c r="A1676" s="15"/>
      <c r="B1676" s="15"/>
      <c r="C1676" s="15"/>
      <c r="D1676" s="42"/>
      <c r="E1676" s="16"/>
      <c r="F1676" s="42"/>
      <c r="G1676" s="42"/>
      <c r="DN1676" s="191"/>
    </row>
    <row r="1677">
      <c r="A1677" s="15"/>
      <c r="B1677" s="15"/>
      <c r="C1677" s="15"/>
      <c r="D1677" s="42"/>
      <c r="E1677" s="16"/>
      <c r="F1677" s="42"/>
      <c r="G1677" s="42"/>
      <c r="DN1677" s="191"/>
    </row>
    <row r="1678">
      <c r="A1678" s="15"/>
      <c r="B1678" s="15"/>
      <c r="C1678" s="15"/>
      <c r="D1678" s="42"/>
      <c r="E1678" s="16"/>
      <c r="F1678" s="42"/>
      <c r="G1678" s="42"/>
      <c r="DN1678" s="191"/>
    </row>
    <row r="1679">
      <c r="A1679" s="15"/>
      <c r="B1679" s="15"/>
      <c r="C1679" s="15"/>
      <c r="D1679" s="42"/>
      <c r="E1679" s="16"/>
      <c r="F1679" s="42"/>
      <c r="G1679" s="42"/>
      <c r="DN1679" s="191"/>
    </row>
    <row r="1680">
      <c r="A1680" s="15"/>
      <c r="B1680" s="15"/>
      <c r="C1680" s="15"/>
      <c r="D1680" s="42"/>
      <c r="E1680" s="16"/>
      <c r="F1680" s="42"/>
      <c r="G1680" s="42"/>
      <c r="DN1680" s="191"/>
    </row>
    <row r="1681">
      <c r="A1681" s="15"/>
      <c r="B1681" s="15"/>
      <c r="C1681" s="15"/>
      <c r="D1681" s="42"/>
      <c r="E1681" s="16"/>
      <c r="F1681" s="42"/>
      <c r="G1681" s="42"/>
      <c r="DN1681" s="191"/>
    </row>
    <row r="1682">
      <c r="A1682" s="15"/>
      <c r="B1682" s="15"/>
      <c r="C1682" s="15"/>
      <c r="D1682" s="42"/>
      <c r="E1682" s="16"/>
      <c r="F1682" s="42"/>
      <c r="G1682" s="42"/>
      <c r="DN1682" s="191"/>
    </row>
    <row r="1683">
      <c r="A1683" s="15"/>
      <c r="B1683" s="15"/>
      <c r="C1683" s="15"/>
      <c r="D1683" s="42"/>
      <c r="E1683" s="16"/>
      <c r="F1683" s="42"/>
      <c r="G1683" s="42"/>
      <c r="DN1683" s="191"/>
    </row>
    <row r="1684">
      <c r="A1684" s="15"/>
      <c r="B1684" s="15"/>
      <c r="C1684" s="15"/>
      <c r="D1684" s="42"/>
      <c r="E1684" s="16"/>
      <c r="F1684" s="42"/>
      <c r="G1684" s="42"/>
      <c r="DN1684" s="191"/>
    </row>
    <row r="1685">
      <c r="A1685" s="15"/>
      <c r="B1685" s="15"/>
      <c r="C1685" s="15"/>
      <c r="D1685" s="42"/>
      <c r="E1685" s="16"/>
      <c r="F1685" s="42"/>
      <c r="G1685" s="42"/>
      <c r="DN1685" s="191"/>
    </row>
    <row r="1686">
      <c r="A1686" s="15"/>
      <c r="B1686" s="15"/>
      <c r="C1686" s="15"/>
      <c r="D1686" s="42"/>
      <c r="E1686" s="16"/>
      <c r="F1686" s="42"/>
      <c r="G1686" s="42"/>
      <c r="DN1686" s="191"/>
    </row>
    <row r="1687">
      <c r="A1687" s="15"/>
      <c r="B1687" s="15"/>
      <c r="C1687" s="15"/>
      <c r="D1687" s="42"/>
      <c r="E1687" s="16"/>
      <c r="F1687" s="42"/>
      <c r="G1687" s="42"/>
      <c r="DN1687" s="191"/>
    </row>
    <row r="1688">
      <c r="A1688" s="15"/>
      <c r="B1688" s="15"/>
      <c r="C1688" s="15"/>
      <c r="D1688" s="42"/>
      <c r="E1688" s="16"/>
      <c r="F1688" s="42"/>
      <c r="G1688" s="42"/>
      <c r="DN1688" s="191"/>
    </row>
    <row r="1689">
      <c r="A1689" s="15"/>
      <c r="B1689" s="15"/>
      <c r="C1689" s="15"/>
      <c r="D1689" s="42"/>
      <c r="E1689" s="16"/>
      <c r="F1689" s="42"/>
      <c r="G1689" s="42"/>
      <c r="DN1689" s="191"/>
    </row>
    <row r="1690">
      <c r="A1690" s="15"/>
      <c r="B1690" s="15"/>
      <c r="C1690" s="15"/>
      <c r="D1690" s="42"/>
      <c r="E1690" s="16"/>
      <c r="F1690" s="42"/>
      <c r="G1690" s="42"/>
      <c r="DN1690" s="191"/>
    </row>
    <row r="1691">
      <c r="A1691" s="15"/>
      <c r="B1691" s="15"/>
      <c r="C1691" s="15"/>
      <c r="D1691" s="42"/>
      <c r="E1691" s="16"/>
      <c r="F1691" s="42"/>
      <c r="G1691" s="42"/>
      <c r="DN1691" s="191"/>
    </row>
    <row r="1692">
      <c r="A1692" s="15"/>
      <c r="B1692" s="15"/>
      <c r="C1692" s="15"/>
      <c r="D1692" s="42"/>
      <c r="E1692" s="16"/>
      <c r="F1692" s="42"/>
      <c r="G1692" s="42"/>
      <c r="DN1692" s="191"/>
    </row>
    <row r="1693">
      <c r="A1693" s="15"/>
      <c r="B1693" s="15"/>
      <c r="C1693" s="15"/>
      <c r="D1693" s="42"/>
      <c r="E1693" s="16"/>
      <c r="F1693" s="42"/>
      <c r="G1693" s="42"/>
      <c r="DN1693" s="191"/>
    </row>
    <row r="1694">
      <c r="A1694" s="15"/>
      <c r="B1694" s="15"/>
      <c r="C1694" s="15"/>
      <c r="D1694" s="42"/>
      <c r="E1694" s="16"/>
      <c r="F1694" s="42"/>
      <c r="G1694" s="42"/>
      <c r="DN1694" s="191"/>
    </row>
    <row r="1695">
      <c r="A1695" s="15"/>
      <c r="B1695" s="15"/>
      <c r="C1695" s="15"/>
      <c r="D1695" s="42"/>
      <c r="E1695" s="16"/>
      <c r="F1695" s="42"/>
      <c r="G1695" s="42"/>
      <c r="DN1695" s="191"/>
    </row>
    <row r="1696">
      <c r="A1696" s="15"/>
      <c r="B1696" s="15"/>
      <c r="C1696" s="15"/>
      <c r="D1696" s="42"/>
      <c r="E1696" s="16"/>
      <c r="F1696" s="42"/>
      <c r="G1696" s="42"/>
      <c r="DN1696" s="191"/>
    </row>
    <row r="1697">
      <c r="A1697" s="15"/>
      <c r="B1697" s="15"/>
      <c r="C1697" s="15"/>
      <c r="D1697" s="42"/>
      <c r="E1697" s="16"/>
      <c r="F1697" s="42"/>
      <c r="G1697" s="42"/>
      <c r="DN1697" s="191"/>
    </row>
    <row r="1698">
      <c r="A1698" s="15"/>
      <c r="B1698" s="15"/>
      <c r="C1698" s="15"/>
      <c r="D1698" s="42"/>
      <c r="E1698" s="16"/>
      <c r="F1698" s="42"/>
      <c r="G1698" s="42"/>
      <c r="DN1698" s="191"/>
    </row>
    <row r="1699">
      <c r="A1699" s="15"/>
      <c r="B1699" s="15"/>
      <c r="C1699" s="15"/>
      <c r="D1699" s="42"/>
      <c r="E1699" s="16"/>
      <c r="F1699" s="42"/>
      <c r="G1699" s="42"/>
      <c r="DN1699" s="191"/>
    </row>
    <row r="1700">
      <c r="A1700" s="15"/>
      <c r="B1700" s="15"/>
      <c r="C1700" s="15"/>
      <c r="D1700" s="42"/>
      <c r="E1700" s="16"/>
      <c r="F1700" s="42"/>
      <c r="G1700" s="42"/>
      <c r="DN1700" s="191"/>
    </row>
    <row r="1701">
      <c r="A1701" s="15"/>
      <c r="B1701" s="15"/>
      <c r="C1701" s="15"/>
      <c r="D1701" s="42"/>
      <c r="E1701" s="16"/>
      <c r="F1701" s="42"/>
      <c r="G1701" s="42"/>
      <c r="DN1701" s="191"/>
    </row>
    <row r="1702">
      <c r="A1702" s="15"/>
      <c r="B1702" s="15"/>
      <c r="C1702" s="15"/>
      <c r="D1702" s="42"/>
      <c r="E1702" s="16"/>
      <c r="F1702" s="42"/>
      <c r="G1702" s="42"/>
      <c r="DN1702" s="191"/>
    </row>
    <row r="1703">
      <c r="A1703" s="15"/>
      <c r="B1703" s="15"/>
      <c r="C1703" s="15"/>
      <c r="D1703" s="42"/>
      <c r="E1703" s="16"/>
      <c r="F1703" s="42"/>
      <c r="G1703" s="42"/>
      <c r="DN1703" s="191"/>
    </row>
    <row r="1704">
      <c r="A1704" s="15"/>
      <c r="B1704" s="15"/>
      <c r="C1704" s="15"/>
      <c r="D1704" s="42"/>
      <c r="E1704" s="16"/>
      <c r="F1704" s="42"/>
      <c r="G1704" s="42"/>
      <c r="DN1704" s="191"/>
    </row>
    <row r="1705">
      <c r="A1705" s="15"/>
      <c r="B1705" s="15"/>
      <c r="C1705" s="15"/>
      <c r="D1705" s="42"/>
      <c r="E1705" s="16"/>
      <c r="F1705" s="42"/>
      <c r="G1705" s="42"/>
      <c r="DN1705" s="191"/>
    </row>
    <row r="1706">
      <c r="A1706" s="15"/>
      <c r="B1706" s="15"/>
      <c r="C1706" s="15"/>
      <c r="D1706" s="42"/>
      <c r="E1706" s="16"/>
      <c r="F1706" s="42"/>
      <c r="G1706" s="42"/>
      <c r="DN1706" s="191"/>
    </row>
    <row r="1707">
      <c r="A1707" s="15"/>
      <c r="B1707" s="15"/>
      <c r="C1707" s="15"/>
      <c r="D1707" s="42"/>
      <c r="E1707" s="16"/>
      <c r="F1707" s="42"/>
      <c r="G1707" s="42"/>
      <c r="DN1707" s="191"/>
    </row>
    <row r="1708">
      <c r="A1708" s="15"/>
      <c r="B1708" s="15"/>
      <c r="C1708" s="15"/>
      <c r="D1708" s="42"/>
      <c r="E1708" s="16"/>
      <c r="F1708" s="42"/>
      <c r="G1708" s="42"/>
      <c r="DN1708" s="191"/>
    </row>
    <row r="1709">
      <c r="A1709" s="15"/>
      <c r="B1709" s="15"/>
      <c r="C1709" s="15"/>
      <c r="D1709" s="42"/>
      <c r="E1709" s="16"/>
      <c r="F1709" s="42"/>
      <c r="G1709" s="42"/>
      <c r="DN1709" s="191"/>
    </row>
    <row r="1710">
      <c r="A1710" s="15"/>
      <c r="B1710" s="15"/>
      <c r="C1710" s="15"/>
      <c r="D1710" s="42"/>
      <c r="E1710" s="16"/>
      <c r="F1710" s="42"/>
      <c r="G1710" s="42"/>
      <c r="DN1710" s="191"/>
    </row>
    <row r="1711">
      <c r="A1711" s="15"/>
      <c r="B1711" s="15"/>
      <c r="C1711" s="15"/>
      <c r="D1711" s="42"/>
      <c r="E1711" s="16"/>
      <c r="F1711" s="42"/>
      <c r="G1711" s="42"/>
      <c r="DN1711" s="191"/>
    </row>
    <row r="1712">
      <c r="A1712" s="15"/>
      <c r="B1712" s="15"/>
      <c r="C1712" s="15"/>
      <c r="D1712" s="42"/>
      <c r="E1712" s="16"/>
      <c r="F1712" s="42"/>
      <c r="G1712" s="42"/>
      <c r="DN1712" s="191"/>
    </row>
    <row r="1713">
      <c r="A1713" s="15"/>
      <c r="B1713" s="15"/>
      <c r="C1713" s="15"/>
      <c r="D1713" s="42"/>
      <c r="E1713" s="16"/>
      <c r="F1713" s="42"/>
      <c r="G1713" s="42"/>
      <c r="DN1713" s="191"/>
    </row>
    <row r="1714">
      <c r="A1714" s="15"/>
      <c r="B1714" s="15"/>
      <c r="C1714" s="15"/>
      <c r="D1714" s="42"/>
      <c r="E1714" s="16"/>
      <c r="F1714" s="42"/>
      <c r="G1714" s="42"/>
      <c r="DN1714" s="191"/>
    </row>
    <row r="1715">
      <c r="A1715" s="15"/>
      <c r="B1715" s="15"/>
      <c r="C1715" s="15"/>
      <c r="D1715" s="42"/>
      <c r="E1715" s="16"/>
      <c r="F1715" s="42"/>
      <c r="G1715" s="42"/>
      <c r="DN1715" s="191"/>
    </row>
    <row r="1716">
      <c r="A1716" s="15"/>
      <c r="B1716" s="15"/>
      <c r="C1716" s="15"/>
      <c r="D1716" s="42"/>
      <c r="E1716" s="16"/>
      <c r="F1716" s="42"/>
      <c r="G1716" s="42"/>
      <c r="DN1716" s="191"/>
    </row>
    <row r="1717">
      <c r="A1717" s="15"/>
      <c r="B1717" s="15"/>
      <c r="C1717" s="15"/>
      <c r="D1717" s="42"/>
      <c r="E1717" s="16"/>
      <c r="F1717" s="42"/>
      <c r="G1717" s="42"/>
      <c r="DN1717" s="191"/>
    </row>
    <row r="1718">
      <c r="A1718" s="15"/>
      <c r="B1718" s="15"/>
      <c r="C1718" s="15"/>
      <c r="D1718" s="42"/>
      <c r="E1718" s="16"/>
      <c r="F1718" s="42"/>
      <c r="G1718" s="42"/>
      <c r="DN1718" s="191"/>
    </row>
    <row r="1719">
      <c r="A1719" s="15"/>
      <c r="B1719" s="15"/>
      <c r="C1719" s="15"/>
      <c r="D1719" s="42"/>
      <c r="E1719" s="16"/>
      <c r="F1719" s="42"/>
      <c r="G1719" s="42"/>
      <c r="DN1719" s="191"/>
    </row>
    <row r="1720">
      <c r="A1720" s="15"/>
      <c r="B1720" s="15"/>
      <c r="C1720" s="15"/>
      <c r="D1720" s="42"/>
      <c r="E1720" s="16"/>
      <c r="F1720" s="42"/>
      <c r="G1720" s="42"/>
      <c r="DN1720" s="191"/>
    </row>
    <row r="1721">
      <c r="A1721" s="15"/>
      <c r="B1721" s="15"/>
      <c r="C1721" s="15"/>
      <c r="D1721" s="42"/>
      <c r="E1721" s="16"/>
      <c r="F1721" s="42"/>
      <c r="G1721" s="42"/>
      <c r="DN1721" s="191"/>
    </row>
    <row r="1722">
      <c r="A1722" s="15"/>
      <c r="B1722" s="15"/>
      <c r="C1722" s="15"/>
      <c r="D1722" s="42"/>
      <c r="E1722" s="16"/>
      <c r="F1722" s="42"/>
      <c r="G1722" s="42"/>
      <c r="DN1722" s="191"/>
    </row>
    <row r="1723">
      <c r="A1723" s="15"/>
      <c r="B1723" s="15"/>
      <c r="C1723" s="15"/>
      <c r="D1723" s="42"/>
      <c r="E1723" s="16"/>
      <c r="F1723" s="42"/>
      <c r="G1723" s="42"/>
      <c r="DN1723" s="191"/>
    </row>
    <row r="1724">
      <c r="A1724" s="15"/>
      <c r="B1724" s="15"/>
      <c r="C1724" s="15"/>
      <c r="D1724" s="42"/>
      <c r="E1724" s="16"/>
      <c r="F1724" s="42"/>
      <c r="G1724" s="42"/>
      <c r="DN1724" s="191"/>
    </row>
    <row r="1725">
      <c r="A1725" s="15"/>
      <c r="B1725" s="15"/>
      <c r="C1725" s="15"/>
      <c r="D1725" s="42"/>
      <c r="E1725" s="16"/>
      <c r="F1725" s="42"/>
      <c r="G1725" s="42"/>
      <c r="DN1725" s="191"/>
    </row>
    <row r="1726">
      <c r="A1726" s="15"/>
      <c r="B1726" s="15"/>
      <c r="C1726" s="15"/>
      <c r="D1726" s="42"/>
      <c r="E1726" s="16"/>
      <c r="F1726" s="42"/>
      <c r="G1726" s="42"/>
      <c r="DN1726" s="191"/>
    </row>
    <row r="1727">
      <c r="A1727" s="15"/>
      <c r="B1727" s="15"/>
      <c r="C1727" s="15"/>
      <c r="D1727" s="42"/>
      <c r="E1727" s="16"/>
      <c r="F1727" s="42"/>
      <c r="G1727" s="42"/>
      <c r="DN1727" s="191"/>
    </row>
    <row r="1728">
      <c r="A1728" s="15"/>
      <c r="B1728" s="15"/>
      <c r="C1728" s="15"/>
      <c r="D1728" s="42"/>
      <c r="E1728" s="16"/>
      <c r="F1728" s="42"/>
      <c r="G1728" s="42"/>
      <c r="DN1728" s="191"/>
    </row>
    <row r="1729">
      <c r="A1729" s="15"/>
      <c r="B1729" s="15"/>
      <c r="C1729" s="15"/>
      <c r="D1729" s="42"/>
      <c r="E1729" s="16"/>
      <c r="F1729" s="42"/>
      <c r="G1729" s="42"/>
      <c r="DN1729" s="191"/>
    </row>
    <row r="1730">
      <c r="A1730" s="15"/>
      <c r="B1730" s="15"/>
      <c r="C1730" s="15"/>
      <c r="D1730" s="42"/>
      <c r="E1730" s="16"/>
      <c r="F1730" s="42"/>
      <c r="G1730" s="42"/>
      <c r="DN1730" s="191"/>
    </row>
    <row r="1731">
      <c r="A1731" s="15"/>
      <c r="B1731" s="15"/>
      <c r="C1731" s="15"/>
      <c r="D1731" s="42"/>
      <c r="E1731" s="16"/>
      <c r="F1731" s="42"/>
      <c r="G1731" s="42"/>
      <c r="DN1731" s="191"/>
    </row>
    <row r="1732">
      <c r="A1732" s="15"/>
      <c r="B1732" s="15"/>
      <c r="C1732" s="15"/>
      <c r="D1732" s="42"/>
      <c r="E1732" s="16"/>
      <c r="F1732" s="42"/>
      <c r="G1732" s="42"/>
      <c r="DN1732" s="191"/>
    </row>
    <row r="1733">
      <c r="A1733" s="15"/>
      <c r="B1733" s="15"/>
      <c r="C1733" s="15"/>
      <c r="D1733" s="42"/>
      <c r="E1733" s="16"/>
      <c r="F1733" s="42"/>
      <c r="G1733" s="42"/>
      <c r="DN1733" s="191"/>
    </row>
    <row r="1734">
      <c r="A1734" s="15"/>
      <c r="B1734" s="15"/>
      <c r="C1734" s="15"/>
      <c r="D1734" s="42"/>
      <c r="E1734" s="16"/>
      <c r="F1734" s="42"/>
      <c r="G1734" s="42"/>
      <c r="DN1734" s="191"/>
    </row>
    <row r="1735">
      <c r="A1735" s="15"/>
      <c r="B1735" s="15"/>
      <c r="C1735" s="15"/>
      <c r="D1735" s="42"/>
      <c r="E1735" s="16"/>
      <c r="F1735" s="42"/>
      <c r="G1735" s="42"/>
      <c r="DN1735" s="191"/>
    </row>
    <row r="1736">
      <c r="A1736" s="15"/>
      <c r="B1736" s="15"/>
      <c r="C1736" s="15"/>
      <c r="D1736" s="42"/>
      <c r="E1736" s="16"/>
      <c r="F1736" s="42"/>
      <c r="G1736" s="42"/>
      <c r="DN1736" s="191"/>
    </row>
    <row r="1737">
      <c r="A1737" s="15"/>
      <c r="B1737" s="15"/>
      <c r="C1737" s="15"/>
      <c r="D1737" s="42"/>
      <c r="E1737" s="16"/>
      <c r="F1737" s="42"/>
      <c r="G1737" s="42"/>
      <c r="DN1737" s="191"/>
    </row>
    <row r="1738">
      <c r="A1738" s="15"/>
      <c r="B1738" s="15"/>
      <c r="C1738" s="15"/>
      <c r="D1738" s="42"/>
      <c r="E1738" s="16"/>
      <c r="F1738" s="42"/>
      <c r="G1738" s="42"/>
      <c r="DN1738" s="191"/>
    </row>
    <row r="1739">
      <c r="A1739" s="15"/>
      <c r="B1739" s="15"/>
      <c r="C1739" s="15"/>
      <c r="D1739" s="42"/>
      <c r="E1739" s="16"/>
      <c r="F1739" s="42"/>
      <c r="G1739" s="42"/>
      <c r="DN1739" s="191"/>
    </row>
    <row r="1740">
      <c r="A1740" s="15"/>
      <c r="B1740" s="15"/>
      <c r="C1740" s="15"/>
      <c r="D1740" s="42"/>
      <c r="E1740" s="16"/>
      <c r="F1740" s="42"/>
      <c r="G1740" s="42"/>
      <c r="DN1740" s="191"/>
    </row>
    <row r="1741">
      <c r="A1741" s="15"/>
      <c r="B1741" s="15"/>
      <c r="C1741" s="15"/>
      <c r="D1741" s="42"/>
      <c r="E1741" s="16"/>
      <c r="F1741" s="42"/>
      <c r="G1741" s="42"/>
      <c r="DN1741" s="191"/>
    </row>
    <row r="1742">
      <c r="A1742" s="15"/>
      <c r="B1742" s="15"/>
      <c r="C1742" s="15"/>
      <c r="D1742" s="42"/>
      <c r="E1742" s="16"/>
      <c r="F1742" s="42"/>
      <c r="G1742" s="42"/>
      <c r="DN1742" s="191"/>
    </row>
    <row r="1743">
      <c r="A1743" s="15"/>
      <c r="B1743" s="15"/>
      <c r="C1743" s="15"/>
      <c r="D1743" s="42"/>
      <c r="E1743" s="16"/>
      <c r="F1743" s="42"/>
      <c r="G1743" s="42"/>
      <c r="DN1743" s="191"/>
    </row>
    <row r="1744">
      <c r="A1744" s="15"/>
      <c r="B1744" s="15"/>
      <c r="C1744" s="15"/>
      <c r="D1744" s="42"/>
      <c r="E1744" s="16"/>
      <c r="F1744" s="42"/>
      <c r="G1744" s="42"/>
      <c r="DN1744" s="191"/>
    </row>
    <row r="1745">
      <c r="A1745" s="15"/>
      <c r="B1745" s="15"/>
      <c r="C1745" s="15"/>
      <c r="D1745" s="42"/>
      <c r="E1745" s="16"/>
      <c r="F1745" s="42"/>
      <c r="G1745" s="42"/>
      <c r="DN1745" s="191"/>
    </row>
    <row r="1746">
      <c r="A1746" s="15"/>
      <c r="B1746" s="15"/>
      <c r="C1746" s="15"/>
      <c r="D1746" s="42"/>
      <c r="E1746" s="16"/>
      <c r="F1746" s="42"/>
      <c r="G1746" s="42"/>
      <c r="DN1746" s="191"/>
    </row>
    <row r="1747">
      <c r="A1747" s="15"/>
      <c r="B1747" s="15"/>
      <c r="C1747" s="15"/>
      <c r="D1747" s="42"/>
      <c r="E1747" s="16"/>
      <c r="F1747" s="42"/>
      <c r="G1747" s="42"/>
      <c r="DN1747" s="191"/>
    </row>
    <row r="1748">
      <c r="A1748" s="15"/>
      <c r="B1748" s="15"/>
      <c r="C1748" s="15"/>
      <c r="D1748" s="42"/>
      <c r="E1748" s="16"/>
      <c r="F1748" s="42"/>
      <c r="G1748" s="42"/>
      <c r="DN1748" s="191"/>
    </row>
    <row r="1749">
      <c r="A1749" s="15"/>
      <c r="B1749" s="15"/>
      <c r="C1749" s="15"/>
      <c r="D1749" s="42"/>
      <c r="E1749" s="16"/>
      <c r="F1749" s="42"/>
      <c r="G1749" s="42"/>
      <c r="DN1749" s="191"/>
    </row>
    <row r="1750">
      <c r="A1750" s="15"/>
      <c r="B1750" s="15"/>
      <c r="C1750" s="15"/>
      <c r="D1750" s="42"/>
      <c r="E1750" s="16"/>
      <c r="F1750" s="42"/>
      <c r="G1750" s="42"/>
      <c r="DN1750" s="191"/>
    </row>
    <row r="1751">
      <c r="A1751" s="15"/>
      <c r="B1751" s="15"/>
      <c r="C1751" s="15"/>
      <c r="D1751" s="42"/>
      <c r="E1751" s="16"/>
      <c r="F1751" s="42"/>
      <c r="G1751" s="42"/>
      <c r="DN1751" s="191"/>
    </row>
    <row r="1752">
      <c r="A1752" s="15"/>
      <c r="B1752" s="15"/>
      <c r="C1752" s="15"/>
      <c r="D1752" s="42"/>
      <c r="E1752" s="16"/>
      <c r="F1752" s="42"/>
      <c r="G1752" s="42"/>
      <c r="DN1752" s="191"/>
    </row>
    <row r="1753">
      <c r="A1753" s="15"/>
      <c r="B1753" s="15"/>
      <c r="C1753" s="15"/>
      <c r="D1753" s="42"/>
      <c r="E1753" s="16"/>
      <c r="F1753" s="42"/>
      <c r="G1753" s="42"/>
      <c r="DN1753" s="191"/>
    </row>
    <row r="1754">
      <c r="A1754" s="15"/>
      <c r="B1754" s="15"/>
      <c r="C1754" s="15"/>
      <c r="D1754" s="42"/>
      <c r="E1754" s="16"/>
      <c r="F1754" s="42"/>
      <c r="G1754" s="42"/>
      <c r="DN1754" s="191"/>
    </row>
    <row r="1755">
      <c r="A1755" s="15"/>
      <c r="B1755" s="15"/>
      <c r="C1755" s="15"/>
      <c r="D1755" s="42"/>
      <c r="E1755" s="16"/>
      <c r="F1755" s="42"/>
      <c r="G1755" s="42"/>
      <c r="DN1755" s="191"/>
    </row>
    <row r="1756">
      <c r="A1756" s="15"/>
      <c r="B1756" s="15"/>
      <c r="C1756" s="15"/>
      <c r="D1756" s="42"/>
      <c r="E1756" s="16"/>
      <c r="F1756" s="42"/>
      <c r="G1756" s="42"/>
      <c r="DN1756" s="191"/>
    </row>
    <row r="1757">
      <c r="A1757" s="15"/>
      <c r="B1757" s="15"/>
      <c r="C1757" s="15"/>
      <c r="D1757" s="42"/>
      <c r="E1757" s="16"/>
      <c r="F1757" s="42"/>
      <c r="G1757" s="42"/>
      <c r="DN1757" s="191"/>
    </row>
    <row r="1758">
      <c r="A1758" s="15"/>
      <c r="B1758" s="15"/>
      <c r="C1758" s="15"/>
      <c r="D1758" s="42"/>
      <c r="E1758" s="16"/>
      <c r="F1758" s="42"/>
      <c r="G1758" s="42"/>
      <c r="DN1758" s="191"/>
    </row>
    <row r="1759">
      <c r="A1759" s="15"/>
      <c r="B1759" s="15"/>
      <c r="C1759" s="15"/>
      <c r="D1759" s="42"/>
      <c r="E1759" s="16"/>
      <c r="F1759" s="42"/>
      <c r="G1759" s="42"/>
      <c r="DN1759" s="191"/>
    </row>
    <row r="1760">
      <c r="A1760" s="15"/>
      <c r="B1760" s="15"/>
      <c r="C1760" s="15"/>
      <c r="D1760" s="42"/>
      <c r="E1760" s="16"/>
      <c r="F1760" s="42"/>
      <c r="G1760" s="42"/>
      <c r="DN1760" s="191"/>
    </row>
    <row r="1761">
      <c r="A1761" s="15"/>
      <c r="B1761" s="15"/>
      <c r="C1761" s="15"/>
      <c r="D1761" s="42"/>
      <c r="E1761" s="16"/>
      <c r="F1761" s="42"/>
      <c r="G1761" s="42"/>
      <c r="DN1761" s="191"/>
    </row>
    <row r="1762">
      <c r="A1762" s="15"/>
      <c r="B1762" s="15"/>
      <c r="C1762" s="15"/>
      <c r="D1762" s="42"/>
      <c r="E1762" s="16"/>
      <c r="F1762" s="42"/>
      <c r="G1762" s="42"/>
      <c r="DN1762" s="191"/>
    </row>
    <row r="1763">
      <c r="A1763" s="15"/>
      <c r="B1763" s="15"/>
      <c r="C1763" s="15"/>
      <c r="D1763" s="42"/>
      <c r="E1763" s="16"/>
      <c r="F1763" s="42"/>
      <c r="G1763" s="42"/>
      <c r="DN1763" s="191"/>
    </row>
    <row r="1764">
      <c r="A1764" s="15"/>
      <c r="B1764" s="15"/>
      <c r="C1764" s="15"/>
      <c r="D1764" s="42"/>
      <c r="E1764" s="16"/>
      <c r="F1764" s="42"/>
      <c r="G1764" s="42"/>
      <c r="DN1764" s="191"/>
    </row>
    <row r="1765">
      <c r="A1765" s="15"/>
      <c r="B1765" s="15"/>
      <c r="C1765" s="15"/>
      <c r="D1765" s="42"/>
      <c r="E1765" s="16"/>
      <c r="F1765" s="42"/>
      <c r="G1765" s="42"/>
      <c r="DN1765" s="191"/>
    </row>
    <row r="1766">
      <c r="A1766" s="15"/>
      <c r="B1766" s="15"/>
      <c r="C1766" s="15"/>
      <c r="D1766" s="42"/>
      <c r="E1766" s="16"/>
      <c r="F1766" s="42"/>
      <c r="G1766" s="42"/>
      <c r="DN1766" s="191"/>
    </row>
    <row r="1767">
      <c r="A1767" s="15"/>
      <c r="B1767" s="15"/>
      <c r="C1767" s="15"/>
      <c r="D1767" s="42"/>
      <c r="E1767" s="16"/>
      <c r="F1767" s="42"/>
      <c r="G1767" s="42"/>
      <c r="DN1767" s="191"/>
    </row>
    <row r="1768">
      <c r="A1768" s="15"/>
      <c r="B1768" s="15"/>
      <c r="C1768" s="15"/>
      <c r="D1768" s="42"/>
      <c r="E1768" s="16"/>
      <c r="F1768" s="42"/>
      <c r="G1768" s="42"/>
      <c r="DN1768" s="191"/>
    </row>
    <row r="1769">
      <c r="A1769" s="15"/>
      <c r="B1769" s="15"/>
      <c r="C1769" s="15"/>
      <c r="D1769" s="42"/>
      <c r="E1769" s="16"/>
      <c r="F1769" s="42"/>
      <c r="G1769" s="42"/>
      <c r="DN1769" s="191"/>
    </row>
    <row r="1770">
      <c r="A1770" s="15"/>
      <c r="B1770" s="15"/>
      <c r="C1770" s="15"/>
      <c r="D1770" s="42"/>
      <c r="E1770" s="16"/>
      <c r="F1770" s="42"/>
      <c r="G1770" s="42"/>
      <c r="DN1770" s="191"/>
    </row>
    <row r="1771">
      <c r="A1771" s="15"/>
      <c r="B1771" s="15"/>
      <c r="C1771" s="15"/>
      <c r="D1771" s="42"/>
      <c r="E1771" s="16"/>
      <c r="F1771" s="42"/>
      <c r="G1771" s="42"/>
      <c r="DN1771" s="191"/>
    </row>
    <row r="1772">
      <c r="A1772" s="15"/>
      <c r="B1772" s="15"/>
      <c r="C1772" s="15"/>
      <c r="D1772" s="42"/>
      <c r="E1772" s="16"/>
      <c r="F1772" s="42"/>
      <c r="G1772" s="42"/>
      <c r="DN1772" s="191"/>
    </row>
    <row r="1773">
      <c r="A1773" s="15"/>
      <c r="B1773" s="15"/>
      <c r="C1773" s="15"/>
      <c r="D1773" s="42"/>
      <c r="E1773" s="16"/>
      <c r="F1773" s="42"/>
      <c r="G1773" s="42"/>
      <c r="DN1773" s="191"/>
    </row>
    <row r="1774">
      <c r="A1774" s="15"/>
      <c r="B1774" s="15"/>
      <c r="C1774" s="15"/>
      <c r="D1774" s="42"/>
      <c r="E1774" s="16"/>
      <c r="F1774" s="42"/>
      <c r="G1774" s="42"/>
      <c r="DN1774" s="191"/>
    </row>
    <row r="1775">
      <c r="A1775" s="15"/>
      <c r="B1775" s="15"/>
      <c r="C1775" s="15"/>
      <c r="D1775" s="42"/>
      <c r="E1775" s="16"/>
      <c r="F1775" s="42"/>
      <c r="G1775" s="42"/>
      <c r="DN1775" s="191"/>
    </row>
    <row r="1776">
      <c r="A1776" s="15"/>
      <c r="B1776" s="15"/>
      <c r="C1776" s="15"/>
      <c r="D1776" s="42"/>
      <c r="E1776" s="16"/>
      <c r="F1776" s="42"/>
      <c r="G1776" s="42"/>
      <c r="DN1776" s="191"/>
    </row>
    <row r="1777">
      <c r="A1777" s="15"/>
      <c r="B1777" s="15"/>
      <c r="C1777" s="15"/>
      <c r="D1777" s="42"/>
      <c r="E1777" s="16"/>
      <c r="F1777" s="42"/>
      <c r="G1777" s="42"/>
      <c r="DN1777" s="191"/>
    </row>
    <row r="1778">
      <c r="A1778" s="15"/>
      <c r="B1778" s="15"/>
      <c r="C1778" s="15"/>
      <c r="D1778" s="42"/>
      <c r="E1778" s="16"/>
      <c r="F1778" s="42"/>
      <c r="G1778" s="42"/>
      <c r="DN1778" s="191"/>
    </row>
    <row r="1779">
      <c r="A1779" s="15"/>
      <c r="B1779" s="15"/>
      <c r="C1779" s="15"/>
      <c r="D1779" s="42"/>
      <c r="E1779" s="16"/>
      <c r="F1779" s="42"/>
      <c r="G1779" s="42"/>
      <c r="DN1779" s="191"/>
    </row>
    <row r="1780">
      <c r="A1780" s="15"/>
      <c r="B1780" s="15"/>
      <c r="C1780" s="15"/>
      <c r="D1780" s="42"/>
      <c r="E1780" s="16"/>
      <c r="F1780" s="42"/>
      <c r="G1780" s="42"/>
      <c r="DN1780" s="191"/>
    </row>
    <row r="1781">
      <c r="A1781" s="15"/>
      <c r="B1781" s="15"/>
      <c r="C1781" s="15"/>
      <c r="D1781" s="42"/>
      <c r="E1781" s="16"/>
      <c r="F1781" s="42"/>
      <c r="G1781" s="42"/>
      <c r="DN1781" s="191"/>
    </row>
    <row r="1782">
      <c r="A1782" s="15"/>
      <c r="B1782" s="15"/>
      <c r="C1782" s="15"/>
      <c r="D1782" s="42"/>
      <c r="E1782" s="16"/>
      <c r="F1782" s="42"/>
      <c r="G1782" s="42"/>
      <c r="DN1782" s="191"/>
    </row>
    <row r="1783">
      <c r="A1783" s="15"/>
      <c r="B1783" s="15"/>
      <c r="C1783" s="15"/>
      <c r="D1783" s="42"/>
      <c r="E1783" s="16"/>
      <c r="F1783" s="42"/>
      <c r="G1783" s="42"/>
      <c r="DN1783" s="191"/>
    </row>
    <row r="1784">
      <c r="A1784" s="15"/>
      <c r="B1784" s="15"/>
      <c r="C1784" s="15"/>
      <c r="D1784" s="42"/>
      <c r="E1784" s="16"/>
      <c r="F1784" s="42"/>
      <c r="G1784" s="42"/>
      <c r="DN1784" s="191"/>
    </row>
    <row r="1785">
      <c r="A1785" s="15"/>
      <c r="B1785" s="15"/>
      <c r="C1785" s="15"/>
      <c r="D1785" s="42"/>
      <c r="E1785" s="16"/>
      <c r="F1785" s="42"/>
      <c r="G1785" s="42"/>
      <c r="DN1785" s="191"/>
    </row>
    <row r="1786">
      <c r="A1786" s="15"/>
      <c r="B1786" s="15"/>
      <c r="C1786" s="15"/>
      <c r="D1786" s="42"/>
      <c r="E1786" s="16"/>
      <c r="F1786" s="42"/>
      <c r="G1786" s="42"/>
      <c r="DN1786" s="191"/>
    </row>
    <row r="1787">
      <c r="A1787" s="15"/>
      <c r="B1787" s="15"/>
      <c r="C1787" s="15"/>
      <c r="D1787" s="42"/>
      <c r="E1787" s="16"/>
      <c r="F1787" s="42"/>
      <c r="G1787" s="42"/>
      <c r="DN1787" s="191"/>
    </row>
    <row r="1788">
      <c r="A1788" s="15"/>
      <c r="B1788" s="15"/>
      <c r="C1788" s="15"/>
      <c r="D1788" s="42"/>
      <c r="E1788" s="16"/>
      <c r="F1788" s="42"/>
      <c r="G1788" s="42"/>
      <c r="DN1788" s="191"/>
    </row>
    <row r="1789">
      <c r="A1789" s="15"/>
      <c r="B1789" s="15"/>
      <c r="C1789" s="15"/>
      <c r="D1789" s="42"/>
      <c r="E1789" s="16"/>
      <c r="F1789" s="42"/>
      <c r="G1789" s="42"/>
      <c r="DN1789" s="191"/>
    </row>
    <row r="1790">
      <c r="A1790" s="15"/>
      <c r="B1790" s="15"/>
      <c r="C1790" s="15"/>
      <c r="D1790" s="42"/>
      <c r="E1790" s="16"/>
      <c r="F1790" s="42"/>
      <c r="G1790" s="42"/>
      <c r="DN1790" s="191"/>
    </row>
    <row r="1791">
      <c r="A1791" s="15"/>
      <c r="B1791" s="15"/>
      <c r="C1791" s="15"/>
      <c r="D1791" s="42"/>
      <c r="E1791" s="16"/>
      <c r="F1791" s="42"/>
      <c r="G1791" s="42"/>
      <c r="DN1791" s="191"/>
    </row>
    <row r="1792">
      <c r="A1792" s="15"/>
      <c r="B1792" s="15"/>
      <c r="C1792" s="15"/>
      <c r="D1792" s="42"/>
      <c r="E1792" s="16"/>
      <c r="F1792" s="42"/>
      <c r="G1792" s="42"/>
      <c r="DN1792" s="191"/>
    </row>
    <row r="1793">
      <c r="A1793" s="15"/>
      <c r="B1793" s="15"/>
      <c r="C1793" s="15"/>
      <c r="D1793" s="42"/>
      <c r="E1793" s="16"/>
      <c r="F1793" s="42"/>
      <c r="G1793" s="42"/>
      <c r="DN1793" s="191"/>
    </row>
    <row r="1794">
      <c r="A1794" s="15"/>
      <c r="B1794" s="15"/>
      <c r="C1794" s="15"/>
      <c r="D1794" s="42"/>
      <c r="E1794" s="16"/>
      <c r="F1794" s="42"/>
      <c r="G1794" s="42"/>
      <c r="DN1794" s="191"/>
    </row>
    <row r="1795">
      <c r="A1795" s="15"/>
      <c r="B1795" s="15"/>
      <c r="C1795" s="15"/>
      <c r="D1795" s="42"/>
      <c r="E1795" s="16"/>
      <c r="F1795" s="42"/>
      <c r="G1795" s="42"/>
      <c r="DN1795" s="191"/>
    </row>
    <row r="1796">
      <c r="A1796" s="15"/>
      <c r="B1796" s="15"/>
      <c r="C1796" s="15"/>
      <c r="D1796" s="42"/>
      <c r="E1796" s="16"/>
      <c r="F1796" s="42"/>
      <c r="G1796" s="42"/>
      <c r="DN1796" s="191"/>
    </row>
    <row r="1797">
      <c r="A1797" s="15"/>
      <c r="B1797" s="15"/>
      <c r="C1797" s="15"/>
      <c r="D1797" s="42"/>
      <c r="E1797" s="16"/>
      <c r="F1797" s="42"/>
      <c r="G1797" s="42"/>
      <c r="DN1797" s="191"/>
    </row>
    <row r="1798">
      <c r="A1798" s="15"/>
      <c r="B1798" s="15"/>
      <c r="C1798" s="15"/>
      <c r="D1798" s="42"/>
      <c r="E1798" s="16"/>
      <c r="F1798" s="42"/>
      <c r="G1798" s="42"/>
      <c r="DN1798" s="191"/>
    </row>
    <row r="1799">
      <c r="A1799" s="15"/>
      <c r="B1799" s="15"/>
      <c r="C1799" s="15"/>
      <c r="D1799" s="42"/>
      <c r="E1799" s="16"/>
      <c r="F1799" s="42"/>
      <c r="G1799" s="42"/>
      <c r="DN1799" s="191"/>
    </row>
    <row r="1800">
      <c r="A1800" s="15"/>
      <c r="B1800" s="15"/>
      <c r="C1800" s="15"/>
      <c r="D1800" s="42"/>
      <c r="E1800" s="16"/>
      <c r="F1800" s="42"/>
      <c r="G1800" s="42"/>
      <c r="DN1800" s="191"/>
    </row>
    <row r="1801">
      <c r="A1801" s="15"/>
      <c r="B1801" s="15"/>
      <c r="C1801" s="15"/>
      <c r="D1801" s="42"/>
      <c r="E1801" s="16"/>
      <c r="F1801" s="42"/>
      <c r="G1801" s="42"/>
      <c r="DN1801" s="191"/>
    </row>
    <row r="1802">
      <c r="A1802" s="15"/>
      <c r="B1802" s="15"/>
      <c r="C1802" s="15"/>
      <c r="D1802" s="42"/>
      <c r="E1802" s="16"/>
      <c r="F1802" s="42"/>
      <c r="G1802" s="42"/>
      <c r="DN1802" s="191"/>
    </row>
    <row r="1803">
      <c r="A1803" s="15"/>
      <c r="B1803" s="15"/>
      <c r="C1803" s="15"/>
      <c r="D1803" s="42"/>
      <c r="E1803" s="16"/>
      <c r="F1803" s="42"/>
      <c r="G1803" s="42"/>
      <c r="DN1803" s="191"/>
    </row>
    <row r="1804">
      <c r="A1804" s="15"/>
      <c r="B1804" s="15"/>
      <c r="C1804" s="15"/>
      <c r="D1804" s="42"/>
      <c r="E1804" s="16"/>
      <c r="F1804" s="42"/>
      <c r="G1804" s="42"/>
      <c r="DN1804" s="191"/>
    </row>
    <row r="1805">
      <c r="A1805" s="15"/>
      <c r="B1805" s="15"/>
      <c r="C1805" s="15"/>
      <c r="D1805" s="42"/>
      <c r="E1805" s="16"/>
      <c r="F1805" s="42"/>
      <c r="G1805" s="42"/>
      <c r="DN1805" s="191"/>
    </row>
    <row r="1806">
      <c r="A1806" s="15"/>
      <c r="B1806" s="15"/>
      <c r="C1806" s="15"/>
      <c r="D1806" s="42"/>
      <c r="E1806" s="16"/>
      <c r="F1806" s="42"/>
      <c r="G1806" s="42"/>
      <c r="DN1806" s="191"/>
    </row>
    <row r="1807">
      <c r="A1807" s="15"/>
      <c r="B1807" s="15"/>
      <c r="C1807" s="15"/>
      <c r="D1807" s="42"/>
      <c r="E1807" s="16"/>
      <c r="F1807" s="42"/>
      <c r="G1807" s="42"/>
      <c r="DN1807" s="191"/>
    </row>
    <row r="1808">
      <c r="A1808" s="15"/>
      <c r="B1808" s="15"/>
      <c r="C1808" s="15"/>
      <c r="D1808" s="42"/>
      <c r="E1808" s="16"/>
      <c r="F1808" s="42"/>
      <c r="G1808" s="42"/>
      <c r="DN1808" s="191"/>
    </row>
    <row r="1809">
      <c r="A1809" s="15"/>
      <c r="B1809" s="15"/>
      <c r="C1809" s="15"/>
      <c r="D1809" s="42"/>
      <c r="E1809" s="16"/>
      <c r="F1809" s="42"/>
      <c r="G1809" s="42"/>
      <c r="DN1809" s="191"/>
    </row>
    <row r="1810">
      <c r="A1810" s="15"/>
      <c r="B1810" s="15"/>
      <c r="C1810" s="15"/>
      <c r="D1810" s="42"/>
      <c r="E1810" s="16"/>
      <c r="F1810" s="42"/>
      <c r="G1810" s="42"/>
      <c r="DN1810" s="191"/>
    </row>
    <row r="1811">
      <c r="A1811" s="15"/>
      <c r="B1811" s="15"/>
      <c r="C1811" s="15"/>
      <c r="D1811" s="42"/>
      <c r="E1811" s="16"/>
      <c r="F1811" s="42"/>
      <c r="G1811" s="42"/>
      <c r="DN1811" s="191"/>
    </row>
    <row r="1812">
      <c r="A1812" s="15"/>
      <c r="B1812" s="15"/>
      <c r="C1812" s="15"/>
      <c r="D1812" s="42"/>
      <c r="E1812" s="16"/>
      <c r="F1812" s="42"/>
      <c r="G1812" s="42"/>
      <c r="DN1812" s="191"/>
    </row>
    <row r="1813">
      <c r="A1813" s="15"/>
      <c r="B1813" s="15"/>
      <c r="C1813" s="15"/>
      <c r="D1813" s="42"/>
      <c r="E1813" s="16"/>
      <c r="F1813" s="42"/>
      <c r="G1813" s="42"/>
      <c r="DN1813" s="191"/>
    </row>
    <row r="1814">
      <c r="A1814" s="15"/>
      <c r="B1814" s="15"/>
      <c r="C1814" s="15"/>
      <c r="D1814" s="42"/>
      <c r="E1814" s="16"/>
      <c r="F1814" s="42"/>
      <c r="G1814" s="42"/>
      <c r="DN1814" s="191"/>
    </row>
    <row r="1815">
      <c r="A1815" s="15"/>
      <c r="B1815" s="15"/>
      <c r="C1815" s="15"/>
      <c r="D1815" s="42"/>
      <c r="E1815" s="16"/>
      <c r="F1815" s="42"/>
      <c r="G1815" s="42"/>
      <c r="DN1815" s="191"/>
    </row>
    <row r="1816">
      <c r="A1816" s="15"/>
      <c r="B1816" s="15"/>
      <c r="C1816" s="15"/>
      <c r="D1816" s="42"/>
      <c r="E1816" s="16"/>
      <c r="F1816" s="42"/>
      <c r="G1816" s="42"/>
      <c r="DN1816" s="191"/>
    </row>
    <row r="1817">
      <c r="A1817" s="15"/>
      <c r="B1817" s="15"/>
      <c r="C1817" s="15"/>
      <c r="D1817" s="42"/>
      <c r="E1817" s="16"/>
      <c r="F1817" s="42"/>
      <c r="G1817" s="42"/>
      <c r="DN1817" s="191"/>
    </row>
    <row r="1818">
      <c r="A1818" s="15"/>
      <c r="B1818" s="15"/>
      <c r="C1818" s="15"/>
      <c r="D1818" s="42"/>
      <c r="E1818" s="16"/>
      <c r="F1818" s="42"/>
      <c r="G1818" s="42"/>
      <c r="DN1818" s="191"/>
    </row>
    <row r="1819">
      <c r="A1819" s="15"/>
      <c r="B1819" s="15"/>
      <c r="C1819" s="15"/>
      <c r="D1819" s="42"/>
      <c r="E1819" s="16"/>
      <c r="F1819" s="42"/>
      <c r="G1819" s="42"/>
      <c r="DN1819" s="191"/>
    </row>
    <row r="1820">
      <c r="A1820" s="15"/>
      <c r="B1820" s="15"/>
      <c r="C1820" s="15"/>
      <c r="D1820" s="42"/>
      <c r="E1820" s="16"/>
      <c r="F1820" s="42"/>
      <c r="G1820" s="42"/>
      <c r="DN1820" s="191"/>
    </row>
    <row r="1821">
      <c r="A1821" s="15"/>
      <c r="B1821" s="15"/>
      <c r="C1821" s="15"/>
      <c r="D1821" s="42"/>
      <c r="E1821" s="16"/>
      <c r="F1821" s="42"/>
      <c r="G1821" s="42"/>
      <c r="DN1821" s="191"/>
    </row>
    <row r="1822">
      <c r="A1822" s="15"/>
      <c r="B1822" s="15"/>
      <c r="C1822" s="15"/>
      <c r="D1822" s="42"/>
      <c r="E1822" s="16"/>
      <c r="F1822" s="42"/>
      <c r="G1822" s="42"/>
      <c r="DN1822" s="191"/>
    </row>
    <row r="1823">
      <c r="A1823" s="15"/>
      <c r="B1823" s="15"/>
      <c r="C1823" s="15"/>
      <c r="D1823" s="42"/>
      <c r="E1823" s="16"/>
      <c r="F1823" s="42"/>
      <c r="G1823" s="42"/>
      <c r="DN1823" s="191"/>
    </row>
    <row r="1824">
      <c r="A1824" s="15"/>
      <c r="B1824" s="15"/>
      <c r="C1824" s="15"/>
      <c r="D1824" s="42"/>
      <c r="E1824" s="16"/>
      <c r="F1824" s="42"/>
      <c r="G1824" s="42"/>
      <c r="DN1824" s="191"/>
    </row>
    <row r="1825">
      <c r="A1825" s="15"/>
      <c r="B1825" s="15"/>
      <c r="C1825" s="15"/>
      <c r="D1825" s="42"/>
      <c r="E1825" s="16"/>
      <c r="F1825" s="42"/>
      <c r="G1825" s="42"/>
      <c r="DN1825" s="191"/>
    </row>
    <row r="1826">
      <c r="A1826" s="15"/>
      <c r="B1826" s="15"/>
      <c r="C1826" s="15"/>
      <c r="D1826" s="42"/>
      <c r="E1826" s="16"/>
      <c r="F1826" s="42"/>
      <c r="G1826" s="42"/>
      <c r="DN1826" s="191"/>
    </row>
    <row r="1827">
      <c r="A1827" s="15"/>
      <c r="B1827" s="15"/>
      <c r="C1827" s="15"/>
      <c r="D1827" s="42"/>
      <c r="E1827" s="16"/>
      <c r="F1827" s="42"/>
      <c r="G1827" s="42"/>
      <c r="DN1827" s="191"/>
    </row>
    <row r="1828">
      <c r="A1828" s="15"/>
      <c r="B1828" s="15"/>
      <c r="C1828" s="15"/>
      <c r="D1828" s="42"/>
      <c r="E1828" s="16"/>
      <c r="F1828" s="42"/>
      <c r="G1828" s="42"/>
      <c r="DN1828" s="191"/>
    </row>
    <row r="1829">
      <c r="A1829" s="15"/>
      <c r="B1829" s="15"/>
      <c r="C1829" s="15"/>
      <c r="D1829" s="42"/>
      <c r="E1829" s="16"/>
      <c r="F1829" s="42"/>
      <c r="G1829" s="42"/>
      <c r="DN1829" s="191"/>
    </row>
    <row r="1830">
      <c r="A1830" s="15"/>
      <c r="B1830" s="15"/>
      <c r="C1830" s="15"/>
      <c r="D1830" s="42"/>
      <c r="E1830" s="16"/>
      <c r="F1830" s="42"/>
      <c r="G1830" s="42"/>
      <c r="DN1830" s="191"/>
    </row>
    <row r="1831">
      <c r="A1831" s="15"/>
      <c r="B1831" s="15"/>
      <c r="C1831" s="15"/>
      <c r="D1831" s="42"/>
      <c r="E1831" s="16"/>
      <c r="F1831" s="42"/>
      <c r="G1831" s="42"/>
      <c r="DN1831" s="191"/>
    </row>
    <row r="1832">
      <c r="A1832" s="15"/>
      <c r="B1832" s="15"/>
      <c r="C1832" s="15"/>
      <c r="D1832" s="42"/>
      <c r="E1832" s="16"/>
      <c r="F1832" s="42"/>
      <c r="G1832" s="42"/>
      <c r="DN1832" s="191"/>
    </row>
    <row r="1833">
      <c r="A1833" s="15"/>
      <c r="B1833" s="15"/>
      <c r="C1833" s="15"/>
      <c r="D1833" s="42"/>
      <c r="E1833" s="16"/>
      <c r="F1833" s="42"/>
      <c r="G1833" s="42"/>
      <c r="DN1833" s="191"/>
    </row>
    <row r="1834">
      <c r="A1834" s="15"/>
      <c r="B1834" s="15"/>
      <c r="C1834" s="15"/>
      <c r="D1834" s="42"/>
      <c r="E1834" s="16"/>
      <c r="F1834" s="42"/>
      <c r="G1834" s="42"/>
      <c r="DN1834" s="191"/>
    </row>
    <row r="1835">
      <c r="A1835" s="15"/>
      <c r="B1835" s="15"/>
      <c r="C1835" s="15"/>
      <c r="D1835" s="42"/>
      <c r="E1835" s="16"/>
      <c r="F1835" s="42"/>
      <c r="G1835" s="42"/>
      <c r="DN1835" s="191"/>
    </row>
    <row r="1836">
      <c r="A1836" s="15"/>
      <c r="B1836" s="15"/>
      <c r="C1836" s="15"/>
      <c r="D1836" s="42"/>
      <c r="E1836" s="16"/>
      <c r="F1836" s="42"/>
      <c r="G1836" s="42"/>
      <c r="DN1836" s="191"/>
    </row>
    <row r="1837">
      <c r="A1837" s="15"/>
      <c r="B1837" s="15"/>
      <c r="C1837" s="15"/>
      <c r="D1837" s="42"/>
      <c r="E1837" s="16"/>
      <c r="F1837" s="42"/>
      <c r="G1837" s="42"/>
      <c r="DN1837" s="191"/>
    </row>
    <row r="1838">
      <c r="A1838" s="15"/>
      <c r="B1838" s="15"/>
      <c r="C1838" s="15"/>
      <c r="D1838" s="42"/>
      <c r="E1838" s="16"/>
      <c r="F1838" s="42"/>
      <c r="G1838" s="42"/>
      <c r="DN1838" s="191"/>
    </row>
    <row r="1839">
      <c r="A1839" s="15"/>
      <c r="B1839" s="15"/>
      <c r="C1839" s="15"/>
      <c r="D1839" s="42"/>
      <c r="E1839" s="16"/>
      <c r="F1839" s="42"/>
      <c r="G1839" s="42"/>
      <c r="DN1839" s="191"/>
    </row>
    <row r="1840">
      <c r="A1840" s="15"/>
      <c r="B1840" s="15"/>
      <c r="C1840" s="15"/>
      <c r="D1840" s="42"/>
      <c r="E1840" s="16"/>
      <c r="F1840" s="42"/>
      <c r="G1840" s="42"/>
      <c r="DN1840" s="191"/>
    </row>
    <row r="1841">
      <c r="A1841" s="15"/>
      <c r="B1841" s="15"/>
      <c r="C1841" s="15"/>
      <c r="D1841" s="42"/>
      <c r="E1841" s="16"/>
      <c r="F1841" s="42"/>
      <c r="G1841" s="42"/>
      <c r="DN1841" s="191"/>
    </row>
    <row r="1842">
      <c r="A1842" s="15"/>
      <c r="B1842" s="15"/>
      <c r="C1842" s="15"/>
      <c r="D1842" s="42"/>
      <c r="E1842" s="16"/>
      <c r="F1842" s="42"/>
      <c r="G1842" s="42"/>
      <c r="DN1842" s="191"/>
    </row>
    <row r="1843">
      <c r="A1843" s="15"/>
      <c r="B1843" s="15"/>
      <c r="C1843" s="15"/>
      <c r="D1843" s="42"/>
      <c r="E1843" s="16"/>
      <c r="F1843" s="42"/>
      <c r="G1843" s="42"/>
      <c r="DN1843" s="191"/>
    </row>
    <row r="1844">
      <c r="A1844" s="15"/>
      <c r="B1844" s="15"/>
      <c r="C1844" s="15"/>
      <c r="D1844" s="42"/>
      <c r="E1844" s="16"/>
      <c r="F1844" s="42"/>
      <c r="G1844" s="42"/>
      <c r="DN1844" s="191"/>
    </row>
    <row r="1845">
      <c r="A1845" s="15"/>
      <c r="B1845" s="15"/>
      <c r="C1845" s="15"/>
      <c r="D1845" s="42"/>
      <c r="E1845" s="16"/>
      <c r="F1845" s="42"/>
      <c r="G1845" s="42"/>
      <c r="DN1845" s="191"/>
    </row>
    <row r="1846">
      <c r="A1846" s="15"/>
      <c r="B1846" s="15"/>
      <c r="C1846" s="15"/>
      <c r="D1846" s="42"/>
      <c r="E1846" s="16"/>
      <c r="F1846" s="42"/>
      <c r="G1846" s="42"/>
      <c r="DN1846" s="191"/>
    </row>
    <row r="1847">
      <c r="A1847" s="15"/>
      <c r="B1847" s="15"/>
      <c r="C1847" s="15"/>
      <c r="D1847" s="42"/>
      <c r="E1847" s="16"/>
      <c r="F1847" s="42"/>
      <c r="G1847" s="42"/>
      <c r="DN1847" s="191"/>
    </row>
    <row r="1848">
      <c r="A1848" s="15"/>
      <c r="B1848" s="15"/>
      <c r="C1848" s="15"/>
      <c r="D1848" s="42"/>
      <c r="E1848" s="16"/>
      <c r="F1848" s="42"/>
      <c r="G1848" s="42"/>
      <c r="DN1848" s="191"/>
    </row>
    <row r="1849">
      <c r="A1849" s="15"/>
      <c r="B1849" s="15"/>
      <c r="C1849" s="15"/>
      <c r="D1849" s="42"/>
      <c r="E1849" s="16"/>
      <c r="F1849" s="42"/>
      <c r="G1849" s="42"/>
      <c r="DN1849" s="191"/>
    </row>
    <row r="1850">
      <c r="A1850" s="15"/>
      <c r="B1850" s="15"/>
      <c r="C1850" s="15"/>
      <c r="D1850" s="42"/>
      <c r="E1850" s="16"/>
      <c r="F1850" s="42"/>
      <c r="G1850" s="42"/>
      <c r="DN1850" s="191"/>
    </row>
    <row r="1851">
      <c r="A1851" s="15"/>
      <c r="B1851" s="15"/>
      <c r="C1851" s="15"/>
      <c r="D1851" s="42"/>
      <c r="E1851" s="16"/>
      <c r="F1851" s="42"/>
      <c r="G1851" s="42"/>
      <c r="DN1851" s="191"/>
    </row>
    <row r="1852">
      <c r="A1852" s="15"/>
      <c r="B1852" s="15"/>
      <c r="C1852" s="15"/>
      <c r="D1852" s="42"/>
      <c r="E1852" s="16"/>
      <c r="F1852" s="42"/>
      <c r="G1852" s="42"/>
      <c r="DN1852" s="191"/>
    </row>
    <row r="1853">
      <c r="A1853" s="15"/>
      <c r="B1853" s="15"/>
      <c r="C1853" s="15"/>
      <c r="D1853" s="42"/>
      <c r="E1853" s="16"/>
      <c r="F1853" s="42"/>
      <c r="G1853" s="42"/>
      <c r="DN1853" s="191"/>
    </row>
    <row r="1854">
      <c r="A1854" s="15"/>
      <c r="B1854" s="15"/>
      <c r="C1854" s="15"/>
      <c r="D1854" s="42"/>
      <c r="E1854" s="16"/>
      <c r="F1854" s="42"/>
      <c r="G1854" s="42"/>
      <c r="DN1854" s="191"/>
    </row>
    <row r="1855">
      <c r="A1855" s="15"/>
      <c r="B1855" s="15"/>
      <c r="C1855" s="15"/>
      <c r="D1855" s="42"/>
      <c r="E1855" s="16"/>
      <c r="F1855" s="42"/>
      <c r="G1855" s="42"/>
      <c r="DN1855" s="191"/>
    </row>
    <row r="1856">
      <c r="A1856" s="15"/>
      <c r="B1856" s="15"/>
      <c r="C1856" s="15"/>
      <c r="D1856" s="42"/>
      <c r="E1856" s="16"/>
      <c r="F1856" s="42"/>
      <c r="G1856" s="42"/>
      <c r="DN1856" s="191"/>
    </row>
    <row r="1857">
      <c r="A1857" s="15"/>
      <c r="B1857" s="15"/>
      <c r="C1857" s="15"/>
      <c r="D1857" s="42"/>
      <c r="E1857" s="16"/>
      <c r="F1857" s="42"/>
      <c r="G1857" s="42"/>
      <c r="DN1857" s="191"/>
    </row>
    <row r="1858">
      <c r="A1858" s="15"/>
      <c r="B1858" s="15"/>
      <c r="C1858" s="15"/>
      <c r="D1858" s="42"/>
      <c r="E1858" s="16"/>
      <c r="F1858" s="42"/>
      <c r="G1858" s="42"/>
      <c r="DN1858" s="191"/>
    </row>
    <row r="1859">
      <c r="A1859" s="15"/>
      <c r="B1859" s="15"/>
      <c r="C1859" s="15"/>
      <c r="D1859" s="42"/>
      <c r="E1859" s="16"/>
      <c r="F1859" s="42"/>
      <c r="G1859" s="42"/>
      <c r="DN1859" s="191"/>
    </row>
    <row r="1860">
      <c r="A1860" s="15"/>
      <c r="B1860" s="15"/>
      <c r="C1860" s="15"/>
      <c r="D1860" s="42"/>
      <c r="E1860" s="16"/>
      <c r="F1860" s="42"/>
      <c r="G1860" s="42"/>
      <c r="DN1860" s="191"/>
    </row>
    <row r="1861">
      <c r="A1861" s="15"/>
      <c r="B1861" s="15"/>
      <c r="C1861" s="15"/>
      <c r="D1861" s="42"/>
      <c r="E1861" s="16"/>
      <c r="F1861" s="42"/>
      <c r="G1861" s="42"/>
      <c r="DN1861" s="191"/>
    </row>
    <row r="1862">
      <c r="A1862" s="15"/>
      <c r="B1862" s="15"/>
      <c r="C1862" s="15"/>
      <c r="D1862" s="42"/>
      <c r="E1862" s="16"/>
      <c r="F1862" s="42"/>
      <c r="G1862" s="42"/>
      <c r="DN1862" s="191"/>
    </row>
    <row r="1863">
      <c r="A1863" s="15"/>
      <c r="B1863" s="15"/>
      <c r="C1863" s="15"/>
      <c r="D1863" s="42"/>
      <c r="E1863" s="16"/>
      <c r="F1863" s="42"/>
      <c r="G1863" s="42"/>
      <c r="DN1863" s="191"/>
    </row>
    <row r="1864">
      <c r="A1864" s="15"/>
      <c r="B1864" s="15"/>
      <c r="C1864" s="15"/>
      <c r="D1864" s="42"/>
      <c r="E1864" s="16"/>
      <c r="F1864" s="42"/>
      <c r="G1864" s="42"/>
      <c r="DN1864" s="191"/>
    </row>
    <row r="1865">
      <c r="A1865" s="15"/>
      <c r="B1865" s="15"/>
      <c r="C1865" s="15"/>
      <c r="D1865" s="42"/>
      <c r="E1865" s="16"/>
      <c r="F1865" s="42"/>
      <c r="G1865" s="42"/>
      <c r="DN1865" s="191"/>
    </row>
    <row r="1866">
      <c r="A1866" s="15"/>
      <c r="B1866" s="15"/>
      <c r="C1866" s="15"/>
      <c r="D1866" s="42"/>
      <c r="E1866" s="16"/>
      <c r="F1866" s="42"/>
      <c r="G1866" s="42"/>
      <c r="DN1866" s="191"/>
    </row>
    <row r="1867">
      <c r="A1867" s="15"/>
      <c r="B1867" s="15"/>
      <c r="C1867" s="15"/>
      <c r="D1867" s="42"/>
      <c r="E1867" s="16"/>
      <c r="F1867" s="42"/>
      <c r="G1867" s="42"/>
      <c r="DN1867" s="191"/>
    </row>
    <row r="1868">
      <c r="A1868" s="15"/>
      <c r="B1868" s="15"/>
      <c r="C1868" s="15"/>
      <c r="D1868" s="42"/>
      <c r="E1868" s="16"/>
      <c r="F1868" s="42"/>
      <c r="G1868" s="42"/>
      <c r="DN1868" s="191"/>
    </row>
    <row r="1869">
      <c r="A1869" s="15"/>
      <c r="B1869" s="15"/>
      <c r="C1869" s="15"/>
      <c r="D1869" s="42"/>
      <c r="E1869" s="16"/>
      <c r="F1869" s="42"/>
      <c r="G1869" s="42"/>
      <c r="DN1869" s="191"/>
    </row>
    <row r="1870">
      <c r="A1870" s="15"/>
      <c r="B1870" s="15"/>
      <c r="C1870" s="15"/>
      <c r="D1870" s="42"/>
      <c r="E1870" s="16"/>
      <c r="F1870" s="42"/>
      <c r="G1870" s="42"/>
      <c r="DN1870" s="191"/>
    </row>
    <row r="1871">
      <c r="A1871" s="15"/>
      <c r="B1871" s="15"/>
      <c r="C1871" s="15"/>
      <c r="D1871" s="42"/>
      <c r="E1871" s="16"/>
      <c r="F1871" s="42"/>
      <c r="G1871" s="42"/>
      <c r="DN1871" s="191"/>
    </row>
    <row r="1872">
      <c r="A1872" s="15"/>
      <c r="B1872" s="15"/>
      <c r="C1872" s="15"/>
      <c r="D1872" s="42"/>
      <c r="E1872" s="16"/>
      <c r="F1872" s="42"/>
      <c r="G1872" s="42"/>
      <c r="DN1872" s="191"/>
    </row>
    <row r="1873">
      <c r="A1873" s="15"/>
      <c r="B1873" s="15"/>
      <c r="C1873" s="15"/>
      <c r="D1873" s="42"/>
      <c r="E1873" s="16"/>
      <c r="F1873" s="42"/>
      <c r="G1873" s="42"/>
      <c r="DN1873" s="191"/>
    </row>
    <row r="1874">
      <c r="A1874" s="15"/>
      <c r="B1874" s="15"/>
      <c r="C1874" s="15"/>
      <c r="D1874" s="42"/>
      <c r="E1874" s="16"/>
      <c r="F1874" s="42"/>
      <c r="G1874" s="42"/>
      <c r="DN1874" s="191"/>
    </row>
    <row r="1875">
      <c r="A1875" s="15"/>
      <c r="B1875" s="15"/>
      <c r="C1875" s="15"/>
      <c r="D1875" s="42"/>
      <c r="E1875" s="16"/>
      <c r="F1875" s="42"/>
      <c r="G1875" s="42"/>
      <c r="DN1875" s="191"/>
    </row>
    <row r="1876">
      <c r="A1876" s="15"/>
      <c r="B1876" s="15"/>
      <c r="C1876" s="15"/>
      <c r="D1876" s="42"/>
      <c r="E1876" s="16"/>
      <c r="F1876" s="42"/>
      <c r="G1876" s="42"/>
      <c r="DN1876" s="191"/>
    </row>
    <row r="1877">
      <c r="A1877" s="15"/>
      <c r="B1877" s="15"/>
      <c r="C1877" s="15"/>
      <c r="D1877" s="42"/>
      <c r="E1877" s="16"/>
      <c r="F1877" s="42"/>
      <c r="G1877" s="42"/>
      <c r="DN1877" s="191"/>
    </row>
    <row r="1878">
      <c r="A1878" s="15"/>
      <c r="B1878" s="15"/>
      <c r="C1878" s="15"/>
      <c r="D1878" s="42"/>
      <c r="E1878" s="16"/>
      <c r="F1878" s="42"/>
      <c r="G1878" s="42"/>
      <c r="DN1878" s="191"/>
    </row>
    <row r="1879">
      <c r="A1879" s="15"/>
      <c r="B1879" s="15"/>
      <c r="C1879" s="15"/>
      <c r="D1879" s="42"/>
      <c r="E1879" s="16"/>
      <c r="F1879" s="42"/>
      <c r="G1879" s="42"/>
      <c r="DN1879" s="191"/>
    </row>
    <row r="1880">
      <c r="A1880" s="15"/>
      <c r="B1880" s="15"/>
      <c r="C1880" s="15"/>
      <c r="D1880" s="42"/>
      <c r="E1880" s="16"/>
      <c r="F1880" s="42"/>
      <c r="G1880" s="42"/>
      <c r="DN1880" s="191"/>
    </row>
    <row r="1881">
      <c r="A1881" s="15"/>
      <c r="B1881" s="15"/>
      <c r="C1881" s="15"/>
      <c r="D1881" s="42"/>
      <c r="E1881" s="16"/>
      <c r="F1881" s="42"/>
      <c r="G1881" s="42"/>
      <c r="DN1881" s="191"/>
    </row>
    <row r="1882">
      <c r="A1882" s="15"/>
      <c r="B1882" s="15"/>
      <c r="C1882" s="15"/>
      <c r="D1882" s="42"/>
      <c r="E1882" s="16"/>
      <c r="F1882" s="42"/>
      <c r="G1882" s="42"/>
      <c r="DN1882" s="191"/>
    </row>
    <row r="1883">
      <c r="A1883" s="15"/>
      <c r="B1883" s="15"/>
      <c r="C1883" s="15"/>
      <c r="D1883" s="42"/>
      <c r="E1883" s="16"/>
      <c r="F1883" s="42"/>
      <c r="G1883" s="42"/>
      <c r="DN1883" s="191"/>
    </row>
    <row r="1884">
      <c r="A1884" s="15"/>
      <c r="B1884" s="15"/>
      <c r="C1884" s="15"/>
      <c r="D1884" s="42"/>
      <c r="E1884" s="16"/>
      <c r="F1884" s="42"/>
      <c r="G1884" s="42"/>
      <c r="DN1884" s="191"/>
    </row>
    <row r="1885">
      <c r="A1885" s="15"/>
      <c r="B1885" s="15"/>
      <c r="C1885" s="15"/>
      <c r="D1885" s="42"/>
      <c r="E1885" s="16"/>
      <c r="F1885" s="42"/>
      <c r="G1885" s="42"/>
      <c r="DN1885" s="191"/>
    </row>
    <row r="1886">
      <c r="A1886" s="15"/>
      <c r="B1886" s="15"/>
      <c r="C1886" s="15"/>
      <c r="D1886" s="42"/>
      <c r="E1886" s="16"/>
      <c r="F1886" s="42"/>
      <c r="G1886" s="42"/>
      <c r="DN1886" s="191"/>
    </row>
    <row r="1887">
      <c r="A1887" s="15"/>
      <c r="B1887" s="15"/>
      <c r="C1887" s="15"/>
      <c r="D1887" s="42"/>
      <c r="E1887" s="16"/>
      <c r="F1887" s="42"/>
      <c r="G1887" s="42"/>
      <c r="DN1887" s="191"/>
    </row>
    <row r="1888">
      <c r="A1888" s="15"/>
      <c r="B1888" s="15"/>
      <c r="C1888" s="15"/>
      <c r="D1888" s="42"/>
      <c r="E1888" s="16"/>
      <c r="F1888" s="42"/>
      <c r="G1888" s="42"/>
      <c r="DN1888" s="191"/>
    </row>
    <row r="1889">
      <c r="A1889" s="15"/>
      <c r="B1889" s="15"/>
      <c r="C1889" s="15"/>
      <c r="D1889" s="42"/>
      <c r="E1889" s="16"/>
      <c r="F1889" s="42"/>
      <c r="G1889" s="42"/>
      <c r="DN1889" s="191"/>
    </row>
    <row r="1890">
      <c r="A1890" s="15"/>
      <c r="B1890" s="15"/>
      <c r="C1890" s="15"/>
      <c r="D1890" s="42"/>
      <c r="E1890" s="16"/>
      <c r="F1890" s="42"/>
      <c r="G1890" s="42"/>
      <c r="DN1890" s="191"/>
    </row>
    <row r="1891">
      <c r="A1891" s="15"/>
      <c r="B1891" s="15"/>
      <c r="C1891" s="15"/>
      <c r="D1891" s="42"/>
      <c r="E1891" s="16"/>
      <c r="F1891" s="42"/>
      <c r="G1891" s="42"/>
      <c r="DN1891" s="191"/>
    </row>
    <row r="1892">
      <c r="A1892" s="15"/>
      <c r="B1892" s="15"/>
      <c r="C1892" s="15"/>
      <c r="D1892" s="42"/>
      <c r="E1892" s="16"/>
      <c r="F1892" s="42"/>
      <c r="G1892" s="42"/>
      <c r="DN1892" s="191"/>
    </row>
    <row r="1893">
      <c r="A1893" s="15"/>
      <c r="B1893" s="15"/>
      <c r="C1893" s="15"/>
      <c r="D1893" s="42"/>
      <c r="E1893" s="16"/>
      <c r="F1893" s="42"/>
      <c r="G1893" s="42"/>
      <c r="DN1893" s="191"/>
    </row>
    <row r="1894">
      <c r="A1894" s="15"/>
      <c r="B1894" s="15"/>
      <c r="C1894" s="15"/>
      <c r="D1894" s="42"/>
      <c r="E1894" s="16"/>
      <c r="F1894" s="42"/>
      <c r="G1894" s="42"/>
      <c r="DN1894" s="191"/>
    </row>
    <row r="1895">
      <c r="A1895" s="15"/>
      <c r="B1895" s="15"/>
      <c r="C1895" s="15"/>
      <c r="D1895" s="42"/>
      <c r="E1895" s="16"/>
      <c r="F1895" s="42"/>
      <c r="G1895" s="42"/>
      <c r="DN1895" s="191"/>
    </row>
    <row r="1896">
      <c r="A1896" s="15"/>
      <c r="B1896" s="15"/>
      <c r="C1896" s="15"/>
      <c r="D1896" s="42"/>
      <c r="E1896" s="16"/>
      <c r="F1896" s="42"/>
      <c r="G1896" s="42"/>
      <c r="DN1896" s="191"/>
    </row>
    <row r="1897">
      <c r="A1897" s="15"/>
      <c r="B1897" s="15"/>
      <c r="C1897" s="15"/>
      <c r="D1897" s="42"/>
      <c r="E1897" s="16"/>
      <c r="F1897" s="42"/>
      <c r="G1897" s="42"/>
      <c r="DN1897" s="191"/>
    </row>
    <row r="1898">
      <c r="A1898" s="15"/>
      <c r="B1898" s="15"/>
      <c r="C1898" s="15"/>
      <c r="D1898" s="42"/>
      <c r="E1898" s="16"/>
      <c r="F1898" s="42"/>
      <c r="G1898" s="42"/>
      <c r="DN1898" s="191"/>
    </row>
    <row r="1899">
      <c r="A1899" s="15"/>
      <c r="B1899" s="15"/>
      <c r="C1899" s="15"/>
      <c r="D1899" s="42"/>
      <c r="E1899" s="16"/>
      <c r="F1899" s="42"/>
      <c r="G1899" s="42"/>
      <c r="DN1899" s="191"/>
    </row>
    <row r="1900">
      <c r="A1900" s="15"/>
      <c r="B1900" s="15"/>
      <c r="C1900" s="15"/>
      <c r="D1900" s="42"/>
      <c r="E1900" s="16"/>
      <c r="F1900" s="42"/>
      <c r="G1900" s="42"/>
      <c r="DN1900" s="191"/>
    </row>
    <row r="1901">
      <c r="A1901" s="15"/>
      <c r="B1901" s="15"/>
      <c r="C1901" s="15"/>
      <c r="D1901" s="42"/>
      <c r="E1901" s="16"/>
      <c r="F1901" s="42"/>
      <c r="G1901" s="42"/>
      <c r="DN1901" s="191"/>
    </row>
    <row r="1902">
      <c r="A1902" s="15"/>
      <c r="B1902" s="15"/>
      <c r="C1902" s="15"/>
      <c r="D1902" s="42"/>
      <c r="E1902" s="16"/>
      <c r="F1902" s="42"/>
      <c r="G1902" s="42"/>
      <c r="DN1902" s="191"/>
    </row>
    <row r="1903">
      <c r="A1903" s="15"/>
      <c r="B1903" s="15"/>
      <c r="C1903" s="15"/>
      <c r="D1903" s="42"/>
      <c r="E1903" s="16"/>
      <c r="F1903" s="42"/>
      <c r="G1903" s="42"/>
      <c r="DN1903" s="191"/>
    </row>
    <row r="1904">
      <c r="A1904" s="15"/>
      <c r="B1904" s="15"/>
      <c r="C1904" s="15"/>
      <c r="D1904" s="42"/>
      <c r="E1904" s="16"/>
      <c r="F1904" s="42"/>
      <c r="G1904" s="42"/>
      <c r="DN1904" s="191"/>
    </row>
    <row r="1905">
      <c r="A1905" s="15"/>
      <c r="B1905" s="15"/>
      <c r="C1905" s="15"/>
      <c r="D1905" s="42"/>
      <c r="E1905" s="16"/>
      <c r="F1905" s="42"/>
      <c r="G1905" s="42"/>
      <c r="DN1905" s="191"/>
    </row>
    <row r="1906">
      <c r="A1906" s="15"/>
      <c r="B1906" s="15"/>
      <c r="C1906" s="15"/>
      <c r="D1906" s="42"/>
      <c r="E1906" s="16"/>
      <c r="F1906" s="42"/>
      <c r="G1906" s="42"/>
      <c r="DN1906" s="191"/>
    </row>
    <row r="1907">
      <c r="A1907" s="15"/>
      <c r="B1907" s="15"/>
      <c r="C1907" s="15"/>
      <c r="D1907" s="42"/>
      <c r="E1907" s="16"/>
      <c r="F1907" s="42"/>
      <c r="G1907" s="42"/>
      <c r="DN1907" s="191"/>
    </row>
    <row r="1908">
      <c r="A1908" s="15"/>
      <c r="B1908" s="15"/>
      <c r="C1908" s="15"/>
      <c r="D1908" s="42"/>
      <c r="E1908" s="16"/>
      <c r="F1908" s="42"/>
      <c r="G1908" s="42"/>
      <c r="DN1908" s="191"/>
    </row>
    <row r="1909">
      <c r="A1909" s="15"/>
      <c r="B1909" s="15"/>
      <c r="C1909" s="15"/>
      <c r="D1909" s="42"/>
      <c r="E1909" s="16"/>
      <c r="F1909" s="42"/>
      <c r="G1909" s="42"/>
      <c r="DN1909" s="191"/>
    </row>
    <row r="1910">
      <c r="A1910" s="15"/>
      <c r="B1910" s="15"/>
      <c r="C1910" s="15"/>
      <c r="D1910" s="42"/>
      <c r="E1910" s="16"/>
      <c r="F1910" s="42"/>
      <c r="G1910" s="42"/>
      <c r="DN1910" s="191"/>
    </row>
    <row r="1911">
      <c r="A1911" s="15"/>
      <c r="B1911" s="15"/>
      <c r="C1911" s="15"/>
      <c r="D1911" s="42"/>
      <c r="E1911" s="16"/>
      <c r="F1911" s="42"/>
      <c r="G1911" s="42"/>
      <c r="DN1911" s="191"/>
    </row>
    <row r="1912">
      <c r="A1912" s="15"/>
      <c r="B1912" s="15"/>
      <c r="C1912" s="15"/>
      <c r="D1912" s="42"/>
      <c r="E1912" s="16"/>
      <c r="F1912" s="42"/>
      <c r="G1912" s="42"/>
      <c r="DN1912" s="191"/>
    </row>
    <row r="1913">
      <c r="A1913" s="15"/>
      <c r="B1913" s="15"/>
      <c r="C1913" s="15"/>
      <c r="D1913" s="42"/>
      <c r="E1913" s="16"/>
      <c r="F1913" s="42"/>
      <c r="G1913" s="42"/>
      <c r="DN1913" s="191"/>
    </row>
    <row r="1914">
      <c r="A1914" s="15"/>
      <c r="B1914" s="15"/>
      <c r="C1914" s="15"/>
      <c r="D1914" s="42"/>
      <c r="E1914" s="16"/>
      <c r="F1914" s="42"/>
      <c r="G1914" s="42"/>
      <c r="DN1914" s="191"/>
    </row>
    <row r="1915">
      <c r="A1915" s="15"/>
      <c r="B1915" s="15"/>
      <c r="C1915" s="15"/>
      <c r="D1915" s="42"/>
      <c r="E1915" s="16"/>
      <c r="F1915" s="42"/>
      <c r="G1915" s="42"/>
      <c r="DN1915" s="191"/>
    </row>
    <row r="1916">
      <c r="A1916" s="15"/>
      <c r="B1916" s="15"/>
      <c r="C1916" s="15"/>
      <c r="D1916" s="42"/>
      <c r="E1916" s="16"/>
      <c r="F1916" s="42"/>
      <c r="G1916" s="42"/>
      <c r="DN1916" s="191"/>
    </row>
    <row r="1917">
      <c r="A1917" s="15"/>
      <c r="B1917" s="15"/>
      <c r="C1917" s="15"/>
      <c r="D1917" s="42"/>
      <c r="E1917" s="16"/>
      <c r="F1917" s="42"/>
      <c r="G1917" s="42"/>
      <c r="DN1917" s="191"/>
    </row>
    <row r="1918">
      <c r="A1918" s="15"/>
      <c r="B1918" s="15"/>
      <c r="C1918" s="15"/>
      <c r="D1918" s="42"/>
      <c r="E1918" s="16"/>
      <c r="F1918" s="42"/>
      <c r="G1918" s="42"/>
      <c r="DN1918" s="191"/>
    </row>
    <row r="1919">
      <c r="A1919" s="15"/>
      <c r="B1919" s="15"/>
      <c r="C1919" s="15"/>
      <c r="D1919" s="42"/>
      <c r="E1919" s="16"/>
      <c r="F1919" s="42"/>
      <c r="G1919" s="42"/>
      <c r="DN1919" s="191"/>
    </row>
    <row r="1920">
      <c r="A1920" s="15"/>
      <c r="B1920" s="15"/>
      <c r="C1920" s="15"/>
      <c r="D1920" s="42"/>
      <c r="E1920" s="16"/>
      <c r="F1920" s="42"/>
      <c r="G1920" s="42"/>
      <c r="DN1920" s="191"/>
    </row>
    <row r="1921">
      <c r="A1921" s="15"/>
      <c r="B1921" s="15"/>
      <c r="C1921" s="15"/>
      <c r="D1921" s="42"/>
      <c r="E1921" s="16"/>
      <c r="F1921" s="42"/>
      <c r="G1921" s="42"/>
      <c r="DN1921" s="191"/>
    </row>
    <row r="1922">
      <c r="A1922" s="15"/>
      <c r="B1922" s="15"/>
      <c r="C1922" s="15"/>
      <c r="D1922" s="42"/>
      <c r="E1922" s="16"/>
      <c r="F1922" s="42"/>
      <c r="G1922" s="42"/>
      <c r="DN1922" s="191"/>
    </row>
    <row r="1923">
      <c r="A1923" s="15"/>
      <c r="B1923" s="15"/>
      <c r="C1923" s="15"/>
      <c r="D1923" s="42"/>
      <c r="E1923" s="16"/>
      <c r="F1923" s="42"/>
      <c r="G1923" s="42"/>
      <c r="DN1923" s="191"/>
    </row>
    <row r="1924">
      <c r="A1924" s="15"/>
      <c r="B1924" s="15"/>
      <c r="C1924" s="15"/>
      <c r="D1924" s="42"/>
      <c r="E1924" s="16"/>
      <c r="F1924" s="42"/>
      <c r="G1924" s="42"/>
      <c r="DN1924" s="191"/>
    </row>
    <row r="1925">
      <c r="A1925" s="15"/>
      <c r="B1925" s="15"/>
      <c r="C1925" s="15"/>
      <c r="D1925" s="42"/>
      <c r="E1925" s="16"/>
      <c r="F1925" s="42"/>
      <c r="G1925" s="42"/>
      <c r="DN1925" s="191"/>
    </row>
    <row r="1926">
      <c r="A1926" s="15"/>
      <c r="B1926" s="15"/>
      <c r="C1926" s="15"/>
      <c r="D1926" s="42"/>
      <c r="E1926" s="16"/>
      <c r="F1926" s="42"/>
      <c r="G1926" s="42"/>
      <c r="DN1926" s="191"/>
    </row>
    <row r="1927">
      <c r="A1927" s="15"/>
      <c r="B1927" s="15"/>
      <c r="C1927" s="15"/>
      <c r="D1927" s="42"/>
      <c r="E1927" s="16"/>
      <c r="F1927" s="42"/>
      <c r="G1927" s="42"/>
      <c r="DN1927" s="191"/>
    </row>
    <row r="1928">
      <c r="A1928" s="15"/>
      <c r="B1928" s="15"/>
      <c r="C1928" s="15"/>
      <c r="D1928" s="42"/>
      <c r="E1928" s="16"/>
      <c r="F1928" s="42"/>
      <c r="G1928" s="42"/>
      <c r="DN1928" s="191"/>
    </row>
    <row r="1929">
      <c r="A1929" s="15"/>
      <c r="B1929" s="15"/>
      <c r="C1929" s="15"/>
      <c r="D1929" s="42"/>
      <c r="E1929" s="16"/>
      <c r="F1929" s="42"/>
      <c r="G1929" s="42"/>
      <c r="DN1929" s="191"/>
    </row>
    <row r="1930">
      <c r="A1930" s="15"/>
      <c r="B1930" s="15"/>
      <c r="C1930" s="15"/>
      <c r="D1930" s="42"/>
      <c r="E1930" s="16"/>
      <c r="F1930" s="42"/>
      <c r="G1930" s="42"/>
      <c r="DN1930" s="191"/>
    </row>
    <row r="1931">
      <c r="A1931" s="15"/>
      <c r="B1931" s="15"/>
      <c r="C1931" s="15"/>
      <c r="D1931" s="42"/>
      <c r="E1931" s="16"/>
      <c r="F1931" s="42"/>
      <c r="G1931" s="42"/>
      <c r="DN1931" s="191"/>
    </row>
    <row r="1932">
      <c r="A1932" s="15"/>
      <c r="B1932" s="15"/>
      <c r="C1932" s="15"/>
      <c r="D1932" s="42"/>
      <c r="E1932" s="16"/>
      <c r="F1932" s="42"/>
      <c r="G1932" s="42"/>
      <c r="DN1932" s="191"/>
    </row>
    <row r="1933">
      <c r="A1933" s="15"/>
      <c r="B1933" s="15"/>
      <c r="C1933" s="15"/>
      <c r="D1933" s="42"/>
      <c r="E1933" s="16"/>
      <c r="F1933" s="42"/>
      <c r="G1933" s="42"/>
      <c r="DN1933" s="191"/>
    </row>
    <row r="1934">
      <c r="A1934" s="15"/>
      <c r="B1934" s="15"/>
      <c r="C1934" s="15"/>
      <c r="D1934" s="42"/>
      <c r="E1934" s="16"/>
      <c r="F1934" s="42"/>
      <c r="G1934" s="42"/>
      <c r="DN1934" s="191"/>
    </row>
    <row r="1935">
      <c r="A1935" s="15"/>
      <c r="B1935" s="15"/>
      <c r="C1935" s="15"/>
      <c r="D1935" s="42"/>
      <c r="E1935" s="16"/>
      <c r="F1935" s="42"/>
      <c r="G1935" s="42"/>
      <c r="DN1935" s="191"/>
    </row>
    <row r="1936">
      <c r="A1936" s="15"/>
      <c r="B1936" s="15"/>
      <c r="C1936" s="15"/>
      <c r="D1936" s="42"/>
      <c r="E1936" s="16"/>
      <c r="F1936" s="42"/>
      <c r="G1936" s="42"/>
      <c r="DN1936" s="191"/>
    </row>
    <row r="1937">
      <c r="A1937" s="15"/>
      <c r="B1937" s="15"/>
      <c r="C1937" s="15"/>
      <c r="D1937" s="42"/>
      <c r="E1937" s="16"/>
      <c r="F1937" s="42"/>
      <c r="G1937" s="42"/>
      <c r="DN1937" s="191"/>
    </row>
    <row r="1938">
      <c r="A1938" s="15"/>
      <c r="B1938" s="15"/>
      <c r="C1938" s="15"/>
      <c r="D1938" s="42"/>
      <c r="E1938" s="16"/>
      <c r="F1938" s="42"/>
      <c r="G1938" s="42"/>
      <c r="DN1938" s="191"/>
    </row>
    <row r="1939">
      <c r="A1939" s="15"/>
      <c r="B1939" s="15"/>
      <c r="C1939" s="15"/>
      <c r="D1939" s="42"/>
      <c r="E1939" s="16"/>
      <c r="F1939" s="42"/>
      <c r="G1939" s="42"/>
      <c r="DN1939" s="191"/>
    </row>
    <row r="1940">
      <c r="A1940" s="15"/>
      <c r="B1940" s="15"/>
      <c r="C1940" s="15"/>
      <c r="D1940" s="42"/>
      <c r="E1940" s="16"/>
      <c r="F1940" s="42"/>
      <c r="G1940" s="42"/>
      <c r="DN1940" s="191"/>
    </row>
    <row r="1941">
      <c r="A1941" s="15"/>
      <c r="B1941" s="15"/>
      <c r="C1941" s="15"/>
      <c r="D1941" s="42"/>
      <c r="E1941" s="16"/>
      <c r="F1941" s="42"/>
      <c r="G1941" s="42"/>
      <c r="DN1941" s="191"/>
    </row>
    <row r="1942">
      <c r="A1942" s="15"/>
      <c r="B1942" s="15"/>
      <c r="C1942" s="15"/>
      <c r="D1942" s="42"/>
      <c r="E1942" s="16"/>
      <c r="F1942" s="42"/>
      <c r="G1942" s="42"/>
      <c r="DN1942" s="191"/>
    </row>
    <row r="1943">
      <c r="A1943" s="15"/>
      <c r="B1943" s="15"/>
      <c r="C1943" s="15"/>
      <c r="D1943" s="42"/>
      <c r="E1943" s="16"/>
      <c r="F1943" s="42"/>
      <c r="G1943" s="42"/>
      <c r="DN1943" s="191"/>
    </row>
    <row r="1944">
      <c r="A1944" s="15"/>
      <c r="B1944" s="15"/>
      <c r="C1944" s="15"/>
      <c r="D1944" s="42"/>
      <c r="E1944" s="16"/>
      <c r="F1944" s="42"/>
      <c r="G1944" s="42"/>
      <c r="DN1944" s="191"/>
    </row>
    <row r="1945">
      <c r="A1945" s="15"/>
      <c r="B1945" s="15"/>
      <c r="C1945" s="15"/>
      <c r="D1945" s="42"/>
      <c r="E1945" s="16"/>
      <c r="F1945" s="42"/>
      <c r="G1945" s="42"/>
      <c r="DN1945" s="191"/>
    </row>
    <row r="1946">
      <c r="A1946" s="15"/>
      <c r="B1946" s="15"/>
      <c r="C1946" s="15"/>
      <c r="D1946" s="42"/>
      <c r="E1946" s="16"/>
      <c r="F1946" s="42"/>
      <c r="G1946" s="42"/>
      <c r="DN1946" s="191"/>
    </row>
    <row r="1947">
      <c r="A1947" s="15"/>
      <c r="B1947" s="15"/>
      <c r="C1947" s="15"/>
      <c r="D1947" s="42"/>
      <c r="E1947" s="16"/>
      <c r="F1947" s="42"/>
      <c r="G1947" s="42"/>
      <c r="DN1947" s="191"/>
    </row>
    <row r="1948">
      <c r="A1948" s="15"/>
      <c r="B1948" s="15"/>
      <c r="C1948" s="15"/>
      <c r="D1948" s="42"/>
      <c r="E1948" s="16"/>
      <c r="F1948" s="42"/>
      <c r="G1948" s="42"/>
      <c r="DN1948" s="191"/>
    </row>
    <row r="1949">
      <c r="A1949" s="15"/>
      <c r="B1949" s="15"/>
      <c r="C1949" s="15"/>
      <c r="D1949" s="42"/>
      <c r="E1949" s="16"/>
      <c r="F1949" s="42"/>
      <c r="G1949" s="42"/>
      <c r="DN1949" s="191"/>
    </row>
    <row r="1950">
      <c r="A1950" s="15"/>
      <c r="B1950" s="15"/>
      <c r="C1950" s="15"/>
      <c r="D1950" s="42"/>
      <c r="E1950" s="16"/>
      <c r="F1950" s="42"/>
      <c r="G1950" s="42"/>
      <c r="DN1950" s="191"/>
    </row>
    <row r="1951">
      <c r="A1951" s="15"/>
      <c r="B1951" s="15"/>
      <c r="C1951" s="15"/>
      <c r="D1951" s="42"/>
      <c r="E1951" s="16"/>
      <c r="F1951" s="42"/>
      <c r="G1951" s="42"/>
      <c r="DN1951" s="191"/>
    </row>
    <row r="1952">
      <c r="A1952" s="15"/>
      <c r="B1952" s="15"/>
      <c r="C1952" s="15"/>
      <c r="D1952" s="42"/>
      <c r="E1952" s="16"/>
      <c r="F1952" s="42"/>
      <c r="G1952" s="42"/>
      <c r="DN1952" s="191"/>
    </row>
    <row r="1953">
      <c r="A1953" s="15"/>
      <c r="B1953" s="15"/>
      <c r="C1953" s="15"/>
      <c r="D1953" s="42"/>
      <c r="E1953" s="16"/>
      <c r="F1953" s="42"/>
      <c r="G1953" s="42"/>
      <c r="DN1953" s="191"/>
    </row>
    <row r="1954">
      <c r="A1954" s="15"/>
      <c r="B1954" s="15"/>
      <c r="C1954" s="15"/>
      <c r="D1954" s="42"/>
      <c r="E1954" s="16"/>
      <c r="F1954" s="42"/>
      <c r="G1954" s="42"/>
      <c r="DN1954" s="191"/>
    </row>
    <row r="1955">
      <c r="A1955" s="15"/>
      <c r="B1955" s="15"/>
      <c r="C1955" s="15"/>
      <c r="D1955" s="42"/>
      <c r="E1955" s="16"/>
      <c r="F1955" s="42"/>
      <c r="G1955" s="42"/>
      <c r="DN1955" s="191"/>
    </row>
    <row r="1956">
      <c r="A1956" s="15"/>
      <c r="B1956" s="15"/>
      <c r="C1956" s="15"/>
      <c r="D1956" s="42"/>
      <c r="E1956" s="16"/>
      <c r="F1956" s="42"/>
      <c r="G1956" s="42"/>
      <c r="DN1956" s="191"/>
    </row>
    <row r="1957">
      <c r="A1957" s="15"/>
      <c r="B1957" s="15"/>
      <c r="C1957" s="15"/>
      <c r="D1957" s="42"/>
      <c r="E1957" s="16"/>
      <c r="F1957" s="42"/>
      <c r="G1957" s="42"/>
      <c r="DN1957" s="191"/>
    </row>
    <row r="1958">
      <c r="A1958" s="15"/>
      <c r="B1958" s="15"/>
      <c r="C1958" s="15"/>
      <c r="D1958" s="42"/>
      <c r="E1958" s="16"/>
      <c r="F1958" s="42"/>
      <c r="G1958" s="42"/>
      <c r="DN1958" s="191"/>
    </row>
    <row r="1959">
      <c r="A1959" s="15"/>
      <c r="B1959" s="15"/>
      <c r="C1959" s="15"/>
      <c r="D1959" s="42"/>
      <c r="E1959" s="16"/>
      <c r="F1959" s="42"/>
      <c r="G1959" s="42"/>
      <c r="DN1959" s="191"/>
    </row>
    <row r="1960">
      <c r="A1960" s="15"/>
      <c r="B1960" s="15"/>
      <c r="C1960" s="15"/>
      <c r="D1960" s="42"/>
      <c r="E1960" s="16"/>
      <c r="F1960" s="42"/>
      <c r="G1960" s="42"/>
      <c r="DN1960" s="191"/>
    </row>
    <row r="1961">
      <c r="A1961" s="15"/>
      <c r="B1961" s="15"/>
      <c r="C1961" s="15"/>
      <c r="D1961" s="42"/>
      <c r="E1961" s="16"/>
      <c r="F1961" s="42"/>
      <c r="G1961" s="42"/>
      <c r="DN1961" s="191"/>
    </row>
    <row r="1962">
      <c r="A1962" s="15"/>
      <c r="B1962" s="15"/>
      <c r="C1962" s="15"/>
      <c r="D1962" s="42"/>
      <c r="E1962" s="16"/>
      <c r="F1962" s="42"/>
      <c r="G1962" s="42"/>
      <c r="DN1962" s="191"/>
    </row>
    <row r="1963">
      <c r="A1963" s="15"/>
      <c r="B1963" s="15"/>
      <c r="C1963" s="15"/>
      <c r="D1963" s="42"/>
      <c r="E1963" s="16"/>
      <c r="F1963" s="42"/>
      <c r="G1963" s="42"/>
      <c r="DN1963" s="191"/>
    </row>
    <row r="1964">
      <c r="A1964" s="15"/>
      <c r="B1964" s="15"/>
      <c r="C1964" s="15"/>
      <c r="D1964" s="42"/>
      <c r="E1964" s="16"/>
      <c r="F1964" s="42"/>
      <c r="G1964" s="42"/>
      <c r="DN1964" s="191"/>
    </row>
    <row r="1965">
      <c r="A1965" s="15"/>
      <c r="B1965" s="15"/>
      <c r="C1965" s="15"/>
      <c r="D1965" s="42"/>
      <c r="E1965" s="16"/>
      <c r="F1965" s="42"/>
      <c r="G1965" s="42"/>
      <c r="DN1965" s="191"/>
    </row>
    <row r="1966">
      <c r="A1966" s="15"/>
      <c r="B1966" s="15"/>
      <c r="C1966" s="15"/>
      <c r="D1966" s="42"/>
      <c r="E1966" s="16"/>
      <c r="F1966" s="42"/>
      <c r="G1966" s="42"/>
      <c r="DN1966" s="191"/>
    </row>
    <row r="1967">
      <c r="A1967" s="15"/>
      <c r="B1967" s="15"/>
      <c r="C1967" s="15"/>
      <c r="D1967" s="42"/>
      <c r="E1967" s="16"/>
      <c r="F1967" s="42"/>
      <c r="G1967" s="42"/>
      <c r="DN1967" s="191"/>
    </row>
    <row r="1968">
      <c r="A1968" s="15"/>
      <c r="B1968" s="15"/>
      <c r="C1968" s="15"/>
      <c r="D1968" s="42"/>
      <c r="E1968" s="16"/>
      <c r="F1968" s="42"/>
      <c r="G1968" s="42"/>
      <c r="DN1968" s="191"/>
    </row>
    <row r="1969">
      <c r="A1969" s="15"/>
      <c r="B1969" s="15"/>
      <c r="C1969" s="15"/>
      <c r="D1969" s="42"/>
      <c r="E1969" s="16"/>
      <c r="F1969" s="42"/>
      <c r="G1969" s="42"/>
      <c r="DN1969" s="191"/>
    </row>
    <row r="1970">
      <c r="A1970" s="15"/>
      <c r="B1970" s="15"/>
      <c r="C1970" s="15"/>
      <c r="D1970" s="42"/>
      <c r="E1970" s="16"/>
      <c r="F1970" s="42"/>
      <c r="G1970" s="42"/>
      <c r="DN1970" s="191"/>
    </row>
    <row r="1971">
      <c r="A1971" s="15"/>
      <c r="B1971" s="15"/>
      <c r="C1971" s="15"/>
      <c r="D1971" s="42"/>
      <c r="E1971" s="16"/>
      <c r="F1971" s="42"/>
      <c r="G1971" s="42"/>
      <c r="DN1971" s="191"/>
    </row>
    <row r="1972">
      <c r="A1972" s="15"/>
      <c r="B1972" s="15"/>
      <c r="C1972" s="15"/>
      <c r="D1972" s="42"/>
      <c r="E1972" s="16"/>
      <c r="F1972" s="42"/>
      <c r="G1972" s="42"/>
      <c r="DN1972" s="191"/>
    </row>
    <row r="1973">
      <c r="A1973" s="15"/>
      <c r="B1973" s="15"/>
      <c r="C1973" s="15"/>
      <c r="D1973" s="42"/>
      <c r="E1973" s="16"/>
      <c r="F1973" s="42"/>
      <c r="G1973" s="42"/>
      <c r="DN1973" s="191"/>
    </row>
    <row r="1974">
      <c r="A1974" s="15"/>
      <c r="B1974" s="15"/>
      <c r="C1974" s="15"/>
      <c r="D1974" s="42"/>
      <c r="E1974" s="16"/>
      <c r="F1974" s="42"/>
      <c r="G1974" s="42"/>
      <c r="DN1974" s="191"/>
    </row>
    <row r="1975">
      <c r="A1975" s="15"/>
      <c r="B1975" s="15"/>
      <c r="C1975" s="15"/>
      <c r="D1975" s="42"/>
      <c r="E1975" s="16"/>
      <c r="F1975" s="42"/>
      <c r="G1975" s="42"/>
      <c r="DN1975" s="191"/>
    </row>
    <row r="1976">
      <c r="A1976" s="15"/>
      <c r="B1976" s="15"/>
      <c r="C1976" s="15"/>
      <c r="D1976" s="42"/>
      <c r="E1976" s="16"/>
      <c r="F1976" s="42"/>
      <c r="G1976" s="42"/>
      <c r="DN1976" s="191"/>
    </row>
    <row r="1977">
      <c r="A1977" s="15"/>
      <c r="B1977" s="15"/>
      <c r="C1977" s="15"/>
      <c r="D1977" s="42"/>
      <c r="E1977" s="16"/>
      <c r="F1977" s="42"/>
      <c r="G1977" s="42"/>
      <c r="DN1977" s="191"/>
    </row>
    <row r="1978">
      <c r="A1978" s="15"/>
      <c r="B1978" s="15"/>
      <c r="C1978" s="15"/>
      <c r="D1978" s="42"/>
      <c r="E1978" s="16"/>
      <c r="F1978" s="42"/>
      <c r="G1978" s="42"/>
      <c r="DN1978" s="191"/>
    </row>
    <row r="1979">
      <c r="A1979" s="15"/>
      <c r="B1979" s="15"/>
      <c r="C1979" s="15"/>
      <c r="D1979" s="42"/>
      <c r="E1979" s="16"/>
      <c r="F1979" s="42"/>
      <c r="G1979" s="42"/>
      <c r="DN1979" s="191"/>
    </row>
    <row r="1980">
      <c r="A1980" s="15"/>
      <c r="B1980" s="15"/>
      <c r="C1980" s="15"/>
      <c r="D1980" s="42"/>
      <c r="E1980" s="16"/>
      <c r="F1980" s="42"/>
      <c r="G1980" s="42"/>
      <c r="DN1980" s="191"/>
    </row>
    <row r="1981">
      <c r="A1981" s="15"/>
      <c r="B1981" s="15"/>
      <c r="C1981" s="15"/>
      <c r="D1981" s="42"/>
      <c r="E1981" s="16"/>
      <c r="F1981" s="42"/>
      <c r="G1981" s="42"/>
      <c r="DN1981" s="191"/>
    </row>
    <row r="1982">
      <c r="A1982" s="15"/>
      <c r="B1982" s="15"/>
      <c r="C1982" s="15"/>
      <c r="D1982" s="42"/>
      <c r="E1982" s="16"/>
      <c r="F1982" s="42"/>
      <c r="G1982" s="42"/>
      <c r="DN1982" s="191"/>
    </row>
    <row r="1983">
      <c r="A1983" s="15"/>
      <c r="B1983" s="15"/>
      <c r="C1983" s="15"/>
      <c r="D1983" s="42"/>
      <c r="E1983" s="16"/>
      <c r="F1983" s="42"/>
      <c r="G1983" s="42"/>
      <c r="DN1983" s="191"/>
    </row>
    <row r="1984">
      <c r="A1984" s="15"/>
      <c r="B1984" s="15"/>
      <c r="C1984" s="15"/>
      <c r="D1984" s="42"/>
      <c r="E1984" s="16"/>
      <c r="F1984" s="42"/>
      <c r="G1984" s="42"/>
      <c r="DN1984" s="191"/>
    </row>
    <row r="1985">
      <c r="A1985" s="15"/>
      <c r="B1985" s="15"/>
      <c r="C1985" s="15"/>
      <c r="D1985" s="42"/>
      <c r="E1985" s="16"/>
      <c r="F1985" s="42"/>
      <c r="G1985" s="42"/>
      <c r="DN1985" s="191"/>
    </row>
    <row r="1986">
      <c r="A1986" s="15"/>
      <c r="B1986" s="15"/>
      <c r="C1986" s="15"/>
      <c r="D1986" s="42"/>
      <c r="E1986" s="16"/>
      <c r="F1986" s="42"/>
      <c r="G1986" s="42"/>
      <c r="DN1986" s="191"/>
    </row>
    <row r="1987">
      <c r="A1987" s="15"/>
      <c r="B1987" s="15"/>
      <c r="C1987" s="15"/>
      <c r="D1987" s="42"/>
      <c r="E1987" s="16"/>
      <c r="F1987" s="42"/>
      <c r="G1987" s="42"/>
      <c r="DN1987" s="191"/>
    </row>
    <row r="1988">
      <c r="A1988" s="15"/>
      <c r="B1988" s="15"/>
      <c r="C1988" s="15"/>
      <c r="D1988" s="42"/>
      <c r="E1988" s="16"/>
      <c r="F1988" s="42"/>
      <c r="G1988" s="42"/>
      <c r="DN1988" s="191"/>
    </row>
    <row r="1989">
      <c r="A1989" s="15"/>
      <c r="B1989" s="15"/>
      <c r="C1989" s="15"/>
      <c r="D1989" s="42"/>
      <c r="E1989" s="16"/>
      <c r="F1989" s="42"/>
      <c r="G1989" s="42"/>
      <c r="DN1989" s="191"/>
    </row>
    <row r="1990">
      <c r="A1990" s="15"/>
      <c r="B1990" s="15"/>
      <c r="C1990" s="15"/>
      <c r="D1990" s="42"/>
      <c r="E1990" s="16"/>
      <c r="F1990" s="42"/>
      <c r="G1990" s="42"/>
      <c r="DN1990" s="191"/>
    </row>
    <row r="1991">
      <c r="A1991" s="15"/>
      <c r="B1991" s="15"/>
      <c r="C1991" s="15"/>
      <c r="D1991" s="42"/>
      <c r="E1991" s="16"/>
      <c r="F1991" s="42"/>
      <c r="G1991" s="42"/>
      <c r="DN1991" s="191"/>
    </row>
    <row r="1992">
      <c r="A1992" s="15"/>
      <c r="B1992" s="15"/>
      <c r="C1992" s="15"/>
      <c r="D1992" s="42"/>
      <c r="E1992" s="16"/>
      <c r="F1992" s="42"/>
      <c r="G1992" s="42"/>
      <c r="DN1992" s="191"/>
    </row>
    <row r="1993">
      <c r="A1993" s="15"/>
      <c r="B1993" s="15"/>
      <c r="C1993" s="15"/>
      <c r="D1993" s="42"/>
      <c r="E1993" s="16"/>
      <c r="F1993" s="42"/>
      <c r="G1993" s="42"/>
      <c r="DN1993" s="191"/>
    </row>
    <row r="1994">
      <c r="A1994" s="15"/>
      <c r="B1994" s="15"/>
      <c r="C1994" s="15"/>
      <c r="D1994" s="42"/>
      <c r="E1994" s="16"/>
      <c r="F1994" s="42"/>
      <c r="G1994" s="42"/>
      <c r="DN1994" s="191"/>
    </row>
    <row r="1995">
      <c r="A1995" s="15"/>
      <c r="B1995" s="15"/>
      <c r="C1995" s="15"/>
      <c r="D1995" s="42"/>
      <c r="E1995" s="16"/>
      <c r="F1995" s="42"/>
      <c r="G1995" s="42"/>
      <c r="DN1995" s="191"/>
    </row>
    <row r="1996">
      <c r="A1996" s="15"/>
      <c r="B1996" s="15"/>
      <c r="C1996" s="15"/>
      <c r="D1996" s="42"/>
      <c r="E1996" s="16"/>
      <c r="F1996" s="42"/>
      <c r="G1996" s="42"/>
      <c r="DN1996" s="191"/>
    </row>
    <row r="1997">
      <c r="A1997" s="15"/>
      <c r="B1997" s="15"/>
      <c r="C1997" s="15"/>
      <c r="D1997" s="42"/>
      <c r="E1997" s="16"/>
      <c r="F1997" s="42"/>
      <c r="G1997" s="42"/>
      <c r="DN1997" s="191"/>
    </row>
    <row r="1998">
      <c r="A1998" s="15"/>
      <c r="B1998" s="15"/>
      <c r="C1998" s="15"/>
      <c r="D1998" s="42"/>
      <c r="E1998" s="16"/>
      <c r="F1998" s="42"/>
      <c r="G1998" s="42"/>
      <c r="DN1998" s="191"/>
    </row>
    <row r="1999">
      <c r="A1999" s="15"/>
      <c r="B1999" s="15"/>
      <c r="C1999" s="15"/>
      <c r="D1999" s="42"/>
      <c r="E1999" s="16"/>
      <c r="F1999" s="42"/>
      <c r="G1999" s="42"/>
      <c r="DN1999" s="191"/>
    </row>
    <row r="2000">
      <c r="A2000" s="15"/>
      <c r="B2000" s="15"/>
      <c r="C2000" s="15"/>
      <c r="D2000" s="42"/>
      <c r="E2000" s="16"/>
      <c r="F2000" s="42"/>
      <c r="G2000" s="42"/>
      <c r="DN2000" s="191"/>
    </row>
    <row r="2001">
      <c r="A2001" s="15"/>
      <c r="B2001" s="15"/>
      <c r="C2001" s="15"/>
      <c r="D2001" s="42"/>
      <c r="E2001" s="16"/>
      <c r="F2001" s="42"/>
      <c r="G2001" s="42"/>
      <c r="DN2001" s="191"/>
    </row>
    <row r="2002">
      <c r="A2002" s="15"/>
      <c r="B2002" s="15"/>
      <c r="C2002" s="15"/>
      <c r="D2002" s="42"/>
      <c r="E2002" s="16"/>
      <c r="F2002" s="42"/>
      <c r="G2002" s="42"/>
      <c r="DN2002" s="191"/>
    </row>
    <row r="2003">
      <c r="A2003" s="15"/>
      <c r="B2003" s="15"/>
      <c r="C2003" s="15"/>
      <c r="D2003" s="42"/>
      <c r="E2003" s="16"/>
      <c r="F2003" s="42"/>
      <c r="G2003" s="42"/>
      <c r="DN2003" s="191"/>
    </row>
    <row r="2004">
      <c r="A2004" s="15"/>
      <c r="B2004" s="15"/>
      <c r="C2004" s="15"/>
      <c r="D2004" s="42"/>
      <c r="E2004" s="16"/>
      <c r="F2004" s="42"/>
      <c r="G2004" s="42"/>
      <c r="DN2004" s="191"/>
    </row>
    <row r="2005">
      <c r="A2005" s="15"/>
      <c r="B2005" s="15"/>
      <c r="C2005" s="15"/>
      <c r="D2005" s="42"/>
      <c r="E2005" s="16"/>
      <c r="F2005" s="42"/>
      <c r="G2005" s="42"/>
      <c r="DN2005" s="191"/>
    </row>
    <row r="2006">
      <c r="A2006" s="15"/>
      <c r="B2006" s="15"/>
      <c r="C2006" s="15"/>
      <c r="D2006" s="42"/>
      <c r="E2006" s="16"/>
      <c r="F2006" s="42"/>
      <c r="G2006" s="42"/>
      <c r="DN2006" s="191"/>
    </row>
    <row r="2007">
      <c r="A2007" s="15"/>
      <c r="B2007" s="15"/>
      <c r="C2007" s="15"/>
      <c r="D2007" s="42"/>
      <c r="E2007" s="16"/>
      <c r="F2007" s="42"/>
      <c r="G2007" s="42"/>
      <c r="DN2007" s="191"/>
    </row>
    <row r="2008">
      <c r="A2008" s="15"/>
      <c r="B2008" s="15"/>
      <c r="C2008" s="15"/>
      <c r="D2008" s="42"/>
      <c r="E2008" s="16"/>
      <c r="F2008" s="42"/>
      <c r="G2008" s="42"/>
      <c r="DN2008" s="191"/>
    </row>
    <row r="2009">
      <c r="A2009" s="15"/>
      <c r="B2009" s="15"/>
      <c r="C2009" s="15"/>
      <c r="D2009" s="42"/>
      <c r="E2009" s="16"/>
      <c r="F2009" s="42"/>
      <c r="G2009" s="42"/>
      <c r="DN2009" s="191"/>
    </row>
    <row r="2010">
      <c r="A2010" s="15"/>
      <c r="B2010" s="15"/>
      <c r="C2010" s="15"/>
      <c r="D2010" s="42"/>
      <c r="E2010" s="16"/>
      <c r="F2010" s="42"/>
      <c r="G2010" s="42"/>
      <c r="DN2010" s="191"/>
    </row>
    <row r="2011">
      <c r="A2011" s="15"/>
      <c r="B2011" s="15"/>
      <c r="C2011" s="15"/>
      <c r="D2011" s="42"/>
      <c r="E2011" s="16"/>
      <c r="F2011" s="42"/>
      <c r="G2011" s="42"/>
      <c r="DN2011" s="191"/>
    </row>
    <row r="2012">
      <c r="A2012" s="15"/>
      <c r="B2012" s="15"/>
      <c r="C2012" s="15"/>
      <c r="D2012" s="42"/>
      <c r="E2012" s="16"/>
      <c r="F2012" s="42"/>
      <c r="G2012" s="42"/>
      <c r="DN2012" s="191"/>
    </row>
    <row r="2013">
      <c r="A2013" s="15"/>
      <c r="B2013" s="15"/>
      <c r="C2013" s="15"/>
      <c r="D2013" s="42"/>
      <c r="E2013" s="16"/>
      <c r="F2013" s="42"/>
      <c r="G2013" s="42"/>
      <c r="DN2013" s="191"/>
    </row>
    <row r="2014">
      <c r="A2014" s="15"/>
      <c r="B2014" s="15"/>
      <c r="C2014" s="15"/>
      <c r="D2014" s="42"/>
      <c r="E2014" s="16"/>
      <c r="F2014" s="42"/>
      <c r="G2014" s="42"/>
      <c r="DN2014" s="191"/>
    </row>
    <row r="2015">
      <c r="A2015" s="15"/>
      <c r="B2015" s="15"/>
      <c r="C2015" s="15"/>
      <c r="D2015" s="42"/>
      <c r="E2015" s="16"/>
      <c r="F2015" s="42"/>
      <c r="G2015" s="42"/>
      <c r="DN2015" s="191"/>
    </row>
    <row r="2016">
      <c r="A2016" s="15"/>
      <c r="B2016" s="15"/>
      <c r="C2016" s="15"/>
      <c r="D2016" s="42"/>
      <c r="E2016" s="16"/>
      <c r="F2016" s="42"/>
      <c r="G2016" s="42"/>
      <c r="DN2016" s="191"/>
    </row>
    <row r="2017">
      <c r="A2017" s="15"/>
      <c r="B2017" s="15"/>
      <c r="C2017" s="15"/>
      <c r="D2017" s="42"/>
      <c r="E2017" s="16"/>
      <c r="F2017" s="42"/>
      <c r="G2017" s="42"/>
      <c r="DN2017" s="191"/>
    </row>
    <row r="2018">
      <c r="A2018" s="15"/>
      <c r="B2018" s="15"/>
      <c r="C2018" s="15"/>
      <c r="D2018" s="42"/>
      <c r="E2018" s="16"/>
      <c r="F2018" s="42"/>
      <c r="G2018" s="42"/>
      <c r="DN2018" s="191"/>
    </row>
    <row r="2019">
      <c r="A2019" s="15"/>
      <c r="B2019" s="15"/>
      <c r="C2019" s="15"/>
      <c r="D2019" s="42"/>
      <c r="E2019" s="16"/>
      <c r="F2019" s="42"/>
      <c r="G2019" s="42"/>
      <c r="DN2019" s="191"/>
    </row>
    <row r="2020">
      <c r="A2020" s="15"/>
      <c r="B2020" s="15"/>
      <c r="C2020" s="15"/>
      <c r="D2020" s="42"/>
      <c r="E2020" s="16"/>
      <c r="F2020" s="42"/>
      <c r="G2020" s="42"/>
      <c r="DN2020" s="191"/>
    </row>
    <row r="2021">
      <c r="A2021" s="15"/>
      <c r="B2021" s="15"/>
      <c r="C2021" s="15"/>
      <c r="D2021" s="42"/>
      <c r="E2021" s="16"/>
      <c r="F2021" s="42"/>
      <c r="G2021" s="42"/>
      <c r="DN2021" s="191"/>
    </row>
    <row r="2022">
      <c r="A2022" s="15"/>
      <c r="B2022" s="15"/>
      <c r="C2022" s="15"/>
      <c r="D2022" s="42"/>
      <c r="E2022" s="16"/>
      <c r="F2022" s="42"/>
      <c r="G2022" s="42"/>
      <c r="DN2022" s="191"/>
    </row>
    <row r="2023">
      <c r="A2023" s="15"/>
      <c r="B2023" s="15"/>
      <c r="C2023" s="15"/>
      <c r="D2023" s="42"/>
      <c r="E2023" s="16"/>
      <c r="F2023" s="42"/>
      <c r="G2023" s="42"/>
      <c r="DN2023" s="191"/>
    </row>
    <row r="2024">
      <c r="A2024" s="15"/>
      <c r="B2024" s="15"/>
      <c r="C2024" s="15"/>
      <c r="D2024" s="42"/>
      <c r="E2024" s="16"/>
      <c r="F2024" s="42"/>
      <c r="G2024" s="42"/>
      <c r="DN2024" s="191"/>
    </row>
    <row r="2025">
      <c r="A2025" s="15"/>
      <c r="B2025" s="15"/>
      <c r="C2025" s="15"/>
      <c r="D2025" s="42"/>
      <c r="E2025" s="16"/>
      <c r="F2025" s="42"/>
      <c r="G2025" s="42"/>
      <c r="DN2025" s="191"/>
    </row>
    <row r="2026">
      <c r="A2026" s="15"/>
      <c r="B2026" s="15"/>
      <c r="C2026" s="15"/>
      <c r="D2026" s="42"/>
      <c r="E2026" s="16"/>
      <c r="F2026" s="42"/>
      <c r="G2026" s="42"/>
      <c r="DN2026" s="191"/>
    </row>
    <row r="2027">
      <c r="A2027" s="15"/>
      <c r="B2027" s="15"/>
      <c r="C2027" s="15"/>
      <c r="D2027" s="42"/>
      <c r="E2027" s="16"/>
      <c r="F2027" s="42"/>
      <c r="G2027" s="42"/>
      <c r="DN2027" s="191"/>
    </row>
    <row r="2028">
      <c r="A2028" s="15"/>
      <c r="B2028" s="15"/>
      <c r="C2028" s="15"/>
      <c r="D2028" s="42"/>
      <c r="E2028" s="16"/>
      <c r="F2028" s="42"/>
      <c r="G2028" s="42"/>
      <c r="DN2028" s="191"/>
    </row>
    <row r="2029">
      <c r="A2029" s="15"/>
      <c r="B2029" s="15"/>
      <c r="C2029" s="15"/>
      <c r="D2029" s="42"/>
      <c r="E2029" s="16"/>
      <c r="F2029" s="42"/>
      <c r="G2029" s="42"/>
      <c r="DN2029" s="191"/>
    </row>
    <row r="2030">
      <c r="A2030" s="15"/>
      <c r="B2030" s="15"/>
      <c r="C2030" s="15"/>
      <c r="D2030" s="42"/>
      <c r="E2030" s="16"/>
      <c r="F2030" s="42"/>
      <c r="G2030" s="42"/>
      <c r="DN2030" s="191"/>
    </row>
    <row r="2031">
      <c r="A2031" s="15"/>
      <c r="B2031" s="15"/>
      <c r="C2031" s="15"/>
      <c r="D2031" s="42"/>
      <c r="E2031" s="16"/>
      <c r="F2031" s="42"/>
      <c r="G2031" s="42"/>
      <c r="DN2031" s="191"/>
    </row>
    <row r="2032">
      <c r="A2032" s="15"/>
      <c r="B2032" s="15"/>
      <c r="C2032" s="15"/>
      <c r="D2032" s="42"/>
      <c r="E2032" s="16"/>
      <c r="F2032" s="42"/>
      <c r="G2032" s="42"/>
      <c r="DN2032" s="191"/>
    </row>
    <row r="2033">
      <c r="A2033" s="15"/>
      <c r="B2033" s="15"/>
      <c r="C2033" s="15"/>
      <c r="D2033" s="42"/>
      <c r="E2033" s="16"/>
      <c r="F2033" s="42"/>
      <c r="G2033" s="42"/>
      <c r="DN2033" s="191"/>
    </row>
    <row r="2034">
      <c r="A2034" s="15"/>
      <c r="B2034" s="15"/>
      <c r="C2034" s="15"/>
      <c r="D2034" s="42"/>
      <c r="E2034" s="16"/>
      <c r="F2034" s="42"/>
      <c r="G2034" s="42"/>
      <c r="DN2034" s="191"/>
    </row>
    <row r="2035">
      <c r="A2035" s="15"/>
      <c r="B2035" s="15"/>
      <c r="C2035" s="15"/>
      <c r="D2035" s="42"/>
      <c r="E2035" s="16"/>
      <c r="F2035" s="42"/>
      <c r="G2035" s="42"/>
      <c r="DN2035" s="191"/>
    </row>
    <row r="2036">
      <c r="A2036" s="15"/>
      <c r="B2036" s="15"/>
      <c r="C2036" s="15"/>
      <c r="D2036" s="42"/>
      <c r="E2036" s="16"/>
      <c r="F2036" s="42"/>
      <c r="G2036" s="42"/>
      <c r="DN2036" s="191"/>
    </row>
    <row r="2037">
      <c r="A2037" s="15"/>
      <c r="B2037" s="15"/>
      <c r="C2037" s="15"/>
      <c r="D2037" s="42"/>
      <c r="E2037" s="16"/>
      <c r="F2037" s="42"/>
      <c r="G2037" s="42"/>
      <c r="DN2037" s="191"/>
    </row>
    <row r="2038">
      <c r="A2038" s="15"/>
      <c r="B2038" s="15"/>
      <c r="C2038" s="15"/>
      <c r="D2038" s="42"/>
      <c r="E2038" s="16"/>
      <c r="F2038" s="42"/>
      <c r="G2038" s="42"/>
      <c r="DN2038" s="191"/>
    </row>
    <row r="2039">
      <c r="A2039" s="15"/>
      <c r="B2039" s="15"/>
      <c r="C2039" s="15"/>
      <c r="D2039" s="42"/>
      <c r="E2039" s="16"/>
      <c r="F2039" s="42"/>
      <c r="G2039" s="42"/>
      <c r="DN2039" s="191"/>
    </row>
    <row r="2040">
      <c r="A2040" s="15"/>
      <c r="B2040" s="15"/>
      <c r="C2040" s="15"/>
      <c r="D2040" s="42"/>
      <c r="E2040" s="16"/>
      <c r="F2040" s="42"/>
      <c r="G2040" s="42"/>
      <c r="DN2040" s="191"/>
    </row>
    <row r="2041">
      <c r="A2041" s="15"/>
      <c r="B2041" s="15"/>
      <c r="C2041" s="15"/>
      <c r="D2041" s="42"/>
      <c r="E2041" s="16"/>
      <c r="F2041" s="42"/>
      <c r="G2041" s="42"/>
      <c r="DN2041" s="191"/>
    </row>
    <row r="2042">
      <c r="A2042" s="15"/>
      <c r="B2042" s="15"/>
      <c r="C2042" s="15"/>
      <c r="D2042" s="42"/>
      <c r="E2042" s="16"/>
      <c r="F2042" s="42"/>
      <c r="G2042" s="42"/>
      <c r="DN2042" s="191"/>
    </row>
    <row r="2043">
      <c r="A2043" s="15"/>
      <c r="B2043" s="15"/>
      <c r="C2043" s="15"/>
      <c r="D2043" s="42"/>
      <c r="E2043" s="16"/>
      <c r="F2043" s="42"/>
      <c r="G2043" s="42"/>
      <c r="DN2043" s="191"/>
    </row>
    <row r="2044">
      <c r="A2044" s="15"/>
      <c r="B2044" s="15"/>
      <c r="C2044" s="15"/>
      <c r="D2044" s="42"/>
      <c r="E2044" s="16"/>
      <c r="F2044" s="42"/>
      <c r="G2044" s="42"/>
      <c r="DN2044" s="191"/>
    </row>
    <row r="2045">
      <c r="A2045" s="15"/>
      <c r="B2045" s="15"/>
      <c r="C2045" s="15"/>
      <c r="D2045" s="42"/>
      <c r="E2045" s="16"/>
      <c r="F2045" s="42"/>
      <c r="G2045" s="42"/>
      <c r="DN2045" s="191"/>
    </row>
    <row r="2046">
      <c r="A2046" s="15"/>
      <c r="B2046" s="15"/>
      <c r="C2046" s="15"/>
      <c r="D2046" s="42"/>
      <c r="E2046" s="16"/>
      <c r="F2046" s="42"/>
      <c r="G2046" s="42"/>
      <c r="DN2046" s="191"/>
    </row>
    <row r="2047">
      <c r="A2047" s="15"/>
      <c r="B2047" s="15"/>
      <c r="C2047" s="15"/>
      <c r="D2047" s="42"/>
      <c r="E2047" s="16"/>
      <c r="F2047" s="42"/>
      <c r="G2047" s="42"/>
      <c r="DN2047" s="191"/>
    </row>
    <row r="2048">
      <c r="A2048" s="15"/>
      <c r="B2048" s="15"/>
      <c r="C2048" s="15"/>
      <c r="D2048" s="42"/>
      <c r="E2048" s="16"/>
      <c r="F2048" s="42"/>
      <c r="G2048" s="42"/>
      <c r="DN2048" s="191"/>
    </row>
    <row r="2049">
      <c r="A2049" s="15"/>
      <c r="B2049" s="15"/>
      <c r="C2049" s="15"/>
      <c r="D2049" s="42"/>
      <c r="E2049" s="16"/>
      <c r="F2049" s="42"/>
      <c r="G2049" s="42"/>
      <c r="DN2049" s="191"/>
    </row>
    <row r="2050">
      <c r="A2050" s="15"/>
      <c r="B2050" s="15"/>
      <c r="C2050" s="15"/>
      <c r="D2050" s="42"/>
      <c r="E2050" s="16"/>
      <c r="F2050" s="42"/>
      <c r="G2050" s="42"/>
      <c r="DN2050" s="191"/>
    </row>
    <row r="2051">
      <c r="A2051" s="15"/>
      <c r="B2051" s="15"/>
      <c r="C2051" s="15"/>
      <c r="D2051" s="42"/>
      <c r="E2051" s="16"/>
      <c r="F2051" s="42"/>
      <c r="G2051" s="42"/>
      <c r="DN2051" s="191"/>
    </row>
    <row r="2052">
      <c r="A2052" s="15"/>
      <c r="B2052" s="15"/>
      <c r="C2052" s="15"/>
      <c r="D2052" s="42"/>
      <c r="E2052" s="16"/>
      <c r="F2052" s="42"/>
      <c r="G2052" s="42"/>
      <c r="DN2052" s="191"/>
    </row>
    <row r="2053">
      <c r="A2053" s="15"/>
      <c r="B2053" s="15"/>
      <c r="C2053" s="15"/>
      <c r="D2053" s="42"/>
      <c r="E2053" s="16"/>
      <c r="F2053" s="42"/>
      <c r="G2053" s="42"/>
      <c r="DN2053" s="191"/>
    </row>
    <row r="2054">
      <c r="A2054" s="15"/>
      <c r="B2054" s="15"/>
      <c r="C2054" s="15"/>
      <c r="D2054" s="42"/>
      <c r="E2054" s="16"/>
      <c r="F2054" s="42"/>
      <c r="G2054" s="42"/>
      <c r="DN2054" s="191"/>
    </row>
    <row r="2055">
      <c r="A2055" s="15"/>
      <c r="B2055" s="15"/>
      <c r="C2055" s="15"/>
      <c r="D2055" s="42"/>
      <c r="E2055" s="16"/>
      <c r="F2055" s="42"/>
      <c r="G2055" s="42"/>
      <c r="DN2055" s="191"/>
    </row>
    <row r="2056">
      <c r="A2056" s="15"/>
      <c r="B2056" s="15"/>
      <c r="C2056" s="15"/>
      <c r="D2056" s="42"/>
      <c r="E2056" s="16"/>
      <c r="F2056" s="42"/>
      <c r="G2056" s="42"/>
      <c r="DN2056" s="191"/>
    </row>
    <row r="2057">
      <c r="A2057" s="15"/>
      <c r="B2057" s="15"/>
      <c r="C2057" s="15"/>
      <c r="D2057" s="42"/>
      <c r="E2057" s="16"/>
      <c r="F2057" s="42"/>
      <c r="G2057" s="42"/>
      <c r="DN2057" s="191"/>
    </row>
    <row r="2058">
      <c r="A2058" s="15"/>
      <c r="B2058" s="15"/>
      <c r="C2058" s="15"/>
      <c r="D2058" s="42"/>
      <c r="E2058" s="16"/>
      <c r="F2058" s="42"/>
      <c r="G2058" s="42"/>
      <c r="DN2058" s="191"/>
    </row>
    <row r="2059">
      <c r="A2059" s="15"/>
      <c r="B2059" s="15"/>
      <c r="C2059" s="15"/>
      <c r="D2059" s="42"/>
      <c r="E2059" s="16"/>
      <c r="F2059" s="42"/>
      <c r="G2059" s="42"/>
      <c r="DN2059" s="191"/>
    </row>
    <row r="2060">
      <c r="A2060" s="15"/>
      <c r="B2060" s="15"/>
      <c r="C2060" s="15"/>
      <c r="D2060" s="42"/>
      <c r="E2060" s="16"/>
      <c r="F2060" s="42"/>
      <c r="G2060" s="42"/>
      <c r="DN2060" s="191"/>
    </row>
    <row r="2061">
      <c r="A2061" s="15"/>
      <c r="B2061" s="15"/>
      <c r="C2061" s="15"/>
      <c r="D2061" s="42"/>
      <c r="E2061" s="16"/>
      <c r="F2061" s="42"/>
      <c r="G2061" s="42"/>
      <c r="DN2061" s="191"/>
    </row>
    <row r="2062">
      <c r="A2062" s="15"/>
      <c r="B2062" s="15"/>
      <c r="C2062" s="15"/>
      <c r="D2062" s="42"/>
      <c r="E2062" s="16"/>
      <c r="F2062" s="42"/>
      <c r="G2062" s="42"/>
      <c r="DN2062" s="191"/>
    </row>
    <row r="2063">
      <c r="A2063" s="15"/>
      <c r="B2063" s="15"/>
      <c r="C2063" s="15"/>
      <c r="D2063" s="42"/>
      <c r="E2063" s="16"/>
      <c r="F2063" s="42"/>
      <c r="G2063" s="42"/>
      <c r="DN2063" s="191"/>
    </row>
    <row r="2064">
      <c r="A2064" s="15"/>
      <c r="B2064" s="15"/>
      <c r="C2064" s="15"/>
      <c r="D2064" s="42"/>
      <c r="E2064" s="16"/>
      <c r="F2064" s="42"/>
      <c r="G2064" s="42"/>
      <c r="DN2064" s="191"/>
    </row>
    <row r="2065">
      <c r="A2065" s="15"/>
      <c r="B2065" s="15"/>
      <c r="C2065" s="15"/>
      <c r="D2065" s="42"/>
      <c r="E2065" s="16"/>
      <c r="F2065" s="42"/>
      <c r="G2065" s="42"/>
      <c r="DN2065" s="191"/>
    </row>
    <row r="2066">
      <c r="A2066" s="15"/>
      <c r="B2066" s="15"/>
      <c r="C2066" s="15"/>
      <c r="D2066" s="42"/>
      <c r="E2066" s="16"/>
      <c r="F2066" s="42"/>
      <c r="G2066" s="42"/>
      <c r="DN2066" s="191"/>
    </row>
    <row r="2067">
      <c r="A2067" s="15"/>
      <c r="B2067" s="15"/>
      <c r="C2067" s="15"/>
      <c r="D2067" s="42"/>
      <c r="E2067" s="16"/>
      <c r="F2067" s="42"/>
      <c r="G2067" s="42"/>
      <c r="DN2067" s="191"/>
    </row>
    <row r="2068">
      <c r="A2068" s="15"/>
      <c r="B2068" s="15"/>
      <c r="C2068" s="15"/>
      <c r="D2068" s="42"/>
      <c r="E2068" s="16"/>
      <c r="F2068" s="42"/>
      <c r="G2068" s="42"/>
      <c r="DN2068" s="191"/>
    </row>
    <row r="2069">
      <c r="A2069" s="15"/>
      <c r="B2069" s="15"/>
      <c r="C2069" s="15"/>
      <c r="D2069" s="42"/>
      <c r="E2069" s="16"/>
      <c r="F2069" s="42"/>
      <c r="G2069" s="42"/>
      <c r="DN2069" s="191"/>
    </row>
    <row r="2070">
      <c r="A2070" s="15"/>
      <c r="B2070" s="15"/>
      <c r="C2070" s="15"/>
      <c r="D2070" s="42"/>
      <c r="E2070" s="16"/>
      <c r="F2070" s="42"/>
      <c r="G2070" s="42"/>
      <c r="DN2070" s="191"/>
    </row>
    <row r="2071">
      <c r="A2071" s="15"/>
      <c r="B2071" s="15"/>
      <c r="C2071" s="15"/>
      <c r="D2071" s="42"/>
      <c r="E2071" s="16"/>
      <c r="F2071" s="42"/>
      <c r="G2071" s="42"/>
      <c r="DN2071" s="191"/>
    </row>
    <row r="2072">
      <c r="A2072" s="15"/>
      <c r="B2072" s="15"/>
      <c r="C2072" s="15"/>
      <c r="D2072" s="42"/>
      <c r="E2072" s="16"/>
      <c r="F2072" s="42"/>
      <c r="G2072" s="42"/>
      <c r="DN2072" s="191"/>
    </row>
    <row r="2073">
      <c r="A2073" s="15"/>
      <c r="B2073" s="15"/>
      <c r="C2073" s="15"/>
      <c r="D2073" s="42"/>
      <c r="E2073" s="16"/>
      <c r="F2073" s="42"/>
      <c r="G2073" s="42"/>
      <c r="DN2073" s="191"/>
    </row>
    <row r="2074">
      <c r="A2074" s="15"/>
      <c r="B2074" s="15"/>
      <c r="C2074" s="15"/>
      <c r="D2074" s="42"/>
      <c r="E2074" s="16"/>
      <c r="F2074" s="42"/>
      <c r="G2074" s="42"/>
      <c r="DN2074" s="191"/>
    </row>
    <row r="2075">
      <c r="A2075" s="15"/>
      <c r="B2075" s="15"/>
      <c r="C2075" s="15"/>
      <c r="D2075" s="42"/>
      <c r="E2075" s="16"/>
      <c r="F2075" s="42"/>
      <c r="G2075" s="42"/>
      <c r="DN2075" s="191"/>
    </row>
    <row r="2076">
      <c r="A2076" s="15"/>
      <c r="B2076" s="15"/>
      <c r="C2076" s="15"/>
      <c r="D2076" s="42"/>
      <c r="E2076" s="16"/>
      <c r="F2076" s="42"/>
      <c r="G2076" s="42"/>
      <c r="DN2076" s="191"/>
    </row>
    <row r="2077">
      <c r="A2077" s="15"/>
      <c r="B2077" s="15"/>
      <c r="C2077" s="15"/>
      <c r="D2077" s="42"/>
      <c r="E2077" s="16"/>
      <c r="F2077" s="42"/>
      <c r="G2077" s="42"/>
      <c r="DN2077" s="191"/>
    </row>
    <row r="2078">
      <c r="A2078" s="15"/>
      <c r="B2078" s="15"/>
      <c r="C2078" s="15"/>
      <c r="D2078" s="42"/>
      <c r="E2078" s="16"/>
      <c r="F2078" s="42"/>
      <c r="G2078" s="42"/>
      <c r="DN2078" s="191"/>
    </row>
    <row r="2079">
      <c r="A2079" s="15"/>
      <c r="B2079" s="15"/>
      <c r="C2079" s="15"/>
      <c r="D2079" s="42"/>
      <c r="E2079" s="16"/>
      <c r="F2079" s="42"/>
      <c r="G2079" s="42"/>
      <c r="DN2079" s="191"/>
    </row>
    <row r="2080">
      <c r="A2080" s="15"/>
      <c r="B2080" s="15"/>
      <c r="C2080" s="15"/>
      <c r="D2080" s="42"/>
      <c r="E2080" s="16"/>
      <c r="F2080" s="42"/>
      <c r="G2080" s="42"/>
      <c r="DN2080" s="191"/>
    </row>
    <row r="2081">
      <c r="A2081" s="15"/>
      <c r="B2081" s="15"/>
      <c r="C2081" s="15"/>
      <c r="D2081" s="42"/>
      <c r="E2081" s="16"/>
      <c r="F2081" s="42"/>
      <c r="G2081" s="42"/>
      <c r="DN2081" s="191"/>
    </row>
    <row r="2082">
      <c r="A2082" s="15"/>
      <c r="B2082" s="15"/>
      <c r="C2082" s="15"/>
      <c r="D2082" s="42"/>
      <c r="E2082" s="16"/>
      <c r="F2082" s="42"/>
      <c r="G2082" s="42"/>
      <c r="DN2082" s="191"/>
    </row>
    <row r="2083">
      <c r="A2083" s="15"/>
      <c r="B2083" s="15"/>
      <c r="C2083" s="15"/>
      <c r="D2083" s="42"/>
      <c r="E2083" s="16"/>
      <c r="F2083" s="42"/>
      <c r="G2083" s="42"/>
      <c r="DN2083" s="191"/>
    </row>
    <row r="2084">
      <c r="A2084" s="15"/>
      <c r="B2084" s="15"/>
      <c r="C2084" s="15"/>
      <c r="D2084" s="42"/>
      <c r="E2084" s="16"/>
      <c r="F2084" s="42"/>
      <c r="G2084" s="42"/>
      <c r="DN2084" s="191"/>
    </row>
    <row r="2085">
      <c r="A2085" s="15"/>
      <c r="B2085" s="15"/>
      <c r="C2085" s="15"/>
      <c r="D2085" s="42"/>
      <c r="E2085" s="16"/>
      <c r="F2085" s="42"/>
      <c r="G2085" s="42"/>
      <c r="DN2085" s="191"/>
    </row>
    <row r="2086">
      <c r="A2086" s="15"/>
      <c r="B2086" s="15"/>
      <c r="C2086" s="15"/>
      <c r="D2086" s="42"/>
      <c r="E2086" s="16"/>
      <c r="F2086" s="42"/>
      <c r="G2086" s="42"/>
      <c r="DN2086" s="191"/>
    </row>
    <row r="2087">
      <c r="A2087" s="15"/>
      <c r="B2087" s="15"/>
      <c r="C2087" s="15"/>
      <c r="D2087" s="42"/>
      <c r="E2087" s="16"/>
      <c r="F2087" s="42"/>
      <c r="G2087" s="42"/>
      <c r="DN2087" s="191"/>
    </row>
    <row r="2088">
      <c r="A2088" s="15"/>
      <c r="B2088" s="15"/>
      <c r="C2088" s="15"/>
      <c r="D2088" s="42"/>
      <c r="E2088" s="16"/>
      <c r="F2088" s="42"/>
      <c r="G2088" s="42"/>
      <c r="DN2088" s="191"/>
    </row>
    <row r="2089">
      <c r="A2089" s="15"/>
      <c r="B2089" s="15"/>
      <c r="C2089" s="15"/>
      <c r="D2089" s="42"/>
      <c r="E2089" s="16"/>
      <c r="F2089" s="42"/>
      <c r="G2089" s="42"/>
      <c r="DN2089" s="191"/>
    </row>
    <row r="2090">
      <c r="A2090" s="15"/>
      <c r="B2090" s="15"/>
      <c r="C2090" s="15"/>
      <c r="D2090" s="42"/>
      <c r="E2090" s="16"/>
      <c r="F2090" s="42"/>
      <c r="G2090" s="42"/>
      <c r="DN2090" s="191"/>
    </row>
    <row r="2091">
      <c r="A2091" s="15"/>
      <c r="B2091" s="15"/>
      <c r="C2091" s="15"/>
      <c r="D2091" s="42"/>
      <c r="E2091" s="16"/>
      <c r="F2091" s="42"/>
      <c r="G2091" s="42"/>
      <c r="DN2091" s="191"/>
    </row>
    <row r="2092">
      <c r="A2092" s="15"/>
      <c r="B2092" s="15"/>
      <c r="C2092" s="15"/>
      <c r="D2092" s="42"/>
      <c r="E2092" s="16"/>
      <c r="F2092" s="42"/>
      <c r="G2092" s="42"/>
      <c r="DN2092" s="191"/>
    </row>
    <row r="2093">
      <c r="A2093" s="15"/>
      <c r="B2093" s="15"/>
      <c r="C2093" s="15"/>
      <c r="D2093" s="42"/>
      <c r="E2093" s="16"/>
      <c r="F2093" s="42"/>
      <c r="G2093" s="42"/>
      <c r="DN2093" s="191"/>
    </row>
    <row r="2094">
      <c r="A2094" s="15"/>
      <c r="B2094" s="15"/>
      <c r="C2094" s="15"/>
      <c r="D2094" s="42"/>
      <c r="E2094" s="16"/>
      <c r="F2094" s="42"/>
      <c r="G2094" s="42"/>
      <c r="DN2094" s="191"/>
    </row>
    <row r="2095">
      <c r="A2095" s="15"/>
      <c r="B2095" s="15"/>
      <c r="C2095" s="15"/>
      <c r="D2095" s="42"/>
      <c r="E2095" s="16"/>
      <c r="F2095" s="42"/>
      <c r="G2095" s="42"/>
      <c r="DN2095" s="191"/>
    </row>
    <row r="2096">
      <c r="A2096" s="15"/>
      <c r="B2096" s="15"/>
      <c r="C2096" s="15"/>
      <c r="D2096" s="42"/>
      <c r="E2096" s="16"/>
      <c r="F2096" s="42"/>
      <c r="G2096" s="42"/>
      <c r="DN2096" s="191"/>
    </row>
    <row r="2097">
      <c r="A2097" s="15"/>
      <c r="B2097" s="15"/>
      <c r="C2097" s="15"/>
      <c r="D2097" s="42"/>
      <c r="E2097" s="16"/>
      <c r="F2097" s="42"/>
      <c r="G2097" s="42"/>
      <c r="DN2097" s="191"/>
    </row>
    <row r="2098">
      <c r="A2098" s="15"/>
      <c r="B2098" s="15"/>
      <c r="C2098" s="15"/>
      <c r="D2098" s="42"/>
      <c r="E2098" s="16"/>
      <c r="F2098" s="42"/>
      <c r="G2098" s="42"/>
      <c r="DN2098" s="191"/>
    </row>
    <row r="2099">
      <c r="A2099" s="15"/>
      <c r="B2099" s="15"/>
      <c r="C2099" s="15"/>
      <c r="D2099" s="42"/>
      <c r="E2099" s="16"/>
      <c r="F2099" s="42"/>
      <c r="G2099" s="42"/>
      <c r="DN2099" s="191"/>
    </row>
    <row r="2100">
      <c r="A2100" s="15"/>
      <c r="B2100" s="15"/>
      <c r="C2100" s="15"/>
      <c r="D2100" s="42"/>
      <c r="E2100" s="16"/>
      <c r="F2100" s="42"/>
      <c r="G2100" s="42"/>
      <c r="DN2100" s="191"/>
    </row>
    <row r="2101">
      <c r="A2101" s="15"/>
      <c r="B2101" s="15"/>
      <c r="C2101" s="15"/>
      <c r="D2101" s="42"/>
      <c r="E2101" s="16"/>
      <c r="F2101" s="42"/>
      <c r="G2101" s="42"/>
      <c r="DN2101" s="191"/>
    </row>
    <row r="2102">
      <c r="A2102" s="15"/>
      <c r="B2102" s="15"/>
      <c r="C2102" s="15"/>
      <c r="D2102" s="42"/>
      <c r="E2102" s="16"/>
      <c r="F2102" s="42"/>
      <c r="G2102" s="42"/>
      <c r="DN2102" s="191"/>
    </row>
    <row r="2103">
      <c r="A2103" s="15"/>
      <c r="B2103" s="15"/>
      <c r="C2103" s="15"/>
      <c r="D2103" s="42"/>
      <c r="E2103" s="16"/>
      <c r="F2103" s="42"/>
      <c r="G2103" s="42"/>
      <c r="DN2103" s="191"/>
    </row>
    <row r="2104">
      <c r="A2104" s="15"/>
      <c r="B2104" s="15"/>
      <c r="C2104" s="15"/>
      <c r="D2104" s="42"/>
      <c r="E2104" s="16"/>
      <c r="F2104" s="42"/>
      <c r="G2104" s="42"/>
      <c r="DN2104" s="191"/>
    </row>
    <row r="2105">
      <c r="A2105" s="15"/>
      <c r="B2105" s="15"/>
      <c r="C2105" s="15"/>
      <c r="D2105" s="42"/>
      <c r="E2105" s="16"/>
      <c r="F2105" s="42"/>
      <c r="G2105" s="42"/>
      <c r="DN2105" s="191"/>
    </row>
    <row r="2106">
      <c r="A2106" s="15"/>
      <c r="B2106" s="15"/>
      <c r="C2106" s="15"/>
      <c r="D2106" s="42"/>
      <c r="E2106" s="16"/>
      <c r="F2106" s="42"/>
      <c r="G2106" s="42"/>
      <c r="DN2106" s="191"/>
    </row>
    <row r="2107">
      <c r="A2107" s="15"/>
      <c r="B2107" s="15"/>
      <c r="C2107" s="15"/>
      <c r="D2107" s="42"/>
      <c r="E2107" s="16"/>
      <c r="F2107" s="42"/>
      <c r="G2107" s="42"/>
      <c r="DN2107" s="191"/>
    </row>
    <row r="2108">
      <c r="A2108" s="15"/>
      <c r="B2108" s="15"/>
      <c r="C2108" s="15"/>
      <c r="D2108" s="42"/>
      <c r="E2108" s="16"/>
      <c r="F2108" s="42"/>
      <c r="G2108" s="42"/>
      <c r="DN2108" s="191"/>
    </row>
    <row r="2109">
      <c r="A2109" s="15"/>
      <c r="B2109" s="15"/>
      <c r="C2109" s="15"/>
      <c r="D2109" s="42"/>
      <c r="E2109" s="16"/>
      <c r="F2109" s="42"/>
      <c r="G2109" s="42"/>
      <c r="DN2109" s="191"/>
    </row>
    <row r="2110">
      <c r="A2110" s="15"/>
      <c r="B2110" s="15"/>
      <c r="C2110" s="15"/>
      <c r="D2110" s="42"/>
      <c r="E2110" s="16"/>
      <c r="F2110" s="42"/>
      <c r="G2110" s="42"/>
      <c r="DN2110" s="191"/>
    </row>
    <row r="2111">
      <c r="A2111" s="15"/>
      <c r="B2111" s="15"/>
      <c r="C2111" s="15"/>
      <c r="D2111" s="42"/>
      <c r="E2111" s="16"/>
      <c r="F2111" s="42"/>
      <c r="G2111" s="42"/>
      <c r="DN2111" s="191"/>
    </row>
    <row r="2112">
      <c r="A2112" s="15"/>
      <c r="B2112" s="15"/>
      <c r="C2112" s="15"/>
      <c r="D2112" s="42"/>
      <c r="E2112" s="16"/>
      <c r="F2112" s="42"/>
      <c r="G2112" s="42"/>
      <c r="DN2112" s="191"/>
    </row>
    <row r="2113">
      <c r="A2113" s="15"/>
      <c r="B2113" s="15"/>
      <c r="C2113" s="15"/>
      <c r="D2113" s="42"/>
      <c r="E2113" s="16"/>
      <c r="F2113" s="42"/>
      <c r="G2113" s="42"/>
      <c r="DN2113" s="191"/>
    </row>
    <row r="2114">
      <c r="A2114" s="15"/>
      <c r="B2114" s="15"/>
      <c r="C2114" s="15"/>
      <c r="D2114" s="42"/>
      <c r="E2114" s="16"/>
      <c r="F2114" s="42"/>
      <c r="G2114" s="42"/>
      <c r="DN2114" s="191"/>
    </row>
    <row r="2115">
      <c r="A2115" s="15"/>
      <c r="B2115" s="15"/>
      <c r="C2115" s="15"/>
      <c r="D2115" s="42"/>
      <c r="E2115" s="16"/>
      <c r="F2115" s="42"/>
      <c r="G2115" s="42"/>
      <c r="DN2115" s="191"/>
    </row>
    <row r="2116">
      <c r="A2116" s="15"/>
      <c r="B2116" s="15"/>
      <c r="C2116" s="15"/>
      <c r="D2116" s="42"/>
      <c r="E2116" s="16"/>
      <c r="F2116" s="42"/>
      <c r="G2116" s="42"/>
      <c r="DN2116" s="191"/>
    </row>
    <row r="2117">
      <c r="A2117" s="15"/>
      <c r="B2117" s="15"/>
      <c r="C2117" s="15"/>
      <c r="D2117" s="42"/>
      <c r="E2117" s="16"/>
      <c r="F2117" s="42"/>
      <c r="G2117" s="42"/>
      <c r="DN2117" s="191"/>
    </row>
    <row r="2118">
      <c r="A2118" s="15"/>
      <c r="B2118" s="15"/>
      <c r="C2118" s="15"/>
      <c r="D2118" s="42"/>
      <c r="E2118" s="16"/>
      <c r="F2118" s="42"/>
      <c r="G2118" s="42"/>
      <c r="DN2118" s="191"/>
    </row>
    <row r="2119">
      <c r="A2119" s="15"/>
      <c r="B2119" s="15"/>
      <c r="C2119" s="15"/>
      <c r="D2119" s="42"/>
      <c r="E2119" s="16"/>
      <c r="F2119" s="42"/>
      <c r="G2119" s="42"/>
      <c r="DN2119" s="191"/>
    </row>
    <row r="2120">
      <c r="A2120" s="15"/>
      <c r="B2120" s="15"/>
      <c r="C2120" s="15"/>
      <c r="D2120" s="42"/>
      <c r="E2120" s="16"/>
      <c r="F2120" s="42"/>
      <c r="G2120" s="42"/>
      <c r="DN2120" s="191"/>
    </row>
    <row r="2121">
      <c r="A2121" s="15"/>
      <c r="B2121" s="15"/>
      <c r="C2121" s="15"/>
      <c r="D2121" s="42"/>
      <c r="E2121" s="16"/>
      <c r="F2121" s="42"/>
      <c r="G2121" s="42"/>
      <c r="DN2121" s="191"/>
    </row>
    <row r="2122">
      <c r="A2122" s="15"/>
      <c r="B2122" s="15"/>
      <c r="C2122" s="15"/>
      <c r="D2122" s="42"/>
      <c r="E2122" s="16"/>
      <c r="F2122" s="42"/>
      <c r="G2122" s="42"/>
      <c r="DN2122" s="191"/>
    </row>
    <row r="2123">
      <c r="A2123" s="15"/>
      <c r="B2123" s="15"/>
      <c r="C2123" s="15"/>
      <c r="D2123" s="42"/>
      <c r="E2123" s="16"/>
      <c r="F2123" s="42"/>
      <c r="G2123" s="42"/>
      <c r="DN2123" s="191"/>
    </row>
    <row r="2124">
      <c r="A2124" s="15"/>
      <c r="B2124" s="15"/>
      <c r="C2124" s="15"/>
      <c r="D2124" s="42"/>
      <c r="E2124" s="16"/>
      <c r="F2124" s="42"/>
      <c r="G2124" s="42"/>
      <c r="DN2124" s="191"/>
    </row>
    <row r="2125">
      <c r="A2125" s="15"/>
      <c r="B2125" s="15"/>
      <c r="C2125" s="15"/>
      <c r="D2125" s="42"/>
      <c r="E2125" s="16"/>
      <c r="F2125" s="42"/>
      <c r="G2125" s="42"/>
      <c r="DN2125" s="191"/>
    </row>
    <row r="2126">
      <c r="A2126" s="15"/>
      <c r="B2126" s="15"/>
      <c r="C2126" s="15"/>
      <c r="D2126" s="42"/>
      <c r="E2126" s="16"/>
      <c r="F2126" s="42"/>
      <c r="G2126" s="42"/>
      <c r="DN2126" s="191"/>
    </row>
    <row r="2127">
      <c r="A2127" s="15"/>
      <c r="B2127" s="15"/>
      <c r="C2127" s="15"/>
      <c r="D2127" s="42"/>
      <c r="E2127" s="16"/>
      <c r="F2127" s="42"/>
      <c r="G2127" s="42"/>
      <c r="DN2127" s="191"/>
    </row>
    <row r="2128">
      <c r="A2128" s="15"/>
      <c r="B2128" s="15"/>
      <c r="C2128" s="15"/>
      <c r="D2128" s="42"/>
      <c r="E2128" s="16"/>
      <c r="F2128" s="42"/>
      <c r="G2128" s="42"/>
      <c r="DN2128" s="191"/>
    </row>
    <row r="2129">
      <c r="A2129" s="15"/>
      <c r="B2129" s="15"/>
      <c r="C2129" s="15"/>
      <c r="D2129" s="42"/>
      <c r="E2129" s="16"/>
      <c r="F2129" s="42"/>
      <c r="G2129" s="42"/>
      <c r="DN2129" s="191"/>
    </row>
    <row r="2130">
      <c r="A2130" s="15"/>
      <c r="B2130" s="15"/>
      <c r="C2130" s="15"/>
      <c r="D2130" s="42"/>
      <c r="E2130" s="16"/>
      <c r="F2130" s="42"/>
      <c r="G2130" s="42"/>
      <c r="DN2130" s="191"/>
    </row>
    <row r="2131">
      <c r="A2131" s="15"/>
      <c r="B2131" s="15"/>
      <c r="C2131" s="15"/>
      <c r="D2131" s="42"/>
      <c r="E2131" s="16"/>
      <c r="F2131" s="42"/>
      <c r="G2131" s="42"/>
      <c r="DN2131" s="191"/>
    </row>
    <row r="2132">
      <c r="A2132" s="15"/>
      <c r="B2132" s="15"/>
      <c r="C2132" s="15"/>
      <c r="D2132" s="42"/>
      <c r="E2132" s="16"/>
      <c r="F2132" s="42"/>
      <c r="G2132" s="42"/>
      <c r="DN2132" s="191"/>
    </row>
    <row r="2133">
      <c r="A2133" s="15"/>
      <c r="B2133" s="15"/>
      <c r="C2133" s="15"/>
      <c r="D2133" s="42"/>
      <c r="E2133" s="16"/>
      <c r="F2133" s="42"/>
      <c r="G2133" s="42"/>
      <c r="DN2133" s="191"/>
    </row>
    <row r="2134">
      <c r="A2134" s="15"/>
      <c r="B2134" s="15"/>
      <c r="C2134" s="15"/>
      <c r="D2134" s="42"/>
      <c r="E2134" s="16"/>
      <c r="F2134" s="42"/>
      <c r="G2134" s="42"/>
      <c r="DN2134" s="191"/>
    </row>
    <row r="2135">
      <c r="A2135" s="15"/>
      <c r="B2135" s="15"/>
      <c r="C2135" s="15"/>
      <c r="D2135" s="42"/>
      <c r="E2135" s="16"/>
      <c r="F2135" s="42"/>
      <c r="G2135" s="42"/>
      <c r="DN2135" s="191"/>
    </row>
    <row r="2136">
      <c r="A2136" s="15"/>
      <c r="B2136" s="15"/>
      <c r="C2136" s="15"/>
      <c r="D2136" s="42"/>
      <c r="E2136" s="16"/>
      <c r="F2136" s="42"/>
      <c r="G2136" s="42"/>
      <c r="DN2136" s="191"/>
    </row>
    <row r="2137">
      <c r="A2137" s="15"/>
      <c r="B2137" s="15"/>
      <c r="C2137" s="15"/>
      <c r="D2137" s="42"/>
      <c r="E2137" s="16"/>
      <c r="F2137" s="42"/>
      <c r="G2137" s="42"/>
      <c r="DN2137" s="191"/>
    </row>
    <row r="2138">
      <c r="A2138" s="15"/>
      <c r="B2138" s="15"/>
      <c r="C2138" s="15"/>
      <c r="D2138" s="42"/>
      <c r="E2138" s="16"/>
      <c r="F2138" s="42"/>
      <c r="G2138" s="42"/>
      <c r="DN2138" s="191"/>
    </row>
    <row r="2139">
      <c r="A2139" s="15"/>
      <c r="B2139" s="15"/>
      <c r="C2139" s="15"/>
      <c r="D2139" s="42"/>
      <c r="E2139" s="16"/>
      <c r="F2139" s="42"/>
      <c r="G2139" s="42"/>
      <c r="DN2139" s="191"/>
    </row>
    <row r="2140">
      <c r="A2140" s="15"/>
      <c r="B2140" s="15"/>
      <c r="C2140" s="15"/>
      <c r="D2140" s="42"/>
      <c r="E2140" s="16"/>
      <c r="F2140" s="42"/>
      <c r="G2140" s="42"/>
      <c r="DN2140" s="191"/>
    </row>
    <row r="2141">
      <c r="A2141" s="15"/>
      <c r="B2141" s="15"/>
      <c r="C2141" s="15"/>
      <c r="D2141" s="42"/>
      <c r="E2141" s="16"/>
      <c r="F2141" s="42"/>
      <c r="G2141" s="42"/>
      <c r="DN2141" s="191"/>
    </row>
    <row r="2142">
      <c r="A2142" s="15"/>
      <c r="B2142" s="15"/>
      <c r="C2142" s="15"/>
      <c r="D2142" s="42"/>
      <c r="E2142" s="16"/>
      <c r="F2142" s="42"/>
      <c r="G2142" s="42"/>
      <c r="DN2142" s="191"/>
    </row>
    <row r="2143">
      <c r="A2143" s="15"/>
      <c r="B2143" s="15"/>
      <c r="C2143" s="15"/>
      <c r="D2143" s="42"/>
      <c r="E2143" s="16"/>
      <c r="F2143" s="42"/>
      <c r="G2143" s="42"/>
      <c r="DN2143" s="191"/>
    </row>
    <row r="2144">
      <c r="A2144" s="15"/>
      <c r="B2144" s="15"/>
      <c r="C2144" s="15"/>
      <c r="D2144" s="42"/>
      <c r="E2144" s="16"/>
      <c r="F2144" s="42"/>
      <c r="G2144" s="42"/>
      <c r="DN2144" s="191"/>
    </row>
    <row r="2145">
      <c r="A2145" s="15"/>
      <c r="B2145" s="15"/>
      <c r="C2145" s="15"/>
      <c r="D2145" s="42"/>
      <c r="E2145" s="16"/>
      <c r="F2145" s="42"/>
      <c r="G2145" s="42"/>
      <c r="DN2145" s="191"/>
    </row>
    <row r="2146">
      <c r="A2146" s="15"/>
      <c r="B2146" s="15"/>
      <c r="C2146" s="15"/>
      <c r="D2146" s="42"/>
      <c r="E2146" s="16"/>
      <c r="F2146" s="42"/>
      <c r="G2146" s="42"/>
      <c r="DN2146" s="191"/>
    </row>
    <row r="2147">
      <c r="A2147" s="15"/>
      <c r="B2147" s="15"/>
      <c r="C2147" s="15"/>
      <c r="D2147" s="42"/>
      <c r="E2147" s="16"/>
      <c r="F2147" s="42"/>
      <c r="G2147" s="42"/>
      <c r="DN2147" s="191"/>
    </row>
    <row r="2148">
      <c r="A2148" s="15"/>
      <c r="B2148" s="15"/>
      <c r="C2148" s="15"/>
      <c r="D2148" s="42"/>
      <c r="E2148" s="16"/>
      <c r="F2148" s="42"/>
      <c r="G2148" s="42"/>
      <c r="DN2148" s="191"/>
    </row>
    <row r="2149">
      <c r="A2149" s="15"/>
      <c r="B2149" s="15"/>
      <c r="C2149" s="15"/>
      <c r="D2149" s="42"/>
      <c r="E2149" s="16"/>
      <c r="F2149" s="42"/>
      <c r="G2149" s="42"/>
      <c r="DN2149" s="191"/>
    </row>
    <row r="2150">
      <c r="A2150" s="15"/>
      <c r="B2150" s="15"/>
      <c r="C2150" s="15"/>
      <c r="D2150" s="42"/>
      <c r="E2150" s="16"/>
      <c r="F2150" s="42"/>
      <c r="G2150" s="42"/>
      <c r="DN2150" s="191"/>
    </row>
    <row r="2151">
      <c r="A2151" s="15"/>
      <c r="B2151" s="15"/>
      <c r="C2151" s="15"/>
      <c r="D2151" s="42"/>
      <c r="E2151" s="16"/>
      <c r="F2151" s="42"/>
      <c r="G2151" s="42"/>
      <c r="DN2151" s="191"/>
    </row>
    <row r="2152">
      <c r="A2152" s="15"/>
      <c r="B2152" s="15"/>
      <c r="C2152" s="15"/>
      <c r="D2152" s="42"/>
      <c r="E2152" s="16"/>
      <c r="F2152" s="42"/>
      <c r="G2152" s="42"/>
      <c r="DN2152" s="191"/>
    </row>
    <row r="2153">
      <c r="A2153" s="15"/>
      <c r="B2153" s="15"/>
      <c r="C2153" s="15"/>
      <c r="D2153" s="42"/>
      <c r="E2153" s="16"/>
      <c r="F2153" s="42"/>
      <c r="G2153" s="42"/>
      <c r="DN2153" s="191"/>
    </row>
    <row r="2154">
      <c r="A2154" s="15"/>
      <c r="B2154" s="15"/>
      <c r="C2154" s="15"/>
      <c r="D2154" s="42"/>
      <c r="E2154" s="16"/>
      <c r="F2154" s="42"/>
      <c r="G2154" s="42"/>
      <c r="DN2154" s="191"/>
    </row>
    <row r="2155">
      <c r="A2155" s="15"/>
      <c r="B2155" s="15"/>
      <c r="C2155" s="15"/>
      <c r="D2155" s="42"/>
      <c r="E2155" s="16"/>
      <c r="F2155" s="42"/>
      <c r="G2155" s="42"/>
      <c r="DN2155" s="191"/>
    </row>
    <row r="2156">
      <c r="A2156" s="15"/>
      <c r="B2156" s="15"/>
      <c r="C2156" s="15"/>
      <c r="D2156" s="42"/>
      <c r="E2156" s="16"/>
      <c r="F2156" s="42"/>
      <c r="G2156" s="42"/>
      <c r="DN2156" s="191"/>
    </row>
    <row r="2157">
      <c r="A2157" s="15"/>
      <c r="B2157" s="15"/>
      <c r="C2157" s="15"/>
      <c r="D2157" s="42"/>
      <c r="E2157" s="16"/>
      <c r="F2157" s="42"/>
      <c r="G2157" s="42"/>
      <c r="DN2157" s="191"/>
    </row>
    <row r="2158">
      <c r="A2158" s="15"/>
      <c r="B2158" s="15"/>
      <c r="C2158" s="15"/>
      <c r="D2158" s="42"/>
      <c r="E2158" s="16"/>
      <c r="F2158" s="42"/>
      <c r="G2158" s="42"/>
      <c r="DN2158" s="191"/>
    </row>
    <row r="2159">
      <c r="A2159" s="15"/>
      <c r="B2159" s="15"/>
      <c r="C2159" s="15"/>
      <c r="D2159" s="42"/>
      <c r="E2159" s="16"/>
      <c r="F2159" s="42"/>
      <c r="G2159" s="42"/>
      <c r="DN2159" s="191"/>
    </row>
    <row r="2160">
      <c r="A2160" s="15"/>
      <c r="B2160" s="15"/>
      <c r="C2160" s="15"/>
      <c r="D2160" s="42"/>
      <c r="E2160" s="16"/>
      <c r="F2160" s="42"/>
      <c r="G2160" s="42"/>
      <c r="DN2160" s="191"/>
    </row>
    <row r="2161">
      <c r="A2161" s="15"/>
      <c r="B2161" s="15"/>
      <c r="C2161" s="15"/>
      <c r="D2161" s="42"/>
      <c r="E2161" s="16"/>
      <c r="F2161" s="42"/>
      <c r="G2161" s="42"/>
      <c r="DN2161" s="191"/>
    </row>
    <row r="2162">
      <c r="A2162" s="15"/>
      <c r="B2162" s="15"/>
      <c r="C2162" s="15"/>
      <c r="D2162" s="42"/>
      <c r="E2162" s="16"/>
      <c r="F2162" s="42"/>
      <c r="G2162" s="42"/>
      <c r="DN2162" s="191"/>
    </row>
    <row r="2163">
      <c r="A2163" s="15"/>
      <c r="B2163" s="15"/>
      <c r="C2163" s="15"/>
      <c r="D2163" s="42"/>
      <c r="E2163" s="16"/>
      <c r="F2163" s="42"/>
      <c r="G2163" s="42"/>
      <c r="DN2163" s="191"/>
    </row>
    <row r="2164">
      <c r="A2164" s="15"/>
      <c r="B2164" s="15"/>
      <c r="C2164" s="15"/>
      <c r="D2164" s="42"/>
      <c r="E2164" s="16"/>
      <c r="F2164" s="42"/>
      <c r="G2164" s="42"/>
      <c r="DN2164" s="191"/>
    </row>
    <row r="2165">
      <c r="A2165" s="15"/>
      <c r="B2165" s="15"/>
      <c r="C2165" s="15"/>
      <c r="D2165" s="42"/>
      <c r="E2165" s="16"/>
      <c r="F2165" s="42"/>
      <c r="G2165" s="42"/>
      <c r="DN2165" s="191"/>
    </row>
    <row r="2166">
      <c r="A2166" s="15"/>
      <c r="B2166" s="15"/>
      <c r="C2166" s="15"/>
      <c r="D2166" s="42"/>
      <c r="E2166" s="16"/>
      <c r="F2166" s="42"/>
      <c r="G2166" s="42"/>
      <c r="DN2166" s="191"/>
    </row>
    <row r="2167">
      <c r="A2167" s="15"/>
      <c r="B2167" s="15"/>
      <c r="C2167" s="15"/>
      <c r="D2167" s="42"/>
      <c r="E2167" s="16"/>
      <c r="F2167" s="42"/>
      <c r="G2167" s="42"/>
      <c r="DN2167" s="191"/>
    </row>
    <row r="2168">
      <c r="A2168" s="15"/>
      <c r="B2168" s="15"/>
      <c r="C2168" s="15"/>
      <c r="D2168" s="42"/>
      <c r="E2168" s="16"/>
      <c r="F2168" s="42"/>
      <c r="G2168" s="42"/>
      <c r="DN2168" s="191"/>
    </row>
    <row r="2169">
      <c r="A2169" s="15"/>
      <c r="B2169" s="15"/>
      <c r="C2169" s="15"/>
      <c r="D2169" s="42"/>
      <c r="E2169" s="16"/>
      <c r="F2169" s="42"/>
      <c r="G2169" s="42"/>
      <c r="DN2169" s="191"/>
    </row>
    <row r="2170">
      <c r="A2170" s="15"/>
      <c r="B2170" s="15"/>
      <c r="C2170" s="15"/>
      <c r="D2170" s="42"/>
      <c r="E2170" s="16"/>
      <c r="F2170" s="42"/>
      <c r="G2170" s="42"/>
      <c r="DN2170" s="191"/>
    </row>
    <row r="2171">
      <c r="A2171" s="15"/>
      <c r="B2171" s="15"/>
      <c r="C2171" s="15"/>
      <c r="D2171" s="42"/>
      <c r="E2171" s="16"/>
      <c r="F2171" s="42"/>
      <c r="G2171" s="42"/>
      <c r="DN2171" s="191"/>
    </row>
    <row r="2172">
      <c r="A2172" s="15"/>
      <c r="B2172" s="15"/>
      <c r="C2172" s="15"/>
      <c r="D2172" s="42"/>
      <c r="E2172" s="16"/>
      <c r="F2172" s="42"/>
      <c r="G2172" s="42"/>
      <c r="DN2172" s="191"/>
    </row>
    <row r="2173">
      <c r="A2173" s="15"/>
      <c r="B2173" s="15"/>
      <c r="C2173" s="15"/>
      <c r="D2173" s="42"/>
      <c r="E2173" s="16"/>
      <c r="F2173" s="42"/>
      <c r="G2173" s="42"/>
      <c r="DN2173" s="191"/>
    </row>
    <row r="2174">
      <c r="A2174" s="15"/>
      <c r="B2174" s="15"/>
      <c r="C2174" s="15"/>
      <c r="D2174" s="42"/>
      <c r="E2174" s="16"/>
      <c r="F2174" s="42"/>
      <c r="G2174" s="42"/>
      <c r="DN2174" s="191"/>
    </row>
    <row r="2175">
      <c r="A2175" s="15"/>
      <c r="B2175" s="15"/>
      <c r="C2175" s="15"/>
      <c r="D2175" s="42"/>
      <c r="E2175" s="16"/>
      <c r="F2175" s="42"/>
      <c r="G2175" s="42"/>
      <c r="DN2175" s="191"/>
    </row>
    <row r="2176">
      <c r="A2176" s="15"/>
      <c r="B2176" s="15"/>
      <c r="C2176" s="15"/>
      <c r="D2176" s="42"/>
      <c r="E2176" s="16"/>
      <c r="F2176" s="42"/>
      <c r="G2176" s="42"/>
      <c r="DN2176" s="191"/>
    </row>
    <row r="2177">
      <c r="A2177" s="15"/>
      <c r="B2177" s="15"/>
      <c r="C2177" s="15"/>
      <c r="D2177" s="42"/>
      <c r="E2177" s="16"/>
      <c r="F2177" s="42"/>
      <c r="G2177" s="42"/>
      <c r="DN2177" s="191"/>
    </row>
    <row r="2178">
      <c r="A2178" s="15"/>
      <c r="B2178" s="15"/>
      <c r="C2178" s="15"/>
      <c r="D2178" s="42"/>
      <c r="E2178" s="16"/>
      <c r="F2178" s="42"/>
      <c r="G2178" s="42"/>
      <c r="DN2178" s="191"/>
    </row>
    <row r="2179">
      <c r="A2179" s="15"/>
      <c r="B2179" s="15"/>
      <c r="C2179" s="15"/>
      <c r="D2179" s="42"/>
      <c r="E2179" s="16"/>
      <c r="F2179" s="42"/>
      <c r="G2179" s="42"/>
      <c r="DN2179" s="191"/>
    </row>
    <row r="2180">
      <c r="A2180" s="15"/>
      <c r="B2180" s="15"/>
      <c r="C2180" s="15"/>
      <c r="D2180" s="42"/>
      <c r="E2180" s="16"/>
      <c r="F2180" s="42"/>
      <c r="G2180" s="42"/>
      <c r="DN2180" s="191"/>
    </row>
    <row r="2181">
      <c r="A2181" s="15"/>
      <c r="B2181" s="15"/>
      <c r="C2181" s="15"/>
      <c r="D2181" s="42"/>
      <c r="E2181" s="16"/>
      <c r="F2181" s="42"/>
      <c r="G2181" s="42"/>
      <c r="DN2181" s="191"/>
    </row>
    <row r="2182">
      <c r="A2182" s="15"/>
      <c r="B2182" s="15"/>
      <c r="C2182" s="15"/>
      <c r="D2182" s="42"/>
      <c r="E2182" s="16"/>
      <c r="F2182" s="42"/>
      <c r="G2182" s="42"/>
      <c r="DN2182" s="191"/>
    </row>
    <row r="2183">
      <c r="A2183" s="15"/>
      <c r="B2183" s="15"/>
      <c r="C2183" s="15"/>
      <c r="D2183" s="42"/>
      <c r="E2183" s="16"/>
      <c r="F2183" s="42"/>
      <c r="G2183" s="42"/>
      <c r="DN2183" s="191"/>
    </row>
    <row r="2184">
      <c r="A2184" s="15"/>
      <c r="B2184" s="15"/>
      <c r="C2184" s="15"/>
      <c r="D2184" s="42"/>
      <c r="E2184" s="16"/>
      <c r="F2184" s="42"/>
      <c r="G2184" s="42"/>
      <c r="DN2184" s="191"/>
    </row>
    <row r="2185">
      <c r="A2185" s="15"/>
      <c r="B2185" s="15"/>
      <c r="C2185" s="15"/>
      <c r="D2185" s="42"/>
      <c r="E2185" s="16"/>
      <c r="F2185" s="42"/>
      <c r="G2185" s="42"/>
      <c r="DN2185" s="191"/>
    </row>
    <row r="2186">
      <c r="A2186" s="15"/>
      <c r="B2186" s="15"/>
      <c r="C2186" s="15"/>
      <c r="D2186" s="42"/>
      <c r="E2186" s="16"/>
      <c r="F2186" s="42"/>
      <c r="G2186" s="42"/>
      <c r="DN2186" s="191"/>
    </row>
    <row r="2187">
      <c r="A2187" s="15"/>
      <c r="B2187" s="15"/>
      <c r="C2187" s="15"/>
      <c r="D2187" s="42"/>
      <c r="E2187" s="16"/>
      <c r="F2187" s="42"/>
      <c r="G2187" s="42"/>
      <c r="DN2187" s="191"/>
    </row>
    <row r="2188">
      <c r="A2188" s="15"/>
      <c r="B2188" s="15"/>
      <c r="C2188" s="15"/>
      <c r="D2188" s="42"/>
      <c r="E2188" s="16"/>
      <c r="F2188" s="42"/>
      <c r="G2188" s="42"/>
      <c r="DN2188" s="191"/>
    </row>
    <row r="2189">
      <c r="A2189" s="15"/>
      <c r="B2189" s="15"/>
      <c r="C2189" s="15"/>
      <c r="D2189" s="42"/>
      <c r="E2189" s="16"/>
      <c r="F2189" s="42"/>
      <c r="G2189" s="42"/>
      <c r="DN2189" s="191"/>
    </row>
    <row r="2190">
      <c r="A2190" s="15"/>
      <c r="B2190" s="15"/>
      <c r="C2190" s="15"/>
      <c r="D2190" s="42"/>
      <c r="E2190" s="16"/>
      <c r="F2190" s="42"/>
      <c r="G2190" s="42"/>
      <c r="DN2190" s="191"/>
    </row>
    <row r="2191">
      <c r="A2191" s="15"/>
      <c r="B2191" s="15"/>
      <c r="C2191" s="15"/>
      <c r="D2191" s="42"/>
      <c r="E2191" s="16"/>
      <c r="F2191" s="42"/>
      <c r="G2191" s="42"/>
      <c r="DN2191" s="191"/>
    </row>
    <row r="2192">
      <c r="A2192" s="15"/>
      <c r="B2192" s="15"/>
      <c r="C2192" s="15"/>
      <c r="D2192" s="42"/>
      <c r="E2192" s="16"/>
      <c r="F2192" s="42"/>
      <c r="G2192" s="42"/>
      <c r="DN2192" s="191"/>
    </row>
    <row r="2193">
      <c r="A2193" s="15"/>
      <c r="B2193" s="15"/>
      <c r="C2193" s="15"/>
      <c r="D2193" s="42"/>
      <c r="E2193" s="16"/>
      <c r="F2193" s="42"/>
      <c r="G2193" s="42"/>
      <c r="DN2193" s="191"/>
    </row>
    <row r="2194">
      <c r="A2194" s="15"/>
      <c r="B2194" s="15"/>
      <c r="C2194" s="15"/>
      <c r="D2194" s="42"/>
      <c r="E2194" s="16"/>
      <c r="F2194" s="42"/>
      <c r="G2194" s="42"/>
      <c r="DN2194" s="191"/>
    </row>
    <row r="2195">
      <c r="A2195" s="15"/>
      <c r="B2195" s="15"/>
      <c r="C2195" s="15"/>
      <c r="D2195" s="42"/>
      <c r="E2195" s="16"/>
      <c r="F2195" s="42"/>
      <c r="G2195" s="42"/>
      <c r="DN2195" s="191"/>
    </row>
    <row r="2196">
      <c r="A2196" s="15"/>
      <c r="B2196" s="15"/>
      <c r="C2196" s="15"/>
      <c r="D2196" s="42"/>
      <c r="E2196" s="16"/>
      <c r="F2196" s="42"/>
      <c r="G2196" s="42"/>
      <c r="DN2196" s="191"/>
    </row>
    <row r="2197">
      <c r="A2197" s="15"/>
      <c r="B2197" s="15"/>
      <c r="C2197" s="15"/>
      <c r="D2197" s="42"/>
      <c r="E2197" s="16"/>
      <c r="F2197" s="42"/>
      <c r="G2197" s="42"/>
      <c r="DN2197" s="191"/>
    </row>
    <row r="2198">
      <c r="A2198" s="15"/>
      <c r="B2198" s="15"/>
      <c r="C2198" s="15"/>
      <c r="D2198" s="42"/>
      <c r="E2198" s="16"/>
      <c r="F2198" s="42"/>
      <c r="G2198" s="42"/>
      <c r="DN2198" s="191"/>
    </row>
    <row r="2199">
      <c r="A2199" s="15"/>
      <c r="B2199" s="15"/>
      <c r="C2199" s="15"/>
      <c r="D2199" s="42"/>
      <c r="E2199" s="16"/>
      <c r="F2199" s="42"/>
      <c r="G2199" s="42"/>
      <c r="DN2199" s="191"/>
    </row>
    <row r="2200">
      <c r="A2200" s="15"/>
      <c r="B2200" s="15"/>
      <c r="C2200" s="15"/>
      <c r="D2200" s="42"/>
      <c r="E2200" s="16"/>
      <c r="F2200" s="42"/>
      <c r="G2200" s="42"/>
      <c r="DN2200" s="191"/>
    </row>
    <row r="2201">
      <c r="A2201" s="15"/>
      <c r="B2201" s="15"/>
      <c r="C2201" s="15"/>
      <c r="D2201" s="42"/>
      <c r="E2201" s="16"/>
      <c r="F2201" s="42"/>
      <c r="G2201" s="42"/>
      <c r="DN2201" s="191"/>
    </row>
    <row r="2202">
      <c r="A2202" s="15"/>
      <c r="B2202" s="15"/>
      <c r="C2202" s="15"/>
      <c r="D2202" s="42"/>
      <c r="E2202" s="16"/>
      <c r="F2202" s="42"/>
      <c r="G2202" s="42"/>
      <c r="DN2202" s="191"/>
    </row>
    <row r="2203">
      <c r="A2203" s="15"/>
      <c r="B2203" s="15"/>
      <c r="C2203" s="15"/>
      <c r="D2203" s="42"/>
      <c r="E2203" s="16"/>
      <c r="F2203" s="42"/>
      <c r="G2203" s="42"/>
      <c r="DN2203" s="191"/>
    </row>
    <row r="2204">
      <c r="A2204" s="15"/>
      <c r="B2204" s="15"/>
      <c r="C2204" s="15"/>
      <c r="D2204" s="42"/>
      <c r="E2204" s="16"/>
      <c r="F2204" s="42"/>
      <c r="G2204" s="42"/>
      <c r="DN2204" s="191"/>
    </row>
    <row r="2205">
      <c r="A2205" s="15"/>
      <c r="B2205" s="15"/>
      <c r="C2205" s="15"/>
      <c r="D2205" s="42"/>
      <c r="E2205" s="16"/>
      <c r="F2205" s="42"/>
      <c r="G2205" s="42"/>
      <c r="DN2205" s="191"/>
    </row>
    <row r="2206">
      <c r="A2206" s="15"/>
      <c r="B2206" s="15"/>
      <c r="C2206" s="15"/>
      <c r="D2206" s="42"/>
      <c r="E2206" s="16"/>
      <c r="F2206" s="42"/>
      <c r="G2206" s="42"/>
      <c r="DN2206" s="191"/>
    </row>
    <row r="2207">
      <c r="A2207" s="15"/>
      <c r="B2207" s="15"/>
      <c r="C2207" s="15"/>
      <c r="D2207" s="42"/>
      <c r="E2207" s="16"/>
      <c r="F2207" s="42"/>
      <c r="G2207" s="42"/>
      <c r="DN2207" s="191"/>
    </row>
    <row r="2208">
      <c r="A2208" s="15"/>
      <c r="B2208" s="15"/>
      <c r="C2208" s="15"/>
      <c r="D2208" s="42"/>
      <c r="E2208" s="16"/>
      <c r="F2208" s="42"/>
      <c r="G2208" s="42"/>
      <c r="DN2208" s="191"/>
    </row>
    <row r="2209">
      <c r="A2209" s="15"/>
      <c r="B2209" s="15"/>
      <c r="C2209" s="15"/>
      <c r="D2209" s="42"/>
      <c r="E2209" s="16"/>
      <c r="F2209" s="42"/>
      <c r="G2209" s="42"/>
      <c r="DN2209" s="191"/>
    </row>
    <row r="2210">
      <c r="A2210" s="15"/>
      <c r="B2210" s="15"/>
      <c r="C2210" s="15"/>
      <c r="D2210" s="42"/>
      <c r="E2210" s="16"/>
      <c r="F2210" s="42"/>
      <c r="G2210" s="42"/>
      <c r="DN2210" s="191"/>
    </row>
    <row r="2211">
      <c r="A2211" s="15"/>
      <c r="B2211" s="15"/>
      <c r="C2211" s="15"/>
      <c r="D2211" s="42"/>
      <c r="E2211" s="16"/>
      <c r="F2211" s="42"/>
      <c r="G2211" s="42"/>
      <c r="DN2211" s="191"/>
    </row>
    <row r="2212">
      <c r="A2212" s="15"/>
      <c r="B2212" s="15"/>
      <c r="C2212" s="15"/>
      <c r="D2212" s="42"/>
      <c r="E2212" s="16"/>
      <c r="F2212" s="42"/>
      <c r="G2212" s="42"/>
      <c r="DN2212" s="191"/>
    </row>
    <row r="2213">
      <c r="A2213" s="15"/>
      <c r="B2213" s="15"/>
      <c r="C2213" s="15"/>
      <c r="D2213" s="42"/>
      <c r="E2213" s="16"/>
      <c r="F2213" s="42"/>
      <c r="G2213" s="42"/>
      <c r="DN2213" s="191"/>
    </row>
    <row r="2214">
      <c r="A2214" s="15"/>
      <c r="B2214" s="15"/>
      <c r="C2214" s="15"/>
      <c r="D2214" s="42"/>
      <c r="E2214" s="16"/>
      <c r="F2214" s="42"/>
      <c r="G2214" s="42"/>
      <c r="DN2214" s="191"/>
    </row>
    <row r="2215">
      <c r="A2215" s="15"/>
      <c r="B2215" s="15"/>
      <c r="C2215" s="15"/>
      <c r="D2215" s="42"/>
      <c r="E2215" s="16"/>
      <c r="F2215" s="42"/>
      <c r="G2215" s="42"/>
      <c r="DN2215" s="191"/>
    </row>
    <row r="2216">
      <c r="A2216" s="15"/>
      <c r="B2216" s="15"/>
      <c r="C2216" s="15"/>
      <c r="D2216" s="42"/>
      <c r="E2216" s="16"/>
      <c r="F2216" s="42"/>
      <c r="G2216" s="42"/>
      <c r="DN2216" s="191"/>
    </row>
    <row r="2217">
      <c r="A2217" s="15"/>
      <c r="B2217" s="15"/>
      <c r="C2217" s="15"/>
      <c r="D2217" s="42"/>
      <c r="E2217" s="16"/>
      <c r="F2217" s="42"/>
      <c r="G2217" s="42"/>
      <c r="DN2217" s="191"/>
    </row>
    <row r="2218">
      <c r="A2218" s="15"/>
      <c r="B2218" s="15"/>
      <c r="C2218" s="15"/>
      <c r="D2218" s="42"/>
      <c r="E2218" s="16"/>
      <c r="F2218" s="42"/>
      <c r="G2218" s="42"/>
      <c r="DN2218" s="191"/>
    </row>
    <row r="2219">
      <c r="A2219" s="15"/>
      <c r="B2219" s="15"/>
      <c r="C2219" s="15"/>
      <c r="D2219" s="42"/>
      <c r="E2219" s="16"/>
      <c r="F2219" s="42"/>
      <c r="G2219" s="42"/>
      <c r="DN2219" s="191"/>
    </row>
    <row r="2220">
      <c r="A2220" s="15"/>
      <c r="B2220" s="15"/>
      <c r="C2220" s="15"/>
      <c r="D2220" s="42"/>
      <c r="E2220" s="16"/>
      <c r="F2220" s="42"/>
      <c r="G2220" s="42"/>
      <c r="DN2220" s="191"/>
    </row>
    <row r="2221">
      <c r="A2221" s="15"/>
      <c r="B2221" s="15"/>
      <c r="C2221" s="15"/>
      <c r="D2221" s="42"/>
      <c r="E2221" s="16"/>
      <c r="F2221" s="42"/>
      <c r="G2221" s="42"/>
      <c r="DN2221" s="191"/>
    </row>
    <row r="2222">
      <c r="A2222" s="15"/>
      <c r="B2222" s="15"/>
      <c r="C2222" s="15"/>
      <c r="D2222" s="42"/>
      <c r="E2222" s="16"/>
      <c r="F2222" s="42"/>
      <c r="G2222" s="42"/>
      <c r="DN2222" s="191"/>
    </row>
    <row r="2223">
      <c r="A2223" s="15"/>
      <c r="B2223" s="15"/>
      <c r="C2223" s="15"/>
      <c r="D2223" s="42"/>
      <c r="E2223" s="16"/>
      <c r="F2223" s="42"/>
      <c r="G2223" s="42"/>
      <c r="DN2223" s="191"/>
    </row>
    <row r="2224">
      <c r="A2224" s="15"/>
      <c r="B2224" s="15"/>
      <c r="C2224" s="15"/>
      <c r="D2224" s="42"/>
      <c r="E2224" s="16"/>
      <c r="F2224" s="42"/>
      <c r="G2224" s="42"/>
      <c r="DN2224" s="191"/>
    </row>
    <row r="2225">
      <c r="A2225" s="15"/>
      <c r="B2225" s="15"/>
      <c r="C2225" s="15"/>
      <c r="D2225" s="42"/>
      <c r="E2225" s="16"/>
      <c r="F2225" s="42"/>
      <c r="G2225" s="42"/>
      <c r="DN2225" s="191"/>
    </row>
    <row r="2226">
      <c r="A2226" s="15"/>
      <c r="B2226" s="15"/>
      <c r="C2226" s="15"/>
      <c r="D2226" s="42"/>
      <c r="E2226" s="16"/>
      <c r="F2226" s="42"/>
      <c r="G2226" s="42"/>
      <c r="DN2226" s="191"/>
    </row>
    <row r="2227">
      <c r="A2227" s="15"/>
      <c r="B2227" s="15"/>
      <c r="C2227" s="15"/>
      <c r="D2227" s="42"/>
      <c r="E2227" s="16"/>
      <c r="F2227" s="42"/>
      <c r="G2227" s="42"/>
      <c r="DN2227" s="191"/>
    </row>
    <row r="2228">
      <c r="A2228" s="15"/>
      <c r="B2228" s="15"/>
      <c r="C2228" s="15"/>
      <c r="D2228" s="42"/>
      <c r="E2228" s="16"/>
      <c r="F2228" s="42"/>
      <c r="G2228" s="42"/>
      <c r="DN2228" s="191"/>
    </row>
    <row r="2229">
      <c r="A2229" s="15"/>
      <c r="B2229" s="15"/>
      <c r="C2229" s="15"/>
      <c r="D2229" s="42"/>
      <c r="E2229" s="16"/>
      <c r="F2229" s="42"/>
      <c r="G2229" s="42"/>
      <c r="DN2229" s="191"/>
    </row>
    <row r="2230">
      <c r="A2230" s="15"/>
      <c r="B2230" s="15"/>
      <c r="C2230" s="15"/>
      <c r="D2230" s="42"/>
      <c r="E2230" s="16"/>
      <c r="F2230" s="42"/>
      <c r="G2230" s="42"/>
      <c r="DN2230" s="191"/>
    </row>
    <row r="2231">
      <c r="A2231" s="15"/>
      <c r="B2231" s="15"/>
      <c r="C2231" s="15"/>
      <c r="D2231" s="42"/>
      <c r="E2231" s="16"/>
      <c r="F2231" s="42"/>
      <c r="G2231" s="42"/>
      <c r="DN2231" s="191"/>
    </row>
    <row r="2232">
      <c r="A2232" s="15"/>
      <c r="B2232" s="15"/>
      <c r="C2232" s="15"/>
      <c r="D2232" s="42"/>
      <c r="E2232" s="16"/>
      <c r="F2232" s="42"/>
      <c r="G2232" s="42"/>
      <c r="DN2232" s="191"/>
    </row>
    <row r="2233">
      <c r="A2233" s="15"/>
      <c r="B2233" s="15"/>
      <c r="C2233" s="15"/>
      <c r="D2233" s="42"/>
      <c r="E2233" s="16"/>
      <c r="F2233" s="42"/>
      <c r="G2233" s="42"/>
      <c r="DN2233" s="191"/>
    </row>
    <row r="2234">
      <c r="A2234" s="15"/>
      <c r="B2234" s="15"/>
      <c r="C2234" s="15"/>
      <c r="D2234" s="42"/>
      <c r="E2234" s="16"/>
      <c r="F2234" s="42"/>
      <c r="G2234" s="42"/>
      <c r="DN2234" s="191"/>
    </row>
    <row r="2235">
      <c r="A2235" s="15"/>
      <c r="B2235" s="15"/>
      <c r="C2235" s="15"/>
      <c r="D2235" s="42"/>
      <c r="E2235" s="16"/>
      <c r="F2235" s="42"/>
      <c r="G2235" s="42"/>
      <c r="DN2235" s="191"/>
    </row>
    <row r="2236">
      <c r="A2236" s="15"/>
      <c r="B2236" s="15"/>
      <c r="C2236" s="15"/>
      <c r="D2236" s="42"/>
      <c r="E2236" s="16"/>
      <c r="F2236" s="42"/>
      <c r="G2236" s="42"/>
      <c r="DN2236" s="191"/>
    </row>
    <row r="2237">
      <c r="A2237" s="15"/>
      <c r="B2237" s="15"/>
      <c r="C2237" s="15"/>
      <c r="D2237" s="42"/>
      <c r="E2237" s="16"/>
      <c r="F2237" s="42"/>
      <c r="G2237" s="42"/>
      <c r="DN2237" s="191"/>
    </row>
    <row r="2238">
      <c r="A2238" s="15"/>
      <c r="B2238" s="15"/>
      <c r="C2238" s="15"/>
      <c r="D2238" s="42"/>
      <c r="E2238" s="16"/>
      <c r="F2238" s="42"/>
      <c r="G2238" s="42"/>
      <c r="DN2238" s="191"/>
    </row>
    <row r="2239">
      <c r="A2239" s="15"/>
      <c r="B2239" s="15"/>
      <c r="C2239" s="15"/>
      <c r="D2239" s="42"/>
      <c r="E2239" s="16"/>
      <c r="F2239" s="42"/>
      <c r="G2239" s="42"/>
      <c r="DN2239" s="191"/>
    </row>
    <row r="2240">
      <c r="A2240" s="15"/>
      <c r="B2240" s="15"/>
      <c r="C2240" s="15"/>
      <c r="D2240" s="42"/>
      <c r="E2240" s="16"/>
      <c r="F2240" s="42"/>
      <c r="G2240" s="42"/>
      <c r="DN2240" s="191"/>
    </row>
    <row r="2241">
      <c r="A2241" s="15"/>
      <c r="B2241" s="15"/>
      <c r="C2241" s="15"/>
      <c r="D2241" s="42"/>
      <c r="E2241" s="16"/>
      <c r="F2241" s="42"/>
      <c r="G2241" s="42"/>
      <c r="DN2241" s="191"/>
    </row>
    <row r="2242">
      <c r="A2242" s="15"/>
      <c r="B2242" s="15"/>
      <c r="C2242" s="15"/>
      <c r="D2242" s="42"/>
      <c r="E2242" s="16"/>
      <c r="F2242" s="42"/>
      <c r="G2242" s="42"/>
      <c r="DN2242" s="191"/>
    </row>
    <row r="2243">
      <c r="A2243" s="15"/>
      <c r="B2243" s="15"/>
      <c r="C2243" s="15"/>
      <c r="D2243" s="42"/>
      <c r="E2243" s="16"/>
      <c r="F2243" s="42"/>
      <c r="G2243" s="42"/>
      <c r="DN2243" s="191"/>
    </row>
    <row r="2244">
      <c r="A2244" s="15"/>
      <c r="B2244" s="15"/>
      <c r="C2244" s="15"/>
      <c r="D2244" s="42"/>
      <c r="E2244" s="16"/>
      <c r="F2244" s="42"/>
      <c r="G2244" s="42"/>
      <c r="DN2244" s="191"/>
    </row>
    <row r="2245">
      <c r="A2245" s="15"/>
      <c r="B2245" s="15"/>
      <c r="C2245" s="15"/>
      <c r="D2245" s="42"/>
      <c r="E2245" s="16"/>
      <c r="F2245" s="42"/>
      <c r="G2245" s="42"/>
      <c r="DN2245" s="191"/>
    </row>
    <row r="2246">
      <c r="A2246" s="15"/>
      <c r="B2246" s="15"/>
      <c r="C2246" s="15"/>
      <c r="D2246" s="42"/>
      <c r="E2246" s="16"/>
      <c r="F2246" s="42"/>
      <c r="G2246" s="42"/>
      <c r="DN2246" s="191"/>
    </row>
    <row r="2247">
      <c r="A2247" s="15"/>
      <c r="B2247" s="15"/>
      <c r="C2247" s="15"/>
      <c r="D2247" s="42"/>
      <c r="E2247" s="16"/>
      <c r="F2247" s="42"/>
      <c r="G2247" s="42"/>
      <c r="DN2247" s="191"/>
    </row>
    <row r="2248">
      <c r="A2248" s="15"/>
      <c r="B2248" s="15"/>
      <c r="C2248" s="15"/>
      <c r="D2248" s="42"/>
      <c r="E2248" s="16"/>
      <c r="F2248" s="42"/>
      <c r="G2248" s="42"/>
      <c r="DN2248" s="191"/>
    </row>
    <row r="2249">
      <c r="A2249" s="15"/>
      <c r="B2249" s="15"/>
      <c r="C2249" s="15"/>
      <c r="D2249" s="42"/>
      <c r="E2249" s="16"/>
      <c r="F2249" s="42"/>
      <c r="G2249" s="42"/>
      <c r="DN2249" s="191"/>
    </row>
    <row r="2250">
      <c r="A2250" s="15"/>
      <c r="B2250" s="15"/>
      <c r="C2250" s="15"/>
      <c r="D2250" s="42"/>
      <c r="E2250" s="16"/>
      <c r="F2250" s="42"/>
      <c r="G2250" s="42"/>
      <c r="DN2250" s="191"/>
    </row>
    <row r="2251">
      <c r="A2251" s="15"/>
      <c r="B2251" s="15"/>
      <c r="C2251" s="15"/>
      <c r="D2251" s="42"/>
      <c r="E2251" s="16"/>
      <c r="F2251" s="42"/>
      <c r="G2251" s="42"/>
      <c r="DN2251" s="191"/>
    </row>
    <row r="2252">
      <c r="A2252" s="15"/>
      <c r="B2252" s="15"/>
      <c r="C2252" s="15"/>
      <c r="D2252" s="42"/>
      <c r="E2252" s="16"/>
      <c r="F2252" s="42"/>
      <c r="G2252" s="42"/>
      <c r="DN2252" s="191"/>
    </row>
    <row r="2253">
      <c r="A2253" s="15"/>
      <c r="B2253" s="15"/>
      <c r="C2253" s="15"/>
      <c r="D2253" s="42"/>
      <c r="E2253" s="16"/>
      <c r="F2253" s="42"/>
      <c r="G2253" s="42"/>
      <c r="DN2253" s="191"/>
    </row>
    <row r="2254">
      <c r="A2254" s="15"/>
      <c r="B2254" s="15"/>
      <c r="C2254" s="15"/>
      <c r="D2254" s="42"/>
      <c r="E2254" s="16"/>
      <c r="F2254" s="42"/>
      <c r="G2254" s="42"/>
      <c r="DN2254" s="191"/>
    </row>
    <row r="2255">
      <c r="A2255" s="15"/>
      <c r="B2255" s="15"/>
      <c r="C2255" s="15"/>
      <c r="D2255" s="42"/>
      <c r="E2255" s="16"/>
      <c r="F2255" s="42"/>
      <c r="G2255" s="42"/>
      <c r="DN2255" s="191"/>
    </row>
    <row r="2256">
      <c r="A2256" s="15"/>
      <c r="B2256" s="15"/>
      <c r="C2256" s="15"/>
      <c r="D2256" s="42"/>
      <c r="E2256" s="16"/>
      <c r="F2256" s="42"/>
      <c r="G2256" s="42"/>
      <c r="DN2256" s="191"/>
    </row>
    <row r="2257">
      <c r="A2257" s="15"/>
      <c r="B2257" s="15"/>
      <c r="C2257" s="15"/>
      <c r="D2257" s="42"/>
      <c r="E2257" s="16"/>
      <c r="F2257" s="42"/>
      <c r="G2257" s="42"/>
      <c r="DN2257" s="191"/>
    </row>
    <row r="2258">
      <c r="A2258" s="15"/>
      <c r="B2258" s="15"/>
      <c r="C2258" s="15"/>
      <c r="D2258" s="42"/>
      <c r="E2258" s="16"/>
      <c r="F2258" s="42"/>
      <c r="G2258" s="42"/>
      <c r="DN2258" s="191"/>
    </row>
    <row r="2259">
      <c r="A2259" s="15"/>
      <c r="B2259" s="15"/>
      <c r="C2259" s="15"/>
      <c r="D2259" s="42"/>
      <c r="E2259" s="16"/>
      <c r="F2259" s="42"/>
      <c r="G2259" s="42"/>
      <c r="DN2259" s="191"/>
    </row>
    <row r="2260">
      <c r="A2260" s="15"/>
      <c r="B2260" s="15"/>
      <c r="C2260" s="15"/>
      <c r="D2260" s="42"/>
      <c r="E2260" s="16"/>
      <c r="F2260" s="42"/>
      <c r="G2260" s="42"/>
      <c r="DN2260" s="191"/>
    </row>
    <row r="2261">
      <c r="A2261" s="15"/>
      <c r="B2261" s="15"/>
      <c r="C2261" s="15"/>
      <c r="D2261" s="42"/>
      <c r="E2261" s="16"/>
      <c r="F2261" s="42"/>
      <c r="G2261" s="42"/>
      <c r="DN2261" s="191"/>
    </row>
    <row r="2262">
      <c r="A2262" s="15"/>
      <c r="B2262" s="15"/>
      <c r="C2262" s="15"/>
      <c r="D2262" s="42"/>
      <c r="E2262" s="16"/>
      <c r="F2262" s="42"/>
      <c r="G2262" s="42"/>
      <c r="DN2262" s="191"/>
    </row>
    <row r="2263">
      <c r="A2263" s="15"/>
      <c r="B2263" s="15"/>
      <c r="C2263" s="15"/>
      <c r="D2263" s="42"/>
      <c r="E2263" s="16"/>
      <c r="F2263" s="42"/>
      <c r="G2263" s="42"/>
      <c r="DN2263" s="191"/>
    </row>
    <row r="2264">
      <c r="A2264" s="15"/>
      <c r="B2264" s="15"/>
      <c r="C2264" s="15"/>
      <c r="D2264" s="42"/>
      <c r="E2264" s="16"/>
      <c r="F2264" s="42"/>
      <c r="G2264" s="42"/>
      <c r="DN2264" s="191"/>
    </row>
    <row r="2265">
      <c r="A2265" s="15"/>
      <c r="B2265" s="15"/>
      <c r="C2265" s="15"/>
      <c r="D2265" s="42"/>
      <c r="E2265" s="16"/>
      <c r="F2265" s="42"/>
      <c r="G2265" s="42"/>
      <c r="DN2265" s="191"/>
    </row>
    <row r="2266">
      <c r="A2266" s="15"/>
      <c r="B2266" s="15"/>
      <c r="C2266" s="15"/>
      <c r="D2266" s="42"/>
      <c r="E2266" s="16"/>
      <c r="F2266" s="42"/>
      <c r="G2266" s="42"/>
      <c r="DN2266" s="191"/>
    </row>
    <row r="2267">
      <c r="A2267" s="15"/>
      <c r="B2267" s="15"/>
      <c r="C2267" s="15"/>
      <c r="D2267" s="42"/>
      <c r="E2267" s="16"/>
      <c r="F2267" s="42"/>
      <c r="G2267" s="42"/>
      <c r="DN2267" s="191"/>
    </row>
    <row r="2268">
      <c r="A2268" s="15"/>
      <c r="B2268" s="15"/>
      <c r="C2268" s="15"/>
      <c r="D2268" s="42"/>
      <c r="E2268" s="16"/>
      <c r="F2268" s="42"/>
      <c r="G2268" s="42"/>
      <c r="DN2268" s="191"/>
    </row>
    <row r="2269">
      <c r="A2269" s="15"/>
      <c r="B2269" s="15"/>
      <c r="C2269" s="15"/>
      <c r="D2269" s="42"/>
      <c r="E2269" s="16"/>
      <c r="F2269" s="42"/>
      <c r="G2269" s="42"/>
      <c r="DN2269" s="191"/>
    </row>
    <row r="2270">
      <c r="A2270" s="15"/>
      <c r="B2270" s="15"/>
      <c r="C2270" s="15"/>
      <c r="D2270" s="42"/>
      <c r="E2270" s="16"/>
      <c r="F2270" s="42"/>
      <c r="G2270" s="42"/>
      <c r="DN2270" s="191"/>
    </row>
    <row r="2271">
      <c r="A2271" s="15"/>
      <c r="B2271" s="15"/>
      <c r="C2271" s="15"/>
      <c r="D2271" s="42"/>
      <c r="E2271" s="16"/>
      <c r="F2271" s="42"/>
      <c r="G2271" s="42"/>
      <c r="DN2271" s="191"/>
    </row>
    <row r="2272">
      <c r="A2272" s="15"/>
      <c r="B2272" s="15"/>
      <c r="C2272" s="15"/>
      <c r="D2272" s="42"/>
      <c r="E2272" s="16"/>
      <c r="F2272" s="42"/>
      <c r="G2272" s="42"/>
      <c r="DN2272" s="191"/>
    </row>
    <row r="2273">
      <c r="A2273" s="15"/>
      <c r="B2273" s="15"/>
      <c r="C2273" s="15"/>
      <c r="D2273" s="42"/>
      <c r="E2273" s="16"/>
      <c r="F2273" s="42"/>
      <c r="G2273" s="42"/>
      <c r="DN2273" s="191"/>
    </row>
    <row r="2274">
      <c r="A2274" s="15"/>
      <c r="B2274" s="15"/>
      <c r="C2274" s="15"/>
      <c r="D2274" s="42"/>
      <c r="E2274" s="16"/>
      <c r="F2274" s="42"/>
      <c r="G2274" s="42"/>
      <c r="DN2274" s="191"/>
    </row>
    <row r="2275">
      <c r="A2275" s="15"/>
      <c r="B2275" s="15"/>
      <c r="C2275" s="15"/>
      <c r="D2275" s="42"/>
      <c r="E2275" s="16"/>
      <c r="F2275" s="42"/>
      <c r="G2275" s="42"/>
      <c r="DN2275" s="191"/>
    </row>
    <row r="2276">
      <c r="A2276" s="15"/>
      <c r="B2276" s="15"/>
      <c r="C2276" s="15"/>
      <c r="D2276" s="42"/>
      <c r="E2276" s="16"/>
      <c r="F2276" s="42"/>
      <c r="G2276" s="42"/>
      <c r="DN2276" s="191"/>
    </row>
    <row r="2277">
      <c r="A2277" s="15"/>
      <c r="B2277" s="15"/>
      <c r="C2277" s="15"/>
      <c r="D2277" s="42"/>
      <c r="E2277" s="16"/>
      <c r="F2277" s="42"/>
      <c r="G2277" s="42"/>
      <c r="DN2277" s="191"/>
    </row>
    <row r="2278">
      <c r="A2278" s="15"/>
      <c r="B2278" s="15"/>
      <c r="C2278" s="15"/>
      <c r="D2278" s="42"/>
      <c r="E2278" s="16"/>
      <c r="F2278" s="42"/>
      <c r="G2278" s="42"/>
      <c r="DN2278" s="191"/>
    </row>
    <row r="2279">
      <c r="A2279" s="15"/>
      <c r="B2279" s="15"/>
      <c r="C2279" s="15"/>
      <c r="D2279" s="42"/>
      <c r="E2279" s="16"/>
      <c r="F2279" s="42"/>
      <c r="G2279" s="42"/>
      <c r="DN2279" s="191"/>
    </row>
    <row r="2280">
      <c r="A2280" s="15"/>
      <c r="B2280" s="15"/>
      <c r="C2280" s="15"/>
      <c r="D2280" s="42"/>
      <c r="E2280" s="16"/>
      <c r="F2280" s="42"/>
      <c r="G2280" s="42"/>
      <c r="DN2280" s="191"/>
    </row>
    <row r="2281">
      <c r="A2281" s="15"/>
      <c r="B2281" s="15"/>
      <c r="C2281" s="15"/>
      <c r="D2281" s="42"/>
      <c r="E2281" s="16"/>
      <c r="F2281" s="42"/>
      <c r="G2281" s="42"/>
      <c r="DN2281" s="191"/>
    </row>
    <row r="2282">
      <c r="A2282" s="15"/>
      <c r="B2282" s="15"/>
      <c r="C2282" s="15"/>
      <c r="D2282" s="42"/>
      <c r="E2282" s="16"/>
      <c r="F2282" s="42"/>
      <c r="G2282" s="42"/>
      <c r="DN2282" s="191"/>
    </row>
    <row r="2283">
      <c r="A2283" s="15"/>
      <c r="B2283" s="15"/>
      <c r="C2283" s="15"/>
      <c r="D2283" s="42"/>
      <c r="E2283" s="16"/>
      <c r="F2283" s="42"/>
      <c r="G2283" s="42"/>
      <c r="DN2283" s="191"/>
    </row>
    <row r="2284">
      <c r="A2284" s="15"/>
      <c r="B2284" s="15"/>
      <c r="C2284" s="15"/>
      <c r="D2284" s="42"/>
      <c r="E2284" s="16"/>
      <c r="F2284" s="42"/>
      <c r="G2284" s="42"/>
      <c r="DN2284" s="191"/>
    </row>
    <row r="2285">
      <c r="A2285" s="15"/>
      <c r="B2285" s="15"/>
      <c r="C2285" s="15"/>
      <c r="D2285" s="42"/>
      <c r="E2285" s="16"/>
      <c r="F2285" s="42"/>
      <c r="G2285" s="42"/>
      <c r="DN2285" s="191"/>
    </row>
    <row r="2286">
      <c r="A2286" s="15"/>
      <c r="B2286" s="15"/>
      <c r="C2286" s="15"/>
      <c r="D2286" s="42"/>
      <c r="E2286" s="16"/>
      <c r="F2286" s="42"/>
      <c r="G2286" s="42"/>
      <c r="DN2286" s="191"/>
    </row>
    <row r="2287">
      <c r="A2287" s="15"/>
      <c r="B2287" s="15"/>
      <c r="C2287" s="15"/>
      <c r="D2287" s="42"/>
      <c r="E2287" s="16"/>
      <c r="F2287" s="42"/>
      <c r="G2287" s="42"/>
      <c r="DN2287" s="191"/>
    </row>
    <row r="2288">
      <c r="A2288" s="15"/>
      <c r="B2288" s="15"/>
      <c r="C2288" s="15"/>
      <c r="D2288" s="42"/>
      <c r="E2288" s="16"/>
      <c r="F2288" s="42"/>
      <c r="G2288" s="42"/>
      <c r="DN2288" s="191"/>
    </row>
    <row r="2289">
      <c r="A2289" s="15"/>
      <c r="B2289" s="15"/>
      <c r="C2289" s="15"/>
      <c r="D2289" s="42"/>
      <c r="E2289" s="16"/>
      <c r="F2289" s="42"/>
      <c r="G2289" s="42"/>
      <c r="DN2289" s="191"/>
    </row>
    <row r="2290">
      <c r="A2290" s="15"/>
      <c r="B2290" s="15"/>
      <c r="C2290" s="15"/>
      <c r="D2290" s="42"/>
      <c r="E2290" s="16"/>
      <c r="F2290" s="42"/>
      <c r="G2290" s="42"/>
      <c r="DN2290" s="191"/>
    </row>
    <row r="2291">
      <c r="A2291" s="15"/>
      <c r="B2291" s="15"/>
      <c r="C2291" s="15"/>
      <c r="D2291" s="42"/>
      <c r="E2291" s="16"/>
      <c r="F2291" s="42"/>
      <c r="G2291" s="42"/>
      <c r="DN2291" s="191"/>
    </row>
    <row r="2292">
      <c r="A2292" s="15"/>
      <c r="B2292" s="15"/>
      <c r="C2292" s="15"/>
      <c r="D2292" s="42"/>
      <c r="E2292" s="16"/>
      <c r="F2292" s="42"/>
      <c r="G2292" s="42"/>
      <c r="DN2292" s="191"/>
    </row>
    <row r="2293">
      <c r="A2293" s="15"/>
      <c r="B2293" s="15"/>
      <c r="C2293" s="15"/>
      <c r="D2293" s="42"/>
      <c r="E2293" s="16"/>
      <c r="F2293" s="42"/>
      <c r="G2293" s="42"/>
      <c r="DN2293" s="191"/>
    </row>
    <row r="2294">
      <c r="A2294" s="15"/>
      <c r="B2294" s="15"/>
      <c r="C2294" s="15"/>
      <c r="D2294" s="42"/>
      <c r="E2294" s="16"/>
      <c r="F2294" s="42"/>
      <c r="G2294" s="42"/>
      <c r="DN2294" s="191"/>
    </row>
    <row r="2295">
      <c r="A2295" s="15"/>
      <c r="B2295" s="15"/>
      <c r="C2295" s="15"/>
      <c r="D2295" s="42"/>
      <c r="E2295" s="16"/>
      <c r="F2295" s="42"/>
      <c r="G2295" s="42"/>
      <c r="DN2295" s="191"/>
    </row>
    <row r="2296">
      <c r="A2296" s="15"/>
      <c r="B2296" s="15"/>
      <c r="C2296" s="15"/>
      <c r="D2296" s="42"/>
      <c r="E2296" s="16"/>
      <c r="F2296" s="42"/>
      <c r="G2296" s="42"/>
      <c r="DN2296" s="191"/>
    </row>
    <row r="2297">
      <c r="A2297" s="15"/>
      <c r="B2297" s="15"/>
      <c r="C2297" s="15"/>
      <c r="D2297" s="42"/>
      <c r="E2297" s="16"/>
      <c r="F2297" s="42"/>
      <c r="G2297" s="42"/>
      <c r="DN2297" s="191"/>
    </row>
    <row r="2298">
      <c r="A2298" s="15"/>
      <c r="B2298" s="15"/>
      <c r="C2298" s="15"/>
      <c r="D2298" s="42"/>
      <c r="E2298" s="16"/>
      <c r="F2298" s="42"/>
      <c r="G2298" s="42"/>
      <c r="DN2298" s="191"/>
    </row>
    <row r="2299">
      <c r="A2299" s="15"/>
      <c r="B2299" s="15"/>
      <c r="C2299" s="15"/>
      <c r="D2299" s="42"/>
      <c r="E2299" s="16"/>
      <c r="F2299" s="42"/>
      <c r="G2299" s="42"/>
      <c r="DN2299" s="191"/>
    </row>
    <row r="2300">
      <c r="A2300" s="15"/>
      <c r="B2300" s="15"/>
      <c r="C2300" s="15"/>
      <c r="D2300" s="42"/>
      <c r="E2300" s="16"/>
      <c r="F2300" s="42"/>
      <c r="G2300" s="42"/>
      <c r="DN2300" s="191"/>
    </row>
    <row r="2301">
      <c r="A2301" s="15"/>
      <c r="B2301" s="15"/>
      <c r="C2301" s="15"/>
      <c r="D2301" s="42"/>
      <c r="E2301" s="16"/>
      <c r="F2301" s="42"/>
      <c r="G2301" s="42"/>
      <c r="DN2301" s="191"/>
    </row>
    <row r="2302">
      <c r="A2302" s="15"/>
      <c r="B2302" s="15"/>
      <c r="C2302" s="15"/>
      <c r="D2302" s="42"/>
      <c r="E2302" s="16"/>
      <c r="F2302" s="42"/>
      <c r="G2302" s="42"/>
      <c r="DN2302" s="191"/>
    </row>
    <row r="2303">
      <c r="A2303" s="15"/>
      <c r="B2303" s="15"/>
      <c r="C2303" s="15"/>
      <c r="D2303" s="42"/>
      <c r="E2303" s="16"/>
      <c r="F2303" s="42"/>
      <c r="G2303" s="42"/>
      <c r="DN2303" s="191"/>
    </row>
    <row r="2304">
      <c r="A2304" s="15"/>
      <c r="B2304" s="15"/>
      <c r="C2304" s="15"/>
      <c r="D2304" s="42"/>
      <c r="E2304" s="16"/>
      <c r="F2304" s="42"/>
      <c r="G2304" s="42"/>
      <c r="DN2304" s="191"/>
    </row>
    <row r="2305">
      <c r="A2305" s="15"/>
      <c r="B2305" s="15"/>
      <c r="C2305" s="15"/>
      <c r="D2305" s="42"/>
      <c r="E2305" s="16"/>
      <c r="F2305" s="42"/>
      <c r="G2305" s="42"/>
      <c r="DN2305" s="191"/>
    </row>
    <row r="2306">
      <c r="A2306" s="15"/>
      <c r="B2306" s="15"/>
      <c r="C2306" s="15"/>
      <c r="D2306" s="42"/>
      <c r="E2306" s="16"/>
      <c r="F2306" s="42"/>
      <c r="G2306" s="42"/>
      <c r="DN2306" s="191"/>
    </row>
    <row r="2307">
      <c r="A2307" s="15"/>
      <c r="B2307" s="15"/>
      <c r="C2307" s="15"/>
      <c r="D2307" s="42"/>
      <c r="E2307" s="16"/>
      <c r="F2307" s="42"/>
      <c r="G2307" s="42"/>
      <c r="DN2307" s="191"/>
    </row>
    <row r="2308">
      <c r="A2308" s="15"/>
      <c r="B2308" s="15"/>
      <c r="C2308" s="15"/>
      <c r="D2308" s="42"/>
      <c r="E2308" s="16"/>
      <c r="F2308" s="42"/>
      <c r="G2308" s="42"/>
      <c r="DN2308" s="191"/>
    </row>
    <row r="2309">
      <c r="A2309" s="15"/>
      <c r="B2309" s="15"/>
      <c r="C2309" s="15"/>
      <c r="D2309" s="42"/>
      <c r="E2309" s="16"/>
      <c r="F2309" s="42"/>
      <c r="G2309" s="42"/>
      <c r="DN2309" s="191"/>
    </row>
    <row r="2310">
      <c r="A2310" s="15"/>
      <c r="B2310" s="15"/>
      <c r="C2310" s="15"/>
      <c r="D2310" s="42"/>
      <c r="E2310" s="16"/>
      <c r="F2310" s="42"/>
      <c r="G2310" s="42"/>
      <c r="DN2310" s="191"/>
    </row>
    <row r="2311">
      <c r="A2311" s="15"/>
      <c r="B2311" s="15"/>
      <c r="C2311" s="15"/>
      <c r="D2311" s="42"/>
      <c r="E2311" s="16"/>
      <c r="F2311" s="42"/>
      <c r="G2311" s="42"/>
      <c r="DN2311" s="191"/>
    </row>
    <row r="2312">
      <c r="A2312" s="15"/>
      <c r="B2312" s="15"/>
      <c r="C2312" s="15"/>
      <c r="D2312" s="42"/>
      <c r="E2312" s="16"/>
      <c r="F2312" s="42"/>
      <c r="G2312" s="42"/>
      <c r="DN2312" s="191"/>
    </row>
    <row r="2313">
      <c r="A2313" s="15"/>
      <c r="B2313" s="15"/>
      <c r="C2313" s="15"/>
      <c r="D2313" s="42"/>
      <c r="E2313" s="16"/>
      <c r="F2313" s="42"/>
      <c r="G2313" s="42"/>
      <c r="DN2313" s="191"/>
    </row>
    <row r="2314">
      <c r="A2314" s="15"/>
      <c r="B2314" s="15"/>
      <c r="C2314" s="15"/>
      <c r="D2314" s="42"/>
      <c r="E2314" s="16"/>
      <c r="F2314" s="42"/>
      <c r="G2314" s="42"/>
      <c r="DN2314" s="191"/>
    </row>
    <row r="2315">
      <c r="A2315" s="15"/>
      <c r="B2315" s="15"/>
      <c r="C2315" s="15"/>
      <c r="D2315" s="42"/>
      <c r="E2315" s="16"/>
      <c r="F2315" s="42"/>
      <c r="G2315" s="42"/>
      <c r="DN2315" s="191"/>
    </row>
    <row r="2316">
      <c r="A2316" s="15"/>
      <c r="B2316" s="15"/>
      <c r="C2316" s="15"/>
      <c r="D2316" s="42"/>
      <c r="E2316" s="16"/>
      <c r="F2316" s="42"/>
      <c r="G2316" s="42"/>
      <c r="DN2316" s="191"/>
    </row>
    <row r="2317">
      <c r="A2317" s="15"/>
      <c r="B2317" s="15"/>
      <c r="C2317" s="15"/>
      <c r="D2317" s="42"/>
      <c r="E2317" s="16"/>
      <c r="F2317" s="42"/>
      <c r="G2317" s="42"/>
      <c r="DN2317" s="191"/>
    </row>
    <row r="2318">
      <c r="A2318" s="15"/>
      <c r="B2318" s="15"/>
      <c r="C2318" s="15"/>
      <c r="D2318" s="42"/>
      <c r="E2318" s="16"/>
      <c r="F2318" s="42"/>
      <c r="G2318" s="42"/>
      <c r="DN2318" s="191"/>
    </row>
    <row r="2319">
      <c r="A2319" s="15"/>
      <c r="B2319" s="15"/>
      <c r="C2319" s="15"/>
      <c r="D2319" s="42"/>
      <c r="E2319" s="16"/>
      <c r="F2319" s="42"/>
      <c r="G2319" s="42"/>
      <c r="DN2319" s="191"/>
    </row>
    <row r="2320">
      <c r="A2320" s="15"/>
      <c r="B2320" s="15"/>
      <c r="C2320" s="15"/>
      <c r="D2320" s="42"/>
      <c r="E2320" s="16"/>
      <c r="F2320" s="42"/>
      <c r="G2320" s="42"/>
      <c r="DN2320" s="191"/>
    </row>
    <row r="2321">
      <c r="A2321" s="15"/>
      <c r="B2321" s="15"/>
      <c r="C2321" s="15"/>
      <c r="D2321" s="42"/>
      <c r="E2321" s="16"/>
      <c r="F2321" s="42"/>
      <c r="G2321" s="42"/>
      <c r="DN2321" s="191"/>
    </row>
    <row r="2322">
      <c r="A2322" s="15"/>
      <c r="B2322" s="15"/>
      <c r="C2322" s="15"/>
      <c r="D2322" s="42"/>
      <c r="E2322" s="16"/>
      <c r="F2322" s="42"/>
      <c r="G2322" s="42"/>
      <c r="DN2322" s="191"/>
    </row>
    <row r="2323">
      <c r="A2323" s="15"/>
      <c r="B2323" s="15"/>
      <c r="C2323" s="15"/>
      <c r="D2323" s="42"/>
      <c r="E2323" s="16"/>
      <c r="F2323" s="42"/>
      <c r="G2323" s="42"/>
      <c r="DN2323" s="191"/>
    </row>
    <row r="2324">
      <c r="A2324" s="15"/>
      <c r="B2324" s="15"/>
      <c r="C2324" s="15"/>
      <c r="D2324" s="42"/>
      <c r="E2324" s="16"/>
      <c r="F2324" s="42"/>
      <c r="G2324" s="42"/>
      <c r="DN2324" s="191"/>
    </row>
    <row r="2325">
      <c r="A2325" s="15"/>
      <c r="B2325" s="15"/>
      <c r="C2325" s="15"/>
      <c r="D2325" s="42"/>
      <c r="E2325" s="16"/>
      <c r="F2325" s="42"/>
      <c r="G2325" s="42"/>
      <c r="DN2325" s="191"/>
    </row>
    <row r="2326">
      <c r="A2326" s="15"/>
      <c r="B2326" s="15"/>
      <c r="C2326" s="15"/>
      <c r="D2326" s="42"/>
      <c r="E2326" s="16"/>
      <c r="F2326" s="42"/>
      <c r="G2326" s="42"/>
      <c r="DN2326" s="191"/>
    </row>
    <row r="2327">
      <c r="A2327" s="15"/>
      <c r="B2327" s="15"/>
      <c r="C2327" s="15"/>
      <c r="D2327" s="42"/>
      <c r="E2327" s="16"/>
      <c r="F2327" s="42"/>
      <c r="G2327" s="42"/>
      <c r="DN2327" s="191"/>
    </row>
    <row r="2328">
      <c r="A2328" s="15"/>
      <c r="B2328" s="15"/>
      <c r="C2328" s="15"/>
      <c r="D2328" s="42"/>
      <c r="E2328" s="16"/>
      <c r="F2328" s="42"/>
      <c r="G2328" s="42"/>
      <c r="DN2328" s="191"/>
    </row>
    <row r="2329">
      <c r="A2329" s="15"/>
      <c r="B2329" s="15"/>
      <c r="C2329" s="15"/>
      <c r="D2329" s="42"/>
      <c r="E2329" s="16"/>
      <c r="F2329" s="42"/>
      <c r="G2329" s="42"/>
      <c r="DN2329" s="191"/>
    </row>
    <row r="2330">
      <c r="A2330" s="15"/>
      <c r="B2330" s="15"/>
      <c r="C2330" s="15"/>
      <c r="D2330" s="42"/>
      <c r="E2330" s="16"/>
      <c r="F2330" s="42"/>
      <c r="G2330" s="42"/>
      <c r="DN2330" s="191"/>
    </row>
    <row r="2331">
      <c r="A2331" s="15"/>
      <c r="B2331" s="15"/>
      <c r="C2331" s="15"/>
      <c r="D2331" s="42"/>
      <c r="E2331" s="16"/>
      <c r="F2331" s="42"/>
      <c r="G2331" s="42"/>
      <c r="DN2331" s="191"/>
    </row>
    <row r="2332">
      <c r="A2332" s="15"/>
      <c r="B2332" s="15"/>
      <c r="C2332" s="15"/>
      <c r="D2332" s="42"/>
      <c r="E2332" s="16"/>
      <c r="F2332" s="42"/>
      <c r="G2332" s="42"/>
      <c r="DN2332" s="191"/>
    </row>
    <row r="2333">
      <c r="A2333" s="15"/>
      <c r="B2333" s="15"/>
      <c r="C2333" s="15"/>
      <c r="D2333" s="42"/>
      <c r="E2333" s="16"/>
      <c r="F2333" s="42"/>
      <c r="G2333" s="42"/>
      <c r="DN2333" s="191"/>
    </row>
    <row r="2334">
      <c r="A2334" s="15"/>
      <c r="B2334" s="15"/>
      <c r="C2334" s="15"/>
      <c r="D2334" s="42"/>
      <c r="E2334" s="16"/>
      <c r="F2334" s="42"/>
      <c r="G2334" s="42"/>
      <c r="DN2334" s="191"/>
    </row>
    <row r="2335">
      <c r="A2335" s="15"/>
      <c r="B2335" s="15"/>
      <c r="C2335" s="15"/>
      <c r="D2335" s="42"/>
      <c r="E2335" s="16"/>
      <c r="F2335" s="42"/>
      <c r="G2335" s="42"/>
      <c r="DN2335" s="191"/>
    </row>
    <row r="2336">
      <c r="A2336" s="15"/>
      <c r="B2336" s="15"/>
      <c r="C2336" s="15"/>
      <c r="D2336" s="42"/>
      <c r="E2336" s="16"/>
      <c r="F2336" s="42"/>
      <c r="G2336" s="42"/>
      <c r="DN2336" s="191"/>
    </row>
    <row r="2337">
      <c r="A2337" s="15"/>
      <c r="B2337" s="15"/>
      <c r="C2337" s="15"/>
      <c r="D2337" s="42"/>
      <c r="E2337" s="16"/>
      <c r="F2337" s="42"/>
      <c r="G2337" s="42"/>
      <c r="DN2337" s="191"/>
    </row>
    <row r="2338">
      <c r="A2338" s="15"/>
      <c r="B2338" s="15"/>
      <c r="C2338" s="15"/>
      <c r="D2338" s="42"/>
      <c r="E2338" s="16"/>
      <c r="F2338" s="42"/>
      <c r="G2338" s="42"/>
      <c r="DN2338" s="191"/>
    </row>
    <row r="2339">
      <c r="A2339" s="15"/>
      <c r="B2339" s="15"/>
      <c r="C2339" s="15"/>
      <c r="D2339" s="42"/>
      <c r="E2339" s="16"/>
      <c r="F2339" s="42"/>
      <c r="G2339" s="42"/>
      <c r="DN2339" s="191"/>
    </row>
    <row r="2340">
      <c r="A2340" s="15"/>
      <c r="B2340" s="15"/>
      <c r="C2340" s="15"/>
      <c r="D2340" s="42"/>
      <c r="E2340" s="16"/>
      <c r="F2340" s="42"/>
      <c r="G2340" s="42"/>
      <c r="DN2340" s="191"/>
    </row>
    <row r="2341">
      <c r="A2341" s="15"/>
      <c r="B2341" s="15"/>
      <c r="C2341" s="15"/>
      <c r="D2341" s="42"/>
      <c r="E2341" s="16"/>
      <c r="F2341" s="42"/>
      <c r="G2341" s="42"/>
      <c r="DN2341" s="191"/>
    </row>
    <row r="2342">
      <c r="A2342" s="15"/>
      <c r="B2342" s="15"/>
      <c r="C2342" s="15"/>
      <c r="D2342" s="42"/>
      <c r="E2342" s="16"/>
      <c r="F2342" s="42"/>
      <c r="G2342" s="42"/>
      <c r="DN2342" s="191"/>
    </row>
    <row r="2343">
      <c r="A2343" s="15"/>
      <c r="B2343" s="15"/>
      <c r="C2343" s="15"/>
      <c r="D2343" s="42"/>
      <c r="E2343" s="16"/>
      <c r="F2343" s="42"/>
      <c r="G2343" s="42"/>
      <c r="DN2343" s="191"/>
    </row>
    <row r="2344">
      <c r="A2344" s="15"/>
      <c r="B2344" s="15"/>
      <c r="C2344" s="15"/>
      <c r="D2344" s="42"/>
      <c r="E2344" s="16"/>
      <c r="F2344" s="42"/>
      <c r="G2344" s="42"/>
      <c r="DN2344" s="191"/>
    </row>
    <row r="2345">
      <c r="A2345" s="15"/>
      <c r="B2345" s="15"/>
      <c r="C2345" s="15"/>
      <c r="D2345" s="42"/>
      <c r="E2345" s="16"/>
      <c r="F2345" s="42"/>
      <c r="G2345" s="42"/>
      <c r="DN2345" s="191"/>
    </row>
    <row r="2346">
      <c r="A2346" s="15"/>
      <c r="B2346" s="15"/>
      <c r="C2346" s="15"/>
      <c r="D2346" s="42"/>
      <c r="E2346" s="16"/>
      <c r="F2346" s="42"/>
      <c r="G2346" s="42"/>
      <c r="DN2346" s="191"/>
    </row>
    <row r="2347">
      <c r="A2347" s="15"/>
      <c r="B2347" s="15"/>
      <c r="C2347" s="15"/>
      <c r="D2347" s="42"/>
      <c r="E2347" s="16"/>
      <c r="F2347" s="42"/>
      <c r="G2347" s="42"/>
      <c r="DN2347" s="191"/>
    </row>
    <row r="2348">
      <c r="A2348" s="15"/>
      <c r="B2348" s="15"/>
      <c r="C2348" s="15"/>
      <c r="D2348" s="42"/>
      <c r="E2348" s="16"/>
      <c r="F2348" s="42"/>
      <c r="G2348" s="42"/>
      <c r="DN2348" s="191"/>
    </row>
    <row r="2349">
      <c r="A2349" s="15"/>
      <c r="B2349" s="15"/>
      <c r="C2349" s="15"/>
      <c r="D2349" s="42"/>
      <c r="E2349" s="16"/>
      <c r="F2349" s="42"/>
      <c r="G2349" s="42"/>
      <c r="DN2349" s="191"/>
    </row>
    <row r="2350">
      <c r="A2350" s="15"/>
      <c r="B2350" s="15"/>
      <c r="C2350" s="15"/>
      <c r="D2350" s="42"/>
      <c r="E2350" s="16"/>
      <c r="F2350" s="42"/>
      <c r="G2350" s="42"/>
      <c r="DN2350" s="191"/>
    </row>
    <row r="2351">
      <c r="A2351" s="15"/>
      <c r="B2351" s="15"/>
      <c r="C2351" s="15"/>
      <c r="D2351" s="42"/>
      <c r="E2351" s="16"/>
      <c r="F2351" s="42"/>
      <c r="G2351" s="42"/>
      <c r="DN2351" s="191"/>
    </row>
    <row r="2352">
      <c r="A2352" s="15"/>
      <c r="B2352" s="15"/>
      <c r="C2352" s="15"/>
      <c r="D2352" s="42"/>
      <c r="E2352" s="16"/>
      <c r="F2352" s="42"/>
      <c r="G2352" s="42"/>
      <c r="DN2352" s="191"/>
    </row>
    <row r="2353">
      <c r="A2353" s="15"/>
      <c r="B2353" s="15"/>
      <c r="C2353" s="15"/>
      <c r="D2353" s="42"/>
      <c r="E2353" s="16"/>
      <c r="F2353" s="42"/>
      <c r="G2353" s="42"/>
      <c r="DN2353" s="191"/>
    </row>
    <row r="2354">
      <c r="A2354" s="15"/>
      <c r="B2354" s="15"/>
      <c r="C2354" s="15"/>
      <c r="D2354" s="42"/>
      <c r="E2354" s="16"/>
      <c r="F2354" s="42"/>
      <c r="G2354" s="42"/>
      <c r="DN2354" s="191"/>
    </row>
    <row r="2355">
      <c r="A2355" s="15"/>
      <c r="B2355" s="15"/>
      <c r="C2355" s="15"/>
      <c r="D2355" s="42"/>
      <c r="E2355" s="16"/>
      <c r="F2355" s="42"/>
      <c r="G2355" s="42"/>
      <c r="DN2355" s="191"/>
    </row>
    <row r="2356">
      <c r="A2356" s="15"/>
      <c r="B2356" s="15"/>
      <c r="C2356" s="15"/>
      <c r="D2356" s="42"/>
      <c r="E2356" s="16"/>
      <c r="F2356" s="42"/>
      <c r="G2356" s="42"/>
      <c r="DN2356" s="191"/>
    </row>
    <row r="2357">
      <c r="A2357" s="15"/>
      <c r="B2357" s="15"/>
      <c r="C2357" s="15"/>
      <c r="D2357" s="42"/>
      <c r="E2357" s="16"/>
      <c r="F2357" s="42"/>
      <c r="G2357" s="42"/>
      <c r="DN2357" s="191"/>
    </row>
    <row r="2358">
      <c r="A2358" s="15"/>
      <c r="B2358" s="15"/>
      <c r="C2358" s="15"/>
      <c r="D2358" s="42"/>
      <c r="E2358" s="16"/>
      <c r="F2358" s="42"/>
      <c r="G2358" s="42"/>
      <c r="DN2358" s="191"/>
    </row>
    <row r="2359">
      <c r="A2359" s="15"/>
      <c r="B2359" s="15"/>
      <c r="C2359" s="15"/>
      <c r="D2359" s="42"/>
      <c r="E2359" s="16"/>
      <c r="F2359" s="42"/>
      <c r="G2359" s="42"/>
      <c r="DN2359" s="191"/>
    </row>
    <row r="2360">
      <c r="A2360" s="15"/>
      <c r="B2360" s="15"/>
      <c r="C2360" s="15"/>
      <c r="D2360" s="42"/>
      <c r="E2360" s="16"/>
      <c r="F2360" s="42"/>
      <c r="G2360" s="42"/>
      <c r="DN2360" s="191"/>
    </row>
    <row r="2361">
      <c r="A2361" s="15"/>
      <c r="B2361" s="15"/>
      <c r="C2361" s="15"/>
      <c r="D2361" s="42"/>
      <c r="E2361" s="16"/>
      <c r="F2361" s="42"/>
      <c r="G2361" s="42"/>
      <c r="DN2361" s="191"/>
    </row>
    <row r="2362">
      <c r="A2362" s="15"/>
      <c r="B2362" s="15"/>
      <c r="C2362" s="15"/>
      <c r="D2362" s="42"/>
      <c r="E2362" s="16"/>
      <c r="F2362" s="42"/>
      <c r="G2362" s="42"/>
      <c r="DN2362" s="191"/>
    </row>
    <row r="2363">
      <c r="A2363" s="15"/>
      <c r="B2363" s="15"/>
      <c r="C2363" s="15"/>
      <c r="D2363" s="42"/>
      <c r="E2363" s="16"/>
      <c r="F2363" s="42"/>
      <c r="G2363" s="42"/>
      <c r="DN2363" s="191"/>
    </row>
    <row r="2364">
      <c r="A2364" s="15"/>
      <c r="B2364" s="15"/>
      <c r="C2364" s="15"/>
      <c r="D2364" s="42"/>
      <c r="E2364" s="16"/>
      <c r="F2364" s="42"/>
      <c r="G2364" s="42"/>
      <c r="DN2364" s="191"/>
    </row>
    <row r="2365">
      <c r="A2365" s="15"/>
      <c r="B2365" s="15"/>
      <c r="C2365" s="15"/>
      <c r="D2365" s="42"/>
      <c r="E2365" s="16"/>
      <c r="F2365" s="42"/>
      <c r="G2365" s="42"/>
      <c r="DN2365" s="191"/>
    </row>
    <row r="2366">
      <c r="A2366" s="15"/>
      <c r="B2366" s="15"/>
      <c r="C2366" s="15"/>
      <c r="D2366" s="42"/>
      <c r="E2366" s="16"/>
      <c r="F2366" s="42"/>
      <c r="G2366" s="42"/>
      <c r="DN2366" s="191"/>
    </row>
    <row r="2367">
      <c r="A2367" s="15"/>
      <c r="B2367" s="15"/>
      <c r="C2367" s="15"/>
      <c r="D2367" s="42"/>
      <c r="E2367" s="16"/>
      <c r="F2367" s="42"/>
      <c r="G2367" s="42"/>
      <c r="DN2367" s="191"/>
    </row>
    <row r="2368">
      <c r="A2368" s="15"/>
      <c r="B2368" s="15"/>
      <c r="C2368" s="15"/>
      <c r="D2368" s="42"/>
      <c r="E2368" s="16"/>
      <c r="F2368" s="42"/>
      <c r="G2368" s="42"/>
      <c r="DN2368" s="191"/>
    </row>
    <row r="2369">
      <c r="A2369" s="15"/>
      <c r="B2369" s="15"/>
      <c r="C2369" s="15"/>
      <c r="D2369" s="42"/>
      <c r="E2369" s="16"/>
      <c r="F2369" s="42"/>
      <c r="G2369" s="42"/>
      <c r="DN2369" s="191"/>
    </row>
    <row r="2370">
      <c r="A2370" s="15"/>
      <c r="B2370" s="15"/>
      <c r="C2370" s="15"/>
      <c r="D2370" s="42"/>
      <c r="E2370" s="16"/>
      <c r="F2370" s="42"/>
      <c r="G2370" s="42"/>
      <c r="DN2370" s="191"/>
    </row>
    <row r="2371">
      <c r="A2371" s="15"/>
      <c r="B2371" s="15"/>
      <c r="C2371" s="15"/>
      <c r="D2371" s="42"/>
      <c r="E2371" s="16"/>
      <c r="F2371" s="42"/>
      <c r="G2371" s="42"/>
      <c r="DN2371" s="191"/>
    </row>
    <row r="2372">
      <c r="A2372" s="15"/>
      <c r="B2372" s="15"/>
      <c r="C2372" s="15"/>
      <c r="D2372" s="42"/>
      <c r="E2372" s="16"/>
      <c r="F2372" s="42"/>
      <c r="G2372" s="42"/>
      <c r="DN2372" s="191"/>
    </row>
    <row r="2373">
      <c r="A2373" s="15"/>
      <c r="B2373" s="15"/>
      <c r="C2373" s="15"/>
      <c r="D2373" s="42"/>
      <c r="E2373" s="16"/>
      <c r="F2373" s="42"/>
      <c r="G2373" s="42"/>
      <c r="DN2373" s="191"/>
    </row>
    <row r="2374">
      <c r="A2374" s="15"/>
      <c r="B2374" s="15"/>
      <c r="C2374" s="15"/>
      <c r="D2374" s="42"/>
      <c r="E2374" s="16"/>
      <c r="F2374" s="42"/>
      <c r="G2374" s="42"/>
      <c r="DN2374" s="191"/>
    </row>
    <row r="2375">
      <c r="A2375" s="15"/>
      <c r="B2375" s="15"/>
      <c r="C2375" s="15"/>
      <c r="D2375" s="42"/>
      <c r="E2375" s="16"/>
      <c r="F2375" s="42"/>
      <c r="G2375" s="42"/>
      <c r="DN2375" s="191"/>
    </row>
    <row r="2376">
      <c r="A2376" s="15"/>
      <c r="B2376" s="15"/>
      <c r="C2376" s="15"/>
      <c r="D2376" s="42"/>
      <c r="E2376" s="16"/>
      <c r="F2376" s="42"/>
      <c r="G2376" s="42"/>
      <c r="DN2376" s="191"/>
    </row>
    <row r="2377">
      <c r="A2377" s="15"/>
      <c r="B2377" s="15"/>
      <c r="C2377" s="15"/>
      <c r="D2377" s="42"/>
      <c r="E2377" s="16"/>
      <c r="F2377" s="42"/>
      <c r="G2377" s="42"/>
      <c r="DN2377" s="191"/>
    </row>
    <row r="2378">
      <c r="A2378" s="15"/>
      <c r="B2378" s="15"/>
      <c r="C2378" s="15"/>
      <c r="D2378" s="42"/>
      <c r="E2378" s="16"/>
      <c r="F2378" s="42"/>
      <c r="G2378" s="42"/>
      <c r="DN2378" s="191"/>
    </row>
    <row r="2379">
      <c r="A2379" s="15"/>
      <c r="B2379" s="15"/>
      <c r="C2379" s="15"/>
      <c r="D2379" s="42"/>
      <c r="E2379" s="16"/>
      <c r="F2379" s="42"/>
      <c r="G2379" s="42"/>
      <c r="DN2379" s="191"/>
    </row>
    <row r="2380">
      <c r="A2380" s="15"/>
      <c r="B2380" s="15"/>
      <c r="C2380" s="15"/>
      <c r="D2380" s="42"/>
      <c r="E2380" s="16"/>
      <c r="F2380" s="42"/>
      <c r="G2380" s="42"/>
      <c r="DN2380" s="191"/>
    </row>
    <row r="2381">
      <c r="A2381" s="15"/>
      <c r="B2381" s="15"/>
      <c r="C2381" s="15"/>
      <c r="D2381" s="42"/>
      <c r="E2381" s="16"/>
      <c r="F2381" s="42"/>
      <c r="G2381" s="42"/>
      <c r="DN2381" s="191"/>
    </row>
    <row r="2382">
      <c r="A2382" s="15"/>
      <c r="B2382" s="15"/>
      <c r="C2382" s="15"/>
      <c r="D2382" s="42"/>
      <c r="E2382" s="16"/>
      <c r="F2382" s="42"/>
      <c r="G2382" s="42"/>
      <c r="DN2382" s="191"/>
    </row>
    <row r="2383">
      <c r="A2383" s="15"/>
      <c r="B2383" s="15"/>
      <c r="C2383" s="15"/>
      <c r="D2383" s="42"/>
      <c r="E2383" s="16"/>
      <c r="F2383" s="42"/>
      <c r="G2383" s="42"/>
      <c r="DN2383" s="191"/>
    </row>
    <row r="2384">
      <c r="A2384" s="15"/>
      <c r="B2384" s="15"/>
      <c r="C2384" s="15"/>
      <c r="D2384" s="42"/>
      <c r="E2384" s="16"/>
      <c r="F2384" s="42"/>
      <c r="G2384" s="42"/>
      <c r="DN2384" s="191"/>
    </row>
    <row r="2385">
      <c r="A2385" s="15"/>
      <c r="B2385" s="15"/>
      <c r="C2385" s="15"/>
      <c r="D2385" s="42"/>
      <c r="E2385" s="16"/>
      <c r="F2385" s="42"/>
      <c r="G2385" s="42"/>
      <c r="DN2385" s="191"/>
    </row>
    <row r="2386">
      <c r="A2386" s="15"/>
      <c r="B2386" s="15"/>
      <c r="C2386" s="15"/>
      <c r="D2386" s="42"/>
      <c r="E2386" s="16"/>
      <c r="F2386" s="42"/>
      <c r="G2386" s="42"/>
      <c r="DN2386" s="191"/>
    </row>
    <row r="2387">
      <c r="A2387" s="15"/>
      <c r="B2387" s="15"/>
      <c r="C2387" s="15"/>
      <c r="D2387" s="42"/>
      <c r="E2387" s="16"/>
      <c r="F2387" s="42"/>
      <c r="G2387" s="42"/>
      <c r="DN2387" s="191"/>
    </row>
    <row r="2388">
      <c r="A2388" s="15"/>
      <c r="B2388" s="15"/>
      <c r="C2388" s="15"/>
      <c r="D2388" s="42"/>
      <c r="E2388" s="16"/>
      <c r="F2388" s="42"/>
      <c r="G2388" s="42"/>
      <c r="DN2388" s="191"/>
    </row>
    <row r="2389">
      <c r="A2389" s="15"/>
      <c r="B2389" s="15"/>
      <c r="C2389" s="15"/>
      <c r="D2389" s="42"/>
      <c r="E2389" s="16"/>
      <c r="F2389" s="42"/>
      <c r="G2389" s="42"/>
      <c r="DN2389" s="191"/>
    </row>
    <row r="2390">
      <c r="A2390" s="15"/>
      <c r="B2390" s="15"/>
      <c r="C2390" s="15"/>
      <c r="D2390" s="42"/>
      <c r="E2390" s="16"/>
      <c r="F2390" s="42"/>
      <c r="G2390" s="42"/>
      <c r="DN2390" s="191"/>
    </row>
    <row r="2391">
      <c r="A2391" s="15"/>
      <c r="B2391" s="15"/>
      <c r="C2391" s="15"/>
      <c r="D2391" s="42"/>
      <c r="E2391" s="16"/>
      <c r="F2391" s="42"/>
      <c r="G2391" s="42"/>
      <c r="DN2391" s="191"/>
    </row>
    <row r="2392">
      <c r="A2392" s="15"/>
      <c r="B2392" s="15"/>
      <c r="C2392" s="15"/>
      <c r="D2392" s="42"/>
      <c r="E2392" s="16"/>
      <c r="F2392" s="42"/>
      <c r="G2392" s="42"/>
      <c r="DN2392" s="191"/>
    </row>
    <row r="2393">
      <c r="A2393" s="15"/>
      <c r="B2393" s="15"/>
      <c r="C2393" s="15"/>
      <c r="D2393" s="42"/>
      <c r="E2393" s="16"/>
      <c r="F2393" s="42"/>
      <c r="G2393" s="42"/>
      <c r="DN2393" s="191"/>
    </row>
    <row r="2394">
      <c r="A2394" s="15"/>
      <c r="B2394" s="15"/>
      <c r="C2394" s="15"/>
      <c r="D2394" s="42"/>
      <c r="E2394" s="16"/>
      <c r="F2394" s="42"/>
      <c r="G2394" s="42"/>
      <c r="DN2394" s="191"/>
    </row>
    <row r="2395">
      <c r="A2395" s="15"/>
      <c r="B2395" s="15"/>
      <c r="C2395" s="15"/>
      <c r="D2395" s="42"/>
      <c r="E2395" s="16"/>
      <c r="F2395" s="42"/>
      <c r="G2395" s="42"/>
      <c r="DN2395" s="191"/>
    </row>
    <row r="2396">
      <c r="A2396" s="15"/>
      <c r="B2396" s="15"/>
      <c r="C2396" s="15"/>
      <c r="D2396" s="42"/>
      <c r="E2396" s="16"/>
      <c r="F2396" s="42"/>
      <c r="G2396" s="42"/>
      <c r="DN2396" s="191"/>
    </row>
    <row r="2397">
      <c r="A2397" s="15"/>
      <c r="B2397" s="15"/>
      <c r="C2397" s="15"/>
      <c r="D2397" s="42"/>
      <c r="E2397" s="16"/>
      <c r="F2397" s="42"/>
      <c r="G2397" s="42"/>
      <c r="DN2397" s="191"/>
    </row>
    <row r="2398">
      <c r="A2398" s="15"/>
      <c r="B2398" s="15"/>
      <c r="C2398" s="15"/>
      <c r="D2398" s="42"/>
      <c r="E2398" s="16"/>
      <c r="F2398" s="42"/>
      <c r="G2398" s="42"/>
      <c r="DN2398" s="191"/>
    </row>
    <row r="2399">
      <c r="A2399" s="15"/>
      <c r="B2399" s="15"/>
      <c r="C2399" s="15"/>
      <c r="D2399" s="42"/>
      <c r="E2399" s="16"/>
      <c r="F2399" s="42"/>
      <c r="G2399" s="42"/>
      <c r="DN2399" s="191"/>
    </row>
    <row r="2400">
      <c r="A2400" s="15"/>
      <c r="B2400" s="15"/>
      <c r="C2400" s="15"/>
      <c r="D2400" s="42"/>
      <c r="E2400" s="16"/>
      <c r="F2400" s="42"/>
      <c r="G2400" s="42"/>
      <c r="DN2400" s="191"/>
    </row>
    <row r="2401">
      <c r="A2401" s="15"/>
      <c r="B2401" s="15"/>
      <c r="C2401" s="15"/>
      <c r="D2401" s="42"/>
      <c r="E2401" s="16"/>
      <c r="F2401" s="42"/>
      <c r="G2401" s="42"/>
      <c r="DN2401" s="191"/>
    </row>
    <row r="2402">
      <c r="A2402" s="15"/>
      <c r="B2402" s="15"/>
      <c r="C2402" s="15"/>
      <c r="D2402" s="42"/>
      <c r="E2402" s="16"/>
      <c r="F2402" s="42"/>
      <c r="G2402" s="42"/>
      <c r="DN2402" s="191"/>
    </row>
    <row r="2403">
      <c r="A2403" s="15"/>
      <c r="B2403" s="15"/>
      <c r="C2403" s="15"/>
      <c r="D2403" s="42"/>
      <c r="E2403" s="16"/>
      <c r="F2403" s="42"/>
      <c r="G2403" s="42"/>
      <c r="DN2403" s="191"/>
    </row>
    <row r="2404">
      <c r="A2404" s="15"/>
      <c r="B2404" s="15"/>
      <c r="C2404" s="15"/>
      <c r="D2404" s="42"/>
      <c r="E2404" s="16"/>
      <c r="F2404" s="42"/>
      <c r="G2404" s="42"/>
      <c r="DN2404" s="191"/>
    </row>
    <row r="2405">
      <c r="A2405" s="15"/>
      <c r="B2405" s="15"/>
      <c r="C2405" s="15"/>
      <c r="D2405" s="42"/>
      <c r="E2405" s="16"/>
      <c r="F2405" s="42"/>
      <c r="G2405" s="42"/>
      <c r="DN2405" s="191"/>
    </row>
    <row r="2406">
      <c r="A2406" s="15"/>
      <c r="B2406" s="15"/>
      <c r="C2406" s="15"/>
      <c r="D2406" s="42"/>
      <c r="E2406" s="16"/>
      <c r="F2406" s="42"/>
      <c r="G2406" s="42"/>
      <c r="DN2406" s="191"/>
    </row>
    <row r="2407">
      <c r="A2407" s="15"/>
      <c r="B2407" s="15"/>
      <c r="C2407" s="15"/>
      <c r="D2407" s="42"/>
      <c r="E2407" s="16"/>
      <c r="F2407" s="42"/>
      <c r="G2407" s="42"/>
      <c r="DN2407" s="191"/>
    </row>
    <row r="2408">
      <c r="A2408" s="15"/>
      <c r="B2408" s="15"/>
      <c r="C2408" s="15"/>
      <c r="D2408" s="42"/>
      <c r="E2408" s="16"/>
      <c r="F2408" s="42"/>
      <c r="G2408" s="42"/>
      <c r="DN2408" s="191"/>
    </row>
    <row r="2409">
      <c r="A2409" s="15"/>
      <c r="B2409" s="15"/>
      <c r="C2409" s="15"/>
      <c r="D2409" s="42"/>
      <c r="E2409" s="16"/>
      <c r="F2409" s="42"/>
      <c r="G2409" s="42"/>
      <c r="DN2409" s="191"/>
    </row>
    <row r="2410">
      <c r="A2410" s="15"/>
      <c r="B2410" s="15"/>
      <c r="C2410" s="15"/>
      <c r="D2410" s="42"/>
      <c r="E2410" s="16"/>
      <c r="F2410" s="42"/>
      <c r="G2410" s="42"/>
      <c r="DN2410" s="191"/>
    </row>
    <row r="2411">
      <c r="A2411" s="15"/>
      <c r="B2411" s="15"/>
      <c r="C2411" s="15"/>
      <c r="D2411" s="42"/>
      <c r="E2411" s="16"/>
      <c r="F2411" s="42"/>
      <c r="G2411" s="42"/>
      <c r="DN2411" s="191"/>
    </row>
    <row r="2412">
      <c r="A2412" s="15"/>
      <c r="B2412" s="15"/>
      <c r="C2412" s="15"/>
      <c r="D2412" s="42"/>
      <c r="E2412" s="16"/>
      <c r="F2412" s="42"/>
      <c r="G2412" s="42"/>
      <c r="DN2412" s="191"/>
    </row>
    <row r="2413">
      <c r="A2413" s="15"/>
      <c r="B2413" s="15"/>
      <c r="C2413" s="15"/>
      <c r="D2413" s="42"/>
      <c r="E2413" s="16"/>
      <c r="F2413" s="42"/>
      <c r="G2413" s="42"/>
      <c r="DN2413" s="191"/>
    </row>
    <row r="2414">
      <c r="A2414" s="15"/>
      <c r="B2414" s="15"/>
      <c r="C2414" s="15"/>
      <c r="D2414" s="42"/>
      <c r="E2414" s="16"/>
      <c r="F2414" s="42"/>
      <c r="G2414" s="42"/>
      <c r="DN2414" s="191"/>
    </row>
    <row r="2415">
      <c r="A2415" s="15"/>
      <c r="B2415" s="15"/>
      <c r="C2415" s="15"/>
      <c r="D2415" s="42"/>
      <c r="E2415" s="16"/>
      <c r="F2415" s="42"/>
      <c r="G2415" s="42"/>
      <c r="DN2415" s="191"/>
    </row>
    <row r="2416">
      <c r="A2416" s="15"/>
      <c r="B2416" s="15"/>
      <c r="C2416" s="15"/>
      <c r="D2416" s="42"/>
      <c r="E2416" s="16"/>
      <c r="F2416" s="42"/>
      <c r="G2416" s="42"/>
      <c r="DN2416" s="191"/>
    </row>
    <row r="2417">
      <c r="A2417" s="15"/>
      <c r="B2417" s="15"/>
      <c r="C2417" s="15"/>
      <c r="D2417" s="42"/>
      <c r="E2417" s="16"/>
      <c r="F2417" s="42"/>
      <c r="G2417" s="42"/>
      <c r="DN2417" s="191"/>
    </row>
    <row r="2418">
      <c r="A2418" s="15"/>
      <c r="B2418" s="15"/>
      <c r="C2418" s="15"/>
      <c r="D2418" s="42"/>
      <c r="E2418" s="16"/>
      <c r="F2418" s="42"/>
      <c r="G2418" s="42"/>
      <c r="DN2418" s="191"/>
    </row>
    <row r="2419">
      <c r="A2419" s="15"/>
      <c r="B2419" s="15"/>
      <c r="C2419" s="15"/>
      <c r="D2419" s="42"/>
      <c r="E2419" s="16"/>
      <c r="F2419" s="42"/>
      <c r="G2419" s="42"/>
      <c r="DN2419" s="191"/>
    </row>
    <row r="2420">
      <c r="A2420" s="15"/>
      <c r="B2420" s="15"/>
      <c r="C2420" s="15"/>
      <c r="D2420" s="42"/>
      <c r="E2420" s="16"/>
      <c r="F2420" s="42"/>
      <c r="G2420" s="42"/>
      <c r="DN2420" s="191"/>
    </row>
    <row r="2421">
      <c r="A2421" s="15"/>
      <c r="B2421" s="15"/>
      <c r="C2421" s="15"/>
      <c r="D2421" s="42"/>
      <c r="E2421" s="16"/>
      <c r="F2421" s="42"/>
      <c r="G2421" s="42"/>
      <c r="DN2421" s="191"/>
    </row>
    <row r="2422">
      <c r="A2422" s="15"/>
      <c r="B2422" s="15"/>
      <c r="C2422" s="15"/>
      <c r="D2422" s="42"/>
      <c r="E2422" s="16"/>
      <c r="F2422" s="42"/>
      <c r="G2422" s="42"/>
      <c r="DN2422" s="191"/>
    </row>
    <row r="2423">
      <c r="A2423" s="15"/>
      <c r="B2423" s="15"/>
      <c r="C2423" s="15"/>
      <c r="D2423" s="42"/>
      <c r="E2423" s="16"/>
      <c r="F2423" s="42"/>
      <c r="G2423" s="42"/>
      <c r="DN2423" s="191"/>
    </row>
    <row r="2424">
      <c r="A2424" s="15"/>
      <c r="B2424" s="15"/>
      <c r="C2424" s="15"/>
      <c r="D2424" s="42"/>
      <c r="E2424" s="16"/>
      <c r="F2424" s="42"/>
      <c r="G2424" s="42"/>
      <c r="DN2424" s="191"/>
    </row>
    <row r="2425">
      <c r="A2425" s="15"/>
      <c r="B2425" s="15"/>
      <c r="C2425" s="15"/>
      <c r="D2425" s="42"/>
      <c r="E2425" s="16"/>
      <c r="F2425" s="42"/>
      <c r="G2425" s="42"/>
      <c r="DN2425" s="191"/>
    </row>
    <row r="2426">
      <c r="A2426" s="15"/>
      <c r="B2426" s="15"/>
      <c r="C2426" s="15"/>
      <c r="D2426" s="42"/>
      <c r="E2426" s="16"/>
      <c r="F2426" s="42"/>
      <c r="G2426" s="42"/>
      <c r="DN2426" s="191"/>
    </row>
    <row r="2427">
      <c r="A2427" s="15"/>
      <c r="B2427" s="15"/>
      <c r="C2427" s="15"/>
      <c r="D2427" s="42"/>
      <c r="E2427" s="16"/>
      <c r="F2427" s="42"/>
      <c r="G2427" s="42"/>
      <c r="DN2427" s="191"/>
    </row>
    <row r="2428">
      <c r="A2428" s="15"/>
      <c r="B2428" s="15"/>
      <c r="C2428" s="15"/>
      <c r="D2428" s="42"/>
      <c r="E2428" s="16"/>
      <c r="F2428" s="42"/>
      <c r="G2428" s="42"/>
      <c r="DN2428" s="191"/>
    </row>
    <row r="2429">
      <c r="A2429" s="15"/>
      <c r="B2429" s="15"/>
      <c r="C2429" s="15"/>
      <c r="D2429" s="42"/>
      <c r="E2429" s="16"/>
      <c r="F2429" s="42"/>
      <c r="G2429" s="42"/>
      <c r="DN2429" s="191"/>
    </row>
    <row r="2430">
      <c r="A2430" s="15"/>
      <c r="B2430" s="15"/>
      <c r="C2430" s="15"/>
      <c r="D2430" s="42"/>
      <c r="E2430" s="16"/>
      <c r="F2430" s="42"/>
      <c r="G2430" s="42"/>
      <c r="DN2430" s="191"/>
    </row>
    <row r="2431">
      <c r="A2431" s="15"/>
      <c r="B2431" s="15"/>
      <c r="C2431" s="15"/>
      <c r="D2431" s="42"/>
      <c r="E2431" s="16"/>
      <c r="F2431" s="42"/>
      <c r="G2431" s="42"/>
      <c r="DN2431" s="191"/>
    </row>
    <row r="2432">
      <c r="A2432" s="15"/>
      <c r="B2432" s="15"/>
      <c r="C2432" s="15"/>
      <c r="D2432" s="42"/>
      <c r="E2432" s="16"/>
      <c r="F2432" s="42"/>
      <c r="G2432" s="42"/>
      <c r="DN2432" s="191"/>
    </row>
    <row r="2433">
      <c r="A2433" s="15"/>
      <c r="B2433" s="15"/>
      <c r="C2433" s="15"/>
      <c r="D2433" s="42"/>
      <c r="E2433" s="16"/>
      <c r="F2433" s="42"/>
      <c r="G2433" s="42"/>
      <c r="DN2433" s="191"/>
    </row>
    <row r="2434">
      <c r="A2434" s="15"/>
      <c r="B2434" s="15"/>
      <c r="C2434" s="15"/>
      <c r="D2434" s="42"/>
      <c r="E2434" s="16"/>
      <c r="F2434" s="42"/>
      <c r="G2434" s="42"/>
      <c r="DN2434" s="191"/>
    </row>
    <row r="2435">
      <c r="A2435" s="15"/>
      <c r="B2435" s="15"/>
      <c r="C2435" s="15"/>
      <c r="D2435" s="42"/>
      <c r="E2435" s="16"/>
      <c r="F2435" s="42"/>
      <c r="G2435" s="42"/>
      <c r="DN2435" s="191"/>
    </row>
    <row r="2436">
      <c r="A2436" s="15"/>
      <c r="B2436" s="15"/>
      <c r="C2436" s="15"/>
      <c r="D2436" s="42"/>
      <c r="E2436" s="16"/>
      <c r="F2436" s="42"/>
      <c r="G2436" s="42"/>
      <c r="DN2436" s="191"/>
    </row>
    <row r="2437">
      <c r="A2437" s="15"/>
      <c r="B2437" s="15"/>
      <c r="C2437" s="15"/>
      <c r="D2437" s="42"/>
      <c r="E2437" s="16"/>
      <c r="F2437" s="42"/>
      <c r="G2437" s="42"/>
      <c r="DN2437" s="191"/>
    </row>
    <row r="2438">
      <c r="A2438" s="15"/>
      <c r="B2438" s="15"/>
      <c r="C2438" s="15"/>
      <c r="D2438" s="42"/>
      <c r="E2438" s="16"/>
      <c r="F2438" s="42"/>
      <c r="G2438" s="42"/>
      <c r="DN2438" s="191"/>
    </row>
    <row r="2439">
      <c r="A2439" s="15"/>
      <c r="B2439" s="15"/>
      <c r="C2439" s="15"/>
      <c r="D2439" s="42"/>
      <c r="E2439" s="16"/>
      <c r="F2439" s="42"/>
      <c r="G2439" s="42"/>
      <c r="DN2439" s="191"/>
    </row>
    <row r="2440">
      <c r="A2440" s="15"/>
      <c r="B2440" s="15"/>
      <c r="C2440" s="15"/>
      <c r="D2440" s="42"/>
      <c r="E2440" s="16"/>
      <c r="F2440" s="42"/>
      <c r="G2440" s="42"/>
      <c r="DN2440" s="191"/>
    </row>
    <row r="2441">
      <c r="A2441" s="15"/>
      <c r="B2441" s="15"/>
      <c r="C2441" s="15"/>
      <c r="D2441" s="42"/>
      <c r="E2441" s="16"/>
      <c r="F2441" s="42"/>
      <c r="G2441" s="42"/>
      <c r="DN2441" s="191"/>
    </row>
    <row r="2442">
      <c r="A2442" s="15"/>
      <c r="B2442" s="15"/>
      <c r="C2442" s="15"/>
      <c r="D2442" s="42"/>
      <c r="E2442" s="16"/>
      <c r="F2442" s="42"/>
      <c r="G2442" s="42"/>
      <c r="DN2442" s="191"/>
    </row>
    <row r="2443">
      <c r="A2443" s="15"/>
      <c r="B2443" s="15"/>
      <c r="C2443" s="15"/>
      <c r="D2443" s="42"/>
      <c r="E2443" s="16"/>
      <c r="F2443" s="42"/>
      <c r="G2443" s="42"/>
      <c r="DN2443" s="191"/>
    </row>
    <row r="2444">
      <c r="A2444" s="15"/>
      <c r="B2444" s="15"/>
      <c r="C2444" s="15"/>
      <c r="D2444" s="42"/>
      <c r="E2444" s="16"/>
      <c r="F2444" s="42"/>
      <c r="G2444" s="42"/>
      <c r="DN2444" s="191"/>
    </row>
    <row r="2445">
      <c r="A2445" s="15"/>
      <c r="B2445" s="15"/>
      <c r="C2445" s="15"/>
      <c r="D2445" s="42"/>
      <c r="E2445" s="16"/>
      <c r="F2445" s="42"/>
      <c r="G2445" s="42"/>
      <c r="DN2445" s="191"/>
    </row>
    <row r="2446">
      <c r="A2446" s="15"/>
      <c r="B2446" s="15"/>
      <c r="C2446" s="15"/>
      <c r="D2446" s="42"/>
      <c r="E2446" s="16"/>
      <c r="F2446" s="42"/>
      <c r="G2446" s="42"/>
      <c r="DN2446" s="191"/>
    </row>
    <row r="2447">
      <c r="A2447" s="15"/>
      <c r="B2447" s="15"/>
      <c r="C2447" s="15"/>
      <c r="D2447" s="42"/>
      <c r="E2447" s="16"/>
      <c r="F2447" s="42"/>
      <c r="G2447" s="42"/>
      <c r="DN2447" s="191"/>
    </row>
    <row r="2448">
      <c r="A2448" s="15"/>
      <c r="B2448" s="15"/>
      <c r="C2448" s="15"/>
      <c r="D2448" s="42"/>
      <c r="E2448" s="16"/>
      <c r="F2448" s="42"/>
      <c r="G2448" s="42"/>
      <c r="DN2448" s="191"/>
    </row>
    <row r="2449">
      <c r="A2449" s="15"/>
      <c r="B2449" s="15"/>
      <c r="C2449" s="15"/>
      <c r="D2449" s="42"/>
      <c r="E2449" s="16"/>
      <c r="F2449" s="42"/>
      <c r="G2449" s="42"/>
      <c r="DN2449" s="191"/>
    </row>
    <row r="2450">
      <c r="A2450" s="15"/>
      <c r="B2450" s="15"/>
      <c r="C2450" s="15"/>
      <c r="D2450" s="42"/>
      <c r="E2450" s="16"/>
      <c r="F2450" s="42"/>
      <c r="G2450" s="42"/>
      <c r="DN2450" s="191"/>
    </row>
    <row r="2451">
      <c r="A2451" s="15"/>
      <c r="B2451" s="15"/>
      <c r="C2451" s="15"/>
      <c r="D2451" s="42"/>
      <c r="E2451" s="16"/>
      <c r="F2451" s="42"/>
      <c r="G2451" s="42"/>
      <c r="DN2451" s="191"/>
    </row>
    <row r="2452">
      <c r="A2452" s="15"/>
      <c r="B2452" s="15"/>
      <c r="C2452" s="15"/>
      <c r="D2452" s="42"/>
      <c r="E2452" s="16"/>
      <c r="F2452" s="42"/>
      <c r="G2452" s="42"/>
      <c r="DN2452" s="191"/>
    </row>
    <row r="2453">
      <c r="A2453" s="15"/>
      <c r="B2453" s="15"/>
      <c r="C2453" s="15"/>
      <c r="D2453" s="42"/>
      <c r="E2453" s="16"/>
      <c r="F2453" s="42"/>
      <c r="G2453" s="42"/>
      <c r="DN2453" s="191"/>
    </row>
    <row r="2454">
      <c r="A2454" s="15"/>
      <c r="B2454" s="15"/>
      <c r="C2454" s="15"/>
      <c r="D2454" s="42"/>
      <c r="E2454" s="16"/>
      <c r="F2454" s="42"/>
      <c r="G2454" s="42"/>
      <c r="DN2454" s="191"/>
    </row>
    <row r="2455">
      <c r="A2455" s="15"/>
      <c r="B2455" s="15"/>
      <c r="C2455" s="15"/>
      <c r="D2455" s="42"/>
      <c r="E2455" s="16"/>
      <c r="F2455" s="42"/>
      <c r="G2455" s="42"/>
      <c r="DN2455" s="191"/>
    </row>
    <row r="2456">
      <c r="A2456" s="15"/>
      <c r="B2456" s="15"/>
      <c r="C2456" s="15"/>
      <c r="D2456" s="42"/>
      <c r="E2456" s="16"/>
      <c r="F2456" s="42"/>
      <c r="G2456" s="42"/>
      <c r="DN2456" s="191"/>
    </row>
    <row r="2457">
      <c r="A2457" s="15"/>
      <c r="B2457" s="15"/>
      <c r="C2457" s="15"/>
      <c r="D2457" s="42"/>
      <c r="E2457" s="16"/>
      <c r="F2457" s="42"/>
      <c r="G2457" s="42"/>
      <c r="DN2457" s="191"/>
    </row>
    <row r="2458">
      <c r="A2458" s="15"/>
      <c r="B2458" s="15"/>
      <c r="C2458" s="15"/>
      <c r="D2458" s="42"/>
      <c r="E2458" s="16"/>
      <c r="F2458" s="42"/>
      <c r="G2458" s="42"/>
      <c r="DN2458" s="191"/>
    </row>
    <row r="2459">
      <c r="A2459" s="15"/>
      <c r="B2459" s="15"/>
      <c r="C2459" s="15"/>
      <c r="D2459" s="42"/>
      <c r="E2459" s="16"/>
      <c r="F2459" s="42"/>
      <c r="G2459" s="42"/>
      <c r="DN2459" s="191"/>
    </row>
    <row r="2460">
      <c r="A2460" s="15"/>
      <c r="B2460" s="15"/>
      <c r="C2460" s="15"/>
      <c r="D2460" s="42"/>
      <c r="E2460" s="16"/>
      <c r="F2460" s="42"/>
      <c r="G2460" s="42"/>
      <c r="DN2460" s="191"/>
    </row>
    <row r="2461">
      <c r="A2461" s="15"/>
      <c r="B2461" s="15"/>
      <c r="C2461" s="15"/>
      <c r="D2461" s="42"/>
      <c r="E2461" s="16"/>
      <c r="F2461" s="42"/>
      <c r="G2461" s="42"/>
      <c r="DN2461" s="191"/>
    </row>
    <row r="2462">
      <c r="A2462" s="15"/>
      <c r="B2462" s="15"/>
      <c r="C2462" s="15"/>
      <c r="D2462" s="42"/>
      <c r="E2462" s="16"/>
      <c r="F2462" s="42"/>
      <c r="G2462" s="42"/>
      <c r="DN2462" s="191"/>
    </row>
    <row r="2463">
      <c r="A2463" s="15"/>
      <c r="B2463" s="15"/>
      <c r="C2463" s="15"/>
      <c r="D2463" s="42"/>
      <c r="E2463" s="16"/>
      <c r="F2463" s="42"/>
      <c r="G2463" s="42"/>
      <c r="DN2463" s="191"/>
    </row>
    <row r="2464">
      <c r="A2464" s="15"/>
      <c r="B2464" s="15"/>
      <c r="C2464" s="15"/>
      <c r="D2464" s="42"/>
      <c r="E2464" s="16"/>
      <c r="F2464" s="42"/>
      <c r="G2464" s="42"/>
      <c r="DN2464" s="191"/>
    </row>
    <row r="2465">
      <c r="A2465" s="15"/>
      <c r="B2465" s="15"/>
      <c r="C2465" s="15"/>
      <c r="D2465" s="42"/>
      <c r="E2465" s="16"/>
      <c r="F2465" s="42"/>
      <c r="G2465" s="42"/>
      <c r="DN2465" s="191"/>
    </row>
    <row r="2466">
      <c r="A2466" s="15"/>
      <c r="B2466" s="15"/>
      <c r="C2466" s="15"/>
      <c r="D2466" s="42"/>
      <c r="E2466" s="16"/>
      <c r="F2466" s="42"/>
      <c r="G2466" s="42"/>
      <c r="DN2466" s="191"/>
    </row>
    <row r="2467">
      <c r="A2467" s="15"/>
      <c r="B2467" s="15"/>
      <c r="C2467" s="15"/>
      <c r="D2467" s="42"/>
      <c r="E2467" s="16"/>
      <c r="F2467" s="42"/>
      <c r="G2467" s="42"/>
      <c r="DN2467" s="191"/>
    </row>
    <row r="2468">
      <c r="A2468" s="15"/>
      <c r="B2468" s="15"/>
      <c r="C2468" s="15"/>
      <c r="D2468" s="42"/>
      <c r="E2468" s="16"/>
      <c r="F2468" s="42"/>
      <c r="G2468" s="42"/>
      <c r="DN2468" s="191"/>
    </row>
    <row r="2469">
      <c r="A2469" s="15"/>
      <c r="B2469" s="15"/>
      <c r="C2469" s="15"/>
      <c r="D2469" s="42"/>
      <c r="E2469" s="16"/>
      <c r="F2469" s="42"/>
      <c r="G2469" s="42"/>
      <c r="DN2469" s="191"/>
    </row>
    <row r="2470">
      <c r="A2470" s="15"/>
      <c r="B2470" s="15"/>
      <c r="C2470" s="15"/>
      <c r="D2470" s="42"/>
      <c r="E2470" s="16"/>
      <c r="F2470" s="42"/>
      <c r="G2470" s="42"/>
      <c r="DN2470" s="191"/>
    </row>
    <row r="2471">
      <c r="A2471" s="15"/>
      <c r="B2471" s="15"/>
      <c r="C2471" s="15"/>
      <c r="D2471" s="42"/>
      <c r="E2471" s="16"/>
      <c r="F2471" s="42"/>
      <c r="G2471" s="42"/>
      <c r="DN2471" s="191"/>
    </row>
    <row r="2472">
      <c r="A2472" s="15"/>
      <c r="B2472" s="15"/>
      <c r="C2472" s="15"/>
      <c r="D2472" s="42"/>
      <c r="E2472" s="16"/>
      <c r="F2472" s="42"/>
      <c r="G2472" s="42"/>
      <c r="DN2472" s="191"/>
    </row>
    <row r="2473">
      <c r="A2473" s="15"/>
      <c r="B2473" s="15"/>
      <c r="C2473" s="15"/>
      <c r="D2473" s="42"/>
      <c r="E2473" s="16"/>
      <c r="F2473" s="42"/>
      <c r="G2473" s="42"/>
      <c r="DN2473" s="191"/>
    </row>
    <row r="2474">
      <c r="A2474" s="15"/>
      <c r="B2474" s="15"/>
      <c r="C2474" s="15"/>
      <c r="D2474" s="42"/>
      <c r="E2474" s="16"/>
      <c r="F2474" s="42"/>
      <c r="G2474" s="42"/>
      <c r="DN2474" s="191"/>
    </row>
    <row r="2475">
      <c r="A2475" s="15"/>
      <c r="B2475" s="15"/>
      <c r="C2475" s="15"/>
      <c r="D2475" s="42"/>
      <c r="E2475" s="16"/>
      <c r="F2475" s="42"/>
      <c r="G2475" s="42"/>
      <c r="DN2475" s="191"/>
    </row>
    <row r="2476">
      <c r="A2476" s="15"/>
      <c r="B2476" s="15"/>
      <c r="C2476" s="15"/>
      <c r="D2476" s="42"/>
      <c r="E2476" s="16"/>
      <c r="F2476" s="42"/>
      <c r="G2476" s="42"/>
      <c r="DN2476" s="191"/>
    </row>
    <row r="2477">
      <c r="A2477" s="15"/>
      <c r="B2477" s="15"/>
      <c r="C2477" s="15"/>
      <c r="D2477" s="42"/>
      <c r="E2477" s="16"/>
      <c r="F2477" s="42"/>
      <c r="G2477" s="42"/>
      <c r="DN2477" s="191"/>
    </row>
    <row r="2478">
      <c r="A2478" s="15"/>
      <c r="B2478" s="15"/>
      <c r="C2478" s="15"/>
      <c r="D2478" s="42"/>
      <c r="E2478" s="16"/>
      <c r="F2478" s="42"/>
      <c r="G2478" s="42"/>
      <c r="DN2478" s="191"/>
    </row>
    <row r="2479">
      <c r="A2479" s="15"/>
      <c r="B2479" s="15"/>
      <c r="C2479" s="15"/>
      <c r="D2479" s="42"/>
      <c r="E2479" s="16"/>
      <c r="F2479" s="42"/>
      <c r="G2479" s="42"/>
      <c r="DN2479" s="191"/>
    </row>
    <row r="2480">
      <c r="A2480" s="15"/>
      <c r="B2480" s="15"/>
      <c r="C2480" s="15"/>
      <c r="D2480" s="42"/>
      <c r="E2480" s="16"/>
      <c r="F2480" s="42"/>
      <c r="G2480" s="42"/>
      <c r="DN2480" s="191"/>
    </row>
    <row r="2481">
      <c r="A2481" s="15"/>
      <c r="B2481" s="15"/>
      <c r="C2481" s="15"/>
      <c r="D2481" s="42"/>
      <c r="E2481" s="16"/>
      <c r="F2481" s="42"/>
      <c r="G2481" s="42"/>
      <c r="DN2481" s="191"/>
    </row>
    <row r="2482">
      <c r="A2482" s="15"/>
      <c r="B2482" s="15"/>
      <c r="C2482" s="15"/>
      <c r="D2482" s="42"/>
      <c r="E2482" s="16"/>
      <c r="F2482" s="42"/>
      <c r="G2482" s="42"/>
      <c r="DN2482" s="191"/>
    </row>
    <row r="2483">
      <c r="A2483" s="15"/>
      <c r="B2483" s="15"/>
      <c r="C2483" s="15"/>
      <c r="D2483" s="42"/>
      <c r="E2483" s="16"/>
      <c r="F2483" s="42"/>
      <c r="G2483" s="42"/>
      <c r="DN2483" s="191"/>
    </row>
    <row r="2484">
      <c r="A2484" s="15"/>
      <c r="B2484" s="15"/>
      <c r="C2484" s="15"/>
      <c r="D2484" s="42"/>
      <c r="E2484" s="16"/>
      <c r="F2484" s="42"/>
      <c r="G2484" s="42"/>
      <c r="DN2484" s="191"/>
    </row>
    <row r="2485">
      <c r="A2485" s="15"/>
      <c r="B2485" s="15"/>
      <c r="C2485" s="15"/>
      <c r="D2485" s="42"/>
      <c r="E2485" s="16"/>
      <c r="F2485" s="42"/>
      <c r="G2485" s="42"/>
      <c r="DN2485" s="191"/>
    </row>
    <row r="2486">
      <c r="A2486" s="15"/>
      <c r="B2486" s="15"/>
      <c r="C2486" s="15"/>
      <c r="D2486" s="42"/>
      <c r="E2486" s="16"/>
      <c r="F2486" s="42"/>
      <c r="G2486" s="42"/>
      <c r="DN2486" s="191"/>
    </row>
    <row r="2487">
      <c r="A2487" s="15"/>
      <c r="B2487" s="15"/>
      <c r="C2487" s="15"/>
      <c r="D2487" s="42"/>
      <c r="E2487" s="16"/>
      <c r="F2487" s="42"/>
      <c r="G2487" s="42"/>
      <c r="DN2487" s="191"/>
    </row>
    <row r="2488">
      <c r="A2488" s="15"/>
      <c r="B2488" s="15"/>
      <c r="C2488" s="15"/>
      <c r="D2488" s="42"/>
      <c r="E2488" s="16"/>
      <c r="F2488" s="42"/>
      <c r="G2488" s="42"/>
      <c r="DN2488" s="191"/>
    </row>
    <row r="2489">
      <c r="A2489" s="15"/>
      <c r="B2489" s="15"/>
      <c r="C2489" s="15"/>
      <c r="D2489" s="42"/>
      <c r="E2489" s="16"/>
      <c r="F2489" s="42"/>
      <c r="G2489" s="42"/>
      <c r="DN2489" s="191"/>
    </row>
    <row r="2490">
      <c r="A2490" s="15"/>
      <c r="B2490" s="15"/>
      <c r="C2490" s="15"/>
      <c r="D2490" s="42"/>
      <c r="E2490" s="16"/>
      <c r="F2490" s="42"/>
      <c r="G2490" s="42"/>
      <c r="DN2490" s="191"/>
    </row>
    <row r="2491">
      <c r="A2491" s="15"/>
      <c r="B2491" s="15"/>
      <c r="C2491" s="15"/>
      <c r="D2491" s="42"/>
      <c r="E2491" s="16"/>
      <c r="F2491" s="42"/>
      <c r="G2491" s="42"/>
      <c r="DN2491" s="191"/>
    </row>
    <row r="2492">
      <c r="A2492" s="15"/>
      <c r="B2492" s="15"/>
      <c r="C2492" s="15"/>
      <c r="D2492" s="42"/>
      <c r="E2492" s="16"/>
      <c r="F2492" s="42"/>
      <c r="G2492" s="42"/>
      <c r="DN2492" s="191"/>
    </row>
    <row r="2493">
      <c r="A2493" s="15"/>
      <c r="B2493" s="15"/>
      <c r="C2493" s="15"/>
      <c r="D2493" s="42"/>
      <c r="E2493" s="16"/>
      <c r="F2493" s="42"/>
      <c r="G2493" s="42"/>
      <c r="DN2493" s="191"/>
    </row>
    <row r="2494">
      <c r="A2494" s="15"/>
      <c r="B2494" s="15"/>
      <c r="C2494" s="15"/>
      <c r="D2494" s="42"/>
      <c r="E2494" s="16"/>
      <c r="F2494" s="42"/>
      <c r="G2494" s="42"/>
      <c r="DN2494" s="191"/>
    </row>
    <row r="2495">
      <c r="A2495" s="15"/>
      <c r="B2495" s="15"/>
      <c r="C2495" s="15"/>
      <c r="D2495" s="42"/>
      <c r="E2495" s="16"/>
      <c r="F2495" s="42"/>
      <c r="G2495" s="42"/>
      <c r="DN2495" s="191"/>
    </row>
    <row r="2496">
      <c r="A2496" s="15"/>
      <c r="B2496" s="15"/>
      <c r="C2496" s="15"/>
      <c r="D2496" s="42"/>
      <c r="E2496" s="16"/>
      <c r="F2496" s="42"/>
      <c r="G2496" s="42"/>
      <c r="DN2496" s="191"/>
    </row>
    <row r="2497">
      <c r="A2497" s="15"/>
      <c r="B2497" s="15"/>
      <c r="C2497" s="15"/>
      <c r="D2497" s="42"/>
      <c r="E2497" s="16"/>
      <c r="F2497" s="42"/>
      <c r="G2497" s="42"/>
      <c r="DN2497" s="191"/>
    </row>
    <row r="2498">
      <c r="A2498" s="15"/>
      <c r="B2498" s="15"/>
      <c r="C2498" s="15"/>
      <c r="D2498" s="42"/>
      <c r="E2498" s="16"/>
      <c r="F2498" s="42"/>
      <c r="G2498" s="42"/>
      <c r="DN2498" s="191"/>
    </row>
    <row r="2499">
      <c r="A2499" s="15"/>
      <c r="B2499" s="15"/>
      <c r="C2499" s="15"/>
      <c r="D2499" s="42"/>
      <c r="E2499" s="16"/>
      <c r="F2499" s="42"/>
      <c r="G2499" s="42"/>
      <c r="DN2499" s="191"/>
    </row>
    <row r="2500">
      <c r="A2500" s="15"/>
      <c r="B2500" s="15"/>
      <c r="C2500" s="15"/>
      <c r="D2500" s="42"/>
      <c r="E2500" s="16"/>
      <c r="F2500" s="42"/>
      <c r="G2500" s="42"/>
      <c r="DN2500" s="191"/>
    </row>
    <row r="2501">
      <c r="A2501" s="15"/>
      <c r="B2501" s="15"/>
      <c r="C2501" s="15"/>
      <c r="D2501" s="42"/>
      <c r="E2501" s="16"/>
      <c r="F2501" s="42"/>
      <c r="G2501" s="42"/>
      <c r="DN2501" s="191"/>
    </row>
    <row r="2502">
      <c r="A2502" s="15"/>
      <c r="B2502" s="15"/>
      <c r="C2502" s="15"/>
      <c r="D2502" s="42"/>
      <c r="E2502" s="16"/>
      <c r="F2502" s="42"/>
      <c r="G2502" s="42"/>
      <c r="DN2502" s="191"/>
    </row>
    <row r="2503">
      <c r="A2503" s="15"/>
      <c r="B2503" s="15"/>
      <c r="C2503" s="15"/>
      <c r="D2503" s="42"/>
      <c r="E2503" s="16"/>
      <c r="F2503" s="42"/>
      <c r="G2503" s="42"/>
      <c r="DN2503" s="191"/>
    </row>
    <row r="2504">
      <c r="A2504" s="15"/>
      <c r="B2504" s="15"/>
      <c r="C2504" s="15"/>
      <c r="D2504" s="42"/>
      <c r="E2504" s="16"/>
      <c r="F2504" s="42"/>
      <c r="G2504" s="42"/>
      <c r="DN2504" s="191"/>
    </row>
    <row r="2505">
      <c r="A2505" s="15"/>
      <c r="B2505" s="15"/>
      <c r="C2505" s="15"/>
      <c r="D2505" s="42"/>
      <c r="E2505" s="16"/>
      <c r="F2505" s="42"/>
      <c r="G2505" s="42"/>
      <c r="DN2505" s="191"/>
    </row>
    <row r="2506">
      <c r="A2506" s="15"/>
      <c r="B2506" s="15"/>
      <c r="C2506" s="15"/>
      <c r="D2506" s="42"/>
      <c r="E2506" s="16"/>
      <c r="F2506" s="42"/>
      <c r="G2506" s="42"/>
      <c r="DN2506" s="191"/>
    </row>
    <row r="2507">
      <c r="A2507" s="15"/>
      <c r="B2507" s="15"/>
      <c r="C2507" s="15"/>
      <c r="D2507" s="42"/>
      <c r="E2507" s="16"/>
      <c r="F2507" s="42"/>
      <c r="G2507" s="42"/>
      <c r="DN2507" s="191"/>
    </row>
    <row r="2508">
      <c r="A2508" s="15"/>
      <c r="B2508" s="15"/>
      <c r="C2508" s="15"/>
      <c r="D2508" s="42"/>
      <c r="E2508" s="16"/>
      <c r="F2508" s="42"/>
      <c r="G2508" s="42"/>
      <c r="DN2508" s="191"/>
    </row>
    <row r="2509">
      <c r="A2509" s="15"/>
      <c r="B2509" s="15"/>
      <c r="C2509" s="15"/>
      <c r="D2509" s="42"/>
      <c r="E2509" s="16"/>
      <c r="F2509" s="42"/>
      <c r="G2509" s="42"/>
      <c r="DN2509" s="191"/>
    </row>
    <row r="2510">
      <c r="A2510" s="15"/>
      <c r="B2510" s="15"/>
      <c r="C2510" s="15"/>
      <c r="D2510" s="42"/>
      <c r="E2510" s="16"/>
      <c r="F2510" s="42"/>
      <c r="G2510" s="42"/>
      <c r="DN2510" s="191"/>
    </row>
    <row r="2511">
      <c r="A2511" s="15"/>
      <c r="B2511" s="15"/>
      <c r="C2511" s="15"/>
      <c r="D2511" s="42"/>
      <c r="E2511" s="16"/>
      <c r="F2511" s="42"/>
      <c r="G2511" s="42"/>
      <c r="DN2511" s="191"/>
    </row>
    <row r="2512">
      <c r="A2512" s="15"/>
      <c r="B2512" s="15"/>
      <c r="C2512" s="15"/>
      <c r="D2512" s="42"/>
      <c r="E2512" s="16"/>
      <c r="F2512" s="42"/>
      <c r="G2512" s="42"/>
      <c r="DN2512" s="191"/>
    </row>
    <row r="2513">
      <c r="A2513" s="15"/>
      <c r="B2513" s="15"/>
      <c r="C2513" s="15"/>
      <c r="D2513" s="42"/>
      <c r="E2513" s="16"/>
      <c r="F2513" s="42"/>
      <c r="G2513" s="42"/>
      <c r="DN2513" s="191"/>
    </row>
    <row r="2514">
      <c r="A2514" s="15"/>
      <c r="B2514" s="15"/>
      <c r="C2514" s="15"/>
      <c r="D2514" s="42"/>
      <c r="E2514" s="16"/>
      <c r="F2514" s="42"/>
      <c r="G2514" s="42"/>
      <c r="DN2514" s="191"/>
    </row>
    <row r="2515">
      <c r="A2515" s="15"/>
      <c r="B2515" s="15"/>
      <c r="C2515" s="15"/>
      <c r="D2515" s="42"/>
      <c r="E2515" s="16"/>
      <c r="F2515" s="42"/>
      <c r="G2515" s="42"/>
      <c r="DN2515" s="191"/>
    </row>
    <row r="2516">
      <c r="A2516" s="15"/>
      <c r="B2516" s="15"/>
      <c r="C2516" s="15"/>
      <c r="D2516" s="42"/>
      <c r="E2516" s="16"/>
      <c r="F2516" s="42"/>
      <c r="G2516" s="42"/>
      <c r="DN2516" s="191"/>
    </row>
    <row r="2517">
      <c r="A2517" s="15"/>
      <c r="B2517" s="15"/>
      <c r="C2517" s="15"/>
      <c r="D2517" s="42"/>
      <c r="E2517" s="16"/>
      <c r="F2517" s="42"/>
      <c r="G2517" s="42"/>
      <c r="DN2517" s="191"/>
    </row>
    <row r="2518">
      <c r="A2518" s="15"/>
      <c r="B2518" s="15"/>
      <c r="C2518" s="15"/>
      <c r="D2518" s="42"/>
      <c r="E2518" s="16"/>
      <c r="F2518" s="42"/>
      <c r="G2518" s="42"/>
      <c r="DN2518" s="191"/>
    </row>
    <row r="2519">
      <c r="A2519" s="15"/>
      <c r="B2519" s="15"/>
      <c r="C2519" s="15"/>
      <c r="D2519" s="42"/>
      <c r="E2519" s="16"/>
      <c r="F2519" s="42"/>
      <c r="G2519" s="42"/>
      <c r="DN2519" s="191"/>
    </row>
    <row r="2520">
      <c r="A2520" s="15"/>
      <c r="B2520" s="15"/>
      <c r="C2520" s="15"/>
      <c r="D2520" s="42"/>
      <c r="E2520" s="16"/>
      <c r="F2520" s="42"/>
      <c r="G2520" s="42"/>
      <c r="DN2520" s="191"/>
    </row>
    <row r="2521">
      <c r="A2521" s="15"/>
      <c r="B2521" s="15"/>
      <c r="C2521" s="15"/>
      <c r="D2521" s="42"/>
      <c r="E2521" s="16"/>
      <c r="F2521" s="42"/>
      <c r="G2521" s="42"/>
      <c r="DN2521" s="191"/>
    </row>
    <row r="2522">
      <c r="A2522" s="15"/>
      <c r="B2522" s="15"/>
      <c r="C2522" s="15"/>
      <c r="D2522" s="42"/>
      <c r="E2522" s="16"/>
      <c r="F2522" s="42"/>
      <c r="G2522" s="42"/>
      <c r="DN2522" s="191"/>
    </row>
    <row r="2523">
      <c r="A2523" s="15"/>
      <c r="B2523" s="15"/>
      <c r="C2523" s="15"/>
      <c r="D2523" s="42"/>
      <c r="E2523" s="16"/>
      <c r="F2523" s="42"/>
      <c r="G2523" s="42"/>
      <c r="DN2523" s="191"/>
    </row>
    <row r="2524">
      <c r="A2524" s="15"/>
      <c r="B2524" s="15"/>
      <c r="C2524" s="15"/>
      <c r="D2524" s="42"/>
      <c r="E2524" s="16"/>
      <c r="F2524" s="42"/>
      <c r="G2524" s="42"/>
      <c r="DN2524" s="191"/>
    </row>
    <row r="2525">
      <c r="A2525" s="15"/>
      <c r="B2525" s="15"/>
      <c r="C2525" s="15"/>
      <c r="D2525" s="42"/>
      <c r="E2525" s="16"/>
      <c r="F2525" s="42"/>
      <c r="G2525" s="42"/>
      <c r="DN2525" s="191"/>
    </row>
    <row r="2526">
      <c r="A2526" s="15"/>
      <c r="B2526" s="15"/>
      <c r="C2526" s="15"/>
      <c r="D2526" s="42"/>
      <c r="E2526" s="16"/>
      <c r="F2526" s="42"/>
      <c r="G2526" s="42"/>
      <c r="DN2526" s="191"/>
    </row>
    <row r="2527">
      <c r="A2527" s="15"/>
      <c r="B2527" s="15"/>
      <c r="C2527" s="15"/>
      <c r="D2527" s="42"/>
      <c r="E2527" s="16"/>
      <c r="F2527" s="42"/>
      <c r="G2527" s="42"/>
      <c r="DN2527" s="191"/>
    </row>
    <row r="2528">
      <c r="A2528" s="15"/>
      <c r="B2528" s="15"/>
      <c r="C2528" s="15"/>
      <c r="D2528" s="42"/>
      <c r="E2528" s="16"/>
      <c r="F2528" s="42"/>
      <c r="G2528" s="42"/>
      <c r="DN2528" s="191"/>
    </row>
    <row r="2529">
      <c r="A2529" s="15"/>
      <c r="B2529" s="15"/>
      <c r="C2529" s="15"/>
      <c r="D2529" s="42"/>
      <c r="E2529" s="16"/>
      <c r="F2529" s="42"/>
      <c r="G2529" s="42"/>
      <c r="DN2529" s="191"/>
    </row>
    <row r="2530">
      <c r="A2530" s="15"/>
      <c r="B2530" s="15"/>
      <c r="C2530" s="15"/>
      <c r="D2530" s="42"/>
      <c r="E2530" s="16"/>
      <c r="F2530" s="42"/>
      <c r="G2530" s="42"/>
      <c r="DN2530" s="191"/>
    </row>
    <row r="2531">
      <c r="A2531" s="15"/>
      <c r="B2531" s="15"/>
      <c r="C2531" s="15"/>
      <c r="D2531" s="42"/>
      <c r="E2531" s="16"/>
      <c r="F2531" s="42"/>
      <c r="G2531" s="42"/>
      <c r="DN2531" s="191"/>
    </row>
    <row r="2532">
      <c r="A2532" s="15"/>
      <c r="B2532" s="15"/>
      <c r="C2532" s="15"/>
      <c r="D2532" s="42"/>
      <c r="E2532" s="16"/>
      <c r="F2532" s="42"/>
      <c r="G2532" s="42"/>
      <c r="DN2532" s="191"/>
    </row>
    <row r="2533">
      <c r="A2533" s="15"/>
      <c r="B2533" s="15"/>
      <c r="C2533" s="15"/>
      <c r="D2533" s="42"/>
      <c r="E2533" s="16"/>
      <c r="F2533" s="42"/>
      <c r="G2533" s="42"/>
      <c r="DN2533" s="191"/>
    </row>
    <row r="2534">
      <c r="A2534" s="15"/>
      <c r="B2534" s="15"/>
      <c r="C2534" s="15"/>
      <c r="D2534" s="42"/>
      <c r="E2534" s="16"/>
      <c r="F2534" s="42"/>
      <c r="G2534" s="42"/>
      <c r="DN2534" s="191"/>
    </row>
    <row r="2535">
      <c r="A2535" s="15"/>
      <c r="B2535" s="15"/>
      <c r="C2535" s="15"/>
      <c r="D2535" s="42"/>
      <c r="E2535" s="16"/>
      <c r="F2535" s="42"/>
      <c r="G2535" s="42"/>
      <c r="DN2535" s="191"/>
    </row>
    <row r="2536">
      <c r="A2536" s="15"/>
      <c r="B2536" s="15"/>
      <c r="C2536" s="15"/>
      <c r="D2536" s="42"/>
      <c r="E2536" s="16"/>
      <c r="F2536" s="42"/>
      <c r="G2536" s="42"/>
      <c r="DN2536" s="191"/>
    </row>
    <row r="2537">
      <c r="A2537" s="15"/>
      <c r="B2537" s="15"/>
      <c r="C2537" s="15"/>
      <c r="D2537" s="42"/>
      <c r="E2537" s="16"/>
      <c r="F2537" s="42"/>
      <c r="G2537" s="42"/>
      <c r="DN2537" s="191"/>
    </row>
    <row r="2538">
      <c r="A2538" s="15"/>
      <c r="B2538" s="15"/>
      <c r="C2538" s="15"/>
      <c r="D2538" s="42"/>
      <c r="E2538" s="16"/>
      <c r="F2538" s="42"/>
      <c r="G2538" s="42"/>
      <c r="DN2538" s="191"/>
    </row>
    <row r="2539">
      <c r="A2539" s="15"/>
      <c r="B2539" s="15"/>
      <c r="C2539" s="15"/>
      <c r="D2539" s="42"/>
      <c r="E2539" s="16"/>
      <c r="F2539" s="42"/>
      <c r="G2539" s="42"/>
      <c r="DN2539" s="191"/>
    </row>
    <row r="2540">
      <c r="A2540" s="15"/>
      <c r="B2540" s="15"/>
      <c r="C2540" s="15"/>
      <c r="D2540" s="42"/>
      <c r="E2540" s="16"/>
      <c r="F2540" s="42"/>
      <c r="G2540" s="42"/>
      <c r="DN2540" s="191"/>
    </row>
    <row r="2541">
      <c r="A2541" s="15"/>
      <c r="B2541" s="15"/>
      <c r="C2541" s="15"/>
      <c r="D2541" s="42"/>
      <c r="E2541" s="16"/>
      <c r="F2541" s="42"/>
      <c r="G2541" s="42"/>
      <c r="DN2541" s="191"/>
    </row>
    <row r="2542">
      <c r="A2542" s="15"/>
      <c r="B2542" s="15"/>
      <c r="C2542" s="15"/>
      <c r="D2542" s="42"/>
      <c r="E2542" s="16"/>
      <c r="F2542" s="42"/>
      <c r="G2542" s="42"/>
      <c r="DN2542" s="191"/>
    </row>
    <row r="2543">
      <c r="A2543" s="15"/>
      <c r="B2543" s="15"/>
      <c r="C2543" s="15"/>
      <c r="D2543" s="42"/>
      <c r="E2543" s="16"/>
      <c r="F2543" s="42"/>
      <c r="G2543" s="42"/>
      <c r="DN2543" s="191"/>
    </row>
    <row r="2544">
      <c r="A2544" s="15"/>
      <c r="B2544" s="15"/>
      <c r="C2544" s="15"/>
      <c r="D2544" s="42"/>
      <c r="E2544" s="16"/>
      <c r="F2544" s="42"/>
      <c r="G2544" s="42"/>
      <c r="DN2544" s="191"/>
    </row>
    <row r="2545">
      <c r="A2545" s="15"/>
      <c r="B2545" s="15"/>
      <c r="C2545" s="15"/>
      <c r="D2545" s="42"/>
      <c r="E2545" s="16"/>
      <c r="F2545" s="42"/>
      <c r="G2545" s="42"/>
      <c r="DN2545" s="191"/>
    </row>
    <row r="2546">
      <c r="A2546" s="15"/>
      <c r="B2546" s="15"/>
      <c r="C2546" s="15"/>
      <c r="D2546" s="42"/>
      <c r="E2546" s="16"/>
      <c r="F2546" s="42"/>
      <c r="G2546" s="42"/>
      <c r="DN2546" s="191"/>
    </row>
    <row r="2547">
      <c r="A2547" s="15"/>
      <c r="B2547" s="15"/>
      <c r="C2547" s="15"/>
      <c r="D2547" s="42"/>
      <c r="E2547" s="16"/>
      <c r="F2547" s="42"/>
      <c r="G2547" s="42"/>
      <c r="DN2547" s="191"/>
    </row>
    <row r="2548">
      <c r="A2548" s="15"/>
      <c r="B2548" s="15"/>
      <c r="C2548" s="15"/>
      <c r="D2548" s="42"/>
      <c r="E2548" s="16"/>
      <c r="F2548" s="42"/>
      <c r="G2548" s="42"/>
      <c r="DN2548" s="191"/>
    </row>
    <row r="2549">
      <c r="A2549" s="15"/>
      <c r="B2549" s="15"/>
      <c r="C2549" s="15"/>
      <c r="D2549" s="42"/>
      <c r="E2549" s="16"/>
      <c r="F2549" s="42"/>
      <c r="G2549" s="42"/>
      <c r="DN2549" s="191"/>
    </row>
    <row r="2550">
      <c r="A2550" s="15"/>
      <c r="B2550" s="15"/>
      <c r="C2550" s="15"/>
      <c r="D2550" s="42"/>
      <c r="E2550" s="16"/>
      <c r="F2550" s="42"/>
      <c r="G2550" s="42"/>
      <c r="DN2550" s="191"/>
    </row>
    <row r="2551">
      <c r="A2551" s="15"/>
      <c r="B2551" s="15"/>
      <c r="C2551" s="15"/>
      <c r="D2551" s="42"/>
      <c r="E2551" s="16"/>
      <c r="F2551" s="42"/>
      <c r="G2551" s="42"/>
      <c r="DN2551" s="191"/>
    </row>
    <row r="2552">
      <c r="A2552" s="15"/>
      <c r="B2552" s="15"/>
      <c r="C2552" s="15"/>
      <c r="D2552" s="42"/>
      <c r="E2552" s="16"/>
      <c r="F2552" s="42"/>
      <c r="G2552" s="42"/>
      <c r="DN2552" s="191"/>
    </row>
    <row r="2553">
      <c r="A2553" s="15"/>
      <c r="B2553" s="15"/>
      <c r="C2553" s="15"/>
      <c r="D2553" s="42"/>
      <c r="E2553" s="16"/>
      <c r="F2553" s="42"/>
      <c r="G2553" s="42"/>
      <c r="DN2553" s="191"/>
    </row>
    <row r="2554">
      <c r="A2554" s="15"/>
      <c r="B2554" s="15"/>
      <c r="C2554" s="15"/>
      <c r="D2554" s="42"/>
      <c r="E2554" s="16"/>
      <c r="F2554" s="42"/>
      <c r="G2554" s="42"/>
      <c r="DN2554" s="191"/>
    </row>
    <row r="2555">
      <c r="A2555" s="15"/>
      <c r="B2555" s="15"/>
      <c r="C2555" s="15"/>
      <c r="D2555" s="42"/>
      <c r="E2555" s="16"/>
      <c r="F2555" s="42"/>
      <c r="G2555" s="42"/>
      <c r="DN2555" s="191"/>
    </row>
    <row r="2556">
      <c r="A2556" s="15"/>
      <c r="B2556" s="15"/>
      <c r="C2556" s="15"/>
      <c r="D2556" s="42"/>
      <c r="E2556" s="16"/>
      <c r="F2556" s="42"/>
      <c r="G2556" s="42"/>
      <c r="DN2556" s="191"/>
    </row>
    <row r="2557">
      <c r="A2557" s="15"/>
      <c r="B2557" s="15"/>
      <c r="C2557" s="15"/>
      <c r="D2557" s="42"/>
      <c r="E2557" s="16"/>
      <c r="F2557" s="42"/>
      <c r="G2557" s="42"/>
      <c r="DN2557" s="191"/>
    </row>
    <row r="2558">
      <c r="A2558" s="15"/>
      <c r="B2558" s="15"/>
      <c r="C2558" s="15"/>
      <c r="D2558" s="42"/>
      <c r="E2558" s="16"/>
      <c r="F2558" s="42"/>
      <c r="G2558" s="42"/>
      <c r="DN2558" s="191"/>
    </row>
    <row r="2559">
      <c r="A2559" s="15"/>
      <c r="B2559" s="15"/>
      <c r="C2559" s="15"/>
      <c r="D2559" s="42"/>
      <c r="E2559" s="16"/>
      <c r="F2559" s="42"/>
      <c r="G2559" s="42"/>
      <c r="DN2559" s="191"/>
    </row>
    <row r="2560">
      <c r="A2560" s="15"/>
      <c r="B2560" s="15"/>
      <c r="C2560" s="15"/>
      <c r="D2560" s="42"/>
      <c r="E2560" s="16"/>
      <c r="F2560" s="42"/>
      <c r="G2560" s="42"/>
      <c r="DN2560" s="191"/>
    </row>
    <row r="2561">
      <c r="A2561" s="15"/>
      <c r="B2561" s="15"/>
      <c r="C2561" s="15"/>
      <c r="D2561" s="42"/>
      <c r="E2561" s="16"/>
      <c r="F2561" s="42"/>
      <c r="G2561" s="42"/>
      <c r="DN2561" s="191"/>
    </row>
    <row r="2562">
      <c r="A2562" s="15"/>
      <c r="B2562" s="15"/>
      <c r="C2562" s="15"/>
      <c r="D2562" s="42"/>
      <c r="E2562" s="16"/>
      <c r="F2562" s="42"/>
      <c r="G2562" s="42"/>
      <c r="DN2562" s="191"/>
    </row>
    <row r="2563">
      <c r="A2563" s="15"/>
      <c r="B2563" s="15"/>
      <c r="C2563" s="15"/>
      <c r="D2563" s="42"/>
      <c r="E2563" s="16"/>
      <c r="F2563" s="42"/>
      <c r="G2563" s="42"/>
      <c r="DN2563" s="191"/>
    </row>
    <row r="2564">
      <c r="A2564" s="15"/>
      <c r="B2564" s="15"/>
      <c r="C2564" s="15"/>
      <c r="D2564" s="42"/>
      <c r="E2564" s="16"/>
      <c r="F2564" s="42"/>
      <c r="G2564" s="42"/>
      <c r="DN2564" s="191"/>
    </row>
    <row r="2565">
      <c r="A2565" s="15"/>
      <c r="B2565" s="15"/>
      <c r="C2565" s="15"/>
      <c r="D2565" s="42"/>
      <c r="E2565" s="16"/>
      <c r="F2565" s="42"/>
      <c r="G2565" s="42"/>
      <c r="DN2565" s="191"/>
    </row>
    <row r="2566">
      <c r="A2566" s="15"/>
      <c r="B2566" s="15"/>
      <c r="C2566" s="15"/>
      <c r="D2566" s="42"/>
      <c r="E2566" s="16"/>
      <c r="F2566" s="42"/>
      <c r="G2566" s="42"/>
      <c r="DN2566" s="191"/>
    </row>
    <row r="2567">
      <c r="A2567" s="15"/>
      <c r="B2567" s="15"/>
      <c r="C2567" s="15"/>
      <c r="D2567" s="42"/>
      <c r="E2567" s="16"/>
      <c r="F2567" s="42"/>
      <c r="G2567" s="42"/>
      <c r="DN2567" s="191"/>
    </row>
    <row r="2568">
      <c r="A2568" s="15"/>
      <c r="B2568" s="15"/>
      <c r="C2568" s="15"/>
      <c r="D2568" s="42"/>
      <c r="E2568" s="16"/>
      <c r="F2568" s="42"/>
      <c r="G2568" s="42"/>
      <c r="DN2568" s="191"/>
    </row>
    <row r="2569">
      <c r="A2569" s="15"/>
      <c r="B2569" s="15"/>
      <c r="C2569" s="15"/>
      <c r="D2569" s="42"/>
      <c r="E2569" s="16"/>
      <c r="F2569" s="42"/>
      <c r="G2569" s="42"/>
      <c r="DN2569" s="191"/>
    </row>
    <row r="2570">
      <c r="A2570" s="15"/>
      <c r="B2570" s="15"/>
      <c r="C2570" s="15"/>
      <c r="D2570" s="42"/>
      <c r="E2570" s="16"/>
      <c r="F2570" s="42"/>
      <c r="G2570" s="42"/>
      <c r="DN2570" s="191"/>
    </row>
    <row r="2571">
      <c r="A2571" s="15"/>
      <c r="B2571" s="15"/>
      <c r="C2571" s="15"/>
      <c r="D2571" s="42"/>
      <c r="E2571" s="16"/>
      <c r="F2571" s="42"/>
      <c r="G2571" s="42"/>
      <c r="DN2571" s="191"/>
    </row>
    <row r="2572">
      <c r="A2572" s="15"/>
      <c r="B2572" s="15"/>
      <c r="C2572" s="15"/>
      <c r="D2572" s="42"/>
      <c r="E2572" s="16"/>
      <c r="F2572" s="42"/>
      <c r="G2572" s="42"/>
      <c r="DN2572" s="191"/>
    </row>
    <row r="2573">
      <c r="A2573" s="15"/>
      <c r="B2573" s="15"/>
      <c r="C2573" s="15"/>
      <c r="D2573" s="42"/>
      <c r="E2573" s="16"/>
      <c r="F2573" s="42"/>
      <c r="G2573" s="42"/>
      <c r="DN2573" s="191"/>
    </row>
    <row r="2574">
      <c r="A2574" s="15"/>
      <c r="B2574" s="15"/>
      <c r="C2574" s="15"/>
      <c r="D2574" s="42"/>
      <c r="E2574" s="16"/>
      <c r="F2574" s="42"/>
      <c r="G2574" s="42"/>
      <c r="DN2574" s="191"/>
    </row>
    <row r="2575">
      <c r="A2575" s="15"/>
      <c r="B2575" s="15"/>
      <c r="C2575" s="15"/>
      <c r="D2575" s="42"/>
      <c r="E2575" s="16"/>
      <c r="F2575" s="42"/>
      <c r="G2575" s="42"/>
      <c r="DN2575" s="191"/>
    </row>
    <row r="2576">
      <c r="A2576" s="15"/>
      <c r="B2576" s="15"/>
      <c r="C2576" s="15"/>
      <c r="D2576" s="42"/>
      <c r="E2576" s="16"/>
      <c r="F2576" s="42"/>
      <c r="G2576" s="42"/>
      <c r="DN2576" s="191"/>
    </row>
    <row r="2577">
      <c r="A2577" s="15"/>
      <c r="B2577" s="15"/>
      <c r="C2577" s="15"/>
      <c r="D2577" s="42"/>
      <c r="E2577" s="16"/>
      <c r="F2577" s="42"/>
      <c r="G2577" s="42"/>
      <c r="DN2577" s="191"/>
    </row>
    <row r="2578">
      <c r="A2578" s="15"/>
      <c r="B2578" s="15"/>
      <c r="C2578" s="15"/>
      <c r="D2578" s="42"/>
      <c r="E2578" s="16"/>
      <c r="F2578" s="42"/>
      <c r="G2578" s="42"/>
      <c r="DN2578" s="191"/>
    </row>
    <row r="2579">
      <c r="A2579" s="15"/>
      <c r="B2579" s="15"/>
      <c r="C2579" s="15"/>
      <c r="D2579" s="42"/>
      <c r="E2579" s="16"/>
      <c r="F2579" s="42"/>
      <c r="G2579" s="42"/>
      <c r="DN2579" s="191"/>
    </row>
    <row r="2580">
      <c r="A2580" s="15"/>
      <c r="B2580" s="15"/>
      <c r="C2580" s="15"/>
      <c r="D2580" s="42"/>
      <c r="E2580" s="16"/>
      <c r="F2580" s="42"/>
      <c r="G2580" s="42"/>
      <c r="DN2580" s="191"/>
    </row>
    <row r="2581">
      <c r="A2581" s="15"/>
      <c r="B2581" s="15"/>
      <c r="C2581" s="15"/>
      <c r="D2581" s="42"/>
      <c r="E2581" s="16"/>
      <c r="F2581" s="42"/>
      <c r="G2581" s="42"/>
      <c r="DN2581" s="191"/>
    </row>
    <row r="2582">
      <c r="A2582" s="15"/>
      <c r="B2582" s="15"/>
      <c r="C2582" s="15"/>
      <c r="D2582" s="42"/>
      <c r="E2582" s="16"/>
      <c r="F2582" s="42"/>
      <c r="G2582" s="42"/>
      <c r="DN2582" s="191"/>
    </row>
    <row r="2583">
      <c r="A2583" s="15"/>
      <c r="B2583" s="15"/>
      <c r="C2583" s="15"/>
      <c r="D2583" s="42"/>
      <c r="E2583" s="16"/>
      <c r="F2583" s="42"/>
      <c r="G2583" s="42"/>
      <c r="DN2583" s="191"/>
    </row>
    <row r="2584">
      <c r="A2584" s="15"/>
      <c r="B2584" s="15"/>
      <c r="C2584" s="15"/>
      <c r="D2584" s="42"/>
      <c r="E2584" s="16"/>
      <c r="F2584" s="42"/>
      <c r="G2584" s="42"/>
      <c r="DN2584" s="191"/>
    </row>
    <row r="2585">
      <c r="A2585" s="15"/>
      <c r="B2585" s="15"/>
      <c r="C2585" s="15"/>
      <c r="D2585" s="42"/>
      <c r="E2585" s="16"/>
      <c r="F2585" s="42"/>
      <c r="G2585" s="42"/>
      <c r="DN2585" s="191"/>
    </row>
    <row r="2586">
      <c r="A2586" s="15"/>
      <c r="B2586" s="15"/>
      <c r="C2586" s="15"/>
      <c r="D2586" s="42"/>
      <c r="E2586" s="16"/>
      <c r="F2586" s="42"/>
      <c r="G2586" s="42"/>
      <c r="DN2586" s="191"/>
    </row>
    <row r="2587">
      <c r="A2587" s="15"/>
      <c r="B2587" s="15"/>
      <c r="C2587" s="15"/>
      <c r="D2587" s="42"/>
      <c r="E2587" s="16"/>
      <c r="F2587" s="42"/>
      <c r="G2587" s="42"/>
      <c r="DN2587" s="191"/>
    </row>
    <row r="2588">
      <c r="A2588" s="15"/>
      <c r="B2588" s="15"/>
      <c r="C2588" s="15"/>
      <c r="D2588" s="42"/>
      <c r="E2588" s="16"/>
      <c r="F2588" s="42"/>
      <c r="G2588" s="42"/>
      <c r="DN2588" s="191"/>
    </row>
    <row r="2589">
      <c r="A2589" s="15"/>
      <c r="B2589" s="15"/>
      <c r="C2589" s="15"/>
      <c r="D2589" s="42"/>
      <c r="E2589" s="16"/>
      <c r="F2589" s="42"/>
      <c r="G2589" s="42"/>
      <c r="DN2589" s="191"/>
    </row>
    <row r="2590">
      <c r="A2590" s="15"/>
      <c r="B2590" s="15"/>
      <c r="C2590" s="15"/>
      <c r="D2590" s="42"/>
      <c r="E2590" s="16"/>
      <c r="F2590" s="42"/>
      <c r="G2590" s="42"/>
      <c r="DN2590" s="191"/>
    </row>
    <row r="2591">
      <c r="A2591" s="15"/>
      <c r="B2591" s="15"/>
      <c r="C2591" s="15"/>
      <c r="D2591" s="42"/>
      <c r="E2591" s="16"/>
      <c r="F2591" s="42"/>
      <c r="G2591" s="42"/>
      <c r="DN2591" s="191"/>
    </row>
    <row r="2592">
      <c r="A2592" s="15"/>
      <c r="B2592" s="15"/>
      <c r="C2592" s="15"/>
      <c r="D2592" s="42"/>
      <c r="E2592" s="16"/>
      <c r="F2592" s="42"/>
      <c r="G2592" s="42"/>
      <c r="DN2592" s="191"/>
    </row>
    <row r="2593">
      <c r="A2593" s="15"/>
      <c r="B2593" s="15"/>
      <c r="C2593" s="15"/>
      <c r="D2593" s="42"/>
      <c r="E2593" s="16"/>
      <c r="F2593" s="42"/>
      <c r="G2593" s="42"/>
      <c r="DN2593" s="191"/>
    </row>
    <row r="2594">
      <c r="A2594" s="15"/>
      <c r="B2594" s="15"/>
      <c r="C2594" s="15"/>
      <c r="D2594" s="42"/>
      <c r="E2594" s="16"/>
      <c r="F2594" s="42"/>
      <c r="G2594" s="42"/>
      <c r="DN2594" s="191"/>
    </row>
    <row r="2595">
      <c r="A2595" s="15"/>
      <c r="B2595" s="15"/>
      <c r="C2595" s="15"/>
      <c r="D2595" s="42"/>
      <c r="E2595" s="16"/>
      <c r="F2595" s="42"/>
      <c r="G2595" s="42"/>
      <c r="DN2595" s="191"/>
    </row>
    <row r="2596">
      <c r="A2596" s="15"/>
      <c r="B2596" s="15"/>
      <c r="C2596" s="15"/>
      <c r="D2596" s="42"/>
      <c r="E2596" s="16"/>
      <c r="F2596" s="42"/>
      <c r="G2596" s="42"/>
      <c r="DN2596" s="191"/>
    </row>
    <row r="2597">
      <c r="A2597" s="15"/>
      <c r="B2597" s="15"/>
      <c r="C2597" s="15"/>
      <c r="D2597" s="42"/>
      <c r="E2597" s="16"/>
      <c r="F2597" s="42"/>
      <c r="G2597" s="42"/>
      <c r="DN2597" s="191"/>
    </row>
    <row r="2598">
      <c r="A2598" s="15"/>
      <c r="B2598" s="15"/>
      <c r="C2598" s="15"/>
      <c r="D2598" s="42"/>
      <c r="E2598" s="16"/>
      <c r="F2598" s="42"/>
      <c r="G2598" s="42"/>
      <c r="DN2598" s="191"/>
    </row>
    <row r="2599">
      <c r="A2599" s="15"/>
      <c r="B2599" s="15"/>
      <c r="C2599" s="15"/>
      <c r="D2599" s="42"/>
      <c r="E2599" s="16"/>
      <c r="F2599" s="42"/>
      <c r="G2599" s="42"/>
      <c r="DN2599" s="191"/>
    </row>
    <row r="2600">
      <c r="A2600" s="15"/>
      <c r="B2600" s="15"/>
      <c r="C2600" s="15"/>
      <c r="D2600" s="42"/>
      <c r="E2600" s="16"/>
      <c r="F2600" s="42"/>
      <c r="G2600" s="42"/>
      <c r="DN2600" s="191"/>
    </row>
    <row r="2601">
      <c r="A2601" s="15"/>
      <c r="B2601" s="15"/>
      <c r="C2601" s="15"/>
      <c r="D2601" s="42"/>
      <c r="E2601" s="16"/>
      <c r="F2601" s="42"/>
      <c r="G2601" s="42"/>
      <c r="DN2601" s="191"/>
    </row>
    <row r="2602">
      <c r="A2602" s="15"/>
      <c r="B2602" s="15"/>
      <c r="C2602" s="15"/>
      <c r="D2602" s="42"/>
      <c r="E2602" s="16"/>
      <c r="F2602" s="42"/>
      <c r="G2602" s="42"/>
      <c r="DN2602" s="191"/>
    </row>
    <row r="2603">
      <c r="A2603" s="15"/>
      <c r="B2603" s="15"/>
      <c r="C2603" s="15"/>
      <c r="D2603" s="42"/>
      <c r="E2603" s="16"/>
      <c r="F2603" s="42"/>
      <c r="G2603" s="42"/>
      <c r="DN2603" s="191"/>
    </row>
    <row r="2604">
      <c r="A2604" s="15"/>
      <c r="B2604" s="15"/>
      <c r="C2604" s="15"/>
      <c r="D2604" s="42"/>
      <c r="E2604" s="16"/>
      <c r="F2604" s="42"/>
      <c r="G2604" s="42"/>
      <c r="DN2604" s="191"/>
    </row>
    <row r="2605">
      <c r="A2605" s="15"/>
      <c r="B2605" s="15"/>
      <c r="C2605" s="15"/>
      <c r="D2605" s="42"/>
      <c r="E2605" s="16"/>
      <c r="F2605" s="42"/>
      <c r="G2605" s="42"/>
      <c r="DN2605" s="191"/>
    </row>
    <row r="2606">
      <c r="A2606" s="15"/>
      <c r="B2606" s="15"/>
      <c r="C2606" s="15"/>
      <c r="D2606" s="42"/>
      <c r="E2606" s="16"/>
      <c r="F2606" s="42"/>
      <c r="G2606" s="42"/>
      <c r="DN2606" s="191"/>
    </row>
    <row r="2607">
      <c r="A2607" s="15"/>
      <c r="B2607" s="15"/>
      <c r="C2607" s="15"/>
      <c r="D2607" s="42"/>
      <c r="E2607" s="16"/>
      <c r="F2607" s="42"/>
      <c r="G2607" s="42"/>
      <c r="DN2607" s="191"/>
    </row>
    <row r="2608">
      <c r="A2608" s="15"/>
      <c r="B2608" s="15"/>
      <c r="C2608" s="15"/>
      <c r="D2608" s="42"/>
      <c r="E2608" s="16"/>
      <c r="F2608" s="42"/>
      <c r="G2608" s="42"/>
      <c r="DN2608" s="191"/>
    </row>
    <row r="2609">
      <c r="A2609" s="15"/>
      <c r="B2609" s="15"/>
      <c r="C2609" s="15"/>
      <c r="D2609" s="42"/>
      <c r="E2609" s="16"/>
      <c r="F2609" s="42"/>
      <c r="G2609" s="42"/>
      <c r="DN2609" s="191"/>
    </row>
    <row r="2610">
      <c r="A2610" s="15"/>
      <c r="B2610" s="15"/>
      <c r="C2610" s="15"/>
      <c r="D2610" s="42"/>
      <c r="E2610" s="16"/>
      <c r="F2610" s="42"/>
      <c r="G2610" s="42"/>
      <c r="DN2610" s="191"/>
    </row>
    <row r="2611">
      <c r="A2611" s="15"/>
      <c r="B2611" s="15"/>
      <c r="C2611" s="15"/>
      <c r="D2611" s="42"/>
      <c r="E2611" s="16"/>
      <c r="F2611" s="42"/>
      <c r="G2611" s="42"/>
      <c r="DN2611" s="191"/>
    </row>
    <row r="2612">
      <c r="A2612" s="15"/>
      <c r="B2612" s="15"/>
      <c r="C2612" s="15"/>
      <c r="D2612" s="42"/>
      <c r="E2612" s="16"/>
      <c r="F2612" s="42"/>
      <c r="G2612" s="42"/>
      <c r="DN2612" s="191"/>
    </row>
    <row r="2613">
      <c r="A2613" s="15"/>
      <c r="B2613" s="15"/>
      <c r="C2613" s="15"/>
      <c r="D2613" s="42"/>
      <c r="E2613" s="16"/>
      <c r="F2613" s="42"/>
      <c r="G2613" s="42"/>
      <c r="DN2613" s="191"/>
    </row>
    <row r="2614">
      <c r="A2614" s="15"/>
      <c r="B2614" s="15"/>
      <c r="C2614" s="15"/>
      <c r="D2614" s="42"/>
      <c r="E2614" s="16"/>
      <c r="F2614" s="42"/>
      <c r="G2614" s="42"/>
      <c r="DN2614" s="191"/>
    </row>
    <row r="2615">
      <c r="A2615" s="15"/>
      <c r="B2615" s="15"/>
      <c r="C2615" s="15"/>
      <c r="D2615" s="42"/>
      <c r="E2615" s="16"/>
      <c r="F2615" s="42"/>
      <c r="G2615" s="42"/>
      <c r="DN2615" s="191"/>
    </row>
    <row r="2616">
      <c r="A2616" s="15"/>
      <c r="B2616" s="15"/>
      <c r="C2616" s="15"/>
      <c r="D2616" s="42"/>
      <c r="E2616" s="16"/>
      <c r="F2616" s="42"/>
      <c r="G2616" s="42"/>
      <c r="DN2616" s="191"/>
    </row>
    <row r="2617">
      <c r="A2617" s="15"/>
      <c r="B2617" s="15"/>
      <c r="C2617" s="15"/>
      <c r="D2617" s="42"/>
      <c r="E2617" s="16"/>
      <c r="F2617" s="42"/>
      <c r="G2617" s="42"/>
      <c r="DN2617" s="191"/>
    </row>
    <row r="2618">
      <c r="A2618" s="15"/>
      <c r="B2618" s="15"/>
      <c r="C2618" s="15"/>
      <c r="D2618" s="42"/>
      <c r="E2618" s="16"/>
      <c r="F2618" s="42"/>
      <c r="G2618" s="42"/>
      <c r="DN2618" s="191"/>
    </row>
    <row r="2619">
      <c r="A2619" s="15"/>
      <c r="B2619" s="15"/>
      <c r="C2619" s="15"/>
      <c r="D2619" s="42"/>
      <c r="E2619" s="16"/>
      <c r="F2619" s="42"/>
      <c r="G2619" s="42"/>
      <c r="DN2619" s="191"/>
    </row>
    <row r="2620">
      <c r="A2620" s="15"/>
      <c r="B2620" s="15"/>
      <c r="C2620" s="15"/>
      <c r="D2620" s="42"/>
      <c r="E2620" s="16"/>
      <c r="F2620" s="42"/>
      <c r="G2620" s="42"/>
      <c r="DN2620" s="191"/>
    </row>
    <row r="2621">
      <c r="A2621" s="15"/>
      <c r="B2621" s="15"/>
      <c r="C2621" s="15"/>
      <c r="D2621" s="42"/>
      <c r="E2621" s="16"/>
      <c r="F2621" s="42"/>
      <c r="G2621" s="42"/>
      <c r="DN2621" s="191"/>
    </row>
    <row r="2622">
      <c r="A2622" s="15"/>
      <c r="B2622" s="15"/>
      <c r="C2622" s="15"/>
      <c r="D2622" s="42"/>
      <c r="E2622" s="16"/>
      <c r="F2622" s="42"/>
      <c r="G2622" s="42"/>
      <c r="DN2622" s="191"/>
    </row>
    <row r="2623">
      <c r="A2623" s="15"/>
      <c r="B2623" s="15"/>
      <c r="C2623" s="15"/>
      <c r="D2623" s="42"/>
      <c r="E2623" s="16"/>
      <c r="F2623" s="42"/>
      <c r="G2623" s="42"/>
      <c r="DN2623" s="191"/>
    </row>
    <row r="2624">
      <c r="A2624" s="15"/>
      <c r="B2624" s="15"/>
      <c r="C2624" s="15"/>
      <c r="D2624" s="42"/>
      <c r="E2624" s="16"/>
      <c r="F2624" s="42"/>
      <c r="G2624" s="42"/>
      <c r="DN2624" s="191"/>
    </row>
    <row r="2625">
      <c r="A2625" s="15"/>
      <c r="B2625" s="15"/>
      <c r="C2625" s="15"/>
      <c r="D2625" s="42"/>
      <c r="E2625" s="16"/>
      <c r="F2625" s="42"/>
      <c r="G2625" s="42"/>
      <c r="DN2625" s="191"/>
    </row>
    <row r="2626">
      <c r="A2626" s="15"/>
      <c r="B2626" s="15"/>
      <c r="C2626" s="15"/>
      <c r="D2626" s="42"/>
      <c r="E2626" s="16"/>
      <c r="F2626" s="42"/>
      <c r="G2626" s="42"/>
      <c r="DN2626" s="191"/>
    </row>
    <row r="2627">
      <c r="A2627" s="15"/>
      <c r="B2627" s="15"/>
      <c r="C2627" s="15"/>
      <c r="D2627" s="42"/>
      <c r="E2627" s="16"/>
      <c r="F2627" s="42"/>
      <c r="G2627" s="42"/>
      <c r="DN2627" s="191"/>
    </row>
    <row r="2628">
      <c r="A2628" s="15"/>
      <c r="B2628" s="15"/>
      <c r="C2628" s="15"/>
      <c r="D2628" s="42"/>
      <c r="E2628" s="16"/>
      <c r="F2628" s="42"/>
      <c r="G2628" s="42"/>
      <c r="DN2628" s="191"/>
    </row>
    <row r="2629">
      <c r="A2629" s="15"/>
      <c r="B2629" s="15"/>
      <c r="C2629" s="15"/>
      <c r="D2629" s="42"/>
      <c r="E2629" s="16"/>
      <c r="F2629" s="42"/>
      <c r="G2629" s="42"/>
      <c r="DN2629" s="191"/>
    </row>
    <row r="2630">
      <c r="A2630" s="15"/>
      <c r="B2630" s="15"/>
      <c r="C2630" s="15"/>
      <c r="D2630" s="42"/>
      <c r="E2630" s="16"/>
      <c r="F2630" s="42"/>
      <c r="G2630" s="42"/>
      <c r="DN2630" s="191"/>
    </row>
    <row r="2631">
      <c r="A2631" s="15"/>
      <c r="B2631" s="15"/>
      <c r="C2631" s="15"/>
      <c r="D2631" s="42"/>
      <c r="E2631" s="16"/>
      <c r="F2631" s="42"/>
      <c r="G2631" s="42"/>
      <c r="DN2631" s="191"/>
    </row>
    <row r="2632">
      <c r="A2632" s="15"/>
      <c r="B2632" s="15"/>
      <c r="C2632" s="15"/>
      <c r="D2632" s="42"/>
      <c r="E2632" s="16"/>
      <c r="F2632" s="42"/>
      <c r="G2632" s="42"/>
      <c r="DN2632" s="191"/>
    </row>
    <row r="2633">
      <c r="A2633" s="15"/>
      <c r="B2633" s="15"/>
      <c r="C2633" s="15"/>
      <c r="D2633" s="42"/>
      <c r="E2633" s="16"/>
      <c r="F2633" s="42"/>
      <c r="G2633" s="42"/>
      <c r="DN2633" s="191"/>
    </row>
    <row r="2634">
      <c r="A2634" s="15"/>
      <c r="B2634" s="15"/>
      <c r="C2634" s="15"/>
      <c r="D2634" s="42"/>
      <c r="E2634" s="16"/>
      <c r="F2634" s="42"/>
      <c r="G2634" s="42"/>
      <c r="DN2634" s="191"/>
    </row>
    <row r="2635">
      <c r="A2635" s="15"/>
      <c r="B2635" s="15"/>
      <c r="C2635" s="15"/>
      <c r="D2635" s="42"/>
      <c r="E2635" s="16"/>
      <c r="F2635" s="42"/>
      <c r="G2635" s="42"/>
      <c r="DN2635" s="191"/>
    </row>
    <row r="2636">
      <c r="A2636" s="15"/>
      <c r="B2636" s="15"/>
      <c r="C2636" s="15"/>
      <c r="D2636" s="42"/>
      <c r="E2636" s="16"/>
      <c r="F2636" s="42"/>
      <c r="G2636" s="42"/>
      <c r="DN2636" s="191"/>
    </row>
    <row r="2637">
      <c r="A2637" s="15"/>
      <c r="B2637" s="15"/>
      <c r="C2637" s="15"/>
      <c r="D2637" s="42"/>
      <c r="E2637" s="16"/>
      <c r="F2637" s="42"/>
      <c r="G2637" s="42"/>
      <c r="DN2637" s="191"/>
    </row>
    <row r="2638">
      <c r="A2638" s="15"/>
      <c r="B2638" s="15"/>
      <c r="C2638" s="15"/>
      <c r="D2638" s="42"/>
      <c r="E2638" s="16"/>
      <c r="F2638" s="42"/>
      <c r="G2638" s="42"/>
      <c r="DN2638" s="191"/>
    </row>
    <row r="2639">
      <c r="A2639" s="15"/>
      <c r="B2639" s="15"/>
      <c r="C2639" s="15"/>
      <c r="D2639" s="42"/>
      <c r="E2639" s="16"/>
      <c r="F2639" s="42"/>
      <c r="G2639" s="42"/>
      <c r="DN2639" s="191"/>
    </row>
    <row r="2640">
      <c r="A2640" s="15"/>
      <c r="B2640" s="15"/>
      <c r="C2640" s="15"/>
      <c r="D2640" s="42"/>
      <c r="E2640" s="16"/>
      <c r="F2640" s="42"/>
      <c r="G2640" s="42"/>
      <c r="DN2640" s="191"/>
    </row>
    <row r="2641">
      <c r="A2641" s="15"/>
      <c r="B2641" s="15"/>
      <c r="C2641" s="15"/>
      <c r="D2641" s="42"/>
      <c r="E2641" s="16"/>
      <c r="F2641" s="42"/>
      <c r="G2641" s="42"/>
      <c r="DN2641" s="191"/>
    </row>
    <row r="2642">
      <c r="A2642" s="15"/>
      <c r="B2642" s="15"/>
      <c r="C2642" s="15"/>
      <c r="D2642" s="42"/>
      <c r="E2642" s="16"/>
      <c r="F2642" s="42"/>
      <c r="G2642" s="42"/>
      <c r="DN2642" s="191"/>
    </row>
    <row r="2643">
      <c r="A2643" s="15"/>
      <c r="B2643" s="15"/>
      <c r="C2643" s="15"/>
      <c r="D2643" s="42"/>
      <c r="E2643" s="16"/>
      <c r="F2643" s="42"/>
      <c r="G2643" s="42"/>
      <c r="DN2643" s="191"/>
    </row>
    <row r="2644">
      <c r="A2644" s="15"/>
      <c r="B2644" s="15"/>
      <c r="C2644" s="15"/>
      <c r="D2644" s="42"/>
      <c r="E2644" s="16"/>
      <c r="F2644" s="42"/>
      <c r="G2644" s="42"/>
      <c r="DN2644" s="191"/>
    </row>
    <row r="2645">
      <c r="A2645" s="15"/>
      <c r="B2645" s="15"/>
      <c r="C2645" s="15"/>
      <c r="D2645" s="42"/>
      <c r="E2645" s="16"/>
      <c r="F2645" s="42"/>
      <c r="G2645" s="42"/>
      <c r="DN2645" s="191"/>
    </row>
    <row r="2646">
      <c r="A2646" s="15"/>
      <c r="B2646" s="15"/>
      <c r="C2646" s="15"/>
      <c r="D2646" s="42"/>
      <c r="E2646" s="16"/>
      <c r="F2646" s="42"/>
      <c r="G2646" s="42"/>
      <c r="DN2646" s="191"/>
    </row>
    <row r="2647">
      <c r="A2647" s="15"/>
      <c r="B2647" s="15"/>
      <c r="C2647" s="15"/>
      <c r="D2647" s="42"/>
      <c r="E2647" s="16"/>
      <c r="F2647" s="42"/>
      <c r="G2647" s="42"/>
      <c r="DN2647" s="191"/>
    </row>
    <row r="2648">
      <c r="A2648" s="15"/>
      <c r="B2648" s="15"/>
      <c r="C2648" s="15"/>
      <c r="D2648" s="42"/>
      <c r="E2648" s="16"/>
      <c r="F2648" s="42"/>
      <c r="G2648" s="42"/>
      <c r="DN2648" s="191"/>
    </row>
    <row r="2649">
      <c r="A2649" s="15"/>
      <c r="B2649" s="15"/>
      <c r="C2649" s="15"/>
      <c r="D2649" s="42"/>
      <c r="E2649" s="16"/>
      <c r="F2649" s="42"/>
      <c r="G2649" s="42"/>
      <c r="DN2649" s="191"/>
    </row>
    <row r="2650">
      <c r="A2650" s="15"/>
      <c r="B2650" s="15"/>
      <c r="C2650" s="15"/>
      <c r="D2650" s="42"/>
      <c r="E2650" s="16"/>
      <c r="F2650" s="42"/>
      <c r="G2650" s="42"/>
      <c r="DN2650" s="191"/>
    </row>
    <row r="2651">
      <c r="A2651" s="15"/>
      <c r="B2651" s="15"/>
      <c r="C2651" s="15"/>
      <c r="D2651" s="42"/>
      <c r="E2651" s="16"/>
      <c r="F2651" s="42"/>
      <c r="G2651" s="42"/>
      <c r="DN2651" s="191"/>
    </row>
    <row r="2652">
      <c r="A2652" s="15"/>
      <c r="B2652" s="15"/>
      <c r="C2652" s="15"/>
      <c r="D2652" s="42"/>
      <c r="E2652" s="16"/>
      <c r="F2652" s="42"/>
      <c r="G2652" s="42"/>
      <c r="DN2652" s="191"/>
    </row>
    <row r="2653">
      <c r="A2653" s="15"/>
      <c r="B2653" s="15"/>
      <c r="C2653" s="15"/>
      <c r="D2653" s="42"/>
      <c r="E2653" s="16"/>
      <c r="F2653" s="42"/>
      <c r="G2653" s="42"/>
      <c r="DN2653" s="191"/>
    </row>
    <row r="2654">
      <c r="A2654" s="15"/>
      <c r="B2654" s="15"/>
      <c r="C2654" s="15"/>
      <c r="D2654" s="42"/>
      <c r="E2654" s="16"/>
      <c r="F2654" s="42"/>
      <c r="G2654" s="42"/>
      <c r="DN2654" s="191"/>
    </row>
    <row r="2655">
      <c r="A2655" s="15"/>
      <c r="B2655" s="15"/>
      <c r="C2655" s="15"/>
      <c r="D2655" s="42"/>
      <c r="E2655" s="16"/>
      <c r="F2655" s="42"/>
      <c r="G2655" s="42"/>
      <c r="DN2655" s="191"/>
    </row>
    <row r="2656">
      <c r="A2656" s="15"/>
      <c r="B2656" s="15"/>
      <c r="C2656" s="15"/>
      <c r="D2656" s="42"/>
      <c r="E2656" s="16"/>
      <c r="F2656" s="42"/>
      <c r="G2656" s="42"/>
      <c r="DN2656" s="191"/>
    </row>
    <row r="2657">
      <c r="A2657" s="15"/>
      <c r="B2657" s="15"/>
      <c r="C2657" s="15"/>
      <c r="D2657" s="42"/>
      <c r="E2657" s="16"/>
      <c r="F2657" s="42"/>
      <c r="G2657" s="42"/>
      <c r="DN2657" s="191"/>
    </row>
    <row r="2658">
      <c r="A2658" s="15"/>
      <c r="B2658" s="15"/>
      <c r="C2658" s="15"/>
      <c r="D2658" s="42"/>
      <c r="E2658" s="16"/>
      <c r="F2658" s="42"/>
      <c r="G2658" s="42"/>
      <c r="DN2658" s="191"/>
    </row>
    <row r="2659">
      <c r="A2659" s="15"/>
      <c r="B2659" s="15"/>
      <c r="C2659" s="15"/>
      <c r="D2659" s="42"/>
      <c r="E2659" s="16"/>
      <c r="F2659" s="42"/>
      <c r="G2659" s="42"/>
      <c r="DN2659" s="191"/>
    </row>
    <row r="2660">
      <c r="A2660" s="15"/>
      <c r="B2660" s="15"/>
      <c r="C2660" s="15"/>
      <c r="D2660" s="42"/>
      <c r="E2660" s="16"/>
      <c r="F2660" s="42"/>
      <c r="G2660" s="42"/>
      <c r="DN2660" s="191"/>
    </row>
    <row r="2661">
      <c r="A2661" s="15"/>
      <c r="B2661" s="15"/>
      <c r="C2661" s="15"/>
      <c r="D2661" s="42"/>
      <c r="E2661" s="16"/>
      <c r="F2661" s="42"/>
      <c r="G2661" s="42"/>
      <c r="DN2661" s="191"/>
    </row>
    <row r="2662">
      <c r="A2662" s="15"/>
      <c r="B2662" s="15"/>
      <c r="C2662" s="15"/>
      <c r="D2662" s="42"/>
      <c r="E2662" s="16"/>
      <c r="F2662" s="42"/>
      <c r="G2662" s="42"/>
      <c r="DN2662" s="191"/>
    </row>
    <row r="2663">
      <c r="A2663" s="15"/>
      <c r="B2663" s="15"/>
      <c r="C2663" s="15"/>
      <c r="D2663" s="42"/>
      <c r="E2663" s="16"/>
      <c r="F2663" s="42"/>
      <c r="G2663" s="42"/>
      <c r="DN2663" s="191"/>
    </row>
    <row r="2664">
      <c r="A2664" s="15"/>
      <c r="B2664" s="15"/>
      <c r="C2664" s="15"/>
      <c r="D2664" s="42"/>
      <c r="E2664" s="16"/>
      <c r="F2664" s="42"/>
      <c r="G2664" s="42"/>
      <c r="DN2664" s="191"/>
    </row>
    <row r="2665">
      <c r="A2665" s="15"/>
      <c r="B2665" s="15"/>
      <c r="C2665" s="15"/>
      <c r="D2665" s="42"/>
      <c r="E2665" s="16"/>
      <c r="F2665" s="42"/>
      <c r="G2665" s="42"/>
      <c r="DN2665" s="191"/>
    </row>
    <row r="2666">
      <c r="A2666" s="15"/>
      <c r="B2666" s="15"/>
      <c r="C2666" s="15"/>
      <c r="D2666" s="42"/>
      <c r="E2666" s="16"/>
      <c r="F2666" s="42"/>
      <c r="G2666" s="42"/>
      <c r="DN2666" s="191"/>
    </row>
    <row r="2667">
      <c r="A2667" s="15"/>
      <c r="B2667" s="15"/>
      <c r="C2667" s="15"/>
      <c r="D2667" s="42"/>
      <c r="E2667" s="16"/>
      <c r="F2667" s="42"/>
      <c r="G2667" s="42"/>
      <c r="DN2667" s="191"/>
    </row>
    <row r="2668">
      <c r="A2668" s="15"/>
      <c r="B2668" s="15"/>
      <c r="C2668" s="15"/>
      <c r="D2668" s="42"/>
      <c r="E2668" s="16"/>
      <c r="F2668" s="42"/>
      <c r="G2668" s="42"/>
      <c r="DN2668" s="191"/>
    </row>
    <row r="2669">
      <c r="A2669" s="15"/>
      <c r="B2669" s="15"/>
      <c r="C2669" s="15"/>
      <c r="D2669" s="42"/>
      <c r="E2669" s="16"/>
      <c r="F2669" s="42"/>
      <c r="G2669" s="42"/>
      <c r="DN2669" s="191"/>
    </row>
    <row r="2670">
      <c r="A2670" s="15"/>
      <c r="B2670" s="15"/>
      <c r="C2670" s="15"/>
      <c r="D2670" s="42"/>
      <c r="E2670" s="16"/>
      <c r="F2670" s="42"/>
      <c r="G2670" s="42"/>
      <c r="DN2670" s="191"/>
    </row>
    <row r="2671">
      <c r="A2671" s="15"/>
      <c r="B2671" s="15"/>
      <c r="C2671" s="15"/>
      <c r="D2671" s="42"/>
      <c r="E2671" s="16"/>
      <c r="F2671" s="42"/>
      <c r="G2671" s="42"/>
      <c r="DN2671" s="191"/>
    </row>
    <row r="2672">
      <c r="A2672" s="15"/>
      <c r="B2672" s="15"/>
      <c r="C2672" s="15"/>
      <c r="D2672" s="42"/>
      <c r="E2672" s="16"/>
      <c r="F2672" s="42"/>
      <c r="G2672" s="42"/>
      <c r="DN2672" s="191"/>
    </row>
    <row r="2673">
      <c r="A2673" s="15"/>
      <c r="B2673" s="15"/>
      <c r="C2673" s="15"/>
      <c r="D2673" s="42"/>
      <c r="E2673" s="16"/>
      <c r="F2673" s="42"/>
      <c r="G2673" s="42"/>
      <c r="DN2673" s="191"/>
    </row>
    <row r="2674">
      <c r="A2674" s="15"/>
      <c r="B2674" s="15"/>
      <c r="C2674" s="15"/>
      <c r="D2674" s="42"/>
      <c r="E2674" s="16"/>
      <c r="F2674" s="42"/>
      <c r="G2674" s="42"/>
      <c r="DN2674" s="191"/>
    </row>
    <row r="2675">
      <c r="A2675" s="15"/>
      <c r="B2675" s="15"/>
      <c r="C2675" s="15"/>
      <c r="D2675" s="42"/>
      <c r="E2675" s="16"/>
      <c r="F2675" s="42"/>
      <c r="G2675" s="42"/>
      <c r="DN2675" s="191"/>
    </row>
    <row r="2676">
      <c r="A2676" s="15"/>
      <c r="B2676" s="15"/>
      <c r="C2676" s="15"/>
      <c r="D2676" s="42"/>
      <c r="E2676" s="16"/>
      <c r="F2676" s="42"/>
      <c r="G2676" s="42"/>
      <c r="DN2676" s="191"/>
    </row>
    <row r="2677">
      <c r="A2677" s="15"/>
      <c r="B2677" s="15"/>
      <c r="C2677" s="15"/>
      <c r="D2677" s="42"/>
      <c r="E2677" s="16"/>
      <c r="F2677" s="42"/>
      <c r="G2677" s="42"/>
      <c r="DN2677" s="191"/>
    </row>
    <row r="2678">
      <c r="A2678" s="15"/>
      <c r="B2678" s="15"/>
      <c r="C2678" s="15"/>
      <c r="D2678" s="42"/>
      <c r="E2678" s="16"/>
      <c r="F2678" s="42"/>
      <c r="G2678" s="42"/>
      <c r="DN2678" s="191"/>
    </row>
    <row r="2679">
      <c r="A2679" s="15"/>
      <c r="B2679" s="15"/>
      <c r="C2679" s="15"/>
      <c r="D2679" s="42"/>
      <c r="E2679" s="16"/>
      <c r="F2679" s="42"/>
      <c r="G2679" s="42"/>
      <c r="DN2679" s="191"/>
    </row>
    <row r="2680">
      <c r="A2680" s="15"/>
      <c r="B2680" s="15"/>
      <c r="C2680" s="15"/>
      <c r="D2680" s="42"/>
      <c r="E2680" s="16"/>
      <c r="F2680" s="42"/>
      <c r="G2680" s="42"/>
      <c r="DN2680" s="191"/>
    </row>
    <row r="2681">
      <c r="A2681" s="15"/>
      <c r="B2681" s="15"/>
      <c r="C2681" s="15"/>
      <c r="D2681" s="42"/>
      <c r="E2681" s="16"/>
      <c r="F2681" s="42"/>
      <c r="G2681" s="42"/>
      <c r="DN2681" s="191"/>
    </row>
    <row r="2682">
      <c r="A2682" s="15"/>
      <c r="B2682" s="15"/>
      <c r="C2682" s="15"/>
      <c r="D2682" s="42"/>
      <c r="E2682" s="16"/>
      <c r="F2682" s="42"/>
      <c r="G2682" s="42"/>
      <c r="DN2682" s="191"/>
    </row>
    <row r="2683">
      <c r="A2683" s="15"/>
      <c r="B2683" s="15"/>
      <c r="C2683" s="15"/>
      <c r="D2683" s="42"/>
      <c r="E2683" s="16"/>
      <c r="F2683" s="42"/>
      <c r="G2683" s="42"/>
      <c r="DN2683" s="191"/>
    </row>
    <row r="2684">
      <c r="A2684" s="15"/>
      <c r="B2684" s="15"/>
      <c r="C2684" s="15"/>
      <c r="D2684" s="42"/>
      <c r="E2684" s="16"/>
      <c r="F2684" s="42"/>
      <c r="G2684" s="42"/>
      <c r="DN2684" s="191"/>
    </row>
    <row r="2685">
      <c r="A2685" s="15"/>
      <c r="B2685" s="15"/>
      <c r="C2685" s="15"/>
      <c r="D2685" s="42"/>
      <c r="E2685" s="16"/>
      <c r="F2685" s="42"/>
      <c r="G2685" s="42"/>
      <c r="DN2685" s="191"/>
    </row>
    <row r="2686">
      <c r="A2686" s="15"/>
      <c r="B2686" s="15"/>
      <c r="C2686" s="15"/>
      <c r="D2686" s="42"/>
      <c r="E2686" s="16"/>
      <c r="F2686" s="42"/>
      <c r="G2686" s="42"/>
      <c r="DN2686" s="191"/>
    </row>
    <row r="2687">
      <c r="A2687" s="15"/>
      <c r="B2687" s="15"/>
      <c r="C2687" s="15"/>
      <c r="D2687" s="42"/>
      <c r="E2687" s="16"/>
      <c r="F2687" s="42"/>
      <c r="G2687" s="42"/>
      <c r="DN2687" s="191"/>
    </row>
    <row r="2688">
      <c r="A2688" s="15"/>
      <c r="B2688" s="15"/>
      <c r="C2688" s="15"/>
      <c r="D2688" s="42"/>
      <c r="E2688" s="16"/>
      <c r="F2688" s="42"/>
      <c r="G2688" s="42"/>
      <c r="DN2688" s="191"/>
    </row>
    <row r="2689">
      <c r="A2689" s="15"/>
      <c r="B2689" s="15"/>
      <c r="C2689" s="15"/>
      <c r="D2689" s="42"/>
      <c r="E2689" s="16"/>
      <c r="F2689" s="42"/>
      <c r="G2689" s="42"/>
      <c r="DN2689" s="191"/>
    </row>
    <row r="2690">
      <c r="A2690" s="15"/>
      <c r="B2690" s="15"/>
      <c r="C2690" s="15"/>
      <c r="D2690" s="42"/>
      <c r="E2690" s="16"/>
      <c r="F2690" s="42"/>
      <c r="G2690" s="42"/>
      <c r="DN2690" s="191"/>
    </row>
    <row r="2691">
      <c r="A2691" s="15"/>
      <c r="B2691" s="15"/>
      <c r="C2691" s="15"/>
      <c r="D2691" s="42"/>
      <c r="E2691" s="16"/>
      <c r="F2691" s="42"/>
      <c r="G2691" s="42"/>
      <c r="DN2691" s="191"/>
    </row>
    <row r="2692">
      <c r="A2692" s="15"/>
      <c r="B2692" s="15"/>
      <c r="C2692" s="15"/>
      <c r="D2692" s="42"/>
      <c r="E2692" s="16"/>
      <c r="F2692" s="42"/>
      <c r="G2692" s="42"/>
      <c r="DN2692" s="191"/>
    </row>
    <row r="2693">
      <c r="A2693" s="15"/>
      <c r="B2693" s="15"/>
      <c r="C2693" s="15"/>
      <c r="D2693" s="42"/>
      <c r="E2693" s="16"/>
      <c r="F2693" s="42"/>
      <c r="G2693" s="42"/>
      <c r="DN2693" s="191"/>
    </row>
    <row r="2694">
      <c r="A2694" s="15"/>
      <c r="B2694" s="15"/>
      <c r="C2694" s="15"/>
      <c r="D2694" s="42"/>
      <c r="E2694" s="16"/>
      <c r="F2694" s="42"/>
      <c r="G2694" s="42"/>
      <c r="DN2694" s="191"/>
    </row>
    <row r="2695">
      <c r="A2695" s="15"/>
      <c r="B2695" s="15"/>
      <c r="C2695" s="15"/>
      <c r="D2695" s="42"/>
      <c r="E2695" s="16"/>
      <c r="F2695" s="42"/>
      <c r="G2695" s="42"/>
      <c r="DN2695" s="191"/>
    </row>
    <row r="2696">
      <c r="A2696" s="15"/>
      <c r="B2696" s="15"/>
      <c r="C2696" s="15"/>
      <c r="D2696" s="42"/>
      <c r="E2696" s="16"/>
      <c r="F2696" s="42"/>
      <c r="G2696" s="42"/>
      <c r="DN2696" s="191"/>
    </row>
    <row r="2697">
      <c r="A2697" s="15"/>
      <c r="B2697" s="15"/>
      <c r="C2697" s="15"/>
      <c r="D2697" s="42"/>
      <c r="E2697" s="16"/>
      <c r="F2697" s="42"/>
      <c r="G2697" s="42"/>
      <c r="DN2697" s="191"/>
    </row>
    <row r="2698">
      <c r="A2698" s="15"/>
      <c r="B2698" s="15"/>
      <c r="C2698" s="15"/>
      <c r="D2698" s="42"/>
      <c r="E2698" s="16"/>
      <c r="F2698" s="42"/>
      <c r="G2698" s="42"/>
      <c r="DN2698" s="191"/>
    </row>
    <row r="2699">
      <c r="A2699" s="15"/>
      <c r="B2699" s="15"/>
      <c r="C2699" s="15"/>
      <c r="D2699" s="42"/>
      <c r="E2699" s="16"/>
      <c r="F2699" s="42"/>
      <c r="G2699" s="42"/>
      <c r="DN2699" s="191"/>
    </row>
    <row r="2700">
      <c r="A2700" s="15"/>
      <c r="B2700" s="15"/>
      <c r="C2700" s="15"/>
      <c r="D2700" s="42"/>
      <c r="E2700" s="16"/>
      <c r="F2700" s="42"/>
      <c r="G2700" s="42"/>
      <c r="DN2700" s="191"/>
    </row>
    <row r="2701">
      <c r="A2701" s="15"/>
      <c r="B2701" s="15"/>
      <c r="C2701" s="15"/>
      <c r="D2701" s="42"/>
      <c r="E2701" s="16"/>
      <c r="F2701" s="42"/>
      <c r="G2701" s="42"/>
      <c r="DN2701" s="191"/>
    </row>
    <row r="2702">
      <c r="A2702" s="15"/>
      <c r="B2702" s="15"/>
      <c r="C2702" s="15"/>
      <c r="D2702" s="42"/>
      <c r="E2702" s="16"/>
      <c r="F2702" s="42"/>
      <c r="G2702" s="42"/>
      <c r="DN2702" s="191"/>
    </row>
    <row r="2703">
      <c r="A2703" s="15"/>
      <c r="B2703" s="15"/>
      <c r="C2703" s="15"/>
      <c r="D2703" s="42"/>
      <c r="E2703" s="16"/>
      <c r="F2703" s="42"/>
      <c r="G2703" s="42"/>
      <c r="DN2703" s="191"/>
    </row>
    <row r="2704">
      <c r="A2704" s="15"/>
      <c r="B2704" s="15"/>
      <c r="C2704" s="15"/>
      <c r="D2704" s="42"/>
      <c r="E2704" s="16"/>
      <c r="F2704" s="42"/>
      <c r="G2704" s="42"/>
      <c r="DN2704" s="191"/>
    </row>
    <row r="2705">
      <c r="A2705" s="15"/>
      <c r="B2705" s="15"/>
      <c r="C2705" s="15"/>
      <c r="D2705" s="42"/>
      <c r="E2705" s="16"/>
      <c r="F2705" s="42"/>
      <c r="G2705" s="42"/>
      <c r="DN2705" s="191"/>
    </row>
    <row r="2706">
      <c r="A2706" s="15"/>
      <c r="B2706" s="15"/>
      <c r="C2706" s="15"/>
      <c r="D2706" s="42"/>
      <c r="E2706" s="16"/>
      <c r="F2706" s="42"/>
      <c r="G2706" s="42"/>
      <c r="DN2706" s="191"/>
    </row>
    <row r="2707">
      <c r="A2707" s="15"/>
      <c r="B2707" s="15"/>
      <c r="C2707" s="15"/>
      <c r="D2707" s="42"/>
      <c r="E2707" s="16"/>
      <c r="F2707" s="42"/>
      <c r="G2707" s="42"/>
      <c r="DN2707" s="191"/>
    </row>
    <row r="2708">
      <c r="A2708" s="15"/>
      <c r="B2708" s="15"/>
      <c r="C2708" s="15"/>
      <c r="D2708" s="42"/>
      <c r="E2708" s="16"/>
      <c r="F2708" s="42"/>
      <c r="G2708" s="42"/>
      <c r="DN2708" s="191"/>
    </row>
    <row r="2709">
      <c r="A2709" s="15"/>
      <c r="B2709" s="15"/>
      <c r="C2709" s="15"/>
      <c r="D2709" s="42"/>
      <c r="E2709" s="16"/>
      <c r="F2709" s="42"/>
      <c r="G2709" s="42"/>
      <c r="DN2709" s="191"/>
    </row>
    <row r="2710">
      <c r="A2710" s="15"/>
      <c r="B2710" s="15"/>
      <c r="C2710" s="15"/>
      <c r="D2710" s="42"/>
      <c r="E2710" s="16"/>
      <c r="F2710" s="42"/>
      <c r="G2710" s="42"/>
      <c r="DN2710" s="191"/>
    </row>
    <row r="2711">
      <c r="A2711" s="15"/>
      <c r="B2711" s="15"/>
      <c r="C2711" s="15"/>
      <c r="D2711" s="42"/>
      <c r="E2711" s="16"/>
      <c r="F2711" s="42"/>
      <c r="G2711" s="42"/>
      <c r="DN2711" s="191"/>
    </row>
    <row r="2712">
      <c r="A2712" s="15"/>
      <c r="B2712" s="15"/>
      <c r="C2712" s="15"/>
      <c r="D2712" s="42"/>
      <c r="E2712" s="16"/>
      <c r="F2712" s="42"/>
      <c r="G2712" s="42"/>
      <c r="DN2712" s="191"/>
    </row>
    <row r="2713">
      <c r="A2713" s="15"/>
      <c r="B2713" s="15"/>
      <c r="C2713" s="15"/>
      <c r="D2713" s="42"/>
      <c r="E2713" s="16"/>
      <c r="F2713" s="42"/>
      <c r="G2713" s="42"/>
      <c r="DN2713" s="191"/>
    </row>
    <row r="2714">
      <c r="A2714" s="15"/>
      <c r="B2714" s="15"/>
      <c r="C2714" s="15"/>
      <c r="D2714" s="42"/>
      <c r="E2714" s="16"/>
      <c r="F2714" s="42"/>
      <c r="G2714" s="42"/>
      <c r="DN2714" s="191"/>
    </row>
    <row r="2715">
      <c r="A2715" s="15"/>
      <c r="B2715" s="15"/>
      <c r="C2715" s="15"/>
      <c r="D2715" s="42"/>
      <c r="E2715" s="16"/>
      <c r="F2715" s="42"/>
      <c r="G2715" s="42"/>
      <c r="DN2715" s="191"/>
    </row>
    <row r="2716">
      <c r="A2716" s="15"/>
      <c r="B2716" s="15"/>
      <c r="C2716" s="15"/>
      <c r="D2716" s="42"/>
      <c r="E2716" s="16"/>
      <c r="F2716" s="42"/>
      <c r="G2716" s="42"/>
      <c r="DN2716" s="191"/>
    </row>
    <row r="2717">
      <c r="A2717" s="15"/>
      <c r="B2717" s="15"/>
      <c r="C2717" s="15"/>
      <c r="D2717" s="42"/>
      <c r="E2717" s="16"/>
      <c r="F2717" s="42"/>
      <c r="G2717" s="42"/>
      <c r="DN2717" s="191"/>
    </row>
    <row r="2718">
      <c r="A2718" s="15"/>
      <c r="B2718" s="15"/>
      <c r="C2718" s="15"/>
      <c r="D2718" s="42"/>
      <c r="E2718" s="16"/>
      <c r="F2718" s="42"/>
      <c r="G2718" s="42"/>
      <c r="DN2718" s="191"/>
    </row>
    <row r="2719">
      <c r="A2719" s="15"/>
      <c r="B2719" s="15"/>
      <c r="C2719" s="15"/>
      <c r="D2719" s="42"/>
      <c r="E2719" s="16"/>
      <c r="F2719" s="42"/>
      <c r="G2719" s="42"/>
      <c r="DN2719" s="191"/>
    </row>
    <row r="2720">
      <c r="A2720" s="15"/>
      <c r="B2720" s="15"/>
      <c r="C2720" s="15"/>
      <c r="D2720" s="42"/>
      <c r="E2720" s="16"/>
      <c r="F2720" s="42"/>
      <c r="G2720" s="42"/>
      <c r="DN2720" s="191"/>
    </row>
    <row r="2721">
      <c r="A2721" s="15"/>
      <c r="B2721" s="15"/>
      <c r="C2721" s="15"/>
      <c r="D2721" s="42"/>
      <c r="E2721" s="16"/>
      <c r="F2721" s="42"/>
      <c r="G2721" s="42"/>
      <c r="DN2721" s="191"/>
    </row>
    <row r="2722">
      <c r="A2722" s="15"/>
      <c r="B2722" s="15"/>
      <c r="C2722" s="15"/>
      <c r="D2722" s="42"/>
      <c r="E2722" s="16"/>
      <c r="F2722" s="42"/>
      <c r="G2722" s="42"/>
      <c r="DN2722" s="191"/>
    </row>
    <row r="2723">
      <c r="A2723" s="15"/>
      <c r="B2723" s="15"/>
      <c r="C2723" s="15"/>
      <c r="D2723" s="42"/>
      <c r="E2723" s="16"/>
      <c r="F2723" s="42"/>
      <c r="G2723" s="42"/>
      <c r="DN2723" s="191"/>
    </row>
    <row r="2724">
      <c r="A2724" s="15"/>
      <c r="B2724" s="15"/>
      <c r="C2724" s="15"/>
      <c r="D2724" s="42"/>
      <c r="E2724" s="16"/>
      <c r="F2724" s="42"/>
      <c r="G2724" s="42"/>
      <c r="DN2724" s="191"/>
    </row>
    <row r="2725">
      <c r="A2725" s="15"/>
      <c r="B2725" s="15"/>
      <c r="C2725" s="15"/>
      <c r="D2725" s="42"/>
      <c r="E2725" s="16"/>
      <c r="F2725" s="42"/>
      <c r="G2725" s="42"/>
      <c r="DN2725" s="191"/>
    </row>
    <row r="2726">
      <c r="A2726" s="15"/>
      <c r="B2726" s="15"/>
      <c r="C2726" s="15"/>
      <c r="D2726" s="42"/>
      <c r="E2726" s="16"/>
      <c r="F2726" s="42"/>
      <c r="G2726" s="42"/>
      <c r="DN2726" s="191"/>
    </row>
    <row r="2727">
      <c r="A2727" s="15"/>
      <c r="B2727" s="15"/>
      <c r="C2727" s="15"/>
      <c r="D2727" s="42"/>
      <c r="E2727" s="16"/>
      <c r="F2727" s="42"/>
      <c r="G2727" s="42"/>
      <c r="DN2727" s="191"/>
    </row>
    <row r="2728">
      <c r="A2728" s="15"/>
      <c r="B2728" s="15"/>
      <c r="C2728" s="15"/>
      <c r="D2728" s="42"/>
      <c r="E2728" s="16"/>
      <c r="F2728" s="42"/>
      <c r="G2728" s="42"/>
      <c r="DN2728" s="191"/>
    </row>
    <row r="2729">
      <c r="A2729" s="15"/>
      <c r="B2729" s="15"/>
      <c r="C2729" s="15"/>
      <c r="D2729" s="42"/>
      <c r="E2729" s="16"/>
      <c r="F2729" s="42"/>
      <c r="G2729" s="42"/>
      <c r="DN2729" s="191"/>
    </row>
    <row r="2730">
      <c r="A2730" s="15"/>
      <c r="B2730" s="15"/>
      <c r="C2730" s="15"/>
      <c r="D2730" s="42"/>
      <c r="E2730" s="16"/>
      <c r="F2730" s="42"/>
      <c r="G2730" s="42"/>
      <c r="DN2730" s="191"/>
    </row>
    <row r="2731">
      <c r="A2731" s="15"/>
      <c r="B2731" s="15"/>
      <c r="C2731" s="15"/>
      <c r="D2731" s="42"/>
      <c r="E2731" s="16"/>
      <c r="F2731" s="42"/>
      <c r="G2731" s="42"/>
      <c r="DN2731" s="191"/>
    </row>
    <row r="2732">
      <c r="A2732" s="15"/>
      <c r="B2732" s="15"/>
      <c r="C2732" s="15"/>
      <c r="D2732" s="42"/>
      <c r="E2732" s="16"/>
      <c r="F2732" s="42"/>
      <c r="G2732" s="42"/>
      <c r="DN2732" s="191"/>
    </row>
    <row r="2733">
      <c r="A2733" s="15"/>
      <c r="B2733" s="15"/>
      <c r="C2733" s="15"/>
      <c r="D2733" s="42"/>
      <c r="E2733" s="16"/>
      <c r="F2733" s="42"/>
      <c r="G2733" s="42"/>
      <c r="DN2733" s="191"/>
    </row>
    <row r="2734">
      <c r="A2734" s="15"/>
      <c r="B2734" s="15"/>
      <c r="C2734" s="15"/>
      <c r="D2734" s="42"/>
      <c r="E2734" s="16"/>
      <c r="F2734" s="42"/>
      <c r="G2734" s="42"/>
      <c r="DN2734" s="191"/>
    </row>
    <row r="2735">
      <c r="A2735" s="15"/>
      <c r="B2735" s="15"/>
      <c r="C2735" s="15"/>
      <c r="D2735" s="42"/>
      <c r="E2735" s="16"/>
      <c r="F2735" s="42"/>
      <c r="G2735" s="42"/>
      <c r="DN2735" s="191"/>
    </row>
    <row r="2736">
      <c r="A2736" s="15"/>
      <c r="B2736" s="15"/>
      <c r="C2736" s="15"/>
      <c r="D2736" s="42"/>
      <c r="E2736" s="16"/>
      <c r="F2736" s="42"/>
      <c r="G2736" s="42"/>
      <c r="DN2736" s="191"/>
    </row>
    <row r="2737">
      <c r="A2737" s="15"/>
      <c r="B2737" s="15"/>
      <c r="C2737" s="15"/>
      <c r="D2737" s="42"/>
      <c r="E2737" s="16"/>
      <c r="F2737" s="42"/>
      <c r="G2737" s="42"/>
      <c r="DN2737" s="191"/>
    </row>
    <row r="2738">
      <c r="A2738" s="15"/>
      <c r="B2738" s="15"/>
      <c r="C2738" s="15"/>
      <c r="D2738" s="42"/>
      <c r="E2738" s="16"/>
      <c r="F2738" s="42"/>
      <c r="G2738" s="42"/>
      <c r="DN2738" s="191"/>
    </row>
    <row r="2739">
      <c r="A2739" s="15"/>
      <c r="B2739" s="15"/>
      <c r="C2739" s="15"/>
      <c r="D2739" s="42"/>
      <c r="E2739" s="16"/>
      <c r="F2739" s="42"/>
      <c r="G2739" s="42"/>
      <c r="DN2739" s="191"/>
    </row>
    <row r="2740">
      <c r="A2740" s="15"/>
      <c r="B2740" s="15"/>
      <c r="C2740" s="15"/>
      <c r="D2740" s="42"/>
      <c r="E2740" s="16"/>
      <c r="F2740" s="42"/>
      <c r="G2740" s="42"/>
      <c r="DN2740" s="191"/>
    </row>
    <row r="2741">
      <c r="A2741" s="15"/>
      <c r="B2741" s="15"/>
      <c r="C2741" s="15"/>
      <c r="D2741" s="42"/>
      <c r="E2741" s="16"/>
      <c r="F2741" s="42"/>
      <c r="G2741" s="42"/>
      <c r="DN2741" s="191"/>
    </row>
    <row r="2742">
      <c r="A2742" s="15"/>
      <c r="B2742" s="15"/>
      <c r="C2742" s="15"/>
      <c r="D2742" s="42"/>
      <c r="E2742" s="16"/>
      <c r="F2742" s="42"/>
      <c r="G2742" s="42"/>
      <c r="DN2742" s="191"/>
    </row>
    <row r="2743">
      <c r="A2743" s="15"/>
      <c r="B2743" s="15"/>
      <c r="C2743" s="15"/>
      <c r="D2743" s="42"/>
      <c r="E2743" s="16"/>
      <c r="F2743" s="42"/>
      <c r="G2743" s="42"/>
      <c r="DN2743" s="191"/>
    </row>
    <row r="2744">
      <c r="A2744" s="15"/>
      <c r="B2744" s="15"/>
      <c r="C2744" s="15"/>
      <c r="D2744" s="42"/>
      <c r="E2744" s="16"/>
      <c r="F2744" s="42"/>
      <c r="G2744" s="42"/>
      <c r="DN2744" s="191"/>
    </row>
    <row r="2745">
      <c r="A2745" s="15"/>
      <c r="B2745" s="15"/>
      <c r="C2745" s="15"/>
      <c r="D2745" s="42"/>
      <c r="E2745" s="16"/>
      <c r="F2745" s="42"/>
      <c r="G2745" s="42"/>
      <c r="DN2745" s="191"/>
    </row>
    <row r="2746">
      <c r="A2746" s="15"/>
      <c r="B2746" s="15"/>
      <c r="C2746" s="15"/>
      <c r="D2746" s="42"/>
      <c r="E2746" s="16"/>
      <c r="F2746" s="42"/>
      <c r="G2746" s="42"/>
      <c r="DN2746" s="191"/>
    </row>
    <row r="2747">
      <c r="A2747" s="15"/>
      <c r="B2747" s="15"/>
      <c r="C2747" s="15"/>
      <c r="D2747" s="42"/>
      <c r="E2747" s="16"/>
      <c r="F2747" s="42"/>
      <c r="G2747" s="42"/>
      <c r="DN2747" s="191"/>
    </row>
    <row r="2748">
      <c r="A2748" s="15"/>
      <c r="B2748" s="15"/>
      <c r="C2748" s="15"/>
      <c r="D2748" s="42"/>
      <c r="E2748" s="16"/>
      <c r="F2748" s="42"/>
      <c r="G2748" s="42"/>
      <c r="DN2748" s="191"/>
    </row>
    <row r="2749">
      <c r="A2749" s="15"/>
      <c r="B2749" s="15"/>
      <c r="C2749" s="15"/>
      <c r="D2749" s="42"/>
      <c r="E2749" s="16"/>
      <c r="F2749" s="42"/>
      <c r="G2749" s="42"/>
      <c r="DN2749" s="191"/>
    </row>
    <row r="2750">
      <c r="A2750" s="15"/>
      <c r="B2750" s="15"/>
      <c r="C2750" s="15"/>
      <c r="D2750" s="42"/>
      <c r="E2750" s="16"/>
      <c r="F2750" s="42"/>
      <c r="G2750" s="42"/>
      <c r="DN2750" s="191"/>
    </row>
    <row r="2751">
      <c r="A2751" s="15"/>
      <c r="B2751" s="15"/>
      <c r="C2751" s="15"/>
      <c r="D2751" s="42"/>
      <c r="E2751" s="16"/>
      <c r="F2751" s="42"/>
      <c r="G2751" s="42"/>
      <c r="DN2751" s="191"/>
    </row>
    <row r="2752">
      <c r="A2752" s="15"/>
      <c r="B2752" s="15"/>
      <c r="C2752" s="15"/>
      <c r="D2752" s="42"/>
      <c r="E2752" s="16"/>
      <c r="F2752" s="42"/>
      <c r="G2752" s="42"/>
      <c r="DN2752" s="191"/>
    </row>
    <row r="2753">
      <c r="A2753" s="15"/>
      <c r="B2753" s="15"/>
      <c r="C2753" s="15"/>
      <c r="D2753" s="42"/>
      <c r="E2753" s="16"/>
      <c r="F2753" s="42"/>
      <c r="G2753" s="42"/>
      <c r="DN2753" s="191"/>
    </row>
    <row r="2754">
      <c r="A2754" s="15"/>
      <c r="B2754" s="15"/>
      <c r="C2754" s="15"/>
      <c r="D2754" s="42"/>
      <c r="E2754" s="16"/>
      <c r="F2754" s="42"/>
      <c r="G2754" s="42"/>
      <c r="DN2754" s="191"/>
    </row>
    <row r="2755">
      <c r="A2755" s="15"/>
      <c r="B2755" s="15"/>
      <c r="C2755" s="15"/>
      <c r="D2755" s="42"/>
      <c r="E2755" s="16"/>
      <c r="F2755" s="42"/>
      <c r="G2755" s="42"/>
      <c r="DN2755" s="191"/>
    </row>
    <row r="2756">
      <c r="A2756" s="15"/>
      <c r="B2756" s="15"/>
      <c r="C2756" s="15"/>
      <c r="D2756" s="42"/>
      <c r="E2756" s="16"/>
      <c r="F2756" s="42"/>
      <c r="G2756" s="42"/>
      <c r="DN2756" s="191"/>
    </row>
    <row r="2757">
      <c r="A2757" s="15"/>
      <c r="B2757" s="15"/>
      <c r="C2757" s="15"/>
      <c r="D2757" s="42"/>
      <c r="E2757" s="16"/>
      <c r="F2757" s="42"/>
      <c r="G2757" s="42"/>
      <c r="DN2757" s="191"/>
    </row>
    <row r="2758">
      <c r="A2758" s="15"/>
      <c r="B2758" s="15"/>
      <c r="C2758" s="15"/>
      <c r="D2758" s="42"/>
      <c r="E2758" s="16"/>
      <c r="F2758" s="42"/>
      <c r="G2758" s="42"/>
      <c r="DN2758" s="191"/>
    </row>
    <row r="2759">
      <c r="A2759" s="15"/>
      <c r="B2759" s="15"/>
      <c r="C2759" s="15"/>
      <c r="D2759" s="42"/>
      <c r="E2759" s="16"/>
      <c r="F2759" s="42"/>
      <c r="G2759" s="42"/>
      <c r="DN2759" s="191"/>
    </row>
    <row r="2760">
      <c r="A2760" s="15"/>
      <c r="B2760" s="15"/>
      <c r="C2760" s="15"/>
      <c r="D2760" s="42"/>
      <c r="E2760" s="16"/>
      <c r="F2760" s="42"/>
      <c r="G2760" s="42"/>
      <c r="DN2760" s="191"/>
    </row>
    <row r="2761">
      <c r="A2761" s="15"/>
      <c r="B2761" s="15"/>
      <c r="C2761" s="15"/>
      <c r="D2761" s="42"/>
      <c r="E2761" s="16"/>
      <c r="F2761" s="42"/>
      <c r="G2761" s="42"/>
      <c r="DN2761" s="191"/>
    </row>
    <row r="2762">
      <c r="A2762" s="15"/>
      <c r="B2762" s="15"/>
      <c r="C2762" s="15"/>
      <c r="D2762" s="42"/>
      <c r="E2762" s="16"/>
      <c r="F2762" s="42"/>
      <c r="G2762" s="42"/>
      <c r="DN2762" s="191"/>
    </row>
    <row r="2763">
      <c r="A2763" s="15"/>
      <c r="B2763" s="15"/>
      <c r="C2763" s="15"/>
      <c r="D2763" s="42"/>
      <c r="E2763" s="16"/>
      <c r="F2763" s="42"/>
      <c r="G2763" s="42"/>
      <c r="DN2763" s="191"/>
    </row>
    <row r="2764">
      <c r="A2764" s="15"/>
      <c r="B2764" s="15"/>
      <c r="C2764" s="15"/>
      <c r="D2764" s="42"/>
      <c r="E2764" s="16"/>
      <c r="F2764" s="42"/>
      <c r="G2764" s="42"/>
      <c r="DN2764" s="191"/>
    </row>
    <row r="2765">
      <c r="A2765" s="15"/>
      <c r="B2765" s="15"/>
      <c r="C2765" s="15"/>
      <c r="D2765" s="42"/>
      <c r="E2765" s="16"/>
      <c r="F2765" s="42"/>
      <c r="G2765" s="42"/>
      <c r="DN2765" s="191"/>
    </row>
    <row r="2766">
      <c r="A2766" s="15"/>
      <c r="B2766" s="15"/>
      <c r="C2766" s="15"/>
      <c r="D2766" s="42"/>
      <c r="E2766" s="16"/>
      <c r="F2766" s="42"/>
      <c r="G2766" s="42"/>
      <c r="DN2766" s="191"/>
    </row>
    <row r="2767">
      <c r="A2767" s="15"/>
      <c r="B2767" s="15"/>
      <c r="C2767" s="15"/>
      <c r="D2767" s="42"/>
      <c r="E2767" s="16"/>
      <c r="F2767" s="42"/>
      <c r="G2767" s="42"/>
      <c r="DN2767" s="191"/>
    </row>
    <row r="2768">
      <c r="A2768" s="15"/>
      <c r="B2768" s="15"/>
      <c r="C2768" s="15"/>
      <c r="D2768" s="42"/>
      <c r="E2768" s="16"/>
      <c r="F2768" s="42"/>
      <c r="G2768" s="42"/>
      <c r="DN2768" s="191"/>
    </row>
    <row r="2769">
      <c r="A2769" s="15"/>
      <c r="B2769" s="15"/>
      <c r="C2769" s="15"/>
      <c r="D2769" s="42"/>
      <c r="E2769" s="16"/>
      <c r="F2769" s="42"/>
      <c r="G2769" s="42"/>
      <c r="DN2769" s="191"/>
    </row>
    <row r="2770">
      <c r="A2770" s="15"/>
      <c r="B2770" s="15"/>
      <c r="C2770" s="15"/>
      <c r="D2770" s="42"/>
      <c r="E2770" s="16"/>
      <c r="F2770" s="42"/>
      <c r="G2770" s="42"/>
      <c r="DN2770" s="191"/>
    </row>
    <row r="2771">
      <c r="A2771" s="15"/>
      <c r="B2771" s="15"/>
      <c r="C2771" s="15"/>
      <c r="D2771" s="42"/>
      <c r="E2771" s="16"/>
      <c r="F2771" s="42"/>
      <c r="G2771" s="42"/>
      <c r="DN2771" s="191"/>
    </row>
    <row r="2772">
      <c r="A2772" s="15"/>
      <c r="B2772" s="15"/>
      <c r="C2772" s="15"/>
      <c r="D2772" s="42"/>
      <c r="E2772" s="16"/>
      <c r="F2772" s="42"/>
      <c r="G2772" s="42"/>
      <c r="DN2772" s="191"/>
    </row>
    <row r="2773">
      <c r="A2773" s="15"/>
      <c r="B2773" s="15"/>
      <c r="C2773" s="15"/>
      <c r="D2773" s="42"/>
      <c r="E2773" s="16"/>
      <c r="F2773" s="42"/>
      <c r="G2773" s="42"/>
      <c r="DN2773" s="191"/>
    </row>
    <row r="2774">
      <c r="A2774" s="15"/>
      <c r="B2774" s="15"/>
      <c r="C2774" s="15"/>
      <c r="D2774" s="42"/>
      <c r="E2774" s="16"/>
      <c r="F2774" s="42"/>
      <c r="G2774" s="42"/>
      <c r="DN2774" s="191"/>
    </row>
    <row r="2775">
      <c r="A2775" s="15"/>
      <c r="B2775" s="15"/>
      <c r="C2775" s="15"/>
      <c r="D2775" s="42"/>
      <c r="E2775" s="16"/>
      <c r="F2775" s="42"/>
      <c r="G2775" s="42"/>
      <c r="DN2775" s="191"/>
    </row>
    <row r="2776">
      <c r="A2776" s="15"/>
      <c r="B2776" s="15"/>
      <c r="C2776" s="15"/>
      <c r="D2776" s="42"/>
      <c r="E2776" s="16"/>
      <c r="F2776" s="42"/>
      <c r="G2776" s="42"/>
      <c r="DN2776" s="191"/>
    </row>
    <row r="2777">
      <c r="A2777" s="15"/>
      <c r="B2777" s="15"/>
      <c r="C2777" s="15"/>
      <c r="D2777" s="42"/>
      <c r="E2777" s="16"/>
      <c r="F2777" s="42"/>
      <c r="G2777" s="42"/>
      <c r="DN2777" s="191"/>
    </row>
    <row r="2778">
      <c r="A2778" s="15"/>
      <c r="B2778" s="15"/>
      <c r="C2778" s="15"/>
      <c r="D2778" s="42"/>
      <c r="E2778" s="16"/>
      <c r="F2778" s="42"/>
      <c r="G2778" s="42"/>
      <c r="DN2778" s="191"/>
    </row>
    <row r="2779">
      <c r="A2779" s="15"/>
      <c r="B2779" s="15"/>
      <c r="C2779" s="15"/>
      <c r="D2779" s="42"/>
      <c r="E2779" s="16"/>
      <c r="F2779" s="42"/>
      <c r="G2779" s="42"/>
      <c r="DN2779" s="191"/>
    </row>
    <row r="2780">
      <c r="A2780" s="15"/>
      <c r="B2780" s="15"/>
      <c r="C2780" s="15"/>
      <c r="D2780" s="42"/>
      <c r="E2780" s="16"/>
      <c r="F2780" s="42"/>
      <c r="G2780" s="42"/>
      <c r="DN2780" s="191"/>
    </row>
    <row r="2781">
      <c r="A2781" s="15"/>
      <c r="B2781" s="15"/>
      <c r="C2781" s="15"/>
      <c r="D2781" s="42"/>
      <c r="E2781" s="16"/>
      <c r="F2781" s="42"/>
      <c r="G2781" s="42"/>
      <c r="DN2781" s="191"/>
    </row>
    <row r="2782">
      <c r="A2782" s="15"/>
      <c r="B2782" s="15"/>
      <c r="C2782" s="15"/>
      <c r="D2782" s="42"/>
      <c r="E2782" s="16"/>
      <c r="F2782" s="42"/>
      <c r="G2782" s="42"/>
      <c r="DN2782" s="191"/>
    </row>
    <row r="2783">
      <c r="A2783" s="15"/>
      <c r="B2783" s="15"/>
      <c r="C2783" s="15"/>
      <c r="D2783" s="42"/>
      <c r="E2783" s="16"/>
      <c r="F2783" s="42"/>
      <c r="G2783" s="42"/>
      <c r="DN2783" s="191"/>
    </row>
    <row r="2784">
      <c r="A2784" s="15"/>
      <c r="B2784" s="15"/>
      <c r="C2784" s="15"/>
      <c r="D2784" s="42"/>
      <c r="E2784" s="16"/>
      <c r="F2784" s="42"/>
      <c r="G2784" s="42"/>
      <c r="DN2784" s="191"/>
    </row>
    <row r="2785">
      <c r="A2785" s="15"/>
      <c r="B2785" s="15"/>
      <c r="C2785" s="15"/>
      <c r="D2785" s="42"/>
      <c r="E2785" s="16"/>
      <c r="F2785" s="42"/>
      <c r="G2785" s="42"/>
      <c r="DN2785" s="191"/>
    </row>
    <row r="2786">
      <c r="A2786" s="15"/>
      <c r="B2786" s="15"/>
      <c r="C2786" s="15"/>
      <c r="D2786" s="42"/>
      <c r="E2786" s="16"/>
      <c r="F2786" s="42"/>
      <c r="G2786" s="42"/>
      <c r="DN2786" s="191"/>
    </row>
    <row r="2787">
      <c r="A2787" s="15"/>
      <c r="B2787" s="15"/>
      <c r="C2787" s="15"/>
      <c r="D2787" s="42"/>
      <c r="E2787" s="16"/>
      <c r="F2787" s="42"/>
      <c r="G2787" s="42"/>
      <c r="DN2787" s="191"/>
    </row>
    <row r="2788">
      <c r="A2788" s="15"/>
      <c r="B2788" s="15"/>
      <c r="C2788" s="15"/>
      <c r="D2788" s="42"/>
      <c r="E2788" s="16"/>
      <c r="F2788" s="42"/>
      <c r="G2788" s="42"/>
      <c r="DN2788" s="191"/>
    </row>
    <row r="2789">
      <c r="A2789" s="15"/>
      <c r="B2789" s="15"/>
      <c r="C2789" s="15"/>
      <c r="D2789" s="42"/>
      <c r="E2789" s="16"/>
      <c r="F2789" s="42"/>
      <c r="G2789" s="42"/>
      <c r="DN2789" s="191"/>
    </row>
    <row r="2790">
      <c r="A2790" s="15"/>
      <c r="B2790" s="15"/>
      <c r="C2790" s="15"/>
      <c r="D2790" s="42"/>
      <c r="E2790" s="16"/>
      <c r="F2790" s="42"/>
      <c r="G2790" s="42"/>
      <c r="DN2790" s="191"/>
    </row>
    <row r="2791">
      <c r="A2791" s="15"/>
      <c r="B2791" s="15"/>
      <c r="C2791" s="15"/>
      <c r="D2791" s="42"/>
      <c r="E2791" s="16"/>
      <c r="F2791" s="42"/>
      <c r="G2791" s="42"/>
      <c r="DN2791" s="191"/>
    </row>
    <row r="2792">
      <c r="A2792" s="15"/>
      <c r="B2792" s="15"/>
      <c r="C2792" s="15"/>
      <c r="D2792" s="42"/>
      <c r="E2792" s="16"/>
      <c r="F2792" s="42"/>
      <c r="G2792" s="42"/>
      <c r="DN2792" s="191"/>
    </row>
    <row r="2793">
      <c r="A2793" s="15"/>
      <c r="B2793" s="15"/>
      <c r="C2793" s="15"/>
      <c r="D2793" s="42"/>
      <c r="E2793" s="16"/>
      <c r="F2793" s="42"/>
      <c r="G2793" s="42"/>
      <c r="DN2793" s="191"/>
    </row>
    <row r="2794">
      <c r="A2794" s="15"/>
      <c r="B2794" s="15"/>
      <c r="C2794" s="15"/>
      <c r="D2794" s="42"/>
      <c r="E2794" s="16"/>
      <c r="F2794" s="42"/>
      <c r="G2794" s="42"/>
      <c r="DN2794" s="191"/>
    </row>
    <row r="2795">
      <c r="A2795" s="15"/>
      <c r="B2795" s="15"/>
      <c r="C2795" s="15"/>
      <c r="D2795" s="42"/>
      <c r="E2795" s="16"/>
      <c r="F2795" s="42"/>
      <c r="G2795" s="42"/>
      <c r="DN2795" s="191"/>
    </row>
    <row r="2796">
      <c r="A2796" s="15"/>
      <c r="B2796" s="15"/>
      <c r="C2796" s="15"/>
      <c r="D2796" s="42"/>
      <c r="E2796" s="16"/>
      <c r="F2796" s="42"/>
      <c r="G2796" s="42"/>
      <c r="DN2796" s="191"/>
    </row>
    <row r="2797">
      <c r="A2797" s="15"/>
      <c r="B2797" s="15"/>
      <c r="C2797" s="15"/>
      <c r="D2797" s="42"/>
      <c r="E2797" s="16"/>
      <c r="F2797" s="42"/>
      <c r="G2797" s="42"/>
      <c r="DN2797" s="191"/>
    </row>
    <row r="2798">
      <c r="A2798" s="15"/>
      <c r="B2798" s="15"/>
      <c r="C2798" s="15"/>
      <c r="D2798" s="42"/>
      <c r="E2798" s="16"/>
      <c r="F2798" s="42"/>
      <c r="G2798" s="42"/>
      <c r="DN2798" s="191"/>
    </row>
    <row r="2799">
      <c r="A2799" s="15"/>
      <c r="B2799" s="15"/>
      <c r="C2799" s="15"/>
      <c r="D2799" s="42"/>
      <c r="E2799" s="16"/>
      <c r="F2799" s="42"/>
      <c r="G2799" s="42"/>
      <c r="DN2799" s="191"/>
    </row>
    <row r="2800">
      <c r="A2800" s="15"/>
      <c r="B2800" s="15"/>
      <c r="C2800" s="15"/>
      <c r="D2800" s="42"/>
      <c r="E2800" s="16"/>
      <c r="F2800" s="42"/>
      <c r="G2800" s="42"/>
      <c r="DN2800" s="191"/>
    </row>
    <row r="2801">
      <c r="A2801" s="15"/>
      <c r="B2801" s="15"/>
      <c r="C2801" s="15"/>
      <c r="D2801" s="42"/>
      <c r="E2801" s="16"/>
      <c r="F2801" s="42"/>
      <c r="G2801" s="42"/>
      <c r="DN2801" s="191"/>
    </row>
    <row r="2802">
      <c r="A2802" s="15"/>
      <c r="B2802" s="15"/>
      <c r="C2802" s="15"/>
      <c r="D2802" s="42"/>
      <c r="E2802" s="16"/>
      <c r="F2802" s="42"/>
      <c r="G2802" s="42"/>
      <c r="DN2802" s="191"/>
    </row>
    <row r="2803">
      <c r="A2803" s="15"/>
      <c r="B2803" s="15"/>
      <c r="C2803" s="15"/>
      <c r="D2803" s="42"/>
      <c r="E2803" s="16"/>
      <c r="F2803" s="42"/>
      <c r="G2803" s="42"/>
      <c r="DN2803" s="191"/>
    </row>
    <row r="2804">
      <c r="A2804" s="15"/>
      <c r="B2804" s="15"/>
      <c r="C2804" s="15"/>
      <c r="D2804" s="42"/>
      <c r="E2804" s="16"/>
      <c r="F2804" s="42"/>
      <c r="G2804" s="42"/>
      <c r="DN2804" s="191"/>
    </row>
    <row r="2805">
      <c r="A2805" s="15"/>
      <c r="B2805" s="15"/>
      <c r="C2805" s="15"/>
      <c r="D2805" s="42"/>
      <c r="E2805" s="16"/>
      <c r="F2805" s="42"/>
      <c r="G2805" s="42"/>
      <c r="DN2805" s="191"/>
    </row>
    <row r="2806">
      <c r="A2806" s="15"/>
      <c r="B2806" s="15"/>
      <c r="C2806" s="15"/>
      <c r="D2806" s="42"/>
      <c r="E2806" s="16"/>
      <c r="F2806" s="42"/>
      <c r="G2806" s="42"/>
      <c r="DN2806" s="191"/>
    </row>
    <row r="2807">
      <c r="A2807" s="15"/>
      <c r="B2807" s="15"/>
      <c r="C2807" s="15"/>
      <c r="D2807" s="42"/>
      <c r="E2807" s="16"/>
      <c r="F2807" s="42"/>
      <c r="G2807" s="42"/>
      <c r="DN2807" s="191"/>
    </row>
    <row r="2808">
      <c r="A2808" s="15"/>
      <c r="B2808" s="15"/>
      <c r="C2808" s="15"/>
      <c r="D2808" s="42"/>
      <c r="E2808" s="16"/>
      <c r="F2808" s="42"/>
      <c r="G2808" s="42"/>
      <c r="DN2808" s="191"/>
    </row>
    <row r="2809">
      <c r="A2809" s="15"/>
      <c r="B2809" s="15"/>
      <c r="C2809" s="15"/>
      <c r="D2809" s="42"/>
      <c r="E2809" s="16"/>
      <c r="F2809" s="42"/>
      <c r="G2809" s="42"/>
      <c r="DN2809" s="191"/>
    </row>
    <row r="2810">
      <c r="A2810" s="15"/>
      <c r="B2810" s="15"/>
      <c r="C2810" s="15"/>
      <c r="D2810" s="42"/>
      <c r="E2810" s="16"/>
      <c r="F2810" s="42"/>
      <c r="G2810" s="42"/>
      <c r="DN2810" s="191"/>
    </row>
    <row r="2811">
      <c r="A2811" s="15"/>
      <c r="B2811" s="15"/>
      <c r="C2811" s="15"/>
      <c r="D2811" s="42"/>
      <c r="E2811" s="16"/>
      <c r="F2811" s="42"/>
      <c r="G2811" s="42"/>
      <c r="DN2811" s="191"/>
    </row>
    <row r="2812">
      <c r="A2812" s="15"/>
      <c r="B2812" s="15"/>
      <c r="C2812" s="15"/>
      <c r="D2812" s="42"/>
      <c r="E2812" s="16"/>
      <c r="F2812" s="42"/>
      <c r="G2812" s="42"/>
      <c r="DN2812" s="191"/>
    </row>
    <row r="2813">
      <c r="A2813" s="15"/>
      <c r="B2813" s="15"/>
      <c r="C2813" s="15"/>
      <c r="D2813" s="42"/>
      <c r="E2813" s="16"/>
      <c r="F2813" s="42"/>
      <c r="G2813" s="42"/>
      <c r="DN2813" s="191"/>
    </row>
    <row r="2814">
      <c r="A2814" s="15"/>
      <c r="B2814" s="15"/>
      <c r="C2814" s="15"/>
      <c r="D2814" s="42"/>
      <c r="E2814" s="16"/>
      <c r="F2814" s="42"/>
      <c r="G2814" s="42"/>
      <c r="DN2814" s="191"/>
    </row>
    <row r="2815">
      <c r="A2815" s="15"/>
      <c r="B2815" s="15"/>
      <c r="C2815" s="15"/>
      <c r="D2815" s="42"/>
      <c r="E2815" s="16"/>
      <c r="F2815" s="42"/>
      <c r="G2815" s="42"/>
      <c r="DN2815" s="191"/>
    </row>
    <row r="2816">
      <c r="A2816" s="15"/>
      <c r="B2816" s="15"/>
      <c r="C2816" s="15"/>
      <c r="D2816" s="42"/>
      <c r="E2816" s="16"/>
      <c r="F2816" s="42"/>
      <c r="G2816" s="42"/>
      <c r="DN2816" s="191"/>
    </row>
    <row r="2817">
      <c r="A2817" s="15"/>
      <c r="B2817" s="15"/>
      <c r="C2817" s="15"/>
      <c r="D2817" s="42"/>
      <c r="E2817" s="16"/>
      <c r="F2817" s="42"/>
      <c r="G2817" s="42"/>
      <c r="DN2817" s="191"/>
    </row>
    <row r="2818">
      <c r="A2818" s="15"/>
      <c r="B2818" s="15"/>
      <c r="C2818" s="15"/>
      <c r="D2818" s="42"/>
      <c r="E2818" s="16"/>
      <c r="F2818" s="42"/>
      <c r="G2818" s="42"/>
      <c r="DN2818" s="191"/>
    </row>
    <row r="2819">
      <c r="A2819" s="15"/>
      <c r="B2819" s="15"/>
      <c r="C2819" s="15"/>
      <c r="D2819" s="42"/>
      <c r="E2819" s="16"/>
      <c r="F2819" s="42"/>
      <c r="G2819" s="42"/>
      <c r="DN2819" s="191"/>
    </row>
    <row r="2820">
      <c r="A2820" s="15"/>
      <c r="B2820" s="15"/>
      <c r="C2820" s="15"/>
      <c r="D2820" s="42"/>
      <c r="E2820" s="16"/>
      <c r="F2820" s="42"/>
      <c r="G2820" s="42"/>
      <c r="DN2820" s="191"/>
    </row>
    <row r="2821">
      <c r="A2821" s="15"/>
      <c r="B2821" s="15"/>
      <c r="C2821" s="15"/>
      <c r="D2821" s="42"/>
      <c r="E2821" s="16"/>
      <c r="F2821" s="42"/>
      <c r="G2821" s="42"/>
      <c r="DN2821" s="191"/>
    </row>
    <row r="2822">
      <c r="A2822" s="15"/>
      <c r="B2822" s="15"/>
      <c r="C2822" s="15"/>
      <c r="D2822" s="42"/>
      <c r="E2822" s="16"/>
      <c r="F2822" s="42"/>
      <c r="G2822" s="42"/>
      <c r="DN2822" s="191"/>
    </row>
    <row r="2823">
      <c r="A2823" s="15"/>
      <c r="B2823" s="15"/>
      <c r="C2823" s="15"/>
      <c r="D2823" s="42"/>
      <c r="E2823" s="16"/>
      <c r="F2823" s="42"/>
      <c r="G2823" s="42"/>
      <c r="DN2823" s="191"/>
    </row>
    <row r="2824">
      <c r="A2824" s="15"/>
      <c r="B2824" s="15"/>
      <c r="C2824" s="15"/>
      <c r="D2824" s="42"/>
      <c r="E2824" s="16"/>
      <c r="F2824" s="42"/>
      <c r="G2824" s="42"/>
      <c r="DN2824" s="191"/>
    </row>
    <row r="2825">
      <c r="A2825" s="15"/>
      <c r="B2825" s="15"/>
      <c r="C2825" s="15"/>
      <c r="D2825" s="42"/>
      <c r="E2825" s="16"/>
      <c r="F2825" s="42"/>
      <c r="G2825" s="42"/>
      <c r="DN2825" s="191"/>
    </row>
    <row r="2826">
      <c r="A2826" s="15"/>
      <c r="B2826" s="15"/>
      <c r="C2826" s="15"/>
      <c r="D2826" s="42"/>
      <c r="E2826" s="16"/>
      <c r="F2826" s="42"/>
      <c r="G2826" s="42"/>
      <c r="DN2826" s="191"/>
    </row>
    <row r="2827">
      <c r="A2827" s="15"/>
      <c r="B2827" s="15"/>
      <c r="C2827" s="15"/>
      <c r="D2827" s="42"/>
      <c r="E2827" s="16"/>
      <c r="F2827" s="42"/>
      <c r="G2827" s="42"/>
      <c r="DN2827" s="191"/>
    </row>
    <row r="2828">
      <c r="A2828" s="15"/>
      <c r="B2828" s="15"/>
      <c r="C2828" s="15"/>
      <c r="D2828" s="42"/>
      <c r="E2828" s="16"/>
      <c r="F2828" s="42"/>
      <c r="G2828" s="42"/>
      <c r="DN2828" s="191"/>
    </row>
    <row r="2829">
      <c r="A2829" s="15"/>
      <c r="B2829" s="15"/>
      <c r="C2829" s="15"/>
      <c r="D2829" s="42"/>
      <c r="E2829" s="16"/>
      <c r="F2829" s="42"/>
      <c r="G2829" s="42"/>
      <c r="DN2829" s="191"/>
    </row>
    <row r="2830">
      <c r="A2830" s="15"/>
      <c r="B2830" s="15"/>
      <c r="C2830" s="15"/>
      <c r="D2830" s="42"/>
      <c r="E2830" s="16"/>
      <c r="F2830" s="42"/>
      <c r="G2830" s="42"/>
      <c r="DN2830" s="191"/>
    </row>
    <row r="2831">
      <c r="A2831" s="15"/>
      <c r="B2831" s="15"/>
      <c r="C2831" s="15"/>
      <c r="D2831" s="42"/>
      <c r="E2831" s="16"/>
      <c r="F2831" s="42"/>
      <c r="G2831" s="42"/>
      <c r="DN2831" s="191"/>
    </row>
    <row r="2832">
      <c r="A2832" s="15"/>
      <c r="B2832" s="15"/>
      <c r="C2832" s="15"/>
      <c r="D2832" s="42"/>
      <c r="E2832" s="16"/>
      <c r="F2832" s="42"/>
      <c r="G2832" s="42"/>
      <c r="DN2832" s="191"/>
    </row>
    <row r="2833">
      <c r="A2833" s="15"/>
      <c r="B2833" s="15"/>
      <c r="C2833" s="15"/>
      <c r="D2833" s="42"/>
      <c r="E2833" s="16"/>
      <c r="F2833" s="42"/>
      <c r="G2833" s="42"/>
      <c r="DN2833" s="191"/>
    </row>
    <row r="2834">
      <c r="A2834" s="15"/>
      <c r="B2834" s="15"/>
      <c r="C2834" s="15"/>
      <c r="D2834" s="42"/>
      <c r="E2834" s="16"/>
      <c r="F2834" s="42"/>
      <c r="G2834" s="42"/>
      <c r="DN2834" s="191"/>
    </row>
    <row r="2835">
      <c r="A2835" s="15"/>
      <c r="B2835" s="15"/>
      <c r="C2835" s="15"/>
      <c r="D2835" s="42"/>
      <c r="E2835" s="16"/>
      <c r="F2835" s="42"/>
      <c r="G2835" s="42"/>
      <c r="DN2835" s="191"/>
    </row>
    <row r="2836">
      <c r="A2836" s="15"/>
      <c r="B2836" s="15"/>
      <c r="C2836" s="15"/>
      <c r="D2836" s="42"/>
      <c r="E2836" s="16"/>
      <c r="F2836" s="42"/>
      <c r="G2836" s="42"/>
      <c r="DN2836" s="191"/>
    </row>
    <row r="2837">
      <c r="A2837" s="15"/>
      <c r="B2837" s="15"/>
      <c r="C2837" s="15"/>
      <c r="D2837" s="42"/>
      <c r="E2837" s="16"/>
      <c r="F2837" s="42"/>
      <c r="G2837" s="42"/>
      <c r="DN2837" s="191"/>
    </row>
    <row r="2838">
      <c r="A2838" s="15"/>
      <c r="B2838" s="15"/>
      <c r="C2838" s="15"/>
      <c r="D2838" s="42"/>
      <c r="E2838" s="16"/>
      <c r="F2838" s="42"/>
      <c r="G2838" s="42"/>
      <c r="DN2838" s="191"/>
    </row>
    <row r="2839">
      <c r="A2839" s="15"/>
      <c r="B2839" s="15"/>
      <c r="C2839" s="15"/>
      <c r="D2839" s="42"/>
      <c r="E2839" s="16"/>
      <c r="F2839" s="42"/>
      <c r="G2839" s="42"/>
      <c r="DN2839" s="191"/>
    </row>
    <row r="2840">
      <c r="A2840" s="15"/>
      <c r="B2840" s="15"/>
      <c r="C2840" s="15"/>
      <c r="D2840" s="42"/>
      <c r="E2840" s="16"/>
      <c r="F2840" s="42"/>
      <c r="G2840" s="42"/>
      <c r="DN2840" s="191"/>
    </row>
    <row r="2841">
      <c r="A2841" s="15"/>
      <c r="B2841" s="15"/>
      <c r="C2841" s="15"/>
      <c r="D2841" s="42"/>
      <c r="E2841" s="16"/>
      <c r="F2841" s="42"/>
      <c r="G2841" s="42"/>
      <c r="DN2841" s="191"/>
    </row>
    <row r="2842">
      <c r="A2842" s="15"/>
      <c r="B2842" s="15"/>
      <c r="C2842" s="15"/>
      <c r="D2842" s="42"/>
      <c r="E2842" s="16"/>
      <c r="F2842" s="42"/>
      <c r="G2842" s="42"/>
      <c r="DN2842" s="191"/>
    </row>
    <row r="2843">
      <c r="A2843" s="15"/>
      <c r="B2843" s="15"/>
      <c r="C2843" s="15"/>
      <c r="D2843" s="42"/>
      <c r="E2843" s="16"/>
      <c r="F2843" s="42"/>
      <c r="G2843" s="42"/>
      <c r="DN2843" s="191"/>
    </row>
    <row r="2844">
      <c r="A2844" s="15"/>
      <c r="B2844" s="15"/>
      <c r="C2844" s="15"/>
      <c r="D2844" s="42"/>
      <c r="E2844" s="16"/>
      <c r="F2844" s="42"/>
      <c r="G2844" s="42"/>
      <c r="DN2844" s="191"/>
    </row>
    <row r="2845">
      <c r="A2845" s="15"/>
      <c r="B2845" s="15"/>
      <c r="C2845" s="15"/>
      <c r="D2845" s="42"/>
      <c r="E2845" s="16"/>
      <c r="F2845" s="42"/>
      <c r="G2845" s="42"/>
      <c r="DN2845" s="191"/>
    </row>
    <row r="2846">
      <c r="A2846" s="15"/>
      <c r="B2846" s="15"/>
      <c r="C2846" s="15"/>
      <c r="D2846" s="42"/>
      <c r="E2846" s="16"/>
      <c r="F2846" s="42"/>
      <c r="G2846" s="42"/>
      <c r="DN2846" s="191"/>
    </row>
    <row r="2847">
      <c r="A2847" s="15"/>
      <c r="B2847" s="15"/>
      <c r="C2847" s="15"/>
      <c r="D2847" s="42"/>
      <c r="E2847" s="16"/>
      <c r="F2847" s="42"/>
      <c r="G2847" s="42"/>
      <c r="DN2847" s="191"/>
    </row>
    <row r="2848">
      <c r="A2848" s="15"/>
      <c r="B2848" s="15"/>
      <c r="C2848" s="15"/>
      <c r="D2848" s="42"/>
      <c r="E2848" s="16"/>
      <c r="F2848" s="42"/>
      <c r="G2848" s="42"/>
      <c r="DN2848" s="191"/>
    </row>
    <row r="2849">
      <c r="A2849" s="15"/>
      <c r="B2849" s="15"/>
      <c r="C2849" s="15"/>
      <c r="D2849" s="42"/>
      <c r="E2849" s="16"/>
      <c r="F2849" s="42"/>
      <c r="G2849" s="42"/>
      <c r="DN2849" s="191"/>
    </row>
    <row r="2850">
      <c r="A2850" s="15"/>
      <c r="B2850" s="15"/>
      <c r="C2850" s="15"/>
      <c r="D2850" s="42"/>
      <c r="E2850" s="16"/>
      <c r="F2850" s="42"/>
      <c r="G2850" s="42"/>
      <c r="DN2850" s="191"/>
    </row>
    <row r="2851">
      <c r="A2851" s="15"/>
      <c r="B2851" s="15"/>
      <c r="C2851" s="15"/>
      <c r="D2851" s="42"/>
      <c r="E2851" s="16"/>
      <c r="F2851" s="42"/>
      <c r="G2851" s="42"/>
      <c r="DN2851" s="191"/>
    </row>
    <row r="2852">
      <c r="A2852" s="15"/>
      <c r="B2852" s="15"/>
      <c r="C2852" s="15"/>
      <c r="D2852" s="42"/>
      <c r="E2852" s="16"/>
      <c r="F2852" s="42"/>
      <c r="G2852" s="42"/>
      <c r="DN2852" s="191"/>
    </row>
    <row r="2853">
      <c r="A2853" s="15"/>
      <c r="B2853" s="15"/>
      <c r="C2853" s="15"/>
      <c r="D2853" s="42"/>
      <c r="E2853" s="16"/>
      <c r="F2853" s="42"/>
      <c r="G2853" s="42"/>
      <c r="DN2853" s="191"/>
    </row>
    <row r="2854">
      <c r="A2854" s="15"/>
      <c r="B2854" s="15"/>
      <c r="C2854" s="15"/>
      <c r="D2854" s="42"/>
      <c r="E2854" s="16"/>
      <c r="F2854" s="42"/>
      <c r="G2854" s="42"/>
      <c r="DN2854" s="191"/>
    </row>
    <row r="2855">
      <c r="A2855" s="15"/>
      <c r="B2855" s="15"/>
      <c r="C2855" s="15"/>
      <c r="D2855" s="42"/>
      <c r="E2855" s="16"/>
      <c r="F2855" s="42"/>
      <c r="G2855" s="42"/>
      <c r="DN2855" s="191"/>
    </row>
    <row r="2856">
      <c r="A2856" s="15"/>
      <c r="B2856" s="15"/>
      <c r="C2856" s="15"/>
      <c r="D2856" s="42"/>
      <c r="E2856" s="16"/>
      <c r="F2856" s="42"/>
      <c r="G2856" s="42"/>
      <c r="DN2856" s="191"/>
    </row>
    <row r="2857">
      <c r="A2857" s="15"/>
      <c r="B2857" s="15"/>
      <c r="C2857" s="15"/>
      <c r="D2857" s="42"/>
      <c r="E2857" s="16"/>
      <c r="F2857" s="42"/>
      <c r="G2857" s="42"/>
      <c r="DN2857" s="191"/>
    </row>
    <row r="2858">
      <c r="A2858" s="15"/>
      <c r="B2858" s="15"/>
      <c r="C2858" s="15"/>
      <c r="D2858" s="42"/>
      <c r="E2858" s="16"/>
      <c r="F2858" s="42"/>
      <c r="G2858" s="42"/>
      <c r="DN2858" s="191"/>
    </row>
    <row r="2859">
      <c r="A2859" s="15"/>
      <c r="B2859" s="15"/>
      <c r="C2859" s="15"/>
      <c r="D2859" s="42"/>
      <c r="E2859" s="16"/>
      <c r="F2859" s="42"/>
      <c r="G2859" s="42"/>
      <c r="DN2859" s="191"/>
    </row>
    <row r="2860">
      <c r="A2860" s="15"/>
      <c r="B2860" s="15"/>
      <c r="C2860" s="15"/>
      <c r="D2860" s="42"/>
      <c r="E2860" s="16"/>
      <c r="F2860" s="42"/>
      <c r="G2860" s="42"/>
      <c r="DN2860" s="191"/>
    </row>
    <row r="2861">
      <c r="A2861" s="15"/>
      <c r="B2861" s="15"/>
      <c r="C2861" s="15"/>
      <c r="D2861" s="42"/>
      <c r="E2861" s="16"/>
      <c r="F2861" s="42"/>
      <c r="G2861" s="42"/>
      <c r="DN2861" s="191"/>
    </row>
    <row r="2862">
      <c r="A2862" s="15"/>
      <c r="B2862" s="15"/>
      <c r="C2862" s="15"/>
      <c r="D2862" s="42"/>
      <c r="E2862" s="16"/>
      <c r="F2862" s="42"/>
      <c r="G2862" s="42"/>
      <c r="DN2862" s="191"/>
    </row>
    <row r="2863">
      <c r="A2863" s="15"/>
      <c r="B2863" s="15"/>
      <c r="C2863" s="15"/>
      <c r="D2863" s="42"/>
      <c r="E2863" s="16"/>
      <c r="F2863" s="42"/>
      <c r="G2863" s="42"/>
      <c r="DN2863" s="191"/>
    </row>
    <row r="2864">
      <c r="A2864" s="15"/>
      <c r="B2864" s="15"/>
      <c r="C2864" s="15"/>
      <c r="D2864" s="42"/>
      <c r="E2864" s="16"/>
      <c r="F2864" s="42"/>
      <c r="G2864" s="42"/>
      <c r="DN2864" s="191"/>
    </row>
    <row r="2865">
      <c r="A2865" s="15"/>
      <c r="B2865" s="15"/>
      <c r="C2865" s="15"/>
      <c r="D2865" s="42"/>
      <c r="E2865" s="16"/>
      <c r="F2865" s="42"/>
      <c r="G2865" s="42"/>
      <c r="DN2865" s="191"/>
    </row>
    <row r="2866">
      <c r="A2866" s="15"/>
      <c r="B2866" s="15"/>
      <c r="C2866" s="15"/>
      <c r="D2866" s="42"/>
      <c r="E2866" s="16"/>
      <c r="F2866" s="42"/>
      <c r="G2866" s="42"/>
      <c r="DN2866" s="191"/>
    </row>
    <row r="2867">
      <c r="A2867" s="15"/>
      <c r="B2867" s="15"/>
      <c r="C2867" s="15"/>
      <c r="D2867" s="42"/>
      <c r="E2867" s="16"/>
      <c r="F2867" s="42"/>
      <c r="G2867" s="42"/>
      <c r="DN2867" s="191"/>
    </row>
    <row r="2868">
      <c r="A2868" s="15"/>
      <c r="B2868" s="15"/>
      <c r="C2868" s="15"/>
      <c r="D2868" s="42"/>
      <c r="E2868" s="16"/>
      <c r="F2868" s="42"/>
      <c r="G2868" s="42"/>
      <c r="DN2868" s="191"/>
    </row>
    <row r="2869">
      <c r="A2869" s="15"/>
      <c r="B2869" s="15"/>
      <c r="C2869" s="15"/>
      <c r="D2869" s="42"/>
      <c r="E2869" s="16"/>
      <c r="F2869" s="42"/>
      <c r="G2869" s="42"/>
      <c r="DN2869" s="191"/>
    </row>
    <row r="2870">
      <c r="A2870" s="15"/>
      <c r="B2870" s="15"/>
      <c r="C2870" s="15"/>
      <c r="D2870" s="42"/>
      <c r="E2870" s="16"/>
      <c r="F2870" s="42"/>
      <c r="G2870" s="42"/>
      <c r="DN2870" s="191"/>
    </row>
    <row r="2871">
      <c r="A2871" s="15"/>
      <c r="B2871" s="15"/>
      <c r="C2871" s="15"/>
      <c r="D2871" s="42"/>
      <c r="E2871" s="16"/>
      <c r="F2871" s="42"/>
      <c r="G2871" s="42"/>
      <c r="DN2871" s="191"/>
    </row>
    <row r="2872">
      <c r="A2872" s="15"/>
      <c r="B2872" s="15"/>
      <c r="C2872" s="15"/>
      <c r="D2872" s="42"/>
      <c r="E2872" s="16"/>
      <c r="F2872" s="42"/>
      <c r="G2872" s="42"/>
      <c r="DN2872" s="191"/>
    </row>
    <row r="2873">
      <c r="A2873" s="15"/>
      <c r="B2873" s="15"/>
      <c r="C2873" s="15"/>
      <c r="D2873" s="42"/>
      <c r="E2873" s="16"/>
      <c r="F2873" s="42"/>
      <c r="G2873" s="42"/>
      <c r="DN2873" s="191"/>
    </row>
    <row r="2874">
      <c r="A2874" s="15"/>
      <c r="B2874" s="15"/>
      <c r="C2874" s="15"/>
      <c r="D2874" s="42"/>
      <c r="E2874" s="16"/>
      <c r="F2874" s="42"/>
      <c r="G2874" s="42"/>
      <c r="DN2874" s="191"/>
    </row>
    <row r="2875">
      <c r="A2875" s="15"/>
      <c r="B2875" s="15"/>
      <c r="C2875" s="15"/>
      <c r="D2875" s="42"/>
      <c r="E2875" s="16"/>
      <c r="F2875" s="42"/>
      <c r="G2875" s="42"/>
      <c r="DN2875" s="191"/>
    </row>
    <row r="2876">
      <c r="A2876" s="15"/>
      <c r="B2876" s="15"/>
      <c r="C2876" s="15"/>
      <c r="D2876" s="42"/>
      <c r="E2876" s="16"/>
      <c r="F2876" s="42"/>
      <c r="G2876" s="42"/>
      <c r="DN2876" s="191"/>
    </row>
    <row r="2877">
      <c r="A2877" s="15"/>
      <c r="B2877" s="15"/>
      <c r="C2877" s="15"/>
      <c r="D2877" s="42"/>
      <c r="E2877" s="16"/>
      <c r="F2877" s="42"/>
      <c r="G2877" s="42"/>
      <c r="DN2877" s="191"/>
    </row>
    <row r="2878">
      <c r="A2878" s="15"/>
      <c r="B2878" s="15"/>
      <c r="C2878" s="15"/>
      <c r="D2878" s="42"/>
      <c r="E2878" s="16"/>
      <c r="F2878" s="42"/>
      <c r="G2878" s="42"/>
      <c r="DN2878" s="191"/>
    </row>
    <row r="2879">
      <c r="A2879" s="15"/>
      <c r="B2879" s="15"/>
      <c r="C2879" s="15"/>
      <c r="D2879" s="42"/>
      <c r="E2879" s="16"/>
      <c r="F2879" s="42"/>
      <c r="G2879" s="42"/>
      <c r="DN2879" s="191"/>
    </row>
    <row r="2880">
      <c r="A2880" s="15"/>
      <c r="B2880" s="15"/>
      <c r="C2880" s="15"/>
      <c r="D2880" s="42"/>
      <c r="E2880" s="16"/>
      <c r="F2880" s="42"/>
      <c r="G2880" s="42"/>
      <c r="DN2880" s="191"/>
    </row>
    <row r="2881">
      <c r="A2881" s="15"/>
      <c r="B2881" s="15"/>
      <c r="C2881" s="15"/>
      <c r="D2881" s="42"/>
      <c r="E2881" s="16"/>
      <c r="F2881" s="42"/>
      <c r="G2881" s="42"/>
      <c r="DN2881" s="191"/>
    </row>
    <row r="2882">
      <c r="A2882" s="15"/>
      <c r="B2882" s="15"/>
      <c r="C2882" s="15"/>
      <c r="D2882" s="42"/>
      <c r="E2882" s="16"/>
      <c r="F2882" s="42"/>
      <c r="G2882" s="42"/>
      <c r="DN2882" s="191"/>
    </row>
    <row r="2883">
      <c r="A2883" s="15"/>
      <c r="B2883" s="15"/>
      <c r="C2883" s="15"/>
      <c r="D2883" s="42"/>
      <c r="E2883" s="16"/>
      <c r="F2883" s="42"/>
      <c r="G2883" s="42"/>
      <c r="DN2883" s="191"/>
    </row>
    <row r="2884">
      <c r="A2884" s="15"/>
      <c r="B2884" s="15"/>
      <c r="C2884" s="15"/>
      <c r="D2884" s="42"/>
      <c r="E2884" s="16"/>
      <c r="F2884" s="42"/>
      <c r="G2884" s="42"/>
      <c r="DN2884" s="191"/>
    </row>
    <row r="2885">
      <c r="A2885" s="15"/>
      <c r="B2885" s="15"/>
      <c r="C2885" s="15"/>
      <c r="D2885" s="42"/>
      <c r="E2885" s="16"/>
      <c r="F2885" s="42"/>
      <c r="G2885" s="42"/>
      <c r="DN2885" s="191"/>
    </row>
    <row r="2886">
      <c r="A2886" s="15"/>
      <c r="B2886" s="15"/>
      <c r="C2886" s="15"/>
      <c r="D2886" s="42"/>
      <c r="E2886" s="16"/>
      <c r="F2886" s="42"/>
      <c r="G2886" s="42"/>
      <c r="DN2886" s="191"/>
    </row>
    <row r="2887">
      <c r="A2887" s="15"/>
      <c r="B2887" s="15"/>
      <c r="C2887" s="15"/>
      <c r="D2887" s="42"/>
      <c r="E2887" s="16"/>
      <c r="F2887" s="42"/>
      <c r="G2887" s="42"/>
      <c r="DN2887" s="191"/>
    </row>
    <row r="2888">
      <c r="A2888" s="15"/>
      <c r="B2888" s="15"/>
      <c r="C2888" s="15"/>
      <c r="D2888" s="42"/>
      <c r="E2888" s="16"/>
      <c r="F2888" s="42"/>
      <c r="G2888" s="42"/>
      <c r="DN2888" s="191"/>
    </row>
    <row r="2889">
      <c r="A2889" s="15"/>
      <c r="B2889" s="15"/>
      <c r="C2889" s="15"/>
      <c r="D2889" s="42"/>
      <c r="E2889" s="16"/>
      <c r="F2889" s="42"/>
      <c r="G2889" s="42"/>
      <c r="DN2889" s="191"/>
    </row>
    <row r="2890">
      <c r="A2890" s="15"/>
      <c r="B2890" s="15"/>
      <c r="C2890" s="15"/>
      <c r="D2890" s="42"/>
      <c r="E2890" s="16"/>
      <c r="F2890" s="42"/>
      <c r="G2890" s="42"/>
      <c r="DN2890" s="191"/>
    </row>
    <row r="2891">
      <c r="A2891" s="15"/>
      <c r="B2891" s="15"/>
      <c r="C2891" s="15"/>
      <c r="D2891" s="42"/>
      <c r="E2891" s="16"/>
      <c r="F2891" s="42"/>
      <c r="G2891" s="42"/>
      <c r="DN2891" s="191"/>
    </row>
    <row r="2892">
      <c r="A2892" s="15"/>
      <c r="B2892" s="15"/>
      <c r="C2892" s="15"/>
      <c r="D2892" s="42"/>
      <c r="E2892" s="16"/>
      <c r="F2892" s="42"/>
      <c r="G2892" s="42"/>
      <c r="DN2892" s="191"/>
    </row>
    <row r="2893">
      <c r="A2893" s="15"/>
      <c r="B2893" s="15"/>
      <c r="C2893" s="15"/>
      <c r="D2893" s="42"/>
      <c r="E2893" s="16"/>
      <c r="F2893" s="42"/>
      <c r="G2893" s="42"/>
      <c r="DN2893" s="191"/>
    </row>
    <row r="2894">
      <c r="A2894" s="15"/>
      <c r="B2894" s="15"/>
      <c r="C2894" s="15"/>
      <c r="D2894" s="42"/>
      <c r="E2894" s="16"/>
      <c r="F2894" s="42"/>
      <c r="G2894" s="42"/>
      <c r="DN2894" s="191"/>
    </row>
    <row r="2895">
      <c r="A2895" s="15"/>
      <c r="B2895" s="15"/>
      <c r="C2895" s="15"/>
      <c r="D2895" s="42"/>
      <c r="E2895" s="16"/>
      <c r="F2895" s="42"/>
      <c r="G2895" s="42"/>
      <c r="DN2895" s="191"/>
    </row>
    <row r="2896">
      <c r="A2896" s="15"/>
      <c r="B2896" s="15"/>
      <c r="C2896" s="15"/>
      <c r="D2896" s="42"/>
      <c r="E2896" s="16"/>
      <c r="F2896" s="42"/>
      <c r="G2896" s="42"/>
      <c r="DN2896" s="191"/>
    </row>
    <row r="2897">
      <c r="A2897" s="15"/>
      <c r="B2897" s="15"/>
      <c r="C2897" s="15"/>
      <c r="D2897" s="42"/>
      <c r="E2897" s="16"/>
      <c r="F2897" s="42"/>
      <c r="G2897" s="42"/>
      <c r="DN2897" s="191"/>
    </row>
    <row r="2898">
      <c r="A2898" s="15"/>
      <c r="B2898" s="15"/>
      <c r="C2898" s="15"/>
      <c r="D2898" s="42"/>
      <c r="E2898" s="16"/>
      <c r="F2898" s="42"/>
      <c r="G2898" s="42"/>
      <c r="DN2898" s="191"/>
    </row>
    <row r="2899">
      <c r="A2899" s="15"/>
      <c r="B2899" s="15"/>
      <c r="C2899" s="15"/>
      <c r="D2899" s="42"/>
      <c r="E2899" s="16"/>
      <c r="F2899" s="42"/>
      <c r="G2899" s="42"/>
      <c r="DN2899" s="191"/>
    </row>
    <row r="2900">
      <c r="A2900" s="15"/>
      <c r="B2900" s="15"/>
      <c r="C2900" s="15"/>
      <c r="D2900" s="42"/>
      <c r="E2900" s="16"/>
      <c r="F2900" s="42"/>
      <c r="G2900" s="42"/>
      <c r="DN2900" s="191"/>
    </row>
    <row r="2901">
      <c r="A2901" s="15"/>
      <c r="B2901" s="15"/>
      <c r="C2901" s="15"/>
      <c r="D2901" s="42"/>
      <c r="E2901" s="16"/>
      <c r="F2901" s="42"/>
      <c r="G2901" s="42"/>
      <c r="DN2901" s="191"/>
    </row>
    <row r="2902">
      <c r="A2902" s="15"/>
      <c r="B2902" s="15"/>
      <c r="C2902" s="15"/>
      <c r="D2902" s="42"/>
      <c r="E2902" s="16"/>
      <c r="F2902" s="42"/>
      <c r="G2902" s="42"/>
      <c r="DN2902" s="191"/>
    </row>
    <row r="2903">
      <c r="A2903" s="15"/>
      <c r="B2903" s="15"/>
      <c r="C2903" s="15"/>
      <c r="D2903" s="42"/>
      <c r="E2903" s="16"/>
      <c r="F2903" s="42"/>
      <c r="G2903" s="42"/>
      <c r="DN2903" s="191"/>
    </row>
    <row r="2904">
      <c r="A2904" s="15"/>
      <c r="B2904" s="15"/>
      <c r="C2904" s="15"/>
      <c r="D2904" s="42"/>
      <c r="E2904" s="16"/>
      <c r="F2904" s="42"/>
      <c r="G2904" s="42"/>
      <c r="DN2904" s="191"/>
    </row>
    <row r="2905">
      <c r="A2905" s="15"/>
      <c r="B2905" s="15"/>
      <c r="C2905" s="15"/>
      <c r="D2905" s="42"/>
      <c r="E2905" s="16"/>
      <c r="F2905" s="42"/>
      <c r="G2905" s="42"/>
      <c r="DN2905" s="191"/>
    </row>
    <row r="2906">
      <c r="A2906" s="15"/>
      <c r="B2906" s="15"/>
      <c r="C2906" s="15"/>
      <c r="D2906" s="42"/>
      <c r="E2906" s="16"/>
      <c r="F2906" s="42"/>
      <c r="G2906" s="42"/>
      <c r="DN2906" s="191"/>
    </row>
    <row r="2907">
      <c r="A2907" s="15"/>
      <c r="B2907" s="15"/>
      <c r="C2907" s="15"/>
      <c r="D2907" s="42"/>
      <c r="E2907" s="16"/>
      <c r="F2907" s="42"/>
      <c r="G2907" s="42"/>
      <c r="DN2907" s="191"/>
    </row>
    <row r="2908">
      <c r="A2908" s="15"/>
      <c r="B2908" s="15"/>
      <c r="C2908" s="15"/>
      <c r="D2908" s="42"/>
      <c r="E2908" s="16"/>
      <c r="F2908" s="42"/>
      <c r="G2908" s="42"/>
      <c r="DN2908" s="191"/>
    </row>
    <row r="2909">
      <c r="A2909" s="15"/>
      <c r="B2909" s="15"/>
      <c r="C2909" s="15"/>
      <c r="D2909" s="42"/>
      <c r="E2909" s="16"/>
      <c r="F2909" s="42"/>
      <c r="G2909" s="42"/>
      <c r="DN2909" s="191"/>
    </row>
    <row r="2910">
      <c r="A2910" s="15"/>
      <c r="B2910" s="15"/>
      <c r="C2910" s="15"/>
      <c r="D2910" s="42"/>
      <c r="E2910" s="16"/>
      <c r="F2910" s="42"/>
      <c r="G2910" s="42"/>
      <c r="DN2910" s="191"/>
    </row>
    <row r="2911">
      <c r="A2911" s="15"/>
      <c r="B2911" s="15"/>
      <c r="C2911" s="15"/>
      <c r="D2911" s="42"/>
      <c r="E2911" s="16"/>
      <c r="F2911" s="42"/>
      <c r="G2911" s="42"/>
      <c r="DN2911" s="191"/>
    </row>
    <row r="2912">
      <c r="A2912" s="15"/>
      <c r="B2912" s="15"/>
      <c r="C2912" s="15"/>
      <c r="D2912" s="42"/>
      <c r="E2912" s="16"/>
      <c r="F2912" s="42"/>
      <c r="G2912" s="42"/>
      <c r="DN2912" s="191"/>
    </row>
    <row r="2913">
      <c r="A2913" s="15"/>
      <c r="B2913" s="15"/>
      <c r="C2913" s="15"/>
      <c r="D2913" s="42"/>
      <c r="E2913" s="16"/>
      <c r="F2913" s="42"/>
      <c r="G2913" s="42"/>
      <c r="DN2913" s="191"/>
    </row>
    <row r="2914">
      <c r="A2914" s="15"/>
      <c r="B2914" s="15"/>
      <c r="C2914" s="15"/>
      <c r="D2914" s="42"/>
      <c r="E2914" s="16"/>
      <c r="F2914" s="42"/>
      <c r="G2914" s="42"/>
      <c r="DN2914" s="191"/>
    </row>
    <row r="2915">
      <c r="A2915" s="15"/>
      <c r="B2915" s="15"/>
      <c r="C2915" s="15"/>
      <c r="D2915" s="42"/>
      <c r="E2915" s="16"/>
      <c r="F2915" s="42"/>
      <c r="G2915" s="42"/>
      <c r="DN2915" s="191"/>
    </row>
    <row r="2916">
      <c r="A2916" s="15"/>
      <c r="B2916" s="15"/>
      <c r="C2916" s="15"/>
      <c r="D2916" s="42"/>
      <c r="E2916" s="16"/>
      <c r="F2916" s="42"/>
      <c r="G2916" s="42"/>
      <c r="DN2916" s="191"/>
    </row>
    <row r="2917">
      <c r="A2917" s="15"/>
      <c r="B2917" s="15"/>
      <c r="C2917" s="15"/>
      <c r="D2917" s="42"/>
      <c r="E2917" s="16"/>
      <c r="F2917" s="42"/>
      <c r="G2917" s="42"/>
      <c r="DN2917" s="191"/>
    </row>
    <row r="2918">
      <c r="A2918" s="15"/>
      <c r="B2918" s="15"/>
      <c r="C2918" s="15"/>
      <c r="D2918" s="42"/>
      <c r="E2918" s="16"/>
      <c r="F2918" s="42"/>
      <c r="G2918" s="42"/>
      <c r="DN2918" s="191"/>
    </row>
    <row r="2919">
      <c r="A2919" s="15"/>
      <c r="B2919" s="15"/>
      <c r="C2919" s="15"/>
      <c r="D2919" s="42"/>
      <c r="E2919" s="16"/>
      <c r="F2919" s="42"/>
      <c r="G2919" s="42"/>
      <c r="DN2919" s="191"/>
    </row>
    <row r="2920">
      <c r="A2920" s="15"/>
      <c r="B2920" s="15"/>
      <c r="C2920" s="15"/>
      <c r="D2920" s="42"/>
      <c r="E2920" s="16"/>
      <c r="F2920" s="42"/>
      <c r="G2920" s="42"/>
      <c r="DN2920" s="191"/>
    </row>
    <row r="2921">
      <c r="A2921" s="15"/>
      <c r="B2921" s="15"/>
      <c r="C2921" s="15"/>
      <c r="D2921" s="42"/>
      <c r="E2921" s="16"/>
      <c r="F2921" s="42"/>
      <c r="G2921" s="42"/>
      <c r="DN2921" s="191"/>
    </row>
    <row r="2922">
      <c r="A2922" s="15"/>
      <c r="B2922" s="15"/>
      <c r="C2922" s="15"/>
      <c r="D2922" s="42"/>
      <c r="E2922" s="16"/>
      <c r="F2922" s="42"/>
      <c r="G2922" s="42"/>
      <c r="DN2922" s="191"/>
    </row>
    <row r="2923">
      <c r="A2923" s="15"/>
      <c r="B2923" s="15"/>
      <c r="C2923" s="15"/>
      <c r="D2923" s="42"/>
      <c r="E2923" s="16"/>
      <c r="F2923" s="42"/>
      <c r="G2923" s="42"/>
      <c r="DN2923" s="191"/>
    </row>
    <row r="2924">
      <c r="A2924" s="15"/>
      <c r="B2924" s="15"/>
      <c r="C2924" s="15"/>
      <c r="D2924" s="42"/>
      <c r="E2924" s="16"/>
      <c r="F2924" s="42"/>
      <c r="G2924" s="42"/>
      <c r="DN2924" s="191"/>
    </row>
    <row r="2925">
      <c r="A2925" s="15"/>
      <c r="B2925" s="15"/>
      <c r="C2925" s="15"/>
      <c r="D2925" s="42"/>
      <c r="E2925" s="16"/>
      <c r="F2925" s="42"/>
      <c r="G2925" s="42"/>
      <c r="DN2925" s="191"/>
    </row>
    <row r="2926">
      <c r="A2926" s="15"/>
      <c r="B2926" s="15"/>
      <c r="C2926" s="15"/>
      <c r="D2926" s="42"/>
      <c r="E2926" s="16"/>
      <c r="F2926" s="42"/>
      <c r="G2926" s="42"/>
      <c r="DN2926" s="191"/>
    </row>
    <row r="2927">
      <c r="A2927" s="15"/>
      <c r="B2927" s="15"/>
      <c r="C2927" s="15"/>
      <c r="D2927" s="42"/>
      <c r="E2927" s="16"/>
      <c r="F2927" s="42"/>
      <c r="G2927" s="42"/>
      <c r="DN2927" s="191"/>
    </row>
    <row r="2928">
      <c r="A2928" s="15"/>
      <c r="B2928" s="15"/>
      <c r="C2928" s="15"/>
      <c r="D2928" s="42"/>
      <c r="E2928" s="16"/>
      <c r="F2928" s="42"/>
      <c r="G2928" s="42"/>
      <c r="DN2928" s="191"/>
    </row>
    <row r="2929">
      <c r="A2929" s="15"/>
      <c r="B2929" s="15"/>
      <c r="C2929" s="15"/>
      <c r="D2929" s="42"/>
      <c r="E2929" s="16"/>
      <c r="F2929" s="42"/>
      <c r="G2929" s="42"/>
      <c r="DN2929" s="191"/>
    </row>
    <row r="2930">
      <c r="A2930" s="15"/>
      <c r="B2930" s="15"/>
      <c r="C2930" s="15"/>
      <c r="D2930" s="42"/>
      <c r="E2930" s="16"/>
      <c r="F2930" s="42"/>
      <c r="G2930" s="42"/>
      <c r="DN2930" s="191"/>
    </row>
    <row r="2931">
      <c r="A2931" s="15"/>
      <c r="B2931" s="15"/>
      <c r="C2931" s="15"/>
      <c r="D2931" s="42"/>
      <c r="E2931" s="16"/>
      <c r="F2931" s="42"/>
      <c r="G2931" s="42"/>
      <c r="DN2931" s="191"/>
    </row>
    <row r="2932">
      <c r="A2932" s="15"/>
      <c r="B2932" s="15"/>
      <c r="C2932" s="15"/>
      <c r="D2932" s="42"/>
      <c r="E2932" s="16"/>
      <c r="F2932" s="42"/>
      <c r="G2932" s="42"/>
      <c r="DN2932" s="191"/>
    </row>
    <row r="2933">
      <c r="A2933" s="15"/>
      <c r="B2933" s="15"/>
      <c r="C2933" s="15"/>
      <c r="D2933" s="42"/>
      <c r="E2933" s="16"/>
      <c r="F2933" s="42"/>
      <c r="G2933" s="42"/>
      <c r="DN2933" s="191"/>
    </row>
    <row r="2934">
      <c r="A2934" s="15"/>
      <c r="B2934" s="15"/>
      <c r="C2934" s="15"/>
      <c r="D2934" s="42"/>
      <c r="E2934" s="16"/>
      <c r="F2934" s="42"/>
      <c r="G2934" s="42"/>
      <c r="DN2934" s="191"/>
    </row>
    <row r="2935">
      <c r="A2935" s="15"/>
      <c r="B2935" s="15"/>
      <c r="C2935" s="15"/>
      <c r="D2935" s="42"/>
      <c r="E2935" s="16"/>
      <c r="F2935" s="42"/>
      <c r="G2935" s="42"/>
      <c r="DN2935" s="191"/>
    </row>
    <row r="2936">
      <c r="A2936" s="15"/>
      <c r="B2936" s="15"/>
      <c r="C2936" s="15"/>
      <c r="D2936" s="42"/>
      <c r="E2936" s="16"/>
      <c r="F2936" s="42"/>
      <c r="G2936" s="42"/>
      <c r="DN2936" s="191"/>
    </row>
    <row r="2937">
      <c r="A2937" s="15"/>
      <c r="B2937" s="15"/>
      <c r="C2937" s="15"/>
      <c r="D2937" s="42"/>
      <c r="E2937" s="16"/>
      <c r="F2937" s="42"/>
      <c r="G2937" s="42"/>
      <c r="DN2937" s="191"/>
    </row>
    <row r="2938">
      <c r="A2938" s="15"/>
      <c r="B2938" s="15"/>
      <c r="C2938" s="15"/>
      <c r="D2938" s="42"/>
      <c r="E2938" s="16"/>
      <c r="F2938" s="42"/>
      <c r="G2938" s="42"/>
      <c r="DN2938" s="191"/>
    </row>
    <row r="2939">
      <c r="A2939" s="15"/>
      <c r="B2939" s="15"/>
      <c r="C2939" s="15"/>
      <c r="D2939" s="42"/>
      <c r="E2939" s="16"/>
      <c r="F2939" s="42"/>
      <c r="G2939" s="42"/>
      <c r="DN2939" s="191"/>
    </row>
    <row r="2940">
      <c r="A2940" s="15"/>
      <c r="B2940" s="15"/>
      <c r="C2940" s="15"/>
      <c r="D2940" s="42"/>
      <c r="E2940" s="16"/>
      <c r="F2940" s="42"/>
      <c r="G2940" s="42"/>
      <c r="DN2940" s="191"/>
    </row>
    <row r="2941">
      <c r="A2941" s="15"/>
      <c r="B2941" s="15"/>
      <c r="C2941" s="15"/>
      <c r="D2941" s="42"/>
      <c r="E2941" s="16"/>
      <c r="F2941" s="42"/>
      <c r="G2941" s="42"/>
      <c r="DN2941" s="191"/>
    </row>
    <row r="2942">
      <c r="A2942" s="15"/>
      <c r="B2942" s="15"/>
      <c r="C2942" s="15"/>
      <c r="D2942" s="42"/>
      <c r="E2942" s="16"/>
      <c r="F2942" s="42"/>
      <c r="G2942" s="42"/>
      <c r="DN2942" s="191"/>
    </row>
    <row r="2943">
      <c r="A2943" s="15"/>
      <c r="B2943" s="15"/>
      <c r="C2943" s="15"/>
      <c r="D2943" s="42"/>
      <c r="E2943" s="16"/>
      <c r="F2943" s="42"/>
      <c r="G2943" s="42"/>
      <c r="DN2943" s="191"/>
    </row>
    <row r="2944">
      <c r="A2944" s="15"/>
      <c r="B2944" s="15"/>
      <c r="C2944" s="15"/>
      <c r="D2944" s="42"/>
      <c r="E2944" s="16"/>
      <c r="F2944" s="42"/>
      <c r="G2944" s="42"/>
      <c r="DN2944" s="191"/>
    </row>
    <row r="2945">
      <c r="A2945" s="15"/>
      <c r="B2945" s="15"/>
      <c r="C2945" s="15"/>
      <c r="D2945" s="42"/>
      <c r="E2945" s="16"/>
      <c r="F2945" s="42"/>
      <c r="G2945" s="42"/>
      <c r="DN2945" s="191"/>
    </row>
    <row r="2946">
      <c r="A2946" s="15"/>
      <c r="B2946" s="15"/>
      <c r="C2946" s="15"/>
      <c r="D2946" s="42"/>
      <c r="E2946" s="16"/>
      <c r="F2946" s="42"/>
      <c r="G2946" s="42"/>
      <c r="DN2946" s="191"/>
    </row>
    <row r="2947">
      <c r="A2947" s="15"/>
      <c r="B2947" s="15"/>
      <c r="C2947" s="15"/>
      <c r="D2947" s="42"/>
      <c r="E2947" s="16"/>
      <c r="F2947" s="42"/>
      <c r="G2947" s="42"/>
      <c r="DN2947" s="191"/>
    </row>
    <row r="2948">
      <c r="A2948" s="15"/>
      <c r="B2948" s="15"/>
      <c r="C2948" s="15"/>
      <c r="D2948" s="42"/>
      <c r="E2948" s="16"/>
      <c r="F2948" s="42"/>
      <c r="G2948" s="42"/>
      <c r="DN2948" s="191"/>
    </row>
    <row r="2949">
      <c r="A2949" s="15"/>
      <c r="B2949" s="15"/>
      <c r="C2949" s="15"/>
      <c r="D2949" s="42"/>
      <c r="E2949" s="16"/>
      <c r="F2949" s="42"/>
      <c r="G2949" s="42"/>
      <c r="DN2949" s="191"/>
    </row>
    <row r="2950">
      <c r="A2950" s="15"/>
      <c r="B2950" s="15"/>
      <c r="C2950" s="15"/>
      <c r="D2950" s="42"/>
      <c r="E2950" s="16"/>
      <c r="F2950" s="42"/>
      <c r="G2950" s="42"/>
      <c r="DN2950" s="191"/>
    </row>
    <row r="2951">
      <c r="A2951" s="15"/>
      <c r="B2951" s="15"/>
      <c r="C2951" s="15"/>
      <c r="D2951" s="42"/>
      <c r="E2951" s="16"/>
      <c r="F2951" s="42"/>
      <c r="G2951" s="42"/>
      <c r="DN2951" s="191"/>
    </row>
    <row r="2952">
      <c r="A2952" s="15"/>
      <c r="B2952" s="15"/>
      <c r="C2952" s="15"/>
      <c r="D2952" s="42"/>
      <c r="E2952" s="16"/>
      <c r="F2952" s="42"/>
      <c r="G2952" s="42"/>
      <c r="DN2952" s="191"/>
    </row>
    <row r="2953">
      <c r="A2953" s="15"/>
      <c r="B2953" s="15"/>
      <c r="C2953" s="15"/>
      <c r="D2953" s="42"/>
      <c r="E2953" s="16"/>
      <c r="F2953" s="42"/>
      <c r="G2953" s="42"/>
      <c r="DN2953" s="191"/>
    </row>
    <row r="2954">
      <c r="A2954" s="15"/>
      <c r="B2954" s="15"/>
      <c r="C2954" s="15"/>
      <c r="D2954" s="42"/>
      <c r="E2954" s="16"/>
      <c r="F2954" s="42"/>
      <c r="G2954" s="42"/>
      <c r="DN2954" s="191"/>
    </row>
    <row r="2955">
      <c r="A2955" s="15"/>
      <c r="B2955" s="15"/>
      <c r="C2955" s="15"/>
      <c r="D2955" s="42"/>
      <c r="E2955" s="16"/>
      <c r="F2955" s="42"/>
      <c r="G2955" s="42"/>
      <c r="DN2955" s="191"/>
    </row>
    <row r="2956">
      <c r="A2956" s="15"/>
      <c r="B2956" s="15"/>
      <c r="C2956" s="15"/>
      <c r="D2956" s="42"/>
      <c r="E2956" s="16"/>
      <c r="F2956" s="42"/>
      <c r="G2956" s="42"/>
      <c r="DN2956" s="191"/>
    </row>
    <row r="2957">
      <c r="A2957" s="15"/>
      <c r="B2957" s="15"/>
      <c r="C2957" s="15"/>
      <c r="D2957" s="42"/>
      <c r="E2957" s="16"/>
      <c r="F2957" s="42"/>
      <c r="G2957" s="42"/>
      <c r="DN2957" s="191"/>
    </row>
    <row r="2958">
      <c r="A2958" s="15"/>
      <c r="B2958" s="15"/>
      <c r="C2958" s="15"/>
      <c r="D2958" s="42"/>
      <c r="E2958" s="16"/>
      <c r="F2958" s="42"/>
      <c r="G2958" s="42"/>
      <c r="DN2958" s="191"/>
    </row>
    <row r="2959">
      <c r="A2959" s="15"/>
      <c r="B2959" s="15"/>
      <c r="C2959" s="15"/>
      <c r="D2959" s="42"/>
      <c r="E2959" s="16"/>
      <c r="F2959" s="42"/>
      <c r="G2959" s="42"/>
      <c r="DN2959" s="191"/>
    </row>
    <row r="2960">
      <c r="A2960" s="15"/>
      <c r="B2960" s="15"/>
      <c r="C2960" s="15"/>
      <c r="D2960" s="42"/>
      <c r="E2960" s="16"/>
      <c r="F2960" s="42"/>
      <c r="G2960" s="42"/>
      <c r="DN2960" s="191"/>
    </row>
    <row r="2961">
      <c r="A2961" s="15"/>
      <c r="B2961" s="15"/>
      <c r="C2961" s="15"/>
      <c r="D2961" s="42"/>
      <c r="E2961" s="16"/>
      <c r="F2961" s="42"/>
      <c r="G2961" s="42"/>
      <c r="DN2961" s="191"/>
    </row>
    <row r="2962">
      <c r="A2962" s="15"/>
      <c r="B2962" s="15"/>
      <c r="C2962" s="15"/>
      <c r="D2962" s="42"/>
      <c r="E2962" s="16"/>
      <c r="F2962" s="42"/>
      <c r="G2962" s="42"/>
      <c r="DN2962" s="191"/>
    </row>
    <row r="2963">
      <c r="A2963" s="15"/>
      <c r="B2963" s="15"/>
      <c r="C2963" s="15"/>
      <c r="D2963" s="42"/>
      <c r="E2963" s="16"/>
      <c r="F2963" s="42"/>
      <c r="G2963" s="42"/>
      <c r="DN2963" s="191"/>
    </row>
    <row r="2964">
      <c r="A2964" s="15"/>
      <c r="B2964" s="15"/>
      <c r="C2964" s="15"/>
      <c r="D2964" s="42"/>
      <c r="E2964" s="16"/>
      <c r="F2964" s="42"/>
      <c r="G2964" s="42"/>
      <c r="DN2964" s="191"/>
    </row>
    <row r="2965">
      <c r="A2965" s="15"/>
      <c r="B2965" s="15"/>
      <c r="C2965" s="15"/>
      <c r="D2965" s="42"/>
      <c r="E2965" s="16"/>
      <c r="F2965" s="42"/>
      <c r="G2965" s="42"/>
      <c r="DN2965" s="191"/>
    </row>
    <row r="2966">
      <c r="A2966" s="15"/>
      <c r="B2966" s="15"/>
      <c r="C2966" s="15"/>
      <c r="D2966" s="42"/>
      <c r="E2966" s="16"/>
      <c r="F2966" s="42"/>
      <c r="G2966" s="42"/>
      <c r="DN2966" s="191"/>
    </row>
    <row r="2967">
      <c r="A2967" s="15"/>
      <c r="B2967" s="15"/>
      <c r="C2967" s="15"/>
      <c r="D2967" s="42"/>
      <c r="E2967" s="16"/>
      <c r="F2967" s="42"/>
      <c r="G2967" s="42"/>
      <c r="DN2967" s="191"/>
    </row>
    <row r="2968">
      <c r="A2968" s="15"/>
      <c r="B2968" s="15"/>
      <c r="C2968" s="15"/>
      <c r="D2968" s="42"/>
      <c r="E2968" s="16"/>
      <c r="F2968" s="42"/>
      <c r="G2968" s="42"/>
      <c r="DN2968" s="191"/>
    </row>
    <row r="2969">
      <c r="A2969" s="15"/>
      <c r="B2969" s="15"/>
      <c r="C2969" s="15"/>
      <c r="D2969" s="42"/>
      <c r="E2969" s="16"/>
      <c r="F2969" s="42"/>
      <c r="G2969" s="42"/>
      <c r="DN2969" s="191"/>
    </row>
    <row r="2970">
      <c r="A2970" s="15"/>
      <c r="B2970" s="15"/>
      <c r="C2970" s="15"/>
      <c r="D2970" s="42"/>
      <c r="E2970" s="16"/>
      <c r="F2970" s="42"/>
      <c r="G2970" s="42"/>
      <c r="DN2970" s="191"/>
    </row>
    <row r="2971">
      <c r="A2971" s="15"/>
      <c r="B2971" s="15"/>
      <c r="C2971" s="15"/>
      <c r="D2971" s="42"/>
      <c r="E2971" s="16"/>
      <c r="F2971" s="42"/>
      <c r="G2971" s="42"/>
      <c r="DN2971" s="191"/>
    </row>
    <row r="2972">
      <c r="A2972" s="15"/>
      <c r="B2972" s="15"/>
      <c r="C2972" s="15"/>
      <c r="D2972" s="42"/>
      <c r="E2972" s="16"/>
      <c r="F2972" s="42"/>
      <c r="G2972" s="42"/>
      <c r="DN2972" s="191"/>
    </row>
    <row r="2973">
      <c r="A2973" s="15"/>
      <c r="B2973" s="15"/>
      <c r="C2973" s="15"/>
      <c r="D2973" s="42"/>
      <c r="E2973" s="16"/>
      <c r="F2973" s="42"/>
      <c r="G2973" s="42"/>
      <c r="DN2973" s="191"/>
    </row>
    <row r="2974">
      <c r="A2974" s="15"/>
      <c r="B2974" s="15"/>
      <c r="C2974" s="15"/>
      <c r="D2974" s="42"/>
      <c r="E2974" s="16"/>
      <c r="F2974" s="42"/>
      <c r="G2974" s="42"/>
      <c r="DN2974" s="191"/>
    </row>
    <row r="2975">
      <c r="A2975" s="15"/>
      <c r="B2975" s="15"/>
      <c r="C2975" s="15"/>
      <c r="D2975" s="42"/>
      <c r="E2975" s="16"/>
      <c r="F2975" s="42"/>
      <c r="G2975" s="42"/>
      <c r="DN2975" s="191"/>
    </row>
    <row r="2976">
      <c r="A2976" s="15"/>
      <c r="B2976" s="15"/>
      <c r="C2976" s="15"/>
      <c r="D2976" s="42"/>
      <c r="E2976" s="16"/>
      <c r="F2976" s="42"/>
      <c r="G2976" s="42"/>
      <c r="DN2976" s="191"/>
    </row>
    <row r="2977">
      <c r="A2977" s="15"/>
      <c r="B2977" s="15"/>
      <c r="C2977" s="15"/>
      <c r="D2977" s="42"/>
      <c r="E2977" s="16"/>
      <c r="F2977" s="42"/>
      <c r="G2977" s="42"/>
      <c r="DN2977" s="191"/>
    </row>
    <row r="2978">
      <c r="A2978" s="15"/>
      <c r="B2978" s="15"/>
      <c r="C2978" s="15"/>
      <c r="D2978" s="42"/>
      <c r="E2978" s="16"/>
      <c r="F2978" s="42"/>
      <c r="G2978" s="42"/>
      <c r="DN2978" s="191"/>
    </row>
    <row r="2979">
      <c r="A2979" s="15"/>
      <c r="B2979" s="15"/>
      <c r="C2979" s="15"/>
      <c r="D2979" s="42"/>
      <c r="E2979" s="16"/>
      <c r="F2979" s="42"/>
      <c r="G2979" s="42"/>
      <c r="DN2979" s="191"/>
    </row>
    <row r="2980">
      <c r="A2980" s="15"/>
      <c r="B2980" s="15"/>
      <c r="C2980" s="15"/>
      <c r="D2980" s="42"/>
      <c r="E2980" s="16"/>
      <c r="F2980" s="42"/>
      <c r="G2980" s="42"/>
      <c r="DN2980" s="191"/>
    </row>
    <row r="2981">
      <c r="A2981" s="15"/>
      <c r="B2981" s="15"/>
      <c r="C2981" s="15"/>
      <c r="D2981" s="42"/>
      <c r="E2981" s="16"/>
      <c r="F2981" s="42"/>
      <c r="G2981" s="42"/>
      <c r="DN2981" s="191"/>
    </row>
    <row r="2982">
      <c r="A2982" s="15"/>
      <c r="B2982" s="15"/>
      <c r="C2982" s="15"/>
      <c r="D2982" s="42"/>
      <c r="E2982" s="16"/>
      <c r="F2982" s="42"/>
      <c r="G2982" s="42"/>
      <c r="DN2982" s="191"/>
    </row>
    <row r="2983">
      <c r="A2983" s="15"/>
      <c r="B2983" s="15"/>
      <c r="C2983" s="15"/>
      <c r="D2983" s="42"/>
      <c r="E2983" s="16"/>
      <c r="F2983" s="42"/>
      <c r="G2983" s="42"/>
      <c r="DN2983" s="191"/>
    </row>
    <row r="2984">
      <c r="A2984" s="15"/>
      <c r="B2984" s="15"/>
      <c r="C2984" s="15"/>
      <c r="D2984" s="42"/>
      <c r="E2984" s="16"/>
      <c r="F2984" s="42"/>
      <c r="G2984" s="42"/>
      <c r="DN2984" s="191"/>
    </row>
    <row r="2985">
      <c r="A2985" s="15"/>
      <c r="B2985" s="15"/>
      <c r="C2985" s="15"/>
      <c r="D2985" s="42"/>
      <c r="E2985" s="16"/>
      <c r="F2985" s="42"/>
      <c r="G2985" s="42"/>
      <c r="DN2985" s="191"/>
    </row>
    <row r="2986">
      <c r="A2986" s="15"/>
      <c r="B2986" s="15"/>
      <c r="C2986" s="15"/>
      <c r="D2986" s="42"/>
      <c r="E2986" s="16"/>
      <c r="F2986" s="42"/>
      <c r="G2986" s="42"/>
      <c r="DN2986" s="191"/>
    </row>
    <row r="2987">
      <c r="A2987" s="15"/>
      <c r="B2987" s="15"/>
      <c r="C2987" s="15"/>
      <c r="D2987" s="42"/>
      <c r="E2987" s="16"/>
      <c r="F2987" s="42"/>
      <c r="G2987" s="42"/>
      <c r="DN2987" s="191"/>
    </row>
    <row r="2988">
      <c r="A2988" s="15"/>
      <c r="B2988" s="15"/>
      <c r="C2988" s="15"/>
      <c r="D2988" s="42"/>
      <c r="E2988" s="16"/>
      <c r="F2988" s="42"/>
      <c r="G2988" s="42"/>
      <c r="DN2988" s="191"/>
    </row>
    <row r="2989">
      <c r="A2989" s="15"/>
      <c r="B2989" s="15"/>
      <c r="C2989" s="15"/>
      <c r="D2989" s="42"/>
      <c r="E2989" s="16"/>
      <c r="F2989" s="42"/>
      <c r="G2989" s="42"/>
      <c r="DN2989" s="191"/>
    </row>
    <row r="2990">
      <c r="A2990" s="15"/>
      <c r="B2990" s="15"/>
      <c r="C2990" s="15"/>
      <c r="D2990" s="42"/>
      <c r="E2990" s="16"/>
      <c r="F2990" s="42"/>
      <c r="G2990" s="42"/>
      <c r="DN2990" s="191"/>
    </row>
    <row r="2991">
      <c r="A2991" s="15"/>
      <c r="B2991" s="15"/>
      <c r="C2991" s="15"/>
      <c r="D2991" s="42"/>
      <c r="E2991" s="16"/>
      <c r="F2991" s="42"/>
      <c r="G2991" s="42"/>
      <c r="DN2991" s="191"/>
    </row>
    <row r="2992">
      <c r="A2992" s="15"/>
      <c r="B2992" s="15"/>
      <c r="C2992" s="15"/>
      <c r="D2992" s="42"/>
      <c r="E2992" s="16"/>
      <c r="F2992" s="42"/>
      <c r="G2992" s="42"/>
      <c r="DN2992" s="191"/>
    </row>
    <row r="2993">
      <c r="A2993" s="15"/>
      <c r="B2993" s="15"/>
      <c r="C2993" s="15"/>
      <c r="D2993" s="42"/>
      <c r="E2993" s="16"/>
      <c r="F2993" s="42"/>
      <c r="G2993" s="42"/>
      <c r="DN2993" s="191"/>
    </row>
    <row r="2994">
      <c r="A2994" s="15"/>
      <c r="B2994" s="15"/>
      <c r="C2994" s="15"/>
      <c r="D2994" s="42"/>
      <c r="E2994" s="16"/>
      <c r="F2994" s="42"/>
      <c r="G2994" s="42"/>
      <c r="DN2994" s="191"/>
    </row>
    <row r="2995">
      <c r="A2995" s="15"/>
      <c r="B2995" s="15"/>
      <c r="C2995" s="15"/>
      <c r="D2995" s="42"/>
      <c r="E2995" s="16"/>
      <c r="F2995" s="42"/>
      <c r="G2995" s="42"/>
      <c r="DN2995" s="191"/>
    </row>
    <row r="2996">
      <c r="A2996" s="15"/>
      <c r="B2996" s="15"/>
      <c r="C2996" s="15"/>
      <c r="D2996" s="42"/>
      <c r="E2996" s="16"/>
      <c r="F2996" s="42"/>
      <c r="G2996" s="42"/>
      <c r="DN2996" s="191"/>
    </row>
    <row r="2997">
      <c r="A2997" s="15"/>
      <c r="B2997" s="15"/>
      <c r="C2997" s="15"/>
      <c r="D2997" s="42"/>
      <c r="E2997" s="16"/>
      <c r="F2997" s="42"/>
      <c r="G2997" s="42"/>
      <c r="DN2997" s="191"/>
    </row>
    <row r="2998">
      <c r="A2998" s="15"/>
      <c r="B2998" s="15"/>
      <c r="C2998" s="15"/>
      <c r="D2998" s="42"/>
      <c r="E2998" s="16"/>
      <c r="F2998" s="42"/>
      <c r="G2998" s="42"/>
      <c r="DN2998" s="191"/>
    </row>
    <row r="2999">
      <c r="A2999" s="15"/>
      <c r="B2999" s="15"/>
      <c r="C2999" s="15"/>
      <c r="D2999" s="42"/>
      <c r="E2999" s="16"/>
      <c r="F2999" s="42"/>
      <c r="G2999" s="42"/>
      <c r="DN2999" s="191"/>
    </row>
    <row r="3000">
      <c r="A3000" s="15"/>
      <c r="B3000" s="15"/>
      <c r="C3000" s="15"/>
      <c r="D3000" s="42"/>
      <c r="E3000" s="16"/>
      <c r="F3000" s="42"/>
      <c r="G3000" s="42"/>
      <c r="DN3000" s="191"/>
    </row>
    <row r="3001">
      <c r="A3001" s="15"/>
      <c r="B3001" s="15"/>
      <c r="C3001" s="15"/>
      <c r="D3001" s="42"/>
      <c r="E3001" s="16"/>
      <c r="F3001" s="42"/>
      <c r="G3001" s="42"/>
      <c r="DN3001" s="191"/>
    </row>
    <row r="3002">
      <c r="A3002" s="15"/>
      <c r="B3002" s="15"/>
      <c r="C3002" s="15"/>
      <c r="D3002" s="42"/>
      <c r="E3002" s="16"/>
      <c r="F3002" s="42"/>
      <c r="G3002" s="42"/>
      <c r="DN3002" s="191"/>
    </row>
    <row r="3003">
      <c r="A3003" s="15"/>
      <c r="B3003" s="15"/>
      <c r="C3003" s="15"/>
      <c r="D3003" s="42"/>
      <c r="E3003" s="16"/>
      <c r="F3003" s="42"/>
      <c r="G3003" s="42"/>
      <c r="DN3003" s="191"/>
    </row>
    <row r="3004">
      <c r="A3004" s="15"/>
      <c r="B3004" s="15"/>
      <c r="C3004" s="15"/>
      <c r="D3004" s="42"/>
      <c r="E3004" s="16"/>
      <c r="F3004" s="42"/>
      <c r="G3004" s="42"/>
      <c r="DN3004" s="191"/>
    </row>
    <row r="3005">
      <c r="A3005" s="15"/>
      <c r="B3005" s="15"/>
      <c r="C3005" s="15"/>
      <c r="D3005" s="42"/>
      <c r="E3005" s="16"/>
      <c r="F3005" s="42"/>
      <c r="G3005" s="42"/>
      <c r="DN3005" s="191"/>
    </row>
    <row r="3006">
      <c r="A3006" s="15"/>
      <c r="B3006" s="15"/>
      <c r="C3006" s="15"/>
      <c r="D3006" s="42"/>
      <c r="E3006" s="16"/>
      <c r="F3006" s="42"/>
      <c r="G3006" s="42"/>
      <c r="DN3006" s="191"/>
    </row>
    <row r="3007">
      <c r="A3007" s="15"/>
      <c r="B3007" s="15"/>
      <c r="C3007" s="15"/>
      <c r="D3007" s="42"/>
      <c r="E3007" s="16"/>
      <c r="F3007" s="42"/>
      <c r="G3007" s="42"/>
      <c r="DN3007" s="191"/>
    </row>
    <row r="3008">
      <c r="A3008" s="15"/>
      <c r="B3008" s="15"/>
      <c r="C3008" s="15"/>
      <c r="D3008" s="42"/>
      <c r="E3008" s="16"/>
      <c r="F3008" s="42"/>
      <c r="G3008" s="42"/>
      <c r="DN3008" s="191"/>
    </row>
    <row r="3009">
      <c r="A3009" s="15"/>
      <c r="B3009" s="15"/>
      <c r="C3009" s="15"/>
      <c r="D3009" s="42"/>
      <c r="E3009" s="16"/>
      <c r="F3009" s="42"/>
      <c r="G3009" s="42"/>
      <c r="DN3009" s="191"/>
    </row>
    <row r="3010">
      <c r="A3010" s="15"/>
      <c r="B3010" s="15"/>
      <c r="C3010" s="15"/>
      <c r="D3010" s="42"/>
      <c r="E3010" s="16"/>
      <c r="F3010" s="42"/>
      <c r="G3010" s="42"/>
      <c r="DN3010" s="191"/>
    </row>
    <row r="3011">
      <c r="A3011" s="15"/>
      <c r="B3011" s="15"/>
      <c r="C3011" s="15"/>
      <c r="D3011" s="42"/>
      <c r="E3011" s="16"/>
      <c r="F3011" s="42"/>
      <c r="G3011" s="42"/>
      <c r="DN3011" s="191"/>
    </row>
    <row r="3012">
      <c r="A3012" s="15"/>
      <c r="B3012" s="15"/>
      <c r="C3012" s="15"/>
      <c r="D3012" s="42"/>
      <c r="E3012" s="16"/>
      <c r="F3012" s="42"/>
      <c r="G3012" s="42"/>
      <c r="DN3012" s="191"/>
    </row>
    <row r="3013">
      <c r="A3013" s="15"/>
      <c r="B3013" s="15"/>
      <c r="C3013" s="15"/>
      <c r="D3013" s="42"/>
      <c r="E3013" s="16"/>
      <c r="F3013" s="42"/>
      <c r="G3013" s="42"/>
      <c r="DN3013" s="191"/>
    </row>
    <row r="3014">
      <c r="A3014" s="15"/>
      <c r="B3014" s="15"/>
      <c r="C3014" s="15"/>
      <c r="D3014" s="42"/>
      <c r="E3014" s="16"/>
      <c r="F3014" s="42"/>
      <c r="G3014" s="42"/>
      <c r="DN3014" s="191"/>
    </row>
    <row r="3015">
      <c r="A3015" s="15"/>
      <c r="B3015" s="15"/>
      <c r="C3015" s="15"/>
      <c r="D3015" s="42"/>
      <c r="E3015" s="16"/>
      <c r="F3015" s="42"/>
      <c r="G3015" s="42"/>
      <c r="DN3015" s="191"/>
    </row>
    <row r="3016">
      <c r="A3016" s="15"/>
      <c r="B3016" s="15"/>
      <c r="C3016" s="15"/>
      <c r="D3016" s="42"/>
      <c r="E3016" s="16"/>
      <c r="F3016" s="42"/>
      <c r="G3016" s="42"/>
      <c r="DN3016" s="191"/>
    </row>
    <row r="3017">
      <c r="A3017" s="15"/>
      <c r="B3017" s="15"/>
      <c r="C3017" s="15"/>
      <c r="D3017" s="42"/>
      <c r="E3017" s="16"/>
      <c r="F3017" s="42"/>
      <c r="G3017" s="42"/>
      <c r="DN3017" s="191"/>
    </row>
    <row r="3018">
      <c r="A3018" s="15"/>
      <c r="B3018" s="15"/>
      <c r="C3018" s="15"/>
      <c r="D3018" s="42"/>
      <c r="E3018" s="16"/>
      <c r="F3018" s="42"/>
      <c r="G3018" s="42"/>
      <c r="DN3018" s="191"/>
    </row>
    <row r="3019">
      <c r="A3019" s="15"/>
      <c r="B3019" s="15"/>
      <c r="C3019" s="15"/>
      <c r="D3019" s="42"/>
      <c r="E3019" s="16"/>
      <c r="F3019" s="42"/>
      <c r="G3019" s="42"/>
      <c r="DN3019" s="191"/>
    </row>
    <row r="3020">
      <c r="A3020" s="15"/>
      <c r="B3020" s="15"/>
      <c r="C3020" s="15"/>
      <c r="D3020" s="42"/>
      <c r="E3020" s="16"/>
      <c r="F3020" s="42"/>
      <c r="G3020" s="42"/>
      <c r="DN3020" s="191"/>
    </row>
    <row r="3021">
      <c r="A3021" s="15"/>
      <c r="B3021" s="15"/>
      <c r="C3021" s="15"/>
      <c r="D3021" s="42"/>
      <c r="E3021" s="16"/>
      <c r="F3021" s="42"/>
      <c r="G3021" s="42"/>
      <c r="DN3021" s="191"/>
    </row>
    <row r="3022">
      <c r="A3022" s="15"/>
      <c r="B3022" s="15"/>
      <c r="C3022" s="15"/>
      <c r="D3022" s="42"/>
      <c r="E3022" s="16"/>
      <c r="F3022" s="42"/>
      <c r="G3022" s="42"/>
      <c r="DN3022" s="191"/>
    </row>
    <row r="3023">
      <c r="A3023" s="15"/>
      <c r="B3023" s="15"/>
      <c r="C3023" s="15"/>
      <c r="D3023" s="42"/>
      <c r="E3023" s="16"/>
      <c r="F3023" s="42"/>
      <c r="G3023" s="42"/>
      <c r="DN3023" s="191"/>
    </row>
    <row r="3024">
      <c r="A3024" s="15"/>
      <c r="B3024" s="15"/>
      <c r="C3024" s="15"/>
      <c r="D3024" s="42"/>
      <c r="E3024" s="16"/>
      <c r="F3024" s="42"/>
      <c r="G3024" s="42"/>
      <c r="DN3024" s="191"/>
    </row>
  </sheetData>
  <customSheetViews>
    <customSheetView guid="{97428ACB-B9B4-45B9-AADD-C8040D9CB107}" filter="1" showAutoFilter="1">
      <autoFilter ref="$A$1:$G$1433"/>
    </customSheetView>
    <customSheetView guid="{4A2FE0C1-66D0-49FB-B2A8-768D947A9260}" filter="1" showAutoFilter="1">
      <autoFilter ref="$A$1:$G$1433"/>
    </customSheetView>
    <customSheetView guid="{4FAEF0B9-8BB1-49BC-BB4B-A374B23931F3}" filter="1" showAutoFilter="1">
      <autoFilter ref="$A$1:$G$1433"/>
    </customSheetView>
    <customSheetView guid="{013AA9FF-1BD7-475C-A847-B40E8D4C7A26}" filter="1" showAutoFilter="1">
      <autoFilter ref="$A$1:$G$1433"/>
    </customSheetView>
    <customSheetView guid="{8CD26B5E-9DD0-4F49-8C26-725CB925F040}" filter="1" showAutoFilter="1">
      <autoFilter ref="$A$1:$G$1433">
        <filterColumn colId="0">
          <filters>
            <filter val="RB3561_001_57"/>
            <filter val="RAW-7 KT READING"/>
            <filter val="TH7898_C2_55"/>
            <filter val="ID1508_C2_50"/>
            <filter val="FT_P299OR2_M"/>
            <filter val="GUCCI FULL AVIATOR"/>
            <filter val="VO4128_848_52"/>
            <filter val="RB3025_1674K_55"/>
            <filter val="IDS2442_C5_51"/>
            <filter val="VO4128_848_50"/>
            <filter val="FRANCE"/>
            <filter val="DJ9182_C1_57"/>
            <filter val="RAYBAN METAL SUPRA"/>
            <filter val="MAGIC PLUS NV"/>
            <filter val="HANKER(66013)"/>
            <filter val="DJ9022_C3_53"/>
            <filter val="ID1559_C4_54"/>
            <filter val="VO4097S_323H7_58"/>
            <filter val="DJ9102_C1_52"/>
            <filter val="RB3025_11217_62"/>
            <filter val="VO5242S_W4411_50"/>
            <filter val="EA4086_56788Z_54"/>
            <filter val="DR READING"/>
            <filter val="EA4094_502613_56"/>
            <filter val="ID1484_C3_51"/>
            <filter val="ESCAPE FULL METAL"/>
            <filter val="AB2067_C176_50"/>
            <filter val="DJ9113S_C1_54"/>
            <filter val="VO2714_2406_54"/>
            <filter val="BRATS &amp; DOLLS"/>
            <filter val="ID1047_C2_51"/>
            <filter val="DJ15T163_C5_54"/>
            <filter val="AB1124_C1_56"/>
            <filter val="VO2714_2406_52"/>
            <filter val="RX6049_2502_55"/>
            <filter val="DJ2076_C230_50"/>
            <filter val="KX7646_1010_49"/>
            <filter val="ID1562_C2_55"/>
            <filter val="AB2040_C510_51"/>
            <filter val="VO3955B_280_51"/>
            <filter val="ID1490_C4_53"/>
            <filter val="FOS3010PS_003Y2_59"/>
            <filter val="CK4260S_196_55"/>
            <filter val="VO5134S_25318H_55"/>
            <filter val="HANKER(66012)"/>
            <filter val="RB3025_11217_58"/>
            <filter val="AB1162_C3_51"/>
            <filter val="IZ398_C1_54"/>
            <filter val="IDS2476_C3_62"/>
            <filter val="SE1237_C4_52"/>
            <filter val="RX6305_2503_54"/>
            <filter val="IMAGE FANCY METAL"/>
            <filter val="AG1109_C4_51"/>
            <filter val="READER READING"/>
            <filter val="DJ2069_C221_47"/>
            <filter val="IDS2486_C2_53"/>
            <filter val="RB4147_60132_60"/>
            <filter val="TH7976_C1_52"/>
            <filter val="PGARC"/>
            <filter val="AB1084_C2_53"/>
            <filter val="VO2906_W44_52"/>
            <filter val="SMARTENT"/>
            <filter val="DJ9139_C2_54"/>
            <filter val="IZ279_C2_M"/>
            <filter val="ID1560_C5_54"/>
            <filter val="LOUIS VUITION FULL METAL"/>
            <filter val="DATA SOFT"/>
            <filter val="DJ9151_C4_54"/>
            <filter val="MAIRA BOSS SUPRA METAL"/>
            <filter val="FANCY LADIES"/>
            <filter val="IL9453_C3_48"/>
            <filter val="SC2843_C1_61"/>
            <filter val="VO2864_2183_52"/>
            <filter val="DJ2119_C1_52"/>
            <filter val="ID1563_C6_53"/>
            <filter val="VO4140_5078_53"/>
            <filter val="AB1125_C5_52"/>
            <filter val="VOGUE SHEET IST"/>
            <filter val="VO3983S_964S11_58"/>
            <filter val="AB1159_C3_50"/>
            <filter val="IDS2528_C2_M"/>
            <filter val="ID1471_C3_50"/>
            <filter val="RB3025_0033E_58"/>
            <filter val="REl18517_NSZ_M"/>
            <filter val="NIKE"/>
            <filter val="TOM HILL NV READYMADE"/>
            <filter val="IM362P_C2_M"/>
            <filter val="TH9000_C3_49"/>
            <filter val="IZ233_C3_54"/>
            <filter val="RAYBAN AVIATOR SUPRA METAL IST"/>
            <filter val="OP2134_C01_51"/>
            <filter val="RB3016_114517_51"/>
            <filter val="CK1184SP_006_59"/>
            <filter val="TH9018_C3_50"/>
            <filter val="VO5247I_2395_49"/>
            <filter val="VO5216BI_W656_51"/>
            <filter val="ID1144_C2_53"/>
            <filter val="Elements FSV Bluecut"/>
            <filter val="PGKT 6LINE"/>
            <filter val="VO5061SB_W4487_53"/>
            <filter val="BOB MANDATORY"/>
            <filter val="AB1103_C3_52"/>
            <filter val="ST10121_C3_52"/>
            <filter val="MAYBACH FULL METAL"/>
            <filter val="ID698_C5_53"/>
            <filter val="AB1158_C1_52"/>
            <filter val="IL9491_C3_49"/>
            <filter val="VO5268I_W656_51"/>
            <filter val="VERSACE FULL METAL"/>
            <filter val="PA7097_C02_M"/>
            <filter val="VO2925B_W44_53"/>
            <filter val="VO5283S_260513_54"/>
            <filter val="DJ2131_C730_56"/>
            <filter val="EMPORIO ARMANI METAL"/>
            <filter val="VO2925B_W44_51"/>
            <filter val="VO4038_352_54"/>
            <filter val="IDS2500_C52_58"/>
            <filter val="YG TR METAL"/>
            <filter val="VO4128_323_50"/>
            <filter val="VO5030_W827_53"/>
            <filter val="RX6385_2509_53"/>
            <filter val="VO4128_323_52"/>
            <filter val="DJ16T149_C1_53"/>
            <filter val="FT_M050BR5_M"/>
            <filter val="TOM STYLE"/>
            <filter val="GUYS"/>
            <filter val="AB1129_C3_54"/>
            <filter val="DJ3146_C1_50"/>
            <filter val="AB1164_C2_52"/>
            <filter val="TH5734_C3_52"/>
            <filter val="ID1548_C1_51"/>
            <filter val="FFF SHEET"/>
            <filter val="RAYBAN GOGGLES(4190)"/>
            <filter val="TOM LEO"/>
            <filter val="LL8006_C3_M"/>
            <filter val="AB2040_C317_53"/>
            <filter val="IDS2401_C2_52"/>
            <filter val="DJ9174_C1_58"/>
            <filter val="RX3610V_2500_58"/>
            <filter val="VO3997S_32348_58"/>
            <filter val="IS6241_C21_53"/>
            <filter val="MAIRA BOSS FULL METAL"/>
            <filter val="IZ523_C2_54"/>
            <filter val="MYSTERY"/>
            <filter val="DJ9142_C2_49"/>
            <filter val="IDS2539_C1_55"/>
            <filter val="VO3931I_352_53"/>
            <filter val="ID1479_C4_50"/>
            <filter val="FT_P040BR2_M"/>
            <filter val="ID1508_C4_50"/>
            <filter val="IZ303_C2_54"/>
            <filter val="RX6384_2502_54"/>
            <filter val="DJ9044_C5_49"/>
            <filter val="VO3983S_965S8H_58"/>
            <filter val="DJ9064_C1_47"/>
            <filter val="DJ21007_C4_52"/>
            <filter val="TH7921_C3_55"/>
            <filter val="Bandage lens"/>
            <filter val="RB4216_601S71_56"/>
            <filter val="VO5227I_W44_52"/>
            <filter val="IDS2508_C2_58"/>
            <filter val="SKY BORN ACETATE"/>
            <filter val="LL5674_C4_51"/>
            <filter val="CK3161S_003_58"/>
            <filter val="ID1541_C4_53"/>
            <filter val="DJ9201_C2_50"/>
            <filter val="OO9316_04_63"/>
            <filter val="FT_M032BU1_M"/>
            <filter val="AG2058_C559_53"/>
            <filter val="PA7093_C03_50"/>
            <filter val="DJ9132S_C1_57"/>
            <filter val="AG2058_C1_53"/>
            <filter val="IZ525_C1_54"/>
            <filter val="VERSACE GOGGLES"/>
            <filter val="TH2543_C4_59"/>
            <filter val="TIGER/TIGER MK"/>
            <filter val="RAYBAN CANDY"/>
            <filter val="ID1478_C4_53"/>
            <filter val="RB4147_60158_60"/>
            <filter val="ID722_C3_52"/>
            <filter val="RB8041_001_58"/>
            <filter val="SE1170_C1_53"/>
            <filter val="RX7056_2000_53"/>
            <filter val="MIKINITEEN"/>
            <filter val="DJ9176S_C1_59"/>
            <filter val="FT_PC001BU13_M"/>
            <filter val="MOON LIGHT FULL METAL"/>
            <filter val="TF376_90B_58"/>
            <filter val="HC"/>
            <filter val="DJ2118_C637_53"/>
            <filter val="AB1117_C5_53"/>
            <filter val="DJ9046_C4_47"/>
            <filter val="VO4112S_84813_56"/>
            <filter val="INB4004_COLB_49"/>
            <filter val="ID973_C2_51"/>
            <filter val="IZ398_C3_54"/>
            <filter val="AZEETA SHEET"/>
            <filter val="AB1108_C5_52"/>
            <filter val="BIOFLEX OCCLUSION EYE WIPES"/>
            <filter val="RB3025_W3277_58"/>
            <filter val="IDS2392_C2_49"/>
            <filter val="Teenager Big"/>
            <filter val="RB3025_09032_58"/>
            <filter val="GOAVIATOR  FULL AVIATOR"/>
            <filter val="color contact lens"/>
            <filter val="VO4015B_352_53"/>
            <filter val="ID1548_C5_51"/>
            <filter val="HAPPINESS"/>
            <filter val="VO5211S_W4411_54"/>
            <filter val="TH2515_C3_50"/>
            <filter val="KC1288_32E_58"/>
            <filter val="ID1541_C6_53"/>
            <filter val="MONT BLANC M SUPRA"/>
            <filter val="VO2943SB_201148_55"/>
            <filter val="VO5167S_2621_50"/>
            <filter val="IDS2514_C1_53"/>
            <filter val="IDS2552_C3_56"/>
            <filter val="FT_P089WH4_M"/>
            <filter val="IDS2434_C3_54"/>
            <filter val="FT_P230GR3P_M"/>
            <filter val="VO2942SB_201148_55"/>
            <filter val="DJ2032_C548_51"/>
            <filter val="VO5283S_27248Z_54"/>
            <filter val="LANZO LOUIS"/>
            <filter val="COSTA 3 PC"/>
            <filter val="BLOOM PRIME"/>
            <filter val="FT_M165YL7_M"/>
            <filter val="Protective cup goggles"/>
            <filter val="AB2093_C484_53"/>
            <filter val="ID1495_C2_51"/>
            <filter val="IDS2495_C2_58"/>
            <filter val="AB1169_C4_53"/>
            <filter val="IZ485_C2_54"/>
            <filter val="PEN READING"/>
            <filter val="ESCAPE DIVA"/>
            <filter val="INB1907D_CAT3_M"/>
            <filter val="RX7127_2475_53"/>
            <filter val="AG2058_C243_53"/>
            <filter val="Gsenev Aviator"/>
            <filter val="AB1117_C3_53"/>
            <filter val="AB1175S_C3_53"/>
            <filter val="RB3025_00151_58"/>
            <filter val="MINI READING"/>
            <filter val="TITAN EYE + SHEET"/>
            <filter val="RB3025_00151_55"/>
            <filter val="TH844_C2S_53"/>
            <filter val="DJ9167_C5_58"/>
            <filter val="VO2906_2249_52"/>
            <filter val="RX7027_5419_54"/>
            <filter val="IDS2442_C3_51"/>
            <filter val="LOCATIN"/>
            <filter val="FT_P429BU4_M"/>
            <filter val="TONNY DAVID FULL METAL"/>
            <filter val="DJ9127S_C7_56"/>
            <filter val="IDS2506_C1_66"/>
            <filter val="VO3997S_93413_58"/>
            <filter val="ID1486_C4_50"/>
            <filter val="BE4193_300213_57"/>
            <filter val="ID1519_C1_49"/>
            <filter val="DJ2079_C219_55"/>
            <filter val="PA7093_C01_60"/>
            <filter val="ID1564_C3_51"/>
            <filter val="RX6266_2501_51"/>
            <filter val="VO5227I_2362_52"/>
            <filter val="BOSS HUGO BOSS SHEET"/>
            <filter val="VO5282SB_260569_54"/>
            <filter val="FT_M180SL3F_M"/>
            <filter val="VO3992_352_53"/>
            <filter val="RB3561_9001A5_57"/>
            <filter val="VO2924BI_2065_51"/>
            <filter val="X-ITE"/>
            <filter val="DJ2347_C5_52"/>
            <filter val="RB3025_00258_62"/>
            <filter val="TR OAKLEY"/>
            <filter val="VO4139SB_50758Z_54"/>
            <filter val="IDS2428_C3_M"/>
            <filter val="ID1547_C6_51"/>
            <filter val="DJ5916_C1_51"/>
            <filter val="IM2357_C2_50"/>
            <filter val="VO2843S_227811_56"/>
            <filter val="ID1562_C4_55"/>
            <filter val="DJ9026_C1_54"/>
            <filter val="VO3981_352_54"/>
            <filter val="ID997_C3_52"/>
            <filter val="ID1482_C6_51"/>
            <filter val="SC4616_C3_51"/>
            <filter val="DJ5914_C2_46"/>
            <filter val="VO3981_352_52"/>
            <filter val="IDS1961_C3P_58"/>
            <filter val="AB2038_C578_50"/>
            <filter val="IDS2539_C3_57"/>
            <filter val="AB1098_C6_49"/>
            <filter val="DJ0301_BLK_52"/>
            <filter val="IDS2170_C1_52"/>
            <filter val="DJ9134_C4B_55"/>
            <filter val="FT_P178BR3FP_M"/>
            <filter val="DJ9064_C3_47"/>
            <filter val="VO4104_2807A_57"/>
            <filter val="POLICE METAL SUPRA IST"/>
            <filter val="SC4614_C4_51"/>
            <filter val="VO5216BI_W44_51"/>
            <filter val="FANCY METAL BIG SHAPE"/>
            <filter val="RB3025_003_58"/>
            <filter val="RX5312_5537_52"/>
            <filter val="TH6213_C3_54"/>
            <filter val="VO5284S_W4487_32"/>
            <filter val="TH7912_C1_60"/>
            <filter val="OO9188_16_59"/>
            <filter val="DJ9057_C5_54"/>
            <filter val="DJ2050_C234_50"/>
            <filter val="ID1511_C2_51"/>
            <filter val="ID1561_C2_54"/>
            <filter val="IDS2365_C3P_M"/>
            <filter val="VO2819S_W4411_58"/>
            <filter val="CANSTAR"/>
            <filter val="VO2993S_W65613_57"/>
            <filter val="OP3026_C7_53"/>
            <filter val="DJ9162_C5_50"/>
            <filter val="VO2829SM_W4411_58"/>
            <filter val="VO5247_W656_49"/>
            <filter val="ID1460_C2_54"/>
            <filter val="AB1121_C2_52"/>
            <filter val="BE20030_C01_M"/>
            <filter val="DIOR IST"/>
            <filter val="RX7017_5200_54"/>
            <filter val="ID1489_C5_51"/>
            <filter val="DJ5916_C3_51"/>
            <filter val="PC8827_SSH_55"/>
            <filter val="POLO FASHION TR"/>
            <filter val="ESCAPE MB"/>
            <filter val="DJ2074_C350_52"/>
            <filter val="BIOTRUE 300 ML"/>
            <filter val="ID1547_C4_51"/>
            <filter val="VO2870S_235811_52"/>
            <filter val="FT_M050BU2_64"/>
            <filter val="VE4321_518213_58"/>
            <filter val="OBSERVER"/>
            <filter val="FT_P294BU2_M"/>
            <filter val="VO2767_1947_50"/>
            <filter val="DJ9115_C5_49"/>
            <filter val="ID1487_C6_51"/>
            <filter val="CK3143S_228_55"/>
            <filter val="VO4092B_507514_56"/>
            <filter val="AB1119_C2_55"/>
            <filter val="RB3025_W3275_55"/>
            <filter val="RB2140_955_52"/>
            <filter val="BANKU KIDS"/>
            <filter val="UIVI FULL AVIATOR"/>
            <filter val="TH2514_C2_53"/>
            <filter val="POLICE DELTA"/>
            <filter val="TH846_C8_58"/>
            <filter val="SE1184_C5_55"/>
            <filter val="DJ2133_C225_53"/>
            <filter val="FT_M062BK1_M"/>
            <filter val="RX6049_2500_52"/>
            <filter val="O MATTER"/>
            <filter val="AISLIN SHEET GOGGLES"/>
            <filter val="RAYBAN GOGGLES"/>
            <filter val="TOMMY HILFIGER FULL METAL IST"/>
            <filter val="DJ8783_C6_52"/>
            <filter val="RX3578V_2904_50"/>
            <filter val="RB3025_0013E_55"/>
            <filter val="GUCCI FULL METAL SQURE"/>
            <filter val="DJ2001_C11_53"/>
            <filter val="IDS2538_C4_49"/>
            <filter val="RB3558_004B8_58"/>
            <filter val="AB1118_C2_52"/>
            <filter val="SC4750_C1_52"/>
            <filter val="TANKS METAL ROUND"/>
            <filter val="AB1167_C3_53"/>
            <filter val="AB1123_C2_55"/>
            <filter val="TOMMY FASHION"/>
            <filter val="DJ2075_C198_56"/>
            <filter val="RX6424_2502_53"/>
            <filter val="FT_M149BU2_M"/>
            <filter val="ID961_C2_51"/>
            <filter val="TH7920_C1_56"/>
            <filter val="TH5734_C1_52"/>
            <filter val="AG1086_C2_54"/>
            <filter val="DJ9062_C4_54"/>
            <filter val="RB3025_0013E_62"/>
            <filter val="AB1171_C3_61"/>
            <filter val="PG"/>
            <filter val="DJ2115_C645_50"/>
            <filter val="OO9102_01_55"/>
            <filter val="VO5272_2731_51"/>
            <filter val="FT_M138BR2_58"/>
            <filter val="AB16T150_C2_51"/>
            <filter val="CUP Goggles/SUNGLASS PROTECTIVE"/>
            <filter val="FT_M154BR2_M"/>
            <filter val="VO4119_5078_51"/>
            <filter val="RB3025_00451_58"/>
            <filter val="D&amp;G SHEET IST"/>
            <filter val="CRKT"/>
            <filter val="IDS2413_C1_62"/>
            <filter val="VO5204I_W44_52"/>
            <filter val="RAFA PC"/>
            <filter val="IDS2193_C2_58"/>
            <filter val="RJ9054S_186/87_51"/>
            <filter val="CHRISTIAN DIOR FULL METAL IST"/>
            <filter val="TH7914_C4_48"/>
            <filter val="TH7975_C3_50"/>
            <filter val="PORSCHE DESIGN GOGGLES"/>
            <filter val="VO2896_W4411_54"/>
            <filter val="ID1248_C8_50"/>
            <filter val="ID1426_C1_49"/>
            <filter val="CK5350_403_54"/>
            <filter val="ID1427_C5_52"/>
            <filter val="AB2092_C581_51"/>
            <filter val="RX6241E_2501_52"/>
            <filter val="DJ9162_C1_50"/>
            <filter val="PR27NS_1AB3M1_55"/>
            <filter val="SE1157_C1_52"/>
            <filter val="ID1536_C1_51"/>
            <filter val="VO2943SB_W4411_55"/>
            <filter val="FT_M068BK8P_M"/>
            <filter val="RB7060_6019A_54"/>
            <filter val="IDS2523_C2P-55"/>
            <filter val="PA7037_C01_M"/>
            <filter val="PR4096_C03_M"/>
            <filter val="TH2514_C1_53"/>
            <filter val="VO2894SB_191613_56"/>
            <filter val="IDS2472_C2_52"/>
            <filter val="ID1430_C4_52"/>
            <filter val="ID1027_C2_53"/>
            <filter val="DJ9049_C2_51"/>
            <filter val="ID1200_C5_53"/>
            <filter val="TH7977_C1_56"/>
            <filter val="ID1542_C2_53"/>
            <filter val="SPIDERMAN METAL"/>
            <filter val="CARTIER SHEET"/>
            <filter val="KC1253S_52F_60"/>
            <filter val="TH7981_C4_58"/>
            <filter val="RB3025_0013F_58"/>
            <filter val="VO4037_280_52"/>
            <filter val="DJ9201_C5_50"/>
            <filter val="RAYBAN FANCY METAL"/>
            <filter val="FT_P192BR2_M"/>
            <filter val="DJ2098_C226_47"/>
            <filter val="OX1131_04_52"/>
            <filter val="BOTEGO PASSION"/>
            <filter val="SUPEROL"/>
            <filter val="LOUIS STYLE 3 PC"/>
            <filter val="FT_P241BK1_M"/>
            <filter val="AB1136_C2_60"/>
            <filter val="FT_P336SL2_M"/>
            <filter val="VERVE ACETATE SHEET"/>
            <filter val="KC1288_08B_58"/>
            <filter val="Bluecut CRKT"/>
            <filter val="IDS2552_C1_M"/>
            <filter val="BORN CRAZY METAL"/>
            <filter val="IDS2297_C1_57"/>
            <filter val="TH3166_C2_47"/>
            <filter val="BABY ACETATE"/>
            <filter val="KIDS"/>
            <filter val="FT_M131BK1P_62"/>
            <filter val="SOLANA FULL METAL"/>
            <filter val="CK1089_028_58"/>
            <filter val="HIGH FLIER BABY"/>
            <filter val="ID1509_C2_50"/>
            <filter val="SE1167_C9_52"/>
            <filter val="CK2146SA_001_59"/>
            <filter val="MONT BLANC SHEET IST"/>
            <filter val="LADIES METAL WILI"/>
            <filter val="PARI FULL METAL"/>
            <filter val="RB3539_1928G_54"/>
            <filter val="KX7107_2209_52"/>
            <filter val="OO9265_02_59"/>
            <filter val="RAYBAN DIAMOND AVIATORS+O SHAPE GOGGLES(3517+3510)"/>
            <filter val="RX5337_5528_54"/>
            <filter val="DJ2132_C225_53"/>
            <filter val="VO2896S_W65613_54"/>
            <filter val="ID1030_C1_53"/>
            <filter val="IZ518_C3_54"/>
            <filter val="DL5218V_068_53"/>
            <filter val="RX3582V_2500_51"/>
            <filter val="DJ0501_135_50"/>
            <filter val="RB3025_00451_55"/>
            <filter val="DJ2111_C4_52"/>
            <filter val="IL9444_C4_50"/>
            <filter val="RX6384_2509_52"/>
            <filter val="ID908_C2_50"/>
            <filter val="VO5205S_25547E_62"/>
            <filter val="RB4264_601SA1_58"/>
            <filter val="VO3981_548_52"/>
            <filter val="SC748_C589_51"/>
            <filter val="SE1262_C3_48"/>
            <filter val="ID1134_C2_49"/>
            <filter val="RX6489_2501_58"/>
            <filter val="IDS2485_C1_57"/>
            <filter val="BILGISAY"/>
            <filter val="ESCAPE DEJAVU"/>
            <filter val="DJ2346_C5_55"/>
            <filter val="IDS2526_C3_60"/>
            <filter val="EMPORIO ARMANI SHEET"/>
            <filter val="IS6140_C06_52"/>
            <filter val="VO2915S_22618H_53"/>
            <filter val="TH2529_C1_49"/>
            <filter val="RB3025_9002A6_55"/>
            <filter val="AB2108_C539_53"/>
            <filter val="RAYBAN GOLD PG"/>
            <filter val="ID1521_C2_51"/>
            <filter val="IDS2408_C5P_53"/>
            <filter val="VISION SPRING READER"/>
            <filter val="ST10107_C5_52"/>
            <filter val="VO5269S_W65613_56"/>
            <filter val="IDS2506_C3_M"/>
            <filter val="PRADA METAL SUPRA IST"/>
            <filter val="TOM FORD METAL  Ist"/>
            <filter val="VO4002S_99511_55"/>
            <filter val="PRADA SHEET"/>
            <filter val="VO2886_W44_53"/>
            <filter val="DJ9126S_C1_59"/>
            <filter val="IZ518_C1_54"/>
            <filter val="INB1912D_Cat.2 S"/>
            <filter val="AB1115_C1_52"/>
            <filter val="PR4096_C01_M"/>
            <filter val="FARENHEIT READING FOLDABLE +2.5"/>
            <filter val="PA7076_C04_M"/>
            <filter val="ID1561_C5_54"/>
            <filter val="SANAFLEX"/>
            <filter val="RX6266_2502_53"/>
            <filter val="RX7014_2000_54"/>
            <filter val="TH2544_C3_60"/>
            <filter val="PORSCHE DESIGN FULL METAL"/>
            <filter val="GUCCI SHEET Ist"/>
            <filter val="IZ500_C2_54"/>
            <filter val="RENU_LENSSOLUTION_60"/>
            <filter val="OP3023_C1_51"/>
            <filter val="DJ18632_C1_51"/>
            <filter val="ULTEM"/>
            <filter val="BE4201_300273_58"/>
            <filter val="VO4091BI_84873_56"/>
            <filter val="PAGE 4"/>
            <filter val="TH844_C1S_53"/>
            <filter val="IDS2508_C7_58"/>
            <filter val="LL1927_C2_49"/>
            <filter val="CARRERA DELTA"/>
            <filter val="IDS2477_C2_56"/>
            <filter val="VO2998_2386_54"/>
            <filter val="IM277_C3_M"/>
            <filter val="IZ144_00232_M"/>
            <filter val="ID980_C1_50"/>
            <filter val="IDS2528_C3_58"/>
            <filter val="RAYBAN FULL AVIATOR IST"/>
            <filter val="TOMMY SPORT 3 PC"/>
            <filter val="ESCAPE TR METAL SIDE"/>
            <filter val="AG1151_C4_50"/>
            <filter val="ID906_C4_50"/>
            <filter val="TH2530_C2_51"/>
            <filter val="ID1542_C4_53"/>
            <filter val="IM2328_C1_52"/>
            <filter val="VO5280SB_272276_57"/>
            <filter val="driving goggles"/>
            <filter val="IDS2520_C1_53"/>
            <filter val="DJ9174S_C5_58"/>
            <filter val="VO2915S_226214_53"/>
            <filter val="VO2787_2406_53"/>
            <filter val="VO2787_2406_51"/>
            <filter val="ID1511_C5_51"/>
            <filter val="ID674_C1_55"/>
            <filter val="DJ9053_C3_50"/>
            <filter val="DJ15T156_C5_53"/>
            <filter val="DJ2076_C614_50"/>
            <filter val="TH2527_C1_62"/>
            <filter val="DJ9165_C1_55"/>
            <filter val="VO5164S_W4411_52"/>
            <filter val="HASHTAG FULL METAL"/>
            <filter val="VO4125_5115_53"/>
            <filter val="AB1128_C5_53"/>
            <filter val="RB3025_0023F_58"/>
            <filter val="CALEB"/>
            <filter val="OP2170_C46_50"/>
            <filter val="BISMARCK"/>
            <filter val="TH5734_C4_52"/>
            <filter val="RB3432_004_59"/>
            <filter val="ROCKER SHEET"/>
            <filter val="FT_P327BU2_M"/>
            <filter val="ID1246_C2_51"/>
            <filter val="INB1915_CAT3_M"/>
            <filter val="MIGHTY FULL METAL"/>
            <filter val="MADRIDCITY SHEET"/>
            <filter val="IZ508_C2_54"/>
            <filter val="RB2132_710_58"/>
            <filter val="VO4016B_848_53"/>
            <filter val="CARTIER 3PC Ist"/>
            <filter val="ID1153_C4_52"/>
            <filter val="TH7881_C3_59"/>
            <filter val="DJ9135_C4_48"/>
            <filter val="TH2536_C2_55"/>
            <filter val="DIOR DELTA"/>
            <filter val="VO4016B_848_51"/>
            <filter val="HANKER(66009)"/>
            <filter val="CK4151_001_56"/>
            <filter val="DJ15T158_C5_53"/>
            <filter val="VO5166S_256613_51"/>
            <filter val="VO4128_5108_50"/>
            <filter val="DJ9132S_C3_57"/>
            <filter val="CARRERA METAL Ist"/>
            <filter val="VO4038_548_54"/>
            <filter val="IDS2351_C3_56"/>
            <filter val="VO3997S_848T5_58"/>
            <filter val="TI_G170PYFL9B-60"/>
            <filter val="DJ9044_C4_49"/>
            <filter val="DJ0301_GUN_52"/>
            <filter val="RX6322_2503_53"/>
            <filter val="BOSS METAL Full Ist"/>
            <filter val="color CLS"/>
            <filter val="ULTRA LIGHT SHEET"/>
            <filter val="HARLEY DAVIDSON SHEET"/>
            <filter val="RX3947V_2500_51"/>
            <filter val="ID1545_C2_54"/>
            <filter val="TH2527_C3_62"/>
            <filter val="TAG HEUR 3 PC"/>
            <filter val="U EYEWEAR BLUE"/>
            <filter val="AB1087_C3_53"/>
            <filter val="SWISS"/>
            <filter val="VO2916_W4411_58"/>
            <filter val="AB1090_C2_53"/>
            <filter val="OX1131_06_52"/>
            <filter val="RB3025_00168_58"/>
            <filter val="IDS2401_C4_52"/>
            <filter val="WALNUT PRO"/>
            <filter val="FT_P223GR1_M"/>
            <filter val="ID940_C2_52"/>
            <filter val="GLASS"/>
            <filter val="ULTRA WATCH"/>
            <filter val="DJ8235_DP_53"/>
            <filter val="FT_M035GY1_M"/>
            <filter val="IDS2354_C2P_M"/>
            <filter val="OP3026_C1_53"/>
            <filter val="CREATIE"/>
            <filter val="IDS2532_C2_51"/>
            <filter val="CK3154_214_62"/>
            <filter val="AB1140_C3_52"/>
            <filter val="RAYBAN ACETATE"/>
            <filter val="VE1210BM_1002_52"/>
            <filter val="ID1480_C4_51"/>
            <filter val="VO5247I_W44_49"/>
            <filter val="RX5337_2012_54"/>
            <filter val="VO3969_934_50"/>
            <filter val="DJ2050_C226_48"/>
            <filter val="TH2543_C3_59"/>
            <filter val="Display Goggles"/>
            <filter val="WHITE KT"/>
            <filter val="DJ9201_C3_50"/>
            <filter val="CK1209S_001_62"/>
            <filter val="MENEING"/>
            <filter val="AB1142_C5_50"/>
            <filter val="ID1561_C7_54"/>
            <filter val="DJ9112S_C1_61"/>
            <filter val="RJ9506S_22011_50"/>
            <filter val="VO5280SB_260569_57"/>
            <filter val="AB1162_C1_51"/>
            <filter val="ID1427_C1_52"/>
            <filter val="IDS2352_C3_56"/>
            <filter val="FT_P218BR2FP_M"/>
            <filter val="SYNERGY SHEET"/>
            <filter val="RX6325_2730_53"/>
            <filter val="MAGIC TR"/>
            <filter val="DJ5902_C1_53"/>
            <filter val="ID1470_C5_52"/>
            <filter val="KX7109_2019_50"/>
            <filter val="VO5002_W44_52"/>
            <filter val="ID873_C3_51"/>
            <filter val="AG1107_C4_50"/>
            <filter val="IDS1700_C31_M"/>
            <filter val="TH2530_C4_51"/>
            <filter val="AB2108_C540_51"/>
            <filter val="RB3025JM_169_55"/>
            <filter val="Blue cut PG"/>
            <filter val="LL3606_C2_53"/>
            <filter val="VO2660_W65613_58"/>
            <filter val="ID878_C1_52"/>
            <filter val="VO5283S_27236V_54"/>
            <filter val="ID1541_C2_53"/>
            <filter val="KC0212_052_54"/>
            <filter val="RB3025_00217_58"/>
            <filter val="SE1276_C4_52"/>
            <filter val="WALNUT FAB"/>
            <filter val="AB1138_C4_53"/>
            <filter val="PA7037_C03_M"/>
            <filter val="ID1483_C2_50"/>
            <filter val="LL8001_C1_M"/>
            <filter val="WILTON"/>
            <filter val="CAPS SHEET"/>
            <filter val="VO4083S_84811_55"/>
            <filter val="IDS2505_C1P_54"/>
            <filter val="IDS1874_C2_59"/>
            <filter val="VO3983S_548S13_58"/>
            <filter val="KIXSQUEST READING"/>
            <filter val="READING NV"/>
            <filter val="PA7072_C03_54"/>
            <filter val="OX1136_06_52"/>
            <filter val="ID1428_C1_47"/>
            <filter val="Image7000_C2_M"/>
            <filter val="TH846_C2S_58"/>
            <filter val="VO5282SB_260480_54"/>
            <filter val="CLASSIC SHEET"/>
            <filter val="AB2092_C455_53"/>
            <filter val="RAYBAN TR PARIS"/>
            <filter val="TH2529_C3_49"/>
            <filter val="FT_P430BR2_M"/>
            <filter val="RB3025_00158_58"/>
            <filter val="PA7092_C02_M"/>
            <filter val="IZ278_C2_54"/>
            <filter val="INB2946B_CAT3_M"/>
            <filter val="AB1152_C2_52"/>
            <filter val="OLIVICRR"/>
            <filter val="POSS DESIGN NV"/>
            <filter val="RB3025_181_58"/>
            <filter val="RB2132_71051_55"/>
            <filter val="VO4055SI_502214_57"/>
            <filter val="VO5007B_W4411_58"/>
            <filter val="SE1512_C1_53"/>
            <filter val="ID1027_C4_53"/>
            <filter val="COPPER METAL"/>
            <filter val="AB4017_DEMIRED_52"/>
            <filter val="DJ9141_C5_53"/>
            <filter val="RC583S_69Z_64"/>
            <filter val="RX6303_2501_53"/>
            <filter val="TH2537_C2_55"/>
            <filter val="DJ15T126_C3_54"/>
            <filter val="ID1544_C6_52"/>
            <filter val="VISION SPRING SUNGLASSES"/>
            <filter val="TRIO"/>
            <filter val="KX7674_1006_52"/>
            <filter val="VO2940S_229648_58"/>
            <filter val="KADDORA SHEET"/>
            <filter val="DIOR ROUND METAL IST"/>
            <filter val="DJ084_C4_52"/>
            <filter val="AG1098_C4_49"/>
            <filter val="IM2356_C1_52"/>
            <filter val="IZ525_C2_54"/>
            <filter val="RX6386_2500_51"/>
            <filter val="AB1090_C4_53"/>
            <filter val="AB1164_C1_52"/>
            <filter val="KOOLTI"/>
            <filter val="ID1425_C2_48"/>
            <filter val="VO2866_W44_55"/>
            <filter val="IDS2519_C4_61"/>
            <filter val="IZ233_C2_54"/>
            <filter val="RB3025_0033F_58"/>
            <filter val="IZ281_C1_54"/>
            <filter val="VO2866_W44_53"/>
            <filter val="AO 1.6 CRHMC"/>
            <filter val="DG1229_061_53"/>
            <filter val="IDS2438_C2_57"/>
            <filter val="PC8824_EEI_62"/>
            <filter val="DJ9046_C5_47"/>
            <filter val="DJ9062_C3_54"/>
            <filter val="CHRISTIAN"/>
            <filter val="RB3025_0013K_58"/>
            <filter val="FT_P265BR2_58"/>
            <filter val="PORSCHE DESIGN SHEET M S Ist"/>
            <filter val="DJ9027_C4_54"/>
            <filter val="VO5010I_W44_53"/>
            <filter val="VO5010I_W44_51"/>
            <filter val="FT_P324BK3F_M"/>
            <filter val="VE3215_617_52"/>
            <filter val="TITAN EYE + M SUPRA"/>
            <filter val="Crizal SV"/>
            <filter val="IDS2232_C1_49"/>
            <filter val="IL9363_C7_52"/>
            <filter val="ID1474_C5_54"/>
            <filter val="VO4112S_50757E_56"/>
            <filter val="ID1560_C4_54"/>
            <filter val="CHANEL SHEET IST"/>
            <filter val="ID1557_C6_52"/>
            <filter val="IDS2350_C1_50"/>
            <filter val="RB3025_0016_55"/>
            <filter val="VO3843_813_50"/>
            <filter val="FUSION"/>
            <filter val="IDS2343_C14P_58"/>
            <filter val="IDS2538_C5_49"/>
            <filter val="PLATINUM"/>
            <filter val="TH5734_C2_52"/>
            <filter val="MK GOGGLES"/>
            <filter val="OP2100_C01_52"/>
            <filter val="PG 6 LINE"/>
            <filter val="FT_M162BK1_M"/>
            <filter val="DISTRICT"/>
            <filter val="ID1495_C5_51"/>
            <filter val="OP3023_C5_51"/>
            <filter val="KX7674_1096S_50"/>
            <filter val="RB3342_006_60"/>
            <filter val="ID1476_C4_52"/>
            <filter val="INB4004_COLA_49"/>
            <filter val="DJ0502_138_53"/>
            <filter val="VO5119S_W445A_56"/>
            <filter val="DJ9206_C1_51"/>
            <filter val="MONT BLANC M FULL"/>
            <filter val="DJ9142_C1_49"/>
            <filter val="IZ523_C3_54"/>
            <filter val="SLEEK FULL METAL"/>
            <filter val="ID1508_C3_50"/>
            <filter val="IM2348_C1_49"/>
            <filter val="TF318_01B_62"/>
            <filter val="AG2103_C526_52"/>
            <filter val="SPIKE SHEET"/>
            <filter val="ID1559_C3_54"/>
            <filter val="AG1147_C5_51"/>
            <filter val="KIDDIES"/>
            <filter val="BIOTRUE SOLUTION 60 ml+SILK LENS SOLUTION"/>
            <filter val="ID1541_C3_53"/>
            <filter val="RB3025_0024O_58"/>
            <filter val="VO4125I_5116_51"/>
            <filter val="VO5183S_W4411_58"/>
            <filter val="FT_M083BR2F_M"/>
            <filter val="VO5215S_23860L_51"/>
            <filter val="VO4125I_5116_53"/>
            <filter val="PVP EYE SHEET"/>
            <filter val="VOGUE METAL Ist"/>
            <filter val="HANKER(66020)"/>
            <filter val="DJ2347_C4_52"/>
            <filter val="RB3025_00332_58"/>
            <filter val="DJ2004_C2_50"/>
            <filter val="DJ2096_C226_50"/>
            <filter val="BOSS M SUPRA"/>
            <filter val="TOM FORD DELTA"/>
            <filter val="SPEED"/>
            <filter val="ID1562_C1_55"/>
            <filter val="VO5284S_27210K_32"/>
            <filter val="RB3025_00458_58"/>
            <filter val="CARTIER FULL AVIATOR IST"/>
            <filter val="FT_P180PR2F_M"/>
            <filter val="RC522S_01B_63"/>
            <filter val="EYEJACK METAL"/>
            <filter val="TH9018_C4_50"/>
            <filter val="BURBERRY GOGGLES"/>
            <filter val="KRLSH"/>
            <filter val="AB1087_C4_53"/>
            <filter val="OP2102_C31_52"/>
            <filter val="VO4037_352_52"/>
            <filter val="DJ2062_548_55"/>
            <filter val="FT_C060BK2_54"/>
            <filter val="IDS2503_C3_58"/>
            <filter val="VO4128_5110_52"/>
            <filter val="VO4128_5110_50"/>
            <filter val="IDS2404_C2_57"/>
            <filter val="IDS2621_C3_57"/>
            <filter val="TH7898_C1_55"/>
            <filter val="ID1296_C3_50"/>
            <filter val="WALNUT +"/>
            <filter val="DJ5917_C4_51"/>
            <filter val="TOM HILL SHEET"/>
            <filter val="RC596S_08B_61"/>
            <filter val="TH9000_C4_49"/>
            <filter val="TH6113_C3_51"/>
            <filter val="PROGRESSIVE"/>
            <filter val="RB3025_01451_58"/>
            <filter val="RB3447_001_50"/>
            <filter val="INB1906A_Cat.3 S"/>
            <filter val="IS6371_C1_53"/>
            <filter val="FT_P192GR1_M"/>
            <filter val="IDS2473_C3_52"/>
            <filter val="ID1559_C5_54"/>
            <filter val="ID1546_C3_52"/>
            <filter val="RB3025_00458_62"/>
            <filter val="VO5010_2395_51"/>
            <filter val="CK3161S_004_58"/>
            <filter val="DJ9201_C1_50"/>
            <filter val="VO4125_352_53"/>
            <filter val="ID1541_C5_53"/>
            <filter val="LANTUN"/>
            <filter val="RB2180_6277B1_49"/>
            <filter val="ID1286_C4_54"/>
            <filter val="DJ9150_C1_53"/>
            <filter val="ID950_C2_51"/>
            <filter val="DERN DESK"/>
            <filter val="DJ9105_C3_51"/>
            <filter val="VO5227I_W656_52"/>
            <filter val="ID1470_C7_52"/>
            <filter val="FERRARI FULL METAL"/>
            <filter val="RB3538_1872Y_53"/>
            <filter val="TAG HEUR SHEET Ist"/>
            <filter val="KC0240_62R_51"/>
            <filter val="SPR52P_ZVN1X1_61"/>
            <filter val="IDS2553_C3_M"/>
            <filter val="VO5166_W6565R_51"/>
            <filter val="OH LA LA"/>
            <filter val="IZ105_COL1_54"/>
            <filter val="DJ2094_C410_51"/>
            <filter val="RB2448N_710_51"/>
            <filter val="IDS2476_C2_62"/>
            <filter val="PEACHY METAL"/>
            <filter val="SC1885_C3_59"/>
            <filter val="VO3947_352_52"/>
            <filter val="AB1158_C2_52"/>
            <filter val="DJ9134_C3_55"/>
            <filter val="VO3969_352_50"/>
            <filter val="VO4106_84813_55"/>
            <filter val="IM2351_C3_52"/>
            <filter val="AB4017_BLK_52"/>
            <filter val="RX6336_2857_51"/>
            <filter val="CHOPARD"/>
            <filter val="CARTIER METAL FULL IST"/>
            <filter val="DJ9091_C1_53"/>
            <filter val="RB4252_71013_51"/>
            <filter val="DJ9139_C1_54"/>
            <filter val="PC6830_UJM_56"/>
            <filter val="INB2802A_CAT3_M"/>
            <filter val="AB1127_C3_53"/>
            <filter val="ARMSTRONG"/>
            <filter val="ALLIGATOR GOGGLES"/>
            <filter val="DJ16T149_C2_53"/>
            <filter val="IDS2538_C3_49"/>
            <filter val="DIOR FULL METAL IST"/>
            <filter val="RAYBAN SHEET Ist"/>
            <filter val="DJ9050_C5_52"/>
            <filter val="CONTACT LENS PCS"/>
            <filter val="TH7920_C2_56"/>
            <filter val="VO2959S_230213_54"/>
            <filter val="ID1292_C3_52"/>
            <filter val="IDS2344_C1P_54"/>
            <filter val="TH7981_C1_58"/>
            <filter val="HASHTAG SUPRA METAL"/>
            <filter val="ID1542_C5_53"/>
            <filter val="TH7862_C2_55"/>
            <filter val="SC1863_C1_52"/>
            <filter val="IDS1802_C2_57"/>
            <filter val="DJ9026_C2_54"/>
            <filter val="IM2358_C2_53"/>
            <filter val="PA7092_C03_61"/>
            <filter val="TITANIUM SHEET"/>
            <filter val="LL5682_C5_53"/>
            <filter val="FASILOOR METAL  SIDE"/>
            <filter val="OO9247_13_57"/>
            <filter val="VENCE GOGGLES"/>
            <filter val="CK4224S_004_57"/>
            <filter val="AG2058_C614_53"/>
            <filter val="Dior goggles"/>
            <filter val="AB1098_C5_49"/>
            <filter val="TH7910_C5_55"/>
            <filter val="CARRERA FULL AVIATOR"/>
            <filter val="CK4216_320_56"/>
            <filter val="IDS2337_C2_54"/>
            <filter val="VO2899_W44_51"/>
            <filter val="DJ2070_C646_49"/>
            <filter val="VO4055SI_99613_57"/>
            <filter val="VO2925B_2048_53"/>
            <filter val="JUST NV"/>
            <filter val="DJ9064_C4_47"/>
            <filter val="AB1163_C4_52"/>
            <filter val="ELLSURISE FULL METAL"/>
            <filter val="AB1115_C5_52"/>
            <filter val="IDS2500_C48_58"/>
            <filter val="CITYFLYER"/>
            <filter val="Escape Ex"/>
            <filter val="DJ9058_C3_51"/>
            <filter val="TOMMY HILFIGER SHEET IST"/>
            <filter val="DJ3179_C3_51"/>
            <filter val="ID1561_C1_54"/>
            <filter val="ID1561_C1_51"/>
            <filter val="AB2092_C693_53"/>
            <filter val="DJ2043_C555_53"/>
            <filter val="SHEET FRAMES"/>
            <filter val="ID1038_C6_51"/>
            <filter val="INB2610B_CAT3_S"/>
            <filter val="VO5283_272573_54"/>
            <filter val="GENESIS AVIATOR"/>
            <filter val="AB1104_C4_54"/>
            <filter val="AB1136S_C4_60"/>
            <filter val="IM2311_C2_60"/>
            <filter val="D&amp;G GOGGLES"/>
            <filter val="IDS2496_C2_53"/>
            <filter val="ST10111_C1_49"/>
            <filter val="ID736_C4_53"/>
            <filter val="VO3768_352_50"/>
            <filter val="JOHN HILL SUPRA"/>
            <filter val="CK4223_377_52"/>
            <filter val="DJ9129_C2_55"/>
            <filter val="AB1132_C2_51"/>
            <filter val="TH2512_C1_53"/>
            <filter val="IDS2424_C4P_M"/>
            <filter val="ID1475_C7_48"/>
            <filter val="VO2993S_W4411_57"/>
            <filter val="CARTIER M SUPRA"/>
            <filter val="VO5271_272611_53"/>
            <filter val="AB1168_C4_54"/>
            <filter val="MAGIC PLUS(BOTH)"/>
            <filter val="DJ18632_C2_51"/>
            <filter val="FT_U005YL5F_58"/>
            <filter val="RB4147_609585_60"/>
            <filter val="ID1560_C2_54"/>
            <filter val="MILLENIUM"/>
            <filter val="ACETATE D BAR"/>
            <filter val="TESPORT"/>
            <filter val="AB1118_C1_52"/>
            <filter val="VO5118SI_W4411_57"/>
            <filter val="VO2941S_227913_56"/>
            <filter val="VO5042_1647_53"/>
            <filter val="Blue ray Progressive"/>
            <filter val="TH6000_C2_52"/>
            <filter val="CK4182_002_54"/>
            <filter val="RB3025_00478_62"/>
            <filter val="TH7848_C3_57"/>
            <filter val="COATED GLASS"/>
            <filter val="NATIONPORTS SHEET"/>
            <filter val="AB1169_C3_53"/>
            <filter val="CK4261S_060_55"/>
            <filter val="DJ9172_C5_56"/>
            <filter val="DJ2010_C48_53"/>
            <filter val="DJ2044_C13_53"/>
            <filter val="MIMI CLASSIC"/>
            <filter val="RX5312_2477_52"/>
            <filter val="VO5263BI_W656_52"/>
            <filter val="ID1545_C6_54"/>
            <filter val="DISCOVERY NOW METAL"/>
            <filter val="VO2961_W827_53"/>
            <filter val="DJ9123_C4_49"/>
            <filter val="ID1508_C1_50"/>
            <filter val="OX3131_06_53"/>
            <filter val="COMPACT READING"/>
            <filter val="RB3016_1160_51"/>
            <filter val="INB2940_CAT1_M"/>
            <filter val="PR4102_C04_58"/>
            <filter val="RESTAURA"/>
            <filter val="ID1333_C4_47"/>
            <filter val="ROUND SHEET"/>
            <filter val="RB3411_004_60"/>
            <filter val="FB4101_C2_50"/>
            <filter val="AG1093_C2_53"/>
            <filter val="IDS2551_C2_57"/>
            <filter val="ID1520_C1_50"/>
            <filter val="FANCY GOGGLES"/>
            <filter val="DAVID BECKHAM SHEET"/>
            <filter val="IDS2001_C67P_58"/>
            <filter val="RULEC FULL METAL"/>
            <filter val="VO5243SB_266920_53"/>
            <filter val="FT_C060PR3F_M"/>
            <filter val="IDS2550_C3_58"/>
            <filter val="PA7058_C03_M"/>
            <filter val="ID1489_C4_51"/>
            <filter val="VO2908_W44_53"/>
            <filter val="DJ3134_C1_51(5)"/>
            <filter val="IDS2266_C3_56"/>
            <filter val="DJ5918_C1_54"/>
            <filter val="ID1562_C3_55"/>
            <filter val="DJ5916_C2_51"/>
            <filter val="ID1547_C5_51"/>
            <filter val="PR15QS_1AB0A7_53"/>
            <filter val="RX6367_2502_51"/>
            <filter val="ID1542_C7_53"/>
            <filter val="INB1917B_CAT3_M"/>
            <filter val="CARTIER 3 PC"/>
            <filter val="TOMMY HILFIGER SHEET"/>
            <filter val="DJ15T162_C2_52"/>
            <filter val="IDS2536_C4_60"/>
            <filter val="SC4632_C2_49"/>
            <filter val="TR FANCY METAL"/>
            <filter val="DINEX SUPRA AVIATOR"/>
            <filter val="AB1108_C4_52"/>
            <filter val="PORSCHE DESIGN SURA METAL"/>
            <filter val="AB1130_C1_53"/>
            <filter val="ROMEROS"/>
            <filter val="PRADA GOGGLES"/>
            <filter val="ID1485_C6_50"/>
            <filter val="ID1548_C4_51"/>
            <filter val="CK5350_060_54"/>
            <filter val="ID1541_C7_53"/>
            <filter val="RB3530_0029A_58"/>
            <filter val="AB1115_C3_52"/>
            <filter val="RAYBAN MURCURY"/>
            <filter val="IDS2379_C2_56"/>
            <filter val="IDS2225_C1_53"/>
            <filter val="IDS2554_C1_60"/>
            <filter val="MK1010_110011_54"/>
            <filter val="TH9711_C2_53"/>
            <filter val="ALPHA ACETATE"/>
            <filter val="CK3152S_001_57"/>
            <filter val="ID1561_C3_54"/>
            <filter val="Teenager"/>
            <filter val="ID1545_C5_54"/>
            <filter val="MAIRA BOSS+ SHEET"/>
            <filter val="ID1038_C4_51"/>
            <filter val="FARENHEIT READING FOLDABLE +1"/>
            <filter val="DJ2118_C629_53"/>
            <filter val="HONEY EYEWEAR NV"/>
            <filter val="BOSS DELTA"/>
            <filter val="MAC STALIN"/>
            <filter val="Blue Cut PGKT"/>
            <filter val="AB1110_C2_53"/>
            <filter val="AG1140_C1_52"/>
            <filter val="WALNUT PRO H"/>
            <filter val="TH2512_C3_53"/>
            <filter val="ID1547_C3_51"/>
            <filter val="IZ518_C2_54"/>
            <filter val="DJ5916_C4_51"/>
            <filter val="DJ13T156"/>
            <filter val="IDS2500_C56_58"/>
            <filter val="RX6390_2928_51"/>
            <filter val="PRADA FULL METAL ROUND IST"/>
            <filter val="IDS2498_C2_58"/>
            <filter val="FT_C078YL4F_M"/>
            <filter val="VO4125I_5078_51"/>
            <filter val="AB16T150_C3_51"/>
            <filter val="VO4125I_5078_53"/>
            <filter val="AB1128_C2_53"/>
            <filter val="RX7033_5624_52"/>
            <filter val="RB3025_9001A5_58"/>
            <filter val="RX2547_2000_53"/>
            <filter val="RX6489_2500_58"/>
            <filter val="TH2544_C4_60"/>
            <filter val="ID1544_C1_52"/>
            <filter val="TH3166_C3_47"/>
            <filter val="POLO FASHION 3PCS"/>
            <filter val="CK1209S_010_62"/>
            <filter val="RB4273_6019A_52"/>
            <filter val="FT_P108BR2_M"/>
            <filter val="CRIZAL UV"/>
            <filter val="DJ2094_C533_51"/>
            <filter val="DJ9050_C2_52"/>
            <filter val="VISION SPRING"/>
            <filter val="ARC"/>
            <filter val="ID1001_C2_54"/>
            <filter val="IZ258_C3_54"/>
            <filter val="VO5268I_W44_51"/>
            <filter val="RB2132_902_52"/>
            <filter val="RX7090_5622_52"/>
            <filter val="TH7898_C8_55"/>
            <filter val="TOMMY HILFIGER FULL METAL"/>
            <filter val="AB1102_C3_52"/>
            <filter val="PRADA FULL METAL SQURE IST"/>
            <filter val="ST10109_C4_54"/>
            <filter val="EA4099_567771_56"/>
            <filter val="VO5284S_27206V_32"/>
            <filter val="IDS2500_C44_58"/>
            <filter val="ID996_C3_51"/>
            <filter val="AB1149_C2_54"/>
            <filter val="VO3980_323S_52"/>
            <filter val="Excellen"/>
            <filter val="AB1115_C2_52"/>
            <filter val="IDS2409_C1P_58"/>
            <filter val="IL9494_C2_49"/>
            <filter val="VO5282SB_W4487_54"/>
            <filter val="INB2901E_Cat.2S_68"/>
            <filter val="SUMMIT"/>
            <filter val="IDS2375_C2_53"/>
            <filter val="TH7981_C3_58"/>
            <filter val="V-READERS NV"/>
            <filter val="COME UP"/>
            <filter val="ST10111_C9_49"/>
            <filter val="VO5242S_W65613_50"/>
            <filter val="ID1561_C4_54"/>
            <filter val="RB2132_90158_55"/>
            <filter val="VO3981_979S_52"/>
            <filter val="DISNEY"/>
            <filter val="NIKE SUPRA METAL"/>
            <filter val="TR ROUND GUCCI"/>
            <filter val="AB1137_C5_59"/>
            <filter val="VISION SPRING yellow"/>
            <filter val="VO5212S_W65613_55"/>
            <filter val="TH5690_C1_52"/>
            <filter val="DITA FULL METAL"/>
            <filter val="BLUECUT HMC"/>
            <filter val="VO5119S_W65613_56"/>
            <filter val="IDS2493_C1_55"/>
            <filter val="FARENHEIT READING FOLDABLE +3.0"/>
            <filter val="CRKT ARC"/>
            <filter val="VO2940S_23828F_58"/>
            <filter val="CK4223_001_52"/>
            <filter val="GANGSTER"/>
            <filter val="MARY JANE SHEET GOGGLES"/>
            <filter val="FARENHEIT READING FOLDABLE +2"/>
            <filter val="DJ3179_C1_51"/>
            <filter val="DJ9162_C2_50"/>
            <filter val="SE1142_C2_54"/>
            <filter val="PRADA FANCY METAL IST"/>
            <filter val="EA4086_502613_54"/>
            <filter val="AB1138_C1_53"/>
            <filter val="SHEET WITH METAL SIDE"/>
            <filter val="KX7666_1032_53"/>
            <filter val="VO2937_W44_51"/>
            <filter val="DJ5915_C1_47"/>
            <filter val="IDS2550_C1_58"/>
            <filter val="RB3530_0048G_58"/>
            <filter val="TH2530_C1_51"/>
            <filter val="DJ3197_C6_53"/>
            <filter val="DJ2131_C724_56"/>
            <filter val="KROMOS"/>
            <filter val="VO5271S_W4487_53"/>
            <filter val="DJ2130_C723_54"/>
            <filter val="IL9845_C2_48"/>
            <filter val="FT_P360BR4_M"/>
            <filter val="GUCCI M FULL"/>
            <filter val="RB4274_6018G_53"/>
            <filter val="VO2940S_W4471_58"/>
            <filter val="ID1531_C2_54"/>
            <filter val="DJ2037_C307_49"/>
            <filter val="FRANK MARTIN GOGGLES"/>
            <filter val="LOUIS STYLE TR"/>
            <filter val="IZ588_C3_54"/>
            <filter val="VO2695S_234611_59"/>
            <filter val="BURBERRY FULL METAL IST"/>
            <filter val="DJ3134_C1_51(11)"/>
            <filter val="YOUNGSTUN SUPRA"/>
            <filter val="IDS2401_C7_52"/>
            <filter val="VO2817S_20308F_53"/>
            <filter val="BOSS METAL SUPRA IST"/>
            <filter val="TH9009_C5_54"/>
            <filter val="VERVE FIX PAD METAL"/>
            <filter val="DJ9049_C3_51"/>
            <filter val="ID1528_C1_51"/>
            <filter val="AB1120_C1_50"/>
            <filter val="RB3025_00358_58"/>
            <filter val="ID1562_C6_55"/>
            <filter val="PA7104_C01_M"/>
            <filter val="FT_P335GR2F_M"/>
            <filter val="VO3982SB_84813_58"/>
            <filter val="VO5247I_1647_49"/>
            <filter val="MAKKER"/>
            <filter val="NEW YORK DESIGN"/>
            <filter val="MAURIE JEAN ACETATE"/>
            <filter val="FC7311_C2_62"/>
            <filter val="ID1375_C3_53"/>
            <filter val="ZEISS BC"/>
            <filter val="FLING"/>
            <filter val="ID1564_C4_51"/>
            <filter val="IDS2538_C1_49"/>
            <filter val="IDS2301_C17P_58"/>
            <filter val="PA7106_C03_M"/>
            <filter val="Crizal SV KT"/>
            <filter val="AB1124_C4_56"/>
            <filter val="IM2357_C1_50"/>
            <filter val="RENU SOLUTION 300ML"/>
            <filter val="IDS2402_C10P_56"/>
            <filter val="TH826P_C3_52"/>
            <filter val="ID1560_C1_54"/>
            <filter val="VE3253_GB1_53"/>
            <filter val="OO9341_05_57"/>
            <filter val="SC2844_C2_60"/>
            <filter val="TAG BROTHERS SHEET"/>
            <filter val="CK5367_044_52"/>
            <filter val="VO4013_352_51"/>
            <filter val="AB1104_C3_54"/>
            <filter val="Mont Blanc 3 pc"/>
            <filter val="WONDER BABY"/>
            <filter val="FARENHEIT READING FOLDABLE +1.5"/>
            <filter val="VO5282SB_272276_54"/>
            <filter val="AB1163_C2_52"/>
            <filter val="PA7069_C02_M"/>
            <filter val="ID1521_C3_51"/>
            <filter val="VO2925BI_2362_51"/>
            <filter val="BV2162B_376_53"/>
            <filter val="RX7128_2475_53"/>
            <filter val="RAYBAN WOOD GOGGLES(4175)"/>
            <filter val="IM2333_C1_53"/>
            <filter val="IDS2476_C1_62"/>
            <filter val="ID1430_C1_52"/>
            <filter val="VO2787_2306_51"/>
            <filter val="RAYBAN FULL AVIATOR"/>
            <filter val="IDS2532_C3_51"/>
            <filter val="AB1094_C3_53"/>
            <filter val="RAYBAN D SHAPE"/>
            <filter val="AB1129_C4_54"/>
            <filter val="CONFESS GOGGLES"/>
            <filter val="POLICE SHEET"/>
            <filter val="DJ2047_C198_54"/>
            <filter val="ID925_C3_51"/>
            <filter val="DJ9105_C1_51"/>
            <filter val="DJ9152_C1_55"/>
            <filter val="OO9013_F7_55"/>
            <filter val="DENTEL"/>
            <filter val="KC1234_53F_62"/>
            <filter val="METAL RING TR"/>
            <filter val="VO3980_352S_52"/>
            <filter val="ID1561_C6_54"/>
            <filter val="PORSCHE DESIGN AVIATOR METAL IST"/>
            <filter val="AB1090_C1_53"/>
            <filter val="PA7089_C03_58"/>
            <filter val="FOS2057S_0039K_52"/>
            <filter val="TOM STYLE SHEET ROUND"/>
            <filter val="IDS2350_C4_50"/>
            <filter val="RX6295_2806_49"/>
            <filter val="VO2915S_W4411_53"/>
            <filter val="VO3838_352S_53"/>
            <filter val="VO5272_2727_51"/>
            <filter val="IDS2401_C3_52"/>
            <filter val="VO2950_2048_53"/>
            <filter val="AB1137_C3_59"/>
            <filter val="VO2950_2048_51"/>
            <filter val="VO2936_2287_54"/>
            <filter val="ID1508_C5_50"/>
            <filter val="OP3024_C2_53"/>
            <filter val="RB3025_00133_58"/>
            <filter val="VO5148B_2539_53"/>
            <filter val="DISCOVERY EYES METAL"/>
            <filter val="RX6337_2857_51"/>
            <filter val="VO4024_5025_50"/>
            <filter val="KX7091_2197_52"/>
            <filter val="RAYBAN SHEET BRAND"/>
            <filter val="IDS2500_C30_58"/>
            <filter val="VO5153_2593_51"/>
            <filter val="ID1426_C4_49"/>
            <filter val="ID1303_C3_54"/>
            <filter val="RX7097_2000_49"/>
            <filter val="ID1541_C1_53"/>
            <filter val="RB3530_00488_58"/>
            <filter val="SC4715_C2_52"/>
            <filter val="VO4128_5109_52"/>
            <filter val="OO9154_49_62"/>
            <filter val="CHANEL Ist M SUPRA+3PCS"/>
            <filter val="ID1203_C4_52"/>
            <filter val="FT_P341BK1_M"/>
            <filter val="VO4128_5109_50"/>
            <filter val="DOCTOR PLUS READING"/>
            <filter val="ID1474_C2_54"/>
            <filter val="IDS2404_C4P_57"/>
            <filter val="IDS2416_C2_55"/>
            <filter val="VO4097S_28087_58"/>
            <filter val="AB1144_C4_52"/>
            <filter val="ID1297_C3_52"/>
            <filter val="VO5009BI_16478H_58"/>
            <filter val="REAL MADRID"/>
            <filter val="TH843_C3_52"/>
            <filter val="ORION"/>
            <filter val="HANKER(66019)"/>
            <filter val="DISCOVERY SCHOOL"/>
            <filter val="PG PROGRESSIVE"/>
            <filter val="PA7100_C01_M"/>
            <filter val="HANSHA"/>
            <filter val="VO4125I_352_51"/>
            <filter val="LENS SHINE"/>
            <filter val="AB4012_DEMISLV_53"/>
            <filter val="RB3025_00332_62"/>
            <filter val="AB1100_C3_53"/>
            <filter val="DJ2003_C14_49"/>
            <filter val="IDS2499_C4_59"/>
            <filter val="OP3023_C2_51"/>
            <filter val="CHANEL SHEET"/>
            <filter val="RAYBAN AVIATORS WITH BOX"/>
            <filter val="IZ607_00168_54"/>
            <filter val="OP2105_C01_54"/>
            <filter val="VO4038_5033_54"/>
            <filter val="DJ9097_C3_48"/>
            <filter val="TH2529_C2_49"/>
            <filter val="VO2763_2279_53"/>
            <filter val="VO4138S_28069_56"/>
            <filter val="NIRVANA"/>
            <filter val="VO2968_2326_52"/>
            <filter val="AB1152_C3_52"/>
            <filter val="CELLESTIS"/>
            <filter val="ST55093_C4_52"/>
            <filter val="RB3538_18813_53"/>
            <filter val="IM2338_C3_52"/>
            <filter val="RX3947V_2501_48"/>
            <filter val="RAYBAN METAL SUPRA IST"/>
            <filter val="HANKER(66018)"/>
            <filter val="TH7869_C2_60"/>
            <filter val="ID1152_C1_54"/>
            <filter val="FT_P230BK1_M"/>
            <filter val="WORLDCUP SHEET"/>
            <filter val="LL5674_C2_51"/>
            <filter val="VO5137S_W65613_55"/>
            <filter val="IDS2508_C4_58"/>
            <filter val="AB1131_C5_52"/>
            <filter val="RICHIE RICH NV"/>
            <filter val="DJ2091_C225_51"/>
            <filter val="ID1047_C1_51"/>
            <filter val="IDS2001_C62P_58"/>
            <filter val="RB4346_62507Q_51"/>
            <filter val="AG1169_C2_53"/>
            <filter val="RB4202_60714V_55"/>
            <filter val="IDS2524_C2_60"/>
            <filter val="ID1487_C1_51"/>
            <filter val="AB1172S_C2_58"/>
            <filter val="ID1542_C1_53"/>
            <filter val="CARRERA GOGGLES"/>
            <filter val="DIOR SHEET IST"/>
            <filter val="PA7095_C03_M"/>
            <filter val="IDS2523_C1P_M"/>
            <filter val="VO3955B_352_51"/>
            <filter val="IDS2522_C2_58"/>
            <filter val="VO5211S_W4487_54"/>
            <filter val="CK3143S_001_55"/>
            <filter val="CARTIER DELTA"/>
            <filter val="BIOTRUE SOLUTION 120 ml"/>
            <filter val="AB4018_BLACK_52"/>
            <filter val="IS6290_C4_49"/>
            <filter val="RB3025_00157_55"/>
            <filter val="TH2529_C4_49"/>
            <filter val="OP3023_C4_51"/>
            <filter val="RB3025_00157_58"/>
            <filter val="PC8808_DM4_55"/>
            <filter val="IDS2408_C3_53"/>
            <filter val="TH2536_C3_55"/>
            <filter val="GALEBO"/>
            <filter val="TITAN EYE + M SUPRA IST"/>
            <filter val="IDS2532_C1_51"/>
            <filter val="Escape + Sheet"/>
            <filter val="CARTIER SHEET IST"/>
            <filter val="VO5204_2477_52"/>
            <filter val="DJ15T128_C2_51"/>
            <filter val="DJ9202_C4_49"/>
            <filter val="OX3165_03_53"/>
            <filter val="RENU_LENSSOLUTION_120"/>
            <filter val="ID1033_C4_51"/>
            <filter val="CHOICE"/>
            <filter val="TF276_74Z_59"/>
            <filter val="AG2054_C228_53"/>
            <filter val="KIDS SAFILO"/>
            <filter val="OP3025_C2_53"/>
            <filter val="RAYBAN TR SHEET"/>
            <filter val="BIOFLEX OCCLUSION EYE PATCH (REGULAR)"/>
            <filter val="VO3843I_756_50"/>
            <filter val="IDS2500_C54_58"/>
            <filter val="TOM HILL BOTIM"/>
            <filter val="OP3026_C2_53"/>
            <filter val="AB1090_C3_53"/>
            <filter val="AB4017_DEMI_52"/>
            <filter val="OP2103_C94_53"/>
            <filter val="PR4063_C02_60"/>
            <filter val="RAYBAN AVIATORS GOGGLES"/>
            <filter val="ID1528_C3_51"/>
            <filter val="IZ508_C1_54"/>
            <filter val="IDS2473_C1_52"/>
            <filter val="VERACITY FULL METAL"/>
            <filter val="AB2108_C541_53"/>
            <filter val="HANKER(66014)"/>
            <filter val="ID1426_C2_49"/>
            <filter val="IDS2406_C3_60"/>
            <filter val="FT_M062BR3_M"/>
            <filter val="SILHOUETTE SHEET"/>
            <filter val="PA7086_C02_M"/>
            <filter val="VO5010_W656_51"/>
            <filter val="DIOR LADIES"/>
            <filter val="ADIDAS"/>
            <filter val="CARRERA SUPRA METAL"/>
          </filters>
        </filterColumn>
      </autoFilter>
    </customSheetView>
    <customSheetView guid="{FBE7F28D-2550-4A5D-8A53-1A2DFC5199A7}" filter="1" showAutoFilter="1">
      <autoFilter ref="$A$1:$G$1433">
        <filterColumn colId="6">
          <filters blank="1">
            <filter val="7200"/>
            <filter val="10090/8890"/>
            <filter val="1699"/>
            <filter val="2450/2250"/>
            <filter val="6900"/>
            <filter val="4725"/>
            <filter val="11190"/>
            <filter val="4790/5090"/>
            <filter val="6990/9490"/>
            <filter val="120"/>
            <filter val="1"/>
            <filter val="2799"/>
            <filter val="3400"/>
            <filter val="12490"/>
            <filter val="9490/8890"/>
            <filter val="6250"/>
            <filter val="1475"/>
            <filter val="6925"/>
            <filter val="7690/8890"/>
            <filter val="1490"/>
            <filter val="2699"/>
            <filter val="9090"/>
            <filter val="700"/>
            <filter val="7900"/>
            <filter val="8890/9490"/>
            <filter val="4999"/>
            <filter val="7000"/>
            <filter val="12590"/>
            <filter val="200, 300"/>
            <filter val="4090"/>
            <filter val="150"/>
            <filter val="1499"/>
            <filter val="1375"/>
            <filter val="750/1000"/>
            <filter val="5990/7490"/>
            <filter val="11390"/>
            <filter val="3450"/>
            <filter val="2360"/>
            <filter val="DAMAGE"/>
            <filter val="1700"/>
            <filter val="2250(1950)"/>
            <filter val="9562"/>
            <filter val="6610"/>
            <filter val="5400"/>
            <filter val="1399"/>
            <filter val="8900"/>
            <filter val="7790/8890"/>
            <filter val="2499"/>
            <filter val="1725"/>
            <filter val="2450/2899"/>
            <filter val="3480"/>
            <filter val="750"/>
            <filter val="1299"/>
            <filter val="999"/>
            <filter val="1990"/>
            <filter val="520"/>
            <filter val="1625"/>
            <filter val="8395"/>
            <filter val="2050"/>
            <filter val="3890/3990"/>
            <filter val="4225"/>
            <filter val="2725"/>
            <filter val="1999"/>
            <filter val="4480"/>
            <filter val="5450"/>
            <filter val="11690"/>
            <filter val="2980"/>
            <filter val="4290/4690"/>
            <filter val="1400"/>
            <filter val="2299"/>
            <filter val="2970"/>
            <filter val="4235"/>
            <filter val="8970"/>
            <filter val="7880"/>
            <filter val="1990/1950"/>
            <filter val="10690"/>
            <filter val="8050"/>
            <filter val="2075"/>
            <filter val="550"/>
            <filter val="3990/3890"/>
            <filter val="799"/>
            <filter val="2080"/>
            <filter val="8190/10890"/>
            <filter val="3295"/>
            <filter val="17090"/>
            <filter val="13290"/>
            <filter val="560"/>
            <filter val="1425"/>
            <filter val="200"/>
            <filter val="5225"/>
            <filter val="3725"/>
            <filter val="120, 300"/>
            <filter val="3980"/>
            <filter val="2099"/>
            <filter val="450"/>
            <filter val="2400"/>
            <filter val="8625"/>
            <filter val="4390/3725"/>
            <filter val="13390"/>
            <filter val="11890"/>
            <filter val="11090"/>
            <filter val="2850/2950"/>
            <filter val="2899"/>
            <filter val="4950"/>
            <filter val="900"/>
          </filters>
        </filterColumn>
      </autoFilter>
    </customSheetView>
    <customSheetView guid="{9BF4C137-CCED-46AC-A13A-8417F6CD29F9}" filter="1" showAutoFilter="1">
      <autoFilter ref="$A$1:$G$1433">
        <filterColumn colId="0">
          <filters>
            <filter val="RB3561_001_57"/>
            <filter val="RAW-7 KT READING"/>
            <filter val="TH7898_C2_55"/>
            <filter val="ID1508_C2_50"/>
            <filter val="FT_P299OR2_M"/>
            <filter val="GUCCI FULL AVIATOR"/>
            <filter val="VO4128_848_52"/>
            <filter val="RB3025_1674K_55"/>
            <filter val="IDS2442_C5_51"/>
            <filter val="VO4128_848_50"/>
            <filter val="FRANCE"/>
            <filter val="DJ9182_C1_57"/>
            <filter val="RAYBAN METAL SUPRA"/>
            <filter val="MAGIC PLUS NV"/>
            <filter val="HANKER(66013)"/>
            <filter val="DJ9022_C3_53"/>
            <filter val="ID1559_C4_54"/>
            <filter val="VO4097S_323H7_58"/>
            <filter val="DJ9102_C1_52"/>
            <filter val="RB3025_11217_62"/>
            <filter val="VO5242S_W4411_50"/>
            <filter val="EA4086_56788Z_54"/>
            <filter val="DR READING"/>
            <filter val="EA4094_502613_56"/>
            <filter val="ID1484_C3_51"/>
            <filter val="ESCAPE FULL METAL"/>
            <filter val="AB2067_C176_50"/>
            <filter val="DJ9113S_C1_54"/>
            <filter val="VO2714_2406_54"/>
            <filter val="BRATS &amp; DOLLS"/>
            <filter val="ID1047_C2_51"/>
            <filter val="DJ15T163_C5_54"/>
            <filter val="AB1124_C1_56"/>
            <filter val="VO2714_2406_52"/>
            <filter val="RX6049_2502_55"/>
            <filter val="DJ2076_C230_50"/>
            <filter val="KX7646_1010_49"/>
            <filter val="ID1562_C2_55"/>
            <filter val="AB2040_C510_51"/>
            <filter val="VO3955B_280_51"/>
            <filter val="ID1490_C4_53"/>
            <filter val="FOS3010PS_003Y2_59"/>
            <filter val="CK4260S_196_55"/>
            <filter val="VO5134S_25318H_55"/>
            <filter val="HANKER(66012)"/>
            <filter val="RB3025_11217_58"/>
            <filter val="AB1162_C3_51"/>
            <filter val="IZ398_C1_54"/>
            <filter val="IDS2476_C3_62"/>
            <filter val="SE1237_C4_52"/>
            <filter val="RX6305_2503_54"/>
            <filter val="IMAGE FANCY METAL"/>
            <filter val="AG1109_C4_51"/>
            <filter val="READER READING"/>
            <filter val="DJ2069_C221_47"/>
            <filter val="IDS2486_C2_53"/>
            <filter val="RB4147_60132_60"/>
            <filter val="TH7976_C1_52"/>
            <filter val="PGARC"/>
            <filter val="AB1084_C2_53"/>
            <filter val="VO2906_W44_52"/>
            <filter val="SMARTENT"/>
            <filter val="DJ9139_C2_54"/>
            <filter val="IZ279_C2_M"/>
            <filter val="ID1560_C5_54"/>
            <filter val="LOUIS VUITION FULL METAL"/>
            <filter val="DATA SOFT"/>
            <filter val="DJ9151_C4_54"/>
            <filter val="MAIRA BOSS SUPRA METAL"/>
            <filter val="FANCY LADIES"/>
            <filter val="IL9453_C3_48"/>
            <filter val="SC2843_C1_61"/>
            <filter val="VO2864_2183_52"/>
            <filter val="DJ2119_C1_52"/>
            <filter val="ID1563_C6_53"/>
            <filter val="VO4140_5078_53"/>
            <filter val="AB1125_C5_52"/>
            <filter val="VOGUE SHEET IST"/>
            <filter val="VO3983S_964S11_58"/>
            <filter val="AB1159_C3_50"/>
            <filter val="IDS2528_C2_M"/>
            <filter val="ID1471_C3_50"/>
            <filter val="RB3025_0033E_58"/>
            <filter val="REl18517_NSZ_M"/>
            <filter val="NIKE"/>
            <filter val="TOM HILL NV READYMADE"/>
            <filter val="IM362P_C2_M"/>
            <filter val="TH9000_C3_49"/>
            <filter val="IZ233_C3_54"/>
            <filter val="RAYBAN AVIATOR SUPRA METAL IST"/>
            <filter val="OP2134_C01_51"/>
            <filter val="RB3016_114517_51"/>
            <filter val="CK1184SP_006_59"/>
            <filter val="TH9018_C3_50"/>
            <filter val="VO5247I_2395_49"/>
            <filter val="VO5216BI_W656_51"/>
            <filter val="ID1144_C2_53"/>
            <filter val="Elements FSV Bluecut"/>
            <filter val="PGKT 6LINE"/>
            <filter val="VO5061SB_W4487_53"/>
            <filter val="BOB MANDATORY"/>
            <filter val="AB1103_C3_52"/>
            <filter val="ST10121_C3_52"/>
            <filter val="MAYBACH FULL METAL"/>
            <filter val="ID698_C5_53"/>
            <filter val="AB1158_C1_52"/>
            <filter val="IL9491_C3_49"/>
            <filter val="VO5268I_W656_51"/>
            <filter val="VERSACE FULL METAL"/>
            <filter val="PA7097_C02_M"/>
            <filter val="VO2925B_W44_53"/>
            <filter val="VO5283S_260513_54"/>
            <filter val="DJ2131_C730_56"/>
            <filter val="EMPORIO ARMANI METAL"/>
            <filter val="VO2925B_W44_51"/>
            <filter val="VO4038_352_54"/>
            <filter val="IDS2500_C52_58"/>
            <filter val="YG TR METAL"/>
            <filter val="VO4128_323_50"/>
            <filter val="VO5030_W827_53"/>
            <filter val="RX6385_2509_53"/>
            <filter val="VO4128_323_52"/>
            <filter val="DJ16T149_C1_53"/>
            <filter val="FT_M050BR5_M"/>
            <filter val="TOM STYLE"/>
            <filter val="GUYS"/>
            <filter val="AB1129_C3_54"/>
            <filter val="DJ3146_C1_50"/>
            <filter val="AB1164_C2_52"/>
            <filter val="TH5734_C3_52"/>
            <filter val="ID1548_C1_51"/>
            <filter val="FFF SHEET"/>
            <filter val="RAYBAN GOGGLES(4190)"/>
            <filter val="TOM LEO"/>
            <filter val="LL8006_C3_M"/>
            <filter val="AB2040_C317_53"/>
            <filter val="IDS2401_C2_52"/>
            <filter val="DJ9174_C1_58"/>
            <filter val="RX3610V_2500_58"/>
            <filter val="VO3997S_32348_58"/>
            <filter val="IS6241_C21_53"/>
            <filter val="MAIRA BOSS FULL METAL"/>
            <filter val="IZ523_C2_54"/>
            <filter val="MYSTERY"/>
            <filter val="DJ9142_C2_49"/>
            <filter val="IDS2539_C1_55"/>
            <filter val="VO3931I_352_53"/>
            <filter val="ID1479_C4_50"/>
            <filter val="FT_P040BR2_M"/>
            <filter val="ID1508_C4_50"/>
            <filter val="IZ303_C2_54"/>
            <filter val="RX6384_2502_54"/>
            <filter val="DJ9044_C5_49"/>
            <filter val="VO3983S_965S8H_58"/>
            <filter val="DJ9064_C1_47"/>
            <filter val="DJ21007_C4_52"/>
            <filter val="TH7921_C3_55"/>
            <filter val="Bandage lens"/>
            <filter val="RB4216_601S71_56"/>
            <filter val="VO5227I_W44_52"/>
            <filter val="IDS2508_C2_58"/>
            <filter val="SKY BORN ACETATE"/>
            <filter val="LL5674_C4_51"/>
            <filter val="CK3161S_003_58"/>
            <filter val="ID1541_C4_53"/>
            <filter val="DJ9201_C2_50"/>
            <filter val="OO9316_04_63"/>
            <filter val="FT_M032BU1_M"/>
            <filter val="AG2058_C559_53"/>
            <filter val="PA7093_C03_50"/>
            <filter val="DJ9132S_C1_57"/>
            <filter val="AG2058_C1_53"/>
            <filter val="IZ525_C1_54"/>
            <filter val="VERSACE GOGGLES"/>
            <filter val="TH2543_C4_59"/>
            <filter val="TIGER/TIGER MK"/>
            <filter val="RAYBAN CANDY"/>
            <filter val="ID1478_C4_53"/>
            <filter val="RB4147_60158_60"/>
            <filter val="ID722_C3_52"/>
            <filter val="RB8041_001_58"/>
            <filter val="SE1170_C1_53"/>
            <filter val="RX7056_2000_53"/>
            <filter val="MIKINITEEN"/>
            <filter val="DJ9176S_C1_59"/>
            <filter val="FT_PC001BU13_M"/>
            <filter val="MOON LIGHT FULL METAL"/>
            <filter val="TF376_90B_58"/>
            <filter val="HC"/>
            <filter val="DJ2118_C637_53"/>
            <filter val="AB1117_C5_53"/>
            <filter val="DJ9046_C4_47"/>
            <filter val="VO4112S_84813_56"/>
            <filter val="INB4004_COLB_49"/>
            <filter val="ID973_C2_51"/>
            <filter val="IZ398_C3_54"/>
            <filter val="AZEETA SHEET"/>
            <filter val="AB1108_C5_52"/>
            <filter val="BIOFLEX OCCLUSION EYE WIPES"/>
            <filter val="RB3025_W3277_58"/>
            <filter val="IDS2392_C2_49"/>
            <filter val="Teenager Big"/>
            <filter val="RB3025_09032_58"/>
            <filter val="GOAVIATOR  FULL AVIATOR"/>
            <filter val="color contact lens"/>
            <filter val="VO4015B_352_53"/>
            <filter val="ID1548_C5_51"/>
            <filter val="HAPPINESS"/>
            <filter val="VO5211S_W4411_54"/>
            <filter val="TH2515_C3_50"/>
            <filter val="KC1288_32E_58"/>
            <filter val="ID1541_C6_53"/>
            <filter val="MONT BLANC M SUPRA"/>
            <filter val="VO2943SB_201148_55"/>
            <filter val="VO5167S_2621_50"/>
            <filter val="IDS2514_C1_53"/>
            <filter val="IDS2552_C3_56"/>
            <filter val="FT_P089WH4_M"/>
            <filter val="IDS2434_C3_54"/>
            <filter val="FT_P230GR3P_M"/>
            <filter val="VO2942SB_201148_55"/>
            <filter val="DJ2032_C548_51"/>
            <filter val="VO5283S_27248Z_54"/>
            <filter val="LANZO LOUIS"/>
            <filter val="COSTA 3 PC"/>
            <filter val="BLOOM PRIME"/>
            <filter val="FT_M165YL7_M"/>
            <filter val="Protective cup goggles"/>
            <filter val="AB2093_C484_53"/>
            <filter val="ID1495_C2_51"/>
            <filter val="IDS2495_C2_58"/>
            <filter val="AB1169_C4_53"/>
            <filter val="IZ485_C2_54"/>
            <filter val="PEN READING"/>
            <filter val="ESCAPE DIVA"/>
            <filter val="INB1907D_CAT3_M"/>
            <filter val="RX7127_2475_53"/>
            <filter val="AG2058_C243_53"/>
            <filter val="Gsenev Aviator"/>
            <filter val="AB1117_C3_53"/>
            <filter val="AB1175S_C3_53"/>
            <filter val="RB3025_00151_58"/>
            <filter val="MINI READING"/>
            <filter val="TITAN EYE + SHEET"/>
            <filter val="RB3025_00151_55"/>
            <filter val="TH844_C2S_53"/>
            <filter val="DJ9167_C5_58"/>
            <filter val="VO2906_2249_52"/>
            <filter val="RX7027_5419_54"/>
            <filter val="IDS2442_C3_51"/>
            <filter val="LOCATIN"/>
            <filter val="FT_P429BU4_M"/>
            <filter val="TONNY DAVID FULL METAL"/>
            <filter val="DJ9127S_C7_56"/>
            <filter val="IDS2506_C1_66"/>
            <filter val="VO3997S_93413_58"/>
            <filter val="ID1486_C4_50"/>
            <filter val="BE4193_300213_57"/>
            <filter val="ID1519_C1_49"/>
            <filter val="DJ2079_C219_55"/>
            <filter val="PA7093_C01_60"/>
            <filter val="ID1564_C3_51"/>
            <filter val="RX6266_2501_51"/>
            <filter val="VO5227I_2362_52"/>
            <filter val="BOSS HUGO BOSS SHEET"/>
            <filter val="VO5282SB_260569_54"/>
            <filter val="FT_M180SL3F_M"/>
            <filter val="VO3992_352_53"/>
            <filter val="RB3561_9001A5_57"/>
            <filter val="VO2924BI_2065_51"/>
            <filter val="X-ITE"/>
            <filter val="DJ2347_C5_52"/>
            <filter val="RB3025_00258_62"/>
            <filter val="TR OAKLEY"/>
            <filter val="VO4139SB_50758Z_54"/>
            <filter val="IDS2428_C3_M"/>
            <filter val="ID1547_C6_51"/>
            <filter val="DJ5916_C1_51"/>
            <filter val="IM2357_C2_50"/>
            <filter val="VO2843S_227811_56"/>
            <filter val="ID1562_C4_55"/>
            <filter val="DJ9026_C1_54"/>
            <filter val="VO3981_352_54"/>
            <filter val="ID997_C3_52"/>
            <filter val="ID1482_C6_51"/>
            <filter val="SC4616_C3_51"/>
            <filter val="DJ5914_C2_46"/>
            <filter val="VO3981_352_52"/>
            <filter val="IDS1961_C3P_58"/>
            <filter val="AB2038_C578_50"/>
            <filter val="IDS2539_C3_57"/>
            <filter val="AB1098_C6_49"/>
            <filter val="DJ0301_BLK_52"/>
            <filter val="IDS2170_C1_52"/>
            <filter val="DJ9134_C4B_55"/>
            <filter val="FT_P178BR3FP_M"/>
            <filter val="DJ9064_C3_47"/>
            <filter val="VO4104_2807A_57"/>
            <filter val="POLICE METAL SUPRA IST"/>
            <filter val="SC4614_C4_51"/>
            <filter val="VO5216BI_W44_51"/>
            <filter val="FANCY METAL BIG SHAPE"/>
            <filter val="RB3025_003_58"/>
            <filter val="RX5312_5537_52"/>
            <filter val="TH6213_C3_54"/>
            <filter val="VO5284S_W4487_32"/>
            <filter val="TH7912_C1_60"/>
            <filter val="OO9188_16_59"/>
            <filter val="DJ9057_C5_54"/>
            <filter val="DJ2050_C234_50"/>
            <filter val="ID1511_C2_51"/>
            <filter val="ID1561_C2_54"/>
            <filter val="IDS2365_C3P_M"/>
            <filter val="VO2819S_W4411_58"/>
            <filter val="CANSTAR"/>
            <filter val="VO2993S_W65613_57"/>
            <filter val="OP3026_C7_53"/>
            <filter val="DJ9162_C5_50"/>
            <filter val="VO2829SM_W4411_58"/>
            <filter val="VO5247_W656_49"/>
            <filter val="ID1460_C2_54"/>
            <filter val="AB1121_C2_52"/>
            <filter val="BE20030_C01_M"/>
            <filter val="DIOR IST"/>
            <filter val="RX7017_5200_54"/>
            <filter val="ID1489_C5_51"/>
            <filter val="DJ5916_C3_51"/>
            <filter val="PC8827_SSH_55"/>
            <filter val="POLO FASHION TR"/>
            <filter val="ESCAPE MB"/>
            <filter val="DJ2074_C350_52"/>
            <filter val="BIOTRUE 300 ML"/>
            <filter val="ID1547_C4_51"/>
            <filter val="VO2870S_235811_52"/>
            <filter val="FT_M050BU2_64"/>
            <filter val="VE4321_518213_58"/>
            <filter val="OBSERVER"/>
            <filter val="FT_P294BU2_M"/>
            <filter val="VO2767_1947_50"/>
            <filter val="DJ9115_C5_49"/>
            <filter val="ID1487_C6_51"/>
            <filter val="CK3143S_228_55"/>
            <filter val="VO4092B_507514_56"/>
            <filter val="AB1119_C2_55"/>
            <filter val="RB3025_W3275_55"/>
            <filter val="RB2140_955_52"/>
            <filter val="BANKU KIDS"/>
            <filter val="UIVI FULL AVIATOR"/>
            <filter val="TH2514_C2_53"/>
            <filter val="POLICE DELTA"/>
            <filter val="TH846_C8_58"/>
            <filter val="SE1184_C5_55"/>
            <filter val="DJ2133_C225_53"/>
            <filter val="FT_M062BK1_M"/>
            <filter val="RX6049_2500_52"/>
            <filter val="O MATTER"/>
            <filter val="AISLIN SHEET GOGGLES"/>
            <filter val="RAYBAN GOGGLES"/>
            <filter val="TOMMY HILFIGER FULL METAL IST"/>
            <filter val="DJ8783_C6_52"/>
            <filter val="RX3578V_2904_50"/>
            <filter val="RB3025_0013E_55"/>
            <filter val="GUCCI FULL METAL SQURE"/>
            <filter val="DJ2001_C11_53"/>
            <filter val="IDS2538_C4_49"/>
            <filter val="RB3558_004B8_58"/>
            <filter val="AB1118_C2_52"/>
            <filter val="SC4750_C1_52"/>
            <filter val="TANKS METAL ROUND"/>
            <filter val="AB1167_C3_53"/>
            <filter val="AB1123_C2_55"/>
            <filter val="TOMMY FASHION"/>
            <filter val="DJ2075_C198_56"/>
            <filter val="RX6424_2502_53"/>
            <filter val="FT_M149BU2_M"/>
            <filter val="ID961_C2_51"/>
            <filter val="TH7920_C1_56"/>
            <filter val="TH5734_C1_52"/>
            <filter val="AG1086_C2_54"/>
            <filter val="DJ9062_C4_54"/>
            <filter val="RB3025_0013E_62"/>
            <filter val="AB1171_C3_61"/>
            <filter val="PG"/>
            <filter val="DJ2115_C645_50"/>
            <filter val="OO9102_01_55"/>
            <filter val="VO5272_2731_51"/>
            <filter val="FT_M138BR2_58"/>
            <filter val="AB16T150_C2_51"/>
            <filter val="CUP Goggles/SUNGLASS PROTECTIVE"/>
            <filter val="FT_M154BR2_M"/>
            <filter val="VO4119_5078_51"/>
            <filter val="RB3025_00451_58"/>
            <filter val="D&amp;G SHEET IST"/>
            <filter val="CRKT"/>
            <filter val="IDS2413_C1_62"/>
            <filter val="VO5204I_W44_52"/>
            <filter val="RAFA PC"/>
            <filter val="IDS2193_C2_58"/>
            <filter val="RJ9054S_186/87_51"/>
            <filter val="CHRISTIAN DIOR FULL METAL IST"/>
            <filter val="TH7914_C4_48"/>
            <filter val="TH7975_C3_50"/>
            <filter val="PORSCHE DESIGN GOGGLES"/>
            <filter val="VO2896_W4411_54"/>
            <filter val="ID1248_C8_50"/>
            <filter val="ID1426_C1_49"/>
            <filter val="CK5350_403_54"/>
            <filter val="ID1427_C5_52"/>
            <filter val="AB2092_C581_51"/>
            <filter val="RX6241E_2501_52"/>
            <filter val="DJ9162_C1_50"/>
            <filter val="PR27NS_1AB3M1_55"/>
            <filter val="SE1157_C1_52"/>
            <filter val="ID1536_C1_51"/>
            <filter val="VO2943SB_W4411_55"/>
            <filter val="FT_M068BK8P_M"/>
            <filter val="RB7060_6019A_54"/>
            <filter val="IDS2523_C2P-55"/>
            <filter val="PA7037_C01_M"/>
            <filter val="PR4096_C03_M"/>
            <filter val="TH2514_C1_53"/>
            <filter val="VO2894SB_191613_56"/>
            <filter val="IDS2472_C2_52"/>
            <filter val="ID1430_C4_52"/>
            <filter val="ID1027_C2_53"/>
            <filter val="DJ9049_C2_51"/>
            <filter val="ID1200_C5_53"/>
            <filter val="TH7977_C1_56"/>
            <filter val="ID1542_C2_53"/>
            <filter val="SPIDERMAN METAL"/>
            <filter val="CARTIER SHEET"/>
            <filter val="KC1253S_52F_60"/>
            <filter val="TH7981_C4_58"/>
            <filter val="RB3025_0013F_58"/>
            <filter val="VO4037_280_52"/>
            <filter val="DJ9201_C5_50"/>
            <filter val="RAYBAN FANCY METAL"/>
            <filter val="FT_P192BR2_M"/>
            <filter val="DJ2098_C226_47"/>
            <filter val="OX1131_04_52"/>
            <filter val="BOTEGO PASSION"/>
            <filter val="SUPEROL"/>
            <filter val="LOUIS STYLE 3 PC"/>
            <filter val="FT_P241BK1_M"/>
            <filter val="AB1136_C2_60"/>
            <filter val="FT_P336SL2_M"/>
            <filter val="VERVE ACETATE SHEET"/>
            <filter val="KC1288_08B_58"/>
            <filter val="Bluecut CRKT"/>
            <filter val="IDS2552_C1_M"/>
            <filter val="BORN CRAZY METAL"/>
            <filter val="IDS2297_C1_57"/>
            <filter val="TH3166_C2_47"/>
            <filter val="BABY ACETATE"/>
            <filter val="KIDS"/>
            <filter val="FT_M131BK1P_62"/>
            <filter val="SOLANA FULL METAL"/>
            <filter val="CK1089_028_58"/>
            <filter val="HIGH FLIER BABY"/>
            <filter val="ID1509_C2_50"/>
            <filter val="SE1167_C9_52"/>
            <filter val="CK2146SA_001_59"/>
            <filter val="MONT BLANC SHEET IST"/>
            <filter val="LADIES METAL WILI"/>
            <filter val="PARI FULL METAL"/>
            <filter val="RB3539_1928G_54"/>
            <filter val="KX7107_2209_52"/>
            <filter val="OO9265_02_59"/>
            <filter val="RAYBAN DIAMOND AVIATORS+O SHAPE GOGGLES(3517+3510)"/>
            <filter val="RX5337_5528_54"/>
            <filter val="DJ2132_C225_53"/>
            <filter val="VO2896S_W65613_54"/>
            <filter val="ID1030_C1_53"/>
            <filter val="IZ518_C3_54"/>
            <filter val="DL5218V_068_53"/>
            <filter val="RX3582V_2500_51"/>
            <filter val="DJ0501_135_50"/>
            <filter val="RB3025_00451_55"/>
            <filter val="DJ2111_C4_52"/>
            <filter val="IL9444_C4_50"/>
            <filter val="RX6384_2509_52"/>
            <filter val="ID908_C2_50"/>
            <filter val="VO5205S_25547E_62"/>
            <filter val="RB4264_601SA1_58"/>
            <filter val="VO3981_548_52"/>
            <filter val="SC748_C589_51"/>
            <filter val="SE1262_C3_48"/>
            <filter val="ID1134_C2_49"/>
            <filter val="RX6489_2501_58"/>
            <filter val="IDS2485_C1_57"/>
            <filter val="BILGISAY"/>
            <filter val="ESCAPE DEJAVU"/>
            <filter val="DJ2346_C5_55"/>
            <filter val="IDS2526_C3_60"/>
            <filter val="EMPORIO ARMANI SHEET"/>
            <filter val="IS6140_C06_52"/>
            <filter val="VO2915S_22618H_53"/>
            <filter val="TH2529_C1_49"/>
            <filter val="RB3025_9002A6_55"/>
            <filter val="AB2108_C539_53"/>
            <filter val="RAYBAN GOLD PG"/>
            <filter val="ID1521_C2_51"/>
            <filter val="IDS2408_C5P_53"/>
            <filter val="VISION SPRING READER"/>
            <filter val="ST10107_C5_52"/>
            <filter val="VO5269S_W65613_56"/>
            <filter val="IDS2506_C3_M"/>
            <filter val="PRADA METAL SUPRA IST"/>
            <filter val="TOM FORD METAL  Ist"/>
            <filter val="VO4002S_99511_55"/>
            <filter val="PRADA SHEET"/>
            <filter val="VO2886_W44_53"/>
            <filter val="DJ9126S_C1_59"/>
            <filter val="IZ518_C1_54"/>
            <filter val="INB1912D_Cat.2 S"/>
            <filter val="AB1115_C1_52"/>
            <filter val="PR4096_C01_M"/>
            <filter val="FARENHEIT READING FOLDABLE +2.5"/>
            <filter val="PA7076_C04_M"/>
            <filter val="ID1561_C5_54"/>
            <filter val="SANAFLEX"/>
            <filter val="RX6266_2502_53"/>
            <filter val="RX7014_2000_54"/>
            <filter val="TH2544_C3_60"/>
            <filter val="PORSCHE DESIGN FULL METAL"/>
            <filter val="GUCCI SHEET Ist"/>
            <filter val="IZ500_C2_54"/>
            <filter val="RENU_LENSSOLUTION_60"/>
            <filter val="OP3023_C1_51"/>
            <filter val="DJ18632_C1_51"/>
            <filter val="ULTEM"/>
            <filter val="BE4201_300273_58"/>
            <filter val="VO4091BI_84873_56"/>
            <filter val="PAGE 4"/>
            <filter val="TH844_C1S_53"/>
            <filter val="IDS2508_C7_58"/>
            <filter val="LL1927_C2_49"/>
            <filter val="CARRERA DELTA"/>
            <filter val="IDS2477_C2_56"/>
            <filter val="VO2998_2386_54"/>
            <filter val="IM277_C3_M"/>
            <filter val="IZ144_00232_M"/>
            <filter val="ID980_C1_50"/>
            <filter val="IDS2528_C3_58"/>
            <filter val="RAYBAN FULL AVIATOR IST"/>
            <filter val="TOMMY SPORT 3 PC"/>
            <filter val="ESCAPE TR METAL SIDE"/>
            <filter val="AG1151_C4_50"/>
            <filter val="ID906_C4_50"/>
            <filter val="TH2530_C2_51"/>
            <filter val="ID1542_C4_53"/>
            <filter val="IM2328_C1_52"/>
            <filter val="VO5280SB_272276_57"/>
            <filter val="driving goggles"/>
            <filter val="IDS2520_C1_53"/>
            <filter val="DJ9174S_C5_58"/>
            <filter val="VO2915S_226214_53"/>
            <filter val="VO2787_2406_53"/>
            <filter val="VO2787_2406_51"/>
            <filter val="ID1511_C5_51"/>
            <filter val="ID674_C1_55"/>
            <filter val="DJ9053_C3_50"/>
            <filter val="DJ15T156_C5_53"/>
            <filter val="DJ2076_C614_50"/>
            <filter val="TH2527_C1_62"/>
            <filter val="DJ9165_C1_55"/>
            <filter val="VO5164S_W4411_52"/>
            <filter val="HASHTAG FULL METAL"/>
            <filter val="VO4125_5115_53"/>
            <filter val="AB1128_C5_53"/>
            <filter val="RB3025_0023F_58"/>
            <filter val="CALEB"/>
            <filter val="OP2170_C46_50"/>
            <filter val="BISMARCK"/>
            <filter val="TH5734_C4_52"/>
            <filter val="RB3432_004_59"/>
            <filter val="ROCKER SHEET"/>
            <filter val="FT_P327BU2_M"/>
            <filter val="ID1246_C2_51"/>
            <filter val="INB1915_CAT3_M"/>
            <filter val="MIGHTY FULL METAL"/>
            <filter val="MADRIDCITY SHEET"/>
            <filter val="IZ508_C2_54"/>
            <filter val="RB2132_710_58"/>
            <filter val="VO4016B_848_53"/>
            <filter val="CARTIER 3PC Ist"/>
            <filter val="ID1153_C4_52"/>
            <filter val="TH7881_C3_59"/>
            <filter val="DJ9135_C4_48"/>
            <filter val="TH2536_C2_55"/>
            <filter val="DIOR DELTA"/>
            <filter val="VO4016B_848_51"/>
            <filter val="HANKER(66009)"/>
            <filter val="CK4151_001_56"/>
            <filter val="DJ15T158_C5_53"/>
            <filter val="VO5166S_256613_51"/>
            <filter val="VO4128_5108_50"/>
            <filter val="DJ9132S_C3_57"/>
            <filter val="CARRERA METAL Ist"/>
            <filter val="VO4038_548_54"/>
            <filter val="IDS2351_C3_56"/>
            <filter val="VO3997S_848T5_58"/>
            <filter val="TI_G170PYFL9B-60"/>
            <filter val="DJ9044_C4_49"/>
            <filter val="DJ0301_GUN_52"/>
            <filter val="RX6322_2503_53"/>
            <filter val="BOSS METAL Full Ist"/>
            <filter val="color CLS"/>
            <filter val="ULTRA LIGHT SHEET"/>
            <filter val="HARLEY DAVIDSON SHEET"/>
            <filter val="RX3947V_2500_51"/>
            <filter val="ID1545_C2_54"/>
            <filter val="TH2527_C3_62"/>
            <filter val="TAG HEUR 3 PC"/>
            <filter val="U EYEWEAR BLUE"/>
            <filter val="AB1087_C3_53"/>
            <filter val="SWISS"/>
            <filter val="VO2916_W4411_58"/>
            <filter val="AB1090_C2_53"/>
            <filter val="OX1131_06_52"/>
            <filter val="RB3025_00168_58"/>
            <filter val="IDS2401_C4_52"/>
            <filter val="WALNUT PRO"/>
            <filter val="FT_P223GR1_M"/>
            <filter val="ID940_C2_52"/>
            <filter val="GLASS"/>
            <filter val="ULTRA WATCH"/>
            <filter val="DJ8235_DP_53"/>
            <filter val="FT_M035GY1_M"/>
            <filter val="IDS2354_C2P_M"/>
            <filter val="OP3026_C1_53"/>
            <filter val="CREATIE"/>
            <filter val="IDS2532_C2_51"/>
            <filter val="CK3154_214_62"/>
            <filter val="AB1140_C3_52"/>
            <filter val="RAYBAN ACETATE"/>
            <filter val="VE1210BM_1002_52"/>
            <filter val="ID1480_C4_51"/>
            <filter val="VO5247I_W44_49"/>
            <filter val="RX5337_2012_54"/>
            <filter val="VO3969_934_50"/>
            <filter val="DJ2050_C226_48"/>
            <filter val="TH2543_C3_59"/>
            <filter val="Display Goggles"/>
            <filter val="WHITE KT"/>
            <filter val="DJ9201_C3_50"/>
            <filter val="CK1209S_001_62"/>
            <filter val="MENEING"/>
            <filter val="AB1142_C5_50"/>
            <filter val="ID1561_C7_54"/>
            <filter val="DJ9112S_C1_61"/>
            <filter val="RJ9506S_22011_50"/>
            <filter val="VO5280SB_260569_57"/>
            <filter val="AB1162_C1_51"/>
            <filter val="ID1427_C1_52"/>
            <filter val="IDS2352_C3_56"/>
            <filter val="FT_P218BR2FP_M"/>
            <filter val="SYNERGY SHEET"/>
            <filter val="RX6325_2730_53"/>
            <filter val="MAGIC TR"/>
            <filter val="DJ5902_C1_53"/>
            <filter val="ID1470_C5_52"/>
            <filter val="KX7109_2019_50"/>
            <filter val="VO5002_W44_52"/>
            <filter val="ID873_C3_51"/>
            <filter val="AG1107_C4_50"/>
            <filter val="IDS1700_C31_M"/>
            <filter val="TH2530_C4_51"/>
            <filter val="AB2108_C540_51"/>
            <filter val="RB3025JM_169_55"/>
            <filter val="Blue cut PG"/>
            <filter val="LL3606_C2_53"/>
            <filter val="VO2660_W65613_58"/>
            <filter val="ID878_C1_52"/>
            <filter val="VO5283S_27236V_54"/>
            <filter val="ID1541_C2_53"/>
            <filter val="KC0212_052_54"/>
            <filter val="RB3025_00217_58"/>
            <filter val="SE1276_C4_52"/>
            <filter val="WALNUT FAB"/>
            <filter val="AB1138_C4_53"/>
            <filter val="PA7037_C03_M"/>
            <filter val="ID1483_C2_50"/>
            <filter val="LL8001_C1_M"/>
            <filter val="WILTON"/>
            <filter val="CAPS SHEET"/>
            <filter val="VO4083S_84811_55"/>
            <filter val="IDS2505_C1P_54"/>
            <filter val="IDS1874_C2_59"/>
            <filter val="VO3983S_548S13_58"/>
            <filter val="KIXSQUEST READING"/>
            <filter val="READING NV"/>
            <filter val="PA7072_C03_54"/>
            <filter val="OX1136_06_52"/>
            <filter val="ID1428_C1_47"/>
            <filter val="Image7000_C2_M"/>
            <filter val="TH846_C2S_58"/>
            <filter val="VO5282SB_260480_54"/>
            <filter val="CLASSIC SHEET"/>
            <filter val="AB2092_C455_53"/>
            <filter val="RAYBAN TR PARIS"/>
            <filter val="TH2529_C3_49"/>
            <filter val="FT_P430BR2_M"/>
            <filter val="RB3025_00158_58"/>
            <filter val="PA7092_C02_M"/>
            <filter val="IZ278_C2_54"/>
            <filter val="INB2946B_CAT3_M"/>
            <filter val="AB1152_C2_52"/>
            <filter val="OLIVICRR"/>
            <filter val="POSS DESIGN NV"/>
            <filter val="RB3025_181_58"/>
            <filter val="RB2132_71051_55"/>
            <filter val="VO4055SI_502214_57"/>
            <filter val="VO5007B_W4411_58"/>
            <filter val="SE1512_C1_53"/>
            <filter val="ID1027_C4_53"/>
            <filter val="COPPER METAL"/>
            <filter val="AB4017_DEMIRED_52"/>
            <filter val="DJ9141_C5_53"/>
            <filter val="RC583S_69Z_64"/>
            <filter val="RX6303_2501_53"/>
            <filter val="TH2537_C2_55"/>
            <filter val="DJ15T126_C3_54"/>
            <filter val="ID1544_C6_52"/>
            <filter val="VISION SPRING SUNGLASSES"/>
            <filter val="TRIO"/>
            <filter val="KX7674_1006_52"/>
            <filter val="VO2940S_229648_58"/>
            <filter val="KADDORA SHEET"/>
            <filter val="DIOR ROUND METAL IST"/>
            <filter val="DJ084_C4_52"/>
            <filter val="AG1098_C4_49"/>
            <filter val="IM2356_C1_52"/>
            <filter val="IZ525_C2_54"/>
            <filter val="RX6386_2500_51"/>
            <filter val="AB1090_C4_53"/>
            <filter val="AB1164_C1_52"/>
            <filter val="KOOLTI"/>
            <filter val="ID1425_C2_48"/>
            <filter val="VO2866_W44_55"/>
            <filter val="IDS2519_C4_61"/>
            <filter val="IZ233_C2_54"/>
            <filter val="RB3025_0033F_58"/>
            <filter val="IZ281_C1_54"/>
            <filter val="VO2866_W44_53"/>
            <filter val="AO 1.6 CRHMC"/>
            <filter val="DG1229_061_53"/>
            <filter val="IDS2438_C2_57"/>
            <filter val="PC8824_EEI_62"/>
            <filter val="DJ9046_C5_47"/>
            <filter val="DJ9062_C3_54"/>
            <filter val="CHRISTIAN"/>
            <filter val="RB3025_0013K_58"/>
            <filter val="FT_P265BR2_58"/>
            <filter val="PORSCHE DESIGN SHEET M S Ist"/>
            <filter val="DJ9027_C4_54"/>
            <filter val="VO5010I_W44_53"/>
            <filter val="VO5010I_W44_51"/>
            <filter val="FT_P324BK3F_M"/>
            <filter val="VE3215_617_52"/>
            <filter val="TITAN EYE + M SUPRA"/>
            <filter val="Crizal SV"/>
            <filter val="IDS2232_C1_49"/>
            <filter val="IL9363_C7_52"/>
            <filter val="ID1474_C5_54"/>
            <filter val="VO4112S_50757E_56"/>
            <filter val="ID1560_C4_54"/>
            <filter val="CHANEL SHEET IST"/>
            <filter val="ID1557_C6_52"/>
            <filter val="IDS2350_C1_50"/>
            <filter val="RB3025_0016_55"/>
            <filter val="VO3843_813_50"/>
            <filter val="FUSION"/>
            <filter val="IDS2343_C14P_58"/>
            <filter val="IDS2538_C5_49"/>
            <filter val="PLATINUM"/>
            <filter val="TH5734_C2_52"/>
            <filter val="MK GOGGLES"/>
            <filter val="OP2100_C01_52"/>
            <filter val="PG 6 LINE"/>
            <filter val="FT_M162BK1_M"/>
            <filter val="DISTRICT"/>
            <filter val="ID1495_C5_51"/>
            <filter val="OP3023_C5_51"/>
            <filter val="KX7674_1096S_50"/>
            <filter val="RB3342_006_60"/>
            <filter val="ID1476_C4_52"/>
            <filter val="INB4004_COLA_49"/>
            <filter val="DJ0502_138_53"/>
            <filter val="VO5119S_W445A_56"/>
            <filter val="DJ9206_C1_51"/>
            <filter val="MONT BLANC M FULL"/>
            <filter val="DJ9142_C1_49"/>
            <filter val="IZ523_C3_54"/>
            <filter val="SLEEK FULL METAL"/>
            <filter val="ID1508_C3_50"/>
            <filter val="IM2348_C1_49"/>
            <filter val="TF318_01B_62"/>
            <filter val="AG2103_C526_52"/>
            <filter val="SPIKE SHEET"/>
            <filter val="ID1559_C3_54"/>
            <filter val="AG1147_C5_51"/>
            <filter val="KIDDIES"/>
            <filter val="BIOTRUE SOLUTION 60 ml+SILK LENS SOLUTION"/>
            <filter val="ID1541_C3_53"/>
            <filter val="RB3025_0024O_58"/>
            <filter val="VO4125I_5116_51"/>
            <filter val="VO5183S_W4411_58"/>
            <filter val="FT_M083BR2F_M"/>
            <filter val="VO5215S_23860L_51"/>
            <filter val="VO4125I_5116_53"/>
            <filter val="PVP EYE SHEET"/>
            <filter val="VOGUE METAL Ist"/>
            <filter val="HANKER(66020)"/>
            <filter val="DJ2347_C4_52"/>
            <filter val="RB3025_00332_58"/>
            <filter val="DJ2004_C2_50"/>
            <filter val="DJ2096_C226_50"/>
            <filter val="BOSS M SUPRA"/>
            <filter val="TOM FORD DELTA"/>
            <filter val="SPEED"/>
            <filter val="ID1562_C1_55"/>
            <filter val="VO5284S_27210K_32"/>
            <filter val="RB3025_00458_58"/>
            <filter val="CARTIER FULL AVIATOR IST"/>
            <filter val="FT_P180PR2F_M"/>
            <filter val="RC522S_01B_63"/>
            <filter val="EYEJACK METAL"/>
            <filter val="TH9018_C4_50"/>
            <filter val="BURBERRY GOGGLES"/>
            <filter val="KRLSH"/>
            <filter val="AB1087_C4_53"/>
            <filter val="OP2102_C31_52"/>
            <filter val="VO4037_352_52"/>
            <filter val="DJ2062_548_55"/>
            <filter val="FT_C060BK2_54"/>
            <filter val="IDS2503_C3_58"/>
            <filter val="VO4128_5110_52"/>
            <filter val="VO4128_5110_50"/>
            <filter val="IDS2404_C2_57"/>
            <filter val="IDS2621_C3_57"/>
            <filter val="TH7898_C1_55"/>
            <filter val="ID1296_C3_50"/>
            <filter val="WALNUT +"/>
            <filter val="DJ5917_C4_51"/>
            <filter val="TOM HILL SHEET"/>
            <filter val="RC596S_08B_61"/>
            <filter val="TH9000_C4_49"/>
            <filter val="TH6113_C3_51"/>
            <filter val="PROGRESSIVE"/>
            <filter val="RB3025_01451_58"/>
            <filter val="RB3447_001_50"/>
            <filter val="INB1906A_Cat.3 S"/>
            <filter val="IS6371_C1_53"/>
            <filter val="FT_P192GR1_M"/>
            <filter val="IDS2473_C3_52"/>
            <filter val="ID1559_C5_54"/>
            <filter val="ID1546_C3_52"/>
            <filter val="RB3025_00458_62"/>
            <filter val="VO5010_2395_51"/>
            <filter val="CK3161S_004_58"/>
            <filter val="DJ9201_C1_50"/>
            <filter val="VO4125_352_53"/>
            <filter val="ID1541_C5_53"/>
            <filter val="LANTUN"/>
            <filter val="RB2180_6277B1_49"/>
            <filter val="ID1286_C4_54"/>
            <filter val="DJ9150_C1_53"/>
            <filter val="ID950_C2_51"/>
            <filter val="DERN DESK"/>
            <filter val="DJ9105_C3_51"/>
            <filter val="VO5227I_W656_52"/>
            <filter val="ID1470_C7_52"/>
            <filter val="FERRARI FULL METAL"/>
            <filter val="RB3538_1872Y_53"/>
            <filter val="TAG HEUR SHEET Ist"/>
            <filter val="KC0240_62R_51"/>
            <filter val="SPR52P_ZVN1X1_61"/>
            <filter val="IDS2553_C3_M"/>
            <filter val="VO5166_W6565R_51"/>
            <filter val="OH LA LA"/>
            <filter val="IZ105_COL1_54"/>
            <filter val="DJ2094_C410_51"/>
            <filter val="RB2448N_710_51"/>
            <filter val="IDS2476_C2_62"/>
            <filter val="PEACHY METAL"/>
            <filter val="SC1885_C3_59"/>
            <filter val="VO3947_352_52"/>
            <filter val="AB1158_C2_52"/>
            <filter val="DJ9134_C3_55"/>
            <filter val="VO3969_352_50"/>
            <filter val="VO4106_84813_55"/>
            <filter val="IM2351_C3_52"/>
            <filter val="AB4017_BLK_52"/>
            <filter val="RX6336_2857_51"/>
            <filter val="CHOPARD"/>
            <filter val="CARTIER METAL FULL IST"/>
            <filter val="DJ9091_C1_53"/>
            <filter val="RB4252_71013_51"/>
            <filter val="DJ9139_C1_54"/>
            <filter val="PC6830_UJM_56"/>
            <filter val="INB2802A_CAT3_M"/>
            <filter val="AB1127_C3_53"/>
            <filter val="ARMSTRONG"/>
            <filter val="ALLIGATOR GOGGLES"/>
            <filter val="DJ16T149_C2_53"/>
            <filter val="IDS2538_C3_49"/>
            <filter val="DIOR FULL METAL IST"/>
            <filter val="RAYBAN SHEET Ist"/>
            <filter val="DJ9050_C5_52"/>
            <filter val="CONTACT LENS PCS"/>
            <filter val="TH7920_C2_56"/>
            <filter val="VO2959S_230213_54"/>
            <filter val="ID1292_C3_52"/>
            <filter val="IDS2344_C1P_54"/>
            <filter val="TH7981_C1_58"/>
            <filter val="HASHTAG SUPRA METAL"/>
            <filter val="ID1542_C5_53"/>
            <filter val="TH7862_C2_55"/>
            <filter val="SC1863_C1_52"/>
            <filter val="IDS1802_C2_57"/>
            <filter val="DJ9026_C2_54"/>
            <filter val="IM2358_C2_53"/>
            <filter val="PA7092_C03_61"/>
            <filter val="TITANIUM SHEET"/>
            <filter val="LL5682_C5_53"/>
            <filter val="FASILOOR METAL  SIDE"/>
            <filter val="OO9247_13_57"/>
            <filter val="VENCE GOGGLES"/>
            <filter val="CK4224S_004_57"/>
            <filter val="AG2058_C614_53"/>
            <filter val="Dior goggles"/>
            <filter val="AB1098_C5_49"/>
            <filter val="TH7910_C5_55"/>
            <filter val="CARRERA FULL AVIATOR"/>
            <filter val="CK4216_320_56"/>
            <filter val="IDS2337_C2_54"/>
            <filter val="VO2899_W44_51"/>
            <filter val="DJ2070_C646_49"/>
            <filter val="VO4055SI_99613_57"/>
            <filter val="VO2925B_2048_53"/>
            <filter val="JUST NV"/>
            <filter val="DJ9064_C4_47"/>
            <filter val="AB1163_C4_52"/>
            <filter val="ELLSURISE FULL METAL"/>
            <filter val="AB1115_C5_52"/>
            <filter val="IDS2500_C48_58"/>
            <filter val="CITYFLYER"/>
            <filter val="Escape Ex"/>
            <filter val="DJ9058_C3_51"/>
            <filter val="TOMMY HILFIGER SHEET IST"/>
            <filter val="DJ3179_C3_51"/>
            <filter val="ID1561_C1_54"/>
            <filter val="ID1561_C1_51"/>
            <filter val="AB2092_C693_53"/>
            <filter val="DJ2043_C555_53"/>
            <filter val="SHEET FRAMES"/>
            <filter val="ID1038_C6_51"/>
            <filter val="INB2610B_CAT3_S"/>
            <filter val="VO5283_272573_54"/>
            <filter val="GENESIS AVIATOR"/>
            <filter val="AB1104_C4_54"/>
            <filter val="AB1136S_C4_60"/>
            <filter val="IM2311_C2_60"/>
            <filter val="D&amp;G GOGGLES"/>
            <filter val="IDS2496_C2_53"/>
            <filter val="ST10111_C1_49"/>
            <filter val="ID736_C4_53"/>
            <filter val="VO3768_352_50"/>
            <filter val="JOHN HILL SUPRA"/>
            <filter val="CK4223_377_52"/>
            <filter val="DJ9129_C2_55"/>
            <filter val="AB1132_C2_51"/>
            <filter val="TH2512_C1_53"/>
            <filter val="IDS2424_C4P_M"/>
            <filter val="ID1475_C7_48"/>
            <filter val="VO2993S_W4411_57"/>
            <filter val="CARTIER M SUPRA"/>
            <filter val="VO5271_272611_53"/>
            <filter val="AB1168_C4_54"/>
            <filter val="MAGIC PLUS(BOTH)"/>
            <filter val="DJ18632_C2_51"/>
            <filter val="FT_U005YL5F_58"/>
            <filter val="RB4147_609585_60"/>
            <filter val="ID1560_C2_54"/>
            <filter val="MILLENIUM"/>
            <filter val="ACETATE D BAR"/>
            <filter val="TESPORT"/>
            <filter val="AB1118_C1_52"/>
            <filter val="VO5118SI_W4411_57"/>
            <filter val="VO2941S_227913_56"/>
            <filter val="VO5042_1647_53"/>
            <filter val="Blue ray Progressive"/>
            <filter val="TH6000_C2_52"/>
            <filter val="CK4182_002_54"/>
            <filter val="RB3025_00478_62"/>
            <filter val="TH7848_C3_57"/>
            <filter val="COATED GLASS"/>
            <filter val="NATIONPORTS SHEET"/>
            <filter val="AB1169_C3_53"/>
            <filter val="CK4261S_060_55"/>
            <filter val="DJ9172_C5_56"/>
            <filter val="DJ2010_C48_53"/>
            <filter val="DJ2044_C13_53"/>
            <filter val="MIMI CLASSIC"/>
            <filter val="RX5312_2477_52"/>
            <filter val="VO5263BI_W656_52"/>
            <filter val="ID1545_C6_54"/>
            <filter val="DISCOVERY NOW METAL"/>
            <filter val="VO2961_W827_53"/>
            <filter val="DJ9123_C4_49"/>
            <filter val="ID1508_C1_50"/>
            <filter val="OX3131_06_53"/>
            <filter val="COMPACT READING"/>
            <filter val="RB3016_1160_51"/>
            <filter val="INB2940_CAT1_M"/>
            <filter val="PR4102_C04_58"/>
            <filter val="RESTAURA"/>
            <filter val="ID1333_C4_47"/>
            <filter val="ROUND SHEET"/>
            <filter val="RB3411_004_60"/>
            <filter val="FB4101_C2_50"/>
            <filter val="AG1093_C2_53"/>
            <filter val="IDS2551_C2_57"/>
            <filter val="ID1520_C1_50"/>
            <filter val="FANCY GOGGLES"/>
            <filter val="DAVID BECKHAM SHEET"/>
            <filter val="IDS2001_C67P_58"/>
            <filter val="RULEC FULL METAL"/>
            <filter val="VO5243SB_266920_53"/>
            <filter val="FT_C060PR3F_M"/>
            <filter val="IDS2550_C3_58"/>
            <filter val="PA7058_C03_M"/>
            <filter val="ID1489_C4_51"/>
            <filter val="VO2908_W44_53"/>
            <filter val="DJ3134_C1_51(5)"/>
            <filter val="IDS2266_C3_56"/>
            <filter val="DJ5918_C1_54"/>
            <filter val="ID1562_C3_55"/>
            <filter val="DJ5916_C2_51"/>
            <filter val="ID1547_C5_51"/>
            <filter val="PR15QS_1AB0A7_53"/>
            <filter val="RX6367_2502_51"/>
            <filter val="ID1542_C7_53"/>
            <filter val="INB1917B_CAT3_M"/>
            <filter val="CARTIER 3 PC"/>
            <filter val="TOMMY HILFIGER SHEET"/>
            <filter val="DJ15T162_C2_52"/>
            <filter val="IDS2536_C4_60"/>
            <filter val="SC4632_C2_49"/>
            <filter val="TR FANCY METAL"/>
            <filter val="DINEX SUPRA AVIATOR"/>
            <filter val="AB1108_C4_52"/>
            <filter val="PORSCHE DESIGN SURA METAL"/>
            <filter val="AB1130_C1_53"/>
            <filter val="ROMEROS"/>
            <filter val="PRADA GOGGLES"/>
            <filter val="ID1485_C6_50"/>
            <filter val="ID1548_C4_51"/>
            <filter val="CK5350_060_54"/>
            <filter val="ID1541_C7_53"/>
            <filter val="RB3530_0029A_58"/>
            <filter val="AB1115_C3_52"/>
            <filter val="RAYBAN MURCURY"/>
            <filter val="IDS2379_C2_56"/>
            <filter val="IDS2225_C1_53"/>
            <filter val="IDS2554_C1_60"/>
            <filter val="MK1010_110011_54"/>
            <filter val="TH9711_C2_53"/>
            <filter val="ALPHA ACETATE"/>
            <filter val="CK3152S_001_57"/>
            <filter val="ID1561_C3_54"/>
            <filter val="Teenager"/>
            <filter val="ID1545_C5_54"/>
            <filter val="MAIRA BOSS+ SHEET"/>
            <filter val="ID1038_C4_51"/>
            <filter val="FARENHEIT READING FOLDABLE +1"/>
            <filter val="DJ2118_C629_53"/>
            <filter val="HONEY EYEWEAR NV"/>
            <filter val="BOSS DELTA"/>
            <filter val="MAC STALIN"/>
            <filter val="Blue Cut PGKT"/>
            <filter val="AB1110_C2_53"/>
            <filter val="AG1140_C1_52"/>
            <filter val="WALNUT PRO H"/>
            <filter val="TH2512_C3_53"/>
            <filter val="ID1547_C3_51"/>
            <filter val="IZ518_C2_54"/>
            <filter val="DJ5916_C4_51"/>
            <filter val="DJ13T156"/>
            <filter val="IDS2500_C56_58"/>
            <filter val="RX6390_2928_51"/>
            <filter val="PRADA FULL METAL ROUND IST"/>
            <filter val="IDS2498_C2_58"/>
            <filter val="FT_C078YL4F_M"/>
            <filter val="VO4125I_5078_51"/>
            <filter val="AB16T150_C3_51"/>
            <filter val="VO4125I_5078_53"/>
            <filter val="AB1128_C2_53"/>
            <filter val="RX7033_5624_52"/>
            <filter val="RB3025_9001A5_58"/>
            <filter val="RX2547_2000_53"/>
            <filter val="RX6489_2500_58"/>
            <filter val="TH2544_C4_60"/>
            <filter val="ID1544_C1_52"/>
            <filter val="TH3166_C3_47"/>
            <filter val="POLO FASHION 3PCS"/>
            <filter val="CK1209S_010_62"/>
            <filter val="RB4273_6019A_52"/>
            <filter val="FT_P108BR2_M"/>
            <filter val="CRIZAL UV"/>
            <filter val="DJ2094_C533_51"/>
            <filter val="DJ9050_C2_52"/>
            <filter val="VISION SPRING"/>
            <filter val="ARC"/>
            <filter val="ID1001_C2_54"/>
            <filter val="IZ258_C3_54"/>
            <filter val="VO5268I_W44_51"/>
            <filter val="RB2132_902_52"/>
            <filter val="RX7090_5622_52"/>
            <filter val="TH7898_C8_55"/>
            <filter val="TOMMY HILFIGER FULL METAL"/>
            <filter val="AB1102_C3_52"/>
            <filter val="PRADA FULL METAL SQURE IST"/>
            <filter val="ST10109_C4_54"/>
            <filter val="EA4099_567771_56"/>
            <filter val="VO5284S_27206V_32"/>
            <filter val="IDS2500_C44_58"/>
            <filter val="ID996_C3_51"/>
            <filter val="AB1149_C2_54"/>
            <filter val="VO3980_323S_52"/>
            <filter val="Excellen"/>
            <filter val="AB1115_C2_52"/>
            <filter val="IDS2409_C1P_58"/>
            <filter val="IL9494_C2_49"/>
            <filter val="VO5282SB_W4487_54"/>
            <filter val="INB2901E_Cat.2S_68"/>
            <filter val="SUMMIT"/>
            <filter val="IDS2375_C2_53"/>
            <filter val="TH7981_C3_58"/>
            <filter val="V-READERS NV"/>
            <filter val="COME UP"/>
            <filter val="ST10111_C9_49"/>
            <filter val="VO5242S_W65613_50"/>
            <filter val="ID1561_C4_54"/>
            <filter val="RB2132_90158_55"/>
            <filter val="VO3981_979S_52"/>
            <filter val="DISNEY"/>
            <filter val="NIKE SUPRA METAL"/>
            <filter val="TR ROUND GUCCI"/>
            <filter val="AB1137_C5_59"/>
            <filter val="VISION SPRING yellow"/>
            <filter val="VO5212S_W65613_55"/>
            <filter val="TH5690_C1_52"/>
            <filter val="DITA FULL METAL"/>
            <filter val="BLUECUT HMC"/>
            <filter val="VO5119S_W65613_56"/>
            <filter val="IDS2493_C1_55"/>
            <filter val="FARENHEIT READING FOLDABLE +3.0"/>
            <filter val="CRKT ARC"/>
            <filter val="VO2940S_23828F_58"/>
            <filter val="CK4223_001_52"/>
            <filter val="GANGSTER"/>
            <filter val="MARY JANE SHEET GOGGLES"/>
            <filter val="FARENHEIT READING FOLDABLE +2"/>
            <filter val="DJ3179_C1_51"/>
            <filter val="DJ9162_C2_50"/>
            <filter val="SE1142_C2_54"/>
            <filter val="PRADA FANCY METAL IST"/>
            <filter val="EA4086_502613_54"/>
            <filter val="AB1138_C1_53"/>
            <filter val="SHEET WITH METAL SIDE"/>
            <filter val="KX7666_1032_53"/>
            <filter val="VO2937_W44_51"/>
            <filter val="DJ5915_C1_47"/>
            <filter val="IDS2550_C1_58"/>
            <filter val="RB3530_0048G_58"/>
            <filter val="TH2530_C1_51"/>
            <filter val="DJ3197_C6_53"/>
            <filter val="DJ2131_C724_56"/>
            <filter val="KROMOS"/>
            <filter val="VO5271S_W4487_53"/>
            <filter val="DJ2130_C723_54"/>
            <filter val="IL9845_C2_48"/>
            <filter val="FT_P360BR4_M"/>
            <filter val="GUCCI M FULL"/>
            <filter val="RB4274_6018G_53"/>
            <filter val="VO2940S_W4471_58"/>
            <filter val="ID1531_C2_54"/>
            <filter val="DJ2037_C307_49"/>
            <filter val="FRANK MARTIN GOGGLES"/>
            <filter val="LOUIS STYLE TR"/>
            <filter val="IZ588_C3_54"/>
            <filter val="VO2695S_234611_59"/>
            <filter val="BURBERRY FULL METAL IST"/>
            <filter val="DJ3134_C1_51(11)"/>
            <filter val="YOUNGSTUN SUPRA"/>
            <filter val="IDS2401_C7_52"/>
            <filter val="VO2817S_20308F_53"/>
            <filter val="BOSS METAL SUPRA IST"/>
            <filter val="TH9009_C5_54"/>
            <filter val="VERVE FIX PAD METAL"/>
            <filter val="DJ9049_C3_51"/>
            <filter val="ID1528_C1_51"/>
            <filter val="AB1120_C1_50"/>
            <filter val="RB3025_00358_58"/>
            <filter val="ID1562_C6_55"/>
            <filter val="PA7104_C01_M"/>
            <filter val="FT_P335GR2F_M"/>
            <filter val="VO3982SB_84813_58"/>
            <filter val="VO5247I_1647_49"/>
            <filter val="MAKKER"/>
            <filter val="NEW YORK DESIGN"/>
            <filter val="MAURIE JEAN ACETATE"/>
            <filter val="FC7311_C2_62"/>
            <filter val="ID1375_C3_53"/>
            <filter val="ZEISS BC"/>
            <filter val="FLING"/>
            <filter val="ID1564_C4_51"/>
            <filter val="IDS2538_C1_49"/>
            <filter val="IDS2301_C17P_58"/>
            <filter val="PA7106_C03_M"/>
            <filter val="Crizal SV KT"/>
            <filter val="AB1124_C4_56"/>
            <filter val="IM2357_C1_50"/>
            <filter val="RENU SOLUTION 300ML"/>
            <filter val="IDS2402_C10P_56"/>
            <filter val="TH826P_C3_52"/>
            <filter val="ID1560_C1_54"/>
            <filter val="VE3253_GB1_53"/>
            <filter val="OO9341_05_57"/>
            <filter val="SC2844_C2_60"/>
            <filter val="TAG BROTHERS SHEET"/>
            <filter val="CK5367_044_52"/>
            <filter val="VO4013_352_51"/>
            <filter val="AB1104_C3_54"/>
            <filter val="Mont Blanc 3 pc"/>
            <filter val="WONDER BABY"/>
            <filter val="FARENHEIT READING FOLDABLE +1.5"/>
            <filter val="VO5282SB_272276_54"/>
            <filter val="AB1163_C2_52"/>
            <filter val="PA7069_C02_M"/>
            <filter val="ID1521_C3_51"/>
            <filter val="VO2925BI_2362_51"/>
            <filter val="BV2162B_376_53"/>
            <filter val="RX7128_2475_53"/>
            <filter val="RAYBAN WOOD GOGGLES(4175)"/>
            <filter val="IM2333_C1_53"/>
            <filter val="IDS2476_C1_62"/>
            <filter val="ID1430_C1_52"/>
            <filter val="VO2787_2306_51"/>
            <filter val="RAYBAN FULL AVIATOR"/>
            <filter val="IDS2532_C3_51"/>
            <filter val="AB1094_C3_53"/>
            <filter val="RAYBAN D SHAPE"/>
            <filter val="AB1129_C4_54"/>
            <filter val="CONFESS GOGGLES"/>
            <filter val="POLICE SHEET"/>
            <filter val="DJ2047_C198_54"/>
            <filter val="ID925_C3_51"/>
            <filter val="DJ9105_C1_51"/>
            <filter val="DJ9152_C1_55"/>
            <filter val="OO9013_F7_55"/>
            <filter val="DENTEL"/>
            <filter val="KC1234_53F_62"/>
            <filter val="METAL RING TR"/>
            <filter val="VO3980_352S_52"/>
            <filter val="ID1561_C6_54"/>
            <filter val="PORSCHE DESIGN AVIATOR METAL IST"/>
            <filter val="AB1090_C1_53"/>
            <filter val="PA7089_C03_58"/>
            <filter val="FOS2057S_0039K_52"/>
            <filter val="TOM STYLE SHEET ROUND"/>
            <filter val="IDS2350_C4_50"/>
            <filter val="RX6295_2806_49"/>
            <filter val="VO2915S_W4411_53"/>
            <filter val="VO3838_352S_53"/>
            <filter val="VO5272_2727_51"/>
            <filter val="IDS2401_C3_52"/>
            <filter val="VO2950_2048_53"/>
            <filter val="AB1137_C3_59"/>
            <filter val="VO2950_2048_51"/>
            <filter val="VO2936_2287_54"/>
            <filter val="ID1508_C5_50"/>
            <filter val="OP3024_C2_53"/>
            <filter val="RB3025_00133_58"/>
            <filter val="VO5148B_2539_53"/>
            <filter val="DISCOVERY EYES METAL"/>
            <filter val="RX6337_2857_51"/>
            <filter val="VO4024_5025_50"/>
            <filter val="KX7091_2197_52"/>
            <filter val="RAYBAN SHEET BRAND"/>
            <filter val="IDS2500_C30_58"/>
            <filter val="VO5153_2593_51"/>
            <filter val="ID1426_C4_49"/>
            <filter val="ID1303_C3_54"/>
            <filter val="RX7097_2000_49"/>
            <filter val="ID1541_C1_53"/>
            <filter val="RB3530_00488_58"/>
            <filter val="SC4715_C2_52"/>
            <filter val="VO4128_5109_52"/>
            <filter val="OO9154_49_62"/>
            <filter val="CHANEL Ist M SUPRA+3PCS"/>
            <filter val="ID1203_C4_52"/>
            <filter val="FT_P341BK1_M"/>
            <filter val="VO4128_5109_50"/>
            <filter val="DOCTOR PLUS READING"/>
            <filter val="ID1474_C2_54"/>
            <filter val="IDS2404_C4P_57"/>
            <filter val="IDS2416_C2_55"/>
            <filter val="VO4097S_28087_58"/>
            <filter val="AB1144_C4_52"/>
            <filter val="ID1297_C3_52"/>
            <filter val="VO5009BI_16478H_58"/>
            <filter val="REAL MADRID"/>
            <filter val="TH843_C3_52"/>
            <filter val="ORION"/>
            <filter val="HANKER(66019)"/>
            <filter val="DISCOVERY SCHOOL"/>
            <filter val="PG PROGRESSIVE"/>
            <filter val="PA7100_C01_M"/>
            <filter val="HANSHA"/>
            <filter val="VO4125I_352_51"/>
            <filter val="LENS SHINE"/>
            <filter val="AB4012_DEMISLV_53"/>
            <filter val="RB3025_00332_62"/>
            <filter val="AB1100_C3_53"/>
            <filter val="DJ2003_C14_49"/>
            <filter val="IDS2499_C4_59"/>
            <filter val="OP3023_C2_51"/>
            <filter val="CHANEL SHEET"/>
            <filter val="RAYBAN AVIATORS WITH BOX"/>
            <filter val="IZ607_00168_54"/>
            <filter val="OP2105_C01_54"/>
            <filter val="VO4038_5033_54"/>
            <filter val="DJ9097_C3_48"/>
            <filter val="TH2529_C2_49"/>
            <filter val="VO2763_2279_53"/>
            <filter val="VO4138S_28069_56"/>
            <filter val="NIRVANA"/>
            <filter val="VO2968_2326_52"/>
            <filter val="AB1152_C3_52"/>
            <filter val="CELLESTIS"/>
            <filter val="ST55093_C4_52"/>
            <filter val="RB3538_18813_53"/>
            <filter val="IM2338_C3_52"/>
            <filter val="RX3947V_2501_48"/>
            <filter val="RAYBAN METAL SUPRA IST"/>
            <filter val="HANKER(66018)"/>
            <filter val="TH7869_C2_60"/>
            <filter val="ID1152_C1_54"/>
            <filter val="FT_P230BK1_M"/>
            <filter val="WORLDCUP SHEET"/>
            <filter val="LL5674_C2_51"/>
            <filter val="VO5137S_W65613_55"/>
            <filter val="IDS2508_C4_58"/>
            <filter val="AB1131_C5_52"/>
            <filter val="RICHIE RICH NV"/>
            <filter val="DJ2091_C225_51"/>
            <filter val="ID1047_C1_51"/>
            <filter val="IDS2001_C62P_58"/>
            <filter val="RB4346_62507Q_51"/>
            <filter val="AG1169_C2_53"/>
            <filter val="RB4202_60714V_55"/>
            <filter val="IDS2524_C2_60"/>
            <filter val="ID1487_C1_51"/>
            <filter val="AB1172S_C2_58"/>
            <filter val="ID1542_C1_53"/>
            <filter val="CARRERA GOGGLES"/>
            <filter val="DIOR SHEET IST"/>
            <filter val="PA7095_C03_M"/>
            <filter val="IDS2523_C1P_M"/>
            <filter val="VO3955B_352_51"/>
            <filter val="IDS2522_C2_58"/>
            <filter val="VO5211S_W4487_54"/>
            <filter val="CK3143S_001_55"/>
            <filter val="CARTIER DELTA"/>
            <filter val="BIOTRUE SOLUTION 120 ml"/>
            <filter val="AB4018_BLACK_52"/>
            <filter val="IS6290_C4_49"/>
            <filter val="RB3025_00157_55"/>
            <filter val="TH2529_C4_49"/>
            <filter val="OP3023_C4_51"/>
            <filter val="RB3025_00157_58"/>
            <filter val="PC8808_DM4_55"/>
            <filter val="IDS2408_C3_53"/>
            <filter val="TH2536_C3_55"/>
            <filter val="GALEBO"/>
            <filter val="TITAN EYE + M SUPRA IST"/>
            <filter val="IDS2532_C1_51"/>
            <filter val="Escape + Sheet"/>
            <filter val="CARTIER SHEET IST"/>
            <filter val="VO5204_2477_52"/>
            <filter val="DJ15T128_C2_51"/>
            <filter val="DJ9202_C4_49"/>
            <filter val="OX3165_03_53"/>
            <filter val="RENU_LENSSOLUTION_120"/>
            <filter val="ID1033_C4_51"/>
            <filter val="CHOICE"/>
            <filter val="TF276_74Z_59"/>
            <filter val="AG2054_C228_53"/>
            <filter val="KIDS SAFILO"/>
            <filter val="OP3025_C2_53"/>
            <filter val="RAYBAN TR SHEET"/>
            <filter val="BIOFLEX OCCLUSION EYE PATCH (REGULAR)"/>
            <filter val="VO3843I_756_50"/>
            <filter val="IDS2500_C54_58"/>
            <filter val="TOM HILL BOTIM"/>
            <filter val="OP3026_C2_53"/>
            <filter val="AB1090_C3_53"/>
            <filter val="AB4017_DEMI_52"/>
            <filter val="OP2103_C94_53"/>
            <filter val="PR4063_C02_60"/>
            <filter val="RAYBAN AVIATORS GOGGLES"/>
            <filter val="ID1528_C3_51"/>
            <filter val="IZ508_C1_54"/>
            <filter val="IDS2473_C1_52"/>
            <filter val="VERACITY FULL METAL"/>
            <filter val="AB2108_C541_53"/>
            <filter val="HANKER(66014)"/>
            <filter val="ID1426_C2_49"/>
            <filter val="IDS2406_C3_60"/>
            <filter val="FT_M062BR3_M"/>
            <filter val="SILHOUETTE SHEET"/>
            <filter val="PA7086_C02_M"/>
            <filter val="VO5010_W656_51"/>
            <filter val="DIOR LADIES"/>
            <filter val="ADIDAS"/>
            <filter val="CARRERA SUPRA METAL"/>
          </filters>
        </filterColumn>
      </autoFilter>
    </customSheetView>
    <customSheetView guid="{C0F7FD07-4838-4537-A979-0C0C0C90FB80}" filter="1" showAutoFilter="1">
      <autoFilter ref="$A$1:$G$1433"/>
    </customSheetView>
    <customSheetView guid="{D6715C26-5B04-4A81-BB88-EA8B34C24BB4}" filter="1" showAutoFilter="1">
      <autoFilter ref="$A$1:$G$1433"/>
    </customSheetView>
    <customSheetView guid="{FB9D679B-48CF-40B9-9384-A3AB772D72D1}" filter="1" showAutoFilter="1">
      <autoFilter ref="$A$1:$G$1433">
        <filterColumn colId="0">
          <filters>
            <filter val="RB3561_001_57"/>
            <filter val="RAW-7 KT READING"/>
            <filter val="TH7898_C2_55"/>
            <filter val="ID1508_C2_50"/>
            <filter val="FT_P299OR2_M"/>
            <filter val="GUCCI FULL AVIATOR"/>
            <filter val="VO4128_848_52"/>
            <filter val="RB3025_1674K_55"/>
            <filter val="IDS2442_C5_51"/>
            <filter val="VO4128_848_50"/>
            <filter val="FRANCE"/>
            <filter val="DJ9182_C1_57"/>
            <filter val="RAYBAN METAL SUPRA"/>
            <filter val="MAGIC PLUS NV"/>
            <filter val="HANKER(66013)"/>
            <filter val="DJ9022_C3_53"/>
            <filter val="ID1559_C4_54"/>
            <filter val="VO4097S_323H7_58"/>
            <filter val="DJ9102_C1_52"/>
            <filter val="RB3025_11217_62"/>
            <filter val="VO5242S_W4411_50"/>
            <filter val="EA4086_56788Z_54"/>
            <filter val="DR READING"/>
            <filter val="EA4094_502613_56"/>
            <filter val="ID1484_C3_51"/>
            <filter val="ESCAPE FULL METAL"/>
            <filter val="AB2067_C176_50"/>
            <filter val="DJ9113S_C1_54"/>
            <filter val="VO2714_2406_54"/>
            <filter val="BRATS &amp; DOLLS"/>
            <filter val="ID1047_C2_51"/>
            <filter val="DJ15T163_C5_54"/>
            <filter val="AB1124_C1_56"/>
            <filter val="VO2714_2406_52"/>
            <filter val="RX6049_2502_55"/>
            <filter val="DJ2076_C230_50"/>
            <filter val="KX7646_1010_49"/>
            <filter val="ID1562_C2_55"/>
            <filter val="AB2040_C510_51"/>
            <filter val="VO3955B_280_51"/>
            <filter val="ID1490_C4_53"/>
            <filter val="FOS3010PS_003Y2_59"/>
            <filter val="CK4260S_196_55"/>
            <filter val="VO5134S_25318H_55"/>
            <filter val="HANKER(66012)"/>
            <filter val="RB3025_11217_58"/>
            <filter val="AB1162_C3_51"/>
            <filter val="IZ398_C1_54"/>
            <filter val="IDS2476_C3_62"/>
            <filter val="SE1237_C4_52"/>
            <filter val="RX6305_2503_54"/>
            <filter val="IMAGE FANCY METAL"/>
            <filter val="AG1109_C4_51"/>
            <filter val="READER READING"/>
            <filter val="DJ2069_C221_47"/>
            <filter val="IDS2486_C2_53"/>
            <filter val="RB4147_60132_60"/>
            <filter val="TH7976_C1_52"/>
            <filter val="PGARC"/>
            <filter val="AB1084_C2_53"/>
            <filter val="VO2906_W44_52"/>
            <filter val="SMARTENT"/>
            <filter val="DJ9139_C2_54"/>
            <filter val="IZ279_C2_M"/>
            <filter val="ID1560_C5_54"/>
            <filter val="LOUIS VUITION FULL METAL"/>
            <filter val="DATA SOFT"/>
            <filter val="DJ9151_C4_54"/>
            <filter val="MAIRA BOSS SUPRA METAL"/>
            <filter val="FANCY LADIES"/>
            <filter val="IL9453_C3_48"/>
            <filter val="SC2843_C1_61"/>
            <filter val="VO2864_2183_52"/>
            <filter val="DJ2119_C1_52"/>
            <filter val="ID1563_C6_53"/>
            <filter val="VO4140_5078_53"/>
            <filter val="AB1125_C5_52"/>
            <filter val="VOGUE SHEET IST"/>
            <filter val="VO3983S_964S11_58"/>
            <filter val="AB1159_C3_50"/>
            <filter val="IDS2528_C2_M"/>
            <filter val="ID1471_C3_50"/>
            <filter val="RB3025_0033E_58"/>
            <filter val="REl18517_NSZ_M"/>
            <filter val="NIKE"/>
            <filter val="TOM HILL NV READYMADE"/>
            <filter val="IM362P_C2_M"/>
            <filter val="TH9000_C3_49"/>
            <filter val="IZ233_C3_54"/>
            <filter val="RAYBAN AVIATOR SUPRA METAL IST"/>
            <filter val="OP2134_C01_51"/>
            <filter val="RB3016_114517_51"/>
            <filter val="CK1184SP_006_59"/>
            <filter val="TH9018_C3_50"/>
            <filter val="VO5247I_2395_49"/>
            <filter val="VO5216BI_W656_51"/>
            <filter val="ID1144_C2_53"/>
            <filter val="Elements FSV Bluecut"/>
            <filter val="PGKT 6LINE"/>
            <filter val="VO5061SB_W4487_53"/>
            <filter val="BOB MANDATORY"/>
            <filter val="AB1103_C3_52"/>
            <filter val="ST10121_C3_52"/>
            <filter val="MAYBACH FULL METAL"/>
            <filter val="ID698_C5_53"/>
            <filter val="AB1158_C1_52"/>
            <filter val="IL9491_C3_49"/>
            <filter val="VO5268I_W656_51"/>
            <filter val="VERSACE FULL METAL"/>
            <filter val="PA7097_C02_M"/>
            <filter val="VO2925B_W44_53"/>
            <filter val="VO5283S_260513_54"/>
            <filter val="DJ2131_C730_56"/>
            <filter val="EMPORIO ARMANI METAL"/>
            <filter val="VO2925B_W44_51"/>
            <filter val="VO4038_352_54"/>
            <filter val="IDS2500_C52_58"/>
            <filter val="YG TR METAL"/>
            <filter val="VO4128_323_50"/>
            <filter val="VO5030_W827_53"/>
            <filter val="RX6385_2509_53"/>
            <filter val="VO4128_323_52"/>
            <filter val="DJ16T149_C1_53"/>
            <filter val="FT_M050BR5_M"/>
            <filter val="TOM STYLE"/>
            <filter val="GUYS"/>
            <filter val="AB1129_C3_54"/>
            <filter val="DJ3146_C1_50"/>
            <filter val="AB1164_C2_52"/>
            <filter val="TH5734_C3_52"/>
            <filter val="ID1548_C1_51"/>
            <filter val="FFF SHEET"/>
            <filter val="RAYBAN GOGGLES(4190)"/>
            <filter val="TOM LEO"/>
            <filter val="LL8006_C3_M"/>
            <filter val="AB2040_C317_53"/>
            <filter val="IDS2401_C2_52"/>
            <filter val="DJ9174_C1_58"/>
            <filter val="RX3610V_2500_58"/>
            <filter val="VO3997S_32348_58"/>
            <filter val="IS6241_C21_53"/>
            <filter val="MAIRA BOSS FULL METAL"/>
            <filter val="IZ523_C2_54"/>
            <filter val="MYSTERY"/>
            <filter val="DJ9142_C2_49"/>
            <filter val="IDS2539_C1_55"/>
            <filter val="VO3931I_352_53"/>
            <filter val="ID1479_C4_50"/>
            <filter val="FT_P040BR2_M"/>
            <filter val="ID1508_C4_50"/>
            <filter val="IZ303_C2_54"/>
            <filter val="RX6384_2502_54"/>
            <filter val="DJ9044_C5_49"/>
            <filter val="VO3983S_965S8H_58"/>
            <filter val="DJ9064_C1_47"/>
            <filter val="DJ21007_C4_52"/>
            <filter val="TH7921_C3_55"/>
            <filter val="Bandage lens"/>
            <filter val="RB4216_601S71_56"/>
            <filter val="VO5227I_W44_52"/>
            <filter val="IDS2508_C2_58"/>
            <filter val="SKY BORN ACETATE"/>
            <filter val="LL5674_C4_51"/>
            <filter val="CK3161S_003_58"/>
            <filter val="ID1541_C4_53"/>
            <filter val="DJ9201_C2_50"/>
            <filter val="OO9316_04_63"/>
            <filter val="FT_M032BU1_M"/>
            <filter val="AG2058_C559_53"/>
            <filter val="PA7093_C03_50"/>
            <filter val="DJ9132S_C1_57"/>
            <filter val="AG2058_C1_53"/>
            <filter val="IZ525_C1_54"/>
            <filter val="VERSACE GOGGLES"/>
            <filter val="TH2543_C4_59"/>
            <filter val="TIGER/TIGER MK"/>
            <filter val="RAYBAN CANDY"/>
            <filter val="ID1478_C4_53"/>
            <filter val="RB4147_60158_60"/>
            <filter val="ID722_C3_52"/>
            <filter val="RB8041_001_58"/>
            <filter val="SE1170_C1_53"/>
            <filter val="RX7056_2000_53"/>
            <filter val="MIKINITEEN"/>
            <filter val="DJ9176S_C1_59"/>
            <filter val="FT_PC001BU13_M"/>
            <filter val="MOON LIGHT FULL METAL"/>
            <filter val="TF376_90B_58"/>
            <filter val="HC"/>
            <filter val="DJ2118_C637_53"/>
            <filter val="AB1117_C5_53"/>
            <filter val="DJ9046_C4_47"/>
            <filter val="VO4112S_84813_56"/>
            <filter val="INB4004_COLB_49"/>
            <filter val="ID973_C2_51"/>
            <filter val="IZ398_C3_54"/>
            <filter val="AZEETA SHEET"/>
            <filter val="AB1108_C5_52"/>
            <filter val="BIOFLEX OCCLUSION EYE WIPES"/>
            <filter val="RB3025_W3277_58"/>
            <filter val="IDS2392_C2_49"/>
            <filter val="Teenager Big"/>
            <filter val="RB3025_09032_58"/>
            <filter val="GOAVIATOR  FULL AVIATOR"/>
            <filter val="color contact lens"/>
            <filter val="VO4015B_352_53"/>
            <filter val="ID1548_C5_51"/>
            <filter val="HAPPINESS"/>
            <filter val="VO5211S_W4411_54"/>
            <filter val="TH2515_C3_50"/>
            <filter val="KC1288_32E_58"/>
            <filter val="ID1541_C6_53"/>
            <filter val="MONT BLANC M SUPRA"/>
            <filter val="VO2943SB_201148_55"/>
            <filter val="VO5167S_2621_50"/>
            <filter val="IDS2514_C1_53"/>
            <filter val="IDS2552_C3_56"/>
            <filter val="FT_P089WH4_M"/>
            <filter val="IDS2434_C3_54"/>
            <filter val="FT_P230GR3P_M"/>
            <filter val="VO2942SB_201148_55"/>
            <filter val="DJ2032_C548_51"/>
            <filter val="VO5283S_27248Z_54"/>
            <filter val="LANZO LOUIS"/>
            <filter val="COSTA 3 PC"/>
            <filter val="BLOOM PRIME"/>
            <filter val="FT_M165YL7_M"/>
            <filter val="Protective cup goggles"/>
            <filter val="AB2093_C484_53"/>
            <filter val="ID1495_C2_51"/>
            <filter val="IDS2495_C2_58"/>
            <filter val="AB1169_C4_53"/>
            <filter val="IZ485_C2_54"/>
            <filter val="PEN READING"/>
            <filter val="ESCAPE DIVA"/>
            <filter val="INB1907D_CAT3_M"/>
            <filter val="RX7127_2475_53"/>
            <filter val="AG2058_C243_53"/>
            <filter val="Gsenev Aviator"/>
            <filter val="AB1117_C3_53"/>
            <filter val="AB1175S_C3_53"/>
            <filter val="RB3025_00151_58"/>
            <filter val="MINI READING"/>
            <filter val="TITAN EYE + SHEET"/>
            <filter val="RB3025_00151_55"/>
            <filter val="TH844_C2S_53"/>
            <filter val="DJ9167_C5_58"/>
            <filter val="VO2906_2249_52"/>
            <filter val="RX7027_5419_54"/>
            <filter val="IDS2442_C3_51"/>
            <filter val="LOCATIN"/>
            <filter val="FT_P429BU4_M"/>
            <filter val="TONNY DAVID FULL METAL"/>
            <filter val="DJ9127S_C7_56"/>
            <filter val="IDS2506_C1_66"/>
            <filter val="VO3997S_93413_58"/>
            <filter val="ID1486_C4_50"/>
            <filter val="BE4193_300213_57"/>
            <filter val="ID1519_C1_49"/>
            <filter val="DJ2079_C219_55"/>
            <filter val="PA7093_C01_60"/>
            <filter val="ID1564_C3_51"/>
            <filter val="RX6266_2501_51"/>
            <filter val="VO5227I_2362_52"/>
            <filter val="BOSS HUGO BOSS SHEET"/>
            <filter val="VO5282SB_260569_54"/>
            <filter val="FT_M180SL3F_M"/>
            <filter val="VO3992_352_53"/>
            <filter val="RB3561_9001A5_57"/>
            <filter val="VO2924BI_2065_51"/>
            <filter val="X-ITE"/>
            <filter val="DJ2347_C5_52"/>
            <filter val="RB3025_00258_62"/>
            <filter val="TR OAKLEY"/>
            <filter val="VO4139SB_50758Z_54"/>
            <filter val="IDS2428_C3_M"/>
            <filter val="ID1547_C6_51"/>
            <filter val="DJ5916_C1_51"/>
            <filter val="IM2357_C2_50"/>
            <filter val="VO2843S_227811_56"/>
            <filter val="ID1562_C4_55"/>
            <filter val="DJ9026_C1_54"/>
            <filter val="VO3981_352_54"/>
            <filter val="ID997_C3_52"/>
            <filter val="ID1482_C6_51"/>
            <filter val="SC4616_C3_51"/>
            <filter val="DJ5914_C2_46"/>
            <filter val="VO3981_352_52"/>
            <filter val="IDS1961_C3P_58"/>
            <filter val="AB2038_C578_50"/>
            <filter val="IDS2539_C3_57"/>
            <filter val="AB1098_C6_49"/>
            <filter val="DJ0301_BLK_52"/>
            <filter val="IDS2170_C1_52"/>
            <filter val="DJ9134_C4B_55"/>
            <filter val="FT_P178BR3FP_M"/>
            <filter val="DJ9064_C3_47"/>
            <filter val="VO4104_2807A_57"/>
            <filter val="POLICE METAL SUPRA IST"/>
            <filter val="SC4614_C4_51"/>
            <filter val="VO5216BI_W44_51"/>
            <filter val="FANCY METAL BIG SHAPE"/>
            <filter val="RB3025_003_58"/>
            <filter val="RX5312_5537_52"/>
            <filter val="TH6213_C3_54"/>
            <filter val="VO5284S_W4487_32"/>
            <filter val="TH7912_C1_60"/>
            <filter val="OO9188_16_59"/>
            <filter val="DJ9057_C5_54"/>
            <filter val="DJ2050_C234_50"/>
            <filter val="ID1511_C2_51"/>
            <filter val="ID1561_C2_54"/>
            <filter val="IDS2365_C3P_M"/>
            <filter val="VO2819S_W4411_58"/>
            <filter val="CANSTAR"/>
            <filter val="VO2993S_W65613_57"/>
            <filter val="OP3026_C7_53"/>
            <filter val="DJ9162_C5_50"/>
            <filter val="VO2829SM_W4411_58"/>
            <filter val="VO5247_W656_49"/>
            <filter val="ID1460_C2_54"/>
            <filter val="AB1121_C2_52"/>
            <filter val="BE20030_C01_M"/>
            <filter val="DIOR IST"/>
            <filter val="RX7017_5200_54"/>
            <filter val="ID1489_C5_51"/>
            <filter val="DJ5916_C3_51"/>
            <filter val="PC8827_SSH_55"/>
            <filter val="POLO FASHION TR"/>
            <filter val="ESCAPE MB"/>
            <filter val="DJ2074_C350_52"/>
            <filter val="BIOTRUE 300 ML"/>
            <filter val="ID1547_C4_51"/>
            <filter val="VO2870S_235811_52"/>
            <filter val="FT_M050BU2_64"/>
            <filter val="VE4321_518213_58"/>
            <filter val="OBSERVER"/>
            <filter val="FT_P294BU2_M"/>
            <filter val="VO2767_1947_50"/>
            <filter val="DJ9115_C5_49"/>
            <filter val="ID1487_C6_51"/>
            <filter val="CK3143S_228_55"/>
            <filter val="VO4092B_507514_56"/>
            <filter val="AB1119_C2_55"/>
            <filter val="RB3025_W3275_55"/>
            <filter val="RB2140_955_52"/>
            <filter val="BANKU KIDS"/>
            <filter val="UIVI FULL AVIATOR"/>
            <filter val="TH2514_C2_53"/>
            <filter val="POLICE DELTA"/>
            <filter val="TH846_C8_58"/>
            <filter val="SE1184_C5_55"/>
            <filter val="DJ2133_C225_53"/>
            <filter val="FT_M062BK1_M"/>
            <filter val="RX6049_2500_52"/>
            <filter val="O MATTER"/>
            <filter val="AISLIN SHEET GOGGLES"/>
            <filter val="RAYBAN GOGGLES"/>
            <filter val="TOMMY HILFIGER FULL METAL IST"/>
            <filter val="DJ8783_C6_52"/>
            <filter val="RX3578V_2904_50"/>
            <filter val="RB3025_0013E_55"/>
            <filter val="GUCCI FULL METAL SQURE"/>
            <filter val="DJ2001_C11_53"/>
            <filter val="IDS2538_C4_49"/>
            <filter val="RB3558_004B8_58"/>
            <filter val="AB1118_C2_52"/>
            <filter val="SC4750_C1_52"/>
            <filter val="TANKS METAL ROUND"/>
            <filter val="AB1167_C3_53"/>
            <filter val="AB1123_C2_55"/>
            <filter val="TOMMY FASHION"/>
            <filter val="DJ2075_C198_56"/>
            <filter val="RX6424_2502_53"/>
            <filter val="FT_M149BU2_M"/>
            <filter val="ID961_C2_51"/>
            <filter val="TH7920_C1_56"/>
            <filter val="TH5734_C1_52"/>
            <filter val="AG1086_C2_54"/>
            <filter val="DJ9062_C4_54"/>
            <filter val="RB3025_0013E_62"/>
            <filter val="AB1171_C3_61"/>
            <filter val="PG"/>
            <filter val="DJ2115_C645_50"/>
            <filter val="OO9102_01_55"/>
            <filter val="VO5272_2731_51"/>
            <filter val="FT_M138BR2_58"/>
            <filter val="AB16T150_C2_51"/>
            <filter val="CUP Goggles/SUNGLASS PROTECTIVE"/>
            <filter val="FT_M154BR2_M"/>
            <filter val="VO4119_5078_51"/>
            <filter val="RB3025_00451_58"/>
            <filter val="D&amp;G SHEET IST"/>
            <filter val="CRKT"/>
            <filter val="IDS2413_C1_62"/>
            <filter val="VO5204I_W44_52"/>
            <filter val="RAFA PC"/>
            <filter val="IDS2193_C2_58"/>
            <filter val="RJ9054S_186/87_51"/>
            <filter val="CHRISTIAN DIOR FULL METAL IST"/>
            <filter val="TH7914_C4_48"/>
            <filter val="TH7975_C3_50"/>
            <filter val="PORSCHE DESIGN GOGGLES"/>
            <filter val="VO2896_W4411_54"/>
            <filter val="ID1248_C8_50"/>
            <filter val="ID1426_C1_49"/>
            <filter val="CK5350_403_54"/>
            <filter val="ID1427_C5_52"/>
            <filter val="AB2092_C581_51"/>
            <filter val="RX6241E_2501_52"/>
            <filter val="DJ9162_C1_50"/>
            <filter val="PR27NS_1AB3M1_55"/>
            <filter val="SE1157_C1_52"/>
            <filter val="ID1536_C1_51"/>
            <filter val="VO2943SB_W4411_55"/>
            <filter val="FT_M068BK8P_M"/>
            <filter val="RB7060_6019A_54"/>
            <filter val="IDS2523_C2P-55"/>
            <filter val="PA7037_C01_M"/>
            <filter val="PR4096_C03_M"/>
            <filter val="TH2514_C1_53"/>
            <filter val="VO2894SB_191613_56"/>
            <filter val="IDS2472_C2_52"/>
            <filter val="ID1430_C4_52"/>
            <filter val="ID1027_C2_53"/>
            <filter val="DJ9049_C2_51"/>
            <filter val="ID1200_C5_53"/>
            <filter val="TH7977_C1_56"/>
            <filter val="ID1542_C2_53"/>
            <filter val="SPIDERMAN METAL"/>
            <filter val="CARTIER SHEET"/>
            <filter val="KC1253S_52F_60"/>
            <filter val="TH7981_C4_58"/>
            <filter val="RB3025_0013F_58"/>
            <filter val="VO4037_280_52"/>
            <filter val="DJ9201_C5_50"/>
            <filter val="RAYBAN FANCY METAL"/>
            <filter val="FT_P192BR2_M"/>
            <filter val="DJ2098_C226_47"/>
            <filter val="OX1131_04_52"/>
            <filter val="BOTEGO PASSION"/>
            <filter val="SUPEROL"/>
            <filter val="LOUIS STYLE 3 PC"/>
            <filter val="FT_P241BK1_M"/>
            <filter val="AB1136_C2_60"/>
            <filter val="FT_P336SL2_M"/>
            <filter val="VERVE ACETATE SHEET"/>
            <filter val="KC1288_08B_58"/>
            <filter val="Bluecut CRKT"/>
            <filter val="IDS2552_C1_M"/>
            <filter val="BORN CRAZY METAL"/>
            <filter val="IDS2297_C1_57"/>
            <filter val="TH3166_C2_47"/>
            <filter val="BABY ACETATE"/>
            <filter val="KIDS"/>
            <filter val="FT_M131BK1P_62"/>
            <filter val="SOLANA FULL METAL"/>
            <filter val="CK1089_028_58"/>
            <filter val="HIGH FLIER BABY"/>
            <filter val="ID1509_C2_50"/>
            <filter val="SE1167_C9_52"/>
            <filter val="CK2146SA_001_59"/>
            <filter val="MONT BLANC SHEET IST"/>
            <filter val="LADIES METAL WILI"/>
            <filter val="PARI FULL METAL"/>
            <filter val="RB3539_1928G_54"/>
            <filter val="KX7107_2209_52"/>
            <filter val="OO9265_02_59"/>
            <filter val="RAYBAN DIAMOND AVIATORS+O SHAPE GOGGLES(3517+3510)"/>
            <filter val="RX5337_5528_54"/>
            <filter val="DJ2132_C225_53"/>
            <filter val="VO2896S_W65613_54"/>
            <filter val="ID1030_C1_53"/>
            <filter val="IZ518_C3_54"/>
            <filter val="DL5218V_068_53"/>
            <filter val="RX3582V_2500_51"/>
            <filter val="DJ0501_135_50"/>
            <filter val="RB3025_00451_55"/>
            <filter val="DJ2111_C4_52"/>
            <filter val="IL9444_C4_50"/>
            <filter val="RX6384_2509_52"/>
            <filter val="ID908_C2_50"/>
            <filter val="VO5205S_25547E_62"/>
            <filter val="RB4264_601SA1_58"/>
            <filter val="VO3981_548_52"/>
            <filter val="SC748_C589_51"/>
            <filter val="SE1262_C3_48"/>
            <filter val="ID1134_C2_49"/>
            <filter val="RX6489_2501_58"/>
            <filter val="IDS2485_C1_57"/>
            <filter val="BILGISAY"/>
            <filter val="ESCAPE DEJAVU"/>
            <filter val="DJ2346_C5_55"/>
            <filter val="IDS2526_C3_60"/>
            <filter val="EMPORIO ARMANI SHEET"/>
            <filter val="IS6140_C06_52"/>
            <filter val="VO2915S_22618H_53"/>
            <filter val="TH2529_C1_49"/>
            <filter val="RB3025_9002A6_55"/>
            <filter val="AB2108_C539_53"/>
            <filter val="RAYBAN GOLD PG"/>
            <filter val="ID1521_C2_51"/>
            <filter val="IDS2408_C5P_53"/>
            <filter val="VISION SPRING READER"/>
            <filter val="ST10107_C5_52"/>
            <filter val="VO5269S_W65613_56"/>
            <filter val="IDS2506_C3_M"/>
            <filter val="PRADA METAL SUPRA IST"/>
            <filter val="TOM FORD METAL  Ist"/>
            <filter val="VO4002S_99511_55"/>
            <filter val="PRADA SHEET"/>
            <filter val="VO2886_W44_53"/>
            <filter val="DJ9126S_C1_59"/>
            <filter val="IZ518_C1_54"/>
            <filter val="INB1912D_Cat.2 S"/>
            <filter val="AB1115_C1_52"/>
            <filter val="PR4096_C01_M"/>
            <filter val="FARENHEIT READING FOLDABLE +2.5"/>
            <filter val="PA7076_C04_M"/>
            <filter val="ID1561_C5_54"/>
            <filter val="SANAFLEX"/>
            <filter val="RX6266_2502_53"/>
            <filter val="RX7014_2000_54"/>
            <filter val="TH2544_C3_60"/>
            <filter val="PORSCHE DESIGN FULL METAL"/>
            <filter val="GUCCI SHEET Ist"/>
            <filter val="IZ500_C2_54"/>
            <filter val="RENU_LENSSOLUTION_60"/>
            <filter val="OP3023_C1_51"/>
            <filter val="DJ18632_C1_51"/>
            <filter val="ULTEM"/>
            <filter val="BE4201_300273_58"/>
            <filter val="VO4091BI_84873_56"/>
            <filter val="PAGE 4"/>
            <filter val="TH844_C1S_53"/>
            <filter val="IDS2508_C7_58"/>
            <filter val="LL1927_C2_49"/>
            <filter val="CARRERA DELTA"/>
            <filter val="IDS2477_C2_56"/>
            <filter val="VO2998_2386_54"/>
            <filter val="IM277_C3_M"/>
            <filter val="IZ144_00232_M"/>
            <filter val="ID980_C1_50"/>
            <filter val="IDS2528_C3_58"/>
            <filter val="RAYBAN FULL AVIATOR IST"/>
            <filter val="TOMMY SPORT 3 PC"/>
            <filter val="ESCAPE TR METAL SIDE"/>
            <filter val="AG1151_C4_50"/>
            <filter val="ID906_C4_50"/>
            <filter val="TH2530_C2_51"/>
            <filter val="ID1542_C4_53"/>
            <filter val="IM2328_C1_52"/>
            <filter val="VO5280SB_272276_57"/>
            <filter val="driving goggles"/>
            <filter val="IDS2520_C1_53"/>
            <filter val="DJ9174S_C5_58"/>
            <filter val="VO2915S_226214_53"/>
            <filter val="VO2787_2406_53"/>
            <filter val="VO2787_2406_51"/>
            <filter val="ID1511_C5_51"/>
            <filter val="ID674_C1_55"/>
            <filter val="DJ9053_C3_50"/>
            <filter val="DJ15T156_C5_53"/>
            <filter val="DJ2076_C614_50"/>
            <filter val="TH2527_C1_62"/>
            <filter val="DJ9165_C1_55"/>
            <filter val="VO5164S_W4411_52"/>
            <filter val="HASHTAG FULL METAL"/>
            <filter val="VO4125_5115_53"/>
            <filter val="AB1128_C5_53"/>
            <filter val="RB3025_0023F_58"/>
            <filter val="CALEB"/>
            <filter val="OP2170_C46_50"/>
            <filter val="BISMARCK"/>
            <filter val="TH5734_C4_52"/>
            <filter val="RB3432_004_59"/>
            <filter val="ROCKER SHEET"/>
            <filter val="FT_P327BU2_M"/>
            <filter val="ID1246_C2_51"/>
            <filter val="INB1915_CAT3_M"/>
            <filter val="MIGHTY FULL METAL"/>
            <filter val="MADRIDCITY SHEET"/>
            <filter val="IZ508_C2_54"/>
            <filter val="RB2132_710_58"/>
            <filter val="VO4016B_848_53"/>
            <filter val="CARTIER 3PC Ist"/>
            <filter val="ID1153_C4_52"/>
            <filter val="TH7881_C3_59"/>
            <filter val="DJ9135_C4_48"/>
            <filter val="TH2536_C2_55"/>
            <filter val="DIOR DELTA"/>
            <filter val="VO4016B_848_51"/>
            <filter val="HANKER(66009)"/>
            <filter val="CK4151_001_56"/>
            <filter val="DJ15T158_C5_53"/>
            <filter val="VO5166S_256613_51"/>
            <filter val="VO4128_5108_50"/>
            <filter val="DJ9132S_C3_57"/>
            <filter val="CARRERA METAL Ist"/>
            <filter val="VO4038_548_54"/>
            <filter val="IDS2351_C3_56"/>
            <filter val="VO3997S_848T5_58"/>
            <filter val="TI_G170PYFL9B-60"/>
            <filter val="DJ9044_C4_49"/>
            <filter val="DJ0301_GUN_52"/>
            <filter val="RX6322_2503_53"/>
            <filter val="BOSS METAL Full Ist"/>
            <filter val="color CLS"/>
            <filter val="ULTRA LIGHT SHEET"/>
            <filter val="HARLEY DAVIDSON SHEET"/>
            <filter val="RX3947V_2500_51"/>
            <filter val="ID1545_C2_54"/>
            <filter val="TH2527_C3_62"/>
            <filter val="TAG HEUR 3 PC"/>
            <filter val="U EYEWEAR BLUE"/>
            <filter val="AB1087_C3_53"/>
            <filter val="SWISS"/>
            <filter val="VO2916_W4411_58"/>
            <filter val="AB1090_C2_53"/>
            <filter val="OX1131_06_52"/>
            <filter val="RB3025_00168_58"/>
            <filter val="IDS2401_C4_52"/>
            <filter val="WALNUT PRO"/>
            <filter val="FT_P223GR1_M"/>
            <filter val="ID940_C2_52"/>
            <filter val="GLASS"/>
            <filter val="ULTRA WATCH"/>
            <filter val="DJ8235_DP_53"/>
            <filter val="FT_M035GY1_M"/>
            <filter val="IDS2354_C2P_M"/>
            <filter val="OP3026_C1_53"/>
            <filter val="CREATIE"/>
            <filter val="IDS2532_C2_51"/>
            <filter val="CK3154_214_62"/>
            <filter val="AB1140_C3_52"/>
            <filter val="RAYBAN ACETATE"/>
            <filter val="VE1210BM_1002_52"/>
            <filter val="ID1480_C4_51"/>
            <filter val="VO5247I_W44_49"/>
            <filter val="RX5337_2012_54"/>
            <filter val="VO3969_934_50"/>
            <filter val="DJ2050_C226_48"/>
            <filter val="TH2543_C3_59"/>
            <filter val="Display Goggles"/>
            <filter val="WHITE KT"/>
            <filter val="DJ9201_C3_50"/>
            <filter val="CK1209S_001_62"/>
            <filter val="MENEING"/>
            <filter val="AB1142_C5_50"/>
            <filter val="ID1561_C7_54"/>
            <filter val="DJ9112S_C1_61"/>
            <filter val="RJ9506S_22011_50"/>
            <filter val="VO5280SB_260569_57"/>
            <filter val="AB1162_C1_51"/>
            <filter val="ID1427_C1_52"/>
            <filter val="IDS2352_C3_56"/>
            <filter val="FT_P218BR2FP_M"/>
            <filter val="SYNERGY SHEET"/>
            <filter val="RX6325_2730_53"/>
            <filter val="MAGIC TR"/>
            <filter val="DJ5902_C1_53"/>
            <filter val="ID1470_C5_52"/>
            <filter val="KX7109_2019_50"/>
            <filter val="VO5002_W44_52"/>
            <filter val="ID873_C3_51"/>
            <filter val="AG1107_C4_50"/>
            <filter val="IDS1700_C31_M"/>
            <filter val="TH2530_C4_51"/>
            <filter val="AB2108_C540_51"/>
            <filter val="RB3025JM_169_55"/>
            <filter val="Blue cut PG"/>
            <filter val="LL3606_C2_53"/>
            <filter val="VO2660_W65613_58"/>
            <filter val="ID878_C1_52"/>
            <filter val="VO5283S_27236V_54"/>
            <filter val="ID1541_C2_53"/>
            <filter val="KC0212_052_54"/>
            <filter val="RB3025_00217_58"/>
            <filter val="SE1276_C4_52"/>
            <filter val="WALNUT FAB"/>
            <filter val="AB1138_C4_53"/>
            <filter val="PA7037_C03_M"/>
            <filter val="ID1483_C2_50"/>
            <filter val="LL8001_C1_M"/>
            <filter val="WILTON"/>
            <filter val="CAPS SHEET"/>
            <filter val="VO4083S_84811_55"/>
            <filter val="IDS2505_C1P_54"/>
            <filter val="IDS1874_C2_59"/>
            <filter val="VO3983S_548S13_58"/>
            <filter val="KIXSQUEST READING"/>
            <filter val="READING NV"/>
            <filter val="PA7072_C03_54"/>
            <filter val="OX1136_06_52"/>
            <filter val="ID1428_C1_47"/>
            <filter val="Image7000_C2_M"/>
            <filter val="TH846_C2S_58"/>
            <filter val="VO5282SB_260480_54"/>
            <filter val="CLASSIC SHEET"/>
            <filter val="AB2092_C455_53"/>
            <filter val="RAYBAN TR PARIS"/>
            <filter val="TH2529_C3_49"/>
            <filter val="FT_P430BR2_M"/>
            <filter val="RB3025_00158_58"/>
            <filter val="PA7092_C02_M"/>
            <filter val="IZ278_C2_54"/>
            <filter val="INB2946B_CAT3_M"/>
            <filter val="AB1152_C2_52"/>
            <filter val="OLIVICRR"/>
            <filter val="POSS DESIGN NV"/>
            <filter val="RB3025_181_58"/>
            <filter val="RB2132_71051_55"/>
            <filter val="VO4055SI_502214_57"/>
            <filter val="VO5007B_W4411_58"/>
            <filter val="SE1512_C1_53"/>
            <filter val="ID1027_C4_53"/>
            <filter val="COPPER METAL"/>
            <filter val="AB4017_DEMIRED_52"/>
            <filter val="DJ9141_C5_53"/>
            <filter val="RC583S_69Z_64"/>
            <filter val="RX6303_2501_53"/>
            <filter val="TH2537_C2_55"/>
            <filter val="DJ15T126_C3_54"/>
            <filter val="ID1544_C6_52"/>
            <filter val="VISION SPRING SUNGLASSES"/>
            <filter val="TRIO"/>
            <filter val="KX7674_1006_52"/>
            <filter val="VO2940S_229648_58"/>
            <filter val="KADDORA SHEET"/>
            <filter val="DIOR ROUND METAL IST"/>
            <filter val="DJ084_C4_52"/>
            <filter val="AG1098_C4_49"/>
            <filter val="IM2356_C1_52"/>
            <filter val="IZ525_C2_54"/>
            <filter val="RX6386_2500_51"/>
            <filter val="AB1090_C4_53"/>
            <filter val="AB1164_C1_52"/>
            <filter val="KOOLTI"/>
            <filter val="ID1425_C2_48"/>
            <filter val="VO2866_W44_55"/>
            <filter val="IDS2519_C4_61"/>
            <filter val="IZ233_C2_54"/>
            <filter val="RB3025_0033F_58"/>
            <filter val="IZ281_C1_54"/>
            <filter val="VO2866_W44_53"/>
            <filter val="AO 1.6 CRHMC"/>
            <filter val="DG1229_061_53"/>
            <filter val="IDS2438_C2_57"/>
            <filter val="PC8824_EEI_62"/>
            <filter val="DJ9046_C5_47"/>
            <filter val="DJ9062_C3_54"/>
            <filter val="CHRISTIAN"/>
            <filter val="RB3025_0013K_58"/>
            <filter val="FT_P265BR2_58"/>
            <filter val="PORSCHE DESIGN SHEET M S Ist"/>
            <filter val="DJ9027_C4_54"/>
            <filter val="VO5010I_W44_53"/>
            <filter val="VO5010I_W44_51"/>
            <filter val="FT_P324BK3F_M"/>
            <filter val="VE3215_617_52"/>
            <filter val="TITAN EYE + M SUPRA"/>
            <filter val="Crizal SV"/>
            <filter val="IDS2232_C1_49"/>
            <filter val="IL9363_C7_52"/>
            <filter val="ID1474_C5_54"/>
            <filter val="VO4112S_50757E_56"/>
            <filter val="ID1560_C4_54"/>
            <filter val="CHANEL SHEET IST"/>
            <filter val="ID1557_C6_52"/>
            <filter val="IDS2350_C1_50"/>
            <filter val="RB3025_0016_55"/>
            <filter val="VO3843_813_50"/>
            <filter val="FUSION"/>
            <filter val="IDS2343_C14P_58"/>
            <filter val="IDS2538_C5_49"/>
            <filter val="PLATINUM"/>
            <filter val="TH5734_C2_52"/>
            <filter val="MK GOGGLES"/>
            <filter val="OP2100_C01_52"/>
            <filter val="PG 6 LINE"/>
            <filter val="FT_M162BK1_M"/>
            <filter val="DISTRICT"/>
            <filter val="ID1495_C5_51"/>
            <filter val="OP3023_C5_51"/>
            <filter val="KX7674_1096S_50"/>
            <filter val="RB3342_006_60"/>
            <filter val="ID1476_C4_52"/>
            <filter val="INB4004_COLA_49"/>
            <filter val="DJ0502_138_53"/>
            <filter val="VO5119S_W445A_56"/>
            <filter val="DJ9206_C1_51"/>
            <filter val="MONT BLANC M FULL"/>
            <filter val="DJ9142_C1_49"/>
            <filter val="IZ523_C3_54"/>
            <filter val="SLEEK FULL METAL"/>
            <filter val="ID1508_C3_50"/>
            <filter val="IM2348_C1_49"/>
            <filter val="TF318_01B_62"/>
            <filter val="AG2103_C526_52"/>
            <filter val="SPIKE SHEET"/>
            <filter val="ID1559_C3_54"/>
            <filter val="AG1147_C5_51"/>
            <filter val="KIDDIES"/>
            <filter val="BIOTRUE SOLUTION 60 ml+SILK LENS SOLUTION"/>
            <filter val="ID1541_C3_53"/>
            <filter val="RB3025_0024O_58"/>
            <filter val="VO4125I_5116_51"/>
            <filter val="VO5183S_W4411_58"/>
            <filter val="FT_M083BR2F_M"/>
            <filter val="VO5215S_23860L_51"/>
            <filter val="VO4125I_5116_53"/>
            <filter val="PVP EYE SHEET"/>
            <filter val="VOGUE METAL Ist"/>
            <filter val="HANKER(66020)"/>
            <filter val="DJ2347_C4_52"/>
            <filter val="RB3025_00332_58"/>
            <filter val="DJ2004_C2_50"/>
            <filter val="DJ2096_C226_50"/>
            <filter val="BOSS M SUPRA"/>
            <filter val="TOM FORD DELTA"/>
            <filter val="SPEED"/>
            <filter val="ID1562_C1_55"/>
            <filter val="VO5284S_27210K_32"/>
            <filter val="RB3025_00458_58"/>
            <filter val="CARTIER FULL AVIATOR IST"/>
            <filter val="FT_P180PR2F_M"/>
            <filter val="RC522S_01B_63"/>
            <filter val="EYEJACK METAL"/>
            <filter val="TH9018_C4_50"/>
            <filter val="BURBERRY GOGGLES"/>
            <filter val="KRLSH"/>
            <filter val="AB1087_C4_53"/>
            <filter val="OP2102_C31_52"/>
            <filter val="VO4037_352_52"/>
            <filter val="DJ2062_548_55"/>
            <filter val="FT_C060BK2_54"/>
            <filter val="IDS2503_C3_58"/>
            <filter val="VO4128_5110_52"/>
            <filter val="VO4128_5110_50"/>
            <filter val="IDS2404_C2_57"/>
            <filter val="IDS2621_C3_57"/>
            <filter val="TH7898_C1_55"/>
            <filter val="ID1296_C3_50"/>
            <filter val="WALNUT +"/>
            <filter val="DJ5917_C4_51"/>
            <filter val="TOM HILL SHEET"/>
            <filter val="RC596S_08B_61"/>
            <filter val="TH9000_C4_49"/>
            <filter val="TH6113_C3_51"/>
            <filter val="PROGRESSIVE"/>
            <filter val="RB3025_01451_58"/>
            <filter val="RB3447_001_50"/>
            <filter val="INB1906A_Cat.3 S"/>
            <filter val="IS6371_C1_53"/>
            <filter val="FT_P192GR1_M"/>
            <filter val="IDS2473_C3_52"/>
            <filter val="ID1559_C5_54"/>
            <filter val="ID1546_C3_52"/>
            <filter val="RB3025_00458_62"/>
            <filter val="VO5010_2395_51"/>
            <filter val="CK3161S_004_58"/>
            <filter val="DJ9201_C1_50"/>
            <filter val="VO4125_352_53"/>
            <filter val="ID1541_C5_53"/>
            <filter val="LANTUN"/>
            <filter val="RB2180_6277B1_49"/>
            <filter val="ID1286_C4_54"/>
            <filter val="DJ9150_C1_53"/>
            <filter val="ID950_C2_51"/>
            <filter val="DERN DESK"/>
            <filter val="DJ9105_C3_51"/>
            <filter val="VO5227I_W656_52"/>
            <filter val="ID1470_C7_52"/>
            <filter val="FERRARI FULL METAL"/>
            <filter val="RB3538_1872Y_53"/>
            <filter val="TAG HEUR SHEET Ist"/>
            <filter val="KC0240_62R_51"/>
            <filter val="SPR52P_ZVN1X1_61"/>
            <filter val="IDS2553_C3_M"/>
            <filter val="VO5166_W6565R_51"/>
            <filter val="OH LA LA"/>
            <filter val="IZ105_COL1_54"/>
            <filter val="DJ2094_C410_51"/>
            <filter val="RB2448N_710_51"/>
            <filter val="IDS2476_C2_62"/>
            <filter val="PEACHY METAL"/>
            <filter val="SC1885_C3_59"/>
            <filter val="VO3947_352_52"/>
            <filter val="AB1158_C2_52"/>
            <filter val="DJ9134_C3_55"/>
            <filter val="VO3969_352_50"/>
            <filter val="VO4106_84813_55"/>
            <filter val="IM2351_C3_52"/>
            <filter val="AB4017_BLK_52"/>
            <filter val="RX6336_2857_51"/>
            <filter val="CHOPARD"/>
            <filter val="CARTIER METAL FULL IST"/>
            <filter val="DJ9091_C1_53"/>
            <filter val="RB4252_71013_51"/>
            <filter val="DJ9139_C1_54"/>
            <filter val="PC6830_UJM_56"/>
            <filter val="INB2802A_CAT3_M"/>
            <filter val="AB1127_C3_53"/>
            <filter val="ARMSTRONG"/>
            <filter val="ALLIGATOR GOGGLES"/>
            <filter val="DJ16T149_C2_53"/>
            <filter val="IDS2538_C3_49"/>
            <filter val="DIOR FULL METAL IST"/>
            <filter val="RAYBAN SHEET Ist"/>
            <filter val="DJ9050_C5_52"/>
            <filter val="CONTACT LENS PCS"/>
            <filter val="TH7920_C2_56"/>
            <filter val="VO2959S_230213_54"/>
            <filter val="ID1292_C3_52"/>
            <filter val="IDS2344_C1P_54"/>
            <filter val="TH7981_C1_58"/>
            <filter val="HASHTAG SUPRA METAL"/>
            <filter val="ID1542_C5_53"/>
            <filter val="TH7862_C2_55"/>
            <filter val="SC1863_C1_52"/>
            <filter val="IDS1802_C2_57"/>
            <filter val="DJ9026_C2_54"/>
            <filter val="IM2358_C2_53"/>
            <filter val="PA7092_C03_61"/>
            <filter val="TITANIUM SHEET"/>
            <filter val="LL5682_C5_53"/>
            <filter val="FASILOOR METAL  SIDE"/>
            <filter val="OO9247_13_57"/>
            <filter val="VENCE GOGGLES"/>
            <filter val="CK4224S_004_57"/>
            <filter val="AG2058_C614_53"/>
            <filter val="Dior goggles"/>
            <filter val="AB1098_C5_49"/>
            <filter val="TH7910_C5_55"/>
            <filter val="CARRERA FULL AVIATOR"/>
            <filter val="CK4216_320_56"/>
            <filter val="IDS2337_C2_54"/>
            <filter val="VO2899_W44_51"/>
            <filter val="DJ2070_C646_49"/>
            <filter val="VO4055SI_99613_57"/>
            <filter val="VO2925B_2048_53"/>
            <filter val="JUST NV"/>
            <filter val="DJ9064_C4_47"/>
            <filter val="AB1163_C4_52"/>
            <filter val="ELLSURISE FULL METAL"/>
            <filter val="AB1115_C5_52"/>
            <filter val="IDS2500_C48_58"/>
            <filter val="CITYFLYER"/>
            <filter val="Escape Ex"/>
            <filter val="DJ9058_C3_51"/>
            <filter val="TOMMY HILFIGER SHEET IST"/>
            <filter val="DJ3179_C3_51"/>
            <filter val="ID1561_C1_54"/>
            <filter val="ID1561_C1_51"/>
            <filter val="AB2092_C693_53"/>
            <filter val="DJ2043_C555_53"/>
            <filter val="SHEET FRAMES"/>
            <filter val="ID1038_C6_51"/>
            <filter val="INB2610B_CAT3_S"/>
            <filter val="VO5283_272573_54"/>
            <filter val="GENESIS AVIATOR"/>
            <filter val="AB1104_C4_54"/>
            <filter val="AB1136S_C4_60"/>
            <filter val="IM2311_C2_60"/>
            <filter val="D&amp;G GOGGLES"/>
            <filter val="IDS2496_C2_53"/>
            <filter val="ST10111_C1_49"/>
            <filter val="ID736_C4_53"/>
            <filter val="VO3768_352_50"/>
            <filter val="JOHN HILL SUPRA"/>
            <filter val="CK4223_377_52"/>
            <filter val="DJ9129_C2_55"/>
            <filter val="AB1132_C2_51"/>
            <filter val="TH2512_C1_53"/>
            <filter val="IDS2424_C4P_M"/>
            <filter val="ID1475_C7_48"/>
            <filter val="VO2993S_W4411_57"/>
            <filter val="CARTIER M SUPRA"/>
            <filter val="VO5271_272611_53"/>
            <filter val="AB1168_C4_54"/>
            <filter val="MAGIC PLUS(BOTH)"/>
            <filter val="DJ18632_C2_51"/>
            <filter val="FT_U005YL5F_58"/>
            <filter val="RB4147_609585_60"/>
            <filter val="ID1560_C2_54"/>
            <filter val="MILLENIUM"/>
            <filter val="ACETATE D BAR"/>
            <filter val="TESPORT"/>
            <filter val="AB1118_C1_52"/>
            <filter val="VO5118SI_W4411_57"/>
            <filter val="VO2941S_227913_56"/>
            <filter val="VO5042_1647_53"/>
            <filter val="Blue ray Progressive"/>
            <filter val="TH6000_C2_52"/>
            <filter val="CK4182_002_54"/>
            <filter val="RB3025_00478_62"/>
            <filter val="TH7848_C3_57"/>
            <filter val="COATED GLASS"/>
            <filter val="NATIONPORTS SHEET"/>
            <filter val="AB1169_C3_53"/>
            <filter val="CK4261S_060_55"/>
            <filter val="DJ9172_C5_56"/>
            <filter val="DJ2010_C48_53"/>
            <filter val="DJ2044_C13_53"/>
            <filter val="MIMI CLASSIC"/>
            <filter val="RX5312_2477_52"/>
            <filter val="VO5263BI_W656_52"/>
            <filter val="ID1545_C6_54"/>
            <filter val="DISCOVERY NOW METAL"/>
            <filter val="VO2961_W827_53"/>
            <filter val="DJ9123_C4_49"/>
            <filter val="ID1508_C1_50"/>
            <filter val="OX3131_06_53"/>
            <filter val="COMPACT READING"/>
            <filter val="RB3016_1160_51"/>
            <filter val="INB2940_CAT1_M"/>
            <filter val="PR4102_C04_58"/>
            <filter val="RESTAURA"/>
            <filter val="ID1333_C4_47"/>
            <filter val="ROUND SHEET"/>
            <filter val="RB3411_004_60"/>
            <filter val="FB4101_C2_50"/>
            <filter val="AG1093_C2_53"/>
            <filter val="IDS2551_C2_57"/>
            <filter val="ID1520_C1_50"/>
            <filter val="FANCY GOGGLES"/>
            <filter val="DAVID BECKHAM SHEET"/>
            <filter val="IDS2001_C67P_58"/>
            <filter val="RULEC FULL METAL"/>
            <filter val="VO5243SB_266920_53"/>
            <filter val="FT_C060PR3F_M"/>
            <filter val="IDS2550_C3_58"/>
            <filter val="PA7058_C03_M"/>
            <filter val="ID1489_C4_51"/>
            <filter val="VO2908_W44_53"/>
            <filter val="DJ3134_C1_51(5)"/>
            <filter val="IDS2266_C3_56"/>
            <filter val="DJ5918_C1_54"/>
            <filter val="ID1562_C3_55"/>
            <filter val="DJ5916_C2_51"/>
            <filter val="ID1547_C5_51"/>
            <filter val="PR15QS_1AB0A7_53"/>
            <filter val="RX6367_2502_51"/>
            <filter val="ID1542_C7_53"/>
            <filter val="INB1917B_CAT3_M"/>
            <filter val="CARTIER 3 PC"/>
            <filter val="TOMMY HILFIGER SHEET"/>
            <filter val="DJ15T162_C2_52"/>
            <filter val="IDS2536_C4_60"/>
            <filter val="SC4632_C2_49"/>
            <filter val="TR FANCY METAL"/>
            <filter val="DINEX SUPRA AVIATOR"/>
            <filter val="AB1108_C4_52"/>
            <filter val="PORSCHE DESIGN SURA METAL"/>
            <filter val="AB1130_C1_53"/>
            <filter val="ROMEROS"/>
            <filter val="PRADA GOGGLES"/>
            <filter val="ID1485_C6_50"/>
            <filter val="ID1548_C4_51"/>
            <filter val="CK5350_060_54"/>
            <filter val="ID1541_C7_53"/>
            <filter val="RB3530_0029A_58"/>
            <filter val="AB1115_C3_52"/>
            <filter val="RAYBAN MURCURY"/>
            <filter val="IDS2379_C2_56"/>
            <filter val="IDS2225_C1_53"/>
            <filter val="IDS2554_C1_60"/>
            <filter val="MK1010_110011_54"/>
            <filter val="TH9711_C2_53"/>
            <filter val="ALPHA ACETATE"/>
            <filter val="CK3152S_001_57"/>
            <filter val="ID1561_C3_54"/>
            <filter val="Teenager"/>
            <filter val="ID1545_C5_54"/>
            <filter val="MAIRA BOSS+ SHEET"/>
            <filter val="ID1038_C4_51"/>
            <filter val="FARENHEIT READING FOLDABLE +1"/>
            <filter val="DJ2118_C629_53"/>
            <filter val="HONEY EYEWEAR NV"/>
            <filter val="BOSS DELTA"/>
            <filter val="MAC STALIN"/>
            <filter val="Blue Cut PGKT"/>
            <filter val="AB1110_C2_53"/>
            <filter val="AG1140_C1_52"/>
            <filter val="WALNUT PRO H"/>
            <filter val="TH2512_C3_53"/>
            <filter val="ID1547_C3_51"/>
            <filter val="IZ518_C2_54"/>
            <filter val="DJ5916_C4_51"/>
            <filter val="DJ13T156"/>
            <filter val="IDS2500_C56_58"/>
            <filter val="RX6390_2928_51"/>
            <filter val="PRADA FULL METAL ROUND IST"/>
            <filter val="IDS2498_C2_58"/>
            <filter val="FT_C078YL4F_M"/>
            <filter val="VO4125I_5078_51"/>
            <filter val="AB16T150_C3_51"/>
            <filter val="VO4125I_5078_53"/>
            <filter val="AB1128_C2_53"/>
            <filter val="RX7033_5624_52"/>
            <filter val="RB3025_9001A5_58"/>
            <filter val="RX2547_2000_53"/>
            <filter val="RX6489_2500_58"/>
            <filter val="TH2544_C4_60"/>
            <filter val="ID1544_C1_52"/>
            <filter val="TH3166_C3_47"/>
            <filter val="POLO FASHION 3PCS"/>
            <filter val="CK1209S_010_62"/>
            <filter val="RB4273_6019A_52"/>
            <filter val="FT_P108BR2_M"/>
            <filter val="CRIZAL UV"/>
            <filter val="DJ2094_C533_51"/>
            <filter val="DJ9050_C2_52"/>
            <filter val="VISION SPRING"/>
            <filter val="ARC"/>
            <filter val="ID1001_C2_54"/>
            <filter val="IZ258_C3_54"/>
            <filter val="VO5268I_W44_51"/>
            <filter val="RB2132_902_52"/>
            <filter val="RX7090_5622_52"/>
            <filter val="TH7898_C8_55"/>
            <filter val="TOMMY HILFIGER FULL METAL"/>
            <filter val="AB1102_C3_52"/>
            <filter val="PRADA FULL METAL SQURE IST"/>
            <filter val="ST10109_C4_54"/>
            <filter val="EA4099_567771_56"/>
            <filter val="VO5284S_27206V_32"/>
            <filter val="IDS2500_C44_58"/>
            <filter val="ID996_C3_51"/>
            <filter val="AB1149_C2_54"/>
            <filter val="VO3980_323S_52"/>
            <filter val="Excellen"/>
            <filter val="AB1115_C2_52"/>
            <filter val="IDS2409_C1P_58"/>
            <filter val="IL9494_C2_49"/>
            <filter val="VO5282SB_W4487_54"/>
            <filter val="INB2901E_Cat.2S_68"/>
            <filter val="SUMMIT"/>
            <filter val="IDS2375_C2_53"/>
            <filter val="TH7981_C3_58"/>
            <filter val="V-READERS NV"/>
            <filter val="COME UP"/>
            <filter val="ST10111_C9_49"/>
            <filter val="VO5242S_W65613_50"/>
            <filter val="ID1561_C4_54"/>
            <filter val="RB2132_90158_55"/>
            <filter val="VO3981_979S_52"/>
            <filter val="DISNEY"/>
            <filter val="NIKE SUPRA METAL"/>
            <filter val="TR ROUND GUCCI"/>
            <filter val="AB1137_C5_59"/>
            <filter val="VISION SPRING yellow"/>
            <filter val="VO5212S_W65613_55"/>
            <filter val="TH5690_C1_52"/>
            <filter val="DITA FULL METAL"/>
            <filter val="BLUECUT HMC"/>
            <filter val="VO5119S_W65613_56"/>
            <filter val="IDS2493_C1_55"/>
            <filter val="FARENHEIT READING FOLDABLE +3.0"/>
            <filter val="CRKT ARC"/>
            <filter val="VO2940S_23828F_58"/>
            <filter val="CK4223_001_52"/>
            <filter val="GANGSTER"/>
            <filter val="MARY JANE SHEET GOGGLES"/>
            <filter val="FARENHEIT READING FOLDABLE +2"/>
            <filter val="DJ3179_C1_51"/>
            <filter val="DJ9162_C2_50"/>
            <filter val="SE1142_C2_54"/>
            <filter val="PRADA FANCY METAL IST"/>
            <filter val="EA4086_502613_54"/>
            <filter val="AB1138_C1_53"/>
            <filter val="SHEET WITH METAL SIDE"/>
            <filter val="KX7666_1032_53"/>
            <filter val="VO2937_W44_51"/>
            <filter val="DJ5915_C1_47"/>
            <filter val="IDS2550_C1_58"/>
            <filter val="RB3530_0048G_58"/>
            <filter val="TH2530_C1_51"/>
            <filter val="DJ3197_C6_53"/>
            <filter val="DJ2131_C724_56"/>
            <filter val="KROMOS"/>
            <filter val="VO5271S_W4487_53"/>
            <filter val="DJ2130_C723_54"/>
            <filter val="IL9845_C2_48"/>
            <filter val="FT_P360BR4_M"/>
            <filter val="GUCCI M FULL"/>
            <filter val="RB4274_6018G_53"/>
            <filter val="VO2940S_W4471_58"/>
            <filter val="ID1531_C2_54"/>
            <filter val="DJ2037_C307_49"/>
            <filter val="FRANK MARTIN GOGGLES"/>
            <filter val="LOUIS STYLE TR"/>
            <filter val="IZ588_C3_54"/>
            <filter val="VO2695S_234611_59"/>
            <filter val="BURBERRY FULL METAL IST"/>
            <filter val="DJ3134_C1_51(11)"/>
            <filter val="YOUNGSTUN SUPRA"/>
            <filter val="IDS2401_C7_52"/>
            <filter val="VO2817S_20308F_53"/>
            <filter val="BOSS METAL SUPRA IST"/>
            <filter val="TH9009_C5_54"/>
            <filter val="VERVE FIX PAD METAL"/>
            <filter val="DJ9049_C3_51"/>
            <filter val="ID1528_C1_51"/>
            <filter val="AB1120_C1_50"/>
            <filter val="RB3025_00358_58"/>
            <filter val="ID1562_C6_55"/>
            <filter val="PA7104_C01_M"/>
            <filter val="FT_P335GR2F_M"/>
            <filter val="VO3982SB_84813_58"/>
            <filter val="VO5247I_1647_49"/>
            <filter val="MAKKER"/>
            <filter val="NEW YORK DESIGN"/>
            <filter val="MAURIE JEAN ACETATE"/>
            <filter val="FC7311_C2_62"/>
            <filter val="ID1375_C3_53"/>
            <filter val="ZEISS BC"/>
            <filter val="FLING"/>
            <filter val="ID1564_C4_51"/>
            <filter val="IDS2538_C1_49"/>
            <filter val="IDS2301_C17P_58"/>
            <filter val="PA7106_C03_M"/>
            <filter val="Crizal SV KT"/>
            <filter val="AB1124_C4_56"/>
            <filter val="IM2357_C1_50"/>
            <filter val="RENU SOLUTION 300ML"/>
            <filter val="IDS2402_C10P_56"/>
            <filter val="TH826P_C3_52"/>
            <filter val="ID1560_C1_54"/>
            <filter val="VE3253_GB1_53"/>
            <filter val="OO9341_05_57"/>
            <filter val="SC2844_C2_60"/>
            <filter val="TAG BROTHERS SHEET"/>
            <filter val="CK5367_044_52"/>
            <filter val="VO4013_352_51"/>
            <filter val="AB1104_C3_54"/>
            <filter val="Mont Blanc 3 pc"/>
            <filter val="WONDER BABY"/>
            <filter val="FARENHEIT READING FOLDABLE +1.5"/>
            <filter val="VO5282SB_272276_54"/>
            <filter val="AB1163_C2_52"/>
            <filter val="PA7069_C02_M"/>
            <filter val="ID1521_C3_51"/>
            <filter val="VO2925BI_2362_51"/>
            <filter val="BV2162B_376_53"/>
            <filter val="RX7128_2475_53"/>
            <filter val="RAYBAN WOOD GOGGLES(4175)"/>
            <filter val="IM2333_C1_53"/>
            <filter val="IDS2476_C1_62"/>
            <filter val="ID1430_C1_52"/>
            <filter val="VO2787_2306_51"/>
            <filter val="RAYBAN FULL AVIATOR"/>
            <filter val="IDS2532_C3_51"/>
            <filter val="AB1094_C3_53"/>
            <filter val="RAYBAN D SHAPE"/>
            <filter val="AB1129_C4_54"/>
            <filter val="CONFESS GOGGLES"/>
            <filter val="POLICE SHEET"/>
            <filter val="DJ2047_C198_54"/>
            <filter val="ID925_C3_51"/>
            <filter val="DJ9105_C1_51"/>
            <filter val="DJ9152_C1_55"/>
            <filter val="OO9013_F7_55"/>
            <filter val="DENTEL"/>
            <filter val="KC1234_53F_62"/>
            <filter val="METAL RING TR"/>
            <filter val="VO3980_352S_52"/>
            <filter val="ID1561_C6_54"/>
            <filter val="PORSCHE DESIGN AVIATOR METAL IST"/>
            <filter val="AB1090_C1_53"/>
            <filter val="PA7089_C03_58"/>
            <filter val="FOS2057S_0039K_52"/>
            <filter val="TOM STYLE SHEET ROUND"/>
            <filter val="IDS2350_C4_50"/>
            <filter val="RX6295_2806_49"/>
            <filter val="VO2915S_W4411_53"/>
            <filter val="VO3838_352S_53"/>
            <filter val="VO5272_2727_51"/>
            <filter val="IDS2401_C3_52"/>
            <filter val="VO2950_2048_53"/>
            <filter val="AB1137_C3_59"/>
            <filter val="VO2950_2048_51"/>
            <filter val="VO2936_2287_54"/>
            <filter val="ID1508_C5_50"/>
            <filter val="OP3024_C2_53"/>
            <filter val="RB3025_00133_58"/>
            <filter val="VO5148B_2539_53"/>
            <filter val="DISCOVERY EYES METAL"/>
            <filter val="RX6337_2857_51"/>
            <filter val="VO4024_5025_50"/>
            <filter val="KX7091_2197_52"/>
            <filter val="RAYBAN SHEET BRAND"/>
            <filter val="IDS2500_C30_58"/>
            <filter val="VO5153_2593_51"/>
            <filter val="ID1426_C4_49"/>
            <filter val="ID1303_C3_54"/>
            <filter val="RX7097_2000_49"/>
            <filter val="ID1541_C1_53"/>
            <filter val="RB3530_00488_58"/>
            <filter val="SC4715_C2_52"/>
            <filter val="VO4128_5109_52"/>
            <filter val="OO9154_49_62"/>
            <filter val="CHANEL Ist M SUPRA+3PCS"/>
            <filter val="ID1203_C4_52"/>
            <filter val="FT_P341BK1_M"/>
            <filter val="VO4128_5109_50"/>
            <filter val="DOCTOR PLUS READING"/>
            <filter val="ID1474_C2_54"/>
            <filter val="IDS2404_C4P_57"/>
            <filter val="IDS2416_C2_55"/>
            <filter val="VO4097S_28087_58"/>
            <filter val="AB1144_C4_52"/>
            <filter val="ID1297_C3_52"/>
            <filter val="VO5009BI_16478H_58"/>
            <filter val="REAL MADRID"/>
            <filter val="TH843_C3_52"/>
            <filter val="ORION"/>
            <filter val="HANKER(66019)"/>
            <filter val="DISCOVERY SCHOOL"/>
            <filter val="PG PROGRESSIVE"/>
            <filter val="PA7100_C01_M"/>
            <filter val="HANSHA"/>
            <filter val="VO4125I_352_51"/>
            <filter val="LENS SHINE"/>
            <filter val="AB4012_DEMISLV_53"/>
            <filter val="RB3025_00332_62"/>
            <filter val="AB1100_C3_53"/>
            <filter val="DJ2003_C14_49"/>
            <filter val="IDS2499_C4_59"/>
            <filter val="OP3023_C2_51"/>
            <filter val="CHANEL SHEET"/>
            <filter val="RAYBAN AVIATORS WITH BOX"/>
            <filter val="IZ607_00168_54"/>
            <filter val="OP2105_C01_54"/>
            <filter val="VO4038_5033_54"/>
            <filter val="DJ9097_C3_48"/>
            <filter val="TH2529_C2_49"/>
            <filter val="VO2763_2279_53"/>
            <filter val="VO4138S_28069_56"/>
            <filter val="NIRVANA"/>
            <filter val="VO2968_2326_52"/>
            <filter val="AB1152_C3_52"/>
            <filter val="CELLESTIS"/>
            <filter val="ST55093_C4_52"/>
            <filter val="RB3538_18813_53"/>
            <filter val="IM2338_C3_52"/>
            <filter val="RX3947V_2501_48"/>
            <filter val="RAYBAN METAL SUPRA IST"/>
            <filter val="HANKER(66018)"/>
            <filter val="TH7869_C2_60"/>
            <filter val="ID1152_C1_54"/>
            <filter val="FT_P230BK1_M"/>
            <filter val="WORLDCUP SHEET"/>
            <filter val="LL5674_C2_51"/>
            <filter val="VO5137S_W65613_55"/>
            <filter val="IDS2508_C4_58"/>
            <filter val="AB1131_C5_52"/>
            <filter val="RICHIE RICH NV"/>
            <filter val="DJ2091_C225_51"/>
            <filter val="ID1047_C1_51"/>
            <filter val="IDS2001_C62P_58"/>
            <filter val="RB4346_62507Q_51"/>
            <filter val="AG1169_C2_53"/>
            <filter val="RB4202_60714V_55"/>
            <filter val="IDS2524_C2_60"/>
            <filter val="ID1487_C1_51"/>
            <filter val="AB1172S_C2_58"/>
            <filter val="ID1542_C1_53"/>
            <filter val="CARRERA GOGGLES"/>
            <filter val="DIOR SHEET IST"/>
            <filter val="PA7095_C03_M"/>
            <filter val="IDS2523_C1P_M"/>
            <filter val="VO3955B_352_51"/>
            <filter val="IDS2522_C2_58"/>
            <filter val="VO5211S_W4487_54"/>
            <filter val="CK3143S_001_55"/>
            <filter val="CARTIER DELTA"/>
            <filter val="BIOTRUE SOLUTION 120 ml"/>
            <filter val="AB4018_BLACK_52"/>
            <filter val="IS6290_C4_49"/>
            <filter val="RB3025_00157_55"/>
            <filter val="TH2529_C4_49"/>
            <filter val="OP3023_C4_51"/>
            <filter val="RB3025_00157_58"/>
            <filter val="PC8808_DM4_55"/>
            <filter val="IDS2408_C3_53"/>
            <filter val="TH2536_C3_55"/>
            <filter val="GALEBO"/>
            <filter val="TITAN EYE + M SUPRA IST"/>
            <filter val="IDS2532_C1_51"/>
            <filter val="Escape + Sheet"/>
            <filter val="CARTIER SHEET IST"/>
            <filter val="VO5204_2477_52"/>
            <filter val="DJ15T128_C2_51"/>
            <filter val="DJ9202_C4_49"/>
            <filter val="OX3165_03_53"/>
            <filter val="RENU_LENSSOLUTION_120"/>
            <filter val="ID1033_C4_51"/>
            <filter val="CHOICE"/>
            <filter val="TF276_74Z_59"/>
            <filter val="AG2054_C228_53"/>
            <filter val="KIDS SAFILO"/>
            <filter val="OP3025_C2_53"/>
            <filter val="RAYBAN TR SHEET"/>
            <filter val="BIOFLEX OCCLUSION EYE PATCH (REGULAR)"/>
            <filter val="VO3843I_756_50"/>
            <filter val="IDS2500_C54_58"/>
            <filter val="TOM HILL BOTIM"/>
            <filter val="OP3026_C2_53"/>
            <filter val="AB1090_C3_53"/>
            <filter val="AB4017_DEMI_52"/>
            <filter val="OP2103_C94_53"/>
            <filter val="PR4063_C02_60"/>
            <filter val="RAYBAN AVIATORS GOGGLES"/>
            <filter val="ID1528_C3_51"/>
            <filter val="IZ508_C1_54"/>
            <filter val="IDS2473_C1_52"/>
            <filter val="VERACITY FULL METAL"/>
            <filter val="AB2108_C541_53"/>
            <filter val="HANKER(66014)"/>
            <filter val="ID1426_C2_49"/>
            <filter val="IDS2406_C3_60"/>
            <filter val="FT_M062BR3_M"/>
            <filter val="SILHOUETTE SHEET"/>
            <filter val="PA7086_C02_M"/>
            <filter val="VO5010_W656_51"/>
            <filter val="DIOR LADIES"/>
            <filter val="ADIDAS"/>
            <filter val="CARRERA SUPRA METAL"/>
          </filters>
        </filterColumn>
      </autoFilter>
    </customSheetView>
    <customSheetView guid="{584F0C70-F3B2-4757-BFA7-8CF1F51CB5A0}" filter="1" showAutoFilter="1">
      <autoFilter ref="$A$1:$G$1433"/>
    </customSheetView>
    <customSheetView guid="{FF0D52AB-2579-406A-A308-50180DB3C7DA}" filter="1" showAutoFilter="1">
      <autoFilter ref="$A$1:$G$1433"/>
    </customSheetView>
    <customSheetView guid="{8BCBF603-A7ED-40DE-A966-D9447607FB6B}" filter="1" showAutoFilter="1">
      <autoFilter ref="$A$1:$G$1433"/>
    </customSheetView>
    <customSheetView guid="{F66A2C18-3E51-4E6E-8C30-C73770C5C363}" filter="1" showAutoFilter="1">
      <autoFilter ref="$A$1:$G$1433">
        <filterColumn colId="0">
          <filters>
            <filter val="RB3561_001_57"/>
            <filter val="RAW-7 KT READING"/>
            <filter val="TH7898_C2_55"/>
            <filter val="ID1508_C2_50"/>
            <filter val="FT_P299OR2_M"/>
            <filter val="GUCCI FULL AVIATOR"/>
            <filter val="VO4128_848_52"/>
            <filter val="RB3025_1674K_55"/>
            <filter val="IDS2442_C5_51"/>
            <filter val="VO4128_848_50"/>
            <filter val="FRANCE"/>
            <filter val="DJ9182_C1_57"/>
            <filter val="RAYBAN METAL SUPRA"/>
            <filter val="MAGIC PLUS NV"/>
            <filter val="HANKER(66013)"/>
            <filter val="DJ9022_C3_53"/>
            <filter val="ID1559_C4_54"/>
            <filter val="VO4097S_323H7_58"/>
            <filter val="DJ9102_C1_52"/>
            <filter val="RB3025_11217_62"/>
            <filter val="VO5242S_W4411_50"/>
            <filter val="EA4086_56788Z_54"/>
            <filter val="DR READING"/>
            <filter val="EA4094_502613_56"/>
            <filter val="ID1484_C3_51"/>
            <filter val="ESCAPE FULL METAL"/>
            <filter val="AB2067_C176_50"/>
            <filter val="DJ9113S_C1_54"/>
            <filter val="VO2714_2406_54"/>
            <filter val="BRATS &amp; DOLLS"/>
            <filter val="ID1047_C2_51"/>
            <filter val="DJ15T163_C5_54"/>
            <filter val="AB1124_C1_56"/>
            <filter val="VO2714_2406_52"/>
            <filter val="RX6049_2502_55"/>
            <filter val="DJ2076_C230_50"/>
            <filter val="KX7646_1010_49"/>
            <filter val="ID1562_C2_55"/>
            <filter val="AB2040_C510_51"/>
            <filter val="VO3955B_280_51"/>
            <filter val="ID1490_C4_53"/>
            <filter val="FOS3010PS_003Y2_59"/>
            <filter val="CK4260S_196_55"/>
            <filter val="VO5134S_25318H_55"/>
            <filter val="HANKER(66012)"/>
            <filter val="RB3025_11217_58"/>
            <filter val="AB1162_C3_51"/>
            <filter val="IZ398_C1_54"/>
            <filter val="IDS2476_C3_62"/>
            <filter val="SE1237_C4_52"/>
            <filter val="RX6305_2503_54"/>
            <filter val="IMAGE FANCY METAL"/>
            <filter val="AG1109_C4_51"/>
            <filter val="READER READING"/>
            <filter val="DJ2069_C221_47"/>
            <filter val="IDS2486_C2_53"/>
            <filter val="RB4147_60132_60"/>
            <filter val="TH7976_C1_52"/>
            <filter val="PGARC"/>
            <filter val="AB1084_C2_53"/>
            <filter val="VO2906_W44_52"/>
            <filter val="SMARTENT"/>
            <filter val="DJ9139_C2_54"/>
            <filter val="IZ279_C2_M"/>
            <filter val="ID1560_C5_54"/>
            <filter val="LOUIS VUITION FULL METAL"/>
            <filter val="DATA SOFT"/>
            <filter val="DJ9151_C4_54"/>
            <filter val="MAIRA BOSS SUPRA METAL"/>
            <filter val="FANCY LADIES"/>
            <filter val="IL9453_C3_48"/>
            <filter val="SC2843_C1_61"/>
            <filter val="VO2864_2183_52"/>
            <filter val="DJ2119_C1_52"/>
            <filter val="ID1563_C6_53"/>
            <filter val="VO4140_5078_53"/>
            <filter val="AB1125_C5_52"/>
            <filter val="VOGUE SHEET IST"/>
            <filter val="VO3983S_964S11_58"/>
            <filter val="AB1159_C3_50"/>
            <filter val="IDS2528_C2_M"/>
            <filter val="ID1471_C3_50"/>
            <filter val="RB3025_0033E_58"/>
            <filter val="REl18517_NSZ_M"/>
            <filter val="NIKE"/>
            <filter val="TOM HILL NV READYMADE"/>
            <filter val="IM362P_C2_M"/>
            <filter val="TH9000_C3_49"/>
            <filter val="IZ233_C3_54"/>
            <filter val="RAYBAN AVIATOR SUPRA METAL IST"/>
            <filter val="OP2134_C01_51"/>
            <filter val="RB3016_114517_51"/>
            <filter val="CK1184SP_006_59"/>
            <filter val="TH9018_C3_50"/>
            <filter val="VO5247I_2395_49"/>
            <filter val="VO5216BI_W656_51"/>
            <filter val="ID1144_C2_53"/>
            <filter val="Elements FSV Bluecut"/>
            <filter val="PGKT 6LINE"/>
            <filter val="VO5061SB_W4487_53"/>
            <filter val="BOB MANDATORY"/>
            <filter val="AB1103_C3_52"/>
            <filter val="ST10121_C3_52"/>
            <filter val="MAYBACH FULL METAL"/>
            <filter val="ID698_C5_53"/>
            <filter val="AB1158_C1_52"/>
            <filter val="IL9491_C3_49"/>
            <filter val="VO5268I_W656_51"/>
            <filter val="VERSACE FULL METAL"/>
            <filter val="PA7097_C02_M"/>
            <filter val="VO2925B_W44_53"/>
            <filter val="VO5283S_260513_54"/>
            <filter val="DJ2131_C730_56"/>
            <filter val="EMPORIO ARMANI METAL"/>
            <filter val="VO2925B_W44_51"/>
            <filter val="VO4038_352_54"/>
            <filter val="IDS2500_C52_58"/>
            <filter val="YG TR METAL"/>
            <filter val="VO4128_323_50"/>
            <filter val="VO5030_W827_53"/>
            <filter val="RX6385_2509_53"/>
            <filter val="VO4128_323_52"/>
            <filter val="DJ16T149_C1_53"/>
            <filter val="FT_M050BR5_M"/>
            <filter val="TOM STYLE"/>
            <filter val="GUYS"/>
            <filter val="AB1129_C3_54"/>
            <filter val="DJ3146_C1_50"/>
            <filter val="AB1164_C2_52"/>
            <filter val="TH5734_C3_52"/>
            <filter val="ID1548_C1_51"/>
            <filter val="FFF SHEET"/>
            <filter val="RAYBAN GOGGLES(4190)"/>
            <filter val="TOM LEO"/>
            <filter val="LL8006_C3_M"/>
            <filter val="AB2040_C317_53"/>
            <filter val="IDS2401_C2_52"/>
            <filter val="DJ9174_C1_58"/>
            <filter val="RX3610V_2500_58"/>
            <filter val="VO3997S_32348_58"/>
            <filter val="IS6241_C21_53"/>
            <filter val="MAIRA BOSS FULL METAL"/>
            <filter val="IZ523_C2_54"/>
            <filter val="MYSTERY"/>
            <filter val="DJ9142_C2_49"/>
            <filter val="IDS2539_C1_55"/>
            <filter val="VO3931I_352_53"/>
            <filter val="ID1479_C4_50"/>
            <filter val="FT_P040BR2_M"/>
            <filter val="ID1508_C4_50"/>
            <filter val="IZ303_C2_54"/>
            <filter val="RX6384_2502_54"/>
            <filter val="DJ9044_C5_49"/>
            <filter val="VO3983S_965S8H_58"/>
            <filter val="DJ9064_C1_47"/>
            <filter val="DJ21007_C4_52"/>
            <filter val="TH7921_C3_55"/>
            <filter val="Bandage lens"/>
            <filter val="RB4216_601S71_56"/>
            <filter val="VO5227I_W44_52"/>
            <filter val="IDS2508_C2_58"/>
            <filter val="SKY BORN ACETATE"/>
            <filter val="LL5674_C4_51"/>
            <filter val="CK3161S_003_58"/>
            <filter val="ID1541_C4_53"/>
            <filter val="DJ9201_C2_50"/>
            <filter val="OO9316_04_63"/>
            <filter val="FT_M032BU1_M"/>
            <filter val="AG2058_C559_53"/>
            <filter val="PA7093_C03_50"/>
            <filter val="DJ9132S_C1_57"/>
            <filter val="AG2058_C1_53"/>
            <filter val="IZ525_C1_54"/>
            <filter val="VERSACE GOGGLES"/>
            <filter val="TH2543_C4_59"/>
            <filter val="TIGER/TIGER MK"/>
            <filter val="RAYBAN CANDY"/>
            <filter val="ID1478_C4_53"/>
            <filter val="RB4147_60158_60"/>
            <filter val="ID722_C3_52"/>
            <filter val="RB8041_001_58"/>
            <filter val="SE1170_C1_53"/>
            <filter val="RX7056_2000_53"/>
            <filter val="MIKINITEEN"/>
            <filter val="DJ9176S_C1_59"/>
            <filter val="FT_PC001BU13_M"/>
            <filter val="MOON LIGHT FULL METAL"/>
            <filter val="TF376_90B_58"/>
            <filter val="HC"/>
            <filter val="DJ2118_C637_53"/>
            <filter val="AB1117_C5_53"/>
            <filter val="DJ9046_C4_47"/>
            <filter val="VO4112S_84813_56"/>
            <filter val="INB4004_COLB_49"/>
            <filter val="ID973_C2_51"/>
            <filter val="IZ398_C3_54"/>
            <filter val="AZEETA SHEET"/>
            <filter val="AB1108_C5_52"/>
            <filter val="BIOFLEX OCCLUSION EYE WIPES"/>
            <filter val="RB3025_W3277_58"/>
            <filter val="IDS2392_C2_49"/>
            <filter val="Teenager Big"/>
            <filter val="RB3025_09032_58"/>
            <filter val="GOAVIATOR  FULL AVIATOR"/>
            <filter val="color contact lens"/>
            <filter val="VO4015B_352_53"/>
            <filter val="ID1548_C5_51"/>
            <filter val="HAPPINESS"/>
            <filter val="VO5211S_W4411_54"/>
            <filter val="TH2515_C3_50"/>
            <filter val="KC1288_32E_58"/>
            <filter val="ID1541_C6_53"/>
            <filter val="MONT BLANC M SUPRA"/>
            <filter val="VO2943SB_201148_55"/>
            <filter val="VO5167S_2621_50"/>
            <filter val="IDS2514_C1_53"/>
            <filter val="IDS2552_C3_56"/>
            <filter val="FT_P089WH4_M"/>
            <filter val="IDS2434_C3_54"/>
            <filter val="FT_P230GR3P_M"/>
            <filter val="VO2942SB_201148_55"/>
            <filter val="DJ2032_C548_51"/>
            <filter val="VO5283S_27248Z_54"/>
            <filter val="LANZO LOUIS"/>
            <filter val="COSTA 3 PC"/>
            <filter val="BLOOM PRIME"/>
            <filter val="FT_M165YL7_M"/>
            <filter val="Protective cup goggles"/>
            <filter val="AB2093_C484_53"/>
            <filter val="ID1495_C2_51"/>
            <filter val="IDS2495_C2_58"/>
            <filter val="AB1169_C4_53"/>
            <filter val="IZ485_C2_54"/>
            <filter val="PEN READING"/>
            <filter val="ESCAPE DIVA"/>
            <filter val="INB1907D_CAT3_M"/>
            <filter val="RX7127_2475_53"/>
            <filter val="AG2058_C243_53"/>
            <filter val="Gsenev Aviator"/>
            <filter val="AB1117_C3_53"/>
            <filter val="AB1175S_C3_53"/>
            <filter val="RB3025_00151_58"/>
            <filter val="MINI READING"/>
            <filter val="TITAN EYE + SHEET"/>
            <filter val="RB3025_00151_55"/>
            <filter val="TH844_C2S_53"/>
            <filter val="DJ9167_C5_58"/>
            <filter val="VO2906_2249_52"/>
            <filter val="RX7027_5419_54"/>
            <filter val="IDS2442_C3_51"/>
            <filter val="LOCATIN"/>
            <filter val="FT_P429BU4_M"/>
            <filter val="TONNY DAVID FULL METAL"/>
            <filter val="DJ9127S_C7_56"/>
            <filter val="IDS2506_C1_66"/>
            <filter val="VO3997S_93413_58"/>
            <filter val="ID1486_C4_50"/>
            <filter val="BE4193_300213_57"/>
            <filter val="ID1519_C1_49"/>
            <filter val="DJ2079_C219_55"/>
            <filter val="PA7093_C01_60"/>
            <filter val="ID1564_C3_51"/>
            <filter val="RX6266_2501_51"/>
            <filter val="VO5227I_2362_52"/>
            <filter val="BOSS HUGO BOSS SHEET"/>
            <filter val="VO5282SB_260569_54"/>
            <filter val="FT_M180SL3F_M"/>
            <filter val="VO3992_352_53"/>
            <filter val="RB3561_9001A5_57"/>
            <filter val="VO2924BI_2065_51"/>
            <filter val="X-ITE"/>
            <filter val="DJ2347_C5_52"/>
            <filter val="RB3025_00258_62"/>
            <filter val="TR OAKLEY"/>
            <filter val="VO4139SB_50758Z_54"/>
            <filter val="IDS2428_C3_M"/>
            <filter val="ID1547_C6_51"/>
            <filter val="DJ5916_C1_51"/>
            <filter val="IM2357_C2_50"/>
            <filter val="VO2843S_227811_56"/>
            <filter val="ID1562_C4_55"/>
            <filter val="DJ9026_C1_54"/>
            <filter val="VO3981_352_54"/>
            <filter val="ID997_C3_52"/>
            <filter val="ID1482_C6_51"/>
            <filter val="SC4616_C3_51"/>
            <filter val="DJ5914_C2_46"/>
            <filter val="VO3981_352_52"/>
            <filter val="IDS1961_C3P_58"/>
            <filter val="AB2038_C578_50"/>
            <filter val="IDS2539_C3_57"/>
            <filter val="AB1098_C6_49"/>
            <filter val="DJ0301_BLK_52"/>
            <filter val="IDS2170_C1_52"/>
            <filter val="DJ9134_C4B_55"/>
            <filter val="FT_P178BR3FP_M"/>
            <filter val="DJ9064_C3_47"/>
            <filter val="VO4104_2807A_57"/>
            <filter val="POLICE METAL SUPRA IST"/>
            <filter val="SC4614_C4_51"/>
            <filter val="VO5216BI_W44_51"/>
            <filter val="FANCY METAL BIG SHAPE"/>
            <filter val="RB3025_003_58"/>
            <filter val="RX5312_5537_52"/>
            <filter val="TH6213_C3_54"/>
            <filter val="VO5284S_W4487_32"/>
            <filter val="TH7912_C1_60"/>
            <filter val="OO9188_16_59"/>
            <filter val="DJ9057_C5_54"/>
            <filter val="DJ2050_C234_50"/>
            <filter val="ID1511_C2_51"/>
            <filter val="ID1561_C2_54"/>
            <filter val="IDS2365_C3P_M"/>
            <filter val="VO2819S_W4411_58"/>
            <filter val="CANSTAR"/>
            <filter val="VO2993S_W65613_57"/>
            <filter val="OP3026_C7_53"/>
            <filter val="DJ9162_C5_50"/>
            <filter val="VO2829SM_W4411_58"/>
            <filter val="VO5247_W656_49"/>
            <filter val="ID1460_C2_54"/>
            <filter val="AB1121_C2_52"/>
            <filter val="BE20030_C01_M"/>
            <filter val="DIOR IST"/>
            <filter val="RX7017_5200_54"/>
            <filter val="ID1489_C5_51"/>
            <filter val="DJ5916_C3_51"/>
            <filter val="PC8827_SSH_55"/>
            <filter val="POLO FASHION TR"/>
            <filter val="ESCAPE MB"/>
            <filter val="DJ2074_C350_52"/>
            <filter val="BIOTRUE 300 ML"/>
            <filter val="ID1547_C4_51"/>
            <filter val="VO2870S_235811_52"/>
            <filter val="FT_M050BU2_64"/>
            <filter val="VE4321_518213_58"/>
            <filter val="OBSERVER"/>
            <filter val="FT_P294BU2_M"/>
            <filter val="VO2767_1947_50"/>
            <filter val="DJ9115_C5_49"/>
            <filter val="ID1487_C6_51"/>
            <filter val="CK3143S_228_55"/>
            <filter val="VO4092B_507514_56"/>
            <filter val="AB1119_C2_55"/>
            <filter val="RB3025_W3275_55"/>
            <filter val="RB2140_955_52"/>
            <filter val="BANKU KIDS"/>
            <filter val="UIVI FULL AVIATOR"/>
            <filter val="TH2514_C2_53"/>
            <filter val="POLICE DELTA"/>
            <filter val="TH846_C8_58"/>
            <filter val="SE1184_C5_55"/>
            <filter val="DJ2133_C225_53"/>
            <filter val="FT_M062BK1_M"/>
            <filter val="RX6049_2500_52"/>
            <filter val="O MATTER"/>
            <filter val="AISLIN SHEET GOGGLES"/>
            <filter val="RAYBAN GOGGLES"/>
            <filter val="TOMMY HILFIGER FULL METAL IST"/>
            <filter val="DJ8783_C6_52"/>
            <filter val="RX3578V_2904_50"/>
            <filter val="RB3025_0013E_55"/>
            <filter val="GUCCI FULL METAL SQURE"/>
            <filter val="DJ2001_C11_53"/>
            <filter val="IDS2538_C4_49"/>
            <filter val="RB3558_004B8_58"/>
            <filter val="AB1118_C2_52"/>
            <filter val="SC4750_C1_52"/>
            <filter val="TANKS METAL ROUND"/>
            <filter val="AB1167_C3_53"/>
            <filter val="AB1123_C2_55"/>
            <filter val="TOMMY FASHION"/>
            <filter val="DJ2075_C198_56"/>
            <filter val="RX6424_2502_53"/>
            <filter val="FT_M149BU2_M"/>
            <filter val="ID961_C2_51"/>
            <filter val="TH7920_C1_56"/>
            <filter val="TH5734_C1_52"/>
            <filter val="AG1086_C2_54"/>
            <filter val="DJ9062_C4_54"/>
            <filter val="RB3025_0013E_62"/>
            <filter val="AB1171_C3_61"/>
            <filter val="PG"/>
            <filter val="DJ2115_C645_50"/>
            <filter val="OO9102_01_55"/>
            <filter val="VO5272_2731_51"/>
            <filter val="FT_M138BR2_58"/>
            <filter val="AB16T150_C2_51"/>
            <filter val="CUP Goggles/SUNGLASS PROTECTIVE"/>
            <filter val="FT_M154BR2_M"/>
            <filter val="VO4119_5078_51"/>
            <filter val="RB3025_00451_58"/>
            <filter val="D&amp;G SHEET IST"/>
            <filter val="CRKT"/>
            <filter val="IDS2413_C1_62"/>
            <filter val="VO5204I_W44_52"/>
            <filter val="RAFA PC"/>
            <filter val="IDS2193_C2_58"/>
            <filter val="RJ9054S_186/87_51"/>
            <filter val="CHRISTIAN DIOR FULL METAL IST"/>
            <filter val="TH7914_C4_48"/>
            <filter val="TH7975_C3_50"/>
            <filter val="PORSCHE DESIGN GOGGLES"/>
            <filter val="VO2896_W4411_54"/>
            <filter val="ID1248_C8_50"/>
            <filter val="ID1426_C1_49"/>
            <filter val="CK5350_403_54"/>
            <filter val="ID1427_C5_52"/>
            <filter val="AB2092_C581_51"/>
            <filter val="RX6241E_2501_52"/>
            <filter val="DJ9162_C1_50"/>
            <filter val="PR27NS_1AB3M1_55"/>
            <filter val="SE1157_C1_52"/>
            <filter val="ID1536_C1_51"/>
            <filter val="VO2943SB_W4411_55"/>
            <filter val="FT_M068BK8P_M"/>
            <filter val="RB7060_6019A_54"/>
            <filter val="IDS2523_C2P-55"/>
            <filter val="PA7037_C01_M"/>
            <filter val="PR4096_C03_M"/>
            <filter val="TH2514_C1_53"/>
            <filter val="VO2894SB_191613_56"/>
            <filter val="IDS2472_C2_52"/>
            <filter val="ID1430_C4_52"/>
            <filter val="ID1027_C2_53"/>
            <filter val="DJ9049_C2_51"/>
            <filter val="ID1200_C5_53"/>
            <filter val="TH7977_C1_56"/>
            <filter val="ID1542_C2_53"/>
            <filter val="SPIDERMAN METAL"/>
            <filter val="CARTIER SHEET"/>
            <filter val="KC1253S_52F_60"/>
            <filter val="TH7981_C4_58"/>
            <filter val="RB3025_0013F_58"/>
            <filter val="VO4037_280_52"/>
            <filter val="DJ9201_C5_50"/>
            <filter val="RAYBAN FANCY METAL"/>
            <filter val="FT_P192BR2_M"/>
            <filter val="DJ2098_C226_47"/>
            <filter val="OX1131_04_52"/>
            <filter val="BOTEGO PASSION"/>
            <filter val="SUPEROL"/>
            <filter val="LOUIS STYLE 3 PC"/>
            <filter val="FT_P241BK1_M"/>
            <filter val="AB1136_C2_60"/>
            <filter val="FT_P336SL2_M"/>
            <filter val="VERVE ACETATE SHEET"/>
            <filter val="KC1288_08B_58"/>
            <filter val="Bluecut CRKT"/>
            <filter val="IDS2552_C1_M"/>
            <filter val="BORN CRAZY METAL"/>
            <filter val="IDS2297_C1_57"/>
            <filter val="TH3166_C2_47"/>
            <filter val="BABY ACETATE"/>
            <filter val="KIDS"/>
            <filter val="FT_M131BK1P_62"/>
            <filter val="SOLANA FULL METAL"/>
            <filter val="CK1089_028_58"/>
            <filter val="HIGH FLIER BABY"/>
            <filter val="ID1509_C2_50"/>
            <filter val="SE1167_C9_52"/>
            <filter val="CK2146SA_001_59"/>
            <filter val="MONT BLANC SHEET IST"/>
            <filter val="LADIES METAL WILI"/>
            <filter val="PARI FULL METAL"/>
            <filter val="RB3539_1928G_54"/>
            <filter val="KX7107_2209_52"/>
            <filter val="OO9265_02_59"/>
            <filter val="RAYBAN DIAMOND AVIATORS+O SHAPE GOGGLES(3517+3510)"/>
            <filter val="RX5337_5528_54"/>
            <filter val="DJ2132_C225_53"/>
            <filter val="VO2896S_W65613_54"/>
            <filter val="ID1030_C1_53"/>
            <filter val="IZ518_C3_54"/>
            <filter val="DL5218V_068_53"/>
            <filter val="RX3582V_2500_51"/>
            <filter val="DJ0501_135_50"/>
            <filter val="RB3025_00451_55"/>
            <filter val="DJ2111_C4_52"/>
            <filter val="IL9444_C4_50"/>
            <filter val="RX6384_2509_52"/>
            <filter val="ID908_C2_50"/>
            <filter val="VO5205S_25547E_62"/>
            <filter val="RB4264_601SA1_58"/>
            <filter val="VO3981_548_52"/>
            <filter val="SC748_C589_51"/>
            <filter val="SE1262_C3_48"/>
            <filter val="ID1134_C2_49"/>
            <filter val="RX6489_2501_58"/>
            <filter val="IDS2485_C1_57"/>
            <filter val="BILGISAY"/>
            <filter val="ESCAPE DEJAVU"/>
            <filter val="DJ2346_C5_55"/>
            <filter val="IDS2526_C3_60"/>
            <filter val="EMPORIO ARMANI SHEET"/>
            <filter val="IS6140_C06_52"/>
            <filter val="VO2915S_22618H_53"/>
            <filter val="TH2529_C1_49"/>
            <filter val="RB3025_9002A6_55"/>
            <filter val="AB2108_C539_53"/>
            <filter val="RAYBAN GOLD PG"/>
            <filter val="ID1521_C2_51"/>
            <filter val="IDS2408_C5P_53"/>
            <filter val="VISION SPRING READER"/>
            <filter val="ST10107_C5_52"/>
            <filter val="VO5269S_W65613_56"/>
            <filter val="IDS2506_C3_M"/>
            <filter val="PRADA METAL SUPRA IST"/>
            <filter val="TOM FORD METAL  Ist"/>
            <filter val="VO4002S_99511_55"/>
            <filter val="PRADA SHEET"/>
            <filter val="VO2886_W44_53"/>
            <filter val="DJ9126S_C1_59"/>
            <filter val="IZ518_C1_54"/>
            <filter val="INB1912D_Cat.2 S"/>
            <filter val="AB1115_C1_52"/>
            <filter val="PR4096_C01_M"/>
            <filter val="FARENHEIT READING FOLDABLE +2.5"/>
            <filter val="PA7076_C04_M"/>
            <filter val="ID1561_C5_54"/>
            <filter val="SANAFLEX"/>
            <filter val="RX6266_2502_53"/>
            <filter val="RX7014_2000_54"/>
            <filter val="TH2544_C3_60"/>
            <filter val="PORSCHE DESIGN FULL METAL"/>
            <filter val="GUCCI SHEET Ist"/>
            <filter val="IZ500_C2_54"/>
            <filter val="RENU_LENSSOLUTION_60"/>
            <filter val="OP3023_C1_51"/>
            <filter val="DJ18632_C1_51"/>
            <filter val="ULTEM"/>
            <filter val="BE4201_300273_58"/>
            <filter val="VO4091BI_84873_56"/>
            <filter val="PAGE 4"/>
            <filter val="TH844_C1S_53"/>
            <filter val="IDS2508_C7_58"/>
            <filter val="LL1927_C2_49"/>
            <filter val="CARRERA DELTA"/>
            <filter val="IDS2477_C2_56"/>
            <filter val="VO2998_2386_54"/>
            <filter val="IM277_C3_M"/>
            <filter val="IZ144_00232_M"/>
            <filter val="ID980_C1_50"/>
            <filter val="IDS2528_C3_58"/>
            <filter val="RAYBAN FULL AVIATOR IST"/>
            <filter val="TOMMY SPORT 3 PC"/>
            <filter val="ESCAPE TR METAL SIDE"/>
            <filter val="AG1151_C4_50"/>
            <filter val="ID906_C4_50"/>
            <filter val="TH2530_C2_51"/>
            <filter val="ID1542_C4_53"/>
            <filter val="IM2328_C1_52"/>
            <filter val="VO5280SB_272276_57"/>
            <filter val="driving goggles"/>
            <filter val="IDS2520_C1_53"/>
            <filter val="DJ9174S_C5_58"/>
            <filter val="VO2915S_226214_53"/>
            <filter val="VO2787_2406_53"/>
            <filter val="VO2787_2406_51"/>
            <filter val="ID1511_C5_51"/>
            <filter val="ID674_C1_55"/>
            <filter val="DJ9053_C3_50"/>
            <filter val="DJ15T156_C5_53"/>
            <filter val="DJ2076_C614_50"/>
            <filter val="TH2527_C1_62"/>
            <filter val="DJ9165_C1_55"/>
            <filter val="VO5164S_W4411_52"/>
            <filter val="HASHTAG FULL METAL"/>
            <filter val="VO4125_5115_53"/>
            <filter val="AB1128_C5_53"/>
            <filter val="RB3025_0023F_58"/>
            <filter val="CALEB"/>
            <filter val="OP2170_C46_50"/>
            <filter val="BISMARCK"/>
            <filter val="TH5734_C4_52"/>
            <filter val="RB3432_004_59"/>
            <filter val="ROCKER SHEET"/>
            <filter val="FT_P327BU2_M"/>
            <filter val="ID1246_C2_51"/>
            <filter val="INB1915_CAT3_M"/>
            <filter val="MIGHTY FULL METAL"/>
            <filter val="MADRIDCITY SHEET"/>
            <filter val="IZ508_C2_54"/>
            <filter val="RB2132_710_58"/>
            <filter val="VO4016B_848_53"/>
            <filter val="CARTIER 3PC Ist"/>
            <filter val="ID1153_C4_52"/>
            <filter val="TH7881_C3_59"/>
            <filter val="DJ9135_C4_48"/>
            <filter val="TH2536_C2_55"/>
            <filter val="DIOR DELTA"/>
            <filter val="VO4016B_848_51"/>
            <filter val="HANKER(66009)"/>
            <filter val="CK4151_001_56"/>
            <filter val="DJ15T158_C5_53"/>
            <filter val="VO5166S_256613_51"/>
            <filter val="VO4128_5108_50"/>
            <filter val="DJ9132S_C3_57"/>
            <filter val="CARRERA METAL Ist"/>
            <filter val="VO4038_548_54"/>
            <filter val="IDS2351_C3_56"/>
            <filter val="VO3997S_848T5_58"/>
            <filter val="TI_G170PYFL9B-60"/>
            <filter val="DJ9044_C4_49"/>
            <filter val="DJ0301_GUN_52"/>
            <filter val="RX6322_2503_53"/>
            <filter val="BOSS METAL Full Ist"/>
            <filter val="color CLS"/>
            <filter val="ULTRA LIGHT SHEET"/>
            <filter val="HARLEY DAVIDSON SHEET"/>
            <filter val="RX3947V_2500_51"/>
            <filter val="ID1545_C2_54"/>
            <filter val="TH2527_C3_62"/>
            <filter val="TAG HEUR 3 PC"/>
            <filter val="U EYEWEAR BLUE"/>
            <filter val="AB1087_C3_53"/>
            <filter val="SWISS"/>
            <filter val="VO2916_W4411_58"/>
            <filter val="AB1090_C2_53"/>
            <filter val="OX1131_06_52"/>
            <filter val="RB3025_00168_58"/>
            <filter val="IDS2401_C4_52"/>
            <filter val="WALNUT PRO"/>
            <filter val="FT_P223GR1_M"/>
            <filter val="ID940_C2_52"/>
            <filter val="GLASS"/>
            <filter val="ULTRA WATCH"/>
            <filter val="DJ8235_DP_53"/>
            <filter val="FT_M035GY1_M"/>
            <filter val="IDS2354_C2P_M"/>
            <filter val="OP3026_C1_53"/>
            <filter val="CREATIE"/>
            <filter val="IDS2532_C2_51"/>
            <filter val="CK3154_214_62"/>
            <filter val="AB1140_C3_52"/>
            <filter val="RAYBAN ACETATE"/>
            <filter val="VE1210BM_1002_52"/>
            <filter val="ID1480_C4_51"/>
            <filter val="VO5247I_W44_49"/>
            <filter val="RX5337_2012_54"/>
            <filter val="VO3969_934_50"/>
            <filter val="DJ2050_C226_48"/>
            <filter val="TH2543_C3_59"/>
            <filter val="Display Goggles"/>
            <filter val="WHITE KT"/>
            <filter val="DJ9201_C3_50"/>
            <filter val="CK1209S_001_62"/>
            <filter val="MENEING"/>
            <filter val="AB1142_C5_50"/>
            <filter val="ID1561_C7_54"/>
            <filter val="DJ9112S_C1_61"/>
            <filter val="RJ9506S_22011_50"/>
            <filter val="VO5280SB_260569_57"/>
            <filter val="AB1162_C1_51"/>
            <filter val="ID1427_C1_52"/>
            <filter val="IDS2352_C3_56"/>
            <filter val="FT_P218BR2FP_M"/>
            <filter val="SYNERGY SHEET"/>
            <filter val="RX6325_2730_53"/>
            <filter val="MAGIC TR"/>
            <filter val="DJ5902_C1_53"/>
            <filter val="ID1470_C5_52"/>
            <filter val="KX7109_2019_50"/>
            <filter val="VO5002_W44_52"/>
            <filter val="ID873_C3_51"/>
            <filter val="AG1107_C4_50"/>
            <filter val="IDS1700_C31_M"/>
            <filter val="TH2530_C4_51"/>
            <filter val="AB2108_C540_51"/>
            <filter val="RB3025JM_169_55"/>
            <filter val="Blue cut PG"/>
            <filter val="LL3606_C2_53"/>
            <filter val="VO2660_W65613_58"/>
            <filter val="ID878_C1_52"/>
            <filter val="VO5283S_27236V_54"/>
            <filter val="ID1541_C2_53"/>
            <filter val="KC0212_052_54"/>
            <filter val="RB3025_00217_58"/>
            <filter val="SE1276_C4_52"/>
            <filter val="WALNUT FAB"/>
            <filter val="AB1138_C4_53"/>
            <filter val="PA7037_C03_M"/>
            <filter val="ID1483_C2_50"/>
            <filter val="LL8001_C1_M"/>
            <filter val="WILTON"/>
            <filter val="CAPS SHEET"/>
            <filter val="VO4083S_84811_55"/>
            <filter val="IDS2505_C1P_54"/>
            <filter val="IDS1874_C2_59"/>
            <filter val="VO3983S_548S13_58"/>
            <filter val="KIXSQUEST READING"/>
            <filter val="READING NV"/>
            <filter val="PA7072_C03_54"/>
            <filter val="OX1136_06_52"/>
            <filter val="ID1428_C1_47"/>
            <filter val="Image7000_C2_M"/>
            <filter val="TH846_C2S_58"/>
            <filter val="VO5282SB_260480_54"/>
            <filter val="CLASSIC SHEET"/>
            <filter val="AB2092_C455_53"/>
            <filter val="RAYBAN TR PARIS"/>
            <filter val="TH2529_C3_49"/>
            <filter val="FT_P430BR2_M"/>
            <filter val="RB3025_00158_58"/>
            <filter val="PA7092_C02_M"/>
            <filter val="IZ278_C2_54"/>
            <filter val="INB2946B_CAT3_M"/>
            <filter val="AB1152_C2_52"/>
            <filter val="OLIVICRR"/>
            <filter val="POSS DESIGN NV"/>
            <filter val="RB3025_181_58"/>
            <filter val="RB2132_71051_55"/>
            <filter val="VO4055SI_502214_57"/>
            <filter val="VO5007B_W4411_58"/>
            <filter val="SE1512_C1_53"/>
            <filter val="ID1027_C4_53"/>
            <filter val="COPPER METAL"/>
            <filter val="AB4017_DEMIRED_52"/>
            <filter val="DJ9141_C5_53"/>
            <filter val="RC583S_69Z_64"/>
            <filter val="RX6303_2501_53"/>
            <filter val="TH2537_C2_55"/>
            <filter val="DJ15T126_C3_54"/>
            <filter val="ID1544_C6_52"/>
            <filter val="VISION SPRING SUNGLASSES"/>
            <filter val="TRIO"/>
            <filter val="KX7674_1006_52"/>
            <filter val="VO2940S_229648_58"/>
            <filter val="KADDORA SHEET"/>
            <filter val="DIOR ROUND METAL IST"/>
            <filter val="DJ084_C4_52"/>
            <filter val="AG1098_C4_49"/>
            <filter val="IM2356_C1_52"/>
            <filter val="IZ525_C2_54"/>
            <filter val="RX6386_2500_51"/>
            <filter val="AB1090_C4_53"/>
            <filter val="AB1164_C1_52"/>
            <filter val="KOOLTI"/>
            <filter val="ID1425_C2_48"/>
            <filter val="VO2866_W44_55"/>
            <filter val="IDS2519_C4_61"/>
            <filter val="IZ233_C2_54"/>
            <filter val="RB3025_0033F_58"/>
            <filter val="IZ281_C1_54"/>
            <filter val="VO2866_W44_53"/>
            <filter val="AO 1.6 CRHMC"/>
            <filter val="DG1229_061_53"/>
            <filter val="IDS2438_C2_57"/>
            <filter val="PC8824_EEI_62"/>
            <filter val="DJ9046_C5_47"/>
            <filter val="DJ9062_C3_54"/>
            <filter val="CHRISTIAN"/>
            <filter val="RB3025_0013K_58"/>
            <filter val="FT_P265BR2_58"/>
            <filter val="PORSCHE DESIGN SHEET M S Ist"/>
            <filter val="DJ9027_C4_54"/>
            <filter val="VO5010I_W44_53"/>
            <filter val="VO5010I_W44_51"/>
            <filter val="FT_P324BK3F_M"/>
            <filter val="VE3215_617_52"/>
            <filter val="TITAN EYE + M SUPRA"/>
            <filter val="Crizal SV"/>
            <filter val="IDS2232_C1_49"/>
            <filter val="IL9363_C7_52"/>
            <filter val="ID1474_C5_54"/>
            <filter val="VO4112S_50757E_56"/>
            <filter val="ID1560_C4_54"/>
            <filter val="CHANEL SHEET IST"/>
            <filter val="ID1557_C6_52"/>
            <filter val="IDS2350_C1_50"/>
            <filter val="RB3025_0016_55"/>
            <filter val="VO3843_813_50"/>
            <filter val="FUSION"/>
            <filter val="IDS2343_C14P_58"/>
            <filter val="IDS2538_C5_49"/>
            <filter val="PLATINUM"/>
            <filter val="TH5734_C2_52"/>
            <filter val="MK GOGGLES"/>
            <filter val="OP2100_C01_52"/>
            <filter val="PG 6 LINE"/>
            <filter val="FT_M162BK1_M"/>
            <filter val="DISTRICT"/>
            <filter val="ID1495_C5_51"/>
            <filter val="OP3023_C5_51"/>
            <filter val="KX7674_1096S_50"/>
            <filter val="RB3342_006_60"/>
            <filter val="ID1476_C4_52"/>
            <filter val="INB4004_COLA_49"/>
            <filter val="DJ0502_138_53"/>
            <filter val="VO5119S_W445A_56"/>
            <filter val="DJ9206_C1_51"/>
            <filter val="MONT BLANC M FULL"/>
            <filter val="DJ9142_C1_49"/>
            <filter val="IZ523_C3_54"/>
            <filter val="SLEEK FULL METAL"/>
            <filter val="ID1508_C3_50"/>
            <filter val="IM2348_C1_49"/>
            <filter val="TF318_01B_62"/>
            <filter val="AG2103_C526_52"/>
            <filter val="SPIKE SHEET"/>
            <filter val="ID1559_C3_54"/>
            <filter val="AG1147_C5_51"/>
            <filter val="KIDDIES"/>
            <filter val="BIOTRUE SOLUTION 60 ml+SILK LENS SOLUTION"/>
            <filter val="ID1541_C3_53"/>
            <filter val="RB3025_0024O_58"/>
            <filter val="VO4125I_5116_51"/>
            <filter val="VO5183S_W4411_58"/>
            <filter val="FT_M083BR2F_M"/>
            <filter val="VO5215S_23860L_51"/>
            <filter val="VO4125I_5116_53"/>
            <filter val="PVP EYE SHEET"/>
            <filter val="VOGUE METAL Ist"/>
            <filter val="HANKER(66020)"/>
            <filter val="DJ2347_C4_52"/>
            <filter val="RB3025_00332_58"/>
            <filter val="DJ2004_C2_50"/>
            <filter val="DJ2096_C226_50"/>
            <filter val="BOSS M SUPRA"/>
            <filter val="TOM FORD DELTA"/>
            <filter val="SPEED"/>
            <filter val="ID1562_C1_55"/>
            <filter val="VO5284S_27210K_32"/>
            <filter val="RB3025_00458_58"/>
            <filter val="CARTIER FULL AVIATOR IST"/>
            <filter val="FT_P180PR2F_M"/>
            <filter val="RC522S_01B_63"/>
            <filter val="EYEJACK METAL"/>
            <filter val="TH9018_C4_50"/>
            <filter val="BURBERRY GOGGLES"/>
            <filter val="KRLSH"/>
            <filter val="AB1087_C4_53"/>
            <filter val="OP2102_C31_52"/>
            <filter val="VO4037_352_52"/>
            <filter val="DJ2062_548_55"/>
            <filter val="FT_C060BK2_54"/>
            <filter val="IDS2503_C3_58"/>
            <filter val="VO4128_5110_52"/>
            <filter val="VO4128_5110_50"/>
            <filter val="IDS2404_C2_57"/>
            <filter val="IDS2621_C3_57"/>
            <filter val="TH7898_C1_55"/>
            <filter val="ID1296_C3_50"/>
            <filter val="WALNUT +"/>
            <filter val="DJ5917_C4_51"/>
            <filter val="TOM HILL SHEET"/>
            <filter val="RC596S_08B_61"/>
            <filter val="TH9000_C4_49"/>
            <filter val="TH6113_C3_51"/>
            <filter val="PROGRESSIVE"/>
            <filter val="RB3025_01451_58"/>
            <filter val="RB3447_001_50"/>
            <filter val="INB1906A_Cat.3 S"/>
            <filter val="IS6371_C1_53"/>
            <filter val="FT_P192GR1_M"/>
            <filter val="IDS2473_C3_52"/>
            <filter val="ID1559_C5_54"/>
            <filter val="ID1546_C3_52"/>
            <filter val="RB3025_00458_62"/>
            <filter val="VO5010_2395_51"/>
            <filter val="CK3161S_004_58"/>
            <filter val="DJ9201_C1_50"/>
            <filter val="VO4125_352_53"/>
            <filter val="ID1541_C5_53"/>
            <filter val="LANTUN"/>
            <filter val="RB2180_6277B1_49"/>
            <filter val="ID1286_C4_54"/>
            <filter val="DJ9150_C1_53"/>
            <filter val="ID950_C2_51"/>
            <filter val="DERN DESK"/>
            <filter val="DJ9105_C3_51"/>
            <filter val="VO5227I_W656_52"/>
            <filter val="ID1470_C7_52"/>
            <filter val="FERRARI FULL METAL"/>
            <filter val="RB3538_1872Y_53"/>
            <filter val="TAG HEUR SHEET Ist"/>
            <filter val="KC0240_62R_51"/>
            <filter val="SPR52P_ZVN1X1_61"/>
            <filter val="IDS2553_C3_M"/>
            <filter val="VO5166_W6565R_51"/>
            <filter val="OH LA LA"/>
            <filter val="IZ105_COL1_54"/>
            <filter val="DJ2094_C410_51"/>
            <filter val="RB2448N_710_51"/>
            <filter val="IDS2476_C2_62"/>
            <filter val="PEACHY METAL"/>
            <filter val="SC1885_C3_59"/>
            <filter val="VO3947_352_52"/>
            <filter val="AB1158_C2_52"/>
            <filter val="DJ9134_C3_55"/>
            <filter val="VO3969_352_50"/>
            <filter val="VO4106_84813_55"/>
            <filter val="IM2351_C3_52"/>
            <filter val="AB4017_BLK_52"/>
            <filter val="RX6336_2857_51"/>
            <filter val="CHOPARD"/>
            <filter val="CARTIER METAL FULL IST"/>
            <filter val="DJ9091_C1_53"/>
            <filter val="RB4252_71013_51"/>
            <filter val="DJ9139_C1_54"/>
            <filter val="PC6830_UJM_56"/>
            <filter val="INB2802A_CAT3_M"/>
            <filter val="AB1127_C3_53"/>
            <filter val="ARMSTRONG"/>
            <filter val="ALLIGATOR GOGGLES"/>
            <filter val="DJ16T149_C2_53"/>
            <filter val="IDS2538_C3_49"/>
            <filter val="DIOR FULL METAL IST"/>
            <filter val="RAYBAN SHEET Ist"/>
            <filter val="DJ9050_C5_52"/>
            <filter val="CONTACT LENS PCS"/>
            <filter val="TH7920_C2_56"/>
            <filter val="VO2959S_230213_54"/>
            <filter val="ID1292_C3_52"/>
            <filter val="IDS2344_C1P_54"/>
            <filter val="TH7981_C1_58"/>
            <filter val="HASHTAG SUPRA METAL"/>
            <filter val="ID1542_C5_53"/>
            <filter val="TH7862_C2_55"/>
            <filter val="SC1863_C1_52"/>
            <filter val="IDS1802_C2_57"/>
            <filter val="DJ9026_C2_54"/>
            <filter val="IM2358_C2_53"/>
            <filter val="PA7092_C03_61"/>
            <filter val="TITANIUM SHEET"/>
            <filter val="LL5682_C5_53"/>
            <filter val="FASILOOR METAL  SIDE"/>
            <filter val="OO9247_13_57"/>
            <filter val="VENCE GOGGLES"/>
            <filter val="CK4224S_004_57"/>
            <filter val="AG2058_C614_53"/>
            <filter val="Dior goggles"/>
            <filter val="AB1098_C5_49"/>
            <filter val="TH7910_C5_55"/>
            <filter val="CARRERA FULL AVIATOR"/>
            <filter val="CK4216_320_56"/>
            <filter val="IDS2337_C2_54"/>
            <filter val="VO2899_W44_51"/>
            <filter val="DJ2070_C646_49"/>
            <filter val="VO4055SI_99613_57"/>
            <filter val="VO2925B_2048_53"/>
            <filter val="JUST NV"/>
            <filter val="DJ9064_C4_47"/>
            <filter val="AB1163_C4_52"/>
            <filter val="ELLSURISE FULL METAL"/>
            <filter val="AB1115_C5_52"/>
            <filter val="IDS2500_C48_58"/>
            <filter val="CITYFLYER"/>
            <filter val="Escape Ex"/>
            <filter val="DJ9058_C3_51"/>
            <filter val="TOMMY HILFIGER SHEET IST"/>
            <filter val="DJ3179_C3_51"/>
            <filter val="ID1561_C1_54"/>
            <filter val="ID1561_C1_51"/>
            <filter val="AB2092_C693_53"/>
            <filter val="DJ2043_C555_53"/>
            <filter val="SHEET FRAMES"/>
            <filter val="ID1038_C6_51"/>
            <filter val="INB2610B_CAT3_S"/>
            <filter val="VO5283_272573_54"/>
            <filter val="GENESIS AVIATOR"/>
            <filter val="AB1104_C4_54"/>
            <filter val="AB1136S_C4_60"/>
            <filter val="IM2311_C2_60"/>
            <filter val="D&amp;G GOGGLES"/>
            <filter val="IDS2496_C2_53"/>
            <filter val="ST10111_C1_49"/>
            <filter val="ID736_C4_53"/>
            <filter val="VO3768_352_50"/>
            <filter val="JOHN HILL SUPRA"/>
            <filter val="CK4223_377_52"/>
            <filter val="DJ9129_C2_55"/>
            <filter val="AB1132_C2_51"/>
            <filter val="TH2512_C1_53"/>
            <filter val="IDS2424_C4P_M"/>
            <filter val="ID1475_C7_48"/>
            <filter val="VO2993S_W4411_57"/>
            <filter val="CARTIER M SUPRA"/>
            <filter val="VO5271_272611_53"/>
            <filter val="AB1168_C4_54"/>
            <filter val="MAGIC PLUS(BOTH)"/>
            <filter val="DJ18632_C2_51"/>
            <filter val="FT_U005YL5F_58"/>
            <filter val="RB4147_609585_60"/>
            <filter val="ID1560_C2_54"/>
            <filter val="MILLENIUM"/>
            <filter val="ACETATE D BAR"/>
            <filter val="TESPORT"/>
            <filter val="AB1118_C1_52"/>
            <filter val="VO5118SI_W4411_57"/>
            <filter val="VO2941S_227913_56"/>
            <filter val="VO5042_1647_53"/>
            <filter val="Blue ray Progressive"/>
            <filter val="TH6000_C2_52"/>
            <filter val="CK4182_002_54"/>
            <filter val="RB3025_00478_62"/>
            <filter val="TH7848_C3_57"/>
            <filter val="COATED GLASS"/>
            <filter val="NATIONPORTS SHEET"/>
            <filter val="AB1169_C3_53"/>
            <filter val="CK4261S_060_55"/>
            <filter val="DJ9172_C5_56"/>
            <filter val="DJ2010_C48_53"/>
            <filter val="DJ2044_C13_53"/>
            <filter val="MIMI CLASSIC"/>
            <filter val="RX5312_2477_52"/>
            <filter val="VO5263BI_W656_52"/>
            <filter val="ID1545_C6_54"/>
            <filter val="DISCOVERY NOW METAL"/>
            <filter val="VO2961_W827_53"/>
            <filter val="DJ9123_C4_49"/>
            <filter val="ID1508_C1_50"/>
            <filter val="OX3131_06_53"/>
            <filter val="COMPACT READING"/>
            <filter val="RB3016_1160_51"/>
            <filter val="INB2940_CAT1_M"/>
            <filter val="PR4102_C04_58"/>
            <filter val="RESTAURA"/>
            <filter val="ID1333_C4_47"/>
            <filter val="ROUND SHEET"/>
            <filter val="RB3411_004_60"/>
            <filter val="FB4101_C2_50"/>
            <filter val="AG1093_C2_53"/>
            <filter val="IDS2551_C2_57"/>
            <filter val="ID1520_C1_50"/>
            <filter val="FANCY GOGGLES"/>
            <filter val="DAVID BECKHAM SHEET"/>
            <filter val="IDS2001_C67P_58"/>
            <filter val="RULEC FULL METAL"/>
            <filter val="VO5243SB_266920_53"/>
            <filter val="FT_C060PR3F_M"/>
            <filter val="IDS2550_C3_58"/>
            <filter val="PA7058_C03_M"/>
            <filter val="ID1489_C4_51"/>
            <filter val="VO2908_W44_53"/>
            <filter val="DJ3134_C1_51(5)"/>
            <filter val="IDS2266_C3_56"/>
            <filter val="DJ5918_C1_54"/>
            <filter val="ID1562_C3_55"/>
            <filter val="DJ5916_C2_51"/>
            <filter val="ID1547_C5_51"/>
            <filter val="PR15QS_1AB0A7_53"/>
            <filter val="RX6367_2502_51"/>
            <filter val="ID1542_C7_53"/>
            <filter val="INB1917B_CAT3_M"/>
            <filter val="CARTIER 3 PC"/>
            <filter val="TOMMY HILFIGER SHEET"/>
            <filter val="DJ15T162_C2_52"/>
            <filter val="IDS2536_C4_60"/>
            <filter val="SC4632_C2_49"/>
            <filter val="TR FANCY METAL"/>
            <filter val="DINEX SUPRA AVIATOR"/>
            <filter val="AB1108_C4_52"/>
            <filter val="PORSCHE DESIGN SURA METAL"/>
            <filter val="AB1130_C1_53"/>
            <filter val="ROMEROS"/>
            <filter val="PRADA GOGGLES"/>
            <filter val="ID1485_C6_50"/>
            <filter val="ID1548_C4_51"/>
            <filter val="CK5350_060_54"/>
            <filter val="ID1541_C7_53"/>
            <filter val="RB3530_0029A_58"/>
            <filter val="AB1115_C3_52"/>
            <filter val="RAYBAN MURCURY"/>
            <filter val="IDS2379_C2_56"/>
            <filter val="IDS2225_C1_53"/>
            <filter val="IDS2554_C1_60"/>
            <filter val="MK1010_110011_54"/>
            <filter val="TH9711_C2_53"/>
            <filter val="ALPHA ACETATE"/>
            <filter val="CK3152S_001_57"/>
            <filter val="ID1561_C3_54"/>
            <filter val="Teenager"/>
            <filter val="ID1545_C5_54"/>
            <filter val="MAIRA BOSS+ SHEET"/>
            <filter val="ID1038_C4_51"/>
            <filter val="FARENHEIT READING FOLDABLE +1"/>
            <filter val="DJ2118_C629_53"/>
            <filter val="HONEY EYEWEAR NV"/>
            <filter val="BOSS DELTA"/>
            <filter val="MAC STALIN"/>
            <filter val="Blue Cut PGKT"/>
            <filter val="AB1110_C2_53"/>
            <filter val="AG1140_C1_52"/>
            <filter val="WALNUT PRO H"/>
            <filter val="TH2512_C3_53"/>
            <filter val="ID1547_C3_51"/>
            <filter val="IZ518_C2_54"/>
            <filter val="DJ5916_C4_51"/>
            <filter val="DJ13T156"/>
            <filter val="IDS2500_C56_58"/>
            <filter val="RX6390_2928_51"/>
            <filter val="PRADA FULL METAL ROUND IST"/>
            <filter val="IDS2498_C2_58"/>
            <filter val="FT_C078YL4F_M"/>
            <filter val="VO4125I_5078_51"/>
            <filter val="AB16T150_C3_51"/>
            <filter val="VO4125I_5078_53"/>
            <filter val="AB1128_C2_53"/>
            <filter val="RX7033_5624_52"/>
            <filter val="RB3025_9001A5_58"/>
            <filter val="RX2547_2000_53"/>
            <filter val="RX6489_2500_58"/>
            <filter val="TH2544_C4_60"/>
            <filter val="ID1544_C1_52"/>
            <filter val="TH3166_C3_47"/>
            <filter val="POLO FASHION 3PCS"/>
            <filter val="CK1209S_010_62"/>
            <filter val="RB4273_6019A_52"/>
            <filter val="FT_P108BR2_M"/>
            <filter val="CRIZAL UV"/>
            <filter val="DJ2094_C533_51"/>
            <filter val="DJ9050_C2_52"/>
            <filter val="VISION SPRING"/>
            <filter val="ARC"/>
            <filter val="ID1001_C2_54"/>
            <filter val="IZ258_C3_54"/>
            <filter val="VO5268I_W44_51"/>
            <filter val="RB2132_902_52"/>
            <filter val="RX7090_5622_52"/>
            <filter val="TH7898_C8_55"/>
            <filter val="TOMMY HILFIGER FULL METAL"/>
            <filter val="AB1102_C3_52"/>
            <filter val="PRADA FULL METAL SQURE IST"/>
            <filter val="ST10109_C4_54"/>
            <filter val="EA4099_567771_56"/>
            <filter val="VO5284S_27206V_32"/>
            <filter val="IDS2500_C44_58"/>
            <filter val="ID996_C3_51"/>
            <filter val="AB1149_C2_54"/>
            <filter val="VO3980_323S_52"/>
            <filter val="Excellen"/>
            <filter val="AB1115_C2_52"/>
            <filter val="IDS2409_C1P_58"/>
            <filter val="IL9494_C2_49"/>
            <filter val="VO5282SB_W4487_54"/>
            <filter val="INB2901E_Cat.2S_68"/>
            <filter val="SUMMIT"/>
            <filter val="IDS2375_C2_53"/>
            <filter val="TH7981_C3_58"/>
            <filter val="V-READERS NV"/>
            <filter val="COME UP"/>
            <filter val="ST10111_C9_49"/>
            <filter val="VO5242S_W65613_50"/>
            <filter val="ID1561_C4_54"/>
            <filter val="RB2132_90158_55"/>
            <filter val="VO3981_979S_52"/>
            <filter val="DISNEY"/>
            <filter val="NIKE SUPRA METAL"/>
            <filter val="TR ROUND GUCCI"/>
            <filter val="AB1137_C5_59"/>
            <filter val="VISION SPRING yellow"/>
            <filter val="VO5212S_W65613_55"/>
            <filter val="TH5690_C1_52"/>
            <filter val="DITA FULL METAL"/>
            <filter val="BLUECUT HMC"/>
            <filter val="VO5119S_W65613_56"/>
            <filter val="IDS2493_C1_55"/>
            <filter val="FARENHEIT READING FOLDABLE +3.0"/>
            <filter val="CRKT ARC"/>
            <filter val="VO2940S_23828F_58"/>
            <filter val="CK4223_001_52"/>
            <filter val="GANGSTER"/>
            <filter val="MARY JANE SHEET GOGGLES"/>
            <filter val="FARENHEIT READING FOLDABLE +2"/>
            <filter val="DJ3179_C1_51"/>
            <filter val="DJ9162_C2_50"/>
            <filter val="SE1142_C2_54"/>
            <filter val="PRADA FANCY METAL IST"/>
            <filter val="EA4086_502613_54"/>
            <filter val="AB1138_C1_53"/>
            <filter val="SHEET WITH METAL SIDE"/>
            <filter val="KX7666_1032_53"/>
            <filter val="VO2937_W44_51"/>
            <filter val="DJ5915_C1_47"/>
            <filter val="IDS2550_C1_58"/>
            <filter val="RB3530_0048G_58"/>
            <filter val="TH2530_C1_51"/>
            <filter val="DJ3197_C6_53"/>
            <filter val="DJ2131_C724_56"/>
            <filter val="KROMOS"/>
            <filter val="VO5271S_W4487_53"/>
            <filter val="DJ2130_C723_54"/>
            <filter val="IL9845_C2_48"/>
            <filter val="FT_P360BR4_M"/>
            <filter val="GUCCI M FULL"/>
            <filter val="RB4274_6018G_53"/>
            <filter val="VO2940S_W4471_58"/>
            <filter val="ID1531_C2_54"/>
            <filter val="DJ2037_C307_49"/>
            <filter val="FRANK MARTIN GOGGLES"/>
            <filter val="LOUIS STYLE TR"/>
            <filter val="IZ588_C3_54"/>
            <filter val="VO2695S_234611_59"/>
            <filter val="BURBERRY FULL METAL IST"/>
            <filter val="DJ3134_C1_51(11)"/>
            <filter val="YOUNGSTUN SUPRA"/>
            <filter val="IDS2401_C7_52"/>
            <filter val="VO2817S_20308F_53"/>
            <filter val="BOSS METAL SUPRA IST"/>
            <filter val="TH9009_C5_54"/>
            <filter val="VERVE FIX PAD METAL"/>
            <filter val="DJ9049_C3_51"/>
            <filter val="ID1528_C1_51"/>
            <filter val="AB1120_C1_50"/>
            <filter val="RB3025_00358_58"/>
            <filter val="ID1562_C6_55"/>
            <filter val="PA7104_C01_M"/>
            <filter val="FT_P335GR2F_M"/>
            <filter val="VO3982SB_84813_58"/>
            <filter val="VO5247I_1647_49"/>
            <filter val="MAKKER"/>
            <filter val="NEW YORK DESIGN"/>
            <filter val="MAURIE JEAN ACETATE"/>
            <filter val="FC7311_C2_62"/>
            <filter val="ID1375_C3_53"/>
            <filter val="ZEISS BC"/>
            <filter val="FLING"/>
            <filter val="ID1564_C4_51"/>
            <filter val="IDS2538_C1_49"/>
            <filter val="IDS2301_C17P_58"/>
            <filter val="PA7106_C03_M"/>
            <filter val="Crizal SV KT"/>
            <filter val="AB1124_C4_56"/>
            <filter val="IM2357_C1_50"/>
            <filter val="RENU SOLUTION 300ML"/>
            <filter val="IDS2402_C10P_56"/>
            <filter val="TH826P_C3_52"/>
            <filter val="ID1560_C1_54"/>
            <filter val="VE3253_GB1_53"/>
            <filter val="OO9341_05_57"/>
            <filter val="SC2844_C2_60"/>
            <filter val="TAG BROTHERS SHEET"/>
            <filter val="CK5367_044_52"/>
            <filter val="VO4013_352_51"/>
            <filter val="AB1104_C3_54"/>
            <filter val="Mont Blanc 3 pc"/>
            <filter val="WONDER BABY"/>
            <filter val="FARENHEIT READING FOLDABLE +1.5"/>
            <filter val="VO5282SB_272276_54"/>
            <filter val="AB1163_C2_52"/>
            <filter val="PA7069_C02_M"/>
            <filter val="ID1521_C3_51"/>
            <filter val="VO2925BI_2362_51"/>
            <filter val="BV2162B_376_53"/>
            <filter val="RX7128_2475_53"/>
            <filter val="RAYBAN WOOD GOGGLES(4175)"/>
            <filter val="IM2333_C1_53"/>
            <filter val="IDS2476_C1_62"/>
            <filter val="ID1430_C1_52"/>
            <filter val="VO2787_2306_51"/>
            <filter val="RAYBAN FULL AVIATOR"/>
            <filter val="IDS2532_C3_51"/>
            <filter val="AB1094_C3_53"/>
            <filter val="RAYBAN D SHAPE"/>
            <filter val="AB1129_C4_54"/>
            <filter val="CONFESS GOGGLES"/>
            <filter val="POLICE SHEET"/>
            <filter val="DJ2047_C198_54"/>
            <filter val="ID925_C3_51"/>
            <filter val="DJ9105_C1_51"/>
            <filter val="DJ9152_C1_55"/>
            <filter val="OO9013_F7_55"/>
            <filter val="DENTEL"/>
            <filter val="KC1234_53F_62"/>
            <filter val="METAL RING TR"/>
            <filter val="VO3980_352S_52"/>
            <filter val="ID1561_C6_54"/>
            <filter val="PORSCHE DESIGN AVIATOR METAL IST"/>
            <filter val="AB1090_C1_53"/>
            <filter val="PA7089_C03_58"/>
            <filter val="FOS2057S_0039K_52"/>
            <filter val="TOM STYLE SHEET ROUND"/>
            <filter val="IDS2350_C4_50"/>
            <filter val="RX6295_2806_49"/>
            <filter val="VO2915S_W4411_53"/>
            <filter val="VO3838_352S_53"/>
            <filter val="VO5272_2727_51"/>
            <filter val="IDS2401_C3_52"/>
            <filter val="VO2950_2048_53"/>
            <filter val="AB1137_C3_59"/>
            <filter val="VO2950_2048_51"/>
            <filter val="VO2936_2287_54"/>
            <filter val="ID1508_C5_50"/>
            <filter val="OP3024_C2_53"/>
            <filter val="RB3025_00133_58"/>
            <filter val="VO5148B_2539_53"/>
            <filter val="DISCOVERY EYES METAL"/>
            <filter val="RX6337_2857_51"/>
            <filter val="VO4024_5025_50"/>
            <filter val="KX7091_2197_52"/>
            <filter val="RAYBAN SHEET BRAND"/>
            <filter val="IDS2500_C30_58"/>
            <filter val="VO5153_2593_51"/>
            <filter val="ID1426_C4_49"/>
            <filter val="ID1303_C3_54"/>
            <filter val="RX7097_2000_49"/>
            <filter val="ID1541_C1_53"/>
            <filter val="RB3530_00488_58"/>
            <filter val="SC4715_C2_52"/>
            <filter val="VO4128_5109_52"/>
            <filter val="OO9154_49_62"/>
            <filter val="CHANEL Ist M SUPRA+3PCS"/>
            <filter val="ID1203_C4_52"/>
            <filter val="FT_P341BK1_M"/>
            <filter val="VO4128_5109_50"/>
            <filter val="DOCTOR PLUS READING"/>
            <filter val="ID1474_C2_54"/>
            <filter val="IDS2404_C4P_57"/>
            <filter val="IDS2416_C2_55"/>
            <filter val="VO4097S_28087_58"/>
            <filter val="AB1144_C4_52"/>
            <filter val="ID1297_C3_52"/>
            <filter val="VO5009BI_16478H_58"/>
            <filter val="REAL MADRID"/>
            <filter val="TH843_C3_52"/>
            <filter val="ORION"/>
            <filter val="HANKER(66019)"/>
            <filter val="DISCOVERY SCHOOL"/>
            <filter val="PG PROGRESSIVE"/>
            <filter val="PA7100_C01_M"/>
            <filter val="HANSHA"/>
            <filter val="VO4125I_352_51"/>
            <filter val="LENS SHINE"/>
            <filter val="AB4012_DEMISLV_53"/>
            <filter val="RB3025_00332_62"/>
            <filter val="AB1100_C3_53"/>
            <filter val="DJ2003_C14_49"/>
            <filter val="IDS2499_C4_59"/>
            <filter val="OP3023_C2_51"/>
            <filter val="CHANEL SHEET"/>
            <filter val="RAYBAN AVIATORS WITH BOX"/>
            <filter val="IZ607_00168_54"/>
            <filter val="OP2105_C01_54"/>
            <filter val="VO4038_5033_54"/>
            <filter val="DJ9097_C3_48"/>
            <filter val="TH2529_C2_49"/>
            <filter val="VO2763_2279_53"/>
            <filter val="VO4138S_28069_56"/>
            <filter val="NIRVANA"/>
            <filter val="VO2968_2326_52"/>
            <filter val="AB1152_C3_52"/>
            <filter val="CELLESTIS"/>
            <filter val="ST55093_C4_52"/>
            <filter val="RB3538_18813_53"/>
            <filter val="IM2338_C3_52"/>
            <filter val="RX3947V_2501_48"/>
            <filter val="RAYBAN METAL SUPRA IST"/>
            <filter val="HANKER(66018)"/>
            <filter val="TH7869_C2_60"/>
            <filter val="ID1152_C1_54"/>
            <filter val="FT_P230BK1_M"/>
            <filter val="WORLDCUP SHEET"/>
            <filter val="LL5674_C2_51"/>
            <filter val="VO5137S_W65613_55"/>
            <filter val="IDS2508_C4_58"/>
            <filter val="AB1131_C5_52"/>
            <filter val="RICHIE RICH NV"/>
            <filter val="DJ2091_C225_51"/>
            <filter val="ID1047_C1_51"/>
            <filter val="IDS2001_C62P_58"/>
            <filter val="RB4346_62507Q_51"/>
            <filter val="AG1169_C2_53"/>
            <filter val="RB4202_60714V_55"/>
            <filter val="IDS2524_C2_60"/>
            <filter val="ID1487_C1_51"/>
            <filter val="AB1172S_C2_58"/>
            <filter val="ID1542_C1_53"/>
            <filter val="CARRERA GOGGLES"/>
            <filter val="DIOR SHEET IST"/>
            <filter val="PA7095_C03_M"/>
            <filter val="IDS2523_C1P_M"/>
            <filter val="VO3955B_352_51"/>
            <filter val="IDS2522_C2_58"/>
            <filter val="VO5211S_W4487_54"/>
            <filter val="CK3143S_001_55"/>
            <filter val="CARTIER DELTA"/>
            <filter val="BIOTRUE SOLUTION 120 ml"/>
            <filter val="AB4018_BLACK_52"/>
            <filter val="IS6290_C4_49"/>
            <filter val="RB3025_00157_55"/>
            <filter val="TH2529_C4_49"/>
            <filter val="OP3023_C4_51"/>
            <filter val="RB3025_00157_58"/>
            <filter val="PC8808_DM4_55"/>
            <filter val="IDS2408_C3_53"/>
            <filter val="TH2536_C3_55"/>
            <filter val="GALEBO"/>
            <filter val="TITAN EYE + M SUPRA IST"/>
            <filter val="IDS2532_C1_51"/>
            <filter val="Escape + Sheet"/>
            <filter val="CARTIER SHEET IST"/>
            <filter val="VO5204_2477_52"/>
            <filter val="DJ15T128_C2_51"/>
            <filter val="DJ9202_C4_49"/>
            <filter val="OX3165_03_53"/>
            <filter val="RENU_LENSSOLUTION_120"/>
            <filter val="ID1033_C4_51"/>
            <filter val="CHOICE"/>
            <filter val="TF276_74Z_59"/>
            <filter val="AG2054_C228_53"/>
            <filter val="KIDS SAFILO"/>
            <filter val="OP3025_C2_53"/>
            <filter val="RAYBAN TR SHEET"/>
            <filter val="BIOFLEX OCCLUSION EYE PATCH (REGULAR)"/>
            <filter val="VO3843I_756_50"/>
            <filter val="IDS2500_C54_58"/>
            <filter val="TOM HILL BOTIM"/>
            <filter val="OP3026_C2_53"/>
            <filter val="AB1090_C3_53"/>
            <filter val="AB4017_DEMI_52"/>
            <filter val="OP2103_C94_53"/>
            <filter val="PR4063_C02_60"/>
            <filter val="RAYBAN AVIATORS GOGGLES"/>
            <filter val="ID1528_C3_51"/>
            <filter val="IZ508_C1_54"/>
            <filter val="IDS2473_C1_52"/>
            <filter val="VERACITY FULL METAL"/>
            <filter val="AB2108_C541_53"/>
            <filter val="HANKER(66014)"/>
            <filter val="ID1426_C2_49"/>
            <filter val="IDS2406_C3_60"/>
            <filter val="FT_M062BR3_M"/>
            <filter val="SILHOUETTE SHEET"/>
            <filter val="PA7086_C02_M"/>
            <filter val="VO5010_W656_51"/>
            <filter val="DIOR LADIES"/>
            <filter val="ADIDAS"/>
            <filter val="CARRERA SUPRA METAL"/>
          </filters>
        </filterColumn>
      </autoFilter>
    </customSheetView>
    <customSheetView guid="{AEA9119D-3057-4B2B-BCA9-BCEE0CC9C132}" filter="1" showAutoFilter="1">
      <autoFilter ref="$A$1:$G$1433">
        <filterColumn colId="0">
          <filters>
            <filter val="RB3561_001_57"/>
            <filter val="RAW-7 KT READING"/>
            <filter val="TH7898_C2_55"/>
            <filter val="ID1508_C2_50"/>
            <filter val="FT_P299OR2_M"/>
            <filter val="GUCCI FULL AVIATOR"/>
            <filter val="VO4128_848_52"/>
            <filter val="RB3025_1674K_55"/>
            <filter val="IDS2442_C5_51"/>
            <filter val="VO4128_848_50"/>
            <filter val="FRANCE"/>
            <filter val="DJ9182_C1_57"/>
            <filter val="RAYBAN METAL SUPRA"/>
            <filter val="MAGIC PLUS NV"/>
            <filter val="HANKER(66013)"/>
            <filter val="DJ9022_C3_53"/>
            <filter val="ID1559_C4_54"/>
            <filter val="VO4097S_323H7_58"/>
            <filter val="DJ9102_C1_52"/>
            <filter val="RB3025_11217_62"/>
            <filter val="VO5242S_W4411_50"/>
            <filter val="EA4086_56788Z_54"/>
            <filter val="DR READING"/>
            <filter val="EA4094_502613_56"/>
            <filter val="ID1484_C3_51"/>
            <filter val="ESCAPE FULL METAL"/>
            <filter val="AB2067_C176_50"/>
            <filter val="DJ9113S_C1_54"/>
            <filter val="VO2714_2406_54"/>
            <filter val="BRATS &amp; DOLLS"/>
            <filter val="ID1047_C2_51"/>
            <filter val="DJ15T163_C5_54"/>
            <filter val="AB1124_C1_56"/>
            <filter val="VO2714_2406_52"/>
            <filter val="RX6049_2502_55"/>
            <filter val="DJ2076_C230_50"/>
            <filter val="KX7646_1010_49"/>
            <filter val="ID1562_C2_55"/>
            <filter val="AB2040_C510_51"/>
            <filter val="VO3955B_280_51"/>
            <filter val="ID1490_C4_53"/>
            <filter val="FOS3010PS_003Y2_59"/>
            <filter val="CK4260S_196_55"/>
            <filter val="VO5134S_25318H_55"/>
            <filter val="HANKER(66012)"/>
            <filter val="RB3025_11217_58"/>
            <filter val="AB1162_C3_51"/>
            <filter val="IZ398_C1_54"/>
            <filter val="IDS2476_C3_62"/>
            <filter val="SE1237_C4_52"/>
            <filter val="RX6305_2503_54"/>
            <filter val="IMAGE FANCY METAL"/>
            <filter val="AG1109_C4_51"/>
            <filter val="READER READING"/>
            <filter val="DJ2069_C221_47"/>
            <filter val="IDS2486_C2_53"/>
            <filter val="RB4147_60132_60"/>
            <filter val="TH7976_C1_52"/>
            <filter val="PGARC"/>
            <filter val="AB1084_C2_53"/>
            <filter val="VO2906_W44_52"/>
            <filter val="SMARTENT"/>
            <filter val="DJ9139_C2_54"/>
            <filter val="IZ279_C2_M"/>
            <filter val="ID1560_C5_54"/>
            <filter val="LOUIS VUITION FULL METAL"/>
            <filter val="DATA SOFT"/>
            <filter val="DJ9151_C4_54"/>
            <filter val="MAIRA BOSS SUPRA METAL"/>
            <filter val="FANCY LADIES"/>
            <filter val="IL9453_C3_48"/>
            <filter val="SC2843_C1_61"/>
            <filter val="VO2864_2183_52"/>
            <filter val="DJ2119_C1_52"/>
            <filter val="ID1563_C6_53"/>
            <filter val="VO4140_5078_53"/>
            <filter val="AB1125_C5_52"/>
            <filter val="VOGUE SHEET IST"/>
            <filter val="VO3983S_964S11_58"/>
            <filter val="AB1159_C3_50"/>
            <filter val="IDS2528_C2_M"/>
            <filter val="ID1471_C3_50"/>
            <filter val="RB3025_0033E_58"/>
            <filter val="REl18517_NSZ_M"/>
            <filter val="NIKE"/>
            <filter val="TOM HILL NV READYMADE"/>
            <filter val="IM362P_C2_M"/>
            <filter val="TH9000_C3_49"/>
            <filter val="IZ233_C3_54"/>
            <filter val="RAYBAN AVIATOR SUPRA METAL IST"/>
            <filter val="OP2134_C01_51"/>
            <filter val="RB3016_114517_51"/>
            <filter val="CK1184SP_006_59"/>
            <filter val="TH9018_C3_50"/>
            <filter val="VO5247I_2395_49"/>
            <filter val="VO5216BI_W656_51"/>
            <filter val="ID1144_C2_53"/>
            <filter val="Elements FSV Bluecut"/>
            <filter val="PGKT 6LINE"/>
            <filter val="VO5061SB_W4487_53"/>
            <filter val="BOB MANDATORY"/>
            <filter val="AB1103_C3_52"/>
            <filter val="ST10121_C3_52"/>
            <filter val="MAYBACH FULL METAL"/>
            <filter val="ID698_C5_53"/>
            <filter val="AB1158_C1_52"/>
            <filter val="IL9491_C3_49"/>
            <filter val="VO5268I_W656_51"/>
            <filter val="VERSACE FULL METAL"/>
            <filter val="PA7097_C02_M"/>
            <filter val="VO2925B_W44_53"/>
            <filter val="VO5283S_260513_54"/>
            <filter val="DJ2131_C730_56"/>
            <filter val="EMPORIO ARMANI METAL"/>
            <filter val="VO2925B_W44_51"/>
            <filter val="VO4038_352_54"/>
            <filter val="IDS2500_C52_58"/>
            <filter val="YG TR METAL"/>
            <filter val="VO4128_323_50"/>
            <filter val="VO5030_W827_53"/>
            <filter val="RX6385_2509_53"/>
            <filter val="VO4128_323_52"/>
            <filter val="DJ16T149_C1_53"/>
            <filter val="FT_M050BR5_M"/>
            <filter val="TOM STYLE"/>
            <filter val="GUYS"/>
            <filter val="AB1129_C3_54"/>
            <filter val="DJ3146_C1_50"/>
            <filter val="AB1164_C2_52"/>
            <filter val="TH5734_C3_52"/>
            <filter val="ID1548_C1_51"/>
            <filter val="FFF SHEET"/>
            <filter val="RAYBAN GOGGLES(4190)"/>
            <filter val="TOM LEO"/>
            <filter val="LL8006_C3_M"/>
            <filter val="AB2040_C317_53"/>
            <filter val="IDS2401_C2_52"/>
            <filter val="DJ9174_C1_58"/>
            <filter val="RX3610V_2500_58"/>
            <filter val="VO3997S_32348_58"/>
            <filter val="IS6241_C21_53"/>
            <filter val="MAIRA BOSS FULL METAL"/>
            <filter val="IZ523_C2_54"/>
            <filter val="MYSTERY"/>
            <filter val="DJ9142_C2_49"/>
            <filter val="IDS2539_C1_55"/>
            <filter val="VO3931I_352_53"/>
            <filter val="ID1479_C4_50"/>
            <filter val="FT_P040BR2_M"/>
            <filter val="ID1508_C4_50"/>
            <filter val="IZ303_C2_54"/>
            <filter val="RX6384_2502_54"/>
            <filter val="DJ9044_C5_49"/>
            <filter val="VO3983S_965S8H_58"/>
            <filter val="DJ9064_C1_47"/>
            <filter val="DJ21007_C4_52"/>
            <filter val="TH7921_C3_55"/>
            <filter val="Bandage lens"/>
            <filter val="RB4216_601S71_56"/>
            <filter val="VO5227I_W44_52"/>
            <filter val="IDS2508_C2_58"/>
            <filter val="SKY BORN ACETATE"/>
            <filter val="LL5674_C4_51"/>
            <filter val="CK3161S_003_58"/>
            <filter val="ID1541_C4_53"/>
            <filter val="DJ9201_C2_50"/>
            <filter val="OO9316_04_63"/>
            <filter val="FT_M032BU1_M"/>
            <filter val="AG2058_C559_53"/>
            <filter val="PA7093_C03_50"/>
            <filter val="DJ9132S_C1_57"/>
            <filter val="AG2058_C1_53"/>
            <filter val="IZ525_C1_54"/>
            <filter val="VERSACE GOGGLES"/>
            <filter val="TH2543_C4_59"/>
            <filter val="TIGER/TIGER MK"/>
            <filter val="RAYBAN CANDY"/>
            <filter val="ID1478_C4_53"/>
            <filter val="RB4147_60158_60"/>
            <filter val="ID722_C3_52"/>
            <filter val="RB8041_001_58"/>
            <filter val="SE1170_C1_53"/>
            <filter val="RX7056_2000_53"/>
            <filter val="MIKINITEEN"/>
            <filter val="DJ9176S_C1_59"/>
            <filter val="FT_PC001BU13_M"/>
            <filter val="MOON LIGHT FULL METAL"/>
            <filter val="TF376_90B_58"/>
            <filter val="HC"/>
            <filter val="DJ2118_C637_53"/>
            <filter val="AB1117_C5_53"/>
            <filter val="DJ9046_C4_47"/>
            <filter val="VO4112S_84813_56"/>
            <filter val="INB4004_COLB_49"/>
            <filter val="ID973_C2_51"/>
            <filter val="IZ398_C3_54"/>
            <filter val="AZEETA SHEET"/>
            <filter val="AB1108_C5_52"/>
            <filter val="BIOFLEX OCCLUSION EYE WIPES"/>
            <filter val="RB3025_W3277_58"/>
            <filter val="IDS2392_C2_49"/>
            <filter val="Teenager Big"/>
            <filter val="RB3025_09032_58"/>
            <filter val="GOAVIATOR  FULL AVIATOR"/>
            <filter val="color contact lens"/>
            <filter val="VO4015B_352_53"/>
            <filter val="ID1548_C5_51"/>
            <filter val="HAPPINESS"/>
            <filter val="VO5211S_W4411_54"/>
            <filter val="TH2515_C3_50"/>
            <filter val="KC1288_32E_58"/>
            <filter val="ID1541_C6_53"/>
            <filter val="MONT BLANC M SUPRA"/>
            <filter val="VO2943SB_201148_55"/>
            <filter val="VO5167S_2621_50"/>
            <filter val="IDS2514_C1_53"/>
            <filter val="IDS2552_C3_56"/>
            <filter val="FT_P089WH4_M"/>
            <filter val="IDS2434_C3_54"/>
            <filter val="FT_P230GR3P_M"/>
            <filter val="VO2942SB_201148_55"/>
            <filter val="DJ2032_C548_51"/>
            <filter val="VO5283S_27248Z_54"/>
            <filter val="LANZO LOUIS"/>
            <filter val="COSTA 3 PC"/>
            <filter val="BLOOM PRIME"/>
            <filter val="FT_M165YL7_M"/>
            <filter val="Protective cup goggles"/>
            <filter val="AB2093_C484_53"/>
            <filter val="ID1495_C2_51"/>
            <filter val="IDS2495_C2_58"/>
            <filter val="AB1169_C4_53"/>
            <filter val="IZ485_C2_54"/>
            <filter val="PEN READING"/>
            <filter val="ESCAPE DIVA"/>
            <filter val="INB1907D_CAT3_M"/>
            <filter val="RX7127_2475_53"/>
            <filter val="AG2058_C243_53"/>
            <filter val="Gsenev Aviator"/>
            <filter val="AB1117_C3_53"/>
            <filter val="AB1175S_C3_53"/>
            <filter val="RB3025_00151_58"/>
            <filter val="MINI READING"/>
            <filter val="TITAN EYE + SHEET"/>
            <filter val="RB3025_00151_55"/>
            <filter val="TH844_C2S_53"/>
            <filter val="DJ9167_C5_58"/>
            <filter val="VO2906_2249_52"/>
            <filter val="RX7027_5419_54"/>
            <filter val="IDS2442_C3_51"/>
            <filter val="LOCATIN"/>
            <filter val="FT_P429BU4_M"/>
            <filter val="TONNY DAVID FULL METAL"/>
            <filter val="DJ9127S_C7_56"/>
            <filter val="IDS2506_C1_66"/>
            <filter val="VO3997S_93413_58"/>
            <filter val="ID1486_C4_50"/>
            <filter val="BE4193_300213_57"/>
            <filter val="ID1519_C1_49"/>
            <filter val="DJ2079_C219_55"/>
            <filter val="PA7093_C01_60"/>
            <filter val="ID1564_C3_51"/>
            <filter val="RX6266_2501_51"/>
            <filter val="VO5227I_2362_52"/>
            <filter val="BOSS HUGO BOSS SHEET"/>
            <filter val="VO5282SB_260569_54"/>
            <filter val="FT_M180SL3F_M"/>
            <filter val="VO3992_352_53"/>
            <filter val="RB3561_9001A5_57"/>
            <filter val="VO2924BI_2065_51"/>
            <filter val="X-ITE"/>
            <filter val="DJ2347_C5_52"/>
            <filter val="RB3025_00258_62"/>
            <filter val="TR OAKLEY"/>
            <filter val="VO4139SB_50758Z_54"/>
            <filter val="IDS2428_C3_M"/>
            <filter val="ID1547_C6_51"/>
            <filter val="DJ5916_C1_51"/>
            <filter val="IM2357_C2_50"/>
            <filter val="VO2843S_227811_56"/>
            <filter val="ID1562_C4_55"/>
            <filter val="DJ9026_C1_54"/>
            <filter val="VO3981_352_54"/>
            <filter val="ID997_C3_52"/>
            <filter val="ID1482_C6_51"/>
            <filter val="SC4616_C3_51"/>
            <filter val="DJ5914_C2_46"/>
            <filter val="VO3981_352_52"/>
            <filter val="IDS1961_C3P_58"/>
            <filter val="AB2038_C578_50"/>
            <filter val="IDS2539_C3_57"/>
            <filter val="AB1098_C6_49"/>
            <filter val="DJ0301_BLK_52"/>
            <filter val="IDS2170_C1_52"/>
            <filter val="DJ9134_C4B_55"/>
            <filter val="FT_P178BR3FP_M"/>
            <filter val="DJ9064_C3_47"/>
            <filter val="VO4104_2807A_57"/>
            <filter val="POLICE METAL SUPRA IST"/>
            <filter val="SC4614_C4_51"/>
            <filter val="VO5216BI_W44_51"/>
            <filter val="FANCY METAL BIG SHAPE"/>
            <filter val="RB3025_003_58"/>
            <filter val="RX5312_5537_52"/>
            <filter val="TH6213_C3_54"/>
            <filter val="VO5284S_W4487_32"/>
            <filter val="TH7912_C1_60"/>
            <filter val="OO9188_16_59"/>
            <filter val="DJ9057_C5_54"/>
            <filter val="DJ2050_C234_50"/>
            <filter val="ID1511_C2_51"/>
            <filter val="ID1561_C2_54"/>
            <filter val="IDS2365_C3P_M"/>
            <filter val="VO2819S_W4411_58"/>
            <filter val="CANSTAR"/>
            <filter val="VO2993S_W65613_57"/>
            <filter val="OP3026_C7_53"/>
            <filter val="DJ9162_C5_50"/>
            <filter val="VO2829SM_W4411_58"/>
            <filter val="VO5247_W656_49"/>
            <filter val="ID1460_C2_54"/>
            <filter val="AB1121_C2_52"/>
            <filter val="BE20030_C01_M"/>
            <filter val="DIOR IST"/>
            <filter val="RX7017_5200_54"/>
            <filter val="ID1489_C5_51"/>
            <filter val="DJ5916_C3_51"/>
            <filter val="PC8827_SSH_55"/>
            <filter val="POLO FASHION TR"/>
            <filter val="ESCAPE MB"/>
            <filter val="DJ2074_C350_52"/>
            <filter val="BIOTRUE 300 ML"/>
            <filter val="ID1547_C4_51"/>
            <filter val="VO2870S_235811_52"/>
            <filter val="FT_M050BU2_64"/>
            <filter val="VE4321_518213_58"/>
            <filter val="OBSERVER"/>
            <filter val="FT_P294BU2_M"/>
            <filter val="VO2767_1947_50"/>
            <filter val="DJ9115_C5_49"/>
            <filter val="ID1487_C6_51"/>
            <filter val="CK3143S_228_55"/>
            <filter val="VO4092B_507514_56"/>
            <filter val="AB1119_C2_55"/>
            <filter val="RB3025_W3275_55"/>
            <filter val="RB2140_955_52"/>
            <filter val="BANKU KIDS"/>
            <filter val="UIVI FULL AVIATOR"/>
            <filter val="TH2514_C2_53"/>
            <filter val="POLICE DELTA"/>
            <filter val="TH846_C8_58"/>
            <filter val="SE1184_C5_55"/>
            <filter val="DJ2133_C225_53"/>
            <filter val="FT_M062BK1_M"/>
            <filter val="RX6049_2500_52"/>
            <filter val="O MATTER"/>
            <filter val="AISLIN SHEET GOGGLES"/>
            <filter val="RAYBAN GOGGLES"/>
            <filter val="TOMMY HILFIGER FULL METAL IST"/>
            <filter val="DJ8783_C6_52"/>
            <filter val="RX3578V_2904_50"/>
            <filter val="RB3025_0013E_55"/>
            <filter val="GUCCI FULL METAL SQURE"/>
            <filter val="DJ2001_C11_53"/>
            <filter val="IDS2538_C4_49"/>
            <filter val="RB3558_004B8_58"/>
            <filter val="AB1118_C2_52"/>
            <filter val="SC4750_C1_52"/>
            <filter val="TANKS METAL ROUND"/>
            <filter val="AB1167_C3_53"/>
            <filter val="AB1123_C2_55"/>
            <filter val="TOMMY FASHION"/>
            <filter val="DJ2075_C198_56"/>
            <filter val="RX6424_2502_53"/>
            <filter val="FT_M149BU2_M"/>
            <filter val="ID961_C2_51"/>
            <filter val="TH7920_C1_56"/>
            <filter val="TH5734_C1_52"/>
            <filter val="AG1086_C2_54"/>
            <filter val="DJ9062_C4_54"/>
            <filter val="RB3025_0013E_62"/>
            <filter val="AB1171_C3_61"/>
            <filter val="PG"/>
            <filter val="DJ2115_C645_50"/>
            <filter val="OO9102_01_55"/>
            <filter val="VO5272_2731_51"/>
            <filter val="FT_M138BR2_58"/>
            <filter val="AB16T150_C2_51"/>
            <filter val="CUP Goggles/SUNGLASS PROTECTIVE"/>
            <filter val="FT_M154BR2_M"/>
            <filter val="VO4119_5078_51"/>
            <filter val="RB3025_00451_58"/>
            <filter val="D&amp;G SHEET IST"/>
            <filter val="CRKT"/>
            <filter val="IDS2413_C1_62"/>
            <filter val="VO5204I_W44_52"/>
            <filter val="RAFA PC"/>
            <filter val="IDS2193_C2_58"/>
            <filter val="RJ9054S_186/87_51"/>
            <filter val="CHRISTIAN DIOR FULL METAL IST"/>
            <filter val="TH7914_C4_48"/>
            <filter val="TH7975_C3_50"/>
            <filter val="PORSCHE DESIGN GOGGLES"/>
            <filter val="VO2896_W4411_54"/>
            <filter val="ID1248_C8_50"/>
            <filter val="ID1426_C1_49"/>
            <filter val="CK5350_403_54"/>
            <filter val="ID1427_C5_52"/>
            <filter val="AB2092_C581_51"/>
            <filter val="RX6241E_2501_52"/>
            <filter val="DJ9162_C1_50"/>
            <filter val="PR27NS_1AB3M1_55"/>
            <filter val="SE1157_C1_52"/>
            <filter val="ID1536_C1_51"/>
            <filter val="VO2943SB_W4411_55"/>
            <filter val="FT_M068BK8P_M"/>
            <filter val="RB7060_6019A_54"/>
            <filter val="IDS2523_C2P-55"/>
            <filter val="PA7037_C01_M"/>
            <filter val="PR4096_C03_M"/>
            <filter val="TH2514_C1_53"/>
            <filter val="VO2894SB_191613_56"/>
            <filter val="IDS2472_C2_52"/>
            <filter val="ID1430_C4_52"/>
            <filter val="ID1027_C2_53"/>
            <filter val="DJ9049_C2_51"/>
            <filter val="ID1200_C5_53"/>
            <filter val="TH7977_C1_56"/>
            <filter val="ID1542_C2_53"/>
            <filter val="SPIDERMAN METAL"/>
            <filter val="CARTIER SHEET"/>
            <filter val="KC1253S_52F_60"/>
            <filter val="TH7981_C4_58"/>
            <filter val="RB3025_0013F_58"/>
            <filter val="VO4037_280_52"/>
            <filter val="DJ9201_C5_50"/>
            <filter val="RAYBAN FANCY METAL"/>
            <filter val="FT_P192BR2_M"/>
            <filter val="DJ2098_C226_47"/>
            <filter val="OX1131_04_52"/>
            <filter val="BOTEGO PASSION"/>
            <filter val="SUPEROL"/>
            <filter val="LOUIS STYLE 3 PC"/>
            <filter val="FT_P241BK1_M"/>
            <filter val="AB1136_C2_60"/>
            <filter val="FT_P336SL2_M"/>
            <filter val="VERVE ACETATE SHEET"/>
            <filter val="KC1288_08B_58"/>
            <filter val="Bluecut CRKT"/>
            <filter val="IDS2552_C1_M"/>
            <filter val="BORN CRAZY METAL"/>
            <filter val="IDS2297_C1_57"/>
            <filter val="TH3166_C2_47"/>
            <filter val="BABY ACETATE"/>
            <filter val="KIDS"/>
            <filter val="FT_M131BK1P_62"/>
            <filter val="SOLANA FULL METAL"/>
            <filter val="CK1089_028_58"/>
            <filter val="HIGH FLIER BABY"/>
            <filter val="ID1509_C2_50"/>
            <filter val="SE1167_C9_52"/>
            <filter val="CK2146SA_001_59"/>
            <filter val="MONT BLANC SHEET IST"/>
            <filter val="LADIES METAL WILI"/>
            <filter val="PARI FULL METAL"/>
            <filter val="RB3539_1928G_54"/>
            <filter val="KX7107_2209_52"/>
            <filter val="OO9265_02_59"/>
            <filter val="RAYBAN DIAMOND AVIATORS+O SHAPE GOGGLES(3517+3510)"/>
            <filter val="RX5337_5528_54"/>
            <filter val="DJ2132_C225_53"/>
            <filter val="VO2896S_W65613_54"/>
            <filter val="ID1030_C1_53"/>
            <filter val="IZ518_C3_54"/>
            <filter val="DL5218V_068_53"/>
            <filter val="RX3582V_2500_51"/>
            <filter val="DJ0501_135_50"/>
            <filter val="RB3025_00451_55"/>
            <filter val="DJ2111_C4_52"/>
            <filter val="IL9444_C4_50"/>
            <filter val="RX6384_2509_52"/>
            <filter val="ID908_C2_50"/>
            <filter val="VO5205S_25547E_62"/>
            <filter val="RB4264_601SA1_58"/>
            <filter val="VO3981_548_52"/>
            <filter val="SC748_C589_51"/>
            <filter val="SE1262_C3_48"/>
            <filter val="ID1134_C2_49"/>
            <filter val="RX6489_2501_58"/>
            <filter val="IDS2485_C1_57"/>
            <filter val="BILGISAY"/>
            <filter val="ESCAPE DEJAVU"/>
            <filter val="DJ2346_C5_55"/>
            <filter val="IDS2526_C3_60"/>
            <filter val="EMPORIO ARMANI SHEET"/>
            <filter val="IS6140_C06_52"/>
            <filter val="VO2915S_22618H_53"/>
            <filter val="TH2529_C1_49"/>
            <filter val="RB3025_9002A6_55"/>
            <filter val="AB2108_C539_53"/>
            <filter val="RAYBAN GOLD PG"/>
            <filter val="ID1521_C2_51"/>
            <filter val="IDS2408_C5P_53"/>
            <filter val="VISION SPRING READER"/>
            <filter val="ST10107_C5_52"/>
            <filter val="VO5269S_W65613_56"/>
            <filter val="IDS2506_C3_M"/>
            <filter val="PRADA METAL SUPRA IST"/>
            <filter val="TOM FORD METAL  Ist"/>
            <filter val="VO4002S_99511_55"/>
            <filter val="PRADA SHEET"/>
            <filter val="VO2886_W44_53"/>
            <filter val="DJ9126S_C1_59"/>
            <filter val="IZ518_C1_54"/>
            <filter val="INB1912D_Cat.2 S"/>
            <filter val="AB1115_C1_52"/>
            <filter val="PR4096_C01_M"/>
            <filter val="FARENHEIT READING FOLDABLE +2.5"/>
            <filter val="PA7076_C04_M"/>
            <filter val="ID1561_C5_54"/>
            <filter val="SANAFLEX"/>
            <filter val="RX6266_2502_53"/>
            <filter val="RX7014_2000_54"/>
            <filter val="TH2544_C3_60"/>
            <filter val="PORSCHE DESIGN FULL METAL"/>
            <filter val="GUCCI SHEET Ist"/>
            <filter val="IZ500_C2_54"/>
            <filter val="RENU_LENSSOLUTION_60"/>
            <filter val="OP3023_C1_51"/>
            <filter val="DJ18632_C1_51"/>
            <filter val="ULTEM"/>
            <filter val="BE4201_300273_58"/>
            <filter val="VO4091BI_84873_56"/>
            <filter val="PAGE 4"/>
            <filter val="TH844_C1S_53"/>
            <filter val="IDS2508_C7_58"/>
            <filter val="LL1927_C2_49"/>
            <filter val="CARRERA DELTA"/>
            <filter val="IDS2477_C2_56"/>
            <filter val="VO2998_2386_54"/>
            <filter val="IM277_C3_M"/>
            <filter val="IZ144_00232_M"/>
            <filter val="ID980_C1_50"/>
            <filter val="IDS2528_C3_58"/>
            <filter val="RAYBAN FULL AVIATOR IST"/>
            <filter val="TOMMY SPORT 3 PC"/>
            <filter val="ESCAPE TR METAL SIDE"/>
            <filter val="AG1151_C4_50"/>
            <filter val="ID906_C4_50"/>
            <filter val="TH2530_C2_51"/>
            <filter val="ID1542_C4_53"/>
            <filter val="IM2328_C1_52"/>
            <filter val="VO5280SB_272276_57"/>
            <filter val="driving goggles"/>
            <filter val="IDS2520_C1_53"/>
            <filter val="DJ9174S_C5_58"/>
            <filter val="VO2915S_226214_53"/>
            <filter val="VO2787_2406_53"/>
            <filter val="VO2787_2406_51"/>
            <filter val="ID1511_C5_51"/>
            <filter val="ID674_C1_55"/>
            <filter val="DJ9053_C3_50"/>
            <filter val="DJ15T156_C5_53"/>
            <filter val="DJ2076_C614_50"/>
            <filter val="TH2527_C1_62"/>
            <filter val="DJ9165_C1_55"/>
            <filter val="VO5164S_W4411_52"/>
            <filter val="HASHTAG FULL METAL"/>
            <filter val="VO4125_5115_53"/>
            <filter val="AB1128_C5_53"/>
            <filter val="RB3025_0023F_58"/>
            <filter val="CALEB"/>
            <filter val="OP2170_C46_50"/>
            <filter val="BISMARCK"/>
            <filter val="TH5734_C4_52"/>
            <filter val="RB3432_004_59"/>
            <filter val="ROCKER SHEET"/>
            <filter val="FT_P327BU2_M"/>
            <filter val="ID1246_C2_51"/>
            <filter val="INB1915_CAT3_M"/>
            <filter val="MIGHTY FULL METAL"/>
            <filter val="MADRIDCITY SHEET"/>
            <filter val="IZ508_C2_54"/>
            <filter val="RB2132_710_58"/>
            <filter val="VO4016B_848_53"/>
            <filter val="CARTIER 3PC Ist"/>
            <filter val="ID1153_C4_52"/>
            <filter val="TH7881_C3_59"/>
            <filter val="DJ9135_C4_48"/>
            <filter val="TH2536_C2_55"/>
            <filter val="DIOR DELTA"/>
            <filter val="VO4016B_848_51"/>
            <filter val="HANKER(66009)"/>
            <filter val="CK4151_001_56"/>
            <filter val="DJ15T158_C5_53"/>
            <filter val="VO5166S_256613_51"/>
            <filter val="VO4128_5108_50"/>
            <filter val="DJ9132S_C3_57"/>
            <filter val="CARRERA METAL Ist"/>
            <filter val="VO4038_548_54"/>
            <filter val="IDS2351_C3_56"/>
            <filter val="VO3997S_848T5_58"/>
            <filter val="TI_G170PYFL9B-60"/>
            <filter val="DJ9044_C4_49"/>
            <filter val="DJ0301_GUN_52"/>
            <filter val="RX6322_2503_53"/>
            <filter val="BOSS METAL Full Ist"/>
            <filter val="color CLS"/>
            <filter val="ULTRA LIGHT SHEET"/>
            <filter val="HARLEY DAVIDSON SHEET"/>
            <filter val="RX3947V_2500_51"/>
            <filter val="ID1545_C2_54"/>
            <filter val="TH2527_C3_62"/>
            <filter val="TAG HEUR 3 PC"/>
            <filter val="U EYEWEAR BLUE"/>
            <filter val="AB1087_C3_53"/>
            <filter val="SWISS"/>
            <filter val="VO2916_W4411_58"/>
            <filter val="AB1090_C2_53"/>
            <filter val="OX1131_06_52"/>
            <filter val="RB3025_00168_58"/>
            <filter val="IDS2401_C4_52"/>
            <filter val="WALNUT PRO"/>
            <filter val="FT_P223GR1_M"/>
            <filter val="ID940_C2_52"/>
            <filter val="GLASS"/>
            <filter val="ULTRA WATCH"/>
            <filter val="DJ8235_DP_53"/>
            <filter val="FT_M035GY1_M"/>
            <filter val="IDS2354_C2P_M"/>
            <filter val="OP3026_C1_53"/>
            <filter val="CREATIE"/>
            <filter val="IDS2532_C2_51"/>
            <filter val="CK3154_214_62"/>
            <filter val="AB1140_C3_52"/>
            <filter val="RAYBAN ACETATE"/>
            <filter val="VE1210BM_1002_52"/>
            <filter val="ID1480_C4_51"/>
            <filter val="VO5247I_W44_49"/>
            <filter val="RX5337_2012_54"/>
            <filter val="VO3969_934_50"/>
            <filter val="DJ2050_C226_48"/>
            <filter val="TH2543_C3_59"/>
            <filter val="Display Goggles"/>
            <filter val="WHITE KT"/>
            <filter val="DJ9201_C3_50"/>
            <filter val="CK1209S_001_62"/>
            <filter val="MENEING"/>
            <filter val="AB1142_C5_50"/>
            <filter val="ID1561_C7_54"/>
            <filter val="DJ9112S_C1_61"/>
            <filter val="RJ9506S_22011_50"/>
            <filter val="VO5280SB_260569_57"/>
            <filter val="AB1162_C1_51"/>
            <filter val="ID1427_C1_52"/>
            <filter val="IDS2352_C3_56"/>
            <filter val="FT_P218BR2FP_M"/>
            <filter val="SYNERGY SHEET"/>
            <filter val="RX6325_2730_53"/>
            <filter val="MAGIC TR"/>
            <filter val="DJ5902_C1_53"/>
            <filter val="ID1470_C5_52"/>
            <filter val="KX7109_2019_50"/>
            <filter val="VO5002_W44_52"/>
            <filter val="ID873_C3_51"/>
            <filter val="AG1107_C4_50"/>
            <filter val="IDS1700_C31_M"/>
            <filter val="TH2530_C4_51"/>
            <filter val="AB2108_C540_51"/>
            <filter val="RB3025JM_169_55"/>
            <filter val="Blue cut PG"/>
            <filter val="LL3606_C2_53"/>
            <filter val="VO2660_W65613_58"/>
            <filter val="ID878_C1_52"/>
            <filter val="VO5283S_27236V_54"/>
            <filter val="ID1541_C2_53"/>
            <filter val="KC0212_052_54"/>
            <filter val="RB3025_00217_58"/>
            <filter val="SE1276_C4_52"/>
            <filter val="WALNUT FAB"/>
            <filter val="AB1138_C4_53"/>
            <filter val="PA7037_C03_M"/>
            <filter val="ID1483_C2_50"/>
            <filter val="LL8001_C1_M"/>
            <filter val="WILTON"/>
            <filter val="CAPS SHEET"/>
            <filter val="VO4083S_84811_55"/>
            <filter val="IDS2505_C1P_54"/>
            <filter val="IDS1874_C2_59"/>
            <filter val="VO3983S_548S13_58"/>
            <filter val="KIXSQUEST READING"/>
            <filter val="READING NV"/>
            <filter val="PA7072_C03_54"/>
            <filter val="OX1136_06_52"/>
            <filter val="ID1428_C1_47"/>
            <filter val="Image7000_C2_M"/>
            <filter val="TH846_C2S_58"/>
            <filter val="VO5282SB_260480_54"/>
            <filter val="CLASSIC SHEET"/>
            <filter val="AB2092_C455_53"/>
            <filter val="RAYBAN TR PARIS"/>
            <filter val="TH2529_C3_49"/>
            <filter val="FT_P430BR2_M"/>
            <filter val="RB3025_00158_58"/>
            <filter val="PA7092_C02_M"/>
            <filter val="IZ278_C2_54"/>
            <filter val="INB2946B_CAT3_M"/>
            <filter val="AB1152_C2_52"/>
            <filter val="OLIVICRR"/>
            <filter val="POSS DESIGN NV"/>
            <filter val="RB3025_181_58"/>
            <filter val="RB2132_71051_55"/>
            <filter val="VO4055SI_502214_57"/>
            <filter val="VO5007B_W4411_58"/>
            <filter val="SE1512_C1_53"/>
            <filter val="ID1027_C4_53"/>
            <filter val="COPPER METAL"/>
            <filter val="AB4017_DEMIRED_52"/>
            <filter val="DJ9141_C5_53"/>
            <filter val="RC583S_69Z_64"/>
            <filter val="RX6303_2501_53"/>
            <filter val="TH2537_C2_55"/>
            <filter val="DJ15T126_C3_54"/>
            <filter val="ID1544_C6_52"/>
            <filter val="VISION SPRING SUNGLASSES"/>
            <filter val="TRIO"/>
            <filter val="KX7674_1006_52"/>
            <filter val="VO2940S_229648_58"/>
            <filter val="KADDORA SHEET"/>
            <filter val="DIOR ROUND METAL IST"/>
            <filter val="DJ084_C4_52"/>
            <filter val="AG1098_C4_49"/>
            <filter val="IM2356_C1_52"/>
            <filter val="IZ525_C2_54"/>
            <filter val="RX6386_2500_51"/>
            <filter val="AB1090_C4_53"/>
            <filter val="AB1164_C1_52"/>
            <filter val="KOOLTI"/>
            <filter val="ID1425_C2_48"/>
            <filter val="VO2866_W44_55"/>
            <filter val="IDS2519_C4_61"/>
            <filter val="IZ233_C2_54"/>
            <filter val="RB3025_0033F_58"/>
            <filter val="IZ281_C1_54"/>
            <filter val="VO2866_W44_53"/>
            <filter val="AO 1.6 CRHMC"/>
            <filter val="DG1229_061_53"/>
            <filter val="IDS2438_C2_57"/>
            <filter val="PC8824_EEI_62"/>
            <filter val="DJ9046_C5_47"/>
            <filter val="DJ9062_C3_54"/>
            <filter val="CHRISTIAN"/>
            <filter val="RB3025_0013K_58"/>
            <filter val="FT_P265BR2_58"/>
            <filter val="PORSCHE DESIGN SHEET M S Ist"/>
            <filter val="DJ9027_C4_54"/>
            <filter val="VO5010I_W44_53"/>
            <filter val="VO5010I_W44_51"/>
            <filter val="FT_P324BK3F_M"/>
            <filter val="VE3215_617_52"/>
            <filter val="TITAN EYE + M SUPRA"/>
            <filter val="Crizal SV"/>
            <filter val="IDS2232_C1_49"/>
            <filter val="IL9363_C7_52"/>
            <filter val="ID1474_C5_54"/>
            <filter val="VO4112S_50757E_56"/>
            <filter val="ID1560_C4_54"/>
            <filter val="CHANEL SHEET IST"/>
            <filter val="ID1557_C6_52"/>
            <filter val="IDS2350_C1_50"/>
            <filter val="RB3025_0016_55"/>
            <filter val="VO3843_813_50"/>
            <filter val="FUSION"/>
            <filter val="IDS2343_C14P_58"/>
            <filter val="IDS2538_C5_49"/>
            <filter val="PLATINUM"/>
            <filter val="TH5734_C2_52"/>
            <filter val="MK GOGGLES"/>
            <filter val="OP2100_C01_52"/>
            <filter val="PG 6 LINE"/>
            <filter val="FT_M162BK1_M"/>
            <filter val="DISTRICT"/>
            <filter val="ID1495_C5_51"/>
            <filter val="OP3023_C5_51"/>
            <filter val="KX7674_1096S_50"/>
            <filter val="RB3342_006_60"/>
            <filter val="ID1476_C4_52"/>
            <filter val="INB4004_COLA_49"/>
            <filter val="DJ0502_138_53"/>
            <filter val="VO5119S_W445A_56"/>
            <filter val="DJ9206_C1_51"/>
            <filter val="MONT BLANC M FULL"/>
            <filter val="DJ9142_C1_49"/>
            <filter val="IZ523_C3_54"/>
            <filter val="SLEEK FULL METAL"/>
            <filter val="ID1508_C3_50"/>
            <filter val="IM2348_C1_49"/>
            <filter val="TF318_01B_62"/>
            <filter val="AG2103_C526_52"/>
            <filter val="SPIKE SHEET"/>
            <filter val="ID1559_C3_54"/>
            <filter val="AG1147_C5_51"/>
            <filter val="KIDDIES"/>
            <filter val="BIOTRUE SOLUTION 60 ml+SILK LENS SOLUTION"/>
            <filter val="ID1541_C3_53"/>
            <filter val="RB3025_0024O_58"/>
            <filter val="VO4125I_5116_51"/>
            <filter val="VO5183S_W4411_58"/>
            <filter val="FT_M083BR2F_M"/>
            <filter val="VO5215S_23860L_51"/>
            <filter val="VO4125I_5116_53"/>
            <filter val="PVP EYE SHEET"/>
            <filter val="VOGUE METAL Ist"/>
            <filter val="HANKER(66020)"/>
            <filter val="DJ2347_C4_52"/>
            <filter val="RB3025_00332_58"/>
            <filter val="DJ2004_C2_50"/>
            <filter val="DJ2096_C226_50"/>
            <filter val="BOSS M SUPRA"/>
            <filter val="TOM FORD DELTA"/>
            <filter val="SPEED"/>
            <filter val="ID1562_C1_55"/>
            <filter val="VO5284S_27210K_32"/>
            <filter val="RB3025_00458_58"/>
            <filter val="CARTIER FULL AVIATOR IST"/>
            <filter val="FT_P180PR2F_M"/>
            <filter val="RC522S_01B_63"/>
            <filter val="EYEJACK METAL"/>
            <filter val="TH9018_C4_50"/>
            <filter val="BURBERRY GOGGLES"/>
            <filter val="KRLSH"/>
            <filter val="AB1087_C4_53"/>
            <filter val="OP2102_C31_52"/>
            <filter val="VO4037_352_52"/>
            <filter val="DJ2062_548_55"/>
            <filter val="FT_C060BK2_54"/>
            <filter val="IDS2503_C3_58"/>
            <filter val="VO4128_5110_52"/>
            <filter val="VO4128_5110_50"/>
            <filter val="IDS2404_C2_57"/>
            <filter val="IDS2621_C3_57"/>
            <filter val="TH7898_C1_55"/>
            <filter val="ID1296_C3_50"/>
            <filter val="WALNUT +"/>
            <filter val="DJ5917_C4_51"/>
            <filter val="TOM HILL SHEET"/>
            <filter val="RC596S_08B_61"/>
            <filter val="TH9000_C4_49"/>
            <filter val="TH6113_C3_51"/>
            <filter val="PROGRESSIVE"/>
            <filter val="RB3025_01451_58"/>
            <filter val="RB3447_001_50"/>
            <filter val="INB1906A_Cat.3 S"/>
            <filter val="IS6371_C1_53"/>
            <filter val="FT_P192GR1_M"/>
            <filter val="IDS2473_C3_52"/>
            <filter val="ID1559_C5_54"/>
            <filter val="ID1546_C3_52"/>
            <filter val="RB3025_00458_62"/>
            <filter val="VO5010_2395_51"/>
            <filter val="CK3161S_004_58"/>
            <filter val="DJ9201_C1_50"/>
            <filter val="VO4125_352_53"/>
            <filter val="ID1541_C5_53"/>
            <filter val="LANTUN"/>
            <filter val="RB2180_6277B1_49"/>
            <filter val="ID1286_C4_54"/>
            <filter val="DJ9150_C1_53"/>
            <filter val="ID950_C2_51"/>
            <filter val="DERN DESK"/>
            <filter val="DJ9105_C3_51"/>
            <filter val="VO5227I_W656_52"/>
            <filter val="ID1470_C7_52"/>
            <filter val="FERRARI FULL METAL"/>
            <filter val="RB3538_1872Y_53"/>
            <filter val="TAG HEUR SHEET Ist"/>
            <filter val="KC0240_62R_51"/>
            <filter val="SPR52P_ZVN1X1_61"/>
            <filter val="IDS2553_C3_M"/>
            <filter val="VO5166_W6565R_51"/>
            <filter val="OH LA LA"/>
            <filter val="IZ105_COL1_54"/>
            <filter val="DJ2094_C410_51"/>
            <filter val="RB2448N_710_51"/>
            <filter val="IDS2476_C2_62"/>
            <filter val="PEACHY METAL"/>
            <filter val="SC1885_C3_59"/>
            <filter val="VO3947_352_52"/>
            <filter val="AB1158_C2_52"/>
            <filter val="DJ9134_C3_55"/>
            <filter val="VO3969_352_50"/>
            <filter val="VO4106_84813_55"/>
            <filter val="IM2351_C3_52"/>
            <filter val="AB4017_BLK_52"/>
            <filter val="RX6336_2857_51"/>
            <filter val="CHOPARD"/>
            <filter val="CARTIER METAL FULL IST"/>
            <filter val="DJ9091_C1_53"/>
            <filter val="RB4252_71013_51"/>
            <filter val="DJ9139_C1_54"/>
            <filter val="PC6830_UJM_56"/>
            <filter val="INB2802A_CAT3_M"/>
            <filter val="AB1127_C3_53"/>
            <filter val="ARMSTRONG"/>
            <filter val="ALLIGATOR GOGGLES"/>
            <filter val="DJ16T149_C2_53"/>
            <filter val="IDS2538_C3_49"/>
            <filter val="DIOR FULL METAL IST"/>
            <filter val="RAYBAN SHEET Ist"/>
            <filter val="DJ9050_C5_52"/>
            <filter val="CONTACT LENS PCS"/>
            <filter val="TH7920_C2_56"/>
            <filter val="VO2959S_230213_54"/>
            <filter val="ID1292_C3_52"/>
            <filter val="IDS2344_C1P_54"/>
            <filter val="TH7981_C1_58"/>
            <filter val="HASHTAG SUPRA METAL"/>
            <filter val="ID1542_C5_53"/>
            <filter val="TH7862_C2_55"/>
            <filter val="SC1863_C1_52"/>
            <filter val="IDS1802_C2_57"/>
            <filter val="DJ9026_C2_54"/>
            <filter val="IM2358_C2_53"/>
            <filter val="PA7092_C03_61"/>
            <filter val="TITANIUM SHEET"/>
            <filter val="LL5682_C5_53"/>
            <filter val="FASILOOR METAL  SIDE"/>
            <filter val="OO9247_13_57"/>
            <filter val="VENCE GOGGLES"/>
            <filter val="CK4224S_004_57"/>
            <filter val="AG2058_C614_53"/>
            <filter val="Dior goggles"/>
            <filter val="AB1098_C5_49"/>
            <filter val="TH7910_C5_55"/>
            <filter val="CARRERA FULL AVIATOR"/>
            <filter val="CK4216_320_56"/>
            <filter val="IDS2337_C2_54"/>
            <filter val="VO2899_W44_51"/>
            <filter val="DJ2070_C646_49"/>
            <filter val="VO4055SI_99613_57"/>
            <filter val="VO2925B_2048_53"/>
            <filter val="JUST NV"/>
            <filter val="DJ9064_C4_47"/>
            <filter val="AB1163_C4_52"/>
            <filter val="ELLSURISE FULL METAL"/>
            <filter val="AB1115_C5_52"/>
            <filter val="IDS2500_C48_58"/>
            <filter val="CITYFLYER"/>
            <filter val="Escape Ex"/>
            <filter val="DJ9058_C3_51"/>
            <filter val="TOMMY HILFIGER SHEET IST"/>
            <filter val="DJ3179_C3_51"/>
            <filter val="ID1561_C1_54"/>
            <filter val="ID1561_C1_51"/>
            <filter val="AB2092_C693_53"/>
            <filter val="DJ2043_C555_53"/>
            <filter val="SHEET FRAMES"/>
            <filter val="ID1038_C6_51"/>
            <filter val="INB2610B_CAT3_S"/>
            <filter val="VO5283_272573_54"/>
            <filter val="GENESIS AVIATOR"/>
            <filter val="AB1104_C4_54"/>
            <filter val="AB1136S_C4_60"/>
            <filter val="IM2311_C2_60"/>
            <filter val="D&amp;G GOGGLES"/>
            <filter val="IDS2496_C2_53"/>
            <filter val="ST10111_C1_49"/>
            <filter val="ID736_C4_53"/>
            <filter val="VO3768_352_50"/>
            <filter val="JOHN HILL SUPRA"/>
            <filter val="CK4223_377_52"/>
            <filter val="DJ9129_C2_55"/>
            <filter val="AB1132_C2_51"/>
            <filter val="TH2512_C1_53"/>
            <filter val="IDS2424_C4P_M"/>
            <filter val="ID1475_C7_48"/>
            <filter val="VO2993S_W4411_57"/>
            <filter val="CARTIER M SUPRA"/>
            <filter val="VO5271_272611_53"/>
            <filter val="AB1168_C4_54"/>
            <filter val="MAGIC PLUS(BOTH)"/>
            <filter val="DJ18632_C2_51"/>
            <filter val="FT_U005YL5F_58"/>
            <filter val="RB4147_609585_60"/>
            <filter val="ID1560_C2_54"/>
            <filter val="MILLENIUM"/>
            <filter val="ACETATE D BAR"/>
            <filter val="TESPORT"/>
            <filter val="AB1118_C1_52"/>
            <filter val="VO5118SI_W4411_57"/>
            <filter val="VO2941S_227913_56"/>
            <filter val="VO5042_1647_53"/>
            <filter val="Blue ray Progressive"/>
            <filter val="TH6000_C2_52"/>
            <filter val="CK4182_002_54"/>
            <filter val="RB3025_00478_62"/>
            <filter val="TH7848_C3_57"/>
            <filter val="COATED GLASS"/>
            <filter val="NATIONPORTS SHEET"/>
            <filter val="AB1169_C3_53"/>
            <filter val="CK4261S_060_55"/>
            <filter val="DJ9172_C5_56"/>
            <filter val="DJ2010_C48_53"/>
            <filter val="DJ2044_C13_53"/>
            <filter val="MIMI CLASSIC"/>
            <filter val="RX5312_2477_52"/>
            <filter val="VO5263BI_W656_52"/>
            <filter val="ID1545_C6_54"/>
            <filter val="DISCOVERY NOW METAL"/>
            <filter val="VO2961_W827_53"/>
            <filter val="DJ9123_C4_49"/>
            <filter val="ID1508_C1_50"/>
            <filter val="OX3131_06_53"/>
            <filter val="COMPACT READING"/>
            <filter val="RB3016_1160_51"/>
            <filter val="INB2940_CAT1_M"/>
            <filter val="PR4102_C04_58"/>
            <filter val="RESTAURA"/>
            <filter val="ID1333_C4_47"/>
            <filter val="ROUND SHEET"/>
            <filter val="RB3411_004_60"/>
            <filter val="FB4101_C2_50"/>
            <filter val="AG1093_C2_53"/>
            <filter val="IDS2551_C2_57"/>
            <filter val="ID1520_C1_50"/>
            <filter val="FANCY GOGGLES"/>
            <filter val="DAVID BECKHAM SHEET"/>
            <filter val="IDS2001_C67P_58"/>
            <filter val="RULEC FULL METAL"/>
            <filter val="VO5243SB_266920_53"/>
            <filter val="FT_C060PR3F_M"/>
            <filter val="IDS2550_C3_58"/>
            <filter val="PA7058_C03_M"/>
            <filter val="ID1489_C4_51"/>
            <filter val="VO2908_W44_53"/>
            <filter val="DJ3134_C1_51(5)"/>
            <filter val="IDS2266_C3_56"/>
            <filter val="DJ5918_C1_54"/>
            <filter val="ID1562_C3_55"/>
            <filter val="DJ5916_C2_51"/>
            <filter val="ID1547_C5_51"/>
            <filter val="PR15QS_1AB0A7_53"/>
            <filter val="RX6367_2502_51"/>
            <filter val="ID1542_C7_53"/>
            <filter val="INB1917B_CAT3_M"/>
            <filter val="CARTIER 3 PC"/>
            <filter val="TOMMY HILFIGER SHEET"/>
            <filter val="DJ15T162_C2_52"/>
            <filter val="IDS2536_C4_60"/>
            <filter val="SC4632_C2_49"/>
            <filter val="TR FANCY METAL"/>
            <filter val="DINEX SUPRA AVIATOR"/>
            <filter val="AB1108_C4_52"/>
            <filter val="PORSCHE DESIGN SURA METAL"/>
            <filter val="AB1130_C1_53"/>
            <filter val="ROMEROS"/>
            <filter val="PRADA GOGGLES"/>
            <filter val="ID1485_C6_50"/>
            <filter val="ID1548_C4_51"/>
            <filter val="CK5350_060_54"/>
            <filter val="ID1541_C7_53"/>
            <filter val="RB3530_0029A_58"/>
            <filter val="AB1115_C3_52"/>
            <filter val="RAYBAN MURCURY"/>
            <filter val="IDS2379_C2_56"/>
            <filter val="IDS2225_C1_53"/>
            <filter val="IDS2554_C1_60"/>
            <filter val="MK1010_110011_54"/>
            <filter val="TH9711_C2_53"/>
            <filter val="ALPHA ACETATE"/>
            <filter val="CK3152S_001_57"/>
            <filter val="ID1561_C3_54"/>
            <filter val="Teenager"/>
            <filter val="ID1545_C5_54"/>
            <filter val="MAIRA BOSS+ SHEET"/>
            <filter val="ID1038_C4_51"/>
            <filter val="FARENHEIT READING FOLDABLE +1"/>
            <filter val="DJ2118_C629_53"/>
            <filter val="HONEY EYEWEAR NV"/>
            <filter val="BOSS DELTA"/>
            <filter val="MAC STALIN"/>
            <filter val="Blue Cut PGKT"/>
            <filter val="AB1110_C2_53"/>
            <filter val="AG1140_C1_52"/>
            <filter val="WALNUT PRO H"/>
            <filter val="TH2512_C3_53"/>
            <filter val="ID1547_C3_51"/>
            <filter val="IZ518_C2_54"/>
            <filter val="DJ5916_C4_51"/>
            <filter val="DJ13T156"/>
            <filter val="IDS2500_C56_58"/>
            <filter val="RX6390_2928_51"/>
            <filter val="PRADA FULL METAL ROUND IST"/>
            <filter val="IDS2498_C2_58"/>
            <filter val="FT_C078YL4F_M"/>
            <filter val="VO4125I_5078_51"/>
            <filter val="AB16T150_C3_51"/>
            <filter val="VO4125I_5078_53"/>
            <filter val="AB1128_C2_53"/>
            <filter val="RX7033_5624_52"/>
            <filter val="RB3025_9001A5_58"/>
            <filter val="RX2547_2000_53"/>
            <filter val="RX6489_2500_58"/>
            <filter val="TH2544_C4_60"/>
            <filter val="ID1544_C1_52"/>
            <filter val="TH3166_C3_47"/>
            <filter val="POLO FASHION 3PCS"/>
            <filter val="CK1209S_010_62"/>
            <filter val="RB4273_6019A_52"/>
            <filter val="FT_P108BR2_M"/>
            <filter val="CRIZAL UV"/>
            <filter val="DJ2094_C533_51"/>
            <filter val="DJ9050_C2_52"/>
            <filter val="VISION SPRING"/>
            <filter val="ARC"/>
            <filter val="ID1001_C2_54"/>
            <filter val="IZ258_C3_54"/>
            <filter val="VO5268I_W44_51"/>
            <filter val="RB2132_902_52"/>
            <filter val="RX7090_5622_52"/>
            <filter val="TH7898_C8_55"/>
            <filter val="TOMMY HILFIGER FULL METAL"/>
            <filter val="AB1102_C3_52"/>
            <filter val="PRADA FULL METAL SQURE IST"/>
            <filter val="ST10109_C4_54"/>
            <filter val="EA4099_567771_56"/>
            <filter val="VO5284S_27206V_32"/>
            <filter val="IDS2500_C44_58"/>
            <filter val="ID996_C3_51"/>
            <filter val="AB1149_C2_54"/>
            <filter val="VO3980_323S_52"/>
            <filter val="Excellen"/>
            <filter val="AB1115_C2_52"/>
            <filter val="IDS2409_C1P_58"/>
            <filter val="IL9494_C2_49"/>
            <filter val="VO5282SB_W4487_54"/>
            <filter val="INB2901E_Cat.2S_68"/>
            <filter val="SUMMIT"/>
            <filter val="IDS2375_C2_53"/>
            <filter val="TH7981_C3_58"/>
            <filter val="V-READERS NV"/>
            <filter val="COME UP"/>
            <filter val="ST10111_C9_49"/>
            <filter val="VO5242S_W65613_50"/>
            <filter val="ID1561_C4_54"/>
            <filter val="RB2132_90158_55"/>
            <filter val="VO3981_979S_52"/>
            <filter val="DISNEY"/>
            <filter val="NIKE SUPRA METAL"/>
            <filter val="TR ROUND GUCCI"/>
            <filter val="AB1137_C5_59"/>
            <filter val="VISION SPRING yellow"/>
            <filter val="VO5212S_W65613_55"/>
            <filter val="TH5690_C1_52"/>
            <filter val="DITA FULL METAL"/>
            <filter val="BLUECUT HMC"/>
            <filter val="VO5119S_W65613_56"/>
            <filter val="IDS2493_C1_55"/>
            <filter val="FARENHEIT READING FOLDABLE +3.0"/>
            <filter val="CRKT ARC"/>
            <filter val="VO2940S_23828F_58"/>
            <filter val="CK4223_001_52"/>
            <filter val="GANGSTER"/>
            <filter val="MARY JANE SHEET GOGGLES"/>
            <filter val="FARENHEIT READING FOLDABLE +2"/>
            <filter val="DJ3179_C1_51"/>
            <filter val="DJ9162_C2_50"/>
            <filter val="SE1142_C2_54"/>
            <filter val="PRADA FANCY METAL IST"/>
            <filter val="EA4086_502613_54"/>
            <filter val="AB1138_C1_53"/>
            <filter val="SHEET WITH METAL SIDE"/>
            <filter val="KX7666_1032_53"/>
            <filter val="VO2937_W44_51"/>
            <filter val="DJ5915_C1_47"/>
            <filter val="IDS2550_C1_58"/>
            <filter val="RB3530_0048G_58"/>
            <filter val="TH2530_C1_51"/>
            <filter val="DJ3197_C6_53"/>
            <filter val="DJ2131_C724_56"/>
            <filter val="KROMOS"/>
            <filter val="VO5271S_W4487_53"/>
            <filter val="DJ2130_C723_54"/>
            <filter val="IL9845_C2_48"/>
            <filter val="FT_P360BR4_M"/>
            <filter val="GUCCI M FULL"/>
            <filter val="RB4274_6018G_53"/>
            <filter val="VO2940S_W4471_58"/>
            <filter val="ID1531_C2_54"/>
            <filter val="DJ2037_C307_49"/>
            <filter val="FRANK MARTIN GOGGLES"/>
            <filter val="LOUIS STYLE TR"/>
            <filter val="IZ588_C3_54"/>
            <filter val="VO2695S_234611_59"/>
            <filter val="BURBERRY FULL METAL IST"/>
            <filter val="DJ3134_C1_51(11)"/>
            <filter val="YOUNGSTUN SUPRA"/>
            <filter val="IDS2401_C7_52"/>
            <filter val="VO2817S_20308F_53"/>
            <filter val="BOSS METAL SUPRA IST"/>
            <filter val="TH9009_C5_54"/>
            <filter val="VERVE FIX PAD METAL"/>
            <filter val="DJ9049_C3_51"/>
            <filter val="ID1528_C1_51"/>
            <filter val="AB1120_C1_50"/>
            <filter val="RB3025_00358_58"/>
            <filter val="ID1562_C6_55"/>
            <filter val="PA7104_C01_M"/>
            <filter val="FT_P335GR2F_M"/>
            <filter val="VO3982SB_84813_58"/>
            <filter val="VO5247I_1647_49"/>
            <filter val="MAKKER"/>
            <filter val="NEW YORK DESIGN"/>
            <filter val="MAURIE JEAN ACETATE"/>
            <filter val="FC7311_C2_62"/>
            <filter val="ID1375_C3_53"/>
            <filter val="ZEISS BC"/>
            <filter val="FLING"/>
            <filter val="ID1564_C4_51"/>
            <filter val="IDS2538_C1_49"/>
            <filter val="IDS2301_C17P_58"/>
            <filter val="PA7106_C03_M"/>
            <filter val="Crizal SV KT"/>
            <filter val="AB1124_C4_56"/>
            <filter val="IM2357_C1_50"/>
            <filter val="RENU SOLUTION 300ML"/>
            <filter val="IDS2402_C10P_56"/>
            <filter val="TH826P_C3_52"/>
            <filter val="ID1560_C1_54"/>
            <filter val="VE3253_GB1_53"/>
            <filter val="OO9341_05_57"/>
            <filter val="SC2844_C2_60"/>
            <filter val="TAG BROTHERS SHEET"/>
            <filter val="CK5367_044_52"/>
            <filter val="VO4013_352_51"/>
            <filter val="AB1104_C3_54"/>
            <filter val="Mont Blanc 3 pc"/>
            <filter val="WONDER BABY"/>
            <filter val="FARENHEIT READING FOLDABLE +1.5"/>
            <filter val="VO5282SB_272276_54"/>
            <filter val="AB1163_C2_52"/>
            <filter val="PA7069_C02_M"/>
            <filter val="ID1521_C3_51"/>
            <filter val="VO2925BI_2362_51"/>
            <filter val="BV2162B_376_53"/>
            <filter val="RX7128_2475_53"/>
            <filter val="RAYBAN WOOD GOGGLES(4175)"/>
            <filter val="IM2333_C1_53"/>
            <filter val="IDS2476_C1_62"/>
            <filter val="ID1430_C1_52"/>
            <filter val="VO2787_2306_51"/>
            <filter val="RAYBAN FULL AVIATOR"/>
            <filter val="IDS2532_C3_51"/>
            <filter val="AB1094_C3_53"/>
            <filter val="RAYBAN D SHAPE"/>
            <filter val="AB1129_C4_54"/>
            <filter val="CONFESS GOGGLES"/>
            <filter val="POLICE SHEET"/>
            <filter val="DJ2047_C198_54"/>
            <filter val="ID925_C3_51"/>
            <filter val="DJ9105_C1_51"/>
            <filter val="DJ9152_C1_55"/>
            <filter val="OO9013_F7_55"/>
            <filter val="DENTEL"/>
            <filter val="KC1234_53F_62"/>
            <filter val="METAL RING TR"/>
            <filter val="VO3980_352S_52"/>
            <filter val="ID1561_C6_54"/>
            <filter val="PORSCHE DESIGN AVIATOR METAL IST"/>
            <filter val="AB1090_C1_53"/>
            <filter val="PA7089_C03_58"/>
            <filter val="FOS2057S_0039K_52"/>
            <filter val="TOM STYLE SHEET ROUND"/>
            <filter val="IDS2350_C4_50"/>
            <filter val="RX6295_2806_49"/>
            <filter val="VO2915S_W4411_53"/>
            <filter val="VO3838_352S_53"/>
            <filter val="VO5272_2727_51"/>
            <filter val="IDS2401_C3_52"/>
            <filter val="VO2950_2048_53"/>
            <filter val="AB1137_C3_59"/>
            <filter val="VO2950_2048_51"/>
            <filter val="VO2936_2287_54"/>
            <filter val="ID1508_C5_50"/>
            <filter val="OP3024_C2_53"/>
            <filter val="RB3025_00133_58"/>
            <filter val="VO5148B_2539_53"/>
            <filter val="DISCOVERY EYES METAL"/>
            <filter val="RX6337_2857_51"/>
            <filter val="VO4024_5025_50"/>
            <filter val="KX7091_2197_52"/>
            <filter val="RAYBAN SHEET BRAND"/>
            <filter val="IDS2500_C30_58"/>
            <filter val="VO5153_2593_51"/>
            <filter val="ID1426_C4_49"/>
            <filter val="ID1303_C3_54"/>
            <filter val="RX7097_2000_49"/>
            <filter val="ID1541_C1_53"/>
            <filter val="RB3530_00488_58"/>
            <filter val="SC4715_C2_52"/>
            <filter val="VO4128_5109_52"/>
            <filter val="OO9154_49_62"/>
            <filter val="CHANEL Ist M SUPRA+3PCS"/>
            <filter val="ID1203_C4_52"/>
            <filter val="FT_P341BK1_M"/>
            <filter val="VO4128_5109_50"/>
            <filter val="DOCTOR PLUS READING"/>
            <filter val="ID1474_C2_54"/>
            <filter val="IDS2404_C4P_57"/>
            <filter val="IDS2416_C2_55"/>
            <filter val="VO4097S_28087_58"/>
            <filter val="AB1144_C4_52"/>
            <filter val="ID1297_C3_52"/>
            <filter val="VO5009BI_16478H_58"/>
            <filter val="REAL MADRID"/>
            <filter val="TH843_C3_52"/>
            <filter val="ORION"/>
            <filter val="HANKER(66019)"/>
            <filter val="DISCOVERY SCHOOL"/>
            <filter val="PG PROGRESSIVE"/>
            <filter val="PA7100_C01_M"/>
            <filter val="HANSHA"/>
            <filter val="VO4125I_352_51"/>
            <filter val="LENS SHINE"/>
            <filter val="AB4012_DEMISLV_53"/>
            <filter val="RB3025_00332_62"/>
            <filter val="AB1100_C3_53"/>
            <filter val="DJ2003_C14_49"/>
            <filter val="IDS2499_C4_59"/>
            <filter val="OP3023_C2_51"/>
            <filter val="CHANEL SHEET"/>
            <filter val="RAYBAN AVIATORS WITH BOX"/>
            <filter val="IZ607_00168_54"/>
            <filter val="OP2105_C01_54"/>
            <filter val="VO4038_5033_54"/>
            <filter val="DJ9097_C3_48"/>
            <filter val="TH2529_C2_49"/>
            <filter val="VO2763_2279_53"/>
            <filter val="VO4138S_28069_56"/>
            <filter val="NIRVANA"/>
            <filter val="VO2968_2326_52"/>
            <filter val="AB1152_C3_52"/>
            <filter val="CELLESTIS"/>
            <filter val="ST55093_C4_52"/>
            <filter val="RB3538_18813_53"/>
            <filter val="IM2338_C3_52"/>
            <filter val="RX3947V_2501_48"/>
            <filter val="RAYBAN METAL SUPRA IST"/>
            <filter val="HANKER(66018)"/>
            <filter val="TH7869_C2_60"/>
            <filter val="ID1152_C1_54"/>
            <filter val="FT_P230BK1_M"/>
            <filter val="WORLDCUP SHEET"/>
            <filter val="LL5674_C2_51"/>
            <filter val="VO5137S_W65613_55"/>
            <filter val="IDS2508_C4_58"/>
            <filter val="AB1131_C5_52"/>
            <filter val="RICHIE RICH NV"/>
            <filter val="DJ2091_C225_51"/>
            <filter val="ID1047_C1_51"/>
            <filter val="IDS2001_C62P_58"/>
            <filter val="RB4346_62507Q_51"/>
            <filter val="AG1169_C2_53"/>
            <filter val="RB4202_60714V_55"/>
            <filter val="IDS2524_C2_60"/>
            <filter val="ID1487_C1_51"/>
            <filter val="AB1172S_C2_58"/>
            <filter val="ID1542_C1_53"/>
            <filter val="CARRERA GOGGLES"/>
            <filter val="DIOR SHEET IST"/>
            <filter val="PA7095_C03_M"/>
            <filter val="IDS2523_C1P_M"/>
            <filter val="VO3955B_352_51"/>
            <filter val="IDS2522_C2_58"/>
            <filter val="VO5211S_W4487_54"/>
            <filter val="CK3143S_001_55"/>
            <filter val="CARTIER DELTA"/>
            <filter val="BIOTRUE SOLUTION 120 ml"/>
            <filter val="AB4018_BLACK_52"/>
            <filter val="IS6290_C4_49"/>
            <filter val="RB3025_00157_55"/>
            <filter val="TH2529_C4_49"/>
            <filter val="OP3023_C4_51"/>
            <filter val="RB3025_00157_58"/>
            <filter val="PC8808_DM4_55"/>
            <filter val="IDS2408_C3_53"/>
            <filter val="TH2536_C3_55"/>
            <filter val="GALEBO"/>
            <filter val="TITAN EYE + M SUPRA IST"/>
            <filter val="IDS2532_C1_51"/>
            <filter val="Escape + Sheet"/>
            <filter val="CARTIER SHEET IST"/>
            <filter val="VO5204_2477_52"/>
            <filter val="DJ15T128_C2_51"/>
            <filter val="DJ9202_C4_49"/>
            <filter val="OX3165_03_53"/>
            <filter val="RENU_LENSSOLUTION_120"/>
            <filter val="ID1033_C4_51"/>
            <filter val="CHOICE"/>
            <filter val="TF276_74Z_59"/>
            <filter val="AG2054_C228_53"/>
            <filter val="KIDS SAFILO"/>
            <filter val="OP3025_C2_53"/>
            <filter val="RAYBAN TR SHEET"/>
            <filter val="BIOFLEX OCCLUSION EYE PATCH (REGULAR)"/>
            <filter val="VO3843I_756_50"/>
            <filter val="IDS2500_C54_58"/>
            <filter val="TOM HILL BOTIM"/>
            <filter val="OP3026_C2_53"/>
            <filter val="AB1090_C3_53"/>
            <filter val="AB4017_DEMI_52"/>
            <filter val="OP2103_C94_53"/>
            <filter val="PR4063_C02_60"/>
            <filter val="RAYBAN AVIATORS GOGGLES"/>
            <filter val="ID1528_C3_51"/>
            <filter val="IZ508_C1_54"/>
            <filter val="IDS2473_C1_52"/>
            <filter val="VERACITY FULL METAL"/>
            <filter val="AB2108_C541_53"/>
            <filter val="HANKER(66014)"/>
            <filter val="ID1426_C2_49"/>
            <filter val="IDS2406_C3_60"/>
            <filter val="FT_M062BR3_M"/>
            <filter val="SILHOUETTE SHEET"/>
            <filter val="PA7086_C02_M"/>
            <filter val="VO5010_W656_51"/>
            <filter val="DIOR LADIES"/>
            <filter val="ADIDAS"/>
            <filter val="CARRERA SUPRA METAL"/>
          </filters>
        </filterColumn>
      </autoFilter>
    </customSheetView>
    <customSheetView guid="{237496F7-DFDE-47FC-8450-F17117AF482F}" filter="1" showAutoFilter="1">
      <autoFilter ref="$A$1:$G$1433"/>
    </customSheetView>
  </customSheetViews>
  <conditionalFormatting sqref="A2:A661 A663:A684 A686:A691 A693:A697 A699:A1098 A1100:A1320">
    <cfRule type="expression" dxfId="5" priority="1">
      <formula>COUNTIF(A2:A3024,A2)&gt;1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3184</v>
      </c>
      <c r="B1" s="75">
        <v>502613.0</v>
      </c>
      <c r="C1" s="75">
        <v>53.0</v>
      </c>
    </row>
    <row r="2">
      <c r="A2" s="75" t="s">
        <v>817</v>
      </c>
      <c r="B2" s="75"/>
      <c r="C2" s="75"/>
    </row>
    <row r="3">
      <c r="A3" s="75" t="s">
        <v>819</v>
      </c>
      <c r="B3" s="75"/>
      <c r="C3" s="75"/>
    </row>
    <row r="4">
      <c r="A4" s="75" t="s">
        <v>284</v>
      </c>
      <c r="B4" s="75"/>
      <c r="C4" s="75"/>
    </row>
    <row r="5">
      <c r="A5" s="75" t="s">
        <v>236</v>
      </c>
      <c r="B5" s="75"/>
      <c r="C5" s="75"/>
    </row>
    <row r="6">
      <c r="A6" s="75" t="s">
        <v>820</v>
      </c>
      <c r="B6" s="75"/>
      <c r="C6" s="75"/>
    </row>
    <row r="7">
      <c r="A7" s="75" t="s">
        <v>244</v>
      </c>
      <c r="B7" s="75"/>
      <c r="C7" s="75"/>
    </row>
    <row r="8">
      <c r="A8" s="75" t="s">
        <v>821</v>
      </c>
      <c r="B8" s="75"/>
      <c r="C8" s="75"/>
    </row>
    <row r="9">
      <c r="A9" s="75" t="s">
        <v>822</v>
      </c>
      <c r="B9" s="75"/>
      <c r="C9" s="75"/>
    </row>
    <row r="10">
      <c r="A10" s="75" t="s">
        <v>823</v>
      </c>
      <c r="B10" s="75"/>
      <c r="C10" s="75"/>
    </row>
    <row r="11">
      <c r="A11" s="75" t="s">
        <v>824</v>
      </c>
      <c r="B11" s="75"/>
      <c r="C11" s="75"/>
    </row>
    <row r="12">
      <c r="A12" s="75" t="s">
        <v>825</v>
      </c>
      <c r="B12" s="75"/>
      <c r="C12" s="75"/>
    </row>
    <row r="13">
      <c r="A13" s="75" t="s">
        <v>826</v>
      </c>
      <c r="B13" s="75"/>
      <c r="C13" s="75"/>
    </row>
    <row r="14">
      <c r="A14" s="75" t="s">
        <v>827</v>
      </c>
      <c r="B14" s="75"/>
      <c r="C14" s="75"/>
    </row>
    <row r="15">
      <c r="A15" s="75" t="s">
        <v>828</v>
      </c>
      <c r="B15" s="75"/>
      <c r="C15" s="75"/>
    </row>
    <row r="16">
      <c r="A16" s="75" t="s">
        <v>829</v>
      </c>
      <c r="B16" s="75"/>
      <c r="C16" s="75"/>
    </row>
    <row r="17">
      <c r="A17" s="75" t="s">
        <v>831</v>
      </c>
      <c r="B17" s="75"/>
      <c r="C17" s="75"/>
    </row>
    <row r="18">
      <c r="A18" s="75" t="s">
        <v>832</v>
      </c>
      <c r="B18" s="75"/>
      <c r="C18" s="75"/>
    </row>
    <row r="19">
      <c r="A19" s="75" t="s">
        <v>833</v>
      </c>
      <c r="B19" s="75"/>
      <c r="C19" s="75"/>
    </row>
    <row r="20">
      <c r="A20" s="75" t="s">
        <v>834</v>
      </c>
      <c r="B20" s="75"/>
      <c r="C20" s="75"/>
    </row>
    <row r="21">
      <c r="A21" s="75" t="s">
        <v>835</v>
      </c>
      <c r="B21" s="75"/>
      <c r="C21" s="75"/>
    </row>
    <row r="22">
      <c r="A22" s="75" t="s">
        <v>837</v>
      </c>
      <c r="B22" s="75"/>
      <c r="C22" s="75"/>
    </row>
    <row r="23">
      <c r="A23" s="75" t="s">
        <v>838</v>
      </c>
      <c r="B23" s="75"/>
      <c r="C23" s="75"/>
    </row>
    <row r="24">
      <c r="A24" s="75" t="s">
        <v>840</v>
      </c>
      <c r="B24" s="75"/>
      <c r="C24" s="75"/>
    </row>
    <row r="25">
      <c r="A25" s="75" t="s">
        <v>841</v>
      </c>
      <c r="B25" s="75"/>
      <c r="C25" s="75"/>
    </row>
    <row r="26">
      <c r="A26" s="75" t="s">
        <v>842</v>
      </c>
      <c r="B26" s="75"/>
      <c r="C26" s="75"/>
    </row>
    <row r="27">
      <c r="A27" s="75" t="s">
        <v>843</v>
      </c>
      <c r="B27" s="75"/>
      <c r="C27" s="75"/>
    </row>
    <row r="28">
      <c r="A28" s="75" t="s">
        <v>844</v>
      </c>
      <c r="B28" s="75"/>
      <c r="C28" s="75"/>
    </row>
    <row r="29">
      <c r="A29" s="75" t="s">
        <v>846</v>
      </c>
      <c r="B29" s="75"/>
      <c r="C29" s="75"/>
    </row>
    <row r="30">
      <c r="A30" s="75" t="s">
        <v>847</v>
      </c>
      <c r="B30" s="75"/>
      <c r="C30" s="75"/>
    </row>
    <row r="31">
      <c r="A31" s="75" t="s">
        <v>848</v>
      </c>
      <c r="B31" s="75"/>
      <c r="C31" s="75"/>
    </row>
    <row r="32">
      <c r="A32" s="75" t="s">
        <v>849</v>
      </c>
      <c r="B32" s="75"/>
      <c r="C32" s="75"/>
    </row>
    <row r="33">
      <c r="A33" s="75" t="s">
        <v>3185</v>
      </c>
      <c r="B33" s="75" t="s">
        <v>3186</v>
      </c>
      <c r="C33" s="75">
        <v>53.0</v>
      </c>
    </row>
    <row r="34">
      <c r="A34" s="75" t="s">
        <v>3185</v>
      </c>
      <c r="B34" s="75" t="s">
        <v>3187</v>
      </c>
      <c r="C34" s="75">
        <v>53.0</v>
      </c>
    </row>
    <row r="35">
      <c r="A35" s="75" t="s">
        <v>3188</v>
      </c>
      <c r="B35" s="75" t="s">
        <v>3189</v>
      </c>
      <c r="C35" s="75">
        <v>53.0</v>
      </c>
    </row>
    <row r="36">
      <c r="A36" s="75" t="s">
        <v>3188</v>
      </c>
      <c r="B36" s="75" t="s">
        <v>3187</v>
      </c>
      <c r="C36" s="75">
        <v>53.0</v>
      </c>
    </row>
    <row r="37">
      <c r="A37" s="75" t="s">
        <v>3190</v>
      </c>
      <c r="B37" s="75" t="s">
        <v>3191</v>
      </c>
      <c r="C37" s="75">
        <v>53.0</v>
      </c>
    </row>
    <row r="38">
      <c r="A38" s="75" t="s">
        <v>3190</v>
      </c>
      <c r="B38" s="75" t="s">
        <v>3186</v>
      </c>
      <c r="C38" s="75">
        <v>53.0</v>
      </c>
    </row>
    <row r="39">
      <c r="A39" s="75" t="s">
        <v>3190</v>
      </c>
      <c r="B39" s="75" t="s">
        <v>3189</v>
      </c>
      <c r="C39" s="75">
        <v>53.0</v>
      </c>
    </row>
    <row r="40">
      <c r="A40" s="75" t="s">
        <v>3190</v>
      </c>
      <c r="B40" s="75" t="s">
        <v>3187</v>
      </c>
      <c r="C40" s="75">
        <v>53.0</v>
      </c>
    </row>
    <row r="41">
      <c r="A41" s="75" t="s">
        <v>3192</v>
      </c>
      <c r="B41" s="75" t="s">
        <v>3189</v>
      </c>
      <c r="C41" s="75">
        <v>53.0</v>
      </c>
    </row>
    <row r="42">
      <c r="A42" s="75" t="s">
        <v>3193</v>
      </c>
      <c r="B42" s="75" t="s">
        <v>3187</v>
      </c>
      <c r="C42" s="75">
        <v>49.0</v>
      </c>
    </row>
    <row r="43">
      <c r="A43" s="75" t="s">
        <v>3194</v>
      </c>
      <c r="B43" s="75" t="s">
        <v>3195</v>
      </c>
      <c r="C43" s="75">
        <v>49.0</v>
      </c>
    </row>
    <row r="44">
      <c r="A44" s="75" t="s">
        <v>3194</v>
      </c>
      <c r="B44" s="75" t="s">
        <v>3196</v>
      </c>
      <c r="C44" s="75">
        <v>49.0</v>
      </c>
    </row>
    <row r="45">
      <c r="A45" s="75" t="s">
        <v>3197</v>
      </c>
      <c r="B45" s="75" t="s">
        <v>3189</v>
      </c>
      <c r="C45" s="75">
        <v>53.0</v>
      </c>
    </row>
    <row r="46">
      <c r="A46" s="75" t="s">
        <v>3198</v>
      </c>
      <c r="B46" s="75" t="s">
        <v>3189</v>
      </c>
      <c r="C46" s="75">
        <v>53.0</v>
      </c>
    </row>
    <row r="47">
      <c r="A47" s="75" t="s">
        <v>3199</v>
      </c>
      <c r="B47" s="75" t="s">
        <v>3189</v>
      </c>
      <c r="C47" s="75">
        <v>52.0</v>
      </c>
    </row>
    <row r="48">
      <c r="A48" s="75" t="s">
        <v>3200</v>
      </c>
      <c r="B48" s="75" t="s">
        <v>3189</v>
      </c>
      <c r="C48" s="75">
        <v>54.0</v>
      </c>
    </row>
    <row r="49">
      <c r="A49" s="75" t="s">
        <v>3200</v>
      </c>
      <c r="B49" s="75" t="s">
        <v>3187</v>
      </c>
      <c r="C49" s="75">
        <v>54.0</v>
      </c>
    </row>
    <row r="50">
      <c r="A50" s="75" t="s">
        <v>3201</v>
      </c>
      <c r="B50" s="75" t="s">
        <v>3187</v>
      </c>
      <c r="C50" s="75">
        <v>52.0</v>
      </c>
    </row>
    <row r="51">
      <c r="A51" s="75" t="s">
        <v>3201</v>
      </c>
      <c r="B51" s="75" t="s">
        <v>3195</v>
      </c>
      <c r="C51" s="75">
        <v>52.0</v>
      </c>
    </row>
    <row r="52">
      <c r="A52" s="75" t="s">
        <v>3202</v>
      </c>
      <c r="B52" s="75" t="s">
        <v>3186</v>
      </c>
      <c r="C52" s="75">
        <v>53.0</v>
      </c>
    </row>
    <row r="53">
      <c r="A53" s="75" t="s">
        <v>3203</v>
      </c>
      <c r="B53" s="75" t="s">
        <v>3191</v>
      </c>
      <c r="C53" s="75">
        <v>52.0</v>
      </c>
    </row>
    <row r="54">
      <c r="A54" s="75" t="s">
        <v>3203</v>
      </c>
      <c r="B54" s="75" t="s">
        <v>3186</v>
      </c>
      <c r="C54" s="75">
        <v>52.0</v>
      </c>
    </row>
    <row r="55">
      <c r="A55" s="75" t="s">
        <v>3203</v>
      </c>
      <c r="B55" s="75" t="s">
        <v>3189</v>
      </c>
      <c r="C55" s="75">
        <v>52.0</v>
      </c>
    </row>
    <row r="56">
      <c r="A56" s="75" t="s">
        <v>3203</v>
      </c>
      <c r="B56" s="75" t="s">
        <v>3195</v>
      </c>
      <c r="C56" s="75">
        <v>52.0</v>
      </c>
    </row>
    <row r="57">
      <c r="A57" s="75" t="s">
        <v>3204</v>
      </c>
      <c r="B57" s="75" t="s">
        <v>3189</v>
      </c>
      <c r="C57" s="75">
        <v>53.0</v>
      </c>
    </row>
    <row r="58">
      <c r="A58" s="75" t="s">
        <v>3204</v>
      </c>
      <c r="B58" s="75" t="s">
        <v>3195</v>
      </c>
      <c r="C58" s="75">
        <v>53.0</v>
      </c>
    </row>
    <row r="59">
      <c r="A59" s="75" t="s">
        <v>3205</v>
      </c>
      <c r="B59" s="75" t="s">
        <v>3191</v>
      </c>
      <c r="C59" s="75">
        <v>52.0</v>
      </c>
    </row>
    <row r="60">
      <c r="A60" s="75" t="s">
        <v>3205</v>
      </c>
      <c r="B60" s="75" t="s">
        <v>3186</v>
      </c>
      <c r="C60" s="75">
        <v>52.0</v>
      </c>
    </row>
    <row r="61">
      <c r="A61" s="75" t="s">
        <v>3206</v>
      </c>
      <c r="B61" s="75" t="s">
        <v>3186</v>
      </c>
      <c r="C61" s="75">
        <v>55.0</v>
      </c>
    </row>
    <row r="62">
      <c r="A62" s="75" t="s">
        <v>3207</v>
      </c>
      <c r="B62" s="75" t="s">
        <v>3191</v>
      </c>
      <c r="C62" s="75">
        <v>50.0</v>
      </c>
    </row>
    <row r="63">
      <c r="A63" s="75" t="s">
        <v>3208</v>
      </c>
      <c r="B63" s="75" t="s">
        <v>3186</v>
      </c>
      <c r="C63" s="75">
        <v>52.0</v>
      </c>
    </row>
    <row r="64">
      <c r="A64" s="75" t="s">
        <v>3209</v>
      </c>
      <c r="B64" s="75" t="s">
        <v>3186</v>
      </c>
      <c r="C64" s="75">
        <v>55.0</v>
      </c>
    </row>
    <row r="65">
      <c r="A65" s="75" t="s">
        <v>3210</v>
      </c>
      <c r="B65" s="75" t="s">
        <v>3191</v>
      </c>
      <c r="C65" s="75">
        <v>56.0</v>
      </c>
    </row>
    <row r="66">
      <c r="A66" s="75" t="s">
        <v>3210</v>
      </c>
      <c r="B66" s="75" t="s">
        <v>3187</v>
      </c>
      <c r="C66" s="75">
        <v>56.0</v>
      </c>
    </row>
    <row r="67">
      <c r="A67" s="75" t="s">
        <v>3211</v>
      </c>
      <c r="B67" s="75" t="s">
        <v>3195</v>
      </c>
      <c r="C67" s="75">
        <v>52.0</v>
      </c>
    </row>
    <row r="68">
      <c r="A68" s="75" t="s">
        <v>3212</v>
      </c>
      <c r="B68" s="75" t="s">
        <v>3189</v>
      </c>
      <c r="C68" s="75">
        <v>53.0</v>
      </c>
    </row>
    <row r="69">
      <c r="A69" s="75" t="s">
        <v>3213</v>
      </c>
      <c r="B69" s="75" t="s">
        <v>3186</v>
      </c>
      <c r="C69" s="75">
        <v>53.0</v>
      </c>
    </row>
    <row r="70">
      <c r="A70" s="75" t="s">
        <v>3214</v>
      </c>
      <c r="B70" s="75" t="s">
        <v>3189</v>
      </c>
      <c r="C70" s="75">
        <v>54.0</v>
      </c>
    </row>
    <row r="71">
      <c r="A71" s="75" t="s">
        <v>3214</v>
      </c>
      <c r="B71" s="75" t="s">
        <v>3187</v>
      </c>
      <c r="C71" s="75">
        <v>54.0</v>
      </c>
    </row>
    <row r="72">
      <c r="A72" s="75" t="s">
        <v>3215</v>
      </c>
      <c r="B72" s="75" t="s">
        <v>3191</v>
      </c>
      <c r="C72" s="75">
        <v>53.0</v>
      </c>
    </row>
    <row r="73">
      <c r="A73" s="75" t="s">
        <v>3216</v>
      </c>
      <c r="B73" s="75" t="s">
        <v>3187</v>
      </c>
      <c r="C73" s="75">
        <v>52.0</v>
      </c>
    </row>
    <row r="74">
      <c r="A74" s="75" t="s">
        <v>3216</v>
      </c>
      <c r="B74" s="75" t="s">
        <v>3195</v>
      </c>
      <c r="C74" s="75">
        <v>52.0</v>
      </c>
    </row>
    <row r="75">
      <c r="A75" s="75" t="s">
        <v>3217</v>
      </c>
      <c r="B75" s="75" t="s">
        <v>3186</v>
      </c>
      <c r="C75" s="75">
        <v>51.0</v>
      </c>
    </row>
    <row r="76">
      <c r="A76" s="75" t="s">
        <v>3217</v>
      </c>
      <c r="B76" s="75" t="s">
        <v>3189</v>
      </c>
      <c r="C76" s="75">
        <v>51.0</v>
      </c>
    </row>
    <row r="77">
      <c r="A77" s="75" t="s">
        <v>3218</v>
      </c>
      <c r="B77" s="75" t="s">
        <v>3186</v>
      </c>
      <c r="C77" s="75">
        <v>60.0</v>
      </c>
    </row>
    <row r="78">
      <c r="A78" s="75" t="s">
        <v>3219</v>
      </c>
      <c r="B78" s="75" t="s">
        <v>3187</v>
      </c>
      <c r="C78" s="75">
        <v>60.0</v>
      </c>
    </row>
    <row r="79">
      <c r="A79" s="75" t="s">
        <v>3220</v>
      </c>
      <c r="B79" s="75" t="s">
        <v>3189</v>
      </c>
      <c r="C79" s="75">
        <v>59.0</v>
      </c>
    </row>
    <row r="80">
      <c r="A80" s="75" t="s">
        <v>3220</v>
      </c>
      <c r="B80" s="75" t="s">
        <v>3195</v>
      </c>
      <c r="C80" s="75">
        <v>59.0</v>
      </c>
    </row>
    <row r="81">
      <c r="A81" s="75" t="s">
        <v>3221</v>
      </c>
      <c r="B81" s="75" t="s">
        <v>3191</v>
      </c>
      <c r="C81" s="75">
        <v>53.0</v>
      </c>
    </row>
    <row r="82">
      <c r="A82" s="75" t="s">
        <v>3221</v>
      </c>
      <c r="B82" s="75" t="s">
        <v>3187</v>
      </c>
      <c r="C82" s="75">
        <v>53.0</v>
      </c>
    </row>
    <row r="83">
      <c r="A83" s="75" t="s">
        <v>3222</v>
      </c>
      <c r="B83" s="75" t="s">
        <v>3195</v>
      </c>
      <c r="C83" s="75">
        <v>50.0</v>
      </c>
    </row>
    <row r="84">
      <c r="A84" s="75" t="s">
        <v>3223</v>
      </c>
      <c r="B84" s="75" t="s">
        <v>3187</v>
      </c>
      <c r="C84" s="75">
        <v>52.0</v>
      </c>
    </row>
    <row r="85">
      <c r="A85" s="75" t="s">
        <v>3224</v>
      </c>
      <c r="B85" s="75" t="s">
        <v>3186</v>
      </c>
      <c r="C85" s="75">
        <v>52.0</v>
      </c>
    </row>
    <row r="86">
      <c r="A86" s="75" t="s">
        <v>3224</v>
      </c>
      <c r="B86" s="75" t="s">
        <v>3189</v>
      </c>
      <c r="C86" s="75">
        <v>52.0</v>
      </c>
    </row>
    <row r="87">
      <c r="A87" s="75" t="s">
        <v>3225</v>
      </c>
      <c r="B87" s="75" t="s">
        <v>3191</v>
      </c>
      <c r="C87" s="75">
        <v>52.0</v>
      </c>
    </row>
    <row r="88">
      <c r="A88" s="75" t="s">
        <v>3225</v>
      </c>
      <c r="B88" s="75" t="s">
        <v>3186</v>
      </c>
      <c r="C88" s="75">
        <v>52.0</v>
      </c>
    </row>
    <row r="89">
      <c r="A89" s="75" t="s">
        <v>3226</v>
      </c>
      <c r="B89" s="75" t="s">
        <v>3191</v>
      </c>
      <c r="C89" s="75">
        <v>50.0</v>
      </c>
    </row>
    <row r="90">
      <c r="A90" s="75" t="s">
        <v>3226</v>
      </c>
      <c r="B90" s="75" t="s">
        <v>3189</v>
      </c>
      <c r="C90" s="75">
        <v>50.0</v>
      </c>
    </row>
    <row r="91">
      <c r="A91" s="75" t="s">
        <v>3227</v>
      </c>
      <c r="B91" s="75" t="s">
        <v>3191</v>
      </c>
      <c r="C91" s="75">
        <v>51.0</v>
      </c>
    </row>
    <row r="92">
      <c r="A92" s="75" t="s">
        <v>3227</v>
      </c>
      <c r="B92" s="75" t="s">
        <v>3189</v>
      </c>
      <c r="C92" s="75">
        <v>51.0</v>
      </c>
    </row>
    <row r="93">
      <c r="A93" s="75" t="s">
        <v>3228</v>
      </c>
      <c r="B93" s="75" t="s">
        <v>3186</v>
      </c>
      <c r="C93" s="75">
        <v>52.0</v>
      </c>
    </row>
    <row r="94">
      <c r="A94" s="75" t="s">
        <v>3228</v>
      </c>
      <c r="B94" s="75" t="s">
        <v>3187</v>
      </c>
      <c r="C94" s="75">
        <v>52.0</v>
      </c>
    </row>
    <row r="95">
      <c r="A95" s="75" t="s">
        <v>3229</v>
      </c>
      <c r="B95" s="75" t="s">
        <v>3191</v>
      </c>
      <c r="C95" s="75">
        <v>52.0</v>
      </c>
    </row>
    <row r="96">
      <c r="A96" s="75" t="s">
        <v>3229</v>
      </c>
      <c r="B96" s="75" t="s">
        <v>3186</v>
      </c>
      <c r="C96" s="75">
        <v>52.0</v>
      </c>
    </row>
    <row r="97">
      <c r="A97" s="75" t="s">
        <v>3230</v>
      </c>
      <c r="B97" s="75" t="s">
        <v>3191</v>
      </c>
      <c r="C97" s="75">
        <v>53.0</v>
      </c>
    </row>
    <row r="98">
      <c r="A98" s="75" t="s">
        <v>3230</v>
      </c>
      <c r="B98" s="75" t="s">
        <v>3186</v>
      </c>
      <c r="C98" s="75">
        <v>53.0</v>
      </c>
    </row>
    <row r="99">
      <c r="A99" s="75" t="s">
        <v>3230</v>
      </c>
      <c r="B99" s="75" t="s">
        <v>3189</v>
      </c>
      <c r="C99" s="75">
        <v>53.0</v>
      </c>
    </row>
    <row r="100">
      <c r="A100" s="75" t="s">
        <v>3231</v>
      </c>
      <c r="B100" s="75" t="s">
        <v>3191</v>
      </c>
      <c r="C100" s="75">
        <v>54.0</v>
      </c>
    </row>
    <row r="101">
      <c r="A101" s="75" t="s">
        <v>3231</v>
      </c>
      <c r="B101" s="75" t="s">
        <v>3187</v>
      </c>
      <c r="C101" s="75">
        <v>54.0</v>
      </c>
    </row>
    <row r="102">
      <c r="A102" s="75" t="s">
        <v>3232</v>
      </c>
      <c r="B102" s="75" t="s">
        <v>3189</v>
      </c>
      <c r="C102" s="75">
        <v>61.0</v>
      </c>
    </row>
    <row r="103">
      <c r="A103" s="75" t="s">
        <v>3233</v>
      </c>
      <c r="B103" s="75" t="s">
        <v>3191</v>
      </c>
      <c r="C103" s="75">
        <v>58.0</v>
      </c>
    </row>
    <row r="104">
      <c r="A104" s="75" t="s">
        <v>3234</v>
      </c>
      <c r="B104" s="75" t="s">
        <v>3186</v>
      </c>
      <c r="C104" s="75">
        <v>58.0</v>
      </c>
    </row>
    <row r="105">
      <c r="A105" s="75" t="s">
        <v>3235</v>
      </c>
      <c r="B105" s="75" t="s">
        <v>3236</v>
      </c>
      <c r="C105" s="75">
        <v>50.0</v>
      </c>
    </row>
    <row r="106">
      <c r="A106" s="75" t="s">
        <v>3237</v>
      </c>
      <c r="B106" s="75" t="s">
        <v>3238</v>
      </c>
      <c r="C106" s="75">
        <v>51.0</v>
      </c>
    </row>
    <row r="107">
      <c r="A107" s="75" t="s">
        <v>3239</v>
      </c>
      <c r="B107" s="75" t="s">
        <v>3240</v>
      </c>
      <c r="C107" s="75">
        <v>52.0</v>
      </c>
    </row>
    <row r="108">
      <c r="A108" s="75" t="s">
        <v>3241</v>
      </c>
      <c r="B108" s="75" t="s">
        <v>3242</v>
      </c>
      <c r="C108" s="75">
        <v>50.0</v>
      </c>
    </row>
    <row r="109">
      <c r="A109" s="75" t="s">
        <v>3243</v>
      </c>
      <c r="B109" s="75" t="s">
        <v>3244</v>
      </c>
      <c r="C109" s="75">
        <v>53.0</v>
      </c>
    </row>
    <row r="110">
      <c r="A110" s="75" t="s">
        <v>3243</v>
      </c>
      <c r="B110" s="75" t="s">
        <v>3245</v>
      </c>
      <c r="C110" s="75">
        <v>51.0</v>
      </c>
    </row>
    <row r="111">
      <c r="A111" s="75" t="s">
        <v>3246</v>
      </c>
      <c r="B111" s="75" t="s">
        <v>3247</v>
      </c>
      <c r="C111" s="75">
        <v>53.0</v>
      </c>
    </row>
    <row r="112">
      <c r="A112" s="75" t="s">
        <v>3248</v>
      </c>
      <c r="B112" s="75" t="s">
        <v>3249</v>
      </c>
      <c r="C112" s="75">
        <v>53.0</v>
      </c>
    </row>
    <row r="113">
      <c r="A113" s="75" t="s">
        <v>3248</v>
      </c>
      <c r="B113" s="75" t="s">
        <v>3250</v>
      </c>
      <c r="C113" s="75">
        <v>51.0</v>
      </c>
    </row>
    <row r="114">
      <c r="A114" s="75" t="s">
        <v>3248</v>
      </c>
      <c r="B114" s="75" t="s">
        <v>3251</v>
      </c>
      <c r="C114" s="75">
        <v>53.0</v>
      </c>
    </row>
    <row r="115">
      <c r="A115" s="75" t="s">
        <v>3252</v>
      </c>
      <c r="B115" s="75" t="s">
        <v>3253</v>
      </c>
      <c r="C115" s="75">
        <v>53.0</v>
      </c>
    </row>
    <row r="116">
      <c r="A116" s="75" t="s">
        <v>3254</v>
      </c>
      <c r="B116" s="75" t="s">
        <v>3255</v>
      </c>
      <c r="C116" s="75">
        <v>51.0</v>
      </c>
    </row>
    <row r="117">
      <c r="A117" s="75" t="s">
        <v>3254</v>
      </c>
      <c r="B117" s="75" t="s">
        <v>3256</v>
      </c>
      <c r="C117" s="75">
        <v>53.0</v>
      </c>
    </row>
    <row r="118">
      <c r="A118" s="75" t="s">
        <v>3254</v>
      </c>
      <c r="B118" s="75" t="s">
        <v>3257</v>
      </c>
      <c r="C118" s="75">
        <v>53.0</v>
      </c>
    </row>
    <row r="119">
      <c r="A119" s="75" t="s">
        <v>3258</v>
      </c>
      <c r="B119" s="75" t="s">
        <v>3259</v>
      </c>
      <c r="C119" s="75">
        <v>53.0</v>
      </c>
    </row>
    <row r="120">
      <c r="A120" s="75" t="s">
        <v>3260</v>
      </c>
      <c r="B120" s="75" t="s">
        <v>3261</v>
      </c>
      <c r="C120" s="75">
        <v>52.0</v>
      </c>
    </row>
    <row r="121">
      <c r="A121" s="75" t="s">
        <v>3260</v>
      </c>
      <c r="B121" s="75" t="s">
        <v>3262</v>
      </c>
      <c r="C121" s="75">
        <v>52.0</v>
      </c>
    </row>
    <row r="122">
      <c r="A122" s="75" t="s">
        <v>3260</v>
      </c>
      <c r="B122" s="75" t="s">
        <v>3263</v>
      </c>
      <c r="C122" s="75">
        <v>52.0</v>
      </c>
    </row>
    <row r="123">
      <c r="A123" s="75" t="s">
        <v>3264</v>
      </c>
      <c r="B123" s="75" t="s">
        <v>3265</v>
      </c>
      <c r="C123" s="75">
        <v>52.0</v>
      </c>
    </row>
    <row r="124">
      <c r="A124" s="75" t="s">
        <v>3266</v>
      </c>
      <c r="B124" s="75" t="s">
        <v>3187</v>
      </c>
      <c r="C124" s="75">
        <v>51.0</v>
      </c>
    </row>
    <row r="125">
      <c r="A125" s="75" t="s">
        <v>3267</v>
      </c>
      <c r="B125" s="75" t="s">
        <v>3195</v>
      </c>
      <c r="C125" s="75">
        <v>51.0</v>
      </c>
    </row>
    <row r="126">
      <c r="A126" s="75" t="s">
        <v>3267</v>
      </c>
      <c r="B126" s="75" t="s">
        <v>3191</v>
      </c>
      <c r="C126" s="75">
        <v>51.0</v>
      </c>
    </row>
    <row r="127">
      <c r="A127" s="75" t="s">
        <v>3268</v>
      </c>
      <c r="B127" s="75" t="s">
        <v>3191</v>
      </c>
      <c r="C127" s="75">
        <v>54.0</v>
      </c>
    </row>
    <row r="128">
      <c r="A128" s="75" t="s">
        <v>3268</v>
      </c>
      <c r="B128" s="75" t="s">
        <v>3186</v>
      </c>
      <c r="C128" s="75">
        <v>54.0</v>
      </c>
    </row>
    <row r="129">
      <c r="A129" s="75" t="s">
        <v>3269</v>
      </c>
      <c r="B129" s="75" t="s">
        <v>3186</v>
      </c>
      <c r="C129" s="75">
        <v>53.0</v>
      </c>
    </row>
    <row r="130">
      <c r="A130" s="75" t="s">
        <v>3270</v>
      </c>
      <c r="B130" s="75" t="s">
        <v>3187</v>
      </c>
      <c r="C130" s="75">
        <v>50.0</v>
      </c>
    </row>
    <row r="131">
      <c r="A131" s="75" t="s">
        <v>3271</v>
      </c>
      <c r="B131" s="75" t="s">
        <v>3191</v>
      </c>
      <c r="C131" s="75">
        <v>52.0</v>
      </c>
    </row>
    <row r="132">
      <c r="A132" s="75" t="s">
        <v>3272</v>
      </c>
      <c r="B132" s="75" t="s">
        <v>3189</v>
      </c>
      <c r="C132" s="75">
        <v>52.0</v>
      </c>
    </row>
    <row r="133">
      <c r="A133" s="75" t="s">
        <v>3273</v>
      </c>
      <c r="B133" s="75" t="s">
        <v>3186</v>
      </c>
      <c r="C133" s="75">
        <v>54.0</v>
      </c>
    </row>
    <row r="134">
      <c r="A134" s="75" t="s">
        <v>3274</v>
      </c>
      <c r="B134" s="75" t="s">
        <v>3187</v>
      </c>
      <c r="C134" s="75">
        <v>50.0</v>
      </c>
    </row>
    <row r="135">
      <c r="A135" s="75" t="s">
        <v>3275</v>
      </c>
      <c r="B135" s="75" t="s">
        <v>3186</v>
      </c>
      <c r="C135" s="75">
        <v>53.0</v>
      </c>
    </row>
    <row r="136">
      <c r="A136" s="75" t="s">
        <v>3276</v>
      </c>
      <c r="B136" s="75" t="s">
        <v>3189</v>
      </c>
      <c r="C136" s="75">
        <v>53.0</v>
      </c>
    </row>
    <row r="137">
      <c r="A137" s="75" t="s">
        <v>3276</v>
      </c>
      <c r="B137" s="75" t="s">
        <v>3187</v>
      </c>
      <c r="C137" s="75">
        <v>53.0</v>
      </c>
    </row>
    <row r="138">
      <c r="A138" s="75" t="s">
        <v>3277</v>
      </c>
      <c r="B138" s="75" t="s">
        <v>3189</v>
      </c>
      <c r="C138" s="75">
        <v>53.0</v>
      </c>
    </row>
    <row r="139">
      <c r="A139" s="75" t="s">
        <v>3278</v>
      </c>
      <c r="B139" s="75" t="s">
        <v>3279</v>
      </c>
      <c r="C139" s="75">
        <v>52.0</v>
      </c>
    </row>
    <row r="140">
      <c r="A140" s="75" t="s">
        <v>3280</v>
      </c>
      <c r="B140" s="75" t="s">
        <v>3281</v>
      </c>
      <c r="C140" s="75">
        <v>53.0</v>
      </c>
    </row>
    <row r="141">
      <c r="A141" s="75" t="s">
        <v>3282</v>
      </c>
      <c r="B141" s="75" t="s">
        <v>3191</v>
      </c>
      <c r="C141" s="75">
        <v>53.0</v>
      </c>
    </row>
    <row r="142">
      <c r="A142" s="75" t="s">
        <v>3282</v>
      </c>
      <c r="B142" s="75" t="s">
        <v>3283</v>
      </c>
      <c r="C142" s="75">
        <v>53.0</v>
      </c>
    </row>
    <row r="143">
      <c r="A143" s="75" t="s">
        <v>3282</v>
      </c>
      <c r="B143" s="75" t="s">
        <v>3284</v>
      </c>
      <c r="C143" s="75">
        <v>53.0</v>
      </c>
    </row>
    <row r="144">
      <c r="A144" s="75" t="s">
        <v>3282</v>
      </c>
      <c r="B144" s="75" t="s">
        <v>3285</v>
      </c>
      <c r="C144" s="75">
        <v>53.0</v>
      </c>
    </row>
    <row r="145">
      <c r="A145" s="75" t="s">
        <v>3286</v>
      </c>
      <c r="B145" s="75" t="s">
        <v>3287</v>
      </c>
      <c r="C145" s="75">
        <v>54.0</v>
      </c>
    </row>
    <row r="146">
      <c r="A146" s="75" t="s">
        <v>3288</v>
      </c>
      <c r="B146" s="75" t="s">
        <v>3186</v>
      </c>
      <c r="C146" s="75">
        <v>51.0</v>
      </c>
    </row>
    <row r="147">
      <c r="A147" s="75" t="s">
        <v>3288</v>
      </c>
      <c r="B147" s="75" t="s">
        <v>3189</v>
      </c>
      <c r="C147" s="75">
        <v>51.0</v>
      </c>
    </row>
    <row r="148">
      <c r="A148" s="75" t="s">
        <v>3289</v>
      </c>
      <c r="B148" s="75">
        <v>300213.0</v>
      </c>
      <c r="C148" s="75">
        <v>57.0</v>
      </c>
    </row>
    <row r="149">
      <c r="A149" s="75" t="s">
        <v>3290</v>
      </c>
      <c r="B149" s="75">
        <v>300273.0</v>
      </c>
      <c r="C149" s="75">
        <v>58.0</v>
      </c>
    </row>
    <row r="150">
      <c r="A150" s="75" t="s">
        <v>3291</v>
      </c>
      <c r="B150" s="75" t="s">
        <v>3292</v>
      </c>
      <c r="C150" s="75" t="s">
        <v>1003</v>
      </c>
    </row>
    <row r="151">
      <c r="A151" s="75" t="s">
        <v>1005</v>
      </c>
      <c r="B151" s="75"/>
      <c r="C151" s="75"/>
    </row>
    <row r="152">
      <c r="A152" s="75" t="s">
        <v>1007</v>
      </c>
      <c r="B152" s="75"/>
      <c r="C152" s="75"/>
    </row>
    <row r="153">
      <c r="A153" s="75" t="s">
        <v>1010</v>
      </c>
      <c r="B153" s="75"/>
      <c r="C153" s="75"/>
    </row>
    <row r="154">
      <c r="A154" s="75" t="s">
        <v>1012</v>
      </c>
      <c r="B154" s="75" t="s">
        <v>3293</v>
      </c>
      <c r="C154" s="75">
        <v>120.0</v>
      </c>
    </row>
    <row r="155">
      <c r="A155" s="75" t="s">
        <v>1013</v>
      </c>
      <c r="B155" s="75"/>
      <c r="C155" s="75"/>
    </row>
    <row r="156">
      <c r="A156" s="75" t="s">
        <v>1012</v>
      </c>
      <c r="B156" s="75" t="s">
        <v>3293</v>
      </c>
      <c r="C156" s="75">
        <v>60.0</v>
      </c>
    </row>
    <row r="157">
      <c r="A157" s="75" t="s">
        <v>1015</v>
      </c>
      <c r="B157" s="75"/>
      <c r="C157" s="75"/>
    </row>
    <row r="158">
      <c r="A158" s="75" t="s">
        <v>1022</v>
      </c>
      <c r="B158" s="75"/>
      <c r="C158" s="75"/>
    </row>
    <row r="159">
      <c r="A159" s="97" t="s">
        <v>3294</v>
      </c>
      <c r="B159" s="97">
        <v>376.0</v>
      </c>
      <c r="C159" s="97">
        <v>53.0</v>
      </c>
    </row>
    <row r="160">
      <c r="A160" s="75" t="s">
        <v>3295</v>
      </c>
      <c r="B160" s="75">
        <v>2.0</v>
      </c>
      <c r="C160" s="75">
        <v>59.0</v>
      </c>
    </row>
    <row r="161">
      <c r="A161" s="75" t="s">
        <v>3296</v>
      </c>
      <c r="B161" s="75">
        <v>28.0</v>
      </c>
      <c r="C161" s="75">
        <v>58.0</v>
      </c>
    </row>
    <row r="162">
      <c r="A162" s="75" t="s">
        <v>3297</v>
      </c>
      <c r="B162" s="75">
        <v>214.0</v>
      </c>
      <c r="C162" s="75">
        <v>62.0</v>
      </c>
    </row>
    <row r="163">
      <c r="A163" s="75" t="s">
        <v>3298</v>
      </c>
      <c r="B163" s="75">
        <v>3.0</v>
      </c>
      <c r="C163" s="75">
        <v>58.0</v>
      </c>
    </row>
    <row r="164">
      <c r="A164" s="75" t="s">
        <v>3298</v>
      </c>
      <c r="B164" s="75">
        <v>4.0</v>
      </c>
      <c r="C164" s="75">
        <v>58.0</v>
      </c>
    </row>
    <row r="165">
      <c r="A165" s="75" t="s">
        <v>3299</v>
      </c>
      <c r="B165" s="75">
        <v>1.0</v>
      </c>
      <c r="C165" s="75">
        <v>57.0</v>
      </c>
    </row>
    <row r="166">
      <c r="A166" s="75" t="s">
        <v>3300</v>
      </c>
      <c r="B166" s="75">
        <v>320.0</v>
      </c>
      <c r="C166" s="75">
        <v>56.0</v>
      </c>
    </row>
    <row r="167">
      <c r="A167" s="75" t="s">
        <v>3301</v>
      </c>
      <c r="B167" s="75">
        <v>1.0</v>
      </c>
      <c r="C167" s="75">
        <v>56.0</v>
      </c>
    </row>
    <row r="168">
      <c r="A168" s="75" t="s">
        <v>3302</v>
      </c>
      <c r="B168" s="75">
        <v>1.0</v>
      </c>
      <c r="C168" s="75">
        <v>52.0</v>
      </c>
    </row>
    <row r="169">
      <c r="A169" s="75" t="s">
        <v>3302</v>
      </c>
      <c r="B169" s="75">
        <v>377.0</v>
      </c>
      <c r="C169" s="75">
        <v>52.0</v>
      </c>
    </row>
    <row r="170">
      <c r="A170" s="75" t="s">
        <v>1045</v>
      </c>
      <c r="B170" s="75"/>
      <c r="C170" s="75"/>
    </row>
    <row r="171">
      <c r="A171" s="75" t="s">
        <v>3303</v>
      </c>
      <c r="B171" s="75">
        <v>61.0</v>
      </c>
      <c r="C171" s="75">
        <v>53.0</v>
      </c>
    </row>
    <row r="172">
      <c r="A172" s="75" t="s">
        <v>3304</v>
      </c>
      <c r="B172" s="75">
        <v>488.0</v>
      </c>
      <c r="C172" s="75">
        <v>54.0</v>
      </c>
    </row>
    <row r="173">
      <c r="A173" s="75" t="s">
        <v>3305</v>
      </c>
      <c r="B173" s="75" t="s">
        <v>3306</v>
      </c>
      <c r="C173" s="75">
        <v>53.0</v>
      </c>
    </row>
    <row r="174">
      <c r="A174" s="75" t="s">
        <v>3307</v>
      </c>
      <c r="B174" s="75">
        <v>5.0</v>
      </c>
      <c r="C174" s="75">
        <v>53.0</v>
      </c>
    </row>
    <row r="175">
      <c r="A175" s="75" t="s">
        <v>3308</v>
      </c>
      <c r="B175" s="75" t="s">
        <v>3309</v>
      </c>
      <c r="C175" s="75">
        <v>53.0</v>
      </c>
    </row>
    <row r="176">
      <c r="A176" s="75" t="s">
        <v>3310</v>
      </c>
      <c r="B176" s="75">
        <v>2.0</v>
      </c>
      <c r="C176" s="75">
        <v>55.0</v>
      </c>
    </row>
    <row r="177">
      <c r="A177" s="75" t="s">
        <v>3305</v>
      </c>
      <c r="B177" s="75" t="s">
        <v>3311</v>
      </c>
      <c r="C177" s="75">
        <v>53.0</v>
      </c>
    </row>
    <row r="178">
      <c r="A178" s="75" t="s">
        <v>3312</v>
      </c>
      <c r="B178" s="75">
        <v>68.0</v>
      </c>
      <c r="C178" s="75">
        <v>53.0</v>
      </c>
    </row>
    <row r="179">
      <c r="A179" s="75" t="s">
        <v>1053</v>
      </c>
      <c r="B179" s="75"/>
      <c r="C179" s="75"/>
    </row>
    <row r="180">
      <c r="A180" s="75" t="s">
        <v>3313</v>
      </c>
      <c r="B180" s="75" t="s">
        <v>3314</v>
      </c>
      <c r="C180" s="75">
        <v>52.0</v>
      </c>
    </row>
    <row r="181">
      <c r="A181" s="75" t="s">
        <v>3313</v>
      </c>
      <c r="B181" s="75" t="s">
        <v>3315</v>
      </c>
      <c r="C181" s="75">
        <v>52.0</v>
      </c>
    </row>
    <row r="182">
      <c r="A182" s="75" t="s">
        <v>3313</v>
      </c>
      <c r="B182" s="75" t="s">
        <v>3263</v>
      </c>
      <c r="C182" s="75">
        <v>52.0</v>
      </c>
    </row>
    <row r="183">
      <c r="A183" s="75" t="s">
        <v>3316</v>
      </c>
      <c r="B183" s="75" t="s">
        <v>3187</v>
      </c>
      <c r="C183" s="75">
        <v>52.0</v>
      </c>
    </row>
    <row r="184">
      <c r="A184" s="75" t="s">
        <v>3317</v>
      </c>
      <c r="B184" s="75" t="s">
        <v>3186</v>
      </c>
      <c r="C184" s="75">
        <v>51.0</v>
      </c>
    </row>
    <row r="185">
      <c r="A185" s="75" t="s">
        <v>3318</v>
      </c>
      <c r="B185" s="75" t="s">
        <v>3195</v>
      </c>
      <c r="C185" s="75">
        <v>53.0</v>
      </c>
    </row>
    <row r="186">
      <c r="A186" s="75" t="s">
        <v>3319</v>
      </c>
      <c r="B186" s="75" t="s">
        <v>3191</v>
      </c>
      <c r="C186" s="75">
        <v>53.0</v>
      </c>
    </row>
    <row r="187">
      <c r="A187" s="75" t="s">
        <v>3319</v>
      </c>
      <c r="B187" s="75" t="s">
        <v>3195</v>
      </c>
      <c r="C187" s="75">
        <v>53.0</v>
      </c>
    </row>
    <row r="188">
      <c r="A188" s="75" t="s">
        <v>3320</v>
      </c>
      <c r="B188" s="75" t="s">
        <v>3186</v>
      </c>
      <c r="C188" s="75">
        <v>52.0</v>
      </c>
    </row>
    <row r="189">
      <c r="A189" s="75" t="s">
        <v>3321</v>
      </c>
      <c r="B189" s="75" t="s">
        <v>3191</v>
      </c>
      <c r="C189" s="75">
        <v>53.0</v>
      </c>
    </row>
    <row r="190">
      <c r="A190" s="75" t="s">
        <v>3321</v>
      </c>
      <c r="B190" s="75" t="s">
        <v>3186</v>
      </c>
      <c r="C190" s="75">
        <v>53.0</v>
      </c>
    </row>
    <row r="191">
      <c r="A191" s="75" t="s">
        <v>3322</v>
      </c>
      <c r="B191" s="75" t="s">
        <v>3191</v>
      </c>
      <c r="C191" s="75">
        <v>53.0</v>
      </c>
    </row>
    <row r="192">
      <c r="A192" s="75" t="s">
        <v>3322</v>
      </c>
      <c r="B192" s="75" t="s">
        <v>3186</v>
      </c>
      <c r="C192" s="75">
        <v>53.0</v>
      </c>
    </row>
    <row r="193">
      <c r="A193" s="75" t="s">
        <v>3323</v>
      </c>
      <c r="B193" s="75" t="s">
        <v>3191</v>
      </c>
      <c r="C193" s="75">
        <v>51.0</v>
      </c>
    </row>
    <row r="194">
      <c r="A194" s="75" t="s">
        <v>3323</v>
      </c>
      <c r="B194" s="75" t="s">
        <v>3186</v>
      </c>
      <c r="C194" s="75">
        <v>51.0</v>
      </c>
    </row>
    <row r="195">
      <c r="A195" s="75" t="s">
        <v>3324</v>
      </c>
      <c r="B195" s="75" t="s">
        <v>3187</v>
      </c>
      <c r="C195" s="75">
        <v>52.0</v>
      </c>
    </row>
    <row r="196">
      <c r="A196" s="75" t="s">
        <v>3325</v>
      </c>
      <c r="B196" s="75" t="s">
        <v>3326</v>
      </c>
      <c r="C196" s="75">
        <v>53.0</v>
      </c>
    </row>
    <row r="197">
      <c r="A197" s="75" t="s">
        <v>3327</v>
      </c>
      <c r="B197" s="75" t="s">
        <v>3328</v>
      </c>
      <c r="C197" s="75">
        <v>49.0</v>
      </c>
    </row>
    <row r="198">
      <c r="A198" s="75" t="s">
        <v>3327</v>
      </c>
      <c r="B198" s="75" t="s">
        <v>3329</v>
      </c>
      <c r="C198" s="75">
        <v>51.0</v>
      </c>
    </row>
    <row r="199">
      <c r="A199" s="75" t="s">
        <v>3330</v>
      </c>
      <c r="B199" s="75" t="s">
        <v>3186</v>
      </c>
      <c r="C199" s="75">
        <v>50.0</v>
      </c>
    </row>
    <row r="200">
      <c r="A200" s="75" t="s">
        <v>3331</v>
      </c>
      <c r="B200" s="75" t="s">
        <v>3332</v>
      </c>
      <c r="C200" s="75">
        <v>53.0</v>
      </c>
    </row>
    <row r="201">
      <c r="A201" s="75" t="s">
        <v>3333</v>
      </c>
      <c r="B201" s="75" t="s">
        <v>3187</v>
      </c>
      <c r="C201" s="75">
        <v>52.0</v>
      </c>
    </row>
    <row r="202">
      <c r="A202" s="75" t="s">
        <v>3334</v>
      </c>
      <c r="B202" s="75" t="s">
        <v>3195</v>
      </c>
      <c r="C202" s="75">
        <v>55.0</v>
      </c>
    </row>
    <row r="203">
      <c r="A203" s="75" t="s">
        <v>3335</v>
      </c>
      <c r="B203" s="75" t="s">
        <v>3187</v>
      </c>
      <c r="C203" s="75">
        <v>52.0</v>
      </c>
    </row>
    <row r="204">
      <c r="A204" s="75" t="s">
        <v>3335</v>
      </c>
      <c r="B204" s="75" t="s">
        <v>3195</v>
      </c>
      <c r="C204" s="75">
        <v>52.0</v>
      </c>
    </row>
    <row r="205">
      <c r="A205" s="75" t="s">
        <v>3336</v>
      </c>
      <c r="B205" s="75" t="s">
        <v>3189</v>
      </c>
      <c r="C205" s="75">
        <v>52.0</v>
      </c>
    </row>
    <row r="206">
      <c r="A206" s="75" t="s">
        <v>3337</v>
      </c>
      <c r="B206" s="75" t="s">
        <v>3191</v>
      </c>
      <c r="C206" s="75" t="s">
        <v>1088</v>
      </c>
    </row>
    <row r="207">
      <c r="A207" s="75" t="s">
        <v>3337</v>
      </c>
      <c r="B207" s="75" t="s">
        <v>3191</v>
      </c>
      <c r="C207" s="75" t="s">
        <v>1090</v>
      </c>
    </row>
    <row r="208">
      <c r="A208" s="75" t="s">
        <v>3338</v>
      </c>
      <c r="B208" s="75" t="s">
        <v>3191</v>
      </c>
      <c r="C208" s="75">
        <v>50.0</v>
      </c>
    </row>
    <row r="209">
      <c r="A209" s="75" t="s">
        <v>3339</v>
      </c>
      <c r="B209" s="75" t="s">
        <v>3191</v>
      </c>
      <c r="C209" s="75">
        <v>51.0</v>
      </c>
    </row>
    <row r="210">
      <c r="A210" s="75" t="s">
        <v>3339</v>
      </c>
      <c r="B210" s="75" t="s">
        <v>3189</v>
      </c>
      <c r="C210" s="75">
        <v>51.0</v>
      </c>
    </row>
    <row r="211">
      <c r="A211" s="75" t="s">
        <v>3340</v>
      </c>
      <c r="B211" s="75" t="s">
        <v>3187</v>
      </c>
      <c r="C211" s="75">
        <v>48.0</v>
      </c>
    </row>
    <row r="212">
      <c r="A212" s="75" t="s">
        <v>3341</v>
      </c>
      <c r="B212" s="75" t="s">
        <v>3342</v>
      </c>
      <c r="C212" s="75">
        <v>49.0</v>
      </c>
    </row>
    <row r="213">
      <c r="A213" s="75" t="s">
        <v>3343</v>
      </c>
      <c r="B213" s="75">
        <v>548.0</v>
      </c>
      <c r="C213" s="75">
        <v>55.0</v>
      </c>
    </row>
    <row r="214">
      <c r="A214" s="75" t="s">
        <v>3344</v>
      </c>
      <c r="B214" s="75" t="s">
        <v>3191</v>
      </c>
      <c r="C214" s="75">
        <v>49.0</v>
      </c>
    </row>
    <row r="215">
      <c r="A215" s="75" t="s">
        <v>3345</v>
      </c>
      <c r="B215" s="75" t="s">
        <v>3191</v>
      </c>
      <c r="C215" s="75">
        <v>51.0</v>
      </c>
    </row>
    <row r="216">
      <c r="A216" s="75" t="s">
        <v>3345</v>
      </c>
      <c r="B216" s="75" t="s">
        <v>3186</v>
      </c>
      <c r="C216" s="75">
        <v>51.0</v>
      </c>
    </row>
    <row r="217">
      <c r="A217" s="75" t="s">
        <v>3345</v>
      </c>
      <c r="B217" s="75" t="s">
        <v>3189</v>
      </c>
      <c r="C217" s="75">
        <v>51.0</v>
      </c>
    </row>
    <row r="218">
      <c r="A218" s="75" t="s">
        <v>3346</v>
      </c>
      <c r="B218" s="75" t="s">
        <v>3347</v>
      </c>
      <c r="C218" s="75">
        <v>47.0</v>
      </c>
    </row>
    <row r="219">
      <c r="A219" s="75" t="s">
        <v>3348</v>
      </c>
      <c r="B219" s="75" t="s">
        <v>3347</v>
      </c>
      <c r="C219" s="75">
        <v>50.0</v>
      </c>
    </row>
    <row r="220">
      <c r="A220" s="75" t="s">
        <v>3348</v>
      </c>
      <c r="B220" s="75" t="s">
        <v>3349</v>
      </c>
      <c r="C220" s="75">
        <v>50.0</v>
      </c>
    </row>
    <row r="221">
      <c r="A221" s="75" t="s">
        <v>3350</v>
      </c>
      <c r="B221" s="75" t="s">
        <v>3351</v>
      </c>
      <c r="C221" s="75">
        <v>50.0</v>
      </c>
    </row>
    <row r="222">
      <c r="A222" s="75" t="s">
        <v>3352</v>
      </c>
      <c r="B222" s="75" t="s">
        <v>3353</v>
      </c>
      <c r="C222" s="75">
        <v>50.0</v>
      </c>
    </row>
    <row r="223">
      <c r="A223" s="75" t="s">
        <v>3352</v>
      </c>
      <c r="B223" s="75" t="s">
        <v>3285</v>
      </c>
      <c r="C223" s="75">
        <v>50.0</v>
      </c>
    </row>
    <row r="224">
      <c r="A224" s="75" t="s">
        <v>3352</v>
      </c>
      <c r="B224" s="75" t="s">
        <v>3349</v>
      </c>
      <c r="C224" s="75">
        <v>50.0</v>
      </c>
    </row>
    <row r="225">
      <c r="A225" s="75" t="s">
        <v>3354</v>
      </c>
      <c r="B225" s="75" t="s">
        <v>3196</v>
      </c>
      <c r="C225" s="75">
        <v>53.0</v>
      </c>
    </row>
    <row r="226">
      <c r="A226" s="75" t="s">
        <v>3355</v>
      </c>
      <c r="B226" s="75" t="s">
        <v>3356</v>
      </c>
      <c r="C226" s="75">
        <v>53.0</v>
      </c>
    </row>
    <row r="227">
      <c r="A227" s="75" t="s">
        <v>3357</v>
      </c>
      <c r="B227" s="75">
        <v>135.0</v>
      </c>
      <c r="C227" s="75">
        <v>50.0</v>
      </c>
    </row>
    <row r="228">
      <c r="A228" s="75" t="s">
        <v>3358</v>
      </c>
      <c r="B228" s="75">
        <v>138.0</v>
      </c>
      <c r="C228" s="75">
        <v>53.0</v>
      </c>
    </row>
    <row r="229">
      <c r="A229" s="75" t="s">
        <v>3359</v>
      </c>
      <c r="B229" s="75" t="s">
        <v>3356</v>
      </c>
      <c r="C229" s="75">
        <v>53.0</v>
      </c>
    </row>
    <row r="230">
      <c r="A230" s="75" t="s">
        <v>3360</v>
      </c>
      <c r="B230" s="75" t="s">
        <v>3196</v>
      </c>
      <c r="C230" s="75">
        <v>52.0</v>
      </c>
    </row>
    <row r="231">
      <c r="A231" s="75" t="s">
        <v>3361</v>
      </c>
      <c r="B231" s="75" t="s">
        <v>3362</v>
      </c>
      <c r="C231" s="75">
        <v>51.0</v>
      </c>
    </row>
    <row r="232">
      <c r="A232" s="75" t="s">
        <v>3363</v>
      </c>
      <c r="B232" s="75" t="s">
        <v>3186</v>
      </c>
      <c r="C232" s="75">
        <v>52.0</v>
      </c>
    </row>
    <row r="233">
      <c r="A233" s="75" t="s">
        <v>3364</v>
      </c>
      <c r="B233" s="75" t="s">
        <v>3365</v>
      </c>
      <c r="C233" s="75">
        <v>54.0</v>
      </c>
    </row>
    <row r="234">
      <c r="A234" s="75" t="s">
        <v>3366</v>
      </c>
      <c r="B234" s="75" t="s">
        <v>3191</v>
      </c>
      <c r="C234" s="75">
        <v>53.0</v>
      </c>
    </row>
    <row r="235">
      <c r="A235" s="75" t="s">
        <v>3366</v>
      </c>
      <c r="B235" s="75" t="s">
        <v>3367</v>
      </c>
      <c r="C235" s="75">
        <v>53.0</v>
      </c>
    </row>
    <row r="236">
      <c r="A236" s="75" t="s">
        <v>3368</v>
      </c>
      <c r="B236" s="75" t="s">
        <v>3369</v>
      </c>
      <c r="C236" s="75">
        <v>52.0</v>
      </c>
    </row>
    <row r="237">
      <c r="A237" s="75" t="s">
        <v>3370</v>
      </c>
      <c r="B237" s="75" t="s">
        <v>3371</v>
      </c>
      <c r="C237" s="75">
        <v>51.0</v>
      </c>
    </row>
    <row r="238">
      <c r="A238" s="75" t="s">
        <v>3372</v>
      </c>
      <c r="B238" s="75" t="s">
        <v>3373</v>
      </c>
      <c r="C238" s="75">
        <v>49.0</v>
      </c>
    </row>
    <row r="239">
      <c r="A239" s="75" t="s">
        <v>3374</v>
      </c>
      <c r="B239" s="75" t="s">
        <v>3375</v>
      </c>
      <c r="C239" s="75">
        <v>53.0</v>
      </c>
    </row>
    <row r="240">
      <c r="A240" s="75" t="s">
        <v>3376</v>
      </c>
      <c r="B240" s="75" t="s">
        <v>3377</v>
      </c>
      <c r="C240" s="75">
        <v>53.0</v>
      </c>
    </row>
    <row r="241">
      <c r="A241" s="75" t="s">
        <v>3378</v>
      </c>
      <c r="B241" s="75" t="s">
        <v>3379</v>
      </c>
      <c r="C241" s="75">
        <v>54.0</v>
      </c>
    </row>
    <row r="242">
      <c r="A242" s="75" t="s">
        <v>3350</v>
      </c>
      <c r="B242" s="75" t="s">
        <v>3347</v>
      </c>
      <c r="C242" s="75">
        <v>48.0</v>
      </c>
    </row>
    <row r="243">
      <c r="A243" s="75" t="s">
        <v>3380</v>
      </c>
      <c r="B243" s="75" t="s">
        <v>3381</v>
      </c>
      <c r="C243" s="75">
        <v>47.0</v>
      </c>
    </row>
    <row r="244">
      <c r="A244" s="75" t="s">
        <v>3382</v>
      </c>
      <c r="B244" s="75" t="s">
        <v>3383</v>
      </c>
      <c r="C244" s="75">
        <v>52.0</v>
      </c>
    </row>
    <row r="245">
      <c r="A245" s="75" t="s">
        <v>3384</v>
      </c>
      <c r="B245" s="75" t="s">
        <v>3379</v>
      </c>
      <c r="C245" s="75">
        <v>56.0</v>
      </c>
    </row>
    <row r="246">
      <c r="A246" s="75" t="s">
        <v>3385</v>
      </c>
      <c r="B246" s="75" t="s">
        <v>3386</v>
      </c>
      <c r="C246" s="75">
        <v>55.0</v>
      </c>
    </row>
    <row r="247">
      <c r="A247" s="75" t="s">
        <v>3387</v>
      </c>
      <c r="B247" s="75" t="s">
        <v>3349</v>
      </c>
      <c r="C247" s="75">
        <v>51.0</v>
      </c>
    </row>
    <row r="248">
      <c r="A248" s="75" t="s">
        <v>3388</v>
      </c>
      <c r="B248" s="75" t="s">
        <v>3389</v>
      </c>
      <c r="C248" s="75">
        <v>51.0</v>
      </c>
    </row>
    <row r="249">
      <c r="A249" s="75" t="s">
        <v>3388</v>
      </c>
      <c r="B249" s="75" t="s">
        <v>3390</v>
      </c>
      <c r="C249" s="75">
        <v>51.0</v>
      </c>
    </row>
    <row r="250">
      <c r="A250" s="75" t="s">
        <v>3391</v>
      </c>
      <c r="B250" s="75" t="s">
        <v>3392</v>
      </c>
      <c r="C250" s="75">
        <v>50.0</v>
      </c>
    </row>
    <row r="251">
      <c r="A251" s="75" t="s">
        <v>3393</v>
      </c>
      <c r="B251" s="75" t="s">
        <v>3394</v>
      </c>
      <c r="C251" s="75">
        <v>53.0</v>
      </c>
    </row>
    <row r="252">
      <c r="A252" s="75" t="s">
        <v>3393</v>
      </c>
      <c r="B252" s="75" t="s">
        <v>3395</v>
      </c>
      <c r="C252" s="75">
        <v>53.0</v>
      </c>
    </row>
    <row r="253">
      <c r="A253" s="75" t="s">
        <v>3396</v>
      </c>
      <c r="B253" s="75" t="s">
        <v>3191</v>
      </c>
      <c r="C253" s="75">
        <v>52.0</v>
      </c>
    </row>
    <row r="254">
      <c r="A254" s="75" t="s">
        <v>3397</v>
      </c>
      <c r="B254" s="75" t="s">
        <v>3395</v>
      </c>
      <c r="C254" s="75">
        <v>54.0</v>
      </c>
    </row>
    <row r="255">
      <c r="A255" s="75" t="s">
        <v>3398</v>
      </c>
      <c r="B255" s="75" t="s">
        <v>3367</v>
      </c>
      <c r="C255" s="75">
        <v>51.0</v>
      </c>
    </row>
    <row r="256">
      <c r="A256" s="75" t="s">
        <v>3399</v>
      </c>
      <c r="B256" s="75" t="s">
        <v>3400</v>
      </c>
      <c r="C256" s="75">
        <v>54.0</v>
      </c>
    </row>
    <row r="257">
      <c r="A257" s="75" t="s">
        <v>3401</v>
      </c>
      <c r="B257" s="75" t="s">
        <v>3402</v>
      </c>
      <c r="C257" s="75">
        <v>56.0</v>
      </c>
    </row>
    <row r="258">
      <c r="A258" s="75" t="s">
        <v>3401</v>
      </c>
      <c r="B258" s="75" t="s">
        <v>3403</v>
      </c>
      <c r="C258" s="75">
        <v>56.0</v>
      </c>
    </row>
    <row r="259">
      <c r="A259" s="75" t="s">
        <v>3404</v>
      </c>
      <c r="B259" s="75" t="s">
        <v>3349</v>
      </c>
      <c r="C259" s="75">
        <v>53.0</v>
      </c>
    </row>
    <row r="260">
      <c r="A260" s="75" t="s">
        <v>3405</v>
      </c>
      <c r="B260" s="75" t="s">
        <v>3349</v>
      </c>
      <c r="C260" s="75">
        <v>53.0</v>
      </c>
    </row>
    <row r="261">
      <c r="A261" s="75" t="s">
        <v>3406</v>
      </c>
      <c r="B261" s="75" t="s">
        <v>3389</v>
      </c>
      <c r="C261" s="75">
        <v>55.0</v>
      </c>
    </row>
    <row r="262">
      <c r="A262" s="75" t="s">
        <v>3407</v>
      </c>
      <c r="B262" s="75" t="s">
        <v>894</v>
      </c>
      <c r="C262" s="75">
        <v>55.0</v>
      </c>
    </row>
    <row r="263">
      <c r="A263" s="75" t="s">
        <v>3408</v>
      </c>
      <c r="B263" s="75" t="s">
        <v>3191</v>
      </c>
      <c r="C263" s="75">
        <v>53.0</v>
      </c>
    </row>
    <row r="264">
      <c r="A264" s="75" t="s">
        <v>3408</v>
      </c>
      <c r="B264" s="75" t="s">
        <v>3189</v>
      </c>
      <c r="C264" s="75">
        <v>53.0</v>
      </c>
    </row>
    <row r="265">
      <c r="A265" s="75" t="s">
        <v>3409</v>
      </c>
      <c r="B265" s="75" t="s">
        <v>3186</v>
      </c>
      <c r="C265" s="75">
        <v>46.0</v>
      </c>
    </row>
    <row r="266">
      <c r="A266" s="75" t="s">
        <v>3410</v>
      </c>
      <c r="B266" s="75" t="s">
        <v>3191</v>
      </c>
      <c r="C266" s="75">
        <v>47.0</v>
      </c>
    </row>
    <row r="267">
      <c r="A267" s="75" t="s">
        <v>3411</v>
      </c>
      <c r="B267" s="75" t="s">
        <v>3191</v>
      </c>
      <c r="C267" s="75">
        <v>51.0</v>
      </c>
    </row>
    <row r="268">
      <c r="A268" s="75" t="s">
        <v>3411</v>
      </c>
      <c r="B268" s="75" t="s">
        <v>3186</v>
      </c>
      <c r="C268" s="75">
        <v>51.0</v>
      </c>
    </row>
    <row r="269">
      <c r="A269" s="75" t="s">
        <v>3411</v>
      </c>
      <c r="B269" s="75" t="s">
        <v>3189</v>
      </c>
      <c r="C269" s="75">
        <v>51.0</v>
      </c>
    </row>
    <row r="270">
      <c r="A270" s="75" t="s">
        <v>3411</v>
      </c>
      <c r="B270" s="75" t="s">
        <v>3187</v>
      </c>
      <c r="C270" s="75">
        <v>51.0</v>
      </c>
    </row>
    <row r="271">
      <c r="A271" s="75" t="s">
        <v>3412</v>
      </c>
      <c r="B271" s="75" t="s">
        <v>3187</v>
      </c>
      <c r="C271" s="75">
        <v>51.0</v>
      </c>
    </row>
    <row r="272">
      <c r="A272" s="75" t="s">
        <v>3413</v>
      </c>
      <c r="B272" s="75" t="s">
        <v>3191</v>
      </c>
      <c r="C272" s="75">
        <v>54.0</v>
      </c>
    </row>
    <row r="273">
      <c r="A273" s="75" t="s">
        <v>3414</v>
      </c>
      <c r="B273" s="75" t="s">
        <v>3189</v>
      </c>
      <c r="C273" s="75">
        <v>53.0</v>
      </c>
    </row>
    <row r="274">
      <c r="A274" s="75" t="s">
        <v>3415</v>
      </c>
      <c r="B274" s="75" t="s">
        <v>3195</v>
      </c>
      <c r="C274" s="75">
        <v>54.0</v>
      </c>
    </row>
    <row r="275">
      <c r="A275" s="75" t="s">
        <v>3416</v>
      </c>
      <c r="B275" s="75" t="s">
        <v>3191</v>
      </c>
      <c r="C275" s="75">
        <v>54.0</v>
      </c>
    </row>
    <row r="276">
      <c r="A276" s="75" t="s">
        <v>3416</v>
      </c>
      <c r="B276" s="75" t="s">
        <v>3186</v>
      </c>
      <c r="C276" s="75">
        <v>54.0</v>
      </c>
    </row>
    <row r="277">
      <c r="A277" s="75" t="s">
        <v>3417</v>
      </c>
      <c r="B277" s="75" t="s">
        <v>3187</v>
      </c>
      <c r="C277" s="75">
        <v>54.0</v>
      </c>
    </row>
    <row r="278">
      <c r="A278" s="75" t="s">
        <v>3418</v>
      </c>
      <c r="B278" s="75" t="s">
        <v>3186</v>
      </c>
      <c r="C278" s="75">
        <v>50.0</v>
      </c>
    </row>
    <row r="279">
      <c r="A279" s="75" t="s">
        <v>3419</v>
      </c>
      <c r="B279" s="75" t="s">
        <v>3187</v>
      </c>
      <c r="C279" s="75">
        <v>49.0</v>
      </c>
    </row>
    <row r="280">
      <c r="A280" s="75" t="s">
        <v>3419</v>
      </c>
      <c r="B280" s="75" t="s">
        <v>3195</v>
      </c>
      <c r="C280" s="75">
        <v>49.0</v>
      </c>
    </row>
    <row r="281">
      <c r="A281" s="75" t="s">
        <v>3420</v>
      </c>
      <c r="B281" s="75" t="s">
        <v>3187</v>
      </c>
      <c r="C281" s="75">
        <v>47.0</v>
      </c>
    </row>
    <row r="282">
      <c r="A282" s="75" t="s">
        <v>3420</v>
      </c>
      <c r="B282" s="75" t="s">
        <v>3195</v>
      </c>
      <c r="C282" s="75">
        <v>47.0</v>
      </c>
    </row>
    <row r="283">
      <c r="A283" s="75" t="s">
        <v>3421</v>
      </c>
      <c r="B283" s="75" t="s">
        <v>3186</v>
      </c>
      <c r="C283" s="75">
        <v>51.0</v>
      </c>
    </row>
    <row r="284">
      <c r="A284" s="75" t="s">
        <v>3421</v>
      </c>
      <c r="B284" s="75" t="s">
        <v>3189</v>
      </c>
      <c r="C284" s="75">
        <v>51.0</v>
      </c>
    </row>
    <row r="285">
      <c r="A285" s="75" t="s">
        <v>3422</v>
      </c>
      <c r="B285" s="75" t="s">
        <v>3186</v>
      </c>
      <c r="C285" s="75">
        <v>52.0</v>
      </c>
    </row>
    <row r="286">
      <c r="A286" s="75" t="s">
        <v>3422</v>
      </c>
      <c r="B286" s="75" t="s">
        <v>3195</v>
      </c>
      <c r="C286" s="75">
        <v>52.0</v>
      </c>
    </row>
    <row r="287">
      <c r="A287" s="75" t="s">
        <v>3423</v>
      </c>
      <c r="B287" s="75" t="s">
        <v>3191</v>
      </c>
      <c r="C287" s="75">
        <v>50.0</v>
      </c>
    </row>
    <row r="288">
      <c r="A288" s="75" t="s">
        <v>3423</v>
      </c>
      <c r="B288" s="75" t="s">
        <v>3189</v>
      </c>
      <c r="C288" s="75">
        <v>50.0</v>
      </c>
    </row>
    <row r="289">
      <c r="A289" s="75" t="s">
        <v>3424</v>
      </c>
      <c r="B289" s="75" t="s">
        <v>3195</v>
      </c>
      <c r="C289" s="75">
        <v>54.0</v>
      </c>
    </row>
    <row r="290">
      <c r="A290" s="75" t="s">
        <v>3425</v>
      </c>
      <c r="B290" s="75" t="s">
        <v>3189</v>
      </c>
      <c r="C290" s="75">
        <v>51.0</v>
      </c>
    </row>
    <row r="291">
      <c r="A291" s="75" t="s">
        <v>3426</v>
      </c>
      <c r="B291" s="75" t="s">
        <v>3189</v>
      </c>
      <c r="C291" s="75">
        <v>54.0</v>
      </c>
    </row>
    <row r="292">
      <c r="A292" s="75" t="s">
        <v>3426</v>
      </c>
      <c r="B292" s="75" t="s">
        <v>3187</v>
      </c>
      <c r="C292" s="75">
        <v>54.0</v>
      </c>
    </row>
    <row r="293">
      <c r="A293" s="75" t="s">
        <v>3427</v>
      </c>
      <c r="B293" s="75" t="s">
        <v>3191</v>
      </c>
      <c r="C293" s="75">
        <v>47.0</v>
      </c>
    </row>
    <row r="294">
      <c r="A294" s="75" t="s">
        <v>3427</v>
      </c>
      <c r="B294" s="75" t="s">
        <v>3189</v>
      </c>
      <c r="C294" s="75">
        <v>47.0</v>
      </c>
    </row>
    <row r="295">
      <c r="A295" s="75" t="s">
        <v>3427</v>
      </c>
      <c r="B295" s="75" t="s">
        <v>3187</v>
      </c>
      <c r="C295" s="75">
        <v>47.0</v>
      </c>
    </row>
    <row r="296">
      <c r="A296" s="75" t="s">
        <v>3428</v>
      </c>
      <c r="B296" s="75" t="s">
        <v>3187</v>
      </c>
      <c r="C296" s="75">
        <v>52.0</v>
      </c>
    </row>
    <row r="297">
      <c r="A297" s="75" t="s">
        <v>3428</v>
      </c>
      <c r="B297" s="75" t="s">
        <v>3195</v>
      </c>
      <c r="C297" s="75">
        <v>52.0</v>
      </c>
    </row>
    <row r="298">
      <c r="A298" s="75" t="s">
        <v>3429</v>
      </c>
      <c r="B298" s="75" t="s">
        <v>3191</v>
      </c>
      <c r="C298" s="75">
        <v>53.0</v>
      </c>
    </row>
    <row r="299">
      <c r="A299" s="75" t="s">
        <v>3430</v>
      </c>
      <c r="B299" s="75" t="s">
        <v>3189</v>
      </c>
      <c r="C299" s="75">
        <v>48.0</v>
      </c>
    </row>
    <row r="300">
      <c r="A300" s="75" t="s">
        <v>3431</v>
      </c>
      <c r="B300" s="75" t="s">
        <v>3191</v>
      </c>
      <c r="C300" s="75">
        <v>61.0</v>
      </c>
    </row>
    <row r="301">
      <c r="A301" s="75" t="s">
        <v>3432</v>
      </c>
      <c r="B301" s="75" t="s">
        <v>3191</v>
      </c>
      <c r="C301" s="75">
        <v>54.0</v>
      </c>
    </row>
    <row r="302">
      <c r="A302" s="75" t="s">
        <v>3433</v>
      </c>
      <c r="B302" s="75" t="s">
        <v>3195</v>
      </c>
      <c r="C302" s="75">
        <v>49.0</v>
      </c>
    </row>
    <row r="303">
      <c r="A303" s="75" t="s">
        <v>3434</v>
      </c>
      <c r="B303" s="75" t="s">
        <v>3187</v>
      </c>
      <c r="C303" s="75">
        <v>49.0</v>
      </c>
    </row>
    <row r="304">
      <c r="A304" s="75" t="s">
        <v>3435</v>
      </c>
      <c r="B304" s="75" t="s">
        <v>3191</v>
      </c>
      <c r="C304" s="75">
        <v>59.0</v>
      </c>
    </row>
    <row r="305">
      <c r="A305" s="75" t="s">
        <v>3436</v>
      </c>
      <c r="B305" s="75" t="s">
        <v>3189</v>
      </c>
      <c r="C305" s="75">
        <v>56.0</v>
      </c>
    </row>
    <row r="306">
      <c r="A306" s="75" t="s">
        <v>3437</v>
      </c>
      <c r="B306" s="75" t="s">
        <v>3191</v>
      </c>
      <c r="C306" s="75">
        <v>57.0</v>
      </c>
    </row>
    <row r="307">
      <c r="A307" s="75" t="s">
        <v>3437</v>
      </c>
      <c r="B307" s="75" t="s">
        <v>3189</v>
      </c>
      <c r="C307" s="75">
        <v>57.0</v>
      </c>
    </row>
    <row r="308">
      <c r="A308" s="75" t="s">
        <v>3438</v>
      </c>
      <c r="B308" s="75" t="s">
        <v>3189</v>
      </c>
      <c r="C308" s="75">
        <v>55.0</v>
      </c>
    </row>
    <row r="309">
      <c r="A309" s="75" t="s">
        <v>3438</v>
      </c>
      <c r="B309" s="75" t="s">
        <v>3439</v>
      </c>
      <c r="C309" s="75">
        <v>55.0</v>
      </c>
    </row>
    <row r="310">
      <c r="A310" s="75" t="s">
        <v>3440</v>
      </c>
      <c r="B310" s="75" t="s">
        <v>3191</v>
      </c>
      <c r="C310" s="75">
        <v>54.0</v>
      </c>
    </row>
    <row r="311">
      <c r="A311" s="75" t="s">
        <v>3440</v>
      </c>
      <c r="B311" s="75" t="s">
        <v>3186</v>
      </c>
      <c r="C311" s="75">
        <v>54.0</v>
      </c>
    </row>
    <row r="312">
      <c r="A312" s="75" t="s">
        <v>3441</v>
      </c>
      <c r="B312" s="75" t="s">
        <v>3195</v>
      </c>
      <c r="C312" s="75">
        <v>53.0</v>
      </c>
    </row>
    <row r="313">
      <c r="A313" s="75" t="s">
        <v>3442</v>
      </c>
      <c r="B313" s="75" t="s">
        <v>3186</v>
      </c>
      <c r="C313" s="75">
        <v>49.0</v>
      </c>
    </row>
    <row r="314">
      <c r="A314" s="75" t="s">
        <v>3443</v>
      </c>
      <c r="B314" s="75" t="s">
        <v>3191</v>
      </c>
      <c r="C314" s="75">
        <v>53.0</v>
      </c>
    </row>
    <row r="315">
      <c r="A315" s="75" t="s">
        <v>3444</v>
      </c>
      <c r="B315" s="75" t="s">
        <v>3187</v>
      </c>
      <c r="C315" s="75">
        <v>54.0</v>
      </c>
    </row>
    <row r="316">
      <c r="A316" s="75" t="s">
        <v>3445</v>
      </c>
      <c r="B316" s="75" t="s">
        <v>3191</v>
      </c>
      <c r="C316" s="75">
        <v>55.0</v>
      </c>
    </row>
    <row r="317">
      <c r="A317" s="75" t="s">
        <v>3446</v>
      </c>
      <c r="B317" s="75" t="s">
        <v>3189</v>
      </c>
      <c r="C317" s="75">
        <v>59.0</v>
      </c>
    </row>
    <row r="318">
      <c r="A318" s="75" t="s">
        <v>3447</v>
      </c>
      <c r="B318" s="75" t="s">
        <v>3191</v>
      </c>
      <c r="C318" s="75">
        <v>50.0</v>
      </c>
    </row>
    <row r="319">
      <c r="A319" s="75" t="s">
        <v>3447</v>
      </c>
      <c r="B319" s="75" t="s">
        <v>3186</v>
      </c>
      <c r="C319" s="75">
        <v>50.0</v>
      </c>
    </row>
    <row r="320">
      <c r="A320" s="75" t="s">
        <v>3447</v>
      </c>
      <c r="B320" s="75" t="s">
        <v>3195</v>
      </c>
      <c r="C320" s="75">
        <v>50.0</v>
      </c>
    </row>
    <row r="321">
      <c r="A321" s="75" t="s">
        <v>3448</v>
      </c>
      <c r="B321" s="75" t="s">
        <v>3191</v>
      </c>
      <c r="C321" s="75">
        <v>55.0</v>
      </c>
    </row>
    <row r="322">
      <c r="A322" s="75" t="s">
        <v>3449</v>
      </c>
      <c r="B322" s="75" t="s">
        <v>3195</v>
      </c>
      <c r="C322" s="75">
        <v>58.0</v>
      </c>
    </row>
    <row r="323">
      <c r="A323" s="75" t="s">
        <v>3450</v>
      </c>
      <c r="B323" s="75" t="s">
        <v>3189</v>
      </c>
      <c r="C323" s="75">
        <v>56.0</v>
      </c>
    </row>
    <row r="324">
      <c r="A324" s="75" t="s">
        <v>3451</v>
      </c>
      <c r="B324" s="75" t="s">
        <v>3195</v>
      </c>
      <c r="C324" s="75">
        <v>56.0</v>
      </c>
    </row>
    <row r="325">
      <c r="A325" s="75" t="s">
        <v>3452</v>
      </c>
      <c r="B325" s="75" t="s">
        <v>3191</v>
      </c>
      <c r="C325" s="75">
        <v>58.0</v>
      </c>
    </row>
    <row r="326">
      <c r="A326" s="75" t="s">
        <v>3453</v>
      </c>
      <c r="B326" s="75" t="s">
        <v>3195</v>
      </c>
      <c r="C326" s="75">
        <v>58.0</v>
      </c>
    </row>
    <row r="327">
      <c r="A327" s="75" t="s">
        <v>3454</v>
      </c>
      <c r="B327" s="75" t="s">
        <v>3191</v>
      </c>
      <c r="C327" s="75">
        <v>59.0</v>
      </c>
    </row>
    <row r="328">
      <c r="A328" s="75" t="s">
        <v>3455</v>
      </c>
      <c r="B328" s="75" t="s">
        <v>3191</v>
      </c>
      <c r="C328" s="75">
        <v>57.0</v>
      </c>
    </row>
    <row r="329">
      <c r="A329" s="75" t="s">
        <v>3455</v>
      </c>
      <c r="B329" s="75" t="s">
        <v>3189</v>
      </c>
      <c r="C329" s="75">
        <v>57.0</v>
      </c>
    </row>
    <row r="330">
      <c r="A330" s="75" t="s">
        <v>3456</v>
      </c>
      <c r="B330" s="75" t="s">
        <v>3191</v>
      </c>
      <c r="C330" s="75">
        <v>50.0</v>
      </c>
    </row>
    <row r="331">
      <c r="A331" s="75" t="s">
        <v>3456</v>
      </c>
      <c r="B331" s="75" t="s">
        <v>3186</v>
      </c>
      <c r="C331" s="75">
        <v>50.0</v>
      </c>
    </row>
    <row r="332">
      <c r="A332" s="75" t="s">
        <v>3456</v>
      </c>
      <c r="B332" s="75" t="s">
        <v>3189</v>
      </c>
      <c r="C332" s="75">
        <v>50.0</v>
      </c>
    </row>
    <row r="333">
      <c r="A333" s="75" t="s">
        <v>3456</v>
      </c>
      <c r="B333" s="75" t="s">
        <v>3195</v>
      </c>
      <c r="C333" s="75">
        <v>50.0</v>
      </c>
    </row>
    <row r="334">
      <c r="A334" s="75" t="s">
        <v>3457</v>
      </c>
      <c r="B334" s="75" t="s">
        <v>3191</v>
      </c>
      <c r="C334" s="75">
        <v>49.0</v>
      </c>
    </row>
    <row r="335">
      <c r="A335" s="75" t="s">
        <v>3457</v>
      </c>
      <c r="B335" s="75" t="s">
        <v>3187</v>
      </c>
      <c r="C335" s="75">
        <v>49.0</v>
      </c>
    </row>
    <row r="336">
      <c r="A336" s="75" t="s">
        <v>3458</v>
      </c>
      <c r="B336" s="75" t="s">
        <v>3191</v>
      </c>
      <c r="C336" s="75">
        <v>51.0</v>
      </c>
    </row>
    <row r="337">
      <c r="A337" s="75" t="s">
        <v>3459</v>
      </c>
      <c r="B337" s="75">
        <v>5017.0</v>
      </c>
      <c r="C337" s="75">
        <v>55.0</v>
      </c>
    </row>
    <row r="338">
      <c r="A338" s="75" t="s">
        <v>3460</v>
      </c>
      <c r="B338" s="75">
        <v>5473.0</v>
      </c>
      <c r="C338" s="75">
        <v>53.0</v>
      </c>
    </row>
    <row r="339">
      <c r="A339" s="75" t="s">
        <v>3461</v>
      </c>
      <c r="B339" s="75">
        <v>502613.0</v>
      </c>
      <c r="C339" s="75">
        <v>54.0</v>
      </c>
    </row>
    <row r="340">
      <c r="A340" s="75" t="s">
        <v>3461</v>
      </c>
      <c r="B340" s="75" t="s">
        <v>3462</v>
      </c>
      <c r="C340" s="75">
        <v>54.0</v>
      </c>
    </row>
    <row r="341">
      <c r="A341" s="75" t="s">
        <v>3461</v>
      </c>
      <c r="B341" s="75" t="s">
        <v>3463</v>
      </c>
      <c r="C341" s="75">
        <v>54.0</v>
      </c>
    </row>
    <row r="342">
      <c r="A342" s="75" t="s">
        <v>3464</v>
      </c>
      <c r="B342" s="75" t="s">
        <v>3465</v>
      </c>
      <c r="C342" s="75">
        <v>53.0</v>
      </c>
    </row>
    <row r="343">
      <c r="A343" s="75" t="s">
        <v>3466</v>
      </c>
      <c r="B343" s="75">
        <v>502613.0</v>
      </c>
      <c r="C343" s="75">
        <v>56.0</v>
      </c>
    </row>
    <row r="344">
      <c r="A344" s="75" t="s">
        <v>3467</v>
      </c>
      <c r="B344" s="75">
        <v>567771.0</v>
      </c>
      <c r="C344" s="75">
        <v>56.0</v>
      </c>
    </row>
    <row r="345">
      <c r="A345" s="75" t="s">
        <v>3468</v>
      </c>
      <c r="B345" s="75" t="s">
        <v>3195</v>
      </c>
      <c r="C345" s="75">
        <v>61.0</v>
      </c>
    </row>
    <row r="346">
      <c r="A346" s="75" t="s">
        <v>3469</v>
      </c>
      <c r="B346" s="75" t="s">
        <v>3186</v>
      </c>
      <c r="C346" s="75">
        <v>50.0</v>
      </c>
    </row>
    <row r="347">
      <c r="A347" s="75" t="s">
        <v>3470</v>
      </c>
      <c r="B347" s="75" t="s">
        <v>3186</v>
      </c>
      <c r="C347" s="75">
        <v>63.0</v>
      </c>
    </row>
    <row r="348">
      <c r="A348" s="75" t="s">
        <v>3471</v>
      </c>
      <c r="B348" s="75" t="s">
        <v>3186</v>
      </c>
      <c r="C348" s="75">
        <v>62.0</v>
      </c>
    </row>
    <row r="349">
      <c r="A349" s="75" t="s">
        <v>3471</v>
      </c>
      <c r="B349" s="75" t="s">
        <v>3187</v>
      </c>
      <c r="C349" s="75">
        <v>62.0</v>
      </c>
    </row>
    <row r="350">
      <c r="A350" s="75" t="s">
        <v>1235</v>
      </c>
      <c r="B350" s="75"/>
      <c r="C350" s="75"/>
    </row>
    <row r="351">
      <c r="A351" s="75" t="s">
        <v>643</v>
      </c>
      <c r="B351" s="75" t="s">
        <v>3472</v>
      </c>
      <c r="C351" s="75">
        <v>62.0</v>
      </c>
    </row>
    <row r="352">
      <c r="A352" s="75" t="s">
        <v>643</v>
      </c>
      <c r="B352" s="75" t="s">
        <v>3473</v>
      </c>
      <c r="C352" s="75">
        <v>58.0</v>
      </c>
    </row>
    <row r="353">
      <c r="A353" s="75" t="s">
        <v>643</v>
      </c>
      <c r="B353" s="75" t="s">
        <v>3474</v>
      </c>
      <c r="C353" s="75"/>
    </row>
    <row r="354">
      <c r="A354" s="75" t="s">
        <v>643</v>
      </c>
      <c r="B354" s="75" t="s">
        <v>3475</v>
      </c>
      <c r="C354" s="75" t="s">
        <v>1003</v>
      </c>
    </row>
    <row r="355">
      <c r="A355" s="75" t="s">
        <v>643</v>
      </c>
      <c r="B355" s="75" t="s">
        <v>3476</v>
      </c>
      <c r="C355" s="75" t="s">
        <v>1003</v>
      </c>
    </row>
    <row r="356">
      <c r="A356" s="75" t="s">
        <v>643</v>
      </c>
      <c r="B356" s="75" t="s">
        <v>3477</v>
      </c>
      <c r="C356" s="75">
        <v>64.0</v>
      </c>
    </row>
    <row r="357">
      <c r="A357" s="75" t="s">
        <v>643</v>
      </c>
      <c r="B357" s="75" t="s">
        <v>3478</v>
      </c>
      <c r="C357" s="75" t="s">
        <v>1003</v>
      </c>
    </row>
    <row r="358">
      <c r="A358" s="75" t="s">
        <v>643</v>
      </c>
      <c r="B358" s="75" t="s">
        <v>3479</v>
      </c>
      <c r="C358" s="75" t="s">
        <v>1003</v>
      </c>
    </row>
    <row r="359">
      <c r="A359" s="75" t="s">
        <v>643</v>
      </c>
      <c r="B359" s="75" t="s">
        <v>3480</v>
      </c>
      <c r="C359" s="75" t="s">
        <v>1003</v>
      </c>
    </row>
    <row r="360">
      <c r="A360" s="75" t="s">
        <v>643</v>
      </c>
      <c r="B360" s="75" t="s">
        <v>3481</v>
      </c>
      <c r="C360" s="75" t="s">
        <v>1003</v>
      </c>
    </row>
    <row r="361">
      <c r="A361" s="75" t="s">
        <v>643</v>
      </c>
      <c r="B361" s="75" t="s">
        <v>3482</v>
      </c>
      <c r="C361" s="75" t="s">
        <v>1003</v>
      </c>
    </row>
    <row r="362">
      <c r="A362" s="75" t="s">
        <v>643</v>
      </c>
      <c r="B362" s="75" t="s">
        <v>3483</v>
      </c>
      <c r="C362" s="75" t="s">
        <v>1003</v>
      </c>
    </row>
    <row r="363">
      <c r="A363" s="75" t="s">
        <v>643</v>
      </c>
      <c r="B363" s="75" t="s">
        <v>3484</v>
      </c>
      <c r="C363" s="75" t="s">
        <v>1003</v>
      </c>
    </row>
    <row r="364">
      <c r="A364" s="75" t="s">
        <v>643</v>
      </c>
      <c r="B364" s="75" t="s">
        <v>3485</v>
      </c>
      <c r="C364" s="75" t="s">
        <v>1003</v>
      </c>
    </row>
    <row r="365">
      <c r="A365" s="75" t="s">
        <v>643</v>
      </c>
      <c r="B365" s="75" t="s">
        <v>3486</v>
      </c>
      <c r="C365" s="75" t="s">
        <v>1003</v>
      </c>
    </row>
    <row r="366">
      <c r="A366" s="75" t="s">
        <v>643</v>
      </c>
      <c r="B366" s="75" t="s">
        <v>3487</v>
      </c>
      <c r="C366" s="75" t="s">
        <v>1003</v>
      </c>
    </row>
    <row r="367">
      <c r="A367" s="75" t="s">
        <v>643</v>
      </c>
      <c r="B367" s="75" t="s">
        <v>3488</v>
      </c>
      <c r="C367" s="75" t="s">
        <v>1003</v>
      </c>
    </row>
    <row r="368">
      <c r="A368" s="75" t="s">
        <v>643</v>
      </c>
      <c r="B368" s="75" t="s">
        <v>3489</v>
      </c>
      <c r="C368" s="75" t="s">
        <v>1003</v>
      </c>
    </row>
    <row r="369">
      <c r="A369" s="75" t="s">
        <v>643</v>
      </c>
      <c r="B369" s="75" t="s">
        <v>3490</v>
      </c>
      <c r="C369" s="75" t="s">
        <v>1003</v>
      </c>
    </row>
    <row r="370">
      <c r="A370" s="75" t="s">
        <v>643</v>
      </c>
      <c r="B370" s="75" t="s">
        <v>3491</v>
      </c>
      <c r="C370" s="75" t="s">
        <v>1003</v>
      </c>
    </row>
    <row r="371">
      <c r="A371" s="104" t="s">
        <v>643</v>
      </c>
      <c r="B371" s="104" t="s">
        <v>3492</v>
      </c>
      <c r="C371" s="104" t="s">
        <v>1003</v>
      </c>
    </row>
    <row r="372">
      <c r="A372" s="104" t="s">
        <v>643</v>
      </c>
      <c r="B372" s="104" t="s">
        <v>3493</v>
      </c>
      <c r="C372" s="104" t="s">
        <v>1003</v>
      </c>
    </row>
    <row r="373">
      <c r="A373" s="75" t="s">
        <v>643</v>
      </c>
      <c r="B373" s="75" t="s">
        <v>3494</v>
      </c>
      <c r="C373" s="75" t="s">
        <v>1003</v>
      </c>
    </row>
    <row r="374">
      <c r="A374" s="75" t="s">
        <v>643</v>
      </c>
      <c r="B374" s="75" t="s">
        <v>3495</v>
      </c>
      <c r="C374" s="75" t="s">
        <v>1003</v>
      </c>
    </row>
    <row r="375">
      <c r="A375" s="75" t="s">
        <v>643</v>
      </c>
      <c r="B375" s="75" t="s">
        <v>3496</v>
      </c>
      <c r="C375" s="75" t="s">
        <v>1003</v>
      </c>
    </row>
    <row r="376">
      <c r="A376" s="75" t="s">
        <v>643</v>
      </c>
      <c r="B376" s="75" t="s">
        <v>3497</v>
      </c>
      <c r="C376" s="75" t="s">
        <v>1003</v>
      </c>
    </row>
    <row r="377">
      <c r="A377" s="75" t="s">
        <v>643</v>
      </c>
      <c r="B377" s="75" t="s">
        <v>3498</v>
      </c>
      <c r="C377" s="75">
        <v>58.0</v>
      </c>
    </row>
    <row r="378">
      <c r="A378" s="75" t="s">
        <v>643</v>
      </c>
      <c r="B378" s="75" t="s">
        <v>3499</v>
      </c>
      <c r="C378" s="75" t="s">
        <v>1003</v>
      </c>
    </row>
    <row r="379">
      <c r="A379" s="75" t="s">
        <v>643</v>
      </c>
      <c r="B379" s="75" t="s">
        <v>3500</v>
      </c>
      <c r="C379" s="75" t="s">
        <v>1003</v>
      </c>
    </row>
    <row r="380">
      <c r="A380" s="75" t="s">
        <v>643</v>
      </c>
      <c r="B380" s="75" t="s">
        <v>3501</v>
      </c>
      <c r="C380" s="75" t="s">
        <v>1003</v>
      </c>
    </row>
    <row r="381">
      <c r="A381" s="75" t="s">
        <v>643</v>
      </c>
      <c r="B381" s="75" t="s">
        <v>3502</v>
      </c>
      <c r="C381" s="75" t="s">
        <v>1003</v>
      </c>
    </row>
    <row r="382">
      <c r="A382" s="75" t="s">
        <v>643</v>
      </c>
      <c r="B382" s="75" t="s">
        <v>3503</v>
      </c>
      <c r="C382" s="75" t="s">
        <v>1003</v>
      </c>
    </row>
    <row r="383">
      <c r="A383" s="75" t="s">
        <v>643</v>
      </c>
      <c r="B383" s="75" t="s">
        <v>3504</v>
      </c>
      <c r="C383" s="75" t="s">
        <v>1003</v>
      </c>
    </row>
    <row r="384">
      <c r="A384" s="75" t="s">
        <v>643</v>
      </c>
      <c r="B384" s="75" t="s">
        <v>3505</v>
      </c>
      <c r="C384" s="75" t="s">
        <v>1003</v>
      </c>
    </row>
    <row r="385">
      <c r="A385" s="75" t="s">
        <v>643</v>
      </c>
      <c r="B385" s="75" t="s">
        <v>3506</v>
      </c>
      <c r="C385" s="75" t="s">
        <v>1003</v>
      </c>
    </row>
    <row r="386">
      <c r="A386" s="75" t="s">
        <v>643</v>
      </c>
      <c r="B386" s="75" t="s">
        <v>3507</v>
      </c>
      <c r="C386" s="75" t="s">
        <v>1003</v>
      </c>
    </row>
    <row r="387">
      <c r="A387" s="75" t="s">
        <v>643</v>
      </c>
      <c r="B387" s="75" t="s">
        <v>3508</v>
      </c>
      <c r="C387" s="75" t="s">
        <v>1003</v>
      </c>
    </row>
    <row r="388">
      <c r="A388" s="75" t="s">
        <v>643</v>
      </c>
      <c r="B388" s="75" t="s">
        <v>3509</v>
      </c>
      <c r="C388" s="75" t="s">
        <v>1003</v>
      </c>
    </row>
    <row r="389">
      <c r="A389" s="75" t="s">
        <v>643</v>
      </c>
      <c r="B389" s="75" t="s">
        <v>3510</v>
      </c>
      <c r="C389" s="75" t="s">
        <v>1003</v>
      </c>
    </row>
    <row r="390">
      <c r="A390" s="75" t="s">
        <v>643</v>
      </c>
      <c r="B390" s="75" t="s">
        <v>3511</v>
      </c>
      <c r="C390" s="75" t="s">
        <v>1003</v>
      </c>
    </row>
    <row r="391">
      <c r="A391" s="75" t="s">
        <v>643</v>
      </c>
      <c r="B391" s="75" t="s">
        <v>3512</v>
      </c>
      <c r="C391" s="75" t="s">
        <v>1003</v>
      </c>
    </row>
    <row r="392">
      <c r="A392" s="75" t="s">
        <v>643</v>
      </c>
      <c r="B392" s="75" t="s">
        <v>3513</v>
      </c>
      <c r="C392" s="75" t="s">
        <v>1003</v>
      </c>
    </row>
    <row r="393">
      <c r="A393" s="75" t="s">
        <v>643</v>
      </c>
      <c r="B393" s="75" t="s">
        <v>3514</v>
      </c>
      <c r="C393" s="75" t="s">
        <v>1003</v>
      </c>
    </row>
    <row r="394">
      <c r="A394" s="75" t="s">
        <v>643</v>
      </c>
      <c r="B394" s="75" t="s">
        <v>3515</v>
      </c>
      <c r="C394" s="75" t="s">
        <v>1003</v>
      </c>
    </row>
    <row r="395">
      <c r="A395" s="75" t="s">
        <v>643</v>
      </c>
      <c r="B395" s="75" t="s">
        <v>3516</v>
      </c>
      <c r="C395" s="75" t="s">
        <v>1003</v>
      </c>
    </row>
    <row r="396">
      <c r="A396" s="75" t="s">
        <v>643</v>
      </c>
      <c r="B396" s="75" t="s">
        <v>3517</v>
      </c>
      <c r="C396" s="75" t="s">
        <v>1003</v>
      </c>
    </row>
    <row r="397">
      <c r="A397" s="75" t="s">
        <v>643</v>
      </c>
      <c r="B397" s="75" t="s">
        <v>3518</v>
      </c>
      <c r="C397" s="75">
        <v>54.0</v>
      </c>
    </row>
    <row r="398">
      <c r="A398" s="75" t="s">
        <v>643</v>
      </c>
      <c r="B398" s="75" t="s">
        <v>3519</v>
      </c>
      <c r="C398" s="75" t="s">
        <v>1003</v>
      </c>
    </row>
    <row r="399">
      <c r="A399" s="75" t="s">
        <v>3520</v>
      </c>
      <c r="B399" s="75" t="s">
        <v>3195</v>
      </c>
      <c r="C399" s="75">
        <v>53.0</v>
      </c>
    </row>
    <row r="400">
      <c r="A400" s="75" t="s">
        <v>3521</v>
      </c>
      <c r="B400" s="75" t="s">
        <v>3191</v>
      </c>
      <c r="C400" s="75">
        <v>52.0</v>
      </c>
    </row>
    <row r="401">
      <c r="A401" s="75" t="s">
        <v>3522</v>
      </c>
      <c r="B401" s="75" t="s">
        <v>3191</v>
      </c>
      <c r="C401" s="75">
        <v>54.0</v>
      </c>
    </row>
    <row r="402">
      <c r="A402" s="75" t="s">
        <v>3523</v>
      </c>
      <c r="B402" s="75" t="s">
        <v>3186</v>
      </c>
      <c r="C402" s="75">
        <v>50.0</v>
      </c>
    </row>
    <row r="403">
      <c r="A403" s="75" t="s">
        <v>3524</v>
      </c>
      <c r="B403" s="75" t="s">
        <v>3189</v>
      </c>
      <c r="C403" s="75">
        <v>51.0</v>
      </c>
    </row>
    <row r="404">
      <c r="A404" s="75" t="s">
        <v>3525</v>
      </c>
      <c r="B404" s="75" t="s">
        <v>3186</v>
      </c>
      <c r="C404" s="75">
        <v>51.0</v>
      </c>
    </row>
    <row r="405">
      <c r="A405" s="75" t="s">
        <v>3526</v>
      </c>
      <c r="B405" s="75" t="s">
        <v>3189</v>
      </c>
      <c r="C405" s="75">
        <v>51.0</v>
      </c>
    </row>
    <row r="406">
      <c r="A406" s="75" t="s">
        <v>3527</v>
      </c>
      <c r="B406" s="75" t="s">
        <v>3189</v>
      </c>
      <c r="C406" s="75">
        <v>52.0</v>
      </c>
    </row>
    <row r="407">
      <c r="A407" s="75" t="s">
        <v>3528</v>
      </c>
      <c r="B407" s="75" t="s">
        <v>3186</v>
      </c>
      <c r="C407" s="75">
        <v>53.0</v>
      </c>
    </row>
    <row r="408">
      <c r="A408" s="75" t="s">
        <v>3528</v>
      </c>
      <c r="B408" s="75" t="s">
        <v>3187</v>
      </c>
      <c r="C408" s="75">
        <v>53.0</v>
      </c>
    </row>
    <row r="409">
      <c r="A409" s="75" t="s">
        <v>3529</v>
      </c>
      <c r="B409" s="75" t="s">
        <v>3191</v>
      </c>
      <c r="C409" s="75">
        <v>51.0</v>
      </c>
    </row>
    <row r="410">
      <c r="A410" s="75" t="s">
        <v>3529</v>
      </c>
      <c r="B410" s="75" t="s">
        <v>3186</v>
      </c>
      <c r="C410" s="75">
        <v>51.0</v>
      </c>
    </row>
    <row r="411">
      <c r="A411" s="75" t="s">
        <v>3529</v>
      </c>
      <c r="B411" s="75" t="s">
        <v>3187</v>
      </c>
      <c r="C411" s="75">
        <v>51.0</v>
      </c>
    </row>
    <row r="412">
      <c r="A412" s="75" t="s">
        <v>3530</v>
      </c>
      <c r="B412" s="75" t="s">
        <v>3195</v>
      </c>
      <c r="C412" s="75">
        <v>52.0</v>
      </c>
    </row>
    <row r="413">
      <c r="A413" s="75" t="s">
        <v>3531</v>
      </c>
      <c r="B413" s="75" t="s">
        <v>3195</v>
      </c>
      <c r="C413" s="75">
        <v>53.0</v>
      </c>
    </row>
    <row r="414">
      <c r="A414" s="75" t="s">
        <v>3532</v>
      </c>
      <c r="B414" s="75" t="s">
        <v>3187</v>
      </c>
      <c r="C414" s="75">
        <v>52.0</v>
      </c>
    </row>
    <row r="415">
      <c r="A415" s="75" t="s">
        <v>3533</v>
      </c>
      <c r="B415" s="75" t="s">
        <v>3187</v>
      </c>
      <c r="C415" s="75">
        <v>54.0</v>
      </c>
    </row>
    <row r="416">
      <c r="A416" s="75" t="s">
        <v>3534</v>
      </c>
      <c r="B416" s="75" t="s">
        <v>3189</v>
      </c>
      <c r="C416" s="75">
        <v>50.0</v>
      </c>
    </row>
    <row r="417">
      <c r="A417" s="75" t="s">
        <v>3534</v>
      </c>
      <c r="B417" s="75" t="s">
        <v>3187</v>
      </c>
      <c r="C417" s="75" t="s">
        <v>1003</v>
      </c>
    </row>
    <row r="418">
      <c r="A418" s="75" t="s">
        <v>3535</v>
      </c>
      <c r="B418" s="75" t="s">
        <v>3189</v>
      </c>
      <c r="C418" s="75">
        <v>52.0</v>
      </c>
    </row>
    <row r="419">
      <c r="A419" s="75" t="s">
        <v>3536</v>
      </c>
      <c r="B419" s="75" t="s">
        <v>3189</v>
      </c>
      <c r="C419" s="75">
        <v>54.0</v>
      </c>
    </row>
    <row r="420">
      <c r="A420" s="75" t="s">
        <v>3537</v>
      </c>
      <c r="B420" s="75" t="s">
        <v>3189</v>
      </c>
      <c r="C420" s="75">
        <v>53.0</v>
      </c>
    </row>
    <row r="421">
      <c r="A421" s="75" t="s">
        <v>3538</v>
      </c>
      <c r="B421" s="75" t="s">
        <v>3186</v>
      </c>
      <c r="C421" s="75">
        <v>48.0</v>
      </c>
    </row>
    <row r="422">
      <c r="A422" s="75" t="s">
        <v>3538</v>
      </c>
      <c r="B422" s="75" t="s">
        <v>3189</v>
      </c>
      <c r="C422" s="75">
        <v>48.0</v>
      </c>
    </row>
    <row r="423">
      <c r="A423" s="75" t="s">
        <v>3539</v>
      </c>
      <c r="B423" s="75" t="s">
        <v>3191</v>
      </c>
      <c r="C423" s="75">
        <v>49.0</v>
      </c>
    </row>
    <row r="424">
      <c r="A424" s="75" t="s">
        <v>3539</v>
      </c>
      <c r="B424" s="75" t="s">
        <v>3186</v>
      </c>
      <c r="C424" s="75">
        <v>49.0</v>
      </c>
    </row>
    <row r="425">
      <c r="A425" s="75" t="s">
        <v>3539</v>
      </c>
      <c r="B425" s="75" t="s">
        <v>3187</v>
      </c>
      <c r="C425" s="75">
        <v>49.0</v>
      </c>
    </row>
    <row r="426">
      <c r="A426" s="75" t="s">
        <v>3540</v>
      </c>
      <c r="B426" s="75" t="s">
        <v>3191</v>
      </c>
      <c r="C426" s="75">
        <v>52.0</v>
      </c>
    </row>
    <row r="427">
      <c r="A427" s="75" t="s">
        <v>3540</v>
      </c>
      <c r="B427" s="75" t="s">
        <v>3195</v>
      </c>
      <c r="C427" s="75">
        <v>52.0</v>
      </c>
    </row>
    <row r="428">
      <c r="A428" s="75" t="s">
        <v>3541</v>
      </c>
      <c r="B428" s="75" t="s">
        <v>3191</v>
      </c>
      <c r="C428" s="75">
        <v>47.0</v>
      </c>
    </row>
    <row r="429">
      <c r="A429" s="75" t="s">
        <v>3541</v>
      </c>
      <c r="B429" s="75" t="s">
        <v>3186</v>
      </c>
      <c r="C429" s="75">
        <v>47.0</v>
      </c>
    </row>
    <row r="430">
      <c r="A430" s="75" t="s">
        <v>3542</v>
      </c>
      <c r="B430" s="75" t="s">
        <v>3191</v>
      </c>
      <c r="C430" s="75">
        <v>52.0</v>
      </c>
    </row>
    <row r="431">
      <c r="A431" s="75" t="s">
        <v>3542</v>
      </c>
      <c r="B431" s="75" t="s">
        <v>3187</v>
      </c>
      <c r="C431" s="75">
        <v>52.0</v>
      </c>
    </row>
    <row r="432">
      <c r="A432" s="75" t="s">
        <v>3543</v>
      </c>
      <c r="B432" s="75" t="s">
        <v>3189</v>
      </c>
      <c r="C432" s="75">
        <v>50.0</v>
      </c>
    </row>
    <row r="433">
      <c r="A433" s="75" t="s">
        <v>3544</v>
      </c>
      <c r="B433" s="75" t="s">
        <v>3186</v>
      </c>
      <c r="C433" s="75">
        <v>54.0</v>
      </c>
    </row>
    <row r="434">
      <c r="A434" s="75" t="s">
        <v>3544</v>
      </c>
      <c r="B434" s="75" t="s">
        <v>3195</v>
      </c>
      <c r="C434" s="75">
        <v>54.0</v>
      </c>
    </row>
    <row r="435">
      <c r="A435" s="75" t="s">
        <v>3545</v>
      </c>
      <c r="B435" s="75" t="s">
        <v>3287</v>
      </c>
      <c r="C435" s="75">
        <v>48.0</v>
      </c>
    </row>
    <row r="436">
      <c r="A436" s="75" t="s">
        <v>3546</v>
      </c>
      <c r="B436" s="75" t="s">
        <v>3187</v>
      </c>
      <c r="C436" s="75">
        <v>53.0</v>
      </c>
    </row>
    <row r="437">
      <c r="A437" s="75" t="s">
        <v>3547</v>
      </c>
      <c r="B437" s="75" t="s">
        <v>3187</v>
      </c>
      <c r="C437" s="75">
        <v>51.0</v>
      </c>
    </row>
    <row r="438">
      <c r="A438" s="75" t="s">
        <v>3547</v>
      </c>
      <c r="B438" s="75" t="s">
        <v>3548</v>
      </c>
      <c r="C438" s="75">
        <v>51.0</v>
      </c>
    </row>
    <row r="439">
      <c r="A439" s="75" t="s">
        <v>3549</v>
      </c>
      <c r="B439" s="75" t="s">
        <v>3191</v>
      </c>
      <c r="C439" s="75">
        <v>51.0</v>
      </c>
    </row>
    <row r="440">
      <c r="A440" s="75" t="s">
        <v>3549</v>
      </c>
      <c r="B440" s="75" t="s">
        <v>3187</v>
      </c>
      <c r="C440" s="75">
        <v>51.0</v>
      </c>
    </row>
    <row r="441">
      <c r="A441" s="75" t="s">
        <v>3549</v>
      </c>
      <c r="B441" s="75" t="s">
        <v>3195</v>
      </c>
      <c r="C441" s="75">
        <v>51.0</v>
      </c>
    </row>
    <row r="442">
      <c r="A442" s="75" t="s">
        <v>3549</v>
      </c>
      <c r="B442" s="75" t="s">
        <v>3196</v>
      </c>
      <c r="C442" s="75">
        <v>51.0</v>
      </c>
    </row>
    <row r="443">
      <c r="A443" s="75" t="s">
        <v>3550</v>
      </c>
      <c r="B443" s="75" t="s">
        <v>3189</v>
      </c>
      <c r="C443" s="75">
        <v>51.0</v>
      </c>
    </row>
    <row r="444">
      <c r="A444" s="75" t="s">
        <v>3551</v>
      </c>
      <c r="B444" s="75" t="s">
        <v>3196</v>
      </c>
      <c r="C444" s="75">
        <v>50.0</v>
      </c>
    </row>
    <row r="445">
      <c r="A445" s="75" t="s">
        <v>3552</v>
      </c>
      <c r="B445" s="75" t="s">
        <v>3187</v>
      </c>
      <c r="C445" s="75">
        <v>50.0</v>
      </c>
    </row>
    <row r="446">
      <c r="A446" s="75" t="s">
        <v>3553</v>
      </c>
      <c r="B446" s="75" t="s">
        <v>3191</v>
      </c>
      <c r="C446" s="75">
        <v>51.0</v>
      </c>
    </row>
    <row r="447">
      <c r="A447" s="75" t="s">
        <v>3553</v>
      </c>
      <c r="B447" s="75" t="s">
        <v>3196</v>
      </c>
      <c r="C447" s="75">
        <v>51.0</v>
      </c>
    </row>
    <row r="448">
      <c r="A448" s="75" t="s">
        <v>3554</v>
      </c>
      <c r="B448" s="75" t="s">
        <v>3191</v>
      </c>
      <c r="C448" s="75">
        <v>53.0</v>
      </c>
    </row>
    <row r="449">
      <c r="A449" s="75" t="s">
        <v>3554</v>
      </c>
      <c r="B449" s="75" t="s">
        <v>3187</v>
      </c>
      <c r="C449" s="75">
        <v>53.0</v>
      </c>
    </row>
    <row r="450">
      <c r="A450" s="108" t="s">
        <v>3555</v>
      </c>
      <c r="B450" s="108" t="s">
        <v>3186</v>
      </c>
      <c r="C450" s="108">
        <v>51.0</v>
      </c>
    </row>
    <row r="451">
      <c r="A451" s="75" t="s">
        <v>3555</v>
      </c>
      <c r="B451" s="75" t="s">
        <v>3195</v>
      </c>
      <c r="C451" s="75">
        <v>51.0</v>
      </c>
    </row>
    <row r="452">
      <c r="A452" s="75" t="s">
        <v>3556</v>
      </c>
      <c r="B452" s="75" t="s">
        <v>3186</v>
      </c>
      <c r="C452" s="75">
        <v>53.0</v>
      </c>
    </row>
    <row r="453">
      <c r="A453" s="75" t="s">
        <v>3557</v>
      </c>
      <c r="B453" s="75" t="s">
        <v>3191</v>
      </c>
      <c r="C453" s="75">
        <v>50.0</v>
      </c>
    </row>
    <row r="454">
      <c r="A454" s="75" t="s">
        <v>3557</v>
      </c>
      <c r="B454" s="75" t="s">
        <v>3186</v>
      </c>
      <c r="C454" s="75">
        <v>50.0</v>
      </c>
    </row>
    <row r="455">
      <c r="A455" s="75" t="s">
        <v>3557</v>
      </c>
      <c r="B455" s="75" t="s">
        <v>3189</v>
      </c>
      <c r="C455" s="75">
        <v>50.0</v>
      </c>
    </row>
    <row r="456">
      <c r="A456" s="75" t="s">
        <v>3557</v>
      </c>
      <c r="B456" s="75" t="s">
        <v>3187</v>
      </c>
      <c r="C456" s="75">
        <v>50.0</v>
      </c>
    </row>
    <row r="457">
      <c r="A457" s="75" t="s">
        <v>3557</v>
      </c>
      <c r="B457" s="75" t="s">
        <v>3195</v>
      </c>
      <c r="C457" s="75">
        <v>50.0</v>
      </c>
    </row>
    <row r="458">
      <c r="A458" s="75" t="s">
        <v>3558</v>
      </c>
      <c r="B458" s="75" t="s">
        <v>3186</v>
      </c>
      <c r="C458" s="75">
        <v>51.0</v>
      </c>
    </row>
    <row r="459">
      <c r="A459" s="75" t="s">
        <v>3558</v>
      </c>
      <c r="B459" s="75" t="s">
        <v>3195</v>
      </c>
      <c r="C459" s="75">
        <v>51.0</v>
      </c>
    </row>
    <row r="460">
      <c r="A460" s="75" t="s">
        <v>3559</v>
      </c>
      <c r="B460" s="75" t="s">
        <v>3191</v>
      </c>
      <c r="C460" s="75">
        <v>51.0</v>
      </c>
    </row>
    <row r="461">
      <c r="A461" s="75" t="s">
        <v>3560</v>
      </c>
      <c r="B461" s="75" t="s">
        <v>3191</v>
      </c>
      <c r="C461" s="75">
        <v>51.0</v>
      </c>
    </row>
    <row r="462">
      <c r="A462" s="75" t="s">
        <v>3561</v>
      </c>
      <c r="B462" s="75" t="s">
        <v>3186</v>
      </c>
      <c r="C462" s="75">
        <v>51.0</v>
      </c>
    </row>
    <row r="463">
      <c r="A463" s="109" t="s">
        <v>3561</v>
      </c>
      <c r="B463" s="109" t="s">
        <v>3189</v>
      </c>
      <c r="C463" s="109">
        <v>51.0</v>
      </c>
    </row>
    <row r="464">
      <c r="A464" s="75" t="s">
        <v>3562</v>
      </c>
      <c r="B464" s="75" t="s">
        <v>3191</v>
      </c>
      <c r="C464" s="75">
        <v>49.0</v>
      </c>
    </row>
    <row r="465">
      <c r="A465" s="75" t="s">
        <v>3562</v>
      </c>
      <c r="B465" s="75" t="s">
        <v>3186</v>
      </c>
      <c r="C465" s="75">
        <v>49.0</v>
      </c>
    </row>
    <row r="466">
      <c r="A466" s="75" t="s">
        <v>3563</v>
      </c>
      <c r="B466" s="75" t="s">
        <v>3191</v>
      </c>
      <c r="C466" s="75">
        <v>53.0</v>
      </c>
    </row>
    <row r="467">
      <c r="A467" s="75" t="s">
        <v>3563</v>
      </c>
      <c r="B467" s="75" t="s">
        <v>3186</v>
      </c>
      <c r="C467" s="75">
        <v>53.0</v>
      </c>
    </row>
    <row r="468">
      <c r="A468" s="75" t="s">
        <v>3563</v>
      </c>
      <c r="B468" s="75" t="s">
        <v>3189</v>
      </c>
      <c r="C468" s="75">
        <v>53.0</v>
      </c>
    </row>
    <row r="469">
      <c r="A469" s="75" t="s">
        <v>3563</v>
      </c>
      <c r="B469" s="75" t="s">
        <v>3187</v>
      </c>
      <c r="C469" s="75">
        <v>53.0</v>
      </c>
    </row>
    <row r="470">
      <c r="A470" s="75" t="s">
        <v>3563</v>
      </c>
      <c r="B470" s="75" t="s">
        <v>3195</v>
      </c>
      <c r="C470" s="75">
        <v>53.0</v>
      </c>
    </row>
    <row r="471">
      <c r="A471" s="75" t="s">
        <v>3563</v>
      </c>
      <c r="B471" s="75" t="s">
        <v>3196</v>
      </c>
      <c r="C471" s="75">
        <v>53.0</v>
      </c>
    </row>
    <row r="472">
      <c r="A472" s="75" t="s">
        <v>3563</v>
      </c>
      <c r="B472" s="75" t="s">
        <v>3287</v>
      </c>
      <c r="C472" s="75">
        <v>53.0</v>
      </c>
    </row>
    <row r="473">
      <c r="A473" s="75" t="s">
        <v>3564</v>
      </c>
      <c r="B473" s="75" t="s">
        <v>3191</v>
      </c>
      <c r="C473" s="75">
        <v>53.0</v>
      </c>
    </row>
    <row r="474">
      <c r="A474" s="75" t="s">
        <v>3564</v>
      </c>
      <c r="B474" s="75" t="s">
        <v>3187</v>
      </c>
      <c r="C474" s="75">
        <v>53.0</v>
      </c>
    </row>
    <row r="475">
      <c r="A475" s="75" t="s">
        <v>3564</v>
      </c>
      <c r="B475" s="75" t="s">
        <v>3195</v>
      </c>
      <c r="C475" s="75">
        <v>53.0</v>
      </c>
    </row>
    <row r="476">
      <c r="A476" s="75" t="s">
        <v>3564</v>
      </c>
      <c r="B476" s="75" t="s">
        <v>3287</v>
      </c>
      <c r="C476" s="75">
        <v>53.0</v>
      </c>
    </row>
    <row r="477">
      <c r="A477" s="75" t="s">
        <v>3565</v>
      </c>
      <c r="B477" s="75" t="s">
        <v>3189</v>
      </c>
      <c r="C477" s="75">
        <v>54.0</v>
      </c>
    </row>
    <row r="478">
      <c r="A478" s="75" t="s">
        <v>3566</v>
      </c>
      <c r="B478" s="75" t="s">
        <v>3191</v>
      </c>
      <c r="C478" s="75">
        <v>52.0</v>
      </c>
    </row>
    <row r="479">
      <c r="A479" s="75" t="s">
        <v>3566</v>
      </c>
      <c r="B479" s="75" t="s">
        <v>3196</v>
      </c>
      <c r="C479" s="75">
        <v>52.0</v>
      </c>
    </row>
    <row r="480">
      <c r="A480" s="75" t="s">
        <v>3566</v>
      </c>
      <c r="B480" s="75" t="s">
        <v>3287</v>
      </c>
      <c r="C480" s="75">
        <v>52.0</v>
      </c>
    </row>
    <row r="481">
      <c r="A481" s="75" t="s">
        <v>3567</v>
      </c>
      <c r="B481" s="75" t="s">
        <v>3191</v>
      </c>
      <c r="C481" s="75">
        <v>54.0</v>
      </c>
    </row>
    <row r="482">
      <c r="A482" s="75" t="s">
        <v>3567</v>
      </c>
      <c r="B482" s="75" t="s">
        <v>3186</v>
      </c>
      <c r="C482" s="75">
        <v>54.0</v>
      </c>
    </row>
    <row r="483">
      <c r="A483" s="75" t="s">
        <v>3567</v>
      </c>
      <c r="B483" s="75" t="s">
        <v>3195</v>
      </c>
      <c r="C483" s="75">
        <v>54.0</v>
      </c>
    </row>
    <row r="484">
      <c r="A484" s="75" t="s">
        <v>3567</v>
      </c>
      <c r="B484" s="75" t="s">
        <v>3196</v>
      </c>
      <c r="C484" s="75">
        <v>54.0</v>
      </c>
    </row>
    <row r="485">
      <c r="A485" s="75" t="s">
        <v>3568</v>
      </c>
      <c r="B485" s="75" t="s">
        <v>3189</v>
      </c>
      <c r="C485" s="75">
        <v>52.0</v>
      </c>
    </row>
    <row r="486">
      <c r="A486" s="75" t="s">
        <v>3568</v>
      </c>
      <c r="B486" s="75" t="s">
        <v>3187</v>
      </c>
      <c r="C486" s="75">
        <v>52.0</v>
      </c>
    </row>
    <row r="487">
      <c r="A487" s="75" t="s">
        <v>3568</v>
      </c>
      <c r="B487" s="75" t="s">
        <v>3196</v>
      </c>
      <c r="C487" s="75">
        <v>52.0</v>
      </c>
    </row>
    <row r="488">
      <c r="A488" s="75" t="s">
        <v>3569</v>
      </c>
      <c r="B488" s="75" t="s">
        <v>3186</v>
      </c>
      <c r="C488" s="75">
        <v>51.0</v>
      </c>
    </row>
    <row r="489">
      <c r="A489" s="75" t="s">
        <v>3569</v>
      </c>
      <c r="B489" s="75" t="s">
        <v>3189</v>
      </c>
      <c r="C489" s="75">
        <v>51.0</v>
      </c>
    </row>
    <row r="490">
      <c r="A490" s="75" t="s">
        <v>3569</v>
      </c>
      <c r="B490" s="75" t="s">
        <v>3187</v>
      </c>
      <c r="C490" s="75">
        <v>51.0</v>
      </c>
    </row>
    <row r="491">
      <c r="A491" s="75" t="s">
        <v>3569</v>
      </c>
      <c r="B491" s="75" t="s">
        <v>3195</v>
      </c>
      <c r="C491" s="75">
        <v>51.0</v>
      </c>
    </row>
    <row r="492">
      <c r="A492" s="75" t="s">
        <v>3569</v>
      </c>
      <c r="B492" s="75" t="s">
        <v>3196</v>
      </c>
      <c r="C492" s="75">
        <v>51.0</v>
      </c>
    </row>
    <row r="493">
      <c r="A493" s="75" t="s">
        <v>3570</v>
      </c>
      <c r="B493" s="75" t="s">
        <v>3191</v>
      </c>
      <c r="C493" s="75">
        <v>51.0</v>
      </c>
    </row>
    <row r="494">
      <c r="A494" s="75" t="s">
        <v>3570</v>
      </c>
      <c r="B494" s="75" t="s">
        <v>3187</v>
      </c>
      <c r="C494" s="75">
        <v>51.0</v>
      </c>
    </row>
    <row r="495">
      <c r="A495" s="75" t="s">
        <v>3570</v>
      </c>
      <c r="B495" s="75" t="s">
        <v>3195</v>
      </c>
      <c r="C495" s="75">
        <v>51.0</v>
      </c>
    </row>
    <row r="496">
      <c r="A496" s="75" t="s">
        <v>3571</v>
      </c>
      <c r="B496" s="75" t="s">
        <v>3195</v>
      </c>
      <c r="C496" s="75">
        <v>51.0</v>
      </c>
    </row>
    <row r="497">
      <c r="A497" s="75" t="s">
        <v>3572</v>
      </c>
      <c r="B497" s="75" t="s">
        <v>3196</v>
      </c>
      <c r="C497" s="75">
        <v>52.0</v>
      </c>
    </row>
    <row r="498">
      <c r="A498" s="75" t="s">
        <v>3573</v>
      </c>
      <c r="B498" s="75" t="s">
        <v>3187</v>
      </c>
      <c r="C498" s="75">
        <v>53.0</v>
      </c>
    </row>
    <row r="499">
      <c r="A499" s="75" t="s">
        <v>3574</v>
      </c>
      <c r="B499" s="75" t="s">
        <v>3186</v>
      </c>
      <c r="C499" s="75">
        <v>54.0</v>
      </c>
    </row>
    <row r="500">
      <c r="A500" s="75" t="s">
        <v>3574</v>
      </c>
      <c r="B500" s="75" t="s">
        <v>3189</v>
      </c>
      <c r="C500" s="75">
        <v>54.0</v>
      </c>
    </row>
    <row r="501">
      <c r="A501" s="75" t="s">
        <v>3574</v>
      </c>
      <c r="B501" s="75" t="s">
        <v>3187</v>
      </c>
      <c r="C501" s="75">
        <v>54.0</v>
      </c>
    </row>
    <row r="502">
      <c r="A502" s="75" t="s">
        <v>3574</v>
      </c>
      <c r="B502" s="75" t="s">
        <v>3195</v>
      </c>
      <c r="C502" s="75">
        <v>54.0</v>
      </c>
    </row>
    <row r="503">
      <c r="A503" s="75" t="s">
        <v>3575</v>
      </c>
      <c r="B503" s="75" t="s">
        <v>3191</v>
      </c>
      <c r="C503" s="75">
        <v>54.0</v>
      </c>
    </row>
    <row r="504">
      <c r="A504" s="75" t="s">
        <v>3575</v>
      </c>
      <c r="B504" s="75" t="s">
        <v>3186</v>
      </c>
      <c r="C504" s="75">
        <v>54.0</v>
      </c>
    </row>
    <row r="505">
      <c r="A505" s="75" t="s">
        <v>3575</v>
      </c>
      <c r="B505" s="75" t="s">
        <v>3187</v>
      </c>
      <c r="C505" s="75">
        <v>54.0</v>
      </c>
    </row>
    <row r="506">
      <c r="A506" s="75" t="s">
        <v>3575</v>
      </c>
      <c r="B506" s="75" t="s">
        <v>3195</v>
      </c>
      <c r="C506" s="75">
        <v>54.0</v>
      </c>
    </row>
    <row r="507">
      <c r="A507" s="75" t="s">
        <v>3575</v>
      </c>
      <c r="B507" s="75" t="s">
        <v>3196</v>
      </c>
      <c r="C507" s="75">
        <v>54.0</v>
      </c>
    </row>
    <row r="508">
      <c r="A508" s="75" t="s">
        <v>3576</v>
      </c>
      <c r="B508" s="75" t="s">
        <v>3191</v>
      </c>
      <c r="C508" s="75">
        <v>51.0</v>
      </c>
    </row>
    <row r="509">
      <c r="A509" s="75" t="s">
        <v>3576</v>
      </c>
      <c r="B509" s="75" t="s">
        <v>3191</v>
      </c>
      <c r="C509" s="75">
        <v>54.0</v>
      </c>
    </row>
    <row r="510">
      <c r="A510" s="75" t="s">
        <v>3576</v>
      </c>
      <c r="B510" s="75" t="s">
        <v>3186</v>
      </c>
      <c r="C510" s="75">
        <v>54.0</v>
      </c>
    </row>
    <row r="511">
      <c r="A511" s="75" t="s">
        <v>3576</v>
      </c>
      <c r="B511" s="75" t="s">
        <v>3189</v>
      </c>
      <c r="C511" s="75">
        <v>54.0</v>
      </c>
    </row>
    <row r="512">
      <c r="A512" s="75" t="s">
        <v>3576</v>
      </c>
      <c r="B512" s="75" t="s">
        <v>3187</v>
      </c>
      <c r="C512" s="75">
        <v>54.0</v>
      </c>
    </row>
    <row r="513">
      <c r="A513" s="75" t="s">
        <v>3576</v>
      </c>
      <c r="B513" s="75" t="s">
        <v>3195</v>
      </c>
      <c r="C513" s="75">
        <v>54.0</v>
      </c>
    </row>
    <row r="514">
      <c r="A514" s="75" t="s">
        <v>3576</v>
      </c>
      <c r="B514" s="75" t="s">
        <v>3196</v>
      </c>
      <c r="C514" s="75">
        <v>54.0</v>
      </c>
    </row>
    <row r="515">
      <c r="A515" s="75" t="s">
        <v>3576</v>
      </c>
      <c r="B515" s="75" t="s">
        <v>3287</v>
      </c>
      <c r="C515" s="75">
        <v>54.0</v>
      </c>
    </row>
    <row r="516">
      <c r="A516" s="75" t="s">
        <v>3577</v>
      </c>
      <c r="B516" s="75" t="s">
        <v>3191</v>
      </c>
      <c r="C516" s="75">
        <v>55.0</v>
      </c>
    </row>
    <row r="517">
      <c r="A517" s="75" t="s">
        <v>3577</v>
      </c>
      <c r="B517" s="75" t="s">
        <v>3186</v>
      </c>
      <c r="C517" s="75">
        <v>55.0</v>
      </c>
    </row>
    <row r="518">
      <c r="A518" s="75" t="s">
        <v>3577</v>
      </c>
      <c r="B518" s="75" t="s">
        <v>3189</v>
      </c>
      <c r="C518" s="75">
        <v>55.0</v>
      </c>
    </row>
    <row r="519">
      <c r="A519" s="75" t="s">
        <v>3577</v>
      </c>
      <c r="B519" s="75" t="s">
        <v>3187</v>
      </c>
      <c r="C519" s="75">
        <v>55.0</v>
      </c>
    </row>
    <row r="520">
      <c r="A520" s="75" t="s">
        <v>3577</v>
      </c>
      <c r="B520" s="75" t="s">
        <v>3195</v>
      </c>
      <c r="C520" s="75">
        <v>55.0</v>
      </c>
    </row>
    <row r="521">
      <c r="A521" s="75" t="s">
        <v>3577</v>
      </c>
      <c r="B521" s="75" t="s">
        <v>3196</v>
      </c>
      <c r="C521" s="75">
        <v>55.0</v>
      </c>
    </row>
    <row r="522">
      <c r="A522" s="75" t="s">
        <v>3577</v>
      </c>
      <c r="B522" s="75" t="s">
        <v>3287</v>
      </c>
      <c r="C522" s="75">
        <v>55.0</v>
      </c>
    </row>
    <row r="523">
      <c r="A523" s="75" t="s">
        <v>3578</v>
      </c>
      <c r="B523" s="75" t="s">
        <v>3186</v>
      </c>
      <c r="C523" s="75">
        <v>53.0</v>
      </c>
    </row>
    <row r="524">
      <c r="A524" s="75" t="s">
        <v>3578</v>
      </c>
      <c r="B524" s="75" t="s">
        <v>3195</v>
      </c>
      <c r="C524" s="75">
        <v>53.0</v>
      </c>
    </row>
    <row r="525">
      <c r="A525" s="75" t="s">
        <v>3578</v>
      </c>
      <c r="B525" s="75" t="s">
        <v>3196</v>
      </c>
      <c r="C525" s="75">
        <v>53.0</v>
      </c>
    </row>
    <row r="526">
      <c r="A526" s="75" t="s">
        <v>3579</v>
      </c>
      <c r="B526" s="75" t="s">
        <v>3189</v>
      </c>
      <c r="C526" s="75">
        <v>51.0</v>
      </c>
    </row>
    <row r="527">
      <c r="A527" s="75" t="s">
        <v>3579</v>
      </c>
      <c r="B527" s="75" t="s">
        <v>3187</v>
      </c>
      <c r="C527" s="75">
        <v>51.0</v>
      </c>
    </row>
    <row r="528">
      <c r="A528" s="75" t="s">
        <v>3580</v>
      </c>
      <c r="B528" s="75" t="s">
        <v>3191</v>
      </c>
      <c r="C528" s="75">
        <v>55.0</v>
      </c>
    </row>
    <row r="529">
      <c r="A529" s="75" t="s">
        <v>3581</v>
      </c>
      <c r="B529" s="75" t="s">
        <v>3191</v>
      </c>
      <c r="C529" s="75">
        <v>50.0</v>
      </c>
    </row>
    <row r="530">
      <c r="A530" s="75" t="s">
        <v>3582</v>
      </c>
      <c r="B530" s="75" t="s">
        <v>3189</v>
      </c>
      <c r="C530" s="75">
        <v>52.0</v>
      </c>
    </row>
    <row r="531">
      <c r="A531" s="75" t="s">
        <v>3583</v>
      </c>
      <c r="B531" s="75" t="s">
        <v>3191</v>
      </c>
      <c r="C531" s="75">
        <v>53.0</v>
      </c>
    </row>
    <row r="532">
      <c r="A532" s="75" t="s">
        <v>3584</v>
      </c>
      <c r="B532" s="75" t="s">
        <v>3191</v>
      </c>
      <c r="C532" s="75">
        <v>52.0</v>
      </c>
    </row>
    <row r="533">
      <c r="A533" s="75" t="s">
        <v>3584</v>
      </c>
      <c r="B533" s="75" t="s">
        <v>3189</v>
      </c>
      <c r="C533" s="75">
        <v>52.0</v>
      </c>
    </row>
    <row r="534">
      <c r="A534" s="75" t="s">
        <v>3585</v>
      </c>
      <c r="B534" s="75" t="s">
        <v>3187</v>
      </c>
      <c r="C534" s="75">
        <v>53.0</v>
      </c>
    </row>
    <row r="535">
      <c r="A535" s="75" t="s">
        <v>3586</v>
      </c>
      <c r="B535" s="75" t="s">
        <v>3191</v>
      </c>
      <c r="C535" s="75">
        <v>52.0</v>
      </c>
    </row>
    <row r="536">
      <c r="A536" s="75" t="s">
        <v>3587</v>
      </c>
      <c r="B536" s="75" t="s">
        <v>3191</v>
      </c>
      <c r="C536" s="75" t="s">
        <v>1003</v>
      </c>
    </row>
    <row r="537">
      <c r="A537" s="75" t="s">
        <v>3588</v>
      </c>
      <c r="B537" s="75" t="s">
        <v>3189</v>
      </c>
      <c r="C537" s="75">
        <v>52.0</v>
      </c>
    </row>
    <row r="538">
      <c r="A538" s="75" t="s">
        <v>3589</v>
      </c>
      <c r="B538" s="75" t="s">
        <v>3187</v>
      </c>
      <c r="C538" s="75">
        <v>50.0</v>
      </c>
    </row>
    <row r="539">
      <c r="A539" s="75" t="s">
        <v>3590</v>
      </c>
      <c r="B539" s="75" t="s">
        <v>3186</v>
      </c>
      <c r="C539" s="75">
        <v>52.0</v>
      </c>
    </row>
    <row r="540">
      <c r="A540" s="75" t="s">
        <v>3591</v>
      </c>
      <c r="B540" s="75" t="s">
        <v>3186</v>
      </c>
      <c r="C540" s="75">
        <v>51.0</v>
      </c>
    </row>
    <row r="541">
      <c r="A541" s="75" t="s">
        <v>3592</v>
      </c>
      <c r="B541" s="75" t="s">
        <v>3186</v>
      </c>
      <c r="C541" s="75">
        <v>51.0</v>
      </c>
    </row>
    <row r="542">
      <c r="A542" s="75" t="s">
        <v>3593</v>
      </c>
      <c r="B542" s="75" t="s">
        <v>3191</v>
      </c>
      <c r="C542" s="75">
        <v>50.0</v>
      </c>
    </row>
    <row r="543">
      <c r="A543" s="75" t="s">
        <v>3594</v>
      </c>
      <c r="B543" s="75" t="s">
        <v>3186</v>
      </c>
      <c r="C543" s="75">
        <v>46.0</v>
      </c>
    </row>
    <row r="544">
      <c r="A544" s="75" t="s">
        <v>3595</v>
      </c>
      <c r="B544" s="75" t="s">
        <v>3191</v>
      </c>
      <c r="C544" s="75">
        <v>50.0</v>
      </c>
    </row>
    <row r="545">
      <c r="A545" s="75" t="s">
        <v>3596</v>
      </c>
      <c r="B545" s="75" t="s">
        <v>3597</v>
      </c>
      <c r="C545" s="75" t="s">
        <v>1003</v>
      </c>
    </row>
    <row r="546">
      <c r="A546" s="75" t="s">
        <v>3598</v>
      </c>
      <c r="B546" s="75" t="s">
        <v>3196</v>
      </c>
      <c r="C546" s="75">
        <v>54.0</v>
      </c>
    </row>
    <row r="547">
      <c r="A547" s="75" t="s">
        <v>3599</v>
      </c>
      <c r="B547" s="75" t="s">
        <v>3186</v>
      </c>
      <c r="C547" s="75">
        <v>59.0</v>
      </c>
    </row>
    <row r="548">
      <c r="A548" s="75" t="s">
        <v>3600</v>
      </c>
      <c r="B548" s="75" t="s">
        <v>3601</v>
      </c>
      <c r="C548" s="75">
        <v>58.0</v>
      </c>
    </row>
    <row r="549">
      <c r="A549" s="75" t="s">
        <v>3602</v>
      </c>
      <c r="B549" s="75" t="s">
        <v>3603</v>
      </c>
      <c r="C549" s="75" t="s">
        <v>1003</v>
      </c>
    </row>
    <row r="550">
      <c r="A550" s="75" t="s">
        <v>3602</v>
      </c>
      <c r="B550" s="75" t="s">
        <v>3604</v>
      </c>
      <c r="C550" s="75" t="s">
        <v>1003</v>
      </c>
    </row>
    <row r="551">
      <c r="A551" s="75" t="s">
        <v>3602</v>
      </c>
      <c r="B551" s="75" t="s">
        <v>3605</v>
      </c>
      <c r="C551" s="75">
        <v>58.0</v>
      </c>
    </row>
    <row r="552">
      <c r="A552" s="75" t="s">
        <v>3602</v>
      </c>
      <c r="B552" s="75" t="s">
        <v>3606</v>
      </c>
      <c r="C552" s="75" t="s">
        <v>1003</v>
      </c>
    </row>
    <row r="553">
      <c r="A553" s="75" t="s">
        <v>3602</v>
      </c>
      <c r="B553" s="75" t="s">
        <v>3607</v>
      </c>
      <c r="C553" s="75">
        <v>58.0</v>
      </c>
    </row>
    <row r="554">
      <c r="A554" s="75" t="s">
        <v>3602</v>
      </c>
      <c r="B554" s="75" t="s">
        <v>3608</v>
      </c>
      <c r="C554" s="75">
        <v>58.0</v>
      </c>
    </row>
    <row r="555">
      <c r="A555" s="75" t="s">
        <v>3609</v>
      </c>
      <c r="B555" s="75" t="s">
        <v>3191</v>
      </c>
      <c r="C555" s="75">
        <v>52.0</v>
      </c>
    </row>
    <row r="556">
      <c r="A556" s="75" t="s">
        <v>3610</v>
      </c>
      <c r="B556" s="75" t="s">
        <v>3186</v>
      </c>
      <c r="C556" s="75">
        <v>58.0</v>
      </c>
    </row>
    <row r="557">
      <c r="A557" s="75" t="s">
        <v>3611</v>
      </c>
      <c r="B557" s="75" t="s">
        <v>3191</v>
      </c>
      <c r="C557" s="75">
        <v>53.0</v>
      </c>
    </row>
    <row r="558">
      <c r="A558" s="75" t="s">
        <v>3612</v>
      </c>
      <c r="B558" s="75" t="s">
        <v>3191</v>
      </c>
      <c r="C558" s="75">
        <v>49.0</v>
      </c>
    </row>
    <row r="559">
      <c r="A559" s="75" t="s">
        <v>3613</v>
      </c>
      <c r="B559" s="75" t="s">
        <v>3189</v>
      </c>
      <c r="C559" s="75">
        <v>56.0</v>
      </c>
    </row>
    <row r="560">
      <c r="A560" s="75" t="s">
        <v>3614</v>
      </c>
      <c r="B560" s="75" t="s">
        <v>3191</v>
      </c>
      <c r="C560" s="75" t="s">
        <v>1003</v>
      </c>
    </row>
    <row r="561">
      <c r="A561" s="75" t="s">
        <v>3614</v>
      </c>
      <c r="B561" s="75" t="s">
        <v>3186</v>
      </c>
      <c r="C561" s="75" t="s">
        <v>1003</v>
      </c>
    </row>
    <row r="562">
      <c r="A562" s="75" t="s">
        <v>3615</v>
      </c>
      <c r="B562" s="75" t="s">
        <v>3191</v>
      </c>
      <c r="C562" s="75">
        <v>57.0</v>
      </c>
    </row>
    <row r="563">
      <c r="A563" s="75" t="s">
        <v>3615</v>
      </c>
      <c r="B563" s="75" t="s">
        <v>3189</v>
      </c>
      <c r="C563" s="75" t="s">
        <v>1003</v>
      </c>
    </row>
    <row r="564">
      <c r="A564" s="75" t="s">
        <v>3616</v>
      </c>
      <c r="B564" s="75" t="s">
        <v>3617</v>
      </c>
      <c r="C564" s="75">
        <v>58.0</v>
      </c>
    </row>
    <row r="565">
      <c r="A565" s="75" t="s">
        <v>3618</v>
      </c>
      <c r="B565" s="75" t="s">
        <v>3195</v>
      </c>
      <c r="C565" s="75" t="s">
        <v>1003</v>
      </c>
    </row>
    <row r="566">
      <c r="A566" s="75" t="s">
        <v>3619</v>
      </c>
      <c r="B566" s="75" t="s">
        <v>3601</v>
      </c>
      <c r="C566" s="75">
        <v>54.0</v>
      </c>
    </row>
    <row r="567">
      <c r="A567" s="75" t="s">
        <v>3620</v>
      </c>
      <c r="B567" s="75" t="s">
        <v>3186</v>
      </c>
      <c r="C567" s="75">
        <v>54.0</v>
      </c>
    </row>
    <row r="568">
      <c r="A568" s="75" t="s">
        <v>3621</v>
      </c>
      <c r="B568" s="75" t="s">
        <v>3186</v>
      </c>
      <c r="C568" s="75" t="s">
        <v>1003</v>
      </c>
    </row>
    <row r="569">
      <c r="A569" s="75" t="s">
        <v>3622</v>
      </c>
      <c r="B569" s="75" t="s">
        <v>3623</v>
      </c>
      <c r="C569" s="75" t="s">
        <v>1003</v>
      </c>
    </row>
    <row r="570">
      <c r="A570" s="75" t="s">
        <v>3622</v>
      </c>
      <c r="B570" s="75" t="s">
        <v>3624</v>
      </c>
      <c r="C570" s="75">
        <v>58.0</v>
      </c>
    </row>
    <row r="571">
      <c r="A571" s="75" t="s">
        <v>3622</v>
      </c>
      <c r="B571" s="75" t="s">
        <v>3625</v>
      </c>
      <c r="C571" s="75">
        <v>58.0</v>
      </c>
    </row>
    <row r="572">
      <c r="A572" s="75" t="s">
        <v>3622</v>
      </c>
      <c r="B572" s="75" t="s">
        <v>3186</v>
      </c>
      <c r="C572" s="75" t="s">
        <v>1003</v>
      </c>
    </row>
    <row r="573">
      <c r="A573" s="15" t="s">
        <v>3622</v>
      </c>
      <c r="B573" s="15" t="s">
        <v>3189</v>
      </c>
      <c r="C573" s="15" t="s">
        <v>1003</v>
      </c>
    </row>
    <row r="574">
      <c r="A574" s="75" t="s">
        <v>3622</v>
      </c>
      <c r="B574" s="75" t="s">
        <v>3548</v>
      </c>
      <c r="C574" s="75" t="s">
        <v>1003</v>
      </c>
    </row>
    <row r="575">
      <c r="A575" s="75" t="s">
        <v>3626</v>
      </c>
      <c r="B575" s="75" t="s">
        <v>3627</v>
      </c>
      <c r="C575" s="75">
        <v>54.0</v>
      </c>
    </row>
    <row r="576">
      <c r="A576" s="75" t="s">
        <v>3628</v>
      </c>
      <c r="B576" s="75" t="s">
        <v>3191</v>
      </c>
      <c r="C576" s="75">
        <v>50.0</v>
      </c>
    </row>
    <row r="577">
      <c r="A577" s="75" t="s">
        <v>3628</v>
      </c>
      <c r="B577" s="75" t="s">
        <v>3187</v>
      </c>
      <c r="C577" s="75">
        <v>50.0</v>
      </c>
    </row>
    <row r="578">
      <c r="A578" s="75" t="s">
        <v>3629</v>
      </c>
      <c r="B578" s="75" t="s">
        <v>3189</v>
      </c>
      <c r="C578" s="75">
        <v>56.0</v>
      </c>
    </row>
    <row r="579">
      <c r="A579" s="75" t="s">
        <v>3630</v>
      </c>
      <c r="B579" s="75" t="s">
        <v>3189</v>
      </c>
      <c r="C579" s="75">
        <v>56.0</v>
      </c>
    </row>
    <row r="580">
      <c r="A580" s="75" t="s">
        <v>3631</v>
      </c>
      <c r="B580" s="75" t="s">
        <v>3632</v>
      </c>
      <c r="C580" s="75" t="s">
        <v>1003</v>
      </c>
    </row>
    <row r="581">
      <c r="A581" s="75" t="s">
        <v>3633</v>
      </c>
      <c r="B581" s="75" t="s">
        <v>3189</v>
      </c>
      <c r="C581" s="75">
        <v>57.0</v>
      </c>
    </row>
    <row r="582">
      <c r="A582" s="75" t="s">
        <v>3634</v>
      </c>
      <c r="B582" s="75" t="s">
        <v>3189</v>
      </c>
      <c r="C582" s="75">
        <v>57.0</v>
      </c>
    </row>
    <row r="583">
      <c r="A583" s="75" t="s">
        <v>3635</v>
      </c>
      <c r="B583" s="75" t="s">
        <v>3189</v>
      </c>
      <c r="C583" s="75">
        <v>59.0</v>
      </c>
    </row>
    <row r="584">
      <c r="A584" s="75" t="s">
        <v>3636</v>
      </c>
      <c r="B584" s="75" t="s">
        <v>3189</v>
      </c>
      <c r="C584" s="75" t="s">
        <v>1003</v>
      </c>
    </row>
    <row r="585">
      <c r="A585" s="75" t="s">
        <v>3636</v>
      </c>
      <c r="B585" s="75" t="s">
        <v>3187</v>
      </c>
      <c r="C585" s="75" t="s">
        <v>1003</v>
      </c>
    </row>
    <row r="586">
      <c r="A586" s="75" t="s">
        <v>3637</v>
      </c>
      <c r="B586" s="75" t="s">
        <v>3627</v>
      </c>
      <c r="C586" s="75" t="s">
        <v>1003</v>
      </c>
    </row>
    <row r="587">
      <c r="A587" s="75" t="s">
        <v>3637</v>
      </c>
      <c r="B587" s="75" t="s">
        <v>3632</v>
      </c>
      <c r="C587" s="75" t="s">
        <v>1003</v>
      </c>
    </row>
    <row r="588">
      <c r="A588" s="75" t="s">
        <v>3637</v>
      </c>
      <c r="B588" s="75" t="s">
        <v>3601</v>
      </c>
      <c r="C588" s="75" t="s">
        <v>1003</v>
      </c>
    </row>
    <row r="589">
      <c r="A589" s="75" t="s">
        <v>3638</v>
      </c>
      <c r="B589" s="75" t="s">
        <v>3186</v>
      </c>
      <c r="C589" s="75">
        <v>52.0</v>
      </c>
    </row>
    <row r="590">
      <c r="A590" s="75" t="s">
        <v>3639</v>
      </c>
      <c r="B590" s="75" t="s">
        <v>3191</v>
      </c>
      <c r="C590" s="75" t="s">
        <v>1003</v>
      </c>
    </row>
    <row r="591">
      <c r="A591" s="75" t="s">
        <v>3639</v>
      </c>
      <c r="B591" s="75" t="s">
        <v>3186</v>
      </c>
      <c r="C591" s="75">
        <v>53.0</v>
      </c>
    </row>
    <row r="592">
      <c r="A592" s="75" t="s">
        <v>3640</v>
      </c>
      <c r="B592" s="75" t="s">
        <v>3191</v>
      </c>
      <c r="C592" s="75" t="s">
        <v>1003</v>
      </c>
    </row>
    <row r="593">
      <c r="A593" s="75" t="s">
        <v>3640</v>
      </c>
      <c r="B593" s="75" t="s">
        <v>3186</v>
      </c>
      <c r="C593" s="75" t="s">
        <v>1003</v>
      </c>
    </row>
    <row r="594">
      <c r="A594" s="75" t="s">
        <v>3641</v>
      </c>
      <c r="B594" s="75" t="s">
        <v>3186</v>
      </c>
      <c r="C594" s="75">
        <v>56.0</v>
      </c>
    </row>
    <row r="595">
      <c r="A595" s="75" t="s">
        <v>3642</v>
      </c>
      <c r="B595" s="75" t="s">
        <v>3187</v>
      </c>
      <c r="C595" s="75" t="s">
        <v>1003</v>
      </c>
    </row>
    <row r="596">
      <c r="A596" s="75" t="s">
        <v>3643</v>
      </c>
      <c r="B596" s="75" t="s">
        <v>3186</v>
      </c>
      <c r="C596" s="75">
        <v>49.0</v>
      </c>
    </row>
    <row r="597">
      <c r="A597" s="75" t="s">
        <v>3644</v>
      </c>
      <c r="B597" s="75" t="s">
        <v>3186</v>
      </c>
      <c r="C597" s="75">
        <v>52.0</v>
      </c>
    </row>
    <row r="598">
      <c r="A598" s="75" t="s">
        <v>3644</v>
      </c>
      <c r="B598" s="75" t="s">
        <v>3189</v>
      </c>
      <c r="C598" s="75">
        <v>52.0</v>
      </c>
    </row>
    <row r="599">
      <c r="A599" s="75" t="s">
        <v>3645</v>
      </c>
      <c r="B599" s="75" t="s">
        <v>3646</v>
      </c>
      <c r="C599" s="75">
        <v>56.0</v>
      </c>
    </row>
    <row r="600">
      <c r="A600" s="75" t="s">
        <v>3647</v>
      </c>
      <c r="B600" s="75" t="s">
        <v>3191</v>
      </c>
      <c r="C600" s="75" t="s">
        <v>1003</v>
      </c>
    </row>
    <row r="601">
      <c r="A601" s="75" t="s">
        <v>3647</v>
      </c>
      <c r="B601" s="75" t="s">
        <v>3189</v>
      </c>
      <c r="C601" s="75" t="s">
        <v>1003</v>
      </c>
    </row>
    <row r="602">
      <c r="A602" s="75" t="s">
        <v>3648</v>
      </c>
      <c r="B602" s="75" t="s">
        <v>3186</v>
      </c>
      <c r="C602" s="75">
        <v>57.0</v>
      </c>
    </row>
    <row r="603">
      <c r="A603" s="75" t="s">
        <v>3648</v>
      </c>
      <c r="B603" s="75" t="s">
        <v>3649</v>
      </c>
      <c r="C603" s="75">
        <v>57.0</v>
      </c>
    </row>
    <row r="604">
      <c r="A604" s="75" t="s">
        <v>3648</v>
      </c>
      <c r="B604" s="75" t="s">
        <v>3650</v>
      </c>
      <c r="C604" s="75">
        <v>56.0</v>
      </c>
    </row>
    <row r="605">
      <c r="A605" s="75" t="s">
        <v>3648</v>
      </c>
      <c r="B605" s="75" t="s">
        <v>3651</v>
      </c>
      <c r="C605" s="75" t="s">
        <v>1003</v>
      </c>
    </row>
    <row r="606">
      <c r="A606" s="75" t="s">
        <v>3652</v>
      </c>
      <c r="B606" s="75" t="s">
        <v>3189</v>
      </c>
      <c r="C606" s="75">
        <v>60.0</v>
      </c>
    </row>
    <row r="607">
      <c r="A607" s="75" t="s">
        <v>3653</v>
      </c>
      <c r="B607" s="75" t="s">
        <v>3189</v>
      </c>
      <c r="C607" s="75">
        <v>53.0</v>
      </c>
    </row>
    <row r="608">
      <c r="A608" s="75" t="s">
        <v>3653</v>
      </c>
      <c r="B608" s="75" t="s">
        <v>3654</v>
      </c>
      <c r="C608" s="75">
        <v>53.0</v>
      </c>
    </row>
    <row r="609">
      <c r="A609" s="75" t="s">
        <v>3655</v>
      </c>
      <c r="B609" s="75" t="s">
        <v>3627</v>
      </c>
      <c r="C609" s="75">
        <v>58.0</v>
      </c>
    </row>
    <row r="610">
      <c r="A610" s="75" t="s">
        <v>3656</v>
      </c>
      <c r="B610" s="75" t="s">
        <v>3191</v>
      </c>
      <c r="C610" s="75">
        <v>62.0</v>
      </c>
    </row>
    <row r="611">
      <c r="A611" s="75" t="s">
        <v>3657</v>
      </c>
      <c r="B611" s="75" t="s">
        <v>3186</v>
      </c>
      <c r="C611" s="75" t="s">
        <v>1003</v>
      </c>
    </row>
    <row r="612">
      <c r="A612" s="75" t="s">
        <v>3658</v>
      </c>
      <c r="B612" s="75" t="s">
        <v>3187</v>
      </c>
      <c r="C612" s="75" t="s">
        <v>1003</v>
      </c>
    </row>
    <row r="613">
      <c r="A613" s="75" t="s">
        <v>3658</v>
      </c>
      <c r="B613" s="75" t="s">
        <v>3195</v>
      </c>
      <c r="C613" s="75" t="s">
        <v>1003</v>
      </c>
    </row>
    <row r="614">
      <c r="A614" s="75" t="s">
        <v>3659</v>
      </c>
      <c r="B614" s="75" t="s">
        <v>3627</v>
      </c>
      <c r="C614" s="75" t="s">
        <v>1003</v>
      </c>
    </row>
    <row r="615">
      <c r="A615" s="75" t="s">
        <v>3659</v>
      </c>
      <c r="B615" s="75" t="s">
        <v>3632</v>
      </c>
      <c r="C615" s="75" t="s">
        <v>1003</v>
      </c>
    </row>
    <row r="616">
      <c r="A616" s="75" t="s">
        <v>3659</v>
      </c>
      <c r="B616" s="75" t="s">
        <v>3649</v>
      </c>
      <c r="C616" s="75" t="s">
        <v>1003</v>
      </c>
    </row>
    <row r="617">
      <c r="A617" s="75" t="s">
        <v>3659</v>
      </c>
      <c r="B617" s="75" t="s">
        <v>3654</v>
      </c>
      <c r="C617" s="75" t="s">
        <v>1003</v>
      </c>
    </row>
    <row r="618">
      <c r="A618" s="75" t="s">
        <v>3660</v>
      </c>
      <c r="B618" s="75" t="s">
        <v>3191</v>
      </c>
      <c r="C618" s="75" t="s">
        <v>1003</v>
      </c>
    </row>
    <row r="619">
      <c r="A619" s="75" t="s">
        <v>3660</v>
      </c>
      <c r="B619" s="75" t="s">
        <v>3189</v>
      </c>
      <c r="C619" s="75" t="s">
        <v>1003</v>
      </c>
    </row>
    <row r="620">
      <c r="A620" s="75" t="s">
        <v>3661</v>
      </c>
      <c r="B620" s="75" t="s">
        <v>3189</v>
      </c>
      <c r="C620" s="75">
        <v>49.0</v>
      </c>
    </row>
    <row r="621">
      <c r="A621" s="75" t="s">
        <v>3662</v>
      </c>
      <c r="B621" s="75" t="s">
        <v>3189</v>
      </c>
      <c r="C621" s="75">
        <v>52.0</v>
      </c>
    </row>
    <row r="622">
      <c r="A622" s="75" t="s">
        <v>3663</v>
      </c>
      <c r="B622" s="75" t="s">
        <v>3186</v>
      </c>
      <c r="C622" s="75">
        <v>57.0</v>
      </c>
    </row>
    <row r="623">
      <c r="A623" s="75" t="s">
        <v>3664</v>
      </c>
      <c r="B623" s="75" t="s">
        <v>3189</v>
      </c>
      <c r="C623" s="75">
        <v>51.0</v>
      </c>
    </row>
    <row r="624">
      <c r="A624" s="75" t="s">
        <v>3664</v>
      </c>
      <c r="B624" s="75" t="s">
        <v>3195</v>
      </c>
      <c r="C624" s="75">
        <v>51.0</v>
      </c>
    </row>
    <row r="625">
      <c r="A625" s="75" t="s">
        <v>3664</v>
      </c>
      <c r="B625" s="75" t="s">
        <v>3665</v>
      </c>
      <c r="C625" s="75" t="s">
        <v>1003</v>
      </c>
    </row>
    <row r="626">
      <c r="A626" s="75" t="s">
        <v>3666</v>
      </c>
      <c r="B626" s="75" t="s">
        <v>3186</v>
      </c>
      <c r="C626" s="75" t="s">
        <v>1003</v>
      </c>
    </row>
    <row r="627">
      <c r="A627" s="75" t="s">
        <v>3667</v>
      </c>
      <c r="B627" s="75" t="s">
        <v>3191</v>
      </c>
      <c r="C627" s="75" t="s">
        <v>1003</v>
      </c>
    </row>
    <row r="628">
      <c r="A628" s="75" t="s">
        <v>3668</v>
      </c>
      <c r="B628" s="75" t="s">
        <v>3632</v>
      </c>
      <c r="C628" s="75">
        <v>52.0</v>
      </c>
    </row>
    <row r="629">
      <c r="A629" s="75" t="s">
        <v>3668</v>
      </c>
      <c r="B629" s="75" t="s">
        <v>3601</v>
      </c>
      <c r="C629" s="75">
        <v>52.0</v>
      </c>
    </row>
    <row r="630">
      <c r="A630" s="75" t="s">
        <v>3669</v>
      </c>
      <c r="B630" s="75" t="s">
        <v>3186</v>
      </c>
      <c r="C630" s="75">
        <v>52.0</v>
      </c>
    </row>
    <row r="631">
      <c r="A631" s="75" t="s">
        <v>3670</v>
      </c>
      <c r="B631" s="75" t="s">
        <v>3191</v>
      </c>
      <c r="C631" s="75">
        <v>52.0</v>
      </c>
    </row>
    <row r="632">
      <c r="A632" s="75" t="s">
        <v>3671</v>
      </c>
      <c r="B632" s="75" t="s">
        <v>3191</v>
      </c>
      <c r="C632" s="75">
        <v>62.0</v>
      </c>
    </row>
    <row r="633">
      <c r="A633" s="75" t="s">
        <v>3671</v>
      </c>
      <c r="B633" s="75" t="s">
        <v>3186</v>
      </c>
      <c r="C633" s="75">
        <v>62.0</v>
      </c>
    </row>
    <row r="634">
      <c r="A634" s="75" t="s">
        <v>3671</v>
      </c>
      <c r="B634" s="75" t="s">
        <v>3189</v>
      </c>
      <c r="C634" s="75">
        <v>62.0</v>
      </c>
    </row>
    <row r="635">
      <c r="A635" s="75" t="s">
        <v>3672</v>
      </c>
      <c r="B635" s="75" t="s">
        <v>3186</v>
      </c>
      <c r="C635" s="75">
        <v>56.0</v>
      </c>
    </row>
    <row r="636">
      <c r="A636" s="75" t="s">
        <v>3672</v>
      </c>
      <c r="B636" s="75" t="s">
        <v>3189</v>
      </c>
      <c r="C636" s="75">
        <v>56.0</v>
      </c>
    </row>
    <row r="637">
      <c r="A637" s="75" t="s">
        <v>3673</v>
      </c>
      <c r="B637" s="75" t="s">
        <v>3191</v>
      </c>
      <c r="C637" s="75" t="s">
        <v>1003</v>
      </c>
    </row>
    <row r="638">
      <c r="A638" s="75" t="s">
        <v>3674</v>
      </c>
      <c r="B638" s="75" t="s">
        <v>3186</v>
      </c>
      <c r="C638" s="75">
        <v>51.0</v>
      </c>
    </row>
    <row r="639">
      <c r="A639" s="75" t="s">
        <v>3675</v>
      </c>
      <c r="B639" s="75" t="s">
        <v>3187</v>
      </c>
      <c r="C639" s="75" t="s">
        <v>1003</v>
      </c>
    </row>
    <row r="640">
      <c r="A640" s="75" t="s">
        <v>3676</v>
      </c>
      <c r="B640" s="75" t="s">
        <v>3191</v>
      </c>
      <c r="C640" s="75">
        <v>57.0</v>
      </c>
    </row>
    <row r="641">
      <c r="A641" s="75" t="s">
        <v>3676</v>
      </c>
      <c r="B641" s="75" t="s">
        <v>3186</v>
      </c>
      <c r="C641" s="75" t="s">
        <v>1003</v>
      </c>
    </row>
    <row r="642">
      <c r="A642" s="75" t="s">
        <v>3676</v>
      </c>
      <c r="B642" s="75" t="s">
        <v>3189</v>
      </c>
      <c r="C642" s="75" t="s">
        <v>1003</v>
      </c>
    </row>
    <row r="643">
      <c r="A643" s="75" t="s">
        <v>3676</v>
      </c>
      <c r="B643" s="75" t="s">
        <v>3187</v>
      </c>
      <c r="C643" s="75" t="s">
        <v>1003</v>
      </c>
    </row>
    <row r="644">
      <c r="A644" s="75" t="s">
        <v>3676</v>
      </c>
      <c r="B644" s="75" t="s">
        <v>3195</v>
      </c>
      <c r="C644" s="75" t="s">
        <v>1003</v>
      </c>
    </row>
    <row r="645">
      <c r="A645" s="75" t="s">
        <v>3675</v>
      </c>
      <c r="B645" s="75" t="s">
        <v>3623</v>
      </c>
      <c r="C645" s="75">
        <v>57.0</v>
      </c>
    </row>
    <row r="646">
      <c r="A646" s="75" t="s">
        <v>3677</v>
      </c>
      <c r="B646" s="75" t="s">
        <v>3186</v>
      </c>
      <c r="C646" s="75">
        <v>53.0</v>
      </c>
    </row>
    <row r="647">
      <c r="A647" s="75" t="s">
        <v>3678</v>
      </c>
      <c r="B647" s="75" t="s">
        <v>3191</v>
      </c>
      <c r="C647" s="75">
        <v>55.0</v>
      </c>
    </row>
    <row r="648">
      <c r="A648" s="75" t="s">
        <v>3679</v>
      </c>
      <c r="B648" s="75" t="s">
        <v>3186</v>
      </c>
      <c r="C648" s="75">
        <v>58.0</v>
      </c>
    </row>
    <row r="649">
      <c r="A649" s="75" t="s">
        <v>3680</v>
      </c>
      <c r="B649" s="75" t="s">
        <v>3186</v>
      </c>
      <c r="C649" s="75">
        <v>53.0</v>
      </c>
    </row>
    <row r="650">
      <c r="A650" s="75" t="s">
        <v>3681</v>
      </c>
      <c r="B650" s="75" t="s">
        <v>3186</v>
      </c>
      <c r="C650" s="75">
        <v>58.0</v>
      </c>
    </row>
    <row r="651">
      <c r="A651" s="75" t="s">
        <v>3682</v>
      </c>
      <c r="B651" s="75" t="s">
        <v>3191</v>
      </c>
      <c r="C651" s="75" t="s">
        <v>1003</v>
      </c>
    </row>
    <row r="652">
      <c r="A652" s="75" t="s">
        <v>3682</v>
      </c>
      <c r="B652" s="75" t="s">
        <v>3187</v>
      </c>
      <c r="C652" s="75">
        <v>59.0</v>
      </c>
    </row>
    <row r="653">
      <c r="A653" s="75" t="s">
        <v>3683</v>
      </c>
      <c r="B653" s="75" t="s">
        <v>3186</v>
      </c>
      <c r="C653" s="75">
        <v>58.0</v>
      </c>
    </row>
    <row r="654">
      <c r="A654" s="75" t="s">
        <v>3683</v>
      </c>
      <c r="B654" s="75" t="s">
        <v>3684</v>
      </c>
      <c r="C654" s="75" t="s">
        <v>1003</v>
      </c>
    </row>
    <row r="655">
      <c r="A655" s="75" t="s">
        <v>3683</v>
      </c>
      <c r="B655" s="75" t="s">
        <v>3685</v>
      </c>
      <c r="C655" s="75">
        <v>58.0</v>
      </c>
    </row>
    <row r="656">
      <c r="A656" s="75" t="s">
        <v>3683</v>
      </c>
      <c r="B656" s="75" t="s">
        <v>3604</v>
      </c>
      <c r="C656" s="75">
        <v>58.0</v>
      </c>
    </row>
    <row r="657">
      <c r="A657" s="75" t="s">
        <v>3683</v>
      </c>
      <c r="B657" s="75" t="s">
        <v>3686</v>
      </c>
      <c r="C657" s="75" t="s">
        <v>1003</v>
      </c>
    </row>
    <row r="658">
      <c r="A658" s="75" t="s">
        <v>3683</v>
      </c>
      <c r="B658" s="75" t="s">
        <v>3332</v>
      </c>
      <c r="C658" s="75">
        <v>58.0</v>
      </c>
    </row>
    <row r="659">
      <c r="A659" s="75" t="s">
        <v>3683</v>
      </c>
      <c r="B659" s="75" t="s">
        <v>3603</v>
      </c>
      <c r="C659" s="75">
        <v>58.0</v>
      </c>
    </row>
    <row r="660">
      <c r="A660" s="75" t="s">
        <v>3683</v>
      </c>
      <c r="B660" s="75" t="s">
        <v>3687</v>
      </c>
      <c r="C660" s="75">
        <v>58.0</v>
      </c>
    </row>
    <row r="661">
      <c r="A661" s="75" t="s">
        <v>3683</v>
      </c>
      <c r="B661" s="75" t="s">
        <v>3687</v>
      </c>
      <c r="C661" s="75" t="s">
        <v>1003</v>
      </c>
    </row>
    <row r="662">
      <c r="A662" s="75" t="s">
        <v>3683</v>
      </c>
      <c r="B662" s="75" t="s">
        <v>3688</v>
      </c>
      <c r="C662" s="75">
        <v>58.0</v>
      </c>
    </row>
    <row r="663">
      <c r="A663" s="75" t="s">
        <v>3683</v>
      </c>
      <c r="B663" s="75" t="s">
        <v>3689</v>
      </c>
      <c r="C663" s="75">
        <v>58.0</v>
      </c>
    </row>
    <row r="664">
      <c r="A664" s="75" t="s">
        <v>3683</v>
      </c>
      <c r="B664" s="75" t="s">
        <v>3690</v>
      </c>
      <c r="C664" s="75">
        <v>58.0</v>
      </c>
    </row>
    <row r="665">
      <c r="A665" s="75" t="s">
        <v>3691</v>
      </c>
      <c r="B665" s="75" t="s">
        <v>3186</v>
      </c>
      <c r="C665" s="75" t="s">
        <v>1003</v>
      </c>
    </row>
    <row r="666">
      <c r="A666" s="75" t="s">
        <v>3691</v>
      </c>
      <c r="B666" s="75" t="s">
        <v>3189</v>
      </c>
      <c r="C666" s="75" t="s">
        <v>1003</v>
      </c>
    </row>
    <row r="667">
      <c r="A667" s="75" t="s">
        <v>3692</v>
      </c>
      <c r="B667" s="75" t="s">
        <v>3627</v>
      </c>
      <c r="C667" s="75">
        <v>54.0</v>
      </c>
    </row>
    <row r="668">
      <c r="A668" s="75" t="s">
        <v>3692</v>
      </c>
      <c r="B668" s="75" t="s">
        <v>3632</v>
      </c>
      <c r="C668" s="75" t="s">
        <v>1003</v>
      </c>
    </row>
    <row r="669">
      <c r="A669" s="75" t="s">
        <v>3692</v>
      </c>
      <c r="B669" s="75" t="s">
        <v>3187</v>
      </c>
      <c r="C669" s="75" t="s">
        <v>1003</v>
      </c>
    </row>
    <row r="670">
      <c r="A670" s="75" t="s">
        <v>3693</v>
      </c>
      <c r="B670" s="75" t="s">
        <v>3191</v>
      </c>
      <c r="C670" s="75">
        <v>66.0</v>
      </c>
    </row>
    <row r="671">
      <c r="A671" s="75" t="s">
        <v>3693</v>
      </c>
      <c r="B671" s="75" t="s">
        <v>3186</v>
      </c>
      <c r="C671" s="75" t="s">
        <v>1003</v>
      </c>
    </row>
    <row r="672">
      <c r="A672" s="75" t="s">
        <v>3693</v>
      </c>
      <c r="B672" s="75" t="s">
        <v>3189</v>
      </c>
      <c r="C672" s="75" t="s">
        <v>1003</v>
      </c>
    </row>
    <row r="673">
      <c r="A673" s="75" t="s">
        <v>3694</v>
      </c>
      <c r="B673" s="75" t="s">
        <v>3186</v>
      </c>
      <c r="C673" s="75">
        <v>58.0</v>
      </c>
    </row>
    <row r="674">
      <c r="A674" s="75" t="s">
        <v>3694</v>
      </c>
      <c r="B674" s="75" t="s">
        <v>3189</v>
      </c>
      <c r="C674" s="75" t="s">
        <v>1003</v>
      </c>
    </row>
    <row r="675">
      <c r="A675" s="75" t="s">
        <v>3694</v>
      </c>
      <c r="B675" s="75" t="s">
        <v>3187</v>
      </c>
      <c r="C675" s="75">
        <v>58.0</v>
      </c>
    </row>
    <row r="676">
      <c r="A676" s="75" t="s">
        <v>3694</v>
      </c>
      <c r="B676" s="75" t="s">
        <v>3195</v>
      </c>
      <c r="C676" s="75" t="s">
        <v>1003</v>
      </c>
    </row>
    <row r="677">
      <c r="A677" s="75" t="s">
        <v>3694</v>
      </c>
      <c r="B677" s="75" t="s">
        <v>3196</v>
      </c>
      <c r="C677" s="75" t="s">
        <v>1003</v>
      </c>
    </row>
    <row r="678">
      <c r="A678" s="75" t="s">
        <v>3694</v>
      </c>
      <c r="B678" s="75" t="s">
        <v>3287</v>
      </c>
      <c r="C678" s="75">
        <v>58.0</v>
      </c>
    </row>
    <row r="679">
      <c r="A679" s="75" t="s">
        <v>3694</v>
      </c>
      <c r="B679" s="75" t="s">
        <v>3548</v>
      </c>
      <c r="C679" s="75" t="s">
        <v>1003</v>
      </c>
    </row>
    <row r="680">
      <c r="A680" s="75" t="s">
        <v>3694</v>
      </c>
      <c r="B680" s="75" t="s">
        <v>3695</v>
      </c>
      <c r="C680" s="75" t="s">
        <v>1003</v>
      </c>
    </row>
    <row r="681">
      <c r="A681" s="75" t="s">
        <v>3696</v>
      </c>
      <c r="B681" s="75" t="s">
        <v>3189</v>
      </c>
      <c r="C681" s="75" t="s">
        <v>1003</v>
      </c>
    </row>
    <row r="682">
      <c r="A682" s="75" t="s">
        <v>3697</v>
      </c>
      <c r="B682" s="75" t="s">
        <v>3191</v>
      </c>
      <c r="C682" s="75">
        <v>53.0</v>
      </c>
    </row>
    <row r="683">
      <c r="A683" s="75" t="s">
        <v>3697</v>
      </c>
      <c r="B683" s="75" t="s">
        <v>3187</v>
      </c>
      <c r="C683" s="75">
        <v>53.0</v>
      </c>
    </row>
    <row r="684">
      <c r="A684" s="75" t="s">
        <v>3698</v>
      </c>
      <c r="B684" s="75" t="s">
        <v>3632</v>
      </c>
      <c r="C684" s="75">
        <v>56.0</v>
      </c>
    </row>
    <row r="685">
      <c r="A685" s="75" t="s">
        <v>3699</v>
      </c>
      <c r="B685" s="75" t="s">
        <v>3186</v>
      </c>
      <c r="C685" s="75" t="s">
        <v>1003</v>
      </c>
    </row>
    <row r="686">
      <c r="A686" s="75" t="s">
        <v>3700</v>
      </c>
      <c r="B686" s="75" t="s">
        <v>3187</v>
      </c>
      <c r="C686" s="75">
        <v>61.0</v>
      </c>
    </row>
    <row r="687">
      <c r="A687" s="75" t="s">
        <v>3701</v>
      </c>
      <c r="B687" s="75" t="s">
        <v>3191</v>
      </c>
      <c r="C687" s="75">
        <v>53.0</v>
      </c>
    </row>
    <row r="688">
      <c r="A688" s="75" t="s">
        <v>3701</v>
      </c>
      <c r="B688" s="75" t="s">
        <v>3187</v>
      </c>
      <c r="C688" s="75" t="s">
        <v>1003</v>
      </c>
    </row>
    <row r="689">
      <c r="A689" s="75" t="s">
        <v>3702</v>
      </c>
      <c r="B689" s="75" t="s">
        <v>3191</v>
      </c>
      <c r="C689" s="75">
        <v>53.0</v>
      </c>
    </row>
    <row r="690">
      <c r="A690" s="75" t="s">
        <v>3703</v>
      </c>
      <c r="B690" s="75" t="s">
        <v>3191</v>
      </c>
      <c r="C690" s="75" t="s">
        <v>1003</v>
      </c>
    </row>
    <row r="691">
      <c r="A691" s="75" t="s">
        <v>3703</v>
      </c>
      <c r="B691" s="75" t="s">
        <v>3186</v>
      </c>
      <c r="C691" s="75">
        <v>58.0</v>
      </c>
    </row>
    <row r="692">
      <c r="A692" s="75" t="s">
        <v>3703</v>
      </c>
      <c r="B692" s="75" t="s">
        <v>3189</v>
      </c>
      <c r="C692" s="75" t="s">
        <v>1003</v>
      </c>
    </row>
    <row r="693">
      <c r="A693" s="75" t="s">
        <v>3704</v>
      </c>
      <c r="B693" s="75" t="s">
        <v>3627</v>
      </c>
      <c r="C693" s="75" t="s">
        <v>1003</v>
      </c>
    </row>
    <row r="694">
      <c r="A694" s="75" t="s">
        <v>3705</v>
      </c>
      <c r="B694" s="75" t="s">
        <v>3186</v>
      </c>
      <c r="C694" s="75">
        <v>60.0</v>
      </c>
    </row>
    <row r="695">
      <c r="A695" s="75" t="s">
        <v>3706</v>
      </c>
      <c r="B695" s="75" t="s">
        <v>3189</v>
      </c>
      <c r="C695" s="75">
        <v>60.0</v>
      </c>
    </row>
    <row r="696">
      <c r="A696" s="75" t="s">
        <v>3707</v>
      </c>
      <c r="B696" s="75" t="s">
        <v>3191</v>
      </c>
      <c r="C696" s="75" t="s">
        <v>1003</v>
      </c>
    </row>
    <row r="697">
      <c r="A697" s="75" t="s">
        <v>3707</v>
      </c>
      <c r="B697" s="75" t="s">
        <v>3186</v>
      </c>
      <c r="C697" s="75" t="s">
        <v>1003</v>
      </c>
    </row>
    <row r="698">
      <c r="A698" s="75" t="s">
        <v>3708</v>
      </c>
      <c r="B698" s="75" t="s">
        <v>3186</v>
      </c>
      <c r="C698" s="75" t="s">
        <v>1003</v>
      </c>
    </row>
    <row r="699">
      <c r="A699" s="75" t="s">
        <v>3708</v>
      </c>
      <c r="B699" s="75" t="s">
        <v>3189</v>
      </c>
      <c r="C699" s="75">
        <v>58.0</v>
      </c>
    </row>
    <row r="700">
      <c r="A700" s="75" t="s">
        <v>3709</v>
      </c>
      <c r="B700" s="75" t="s">
        <v>3191</v>
      </c>
      <c r="C700" s="75" t="s">
        <v>1003</v>
      </c>
    </row>
    <row r="701">
      <c r="A701" s="75" t="s">
        <v>3710</v>
      </c>
      <c r="B701" s="75" t="s">
        <v>3191</v>
      </c>
      <c r="C701" s="75" t="s">
        <v>1003</v>
      </c>
    </row>
    <row r="702">
      <c r="A702" s="75" t="s">
        <v>3710</v>
      </c>
      <c r="B702" s="75" t="s">
        <v>3186</v>
      </c>
      <c r="C702" s="75" t="s">
        <v>1003</v>
      </c>
    </row>
    <row r="703">
      <c r="A703" s="75" t="s">
        <v>3710</v>
      </c>
      <c r="B703" s="75" t="s">
        <v>3187</v>
      </c>
      <c r="C703" s="75" t="s">
        <v>1003</v>
      </c>
    </row>
    <row r="704">
      <c r="A704" s="75" t="s">
        <v>3711</v>
      </c>
      <c r="B704" s="75" t="s">
        <v>3191</v>
      </c>
      <c r="C704" s="75">
        <v>51.0</v>
      </c>
    </row>
    <row r="705">
      <c r="A705" s="75" t="s">
        <v>3711</v>
      </c>
      <c r="B705" s="75" t="s">
        <v>3186</v>
      </c>
      <c r="C705" s="75">
        <v>51.0</v>
      </c>
    </row>
    <row r="706">
      <c r="A706" s="75" t="s">
        <v>3711</v>
      </c>
      <c r="B706" s="75" t="s">
        <v>3189</v>
      </c>
      <c r="C706" s="75">
        <v>51.0</v>
      </c>
    </row>
    <row r="707">
      <c r="A707" s="75" t="s">
        <v>3712</v>
      </c>
      <c r="B707" s="75" t="s">
        <v>3186</v>
      </c>
      <c r="C707" s="75" t="s">
        <v>1003</v>
      </c>
    </row>
    <row r="708">
      <c r="A708" s="75" t="s">
        <v>3713</v>
      </c>
      <c r="B708" s="75" t="s">
        <v>3187</v>
      </c>
      <c r="C708" s="75">
        <v>60.0</v>
      </c>
    </row>
    <row r="709">
      <c r="A709" s="75" t="s">
        <v>3714</v>
      </c>
      <c r="B709" s="75" t="s">
        <v>3191</v>
      </c>
      <c r="C709" s="75">
        <v>49.0</v>
      </c>
    </row>
    <row r="710">
      <c r="A710" s="75" t="s">
        <v>3714</v>
      </c>
      <c r="B710" s="75" t="s">
        <v>3186</v>
      </c>
      <c r="C710" s="75" t="s">
        <v>1003</v>
      </c>
    </row>
    <row r="711">
      <c r="A711" s="75" t="s">
        <v>3714</v>
      </c>
      <c r="B711" s="75" t="s">
        <v>3189</v>
      </c>
      <c r="C711" s="75">
        <v>49.0</v>
      </c>
    </row>
    <row r="712">
      <c r="A712" s="75" t="s">
        <v>3714</v>
      </c>
      <c r="B712" s="75" t="s">
        <v>3195</v>
      </c>
      <c r="C712" s="75">
        <v>49.0</v>
      </c>
    </row>
    <row r="713">
      <c r="A713" s="75" t="s">
        <v>3715</v>
      </c>
      <c r="B713" s="75" t="s">
        <v>3191</v>
      </c>
      <c r="C713" s="75">
        <v>55.0</v>
      </c>
    </row>
    <row r="714">
      <c r="A714" s="75" t="s">
        <v>3715</v>
      </c>
      <c r="B714" s="75" t="s">
        <v>3186</v>
      </c>
      <c r="C714" s="75" t="s">
        <v>1003</v>
      </c>
    </row>
    <row r="715">
      <c r="A715" s="75" t="s">
        <v>3715</v>
      </c>
      <c r="B715" s="75" t="s">
        <v>3189</v>
      </c>
      <c r="C715" s="75">
        <v>57.0</v>
      </c>
    </row>
    <row r="716">
      <c r="A716" s="75" t="s">
        <v>3716</v>
      </c>
      <c r="B716" s="75" t="s">
        <v>3191</v>
      </c>
      <c r="C716" s="75" t="s">
        <v>1003</v>
      </c>
    </row>
    <row r="717">
      <c r="A717" s="75" t="s">
        <v>3716</v>
      </c>
      <c r="B717" s="75" t="s">
        <v>3186</v>
      </c>
      <c r="C717" s="75" t="s">
        <v>1003</v>
      </c>
    </row>
    <row r="718">
      <c r="A718" s="75" t="s">
        <v>3716</v>
      </c>
      <c r="B718" s="75" t="s">
        <v>3189</v>
      </c>
      <c r="C718" s="75" t="s">
        <v>1003</v>
      </c>
    </row>
    <row r="719">
      <c r="A719" s="75" t="s">
        <v>3717</v>
      </c>
      <c r="B719" s="75" t="s">
        <v>3189</v>
      </c>
      <c r="C719" s="75" t="s">
        <v>1003</v>
      </c>
    </row>
    <row r="720">
      <c r="A720" s="75" t="s">
        <v>3718</v>
      </c>
      <c r="B720" s="75" t="s">
        <v>3191</v>
      </c>
      <c r="C720" s="75" t="s">
        <v>1003</v>
      </c>
    </row>
    <row r="721">
      <c r="A721" s="75" t="s">
        <v>3718</v>
      </c>
      <c r="B721" s="75" t="s">
        <v>3186</v>
      </c>
      <c r="C721" s="75" t="s">
        <v>1003</v>
      </c>
    </row>
    <row r="722">
      <c r="A722" s="75" t="s">
        <v>3718</v>
      </c>
      <c r="B722" s="75" t="s">
        <v>3189</v>
      </c>
      <c r="C722" s="75" t="s">
        <v>1003</v>
      </c>
    </row>
    <row r="723">
      <c r="A723" s="75" t="s">
        <v>3719</v>
      </c>
      <c r="B723" s="75" t="s">
        <v>3191</v>
      </c>
      <c r="C723" s="75">
        <v>58.0</v>
      </c>
    </row>
    <row r="724">
      <c r="A724" s="75" t="s">
        <v>3719</v>
      </c>
      <c r="B724" s="75" t="s">
        <v>3186</v>
      </c>
      <c r="C724" s="75">
        <v>58.0</v>
      </c>
    </row>
    <row r="725">
      <c r="A725" s="75" t="s">
        <v>3719</v>
      </c>
      <c r="B725" s="75" t="s">
        <v>3189</v>
      </c>
      <c r="C725" s="75">
        <v>58.0</v>
      </c>
    </row>
    <row r="726">
      <c r="A726" s="75" t="s">
        <v>3720</v>
      </c>
      <c r="B726" s="75" t="s">
        <v>3186</v>
      </c>
      <c r="C726" s="75">
        <v>57.0</v>
      </c>
    </row>
    <row r="727">
      <c r="A727" s="75" t="s">
        <v>3721</v>
      </c>
      <c r="B727" s="75" t="s">
        <v>3191</v>
      </c>
      <c r="C727" s="75" t="s">
        <v>1003</v>
      </c>
    </row>
    <row r="728">
      <c r="A728" s="75" t="s">
        <v>3721</v>
      </c>
      <c r="B728" s="75" t="s">
        <v>3189</v>
      </c>
      <c r="C728" s="75">
        <v>56.0</v>
      </c>
    </row>
    <row r="729">
      <c r="A729" s="75" t="s">
        <v>3722</v>
      </c>
      <c r="B729" s="75" t="s">
        <v>3189</v>
      </c>
      <c r="C729" s="75" t="s">
        <v>1003</v>
      </c>
    </row>
    <row r="730">
      <c r="A730" s="75" t="s">
        <v>3723</v>
      </c>
      <c r="B730" s="75" t="s">
        <v>3191</v>
      </c>
      <c r="C730" s="75">
        <v>60.0</v>
      </c>
    </row>
    <row r="731">
      <c r="A731" s="75" t="s">
        <v>3724</v>
      </c>
      <c r="B731" s="75" t="s">
        <v>3189</v>
      </c>
      <c r="C731" s="75">
        <v>57.0</v>
      </c>
    </row>
    <row r="732">
      <c r="A732" s="75" t="s">
        <v>3725</v>
      </c>
      <c r="B732" s="75" t="s">
        <v>3287</v>
      </c>
      <c r="C732" s="75">
        <v>52.0</v>
      </c>
    </row>
    <row r="733">
      <c r="A733" s="75" t="s">
        <v>3726</v>
      </c>
      <c r="B733" s="75" t="s">
        <v>3187</v>
      </c>
      <c r="C733" s="75">
        <v>50.0</v>
      </c>
    </row>
    <row r="734">
      <c r="A734" s="75" t="s">
        <v>3727</v>
      </c>
      <c r="B734" s="75" t="s">
        <v>3189</v>
      </c>
      <c r="C734" s="75">
        <v>48.0</v>
      </c>
    </row>
    <row r="735">
      <c r="A735" s="75" t="s">
        <v>3728</v>
      </c>
      <c r="B735" s="75" t="s">
        <v>3189</v>
      </c>
      <c r="C735" s="75">
        <v>49.0</v>
      </c>
    </row>
    <row r="736">
      <c r="A736" s="75" t="s">
        <v>3729</v>
      </c>
      <c r="B736" s="75" t="s">
        <v>3186</v>
      </c>
      <c r="C736" s="75">
        <v>49.0</v>
      </c>
    </row>
    <row r="737">
      <c r="A737" s="75" t="s">
        <v>3730</v>
      </c>
      <c r="B737" s="75" t="s">
        <v>3186</v>
      </c>
      <c r="C737" s="75">
        <v>48.0</v>
      </c>
    </row>
    <row r="738">
      <c r="A738" s="75" t="s">
        <v>3731</v>
      </c>
      <c r="B738" s="75" t="s">
        <v>3186</v>
      </c>
      <c r="C738" s="75">
        <v>60.0</v>
      </c>
    </row>
    <row r="739">
      <c r="A739" s="75" t="s">
        <v>3732</v>
      </c>
      <c r="B739" s="75" t="s">
        <v>3191</v>
      </c>
      <c r="C739" s="75">
        <v>53.0</v>
      </c>
    </row>
    <row r="740">
      <c r="A740" s="75" t="s">
        <v>3733</v>
      </c>
      <c r="B740" s="75" t="s">
        <v>3189</v>
      </c>
      <c r="C740" s="75">
        <v>52.0</v>
      </c>
    </row>
    <row r="741">
      <c r="A741" s="75" t="s">
        <v>3734</v>
      </c>
      <c r="B741" s="75" t="s">
        <v>3191</v>
      </c>
      <c r="C741" s="75">
        <v>49.0</v>
      </c>
    </row>
    <row r="742">
      <c r="A742" s="75" t="s">
        <v>3735</v>
      </c>
      <c r="B742" s="75" t="s">
        <v>3189</v>
      </c>
      <c r="C742" s="75">
        <v>52.0</v>
      </c>
    </row>
    <row r="743">
      <c r="A743" s="75" t="s">
        <v>3736</v>
      </c>
      <c r="B743" s="75" t="s">
        <v>3191</v>
      </c>
      <c r="C743" s="75">
        <v>52.0</v>
      </c>
    </row>
    <row r="744">
      <c r="A744" s="75" t="s">
        <v>3737</v>
      </c>
      <c r="B744" s="75" t="s">
        <v>3191</v>
      </c>
      <c r="C744" s="75">
        <v>50.0</v>
      </c>
    </row>
    <row r="745">
      <c r="A745" s="75" t="s">
        <v>3737</v>
      </c>
      <c r="B745" s="75" t="s">
        <v>3186</v>
      </c>
      <c r="C745" s="75">
        <v>50.0</v>
      </c>
    </row>
    <row r="746">
      <c r="A746" s="75" t="s">
        <v>3738</v>
      </c>
      <c r="B746" s="75" t="s">
        <v>3186</v>
      </c>
      <c r="C746" s="75">
        <v>53.0</v>
      </c>
    </row>
    <row r="747">
      <c r="A747" s="75" t="s">
        <v>3739</v>
      </c>
      <c r="B747" s="75" t="s">
        <v>3191</v>
      </c>
      <c r="C747" s="75">
        <v>52.0</v>
      </c>
    </row>
    <row r="748">
      <c r="A748" s="75" t="s">
        <v>3740</v>
      </c>
      <c r="B748" s="75" t="s">
        <v>3186</v>
      </c>
      <c r="C748" s="75" t="s">
        <v>1003</v>
      </c>
    </row>
    <row r="749">
      <c r="A749" s="75" t="s">
        <v>3741</v>
      </c>
      <c r="B749" s="75" t="s">
        <v>3186</v>
      </c>
      <c r="C749" s="75" t="s">
        <v>1003</v>
      </c>
    </row>
    <row r="750">
      <c r="A750" s="75" t="s">
        <v>3742</v>
      </c>
      <c r="B750" s="75" t="s">
        <v>3189</v>
      </c>
      <c r="C750" s="75" t="s">
        <v>1003</v>
      </c>
    </row>
    <row r="751">
      <c r="A751" s="75" t="s">
        <v>3743</v>
      </c>
      <c r="B751" s="75" t="s">
        <v>3744</v>
      </c>
      <c r="C751" s="75">
        <v>53.0</v>
      </c>
    </row>
    <row r="752">
      <c r="A752" s="75" t="s">
        <v>3745</v>
      </c>
      <c r="B752" s="75" t="s">
        <v>3186</v>
      </c>
      <c r="C752" s="75">
        <v>49.0</v>
      </c>
    </row>
    <row r="753">
      <c r="A753" s="75" t="s">
        <v>3746</v>
      </c>
      <c r="B753" s="75" t="s">
        <v>3187</v>
      </c>
      <c r="C753" s="75">
        <v>49.0</v>
      </c>
    </row>
    <row r="754">
      <c r="A754" s="75" t="s">
        <v>3747</v>
      </c>
      <c r="B754" s="75" t="s">
        <v>3191</v>
      </c>
      <c r="C754" s="75">
        <v>53.0</v>
      </c>
    </row>
    <row r="755">
      <c r="A755" s="75" t="s">
        <v>3748</v>
      </c>
      <c r="B755" s="75" t="s">
        <v>3749</v>
      </c>
      <c r="C755" s="75">
        <v>54.0</v>
      </c>
    </row>
    <row r="756">
      <c r="A756" s="75" t="s">
        <v>3750</v>
      </c>
      <c r="B756" s="75">
        <v>232.0</v>
      </c>
      <c r="C756" s="75" t="s">
        <v>1003</v>
      </c>
    </row>
    <row r="757">
      <c r="A757" s="75" t="s">
        <v>3751</v>
      </c>
      <c r="B757" s="75" t="s">
        <v>3186</v>
      </c>
      <c r="C757" s="75">
        <v>54.0</v>
      </c>
    </row>
    <row r="758">
      <c r="A758" s="75" t="s">
        <v>3751</v>
      </c>
      <c r="B758" s="75" t="s">
        <v>3189</v>
      </c>
      <c r="C758" s="75">
        <v>54.0</v>
      </c>
    </row>
    <row r="759">
      <c r="A759" s="75" t="s">
        <v>3752</v>
      </c>
      <c r="B759" s="75" t="s">
        <v>3189</v>
      </c>
      <c r="C759" s="75">
        <v>54.0</v>
      </c>
    </row>
    <row r="760">
      <c r="A760" s="75" t="s">
        <v>3753</v>
      </c>
      <c r="B760" s="75" t="s">
        <v>3186</v>
      </c>
      <c r="C760" s="75">
        <v>54.0</v>
      </c>
    </row>
    <row r="761">
      <c r="A761" s="104" t="s">
        <v>3754</v>
      </c>
      <c r="B761" s="104" t="s">
        <v>3186</v>
      </c>
      <c r="C761" s="104" t="s">
        <v>1003</v>
      </c>
    </row>
    <row r="762">
      <c r="A762" s="104" t="s">
        <v>3755</v>
      </c>
      <c r="B762" s="104" t="s">
        <v>3191</v>
      </c>
      <c r="C762" s="104">
        <v>54.0</v>
      </c>
    </row>
    <row r="763">
      <c r="A763" s="75" t="s">
        <v>3756</v>
      </c>
      <c r="B763" s="75" t="s">
        <v>3186</v>
      </c>
      <c r="C763" s="75">
        <v>54.0</v>
      </c>
    </row>
    <row r="764">
      <c r="A764" s="75" t="s">
        <v>3757</v>
      </c>
      <c r="B764" s="75" t="s">
        <v>3191</v>
      </c>
      <c r="C764" s="75">
        <v>54.0</v>
      </c>
    </row>
    <row r="765">
      <c r="A765" s="75" t="s">
        <v>3757</v>
      </c>
      <c r="B765" s="75" t="s">
        <v>3189</v>
      </c>
      <c r="C765" s="75">
        <v>54.0</v>
      </c>
    </row>
    <row r="766">
      <c r="A766" s="75" t="s">
        <v>3758</v>
      </c>
      <c r="B766" s="75" t="s">
        <v>3186</v>
      </c>
      <c r="C766" s="75">
        <v>54.0</v>
      </c>
    </row>
    <row r="767">
      <c r="A767" s="75" t="s">
        <v>3759</v>
      </c>
      <c r="B767" s="75" t="s">
        <v>3186</v>
      </c>
      <c r="C767" s="75">
        <v>54.0</v>
      </c>
    </row>
    <row r="768">
      <c r="A768" s="75" t="s">
        <v>3760</v>
      </c>
      <c r="B768" s="75" t="s">
        <v>3191</v>
      </c>
      <c r="C768" s="75">
        <v>54.0</v>
      </c>
    </row>
    <row r="769">
      <c r="A769" s="75" t="s">
        <v>3760</v>
      </c>
      <c r="B769" s="75" t="s">
        <v>3186</v>
      </c>
      <c r="C769" s="75">
        <v>54.0</v>
      </c>
    </row>
    <row r="770">
      <c r="A770" s="75" t="s">
        <v>3761</v>
      </c>
      <c r="B770" s="75" t="s">
        <v>3191</v>
      </c>
      <c r="C770" s="75">
        <v>54.0</v>
      </c>
    </row>
    <row r="771">
      <c r="A771" s="75" t="s">
        <v>3761</v>
      </c>
      <c r="B771" s="75" t="s">
        <v>3186</v>
      </c>
      <c r="C771" s="75">
        <v>54.0</v>
      </c>
    </row>
    <row r="772">
      <c r="A772" s="75" t="s">
        <v>3761</v>
      </c>
      <c r="B772" s="75" t="s">
        <v>3189</v>
      </c>
      <c r="C772" s="75">
        <v>54.0</v>
      </c>
    </row>
    <row r="773">
      <c r="A773" s="15" t="s">
        <v>3762</v>
      </c>
      <c r="B773" s="15" t="s">
        <v>3186</v>
      </c>
      <c r="C773" s="15">
        <v>54.0</v>
      </c>
    </row>
    <row r="774">
      <c r="A774" s="15" t="s">
        <v>3762</v>
      </c>
      <c r="B774" s="15" t="s">
        <v>3189</v>
      </c>
      <c r="C774" s="15">
        <v>54.0</v>
      </c>
    </row>
    <row r="775">
      <c r="A775" s="75" t="s">
        <v>3763</v>
      </c>
      <c r="B775" s="75" t="s">
        <v>3191</v>
      </c>
      <c r="C775" s="75">
        <v>54.0</v>
      </c>
    </row>
    <row r="776">
      <c r="A776" s="75" t="s">
        <v>3763</v>
      </c>
      <c r="B776" s="75" t="s">
        <v>3186</v>
      </c>
      <c r="C776" s="75">
        <v>54.0</v>
      </c>
    </row>
    <row r="777">
      <c r="A777" s="75" t="s">
        <v>3764</v>
      </c>
      <c r="B777" s="75" t="s">
        <v>3189</v>
      </c>
      <c r="C777" s="75">
        <v>54.0</v>
      </c>
    </row>
    <row r="778">
      <c r="A778" s="75" t="s">
        <v>3765</v>
      </c>
      <c r="B778" s="75">
        <v>168.0</v>
      </c>
      <c r="C778" s="75">
        <v>54.0</v>
      </c>
    </row>
    <row r="779">
      <c r="A779" s="75" t="s">
        <v>3766</v>
      </c>
      <c r="B779" s="75">
        <v>2197.0</v>
      </c>
      <c r="C779" s="75">
        <v>52.0</v>
      </c>
    </row>
    <row r="780">
      <c r="A780" s="75" t="s">
        <v>3767</v>
      </c>
      <c r="B780" s="75">
        <v>2209.0</v>
      </c>
      <c r="C780" s="75">
        <v>52.0</v>
      </c>
    </row>
    <row r="781">
      <c r="A781" s="75" t="s">
        <v>3768</v>
      </c>
      <c r="B781" s="75">
        <v>2019.0</v>
      </c>
      <c r="C781" s="75">
        <v>50.0</v>
      </c>
    </row>
    <row r="782">
      <c r="A782" s="75" t="s">
        <v>3769</v>
      </c>
      <c r="B782" s="75">
        <v>1010.0</v>
      </c>
      <c r="C782" s="75">
        <v>49.0</v>
      </c>
    </row>
    <row r="783">
      <c r="A783" s="75" t="s">
        <v>3770</v>
      </c>
      <c r="B783" s="75">
        <v>1032.0</v>
      </c>
      <c r="C783" s="75">
        <v>53.0</v>
      </c>
    </row>
    <row r="784">
      <c r="A784" s="75" t="s">
        <v>3771</v>
      </c>
      <c r="B784" s="75">
        <v>1006.0</v>
      </c>
      <c r="C784" s="75">
        <v>52.0</v>
      </c>
    </row>
    <row r="785">
      <c r="A785" s="75" t="s">
        <v>3771</v>
      </c>
      <c r="B785" s="75" t="s">
        <v>3772</v>
      </c>
      <c r="C785" s="75">
        <v>50.0</v>
      </c>
    </row>
    <row r="786">
      <c r="A786" s="75" t="s">
        <v>3773</v>
      </c>
      <c r="B786" s="75">
        <v>52.0</v>
      </c>
      <c r="C786" s="75">
        <v>54.0</v>
      </c>
    </row>
    <row r="787">
      <c r="A787" s="75" t="s">
        <v>3774</v>
      </c>
      <c r="B787" s="75" t="s">
        <v>3775</v>
      </c>
      <c r="C787" s="75">
        <v>51.0</v>
      </c>
    </row>
    <row r="788">
      <c r="A788" s="75" t="s">
        <v>3776</v>
      </c>
      <c r="B788" s="75" t="s">
        <v>3777</v>
      </c>
      <c r="C788" s="75">
        <v>60.0</v>
      </c>
    </row>
    <row r="789">
      <c r="A789" s="75" t="s">
        <v>3778</v>
      </c>
      <c r="B789" s="75" t="s">
        <v>3779</v>
      </c>
      <c r="C789" s="75">
        <v>58.0</v>
      </c>
    </row>
    <row r="790">
      <c r="A790" s="75" t="s">
        <v>3778</v>
      </c>
      <c r="B790" s="75" t="s">
        <v>3780</v>
      </c>
      <c r="C790" s="75">
        <v>58.0</v>
      </c>
    </row>
    <row r="791">
      <c r="A791" s="75" t="s">
        <v>3781</v>
      </c>
      <c r="B791" s="75" t="s">
        <v>3782</v>
      </c>
      <c r="C791" s="75">
        <v>62.0</v>
      </c>
    </row>
    <row r="792">
      <c r="A792" s="75" t="s">
        <v>3783</v>
      </c>
      <c r="B792" s="75" t="s">
        <v>3186</v>
      </c>
      <c r="C792" s="75">
        <v>49.0</v>
      </c>
    </row>
    <row r="793">
      <c r="A793" s="75" t="s">
        <v>3784</v>
      </c>
      <c r="B793" s="75" t="s">
        <v>3186</v>
      </c>
      <c r="C793" s="75">
        <v>53.0</v>
      </c>
    </row>
    <row r="794">
      <c r="A794" s="75" t="s">
        <v>3785</v>
      </c>
      <c r="B794" s="75" t="s">
        <v>3186</v>
      </c>
      <c r="C794" s="75">
        <v>51.0</v>
      </c>
    </row>
    <row r="795">
      <c r="A795" s="75" t="s">
        <v>3785</v>
      </c>
      <c r="B795" s="75" t="s">
        <v>3187</v>
      </c>
      <c r="C795" s="75">
        <v>51.0</v>
      </c>
    </row>
    <row r="796">
      <c r="A796" s="75" t="s">
        <v>3786</v>
      </c>
      <c r="B796" s="75" t="s">
        <v>3195</v>
      </c>
      <c r="C796" s="75">
        <v>53.0</v>
      </c>
    </row>
    <row r="797">
      <c r="A797" s="75" t="s">
        <v>3787</v>
      </c>
      <c r="B797" s="75" t="s">
        <v>3191</v>
      </c>
      <c r="C797" s="75" t="s">
        <v>1003</v>
      </c>
    </row>
    <row r="798">
      <c r="A798" s="75" t="s">
        <v>3788</v>
      </c>
      <c r="B798" s="75" t="s">
        <v>3189</v>
      </c>
      <c r="C798" s="75" t="s">
        <v>1003</v>
      </c>
    </row>
    <row r="799">
      <c r="A799" s="75" t="s">
        <v>1708</v>
      </c>
      <c r="B799" s="75"/>
      <c r="C799" s="75"/>
    </row>
    <row r="800">
      <c r="A800" s="75" t="s">
        <v>3789</v>
      </c>
      <c r="B800" s="75">
        <v>110011.0</v>
      </c>
      <c r="C800" s="75">
        <v>54.0</v>
      </c>
    </row>
    <row r="801">
      <c r="A801" s="75" t="s">
        <v>3790</v>
      </c>
      <c r="B801" s="75" t="s">
        <v>3791</v>
      </c>
      <c r="C801" s="75">
        <v>55.0</v>
      </c>
    </row>
    <row r="802">
      <c r="A802" s="75" t="s">
        <v>3792</v>
      </c>
      <c r="B802" s="75">
        <v>1.0</v>
      </c>
      <c r="C802" s="75">
        <v>55.0</v>
      </c>
    </row>
    <row r="803">
      <c r="A803" s="75" t="s">
        <v>3793</v>
      </c>
      <c r="B803" s="75">
        <v>49.0</v>
      </c>
      <c r="C803" s="75">
        <v>62.0</v>
      </c>
    </row>
    <row r="804">
      <c r="A804" s="75" t="s">
        <v>3794</v>
      </c>
      <c r="B804" s="75">
        <v>16.0</v>
      </c>
      <c r="C804" s="75">
        <v>59.0</v>
      </c>
    </row>
    <row r="805">
      <c r="A805" s="75" t="s">
        <v>3795</v>
      </c>
      <c r="B805" s="75">
        <v>13.0</v>
      </c>
      <c r="C805" s="75">
        <v>57.0</v>
      </c>
    </row>
    <row r="806">
      <c r="A806" s="75" t="s">
        <v>3796</v>
      </c>
      <c r="B806" s="75">
        <v>2.0</v>
      </c>
      <c r="C806" s="75">
        <v>59.0</v>
      </c>
    </row>
    <row r="807">
      <c r="A807" s="75" t="s">
        <v>3797</v>
      </c>
      <c r="B807" s="75">
        <v>4.0</v>
      </c>
      <c r="C807" s="75">
        <v>63.0</v>
      </c>
    </row>
    <row r="808">
      <c r="A808" s="75" t="s">
        <v>3798</v>
      </c>
      <c r="B808" s="75">
        <v>5.0</v>
      </c>
      <c r="C808" s="75">
        <v>57.0</v>
      </c>
    </row>
    <row r="809">
      <c r="A809" s="75" t="s">
        <v>3799</v>
      </c>
      <c r="B809" s="75">
        <v>4.0</v>
      </c>
      <c r="C809" s="75">
        <v>52.0</v>
      </c>
    </row>
    <row r="810">
      <c r="A810" s="75" t="s">
        <v>3799</v>
      </c>
      <c r="B810" s="75">
        <v>6.0</v>
      </c>
      <c r="C810" s="75">
        <v>52.0</v>
      </c>
    </row>
    <row r="811">
      <c r="A811" s="75" t="s">
        <v>3800</v>
      </c>
      <c r="B811" s="75">
        <v>6.0</v>
      </c>
      <c r="C811" s="75">
        <v>52.0</v>
      </c>
    </row>
    <row r="812">
      <c r="A812" s="75" t="s">
        <v>3801</v>
      </c>
      <c r="B812" s="75" t="s">
        <v>3187</v>
      </c>
      <c r="C812" s="75">
        <v>51.0</v>
      </c>
    </row>
    <row r="813">
      <c r="A813" s="75" t="s">
        <v>3801</v>
      </c>
      <c r="B813" s="75" t="s">
        <v>3191</v>
      </c>
      <c r="C813" s="75">
        <v>51.0</v>
      </c>
    </row>
    <row r="814">
      <c r="A814" s="75" t="s">
        <v>3801</v>
      </c>
      <c r="B814" s="75" t="s">
        <v>3186</v>
      </c>
      <c r="C814" s="75">
        <v>51.0</v>
      </c>
    </row>
    <row r="815">
      <c r="A815" s="75" t="s">
        <v>3801</v>
      </c>
      <c r="B815" s="75" t="s">
        <v>3195</v>
      </c>
      <c r="C815" s="75">
        <v>51.0</v>
      </c>
    </row>
    <row r="816">
      <c r="A816" s="75" t="s">
        <v>3802</v>
      </c>
      <c r="B816" s="75" t="s">
        <v>3186</v>
      </c>
      <c r="C816" s="75">
        <v>53.0</v>
      </c>
    </row>
    <row r="817">
      <c r="A817" s="75" t="s">
        <v>3803</v>
      </c>
      <c r="B817" s="75" t="s">
        <v>3186</v>
      </c>
      <c r="C817" s="75">
        <v>53.0</v>
      </c>
    </row>
    <row r="818">
      <c r="A818" s="75" t="s">
        <v>3804</v>
      </c>
      <c r="B818" s="75" t="s">
        <v>3191</v>
      </c>
      <c r="C818" s="75">
        <v>53.0</v>
      </c>
    </row>
    <row r="819">
      <c r="A819" s="75" t="s">
        <v>3804</v>
      </c>
      <c r="B819" s="75" t="s">
        <v>3186</v>
      </c>
      <c r="C819" s="75">
        <v>53.0</v>
      </c>
    </row>
    <row r="820">
      <c r="A820" s="75" t="s">
        <v>3804</v>
      </c>
      <c r="B820" s="75" t="s">
        <v>3287</v>
      </c>
      <c r="C820" s="75">
        <v>53.0</v>
      </c>
    </row>
    <row r="821">
      <c r="A821" s="75" t="s">
        <v>3805</v>
      </c>
      <c r="B821" s="75" t="s">
        <v>3597</v>
      </c>
      <c r="C821" s="75">
        <v>52.0</v>
      </c>
    </row>
    <row r="822">
      <c r="A822" s="75" t="s">
        <v>3806</v>
      </c>
      <c r="B822" s="75" t="s">
        <v>3807</v>
      </c>
      <c r="C822" s="75">
        <v>53.0</v>
      </c>
    </row>
    <row r="823">
      <c r="A823" s="75" t="s">
        <v>3808</v>
      </c>
      <c r="B823" s="75" t="s">
        <v>3292</v>
      </c>
      <c r="C823" s="75">
        <v>54.0</v>
      </c>
    </row>
    <row r="824">
      <c r="A824" s="75" t="s">
        <v>3809</v>
      </c>
      <c r="B824" s="75" t="s">
        <v>3292</v>
      </c>
      <c r="C824" s="75">
        <v>52.0</v>
      </c>
    </row>
    <row r="825">
      <c r="A825" s="75" t="s">
        <v>3810</v>
      </c>
      <c r="B825" s="75" t="s">
        <v>3292</v>
      </c>
      <c r="C825" s="75">
        <v>51.0</v>
      </c>
    </row>
    <row r="826">
      <c r="A826" s="75" t="s">
        <v>3811</v>
      </c>
      <c r="B826" s="75" t="s">
        <v>3686</v>
      </c>
      <c r="C826" s="75">
        <v>50.0</v>
      </c>
    </row>
    <row r="827">
      <c r="A827" s="75" t="s">
        <v>3812</v>
      </c>
      <c r="B827" s="75">
        <v>6.0</v>
      </c>
      <c r="C827" s="75">
        <v>53.0</v>
      </c>
    </row>
    <row r="828">
      <c r="A828" s="75" t="s">
        <v>3813</v>
      </c>
      <c r="B828" s="75">
        <v>3.0</v>
      </c>
      <c r="C828" s="75">
        <v>53.0</v>
      </c>
    </row>
    <row r="829">
      <c r="A829" s="75" t="s">
        <v>3814</v>
      </c>
      <c r="B829" s="75" t="s">
        <v>3292</v>
      </c>
      <c r="C829" s="75" t="s">
        <v>1003</v>
      </c>
    </row>
    <row r="830">
      <c r="A830" s="75" t="s">
        <v>3814</v>
      </c>
      <c r="B830" s="75" t="s">
        <v>3815</v>
      </c>
      <c r="C830" s="75" t="s">
        <v>1003</v>
      </c>
    </row>
    <row r="831">
      <c r="A831" s="75" t="s">
        <v>3816</v>
      </c>
      <c r="B831" s="75" t="s">
        <v>3815</v>
      </c>
      <c r="C831" s="75" t="s">
        <v>1003</v>
      </c>
    </row>
    <row r="832">
      <c r="A832" s="75" t="s">
        <v>3817</v>
      </c>
      <c r="B832" s="75" t="s">
        <v>3818</v>
      </c>
      <c r="C832" s="75" t="s">
        <v>1003</v>
      </c>
    </row>
    <row r="833">
      <c r="A833" s="75" t="s">
        <v>3819</v>
      </c>
      <c r="B833" s="75" t="s">
        <v>3815</v>
      </c>
      <c r="C833" s="75">
        <v>54.0</v>
      </c>
    </row>
    <row r="834">
      <c r="A834" s="75" t="s">
        <v>3820</v>
      </c>
      <c r="B834" s="75" t="s">
        <v>3821</v>
      </c>
      <c r="C834" s="75" t="s">
        <v>1003</v>
      </c>
    </row>
    <row r="835">
      <c r="A835" s="75" t="s">
        <v>3822</v>
      </c>
      <c r="B835" s="75" t="s">
        <v>3818</v>
      </c>
      <c r="C835" s="75" t="s">
        <v>1003</v>
      </c>
    </row>
    <row r="836">
      <c r="A836" s="75" t="s">
        <v>3823</v>
      </c>
      <c r="B836" s="75" t="s">
        <v>3815</v>
      </c>
      <c r="C836" s="75">
        <v>58.0</v>
      </c>
    </row>
    <row r="837">
      <c r="A837" s="75" t="s">
        <v>3824</v>
      </c>
      <c r="B837" s="75" t="s">
        <v>3818</v>
      </c>
      <c r="C837" s="75" t="s">
        <v>1003</v>
      </c>
    </row>
    <row r="838">
      <c r="A838" s="75" t="s">
        <v>3824</v>
      </c>
      <c r="B838" s="75" t="s">
        <v>3815</v>
      </c>
      <c r="C838" s="75">
        <v>61.0</v>
      </c>
    </row>
    <row r="839">
      <c r="A839" s="75" t="s">
        <v>3825</v>
      </c>
      <c r="B839" s="75" t="s">
        <v>3292</v>
      </c>
      <c r="C839" s="75">
        <v>60.0</v>
      </c>
    </row>
    <row r="840">
      <c r="A840" s="75" t="s">
        <v>3825</v>
      </c>
      <c r="B840" s="75" t="s">
        <v>3815</v>
      </c>
      <c r="C840" s="75">
        <v>50.0</v>
      </c>
    </row>
    <row r="841">
      <c r="A841" s="75" t="s">
        <v>3826</v>
      </c>
      <c r="B841" s="75" t="s">
        <v>3815</v>
      </c>
      <c r="C841" s="75" t="s">
        <v>1003</v>
      </c>
    </row>
    <row r="842">
      <c r="A842" s="75" t="s">
        <v>3827</v>
      </c>
      <c r="B842" s="75" t="s">
        <v>3818</v>
      </c>
      <c r="C842" s="75" t="s">
        <v>1003</v>
      </c>
    </row>
    <row r="843">
      <c r="A843" s="75" t="s">
        <v>3828</v>
      </c>
      <c r="B843" s="75" t="s">
        <v>3292</v>
      </c>
      <c r="C843" s="75" t="s">
        <v>1003</v>
      </c>
    </row>
    <row r="844">
      <c r="A844" s="75" t="s">
        <v>3829</v>
      </c>
      <c r="B844" s="75" t="s">
        <v>3292</v>
      </c>
      <c r="C844" s="75" t="s">
        <v>1003</v>
      </c>
    </row>
    <row r="845">
      <c r="A845" s="75" t="s">
        <v>3830</v>
      </c>
      <c r="B845" s="75" t="s">
        <v>3815</v>
      </c>
      <c r="C845" s="75" t="s">
        <v>1003</v>
      </c>
    </row>
    <row r="846">
      <c r="A846" s="75" t="s">
        <v>3831</v>
      </c>
      <c r="B846" s="75" t="s">
        <v>3832</v>
      </c>
      <c r="C846" s="75">
        <v>56.0</v>
      </c>
    </row>
    <row r="847">
      <c r="A847" s="75" t="s">
        <v>3833</v>
      </c>
      <c r="B847" s="75" t="s">
        <v>3834</v>
      </c>
      <c r="C847" s="75">
        <v>55.0</v>
      </c>
    </row>
    <row r="848">
      <c r="A848" s="75" t="s">
        <v>3835</v>
      </c>
      <c r="B848" s="75" t="s">
        <v>3836</v>
      </c>
      <c r="C848" s="75">
        <v>62.0</v>
      </c>
    </row>
    <row r="849">
      <c r="A849" s="75" t="s">
        <v>3837</v>
      </c>
      <c r="B849" s="75" t="s">
        <v>3838</v>
      </c>
      <c r="C849" s="75">
        <v>55.0</v>
      </c>
    </row>
    <row r="850">
      <c r="A850" s="75" t="s">
        <v>1789</v>
      </c>
      <c r="B850" s="75"/>
      <c r="C850" s="75"/>
    </row>
    <row r="851">
      <c r="A851" s="75" t="s">
        <v>3839</v>
      </c>
      <c r="B851" s="75" t="s">
        <v>3840</v>
      </c>
      <c r="C851" s="75">
        <v>53.0</v>
      </c>
    </row>
    <row r="852">
      <c r="A852" s="75" t="s">
        <v>3841</v>
      </c>
      <c r="B852" s="75" t="s">
        <v>3842</v>
      </c>
      <c r="C852" s="75">
        <v>55.0</v>
      </c>
    </row>
    <row r="853">
      <c r="A853" s="75" t="s">
        <v>3843</v>
      </c>
      <c r="B853" s="75" t="s">
        <v>3818</v>
      </c>
      <c r="C853" s="75">
        <v>60.0</v>
      </c>
    </row>
    <row r="854">
      <c r="A854" s="75" t="s">
        <v>3844</v>
      </c>
      <c r="B854" s="75" t="s">
        <v>3292</v>
      </c>
      <c r="C854" s="75" t="s">
        <v>1003</v>
      </c>
    </row>
    <row r="855">
      <c r="A855" s="75" t="s">
        <v>3844</v>
      </c>
      <c r="B855" s="75" t="s">
        <v>3815</v>
      </c>
      <c r="C855" s="75" t="s">
        <v>1003</v>
      </c>
    </row>
    <row r="856">
      <c r="A856" s="75" t="s">
        <v>3845</v>
      </c>
      <c r="B856" s="75" t="s">
        <v>3821</v>
      </c>
      <c r="C856" s="75">
        <v>58.0</v>
      </c>
    </row>
    <row r="857">
      <c r="A857" s="75" t="s">
        <v>3846</v>
      </c>
      <c r="B857" s="75" t="s">
        <v>3847</v>
      </c>
      <c r="C857" s="75">
        <v>63.0</v>
      </c>
    </row>
    <row r="858">
      <c r="A858" s="75" t="s">
        <v>3848</v>
      </c>
      <c r="B858" s="75" t="s">
        <v>3849</v>
      </c>
      <c r="C858" s="75">
        <v>64.0</v>
      </c>
    </row>
    <row r="859">
      <c r="A859" s="75" t="s">
        <v>3850</v>
      </c>
      <c r="B859" s="75" t="s">
        <v>3779</v>
      </c>
      <c r="C859" s="75">
        <v>61.0</v>
      </c>
    </row>
    <row r="860">
      <c r="A860" s="75" t="s">
        <v>3851</v>
      </c>
      <c r="B860" s="75">
        <v>710.0</v>
      </c>
      <c r="C860" s="75">
        <v>58.0</v>
      </c>
    </row>
    <row r="861">
      <c r="A861" s="75" t="s">
        <v>3851</v>
      </c>
      <c r="B861" s="75">
        <v>71051.0</v>
      </c>
      <c r="C861" s="75">
        <v>55.0</v>
      </c>
    </row>
    <row r="862">
      <c r="A862" s="75" t="s">
        <v>3851</v>
      </c>
      <c r="B862" s="75">
        <v>90158.0</v>
      </c>
      <c r="C862" s="75">
        <v>55.0</v>
      </c>
    </row>
    <row r="863">
      <c r="A863" s="75" t="s">
        <v>3851</v>
      </c>
      <c r="B863" s="75">
        <v>902.0</v>
      </c>
      <c r="C863" s="75">
        <v>52.0</v>
      </c>
    </row>
    <row r="864">
      <c r="A864" s="75" t="s">
        <v>3852</v>
      </c>
      <c r="B864" s="75">
        <v>955.0</v>
      </c>
      <c r="C864" s="75">
        <v>52.0</v>
      </c>
    </row>
    <row r="865">
      <c r="A865" s="75" t="s">
        <v>3853</v>
      </c>
      <c r="B865" s="75" t="s">
        <v>3854</v>
      </c>
      <c r="C865" s="75">
        <v>49.0</v>
      </c>
    </row>
    <row r="866">
      <c r="A866" s="75" t="s">
        <v>3855</v>
      </c>
      <c r="B866" s="75">
        <v>710.0</v>
      </c>
      <c r="C866" s="75">
        <v>51.0</v>
      </c>
    </row>
    <row r="867">
      <c r="A867" s="75" t="s">
        <v>3856</v>
      </c>
      <c r="B867" s="75">
        <v>114517.0</v>
      </c>
      <c r="C867" s="75">
        <v>51.0</v>
      </c>
    </row>
    <row r="868">
      <c r="A868" s="75" t="s">
        <v>3857</v>
      </c>
      <c r="B868" s="75">
        <v>168.0</v>
      </c>
      <c r="C868" s="75">
        <v>58.0</v>
      </c>
    </row>
    <row r="869">
      <c r="A869" s="75" t="s">
        <v>3856</v>
      </c>
      <c r="B869" s="75">
        <v>1160.0</v>
      </c>
      <c r="C869" s="75">
        <v>51.0</v>
      </c>
    </row>
    <row r="870">
      <c r="A870" s="75" t="s">
        <v>3857</v>
      </c>
      <c r="B870" s="75">
        <v>133.0</v>
      </c>
      <c r="C870" s="75">
        <v>58.0</v>
      </c>
    </row>
    <row r="871">
      <c r="A871" s="75" t="s">
        <v>3857</v>
      </c>
      <c r="B871" s="75" t="s">
        <v>3858</v>
      </c>
      <c r="C871" s="75">
        <v>55.0</v>
      </c>
    </row>
    <row r="872">
      <c r="A872" s="75" t="s">
        <v>3857</v>
      </c>
      <c r="B872" s="75" t="s">
        <v>3858</v>
      </c>
      <c r="C872" s="75">
        <v>62.0</v>
      </c>
    </row>
    <row r="873">
      <c r="A873" s="75" t="s">
        <v>3857</v>
      </c>
      <c r="B873" s="75" t="s">
        <v>3859</v>
      </c>
      <c r="C873" s="75">
        <v>58.0</v>
      </c>
    </row>
    <row r="874">
      <c r="A874" s="75" t="s">
        <v>3857</v>
      </c>
      <c r="B874" s="75">
        <v>16.0</v>
      </c>
      <c r="C874" s="75">
        <v>55.0</v>
      </c>
    </row>
    <row r="875">
      <c r="A875" s="75" t="s">
        <v>3857</v>
      </c>
      <c r="B875" s="75">
        <v>11217.0</v>
      </c>
      <c r="C875" s="75">
        <v>58.0</v>
      </c>
    </row>
    <row r="876">
      <c r="A876" s="75" t="s">
        <v>3857</v>
      </c>
      <c r="B876" s="75">
        <v>11217.0</v>
      </c>
      <c r="C876" s="75">
        <v>55.0</v>
      </c>
    </row>
    <row r="877">
      <c r="A877" s="75" t="s">
        <v>3857</v>
      </c>
      <c r="B877" s="75">
        <v>151.0</v>
      </c>
      <c r="C877" s="75">
        <v>55.0</v>
      </c>
    </row>
    <row r="878">
      <c r="A878" s="75" t="s">
        <v>3857</v>
      </c>
      <c r="B878" s="75">
        <v>151.0</v>
      </c>
      <c r="C878" s="75">
        <v>58.0</v>
      </c>
    </row>
    <row r="879">
      <c r="A879" s="75" t="s">
        <v>3857</v>
      </c>
      <c r="B879" s="75">
        <v>157.0</v>
      </c>
      <c r="C879" s="75">
        <v>55.0</v>
      </c>
    </row>
    <row r="880">
      <c r="A880" s="75" t="s">
        <v>3857</v>
      </c>
      <c r="B880" s="75">
        <v>158.0</v>
      </c>
      <c r="C880" s="75">
        <v>58.0</v>
      </c>
    </row>
    <row r="881">
      <c r="A881" s="121" t="s">
        <v>3857</v>
      </c>
      <c r="B881" s="121">
        <v>217.0</v>
      </c>
      <c r="C881" s="121">
        <v>58.0</v>
      </c>
    </row>
    <row r="882">
      <c r="A882" s="75" t="s">
        <v>3857</v>
      </c>
      <c r="B882" s="75" t="s">
        <v>3860</v>
      </c>
      <c r="C882" s="75">
        <v>58.0</v>
      </c>
    </row>
    <row r="883">
      <c r="A883" s="75" t="s">
        <v>3857</v>
      </c>
      <c r="B883" s="75" t="s">
        <v>3861</v>
      </c>
      <c r="C883" s="75">
        <v>58.0</v>
      </c>
    </row>
    <row r="884">
      <c r="A884" s="75" t="s">
        <v>3857</v>
      </c>
      <c r="B884" s="75">
        <v>258.0</v>
      </c>
      <c r="C884" s="75">
        <v>62.0</v>
      </c>
    </row>
    <row r="885">
      <c r="A885" s="75" t="s">
        <v>3857</v>
      </c>
      <c r="B885" s="75">
        <v>332.0</v>
      </c>
      <c r="C885" s="75">
        <v>58.0</v>
      </c>
    </row>
    <row r="886">
      <c r="A886" s="75" t="s">
        <v>3857</v>
      </c>
      <c r="B886" s="75">
        <v>332.0</v>
      </c>
      <c r="C886" s="75">
        <v>62.0</v>
      </c>
    </row>
    <row r="887">
      <c r="A887" s="75" t="s">
        <v>3857</v>
      </c>
      <c r="B887" s="75" t="s">
        <v>3862</v>
      </c>
      <c r="C887" s="75">
        <v>58.0</v>
      </c>
    </row>
    <row r="888">
      <c r="A888" s="75" t="s">
        <v>3857</v>
      </c>
      <c r="B888" s="75" t="s">
        <v>3863</v>
      </c>
      <c r="C888" s="75">
        <v>58.0</v>
      </c>
    </row>
    <row r="889">
      <c r="A889" s="75" t="s">
        <v>3857</v>
      </c>
      <c r="B889" s="75">
        <v>358.0</v>
      </c>
      <c r="C889" s="75">
        <v>58.0</v>
      </c>
    </row>
    <row r="890">
      <c r="A890" s="75" t="s">
        <v>3857</v>
      </c>
      <c r="B890" s="75">
        <v>451.0</v>
      </c>
      <c r="C890" s="75">
        <v>55.0</v>
      </c>
    </row>
    <row r="891">
      <c r="A891" s="75" t="s">
        <v>3857</v>
      </c>
      <c r="B891" s="75">
        <v>451.0</v>
      </c>
      <c r="C891" s="75">
        <v>58.0</v>
      </c>
    </row>
    <row r="892">
      <c r="A892" s="75" t="s">
        <v>3857</v>
      </c>
      <c r="B892" s="75">
        <v>458.0</v>
      </c>
      <c r="C892" s="75">
        <v>58.0</v>
      </c>
    </row>
    <row r="893">
      <c r="A893" s="75" t="s">
        <v>3857</v>
      </c>
      <c r="B893" s="75">
        <v>458.0</v>
      </c>
      <c r="C893" s="75">
        <v>62.0</v>
      </c>
    </row>
    <row r="894">
      <c r="A894" s="75" t="s">
        <v>3857</v>
      </c>
      <c r="B894" s="75">
        <v>478.0</v>
      </c>
      <c r="C894" s="75">
        <v>62.0</v>
      </c>
    </row>
    <row r="895">
      <c r="A895" s="75" t="s">
        <v>3857</v>
      </c>
      <c r="B895" s="75">
        <v>1451.0</v>
      </c>
      <c r="C895" s="75">
        <v>58.0</v>
      </c>
    </row>
    <row r="896">
      <c r="A896" s="75" t="s">
        <v>3857</v>
      </c>
      <c r="B896" s="75">
        <v>9032.0</v>
      </c>
      <c r="C896" s="75">
        <v>58.0</v>
      </c>
    </row>
    <row r="897">
      <c r="A897" s="75" t="s">
        <v>3857</v>
      </c>
      <c r="B897" s="75" t="s">
        <v>3864</v>
      </c>
      <c r="C897" s="75">
        <v>55.0</v>
      </c>
    </row>
    <row r="898">
      <c r="A898" s="75" t="s">
        <v>3857</v>
      </c>
      <c r="B898" s="75">
        <v>181.0</v>
      </c>
      <c r="C898" s="75">
        <v>58.0</v>
      </c>
    </row>
    <row r="899">
      <c r="A899" s="75" t="s">
        <v>3857</v>
      </c>
      <c r="B899" s="75" t="s">
        <v>3865</v>
      </c>
      <c r="C899" s="75">
        <v>58.0</v>
      </c>
    </row>
    <row r="900">
      <c r="A900" s="75" t="s">
        <v>3857</v>
      </c>
      <c r="B900" s="75" t="s">
        <v>3866</v>
      </c>
      <c r="C900" s="75">
        <v>55.0</v>
      </c>
    </row>
    <row r="901">
      <c r="A901" s="75" t="s">
        <v>3857</v>
      </c>
      <c r="B901" s="75" t="s">
        <v>3867</v>
      </c>
      <c r="C901" s="75">
        <v>55.0</v>
      </c>
    </row>
    <row r="902">
      <c r="A902" s="75" t="s">
        <v>3857</v>
      </c>
      <c r="B902" s="75" t="s">
        <v>3868</v>
      </c>
      <c r="C902" s="75">
        <v>58.0</v>
      </c>
    </row>
    <row r="903">
      <c r="A903" s="75" t="s">
        <v>3869</v>
      </c>
      <c r="B903" s="75">
        <v>169.0</v>
      </c>
      <c r="C903" s="75">
        <v>55.0</v>
      </c>
    </row>
    <row r="904">
      <c r="A904" s="75" t="s">
        <v>3870</v>
      </c>
      <c r="B904" s="75">
        <v>6.0</v>
      </c>
      <c r="C904" s="75">
        <v>60.0</v>
      </c>
    </row>
    <row r="905">
      <c r="A905" s="75" t="s">
        <v>3871</v>
      </c>
      <c r="B905" s="75">
        <v>4.0</v>
      </c>
      <c r="C905" s="75">
        <v>60.0</v>
      </c>
    </row>
    <row r="906">
      <c r="A906" s="75" t="s">
        <v>3872</v>
      </c>
      <c r="B906" s="75">
        <v>4.0</v>
      </c>
      <c r="C906" s="75">
        <v>59.0</v>
      </c>
    </row>
    <row r="907">
      <c r="A907" s="75" t="s">
        <v>3873</v>
      </c>
      <c r="B907" s="75">
        <v>1.0</v>
      </c>
      <c r="C907" s="75">
        <v>50.0</v>
      </c>
    </row>
    <row r="908">
      <c r="A908" s="75" t="s">
        <v>3874</v>
      </c>
      <c r="B908" s="75" t="s">
        <v>3875</v>
      </c>
      <c r="C908" s="75">
        <v>58.0</v>
      </c>
    </row>
    <row r="909">
      <c r="A909" s="75" t="s">
        <v>3874</v>
      </c>
      <c r="B909" s="75">
        <v>488.0</v>
      </c>
      <c r="C909" s="75">
        <v>58.0</v>
      </c>
    </row>
    <row r="910">
      <c r="A910" s="75" t="s">
        <v>3874</v>
      </c>
      <c r="B910" s="75" t="s">
        <v>3876</v>
      </c>
      <c r="C910" s="75">
        <v>58.0</v>
      </c>
    </row>
    <row r="911">
      <c r="A911" s="75" t="s">
        <v>3877</v>
      </c>
      <c r="B911" s="75" t="s">
        <v>3878</v>
      </c>
      <c r="C911" s="75">
        <v>53.0</v>
      </c>
    </row>
    <row r="912">
      <c r="A912" s="75" t="s">
        <v>3877</v>
      </c>
      <c r="B912" s="75">
        <v>18813.0</v>
      </c>
      <c r="C912" s="75">
        <v>53.0</v>
      </c>
    </row>
    <row r="913">
      <c r="A913" s="75" t="s">
        <v>3879</v>
      </c>
      <c r="B913" s="75" t="s">
        <v>3880</v>
      </c>
      <c r="C913" s="75">
        <v>54.0</v>
      </c>
    </row>
    <row r="914">
      <c r="A914" s="75" t="s">
        <v>3881</v>
      </c>
      <c r="B914" s="75" t="s">
        <v>3882</v>
      </c>
      <c r="C914" s="75">
        <v>58.0</v>
      </c>
    </row>
    <row r="915">
      <c r="A915" s="75" t="s">
        <v>3883</v>
      </c>
      <c r="B915" s="75">
        <v>1.0</v>
      </c>
      <c r="C915" s="75">
        <v>57.0</v>
      </c>
    </row>
    <row r="916">
      <c r="A916" s="75" t="s">
        <v>3883</v>
      </c>
      <c r="B916" s="75" t="s">
        <v>3865</v>
      </c>
      <c r="C916" s="75">
        <v>57.0</v>
      </c>
    </row>
    <row r="917">
      <c r="A917" s="75" t="s">
        <v>3884</v>
      </c>
      <c r="B917" s="75">
        <v>60132.0</v>
      </c>
      <c r="C917" s="75">
        <v>60.0</v>
      </c>
    </row>
    <row r="918">
      <c r="A918" s="75" t="s">
        <v>3884</v>
      </c>
      <c r="B918" s="75">
        <v>60158.0</v>
      </c>
      <c r="C918" s="75">
        <v>60.0</v>
      </c>
    </row>
    <row r="919">
      <c r="A919" s="75" t="s">
        <v>3884</v>
      </c>
      <c r="B919" s="75">
        <v>609585.0</v>
      </c>
      <c r="C919" s="75">
        <v>60.0</v>
      </c>
    </row>
    <row r="920">
      <c r="A920" s="75" t="s">
        <v>3885</v>
      </c>
      <c r="B920" s="75" t="s">
        <v>3886</v>
      </c>
      <c r="C920" s="75">
        <v>55.0</v>
      </c>
    </row>
    <row r="921">
      <c r="A921" s="75" t="s">
        <v>3887</v>
      </c>
      <c r="B921" s="75" t="s">
        <v>3888</v>
      </c>
      <c r="C921" s="75">
        <v>56.0</v>
      </c>
    </row>
    <row r="922">
      <c r="A922" s="75" t="s">
        <v>3889</v>
      </c>
      <c r="B922" s="75">
        <v>71013.0</v>
      </c>
      <c r="C922" s="75">
        <v>51.0</v>
      </c>
    </row>
    <row r="923">
      <c r="A923" s="75" t="s">
        <v>3890</v>
      </c>
      <c r="B923" s="75" t="s">
        <v>3891</v>
      </c>
      <c r="C923" s="75">
        <v>52.0</v>
      </c>
    </row>
    <row r="924">
      <c r="A924" s="75" t="s">
        <v>3892</v>
      </c>
      <c r="B924" s="75" t="s">
        <v>3893</v>
      </c>
      <c r="C924" s="75">
        <v>53.0</v>
      </c>
    </row>
    <row r="925">
      <c r="A925" s="75" t="s">
        <v>3894</v>
      </c>
      <c r="B925" s="75" t="s">
        <v>3895</v>
      </c>
      <c r="C925" s="75">
        <v>58.0</v>
      </c>
    </row>
    <row r="926">
      <c r="A926" s="75" t="s">
        <v>3896</v>
      </c>
      <c r="B926" s="75" t="s">
        <v>3897</v>
      </c>
      <c r="C926" s="75">
        <v>51.0</v>
      </c>
    </row>
    <row r="927">
      <c r="A927" s="75" t="s">
        <v>3898</v>
      </c>
      <c r="B927" s="75" t="s">
        <v>3891</v>
      </c>
      <c r="C927" s="75">
        <v>54.0</v>
      </c>
    </row>
    <row r="928">
      <c r="A928" s="75" t="s">
        <v>3899</v>
      </c>
      <c r="B928" s="75">
        <v>1.0</v>
      </c>
      <c r="C928" s="75">
        <v>58.0</v>
      </c>
    </row>
    <row r="929">
      <c r="A929" s="75" t="s">
        <v>3900</v>
      </c>
      <c r="B929" s="75" t="s">
        <v>3901</v>
      </c>
      <c r="C929" s="75">
        <v>51.0</v>
      </c>
    </row>
    <row r="930">
      <c r="A930" s="75" t="s">
        <v>3902</v>
      </c>
      <c r="B930" s="75">
        <v>22011.0</v>
      </c>
      <c r="C930" s="75">
        <v>50.0</v>
      </c>
    </row>
    <row r="931">
      <c r="A931" s="75" t="s">
        <v>3903</v>
      </c>
      <c r="B931" s="75">
        <v>2000.0</v>
      </c>
      <c r="C931" s="75">
        <v>53.0</v>
      </c>
    </row>
    <row r="932">
      <c r="A932" s="75" t="s">
        <v>3904</v>
      </c>
      <c r="B932" s="75">
        <v>2904.0</v>
      </c>
      <c r="C932" s="75">
        <v>50.0</v>
      </c>
    </row>
    <row r="933">
      <c r="A933" s="75" t="s">
        <v>3905</v>
      </c>
      <c r="B933" s="75">
        <v>2500.0</v>
      </c>
      <c r="C933" s="75">
        <v>51.0</v>
      </c>
    </row>
    <row r="934">
      <c r="A934" s="75" t="s">
        <v>3906</v>
      </c>
      <c r="B934" s="75">
        <v>2500.0</v>
      </c>
      <c r="C934" s="75">
        <v>58.0</v>
      </c>
    </row>
    <row r="935">
      <c r="A935" s="75" t="s">
        <v>3907</v>
      </c>
      <c r="B935" s="75">
        <v>2500.0</v>
      </c>
      <c r="C935" s="75">
        <v>51.0</v>
      </c>
    </row>
    <row r="936">
      <c r="A936" s="75" t="s">
        <v>3907</v>
      </c>
      <c r="B936" s="75">
        <v>2501.0</v>
      </c>
      <c r="C936" s="75">
        <v>48.0</v>
      </c>
    </row>
    <row r="937">
      <c r="A937" s="75" t="s">
        <v>3908</v>
      </c>
      <c r="B937" s="75">
        <v>2477.0</v>
      </c>
      <c r="C937" s="75">
        <v>52.0</v>
      </c>
    </row>
    <row r="938">
      <c r="A938" s="75" t="s">
        <v>3908</v>
      </c>
      <c r="B938" s="75">
        <v>5537.0</v>
      </c>
      <c r="C938" s="75">
        <v>52.0</v>
      </c>
    </row>
    <row r="939">
      <c r="A939" s="75" t="s">
        <v>3909</v>
      </c>
      <c r="B939" s="75">
        <v>5528.0</v>
      </c>
      <c r="C939" s="75">
        <v>54.0</v>
      </c>
    </row>
    <row r="940">
      <c r="A940" s="75" t="s">
        <v>3909</v>
      </c>
      <c r="B940" s="75">
        <v>2012.0</v>
      </c>
      <c r="C940" s="75">
        <v>54.0</v>
      </c>
    </row>
    <row r="941">
      <c r="A941" s="75" t="s">
        <v>3910</v>
      </c>
      <c r="B941" s="75">
        <v>2500.0</v>
      </c>
      <c r="C941" s="75">
        <v>52.0</v>
      </c>
    </row>
    <row r="942">
      <c r="A942" s="75" t="s">
        <v>3910</v>
      </c>
      <c r="B942" s="75">
        <v>2502.0</v>
      </c>
      <c r="C942" s="75">
        <v>55.0</v>
      </c>
    </row>
    <row r="943">
      <c r="A943" s="75" t="s">
        <v>3911</v>
      </c>
      <c r="B943" s="75">
        <v>2501.0</v>
      </c>
      <c r="C943" s="75">
        <v>52.0</v>
      </c>
    </row>
    <row r="944">
      <c r="A944" s="75" t="s">
        <v>3912</v>
      </c>
      <c r="B944" s="75">
        <v>2501.0</v>
      </c>
      <c r="C944" s="75">
        <v>51.0</v>
      </c>
    </row>
    <row r="945">
      <c r="A945" s="75" t="s">
        <v>3912</v>
      </c>
      <c r="B945" s="75">
        <v>2502.0</v>
      </c>
      <c r="C945" s="75">
        <v>53.0</v>
      </c>
    </row>
    <row r="946">
      <c r="A946" s="75" t="s">
        <v>3913</v>
      </c>
      <c r="B946" s="75">
        <v>2806.0</v>
      </c>
      <c r="C946" s="75">
        <v>49.0</v>
      </c>
    </row>
    <row r="947">
      <c r="A947" s="75" t="s">
        <v>3914</v>
      </c>
      <c r="B947" s="75">
        <v>2501.0</v>
      </c>
      <c r="C947" s="75">
        <v>53.0</v>
      </c>
    </row>
    <row r="948">
      <c r="A948" s="75" t="s">
        <v>3915</v>
      </c>
      <c r="B948" s="75">
        <v>2503.0</v>
      </c>
      <c r="C948" s="75">
        <v>54.0</v>
      </c>
    </row>
    <row r="949">
      <c r="A949" s="75" t="s">
        <v>3916</v>
      </c>
      <c r="B949" s="75">
        <v>2503.0</v>
      </c>
      <c r="C949" s="75">
        <v>53.0</v>
      </c>
    </row>
    <row r="950">
      <c r="A950" s="75" t="s">
        <v>3917</v>
      </c>
      <c r="B950" s="75">
        <v>2730.0</v>
      </c>
      <c r="C950" s="75">
        <v>53.0</v>
      </c>
    </row>
    <row r="951">
      <c r="A951" s="75" t="s">
        <v>3918</v>
      </c>
      <c r="B951" s="75">
        <v>2857.0</v>
      </c>
      <c r="C951" s="75">
        <v>51.0</v>
      </c>
    </row>
    <row r="952">
      <c r="A952" s="75" t="s">
        <v>3919</v>
      </c>
      <c r="B952" s="75">
        <v>2857.0</v>
      </c>
      <c r="C952" s="75">
        <v>51.0</v>
      </c>
    </row>
    <row r="953">
      <c r="A953" s="75" t="s">
        <v>3920</v>
      </c>
      <c r="B953" s="75">
        <v>2502.0</v>
      </c>
      <c r="C953" s="75">
        <v>51.0</v>
      </c>
    </row>
    <row r="954">
      <c r="A954" s="75" t="s">
        <v>3921</v>
      </c>
      <c r="B954" s="75">
        <v>2502.0</v>
      </c>
      <c r="C954" s="75">
        <v>54.0</v>
      </c>
    </row>
    <row r="955">
      <c r="A955" s="75" t="s">
        <v>3921</v>
      </c>
      <c r="B955" s="75">
        <v>2509.0</v>
      </c>
      <c r="C955" s="75">
        <v>52.0</v>
      </c>
    </row>
    <row r="956">
      <c r="A956" s="75" t="s">
        <v>3922</v>
      </c>
      <c r="B956" s="75">
        <v>2509.0</v>
      </c>
      <c r="C956" s="75">
        <v>53.0</v>
      </c>
    </row>
    <row r="957">
      <c r="A957" s="75" t="s">
        <v>3923</v>
      </c>
      <c r="B957" s="75">
        <v>2500.0</v>
      </c>
      <c r="C957" s="75">
        <v>51.0</v>
      </c>
    </row>
    <row r="958">
      <c r="A958" s="75" t="s">
        <v>3924</v>
      </c>
      <c r="B958" s="75">
        <v>2928.0</v>
      </c>
      <c r="C958" s="75">
        <v>51.0</v>
      </c>
    </row>
    <row r="959">
      <c r="A959" s="75" t="s">
        <v>3925</v>
      </c>
      <c r="B959" s="75">
        <v>2502.0</v>
      </c>
      <c r="C959" s="75">
        <v>53.0</v>
      </c>
    </row>
    <row r="960">
      <c r="A960" s="75" t="s">
        <v>3926</v>
      </c>
      <c r="B960" s="75">
        <v>2500.0</v>
      </c>
      <c r="C960" s="75">
        <v>58.0</v>
      </c>
    </row>
    <row r="961">
      <c r="A961" s="75" t="s">
        <v>3926</v>
      </c>
      <c r="B961" s="75">
        <v>2501.0</v>
      </c>
      <c r="C961" s="75">
        <v>58.0</v>
      </c>
    </row>
    <row r="962">
      <c r="A962" s="75" t="s">
        <v>3927</v>
      </c>
      <c r="B962" s="75">
        <v>2000.0</v>
      </c>
      <c r="C962" s="75">
        <v>54.0</v>
      </c>
    </row>
    <row r="963">
      <c r="A963" s="75" t="s">
        <v>3928</v>
      </c>
      <c r="B963" s="75">
        <v>5200.0</v>
      </c>
      <c r="C963" s="75">
        <v>54.0</v>
      </c>
    </row>
    <row r="964">
      <c r="A964" s="75" t="s">
        <v>3929</v>
      </c>
      <c r="B964" s="75">
        <v>5419.0</v>
      </c>
      <c r="C964" s="75">
        <v>54.0</v>
      </c>
    </row>
    <row r="965">
      <c r="A965" s="75" t="s">
        <v>3930</v>
      </c>
      <c r="B965" s="75">
        <v>5624.0</v>
      </c>
      <c r="C965" s="75">
        <v>52.0</v>
      </c>
    </row>
    <row r="966">
      <c r="A966" s="75" t="s">
        <v>3931</v>
      </c>
      <c r="B966" s="75">
        <v>2000.0</v>
      </c>
      <c r="C966" s="75">
        <v>53.0</v>
      </c>
    </row>
    <row r="967">
      <c r="A967" s="75" t="s">
        <v>3932</v>
      </c>
      <c r="B967" s="75">
        <v>5622.0</v>
      </c>
      <c r="C967" s="75">
        <v>52.0</v>
      </c>
    </row>
    <row r="968">
      <c r="A968" s="75" t="s">
        <v>3933</v>
      </c>
      <c r="B968" s="75">
        <v>2000.0</v>
      </c>
      <c r="C968" s="75">
        <v>49.0</v>
      </c>
    </row>
    <row r="969">
      <c r="A969" s="75" t="s">
        <v>3934</v>
      </c>
      <c r="B969" s="75">
        <v>2012.0</v>
      </c>
      <c r="C969" s="75">
        <v>53.0</v>
      </c>
    </row>
    <row r="970">
      <c r="A970" s="75" t="s">
        <v>3934</v>
      </c>
      <c r="B970" s="75">
        <v>2475.0</v>
      </c>
      <c r="C970" s="75">
        <v>53.0</v>
      </c>
    </row>
    <row r="971">
      <c r="A971" s="75" t="s">
        <v>3935</v>
      </c>
      <c r="B971" s="75">
        <v>2475.0</v>
      </c>
      <c r="C971" s="75">
        <v>53.0</v>
      </c>
    </row>
    <row r="972">
      <c r="A972" s="75" t="s">
        <v>3936</v>
      </c>
      <c r="B972" s="75">
        <v>5577.0</v>
      </c>
      <c r="C972" s="75">
        <v>54.0</v>
      </c>
    </row>
    <row r="973">
      <c r="A973" s="75" t="s">
        <v>3937</v>
      </c>
      <c r="B973" s="75" t="s">
        <v>3938</v>
      </c>
      <c r="C973" s="75" t="s">
        <v>1003</v>
      </c>
    </row>
    <row r="974">
      <c r="A974" s="75" t="s">
        <v>3939</v>
      </c>
      <c r="B974" s="75" t="s">
        <v>3191</v>
      </c>
      <c r="C974" s="75">
        <v>52.0</v>
      </c>
    </row>
    <row r="975">
      <c r="A975" s="75" t="s">
        <v>3940</v>
      </c>
      <c r="B975" s="75" t="s">
        <v>3189</v>
      </c>
      <c r="C975" s="75">
        <v>59.0</v>
      </c>
    </row>
    <row r="976">
      <c r="A976" s="75" t="s">
        <v>3941</v>
      </c>
      <c r="B976" s="75" t="s">
        <v>3191</v>
      </c>
      <c r="C976" s="75">
        <v>61.0</v>
      </c>
    </row>
    <row r="977">
      <c r="A977" s="75" t="s">
        <v>3942</v>
      </c>
      <c r="B977" s="75" t="s">
        <v>3186</v>
      </c>
      <c r="C977" s="75">
        <v>60.0</v>
      </c>
    </row>
    <row r="978">
      <c r="A978" s="75" t="s">
        <v>3943</v>
      </c>
      <c r="B978" s="75" t="s">
        <v>3187</v>
      </c>
      <c r="C978" s="75">
        <v>51.0</v>
      </c>
    </row>
    <row r="979">
      <c r="A979" s="75" t="s">
        <v>3944</v>
      </c>
      <c r="B979" s="75" t="s">
        <v>3189</v>
      </c>
      <c r="C979" s="75">
        <v>51.0</v>
      </c>
    </row>
    <row r="980">
      <c r="A980" s="75" t="s">
        <v>3945</v>
      </c>
      <c r="B980" s="75" t="s">
        <v>3186</v>
      </c>
      <c r="C980" s="75">
        <v>49.0</v>
      </c>
    </row>
    <row r="981">
      <c r="A981" s="75" t="s">
        <v>3946</v>
      </c>
      <c r="B981" s="75" t="s">
        <v>3186</v>
      </c>
      <c r="C981" s="75">
        <v>52.0</v>
      </c>
    </row>
    <row r="982">
      <c r="A982" s="75" t="s">
        <v>3947</v>
      </c>
      <c r="B982" s="75" t="s">
        <v>3186</v>
      </c>
      <c r="C982" s="75">
        <v>54.0</v>
      </c>
    </row>
    <row r="983">
      <c r="A983" s="75" t="s">
        <v>3948</v>
      </c>
      <c r="B983" s="75" t="s">
        <v>3191</v>
      </c>
      <c r="C983" s="75">
        <v>52.0</v>
      </c>
    </row>
    <row r="984">
      <c r="A984" s="75" t="s">
        <v>3949</v>
      </c>
      <c r="B984" s="75" t="s">
        <v>3191</v>
      </c>
      <c r="C984" s="75">
        <v>52.0</v>
      </c>
    </row>
    <row r="985">
      <c r="A985" s="75" t="s">
        <v>3950</v>
      </c>
      <c r="B985" s="75" t="s">
        <v>3951</v>
      </c>
      <c r="C985" s="75">
        <v>52.0</v>
      </c>
    </row>
    <row r="986">
      <c r="A986" s="75" t="s">
        <v>3952</v>
      </c>
      <c r="B986" s="75" t="s">
        <v>3953</v>
      </c>
      <c r="C986" s="75">
        <v>51.0</v>
      </c>
    </row>
    <row r="987">
      <c r="A987" s="75" t="s">
        <v>3954</v>
      </c>
      <c r="B987" s="75" t="s">
        <v>3955</v>
      </c>
      <c r="C987" s="75">
        <v>51.0</v>
      </c>
    </row>
    <row r="988">
      <c r="A988" s="75" t="s">
        <v>3956</v>
      </c>
      <c r="B988" s="75" t="s">
        <v>3189</v>
      </c>
      <c r="C988" s="75">
        <v>51.0</v>
      </c>
    </row>
    <row r="989">
      <c r="A989" s="75" t="s">
        <v>3957</v>
      </c>
      <c r="B989" s="75" t="s">
        <v>3186</v>
      </c>
      <c r="C989" s="75">
        <v>52.0</v>
      </c>
    </row>
    <row r="990">
      <c r="A990" s="75" t="s">
        <v>3958</v>
      </c>
      <c r="B990" s="75" t="s">
        <v>3187</v>
      </c>
      <c r="C990" s="75">
        <v>54.0</v>
      </c>
    </row>
    <row r="991">
      <c r="A991" s="75" t="s">
        <v>3959</v>
      </c>
      <c r="B991" s="75" t="s">
        <v>3191</v>
      </c>
      <c r="C991" s="75">
        <v>49.0</v>
      </c>
    </row>
    <row r="992">
      <c r="A992" s="75" t="s">
        <v>3959</v>
      </c>
      <c r="B992" s="75" t="s">
        <v>3695</v>
      </c>
      <c r="C992" s="75">
        <v>49.0</v>
      </c>
    </row>
    <row r="993">
      <c r="A993" s="75" t="s">
        <v>3960</v>
      </c>
      <c r="B993" s="75" t="s">
        <v>3186</v>
      </c>
      <c r="C993" s="75">
        <v>51.0</v>
      </c>
    </row>
    <row r="994">
      <c r="A994" s="75" t="s">
        <v>3961</v>
      </c>
      <c r="B994" s="75" t="s">
        <v>3195</v>
      </c>
      <c r="C994" s="75">
        <v>52.0</v>
      </c>
    </row>
    <row r="995">
      <c r="A995" s="75" t="s">
        <v>3962</v>
      </c>
      <c r="B995" s="75" t="s">
        <v>3189</v>
      </c>
      <c r="C995" s="75">
        <v>52.0</v>
      </c>
    </row>
    <row r="996">
      <c r="A996" s="75" t="s">
        <v>3963</v>
      </c>
      <c r="B996" s="75" t="s">
        <v>3186</v>
      </c>
      <c r="C996" s="75">
        <v>51.0</v>
      </c>
    </row>
    <row r="997">
      <c r="A997" s="75" t="s">
        <v>3964</v>
      </c>
      <c r="B997" s="75" t="s">
        <v>3189</v>
      </c>
      <c r="C997" s="75">
        <v>51.0</v>
      </c>
    </row>
    <row r="998">
      <c r="A998" s="75" t="s">
        <v>3965</v>
      </c>
      <c r="B998" s="75" t="s">
        <v>3187</v>
      </c>
      <c r="C998" s="75">
        <v>52.0</v>
      </c>
    </row>
    <row r="999">
      <c r="A999" s="75" t="s">
        <v>3966</v>
      </c>
      <c r="B999" s="75" t="s">
        <v>3191</v>
      </c>
      <c r="C999" s="75">
        <v>51.0</v>
      </c>
    </row>
    <row r="1000">
      <c r="A1000" s="75" t="s">
        <v>3967</v>
      </c>
      <c r="B1000" s="75" t="s">
        <v>3191</v>
      </c>
      <c r="C1000" s="75">
        <v>53.0</v>
      </c>
    </row>
    <row r="1001">
      <c r="A1001" s="75" t="s">
        <v>3968</v>
      </c>
      <c r="B1001" s="75" t="s">
        <v>3191</v>
      </c>
      <c r="C1001" s="75">
        <v>54.0</v>
      </c>
    </row>
    <row r="1002">
      <c r="A1002" s="75" t="s">
        <v>3968</v>
      </c>
      <c r="B1002" s="75" t="s">
        <v>3186</v>
      </c>
      <c r="C1002" s="75">
        <v>54.0</v>
      </c>
    </row>
    <row r="1003">
      <c r="A1003" s="75" t="s">
        <v>3969</v>
      </c>
      <c r="B1003" s="75" t="s">
        <v>3191</v>
      </c>
      <c r="C1003" s="75">
        <v>52.0</v>
      </c>
    </row>
    <row r="1004">
      <c r="A1004" s="75" t="s">
        <v>3970</v>
      </c>
      <c r="B1004" s="75" t="s">
        <v>3695</v>
      </c>
      <c r="C1004" s="75">
        <v>52.0</v>
      </c>
    </row>
    <row r="1005">
      <c r="A1005" s="75" t="s">
        <v>3971</v>
      </c>
      <c r="B1005" s="75" t="s">
        <v>3191</v>
      </c>
      <c r="C1005" s="75">
        <v>53.0</v>
      </c>
    </row>
    <row r="1006">
      <c r="A1006" s="75" t="s">
        <v>3972</v>
      </c>
      <c r="B1006" s="75" t="s">
        <v>3189</v>
      </c>
      <c r="C1006" s="75">
        <v>52.0</v>
      </c>
    </row>
    <row r="1007">
      <c r="A1007" s="75" t="s">
        <v>3973</v>
      </c>
      <c r="B1007" s="75" t="s">
        <v>3196</v>
      </c>
      <c r="C1007" s="75">
        <v>53.0</v>
      </c>
    </row>
    <row r="1008">
      <c r="A1008" s="75" t="s">
        <v>3974</v>
      </c>
      <c r="B1008" s="75" t="s">
        <v>3195</v>
      </c>
      <c r="C1008" s="75">
        <v>55.0</v>
      </c>
    </row>
    <row r="1009">
      <c r="A1009" s="75" t="s">
        <v>3975</v>
      </c>
      <c r="B1009" s="75" t="s">
        <v>3196</v>
      </c>
      <c r="C1009" s="75">
        <v>50.0</v>
      </c>
    </row>
    <row r="1010">
      <c r="A1010" s="75" t="s">
        <v>3976</v>
      </c>
      <c r="B1010" s="75" t="s">
        <v>3186</v>
      </c>
      <c r="C1010" s="75">
        <v>53.0</v>
      </c>
    </row>
    <row r="1011">
      <c r="A1011" s="75" t="s">
        <v>3977</v>
      </c>
      <c r="B1011" s="75" t="s">
        <v>3187</v>
      </c>
      <c r="C1011" s="75">
        <v>52.0</v>
      </c>
    </row>
    <row r="1012">
      <c r="A1012" s="75" t="s">
        <v>3978</v>
      </c>
      <c r="B1012" s="75" t="s">
        <v>3189</v>
      </c>
      <c r="C1012" s="75">
        <v>53.0</v>
      </c>
    </row>
    <row r="1013">
      <c r="A1013" s="75" t="s">
        <v>3979</v>
      </c>
      <c r="B1013" s="75" t="s">
        <v>3187</v>
      </c>
      <c r="C1013" s="75">
        <v>53.0</v>
      </c>
    </row>
    <row r="1014">
      <c r="A1014" s="75" t="s">
        <v>3980</v>
      </c>
      <c r="B1014" s="75" t="s">
        <v>3187</v>
      </c>
      <c r="C1014" s="75">
        <v>53.0</v>
      </c>
    </row>
    <row r="1015">
      <c r="A1015" s="75" t="s">
        <v>3981</v>
      </c>
      <c r="B1015" s="75" t="s">
        <v>3187</v>
      </c>
      <c r="C1015" s="75">
        <v>52.0</v>
      </c>
    </row>
    <row r="1016">
      <c r="A1016" s="75" t="s">
        <v>3982</v>
      </c>
      <c r="B1016" s="75" t="s">
        <v>3186</v>
      </c>
      <c r="C1016" s="75">
        <v>48.0</v>
      </c>
    </row>
    <row r="1017">
      <c r="A1017" s="75" t="s">
        <v>3983</v>
      </c>
      <c r="B1017" s="75" t="s">
        <v>3195</v>
      </c>
      <c r="C1017" s="75">
        <v>53.0</v>
      </c>
    </row>
    <row r="1018">
      <c r="A1018" s="75" t="s">
        <v>3983</v>
      </c>
      <c r="B1018" s="75" t="s">
        <v>3191</v>
      </c>
      <c r="C1018" s="75">
        <v>53.0</v>
      </c>
    </row>
    <row r="1019">
      <c r="A1019" s="75" t="s">
        <v>3984</v>
      </c>
      <c r="B1019" s="75" t="s">
        <v>3187</v>
      </c>
      <c r="C1019" s="75">
        <v>54.0</v>
      </c>
    </row>
    <row r="1020">
      <c r="A1020" s="75" t="s">
        <v>3985</v>
      </c>
      <c r="B1020" s="75" t="s">
        <v>3189</v>
      </c>
      <c r="C1020" s="75">
        <v>48.0</v>
      </c>
    </row>
    <row r="1021">
      <c r="A1021" s="75" t="s">
        <v>3976</v>
      </c>
      <c r="B1021" s="75" t="s">
        <v>3189</v>
      </c>
      <c r="C1021" s="75">
        <v>53.0</v>
      </c>
    </row>
    <row r="1022">
      <c r="A1022" s="75" t="s">
        <v>3986</v>
      </c>
      <c r="B1022" s="75" t="s">
        <v>3987</v>
      </c>
      <c r="C1022" s="75">
        <v>52.0</v>
      </c>
    </row>
    <row r="1023">
      <c r="A1023" s="75" t="s">
        <v>3988</v>
      </c>
      <c r="B1023" s="75" t="s">
        <v>3989</v>
      </c>
      <c r="C1023" s="75">
        <v>59.0</v>
      </c>
    </row>
    <row r="1024">
      <c r="A1024" s="75" t="s">
        <v>3990</v>
      </c>
      <c r="B1024" s="75" t="s">
        <v>3847</v>
      </c>
      <c r="C1024" s="75">
        <v>62.0</v>
      </c>
    </row>
    <row r="1025">
      <c r="A1025" s="75" t="s">
        <v>3991</v>
      </c>
      <c r="B1025" s="75" t="s">
        <v>3992</v>
      </c>
      <c r="C1025" s="75">
        <v>58.0</v>
      </c>
    </row>
    <row r="1026">
      <c r="A1026" s="75" t="s">
        <v>3993</v>
      </c>
      <c r="B1026" s="75" t="s">
        <v>3191</v>
      </c>
      <c r="C1026" s="75">
        <v>53.0</v>
      </c>
    </row>
    <row r="1027">
      <c r="A1027" s="75" t="s">
        <v>3993</v>
      </c>
      <c r="B1027" s="75" t="s">
        <v>3189</v>
      </c>
      <c r="C1027" s="75">
        <v>53.0</v>
      </c>
    </row>
    <row r="1028">
      <c r="A1028" s="75" t="s">
        <v>3994</v>
      </c>
      <c r="B1028" s="75" t="s">
        <v>3191</v>
      </c>
      <c r="C1028" s="75">
        <v>53.0</v>
      </c>
    </row>
    <row r="1029">
      <c r="A1029" s="75" t="s">
        <v>3994</v>
      </c>
      <c r="B1029" s="75" t="s">
        <v>3186</v>
      </c>
      <c r="C1029" s="75">
        <v>53.0</v>
      </c>
    </row>
    <row r="1030">
      <c r="A1030" s="75" t="s">
        <v>3995</v>
      </c>
      <c r="B1030" s="75" t="s">
        <v>3189</v>
      </c>
      <c r="C1030" s="75">
        <v>50.0</v>
      </c>
    </row>
    <row r="1031">
      <c r="A1031" s="75" t="s">
        <v>3996</v>
      </c>
      <c r="B1031" s="75" t="s">
        <v>3191</v>
      </c>
      <c r="C1031" s="75">
        <v>54.0</v>
      </c>
    </row>
    <row r="1032">
      <c r="A1032" s="75" t="s">
        <v>3997</v>
      </c>
      <c r="B1032" s="75" t="s">
        <v>3191</v>
      </c>
      <c r="C1032" s="75">
        <v>62.0</v>
      </c>
    </row>
    <row r="1033">
      <c r="A1033" s="75" t="s">
        <v>3997</v>
      </c>
      <c r="B1033" s="75" t="s">
        <v>3189</v>
      </c>
      <c r="C1033" s="75">
        <v>62.0</v>
      </c>
    </row>
    <row r="1034">
      <c r="A1034" s="75" t="s">
        <v>3998</v>
      </c>
      <c r="B1034" s="75" t="s">
        <v>3191</v>
      </c>
      <c r="C1034" s="75">
        <v>49.0</v>
      </c>
    </row>
    <row r="1035">
      <c r="A1035" s="75" t="s">
        <v>3998</v>
      </c>
      <c r="B1035" s="75" t="s">
        <v>3186</v>
      </c>
      <c r="C1035" s="75">
        <v>49.0</v>
      </c>
    </row>
    <row r="1036">
      <c r="A1036" s="75" t="s">
        <v>3998</v>
      </c>
      <c r="B1036" s="75" t="s">
        <v>3189</v>
      </c>
      <c r="C1036" s="75">
        <v>49.0</v>
      </c>
    </row>
    <row r="1037">
      <c r="A1037" s="75" t="s">
        <v>3998</v>
      </c>
      <c r="B1037" s="75" t="s">
        <v>3187</v>
      </c>
      <c r="C1037" s="75">
        <v>49.0</v>
      </c>
    </row>
    <row r="1038">
      <c r="A1038" s="75" t="s">
        <v>3999</v>
      </c>
      <c r="B1038" s="75" t="s">
        <v>3191</v>
      </c>
      <c r="C1038" s="75">
        <v>51.0</v>
      </c>
    </row>
    <row r="1039">
      <c r="A1039" s="75" t="s">
        <v>3999</v>
      </c>
      <c r="B1039" s="75" t="s">
        <v>3186</v>
      </c>
      <c r="C1039" s="75">
        <v>51.0</v>
      </c>
    </row>
    <row r="1040">
      <c r="A1040" s="75" t="s">
        <v>3999</v>
      </c>
      <c r="B1040" s="75" t="s">
        <v>3189</v>
      </c>
      <c r="C1040" s="75">
        <v>51.0</v>
      </c>
    </row>
    <row r="1041">
      <c r="A1041" s="75" t="s">
        <v>3999</v>
      </c>
      <c r="B1041" s="75" t="s">
        <v>3187</v>
      </c>
      <c r="C1041" s="75">
        <v>51.0</v>
      </c>
    </row>
    <row r="1042">
      <c r="A1042" s="75" t="s">
        <v>4000</v>
      </c>
      <c r="B1042" s="75" t="s">
        <v>3186</v>
      </c>
      <c r="C1042" s="75">
        <v>55.0</v>
      </c>
    </row>
    <row r="1043">
      <c r="A1043" s="75" t="s">
        <v>4000</v>
      </c>
      <c r="B1043" s="75" t="s">
        <v>3189</v>
      </c>
      <c r="C1043" s="75">
        <v>55.0</v>
      </c>
    </row>
    <row r="1044">
      <c r="A1044" s="75" t="s">
        <v>4001</v>
      </c>
      <c r="B1044" s="75" t="s">
        <v>3186</v>
      </c>
      <c r="C1044" s="75">
        <v>55.0</v>
      </c>
    </row>
    <row r="1045">
      <c r="A1045" s="75" t="s">
        <v>4002</v>
      </c>
      <c r="B1045" s="75" t="s">
        <v>3186</v>
      </c>
      <c r="C1045" s="75">
        <v>59.0</v>
      </c>
    </row>
    <row r="1046">
      <c r="A1046" s="75" t="s">
        <v>4002</v>
      </c>
      <c r="B1046" s="75" t="s">
        <v>3187</v>
      </c>
      <c r="C1046" s="75">
        <v>59.0</v>
      </c>
    </row>
    <row r="1047">
      <c r="A1047" s="75" t="s">
        <v>4003</v>
      </c>
      <c r="B1047" s="75" t="s">
        <v>3189</v>
      </c>
      <c r="C1047" s="75">
        <v>59.0</v>
      </c>
    </row>
    <row r="1048">
      <c r="A1048" s="75" t="s">
        <v>4003</v>
      </c>
      <c r="B1048" s="75" t="s">
        <v>3187</v>
      </c>
      <c r="C1048" s="75">
        <v>59.0</v>
      </c>
    </row>
    <row r="1049">
      <c r="A1049" s="75" t="s">
        <v>4004</v>
      </c>
      <c r="B1049" s="75" t="s">
        <v>3189</v>
      </c>
      <c r="C1049" s="75">
        <v>60.0</v>
      </c>
    </row>
    <row r="1050">
      <c r="A1050" s="75" t="s">
        <v>4004</v>
      </c>
      <c r="B1050" s="75" t="s">
        <v>3187</v>
      </c>
      <c r="C1050" s="75">
        <v>60.0</v>
      </c>
    </row>
    <row r="1051">
      <c r="A1051" s="75" t="s">
        <v>4005</v>
      </c>
      <c r="B1051" s="75" t="s">
        <v>3191</v>
      </c>
      <c r="C1051" s="75">
        <v>52.0</v>
      </c>
    </row>
    <row r="1052">
      <c r="A1052" s="75" t="s">
        <v>4006</v>
      </c>
      <c r="B1052" s="75" t="s">
        <v>3186</v>
      </c>
      <c r="C1052" s="75">
        <v>47.0</v>
      </c>
    </row>
    <row r="1053">
      <c r="A1053" s="75" t="s">
        <v>4006</v>
      </c>
      <c r="B1053" s="75" t="s">
        <v>3189</v>
      </c>
      <c r="C1053" s="75">
        <v>47.0</v>
      </c>
    </row>
    <row r="1054">
      <c r="A1054" s="75" t="s">
        <v>4006</v>
      </c>
      <c r="B1054" s="75" t="s">
        <v>3195</v>
      </c>
      <c r="C1054" s="75">
        <v>47.0</v>
      </c>
    </row>
    <row r="1055">
      <c r="A1055" s="75" t="s">
        <v>4007</v>
      </c>
      <c r="B1055" s="75" t="s">
        <v>3191</v>
      </c>
      <c r="C1055" s="75">
        <v>52.0</v>
      </c>
    </row>
    <row r="1056">
      <c r="A1056" s="75" t="s">
        <v>4008</v>
      </c>
      <c r="B1056" s="75" t="s">
        <v>3195</v>
      </c>
      <c r="C1056" s="75">
        <v>52.0</v>
      </c>
    </row>
    <row r="1057">
      <c r="A1057" s="75" t="s">
        <v>4009</v>
      </c>
      <c r="B1057" s="75" t="s">
        <v>3191</v>
      </c>
      <c r="C1057" s="75">
        <v>52.0</v>
      </c>
    </row>
    <row r="1058">
      <c r="A1058" s="75" t="s">
        <v>4009</v>
      </c>
      <c r="B1058" s="75" t="s">
        <v>3186</v>
      </c>
      <c r="C1058" s="75">
        <v>52.0</v>
      </c>
    </row>
    <row r="1059">
      <c r="A1059" s="75" t="s">
        <v>4009</v>
      </c>
      <c r="B1059" s="75" t="s">
        <v>3196</v>
      </c>
      <c r="C1059" s="75">
        <v>52.0</v>
      </c>
    </row>
    <row r="1060">
      <c r="A1060" s="124" t="s">
        <v>4010</v>
      </c>
      <c r="B1060" s="124" t="s">
        <v>3191</v>
      </c>
      <c r="C1060" s="124">
        <v>52.0</v>
      </c>
    </row>
    <row r="1061">
      <c r="A1061" s="124" t="s">
        <v>4010</v>
      </c>
      <c r="B1061" s="124" t="s">
        <v>3186</v>
      </c>
      <c r="C1061" s="124">
        <v>52.0</v>
      </c>
    </row>
    <row r="1062">
      <c r="A1062" s="124" t="s">
        <v>4010</v>
      </c>
      <c r="B1062" s="124" t="s">
        <v>3189</v>
      </c>
      <c r="C1062" s="124">
        <v>52.0</v>
      </c>
    </row>
    <row r="1063">
      <c r="A1063" s="124" t="s">
        <v>4010</v>
      </c>
      <c r="B1063" s="124" t="s">
        <v>3187</v>
      </c>
      <c r="C1063" s="124">
        <v>52.0</v>
      </c>
    </row>
    <row r="1064">
      <c r="A1064" s="75" t="s">
        <v>4011</v>
      </c>
      <c r="B1064" s="75" t="s">
        <v>3186</v>
      </c>
      <c r="C1064" s="75">
        <v>52.0</v>
      </c>
    </row>
    <row r="1065">
      <c r="A1065" s="75" t="s">
        <v>4011</v>
      </c>
      <c r="B1065" s="75" t="s">
        <v>3196</v>
      </c>
      <c r="C1065" s="75">
        <v>58.0</v>
      </c>
    </row>
    <row r="1066">
      <c r="A1066" s="75" t="s">
        <v>4012</v>
      </c>
      <c r="B1066" s="75" t="s">
        <v>3189</v>
      </c>
      <c r="C1066" s="75">
        <v>51.0</v>
      </c>
    </row>
    <row r="1067">
      <c r="A1067" s="75" t="s">
        <v>4013</v>
      </c>
      <c r="B1067" s="75" t="s">
        <v>3191</v>
      </c>
      <c r="C1067" s="75">
        <v>47.0</v>
      </c>
    </row>
    <row r="1068">
      <c r="A1068" s="75" t="s">
        <v>4014</v>
      </c>
      <c r="B1068" s="75" t="s">
        <v>3189</v>
      </c>
      <c r="C1068" s="75">
        <v>54.0</v>
      </c>
    </row>
    <row r="1069">
      <c r="A1069" s="75" t="s">
        <v>4014</v>
      </c>
      <c r="B1069" s="75" t="s">
        <v>3189</v>
      </c>
      <c r="C1069" s="75">
        <v>56.0</v>
      </c>
    </row>
    <row r="1070">
      <c r="A1070" s="75" t="s">
        <v>4015</v>
      </c>
      <c r="B1070" s="75" t="s">
        <v>3189</v>
      </c>
      <c r="C1070" s="75">
        <v>57.0</v>
      </c>
    </row>
    <row r="1071">
      <c r="A1071" s="75" t="s">
        <v>4016</v>
      </c>
      <c r="B1071" s="75" t="s">
        <v>3186</v>
      </c>
      <c r="C1071" s="75">
        <v>55.0</v>
      </c>
    </row>
    <row r="1072">
      <c r="A1072" s="75" t="s">
        <v>4017</v>
      </c>
      <c r="B1072" s="75" t="s">
        <v>3186</v>
      </c>
      <c r="C1072" s="75">
        <v>60.0</v>
      </c>
    </row>
    <row r="1073">
      <c r="A1073" s="75" t="s">
        <v>4018</v>
      </c>
      <c r="B1073" s="75" t="s">
        <v>3189</v>
      </c>
      <c r="C1073" s="75">
        <v>59.0</v>
      </c>
    </row>
    <row r="1074">
      <c r="A1074" s="75" t="s">
        <v>4019</v>
      </c>
      <c r="B1074" s="75" t="s">
        <v>3195</v>
      </c>
      <c r="C1074" s="75">
        <v>62.0</v>
      </c>
    </row>
    <row r="1075">
      <c r="A1075" s="75" t="s">
        <v>4020</v>
      </c>
      <c r="B1075" s="75" t="s">
        <v>3191</v>
      </c>
      <c r="C1075" s="75">
        <v>55.0</v>
      </c>
    </row>
    <row r="1076">
      <c r="A1076" s="75" t="s">
        <v>4020</v>
      </c>
      <c r="B1076" s="75" t="s">
        <v>3186</v>
      </c>
      <c r="C1076" s="75">
        <v>55.0</v>
      </c>
    </row>
    <row r="1077">
      <c r="A1077" s="75" t="s">
        <v>4020</v>
      </c>
      <c r="B1077" s="75" t="s">
        <v>3189</v>
      </c>
      <c r="C1077" s="75">
        <v>55.0</v>
      </c>
    </row>
    <row r="1078">
      <c r="A1078" s="75" t="s">
        <v>4020</v>
      </c>
      <c r="B1078" s="75" t="s">
        <v>3195</v>
      </c>
      <c r="C1078" s="75">
        <v>55.0</v>
      </c>
    </row>
    <row r="1079">
      <c r="A1079" s="75" t="s">
        <v>4020</v>
      </c>
      <c r="B1079" s="75" t="s">
        <v>3548</v>
      </c>
      <c r="C1079" s="75">
        <v>55.0</v>
      </c>
    </row>
    <row r="1080">
      <c r="A1080" s="75" t="s">
        <v>4021</v>
      </c>
      <c r="B1080" s="75" t="s">
        <v>3195</v>
      </c>
      <c r="C1080" s="75">
        <v>55.0</v>
      </c>
    </row>
    <row r="1081">
      <c r="A1081" s="75" t="s">
        <v>4022</v>
      </c>
      <c r="B1081" s="75" t="s">
        <v>3191</v>
      </c>
      <c r="C1081" s="75">
        <v>60.0</v>
      </c>
    </row>
    <row r="1082">
      <c r="A1082" s="75" t="s">
        <v>4023</v>
      </c>
      <c r="B1082" s="75" t="s">
        <v>3187</v>
      </c>
      <c r="C1082" s="75">
        <v>48.0</v>
      </c>
    </row>
    <row r="1083">
      <c r="A1083" s="75" t="s">
        <v>4024</v>
      </c>
      <c r="B1083" s="75" t="s">
        <v>3191</v>
      </c>
      <c r="C1083" s="75">
        <v>56.0</v>
      </c>
    </row>
    <row r="1084">
      <c r="A1084" s="75" t="s">
        <v>4024</v>
      </c>
      <c r="B1084" s="75" t="s">
        <v>3186</v>
      </c>
      <c r="C1084" s="75">
        <v>56.0</v>
      </c>
    </row>
    <row r="1085">
      <c r="A1085" s="75" t="s">
        <v>4025</v>
      </c>
      <c r="B1085" s="75" t="s">
        <v>3189</v>
      </c>
      <c r="C1085" s="75">
        <v>55.0</v>
      </c>
    </row>
    <row r="1086">
      <c r="A1086" s="75" t="s">
        <v>4026</v>
      </c>
      <c r="B1086" s="75" t="s">
        <v>3187</v>
      </c>
      <c r="C1086" s="75">
        <v>54.0</v>
      </c>
    </row>
    <row r="1087">
      <c r="A1087" s="75" t="s">
        <v>4027</v>
      </c>
      <c r="B1087" s="75" t="s">
        <v>3187</v>
      </c>
      <c r="C1087" s="75">
        <v>59.0</v>
      </c>
    </row>
    <row r="1088">
      <c r="A1088" s="75" t="s">
        <v>4028</v>
      </c>
      <c r="B1088" s="75" t="s">
        <v>3187</v>
      </c>
      <c r="C1088" s="75">
        <v>60.0</v>
      </c>
    </row>
    <row r="1089">
      <c r="A1089" s="75" t="s">
        <v>4029</v>
      </c>
      <c r="B1089" s="75" t="s">
        <v>3189</v>
      </c>
      <c r="C1089" s="75">
        <v>50.0</v>
      </c>
    </row>
    <row r="1090">
      <c r="A1090" s="75" t="s">
        <v>4030</v>
      </c>
      <c r="B1090" s="75" t="s">
        <v>3191</v>
      </c>
      <c r="C1090" s="75">
        <v>52.0</v>
      </c>
    </row>
    <row r="1091">
      <c r="A1091" s="75" t="s">
        <v>4031</v>
      </c>
      <c r="B1091" s="75" t="s">
        <v>3191</v>
      </c>
      <c r="C1091" s="75">
        <v>56.0</v>
      </c>
    </row>
    <row r="1092">
      <c r="A1092" s="75" t="s">
        <v>4032</v>
      </c>
      <c r="B1092" s="75" t="s">
        <v>3189</v>
      </c>
      <c r="C1092" s="75">
        <v>58.0</v>
      </c>
    </row>
    <row r="1093">
      <c r="A1093" s="75" t="s">
        <v>4032</v>
      </c>
      <c r="B1093" s="75" t="s">
        <v>3187</v>
      </c>
      <c r="C1093" s="75">
        <v>58.0</v>
      </c>
    </row>
    <row r="1094">
      <c r="A1094" s="75" t="s">
        <v>4033</v>
      </c>
      <c r="B1094" s="75" t="s">
        <v>3189</v>
      </c>
      <c r="C1094" s="75">
        <v>49.0</v>
      </c>
    </row>
    <row r="1095">
      <c r="A1095" s="75" t="s">
        <v>4033</v>
      </c>
      <c r="B1095" s="75" t="s">
        <v>3187</v>
      </c>
      <c r="C1095" s="75">
        <v>49.0</v>
      </c>
    </row>
    <row r="1096">
      <c r="A1096" s="75" t="s">
        <v>4033</v>
      </c>
      <c r="B1096" s="75" t="s">
        <v>3195</v>
      </c>
      <c r="C1096" s="75">
        <v>49.0</v>
      </c>
    </row>
    <row r="1097">
      <c r="A1097" s="3" t="s">
        <v>4034</v>
      </c>
      <c r="B1097" s="3" t="s">
        <v>3195</v>
      </c>
      <c r="C1097" s="3">
        <v>54.0</v>
      </c>
    </row>
    <row r="1098">
      <c r="A1098" s="75" t="s">
        <v>4035</v>
      </c>
      <c r="B1098" s="75" t="s">
        <v>3189</v>
      </c>
      <c r="C1098" s="75">
        <v>52.0</v>
      </c>
    </row>
    <row r="1099">
      <c r="A1099" s="75" t="s">
        <v>4036</v>
      </c>
      <c r="B1099" s="75" t="s">
        <v>3189</v>
      </c>
      <c r="C1099" s="75">
        <v>52.0</v>
      </c>
    </row>
    <row r="1100">
      <c r="A1100" s="75" t="s">
        <v>4036</v>
      </c>
      <c r="B1100" s="75" t="s">
        <v>3187</v>
      </c>
      <c r="C1100" s="75">
        <v>52.0</v>
      </c>
    </row>
    <row r="1101">
      <c r="A1101" s="75" t="s">
        <v>4037</v>
      </c>
      <c r="B1101" s="75" t="s">
        <v>4038</v>
      </c>
      <c r="C1101" s="75">
        <v>53.0</v>
      </c>
    </row>
    <row r="1102">
      <c r="A1102" s="75" t="s">
        <v>4037</v>
      </c>
      <c r="B1102" s="75" t="s">
        <v>4039</v>
      </c>
      <c r="C1102" s="75">
        <v>53.0</v>
      </c>
    </row>
    <row r="1103">
      <c r="A1103" s="75" t="s">
        <v>4040</v>
      </c>
      <c r="B1103" s="75" t="s">
        <v>4039</v>
      </c>
      <c r="C1103" s="75">
        <v>58.0</v>
      </c>
    </row>
    <row r="1104">
      <c r="A1104" s="75" t="s">
        <v>4040</v>
      </c>
      <c r="B1104" s="75" t="s">
        <v>3189</v>
      </c>
      <c r="C1104" s="75">
        <v>58.0</v>
      </c>
    </row>
    <row r="1105">
      <c r="A1105" s="75" t="s">
        <v>4040</v>
      </c>
      <c r="B1105" s="75" t="s">
        <v>3195</v>
      </c>
      <c r="C1105" s="75">
        <v>58.0</v>
      </c>
    </row>
    <row r="1106">
      <c r="A1106" s="75" t="s">
        <v>4040</v>
      </c>
      <c r="B1106" s="75" t="s">
        <v>3196</v>
      </c>
      <c r="C1106" s="75">
        <v>58.0</v>
      </c>
    </row>
    <row r="1107">
      <c r="A1107" s="75" t="s">
        <v>4040</v>
      </c>
      <c r="B1107" s="75" t="s">
        <v>3548</v>
      </c>
      <c r="C1107" s="75">
        <v>58.0</v>
      </c>
    </row>
    <row r="1108">
      <c r="A1108" s="75" t="s">
        <v>4041</v>
      </c>
      <c r="B1108" s="75" t="s">
        <v>3189</v>
      </c>
      <c r="C1108" s="75">
        <v>50.0</v>
      </c>
    </row>
    <row r="1109">
      <c r="A1109" s="75" t="s">
        <v>4041</v>
      </c>
      <c r="B1109" s="75" t="s">
        <v>3187</v>
      </c>
      <c r="C1109" s="75">
        <v>50.0</v>
      </c>
    </row>
    <row r="1110">
      <c r="A1110" s="75" t="s">
        <v>4042</v>
      </c>
      <c r="B1110" s="75" t="s">
        <v>3186</v>
      </c>
      <c r="C1110" s="75">
        <v>53.0</v>
      </c>
    </row>
    <row r="1111">
      <c r="A1111" s="75" t="s">
        <v>656</v>
      </c>
      <c r="B1111" s="75" t="s">
        <v>4043</v>
      </c>
      <c r="C1111" s="75"/>
    </row>
    <row r="1112">
      <c r="A1112" s="75" t="s">
        <v>656</v>
      </c>
      <c r="B1112" s="75" t="s">
        <v>4044</v>
      </c>
      <c r="C1112" s="75">
        <v>63.0</v>
      </c>
    </row>
    <row r="1113">
      <c r="A1113" s="75" t="s">
        <v>656</v>
      </c>
      <c r="B1113" s="75" t="s">
        <v>4045</v>
      </c>
      <c r="C1113" s="75">
        <v>61.0</v>
      </c>
    </row>
    <row r="1114">
      <c r="A1114" s="124" t="s">
        <v>656</v>
      </c>
      <c r="B1114" s="124" t="s">
        <v>4046</v>
      </c>
      <c r="C1114" s="124">
        <v>55.0</v>
      </c>
    </row>
    <row r="1115">
      <c r="A1115" s="75" t="s">
        <v>4047</v>
      </c>
      <c r="B1115" s="75">
        <v>1002.0</v>
      </c>
      <c r="C1115" s="75">
        <v>52.0</v>
      </c>
    </row>
    <row r="1116">
      <c r="A1116" s="75" t="s">
        <v>4048</v>
      </c>
      <c r="B1116" s="75">
        <v>1002.0</v>
      </c>
      <c r="C1116" s="75">
        <v>52.0</v>
      </c>
    </row>
    <row r="1117">
      <c r="A1117" s="75" t="s">
        <v>4049</v>
      </c>
      <c r="B1117" s="75">
        <v>617.0</v>
      </c>
      <c r="C1117" s="75">
        <v>52.0</v>
      </c>
    </row>
    <row r="1118">
      <c r="A1118" s="75" t="s">
        <v>4050</v>
      </c>
      <c r="B1118" s="75" t="s">
        <v>4051</v>
      </c>
      <c r="C1118" s="75">
        <v>53.0</v>
      </c>
    </row>
    <row r="1119">
      <c r="A1119" s="75" t="s">
        <v>4052</v>
      </c>
      <c r="B1119" s="75">
        <v>518213.0</v>
      </c>
      <c r="C1119" s="75">
        <v>58.0</v>
      </c>
    </row>
    <row r="1120">
      <c r="A1120" s="75" t="s">
        <v>2090</v>
      </c>
      <c r="B1120" s="75"/>
      <c r="C1120" s="75"/>
    </row>
    <row r="1121">
      <c r="A1121" s="75" t="s">
        <v>4053</v>
      </c>
      <c r="B1121" s="75" t="s">
        <v>4054</v>
      </c>
      <c r="C1121" s="75">
        <v>58.0</v>
      </c>
    </row>
    <row r="1122">
      <c r="A1122" s="75" t="s">
        <v>4055</v>
      </c>
      <c r="B1122" s="75">
        <v>234611.0</v>
      </c>
      <c r="C1122" s="75">
        <v>59.0</v>
      </c>
    </row>
    <row r="1123">
      <c r="A1123" s="75" t="s">
        <v>4056</v>
      </c>
      <c r="B1123" s="75">
        <v>2277.0</v>
      </c>
      <c r="C1123" s="75">
        <v>52.0</v>
      </c>
    </row>
    <row r="1124">
      <c r="A1124" s="75" t="s">
        <v>4056</v>
      </c>
      <c r="B1124" s="75">
        <v>2406.0</v>
      </c>
      <c r="C1124" s="75">
        <v>54.0</v>
      </c>
    </row>
    <row r="1125">
      <c r="A1125" s="75" t="s">
        <v>4056</v>
      </c>
      <c r="B1125" s="75">
        <v>2406.0</v>
      </c>
      <c r="C1125" s="75">
        <v>52.0</v>
      </c>
    </row>
    <row r="1126">
      <c r="A1126" s="109" t="s">
        <v>4057</v>
      </c>
      <c r="B1126" s="109" t="s">
        <v>4058</v>
      </c>
      <c r="C1126" s="109">
        <v>53.0</v>
      </c>
    </row>
    <row r="1127">
      <c r="A1127" s="75" t="s">
        <v>4059</v>
      </c>
      <c r="B1127" s="75" t="s">
        <v>4060</v>
      </c>
      <c r="C1127" s="75">
        <v>58.0</v>
      </c>
    </row>
    <row r="1128">
      <c r="A1128" s="75" t="s">
        <v>4061</v>
      </c>
      <c r="B1128" s="75">
        <v>2279.0</v>
      </c>
      <c r="C1128" s="75">
        <v>53.0</v>
      </c>
    </row>
    <row r="1129">
      <c r="A1129" s="75" t="s">
        <v>4062</v>
      </c>
      <c r="B1129" s="75">
        <v>1947.0</v>
      </c>
      <c r="C1129" s="75">
        <v>50.0</v>
      </c>
    </row>
    <row r="1130">
      <c r="A1130" s="75" t="s">
        <v>4063</v>
      </c>
      <c r="B1130" s="75">
        <v>2306.0</v>
      </c>
      <c r="C1130" s="75">
        <v>51.0</v>
      </c>
    </row>
    <row r="1131">
      <c r="A1131" s="109" t="s">
        <v>4063</v>
      </c>
      <c r="B1131" s="109">
        <v>2406.0</v>
      </c>
      <c r="C1131" s="109">
        <v>53.0</v>
      </c>
    </row>
    <row r="1132">
      <c r="A1132" s="75" t="s">
        <v>4064</v>
      </c>
      <c r="B1132" s="75" t="s">
        <v>4060</v>
      </c>
      <c r="C1132" s="75">
        <v>58.0</v>
      </c>
    </row>
    <row r="1133">
      <c r="A1133" s="75" t="s">
        <v>4065</v>
      </c>
      <c r="B1133" s="75">
        <v>227811.0</v>
      </c>
      <c r="C1133" s="75">
        <v>56.0</v>
      </c>
    </row>
    <row r="1134">
      <c r="A1134" s="109" t="s">
        <v>4066</v>
      </c>
      <c r="B1134" s="109">
        <v>2183.0</v>
      </c>
      <c r="C1134" s="109">
        <v>52.0</v>
      </c>
    </row>
    <row r="1135">
      <c r="A1135" s="109" t="s">
        <v>4067</v>
      </c>
      <c r="B1135" s="109" t="s">
        <v>4068</v>
      </c>
      <c r="C1135" s="109">
        <v>55.0</v>
      </c>
    </row>
    <row r="1136">
      <c r="A1136" s="109" t="s">
        <v>4067</v>
      </c>
      <c r="B1136" s="109" t="s">
        <v>4068</v>
      </c>
      <c r="C1136" s="109">
        <v>53.0</v>
      </c>
    </row>
    <row r="1137">
      <c r="A1137" s="109" t="s">
        <v>4069</v>
      </c>
      <c r="B1137" s="109">
        <v>235811.0</v>
      </c>
      <c r="C1137" s="109">
        <v>52.0</v>
      </c>
    </row>
    <row r="1138">
      <c r="A1138" s="109" t="s">
        <v>4070</v>
      </c>
      <c r="B1138" s="109" t="s">
        <v>4068</v>
      </c>
      <c r="C1138" s="109">
        <v>53.0</v>
      </c>
    </row>
    <row r="1139">
      <c r="A1139" s="75" t="s">
        <v>4071</v>
      </c>
      <c r="B1139" s="75">
        <v>191613.0</v>
      </c>
      <c r="C1139" s="75">
        <v>56.0</v>
      </c>
    </row>
    <row r="1140">
      <c r="A1140" s="109" t="s">
        <v>4071</v>
      </c>
      <c r="B1140" s="109" t="s">
        <v>4060</v>
      </c>
      <c r="C1140" s="109">
        <v>56.0</v>
      </c>
    </row>
    <row r="1141">
      <c r="A1141" s="109" t="s">
        <v>4072</v>
      </c>
      <c r="B1141" s="109" t="s">
        <v>4060</v>
      </c>
      <c r="C1141" s="109">
        <v>54.0</v>
      </c>
    </row>
    <row r="1142">
      <c r="A1142" s="109" t="s">
        <v>4073</v>
      </c>
      <c r="B1142" s="109" t="s">
        <v>4054</v>
      </c>
      <c r="C1142" s="109">
        <v>54.0</v>
      </c>
    </row>
    <row r="1143">
      <c r="A1143" s="109" t="s">
        <v>4074</v>
      </c>
      <c r="B1143" s="109" t="s">
        <v>4068</v>
      </c>
      <c r="C1143" s="109">
        <v>51.0</v>
      </c>
    </row>
    <row r="1144">
      <c r="A1144" s="109" t="s">
        <v>4075</v>
      </c>
      <c r="B1144" s="109" t="s">
        <v>4068</v>
      </c>
      <c r="C1144" s="109">
        <v>53.0</v>
      </c>
    </row>
    <row r="1145">
      <c r="A1145" s="109" t="s">
        <v>4076</v>
      </c>
      <c r="B1145" s="109" t="s">
        <v>4068</v>
      </c>
      <c r="C1145" s="109">
        <v>52.0</v>
      </c>
    </row>
    <row r="1146">
      <c r="A1146" s="109" t="s">
        <v>4076</v>
      </c>
      <c r="B1146" s="109">
        <v>2249.0</v>
      </c>
      <c r="C1146" s="109">
        <v>52.0</v>
      </c>
    </row>
    <row r="1147">
      <c r="A1147" s="109" t="s">
        <v>4076</v>
      </c>
      <c r="B1147" s="109">
        <v>2249.0</v>
      </c>
      <c r="C1147" s="109">
        <v>54.0</v>
      </c>
    </row>
    <row r="1148">
      <c r="A1148" s="109" t="s">
        <v>4077</v>
      </c>
      <c r="B1148" s="109" t="s">
        <v>4060</v>
      </c>
      <c r="C1148" s="109">
        <v>53.0</v>
      </c>
    </row>
    <row r="1149">
      <c r="A1149" s="109" t="s">
        <v>4077</v>
      </c>
      <c r="B1149" s="109">
        <v>226214.0</v>
      </c>
      <c r="C1149" s="109">
        <v>53.0</v>
      </c>
    </row>
    <row r="1150">
      <c r="A1150" s="109" t="s">
        <v>4077</v>
      </c>
      <c r="B1150" s="109" t="s">
        <v>4078</v>
      </c>
      <c r="C1150" s="109">
        <v>53.0</v>
      </c>
    </row>
    <row r="1151">
      <c r="A1151" s="75" t="s">
        <v>4079</v>
      </c>
      <c r="B1151" s="75" t="s">
        <v>4060</v>
      </c>
      <c r="C1151" s="75">
        <v>58.0</v>
      </c>
    </row>
    <row r="1152">
      <c r="A1152" s="75" t="s">
        <v>4080</v>
      </c>
      <c r="B1152" s="75">
        <v>2065.0</v>
      </c>
      <c r="C1152" s="75">
        <v>51.0</v>
      </c>
    </row>
    <row r="1153">
      <c r="A1153" s="109" t="s">
        <v>4081</v>
      </c>
      <c r="B1153" s="109" t="s">
        <v>4068</v>
      </c>
      <c r="C1153" s="109">
        <v>51.0</v>
      </c>
    </row>
    <row r="1154">
      <c r="A1154" s="109" t="s">
        <v>4081</v>
      </c>
      <c r="B1154" s="109" t="s">
        <v>4068</v>
      </c>
      <c r="C1154" s="109">
        <v>53.0</v>
      </c>
    </row>
    <row r="1155">
      <c r="A1155" s="75" t="s">
        <v>4081</v>
      </c>
      <c r="B1155" s="75">
        <v>2048.0</v>
      </c>
      <c r="C1155" s="75">
        <v>53.0</v>
      </c>
    </row>
    <row r="1156">
      <c r="A1156" s="75" t="s">
        <v>4082</v>
      </c>
      <c r="B1156" s="75">
        <v>2362.0</v>
      </c>
      <c r="C1156" s="75">
        <v>51.0</v>
      </c>
    </row>
    <row r="1157">
      <c r="A1157" s="109" t="s">
        <v>4083</v>
      </c>
      <c r="B1157" s="109" t="s">
        <v>4060</v>
      </c>
      <c r="C1157" s="109">
        <v>58.0</v>
      </c>
    </row>
    <row r="1158">
      <c r="A1158" s="109" t="s">
        <v>4084</v>
      </c>
      <c r="B1158" s="109">
        <v>2287.0</v>
      </c>
      <c r="C1158" s="109">
        <v>54.0</v>
      </c>
    </row>
    <row r="1159">
      <c r="A1159" s="75" t="s">
        <v>4085</v>
      </c>
      <c r="B1159" s="75" t="s">
        <v>4068</v>
      </c>
      <c r="C1159" s="75">
        <v>51.0</v>
      </c>
    </row>
    <row r="1160">
      <c r="A1160" s="109" t="s">
        <v>4086</v>
      </c>
      <c r="B1160" s="109" t="s">
        <v>4087</v>
      </c>
      <c r="C1160" s="109">
        <v>58.0</v>
      </c>
    </row>
    <row r="1161">
      <c r="A1161" s="109" t="s">
        <v>4086</v>
      </c>
      <c r="B1161" s="109" t="s">
        <v>4088</v>
      </c>
      <c r="C1161" s="109">
        <v>58.0</v>
      </c>
    </row>
    <row r="1162">
      <c r="A1162" s="109" t="s">
        <v>4086</v>
      </c>
      <c r="B1162" s="109">
        <v>229648.0</v>
      </c>
      <c r="C1162" s="109">
        <v>58.0</v>
      </c>
    </row>
    <row r="1163">
      <c r="A1163" s="109" t="s">
        <v>4089</v>
      </c>
      <c r="B1163" s="109">
        <v>227913.0</v>
      </c>
      <c r="C1163" s="109">
        <v>56.0</v>
      </c>
    </row>
    <row r="1164">
      <c r="A1164" s="109" t="s">
        <v>4089</v>
      </c>
      <c r="B1164" s="109" t="s">
        <v>4090</v>
      </c>
      <c r="C1164" s="109">
        <v>56.0</v>
      </c>
    </row>
    <row r="1165">
      <c r="A1165" s="75" t="s">
        <v>4091</v>
      </c>
      <c r="B1165" s="75">
        <v>201148.0</v>
      </c>
      <c r="C1165" s="75">
        <v>55.0</v>
      </c>
    </row>
    <row r="1166">
      <c r="A1166" s="109" t="s">
        <v>4092</v>
      </c>
      <c r="B1166" s="109">
        <v>201148.0</v>
      </c>
      <c r="C1166" s="109">
        <v>55.0</v>
      </c>
    </row>
    <row r="1167">
      <c r="A1167" s="75" t="s">
        <v>4092</v>
      </c>
      <c r="B1167" s="75" t="s">
        <v>4060</v>
      </c>
      <c r="C1167" s="75">
        <v>55.0</v>
      </c>
    </row>
    <row r="1168">
      <c r="A1168" s="75" t="s">
        <v>4093</v>
      </c>
      <c r="B1168" s="75">
        <v>2048.0</v>
      </c>
      <c r="C1168" s="75">
        <v>51.0</v>
      </c>
    </row>
    <row r="1169">
      <c r="A1169" s="75" t="s">
        <v>4093</v>
      </c>
      <c r="B1169" s="75">
        <v>2048.0</v>
      </c>
      <c r="C1169" s="75">
        <v>53.0</v>
      </c>
    </row>
    <row r="1170">
      <c r="A1170" s="75" t="s">
        <v>4094</v>
      </c>
      <c r="B1170" s="75">
        <v>230213.0</v>
      </c>
      <c r="C1170" s="75">
        <v>54.0</v>
      </c>
    </row>
    <row r="1171">
      <c r="A1171" s="75" t="s">
        <v>4095</v>
      </c>
      <c r="B1171" s="75" t="s">
        <v>4096</v>
      </c>
      <c r="C1171" s="75">
        <v>53.0</v>
      </c>
    </row>
    <row r="1172">
      <c r="A1172" s="75" t="s">
        <v>4097</v>
      </c>
      <c r="B1172" s="75">
        <v>2326.0</v>
      </c>
      <c r="C1172" s="75">
        <v>52.0</v>
      </c>
    </row>
    <row r="1173">
      <c r="A1173" s="75" t="s">
        <v>4098</v>
      </c>
      <c r="B1173" s="75" t="s">
        <v>4060</v>
      </c>
      <c r="C1173" s="75">
        <v>57.0</v>
      </c>
    </row>
    <row r="1174">
      <c r="A1174" s="75" t="s">
        <v>4098</v>
      </c>
      <c r="B1174" s="75" t="s">
        <v>4054</v>
      </c>
      <c r="C1174" s="75">
        <v>57.0</v>
      </c>
    </row>
    <row r="1175">
      <c r="A1175" s="75" t="s">
        <v>4099</v>
      </c>
      <c r="B1175" s="75">
        <v>2386.0</v>
      </c>
      <c r="C1175" s="75">
        <v>54.0</v>
      </c>
    </row>
    <row r="1176">
      <c r="A1176" s="109" t="s">
        <v>4100</v>
      </c>
      <c r="B1176" s="109">
        <v>352.0</v>
      </c>
      <c r="C1176" s="109">
        <v>50.0</v>
      </c>
    </row>
    <row r="1177">
      <c r="A1177" s="75" t="s">
        <v>4101</v>
      </c>
      <c r="B1177" s="75" t="s">
        <v>4102</v>
      </c>
      <c r="C1177" s="75">
        <v>53.0</v>
      </c>
    </row>
    <row r="1178">
      <c r="A1178" s="75" t="s">
        <v>4103</v>
      </c>
      <c r="B1178" s="75">
        <v>756.0</v>
      </c>
      <c r="C1178" s="75">
        <v>50.0</v>
      </c>
    </row>
    <row r="1179">
      <c r="A1179" s="109" t="s">
        <v>4104</v>
      </c>
      <c r="B1179" s="109">
        <v>813.0</v>
      </c>
      <c r="C1179" s="109">
        <v>50.0</v>
      </c>
    </row>
    <row r="1180">
      <c r="A1180" s="75" t="s">
        <v>4105</v>
      </c>
      <c r="B1180" s="75">
        <v>352.0</v>
      </c>
      <c r="C1180" s="75">
        <v>53.0</v>
      </c>
    </row>
    <row r="1181">
      <c r="A1181" s="75" t="s">
        <v>4106</v>
      </c>
      <c r="B1181" s="75">
        <v>352.0</v>
      </c>
      <c r="C1181" s="75">
        <v>52.0</v>
      </c>
    </row>
    <row r="1182">
      <c r="A1182" s="75" t="s">
        <v>4107</v>
      </c>
      <c r="B1182" s="75">
        <v>280.0</v>
      </c>
      <c r="C1182" s="75">
        <v>49.0</v>
      </c>
    </row>
    <row r="1183">
      <c r="A1183" s="75" t="s">
        <v>4107</v>
      </c>
      <c r="B1183" s="75">
        <v>280.0</v>
      </c>
      <c r="C1183" s="75">
        <v>51.0</v>
      </c>
    </row>
    <row r="1184">
      <c r="A1184" s="75" t="s">
        <v>4107</v>
      </c>
      <c r="B1184" s="75">
        <v>352.0</v>
      </c>
      <c r="C1184" s="75">
        <v>51.0</v>
      </c>
    </row>
    <row r="1185">
      <c r="A1185" s="75" t="s">
        <v>4108</v>
      </c>
      <c r="B1185" s="75">
        <v>812.0</v>
      </c>
      <c r="C1185" s="75">
        <v>51.0</v>
      </c>
    </row>
    <row r="1186">
      <c r="A1186" s="108" t="s">
        <v>4109</v>
      </c>
      <c r="B1186" s="108">
        <v>934.0</v>
      </c>
      <c r="C1186" s="108">
        <v>50.0</v>
      </c>
    </row>
    <row r="1187">
      <c r="A1187" s="108" t="s">
        <v>4109</v>
      </c>
      <c r="B1187" s="108">
        <v>352.0</v>
      </c>
      <c r="C1187" s="108">
        <v>50.0</v>
      </c>
    </row>
    <row r="1188">
      <c r="A1188" s="108" t="s">
        <v>4110</v>
      </c>
      <c r="B1188" s="108" t="s">
        <v>4111</v>
      </c>
      <c r="C1188" s="108">
        <v>52.0</v>
      </c>
    </row>
    <row r="1189">
      <c r="A1189" s="108" t="s">
        <v>4110</v>
      </c>
      <c r="B1189" s="108" t="s">
        <v>4102</v>
      </c>
      <c r="C1189" s="108">
        <v>52.0</v>
      </c>
    </row>
    <row r="1190">
      <c r="A1190" s="75" t="s">
        <v>4112</v>
      </c>
      <c r="B1190" s="75">
        <v>352.0</v>
      </c>
      <c r="C1190" s="75">
        <v>52.0</v>
      </c>
    </row>
    <row r="1191">
      <c r="A1191" s="75" t="s">
        <v>4112</v>
      </c>
      <c r="B1191" s="75">
        <v>352.0</v>
      </c>
      <c r="C1191" s="75">
        <v>54.0</v>
      </c>
    </row>
    <row r="1192">
      <c r="A1192" s="75" t="s">
        <v>4112</v>
      </c>
      <c r="B1192" s="75">
        <v>548.0</v>
      </c>
      <c r="C1192" s="75">
        <v>52.0</v>
      </c>
    </row>
    <row r="1193">
      <c r="A1193" s="75" t="s">
        <v>4112</v>
      </c>
      <c r="B1193" s="75" t="s">
        <v>4113</v>
      </c>
      <c r="C1193" s="75">
        <v>52.0</v>
      </c>
    </row>
    <row r="1194">
      <c r="A1194" s="75" t="s">
        <v>4114</v>
      </c>
      <c r="B1194" s="75">
        <v>84813.0</v>
      </c>
      <c r="C1194" s="75">
        <v>58.0</v>
      </c>
    </row>
    <row r="1195">
      <c r="A1195" s="75" t="s">
        <v>4115</v>
      </c>
      <c r="B1195" s="75" t="s">
        <v>4116</v>
      </c>
      <c r="C1195" s="75">
        <v>58.0</v>
      </c>
    </row>
    <row r="1196">
      <c r="A1196" s="75" t="s">
        <v>4115</v>
      </c>
      <c r="B1196" s="75" t="s">
        <v>4117</v>
      </c>
      <c r="C1196" s="75">
        <v>58.0</v>
      </c>
    </row>
    <row r="1197">
      <c r="A1197" s="75" t="s">
        <v>4115</v>
      </c>
      <c r="B1197" s="75" t="s">
        <v>4118</v>
      </c>
      <c r="C1197" s="75">
        <v>58.0</v>
      </c>
    </row>
    <row r="1198">
      <c r="A1198" s="75" t="s">
        <v>4119</v>
      </c>
      <c r="B1198" s="75">
        <v>352.0</v>
      </c>
      <c r="C1198" s="75">
        <v>53.0</v>
      </c>
    </row>
    <row r="1199">
      <c r="A1199" s="75" t="s">
        <v>4120</v>
      </c>
      <c r="B1199" s="75" t="s">
        <v>4121</v>
      </c>
      <c r="C1199" s="75">
        <v>58.0</v>
      </c>
    </row>
    <row r="1200">
      <c r="A1200" s="75" t="s">
        <v>4120</v>
      </c>
      <c r="B1200" s="75">
        <v>93413.0</v>
      </c>
      <c r="C1200" s="75">
        <v>58.0</v>
      </c>
    </row>
    <row r="1201">
      <c r="A1201" s="109" t="s">
        <v>4120</v>
      </c>
      <c r="B1201" s="109">
        <v>32348.0</v>
      </c>
      <c r="C1201" s="109">
        <v>58.0</v>
      </c>
    </row>
    <row r="1202">
      <c r="A1202" s="109" t="s">
        <v>4122</v>
      </c>
      <c r="B1202" s="109">
        <v>99511.0</v>
      </c>
      <c r="C1202" s="109">
        <v>55.0</v>
      </c>
    </row>
    <row r="1203">
      <c r="A1203" s="109" t="s">
        <v>4123</v>
      </c>
      <c r="B1203" s="109">
        <v>352.0</v>
      </c>
      <c r="C1203" s="109">
        <v>51.0</v>
      </c>
    </row>
    <row r="1204">
      <c r="A1204" s="109" t="s">
        <v>4124</v>
      </c>
      <c r="B1204" s="109">
        <v>352.0</v>
      </c>
      <c r="C1204" s="109">
        <v>53.0</v>
      </c>
    </row>
    <row r="1205">
      <c r="A1205" s="75" t="s">
        <v>4125</v>
      </c>
      <c r="B1205" s="75">
        <v>848.0</v>
      </c>
      <c r="C1205" s="75">
        <v>51.0</v>
      </c>
    </row>
    <row r="1206">
      <c r="A1206" s="108" t="s">
        <v>4125</v>
      </c>
      <c r="B1206" s="108">
        <v>848.0</v>
      </c>
      <c r="C1206" s="108">
        <v>53.0</v>
      </c>
    </row>
    <row r="1207">
      <c r="A1207" s="75" t="s">
        <v>4126</v>
      </c>
      <c r="B1207" s="75">
        <v>5025.0</v>
      </c>
      <c r="C1207" s="75">
        <v>50.0</v>
      </c>
    </row>
    <row r="1208">
      <c r="A1208" s="108" t="s">
        <v>4127</v>
      </c>
      <c r="B1208" s="108">
        <v>280.0</v>
      </c>
      <c r="C1208" s="108">
        <v>52.0</v>
      </c>
    </row>
    <row r="1209">
      <c r="A1209" s="108" t="s">
        <v>4127</v>
      </c>
      <c r="B1209" s="108">
        <v>352.0</v>
      </c>
      <c r="C1209" s="108">
        <v>52.0</v>
      </c>
    </row>
    <row r="1210">
      <c r="A1210" s="109" t="s">
        <v>4128</v>
      </c>
      <c r="B1210" s="109">
        <v>352.0</v>
      </c>
      <c r="C1210" s="109">
        <v>54.0</v>
      </c>
    </row>
    <row r="1211">
      <c r="A1211" s="109" t="s">
        <v>4128</v>
      </c>
      <c r="B1211" s="109">
        <v>548.0</v>
      </c>
      <c r="C1211" s="109">
        <v>54.0</v>
      </c>
    </row>
    <row r="1212">
      <c r="A1212" s="109" t="s">
        <v>4128</v>
      </c>
      <c r="B1212" s="109">
        <v>5033.0</v>
      </c>
      <c r="C1212" s="109">
        <v>54.0</v>
      </c>
    </row>
    <row r="1213">
      <c r="A1213" s="75" t="s">
        <v>4129</v>
      </c>
      <c r="B1213" s="75">
        <v>99613.0</v>
      </c>
      <c r="C1213" s="75">
        <v>57.0</v>
      </c>
    </row>
    <row r="1214">
      <c r="A1214" s="75" t="s">
        <v>4129</v>
      </c>
      <c r="B1214" s="75">
        <v>502214.0</v>
      </c>
      <c r="C1214" s="75">
        <v>57.0</v>
      </c>
    </row>
    <row r="1215">
      <c r="A1215" s="75" t="s">
        <v>4130</v>
      </c>
      <c r="B1215" s="75">
        <v>84811.0</v>
      </c>
      <c r="C1215" s="75">
        <v>55.0</v>
      </c>
    </row>
    <row r="1216">
      <c r="A1216" s="75" t="s">
        <v>4131</v>
      </c>
      <c r="B1216" s="75">
        <v>84873.0</v>
      </c>
      <c r="C1216" s="75">
        <v>56.0</v>
      </c>
    </row>
    <row r="1217">
      <c r="A1217" s="75" t="s">
        <v>4132</v>
      </c>
      <c r="B1217" s="75">
        <v>507514.0</v>
      </c>
      <c r="C1217" s="75">
        <v>56.0</v>
      </c>
    </row>
    <row r="1218">
      <c r="A1218" s="75" t="s">
        <v>4133</v>
      </c>
      <c r="B1218" s="75" t="s">
        <v>4134</v>
      </c>
      <c r="C1218" s="75">
        <v>58.0</v>
      </c>
    </row>
    <row r="1219">
      <c r="A1219" s="75" t="s">
        <v>4133</v>
      </c>
      <c r="B1219" s="75">
        <v>28087.0</v>
      </c>
      <c r="C1219" s="75">
        <v>58.0</v>
      </c>
    </row>
    <row r="1220">
      <c r="A1220" s="75" t="s">
        <v>4135</v>
      </c>
      <c r="B1220" s="75">
        <v>84813.0</v>
      </c>
      <c r="C1220" s="75">
        <v>56.0</v>
      </c>
    </row>
    <row r="1221">
      <c r="A1221" s="109" t="s">
        <v>4135</v>
      </c>
      <c r="B1221" s="109" t="s">
        <v>4136</v>
      </c>
      <c r="C1221" s="109">
        <v>56.0</v>
      </c>
    </row>
    <row r="1222">
      <c r="A1222" s="75" t="s">
        <v>4137</v>
      </c>
      <c r="B1222" s="75">
        <v>5078.0</v>
      </c>
      <c r="C1222" s="75">
        <v>51.0</v>
      </c>
    </row>
    <row r="1223">
      <c r="A1223" s="108" t="s">
        <v>4138</v>
      </c>
      <c r="B1223" s="108">
        <v>5115.0</v>
      </c>
      <c r="C1223" s="108">
        <v>53.0</v>
      </c>
    </row>
    <row r="1224">
      <c r="A1224" s="75" t="s">
        <v>4139</v>
      </c>
      <c r="B1224" s="75">
        <v>5116.0</v>
      </c>
      <c r="C1224" s="75">
        <v>51.0</v>
      </c>
    </row>
    <row r="1225">
      <c r="A1225" s="75" t="s">
        <v>4139</v>
      </c>
      <c r="B1225" s="75">
        <v>5116.0</v>
      </c>
      <c r="C1225" s="75">
        <v>53.0</v>
      </c>
    </row>
    <row r="1226">
      <c r="A1226" s="75" t="s">
        <v>4140</v>
      </c>
      <c r="B1226" s="75">
        <v>28069.0</v>
      </c>
      <c r="C1226" s="75">
        <v>56.0</v>
      </c>
    </row>
    <row r="1227">
      <c r="A1227" s="109" t="s">
        <v>4141</v>
      </c>
      <c r="B1227" s="109" t="s">
        <v>4142</v>
      </c>
      <c r="C1227" s="109">
        <v>54.0</v>
      </c>
    </row>
    <row r="1228">
      <c r="A1228" s="109" t="s">
        <v>4143</v>
      </c>
      <c r="B1228" s="109">
        <v>280.0</v>
      </c>
      <c r="C1228" s="109">
        <v>53.0</v>
      </c>
    </row>
    <row r="1229">
      <c r="A1229" s="109" t="s">
        <v>4143</v>
      </c>
      <c r="B1229" s="109">
        <v>5078.0</v>
      </c>
      <c r="C1229" s="109">
        <v>53.0</v>
      </c>
    </row>
    <row r="1230">
      <c r="A1230" s="75" t="s">
        <v>4144</v>
      </c>
      <c r="B1230" s="75">
        <v>28036.0</v>
      </c>
      <c r="C1230" s="75">
        <v>58.0</v>
      </c>
    </row>
    <row r="1231">
      <c r="A1231" s="75" t="s">
        <v>4145</v>
      </c>
      <c r="B1231" s="75" t="s">
        <v>4068</v>
      </c>
      <c r="C1231" s="75">
        <v>52.0</v>
      </c>
    </row>
    <row r="1232">
      <c r="A1232" s="75" t="s">
        <v>4146</v>
      </c>
      <c r="B1232" s="75" t="s">
        <v>4060</v>
      </c>
      <c r="C1232" s="75">
        <v>58.0</v>
      </c>
    </row>
    <row r="1233">
      <c r="A1233" s="75" t="s">
        <v>4147</v>
      </c>
      <c r="B1233" s="75" t="s">
        <v>4148</v>
      </c>
      <c r="C1233" s="75">
        <v>58.0</v>
      </c>
    </row>
    <row r="1234">
      <c r="A1234" s="75" t="s">
        <v>4149</v>
      </c>
      <c r="B1234" s="75" t="s">
        <v>4068</v>
      </c>
      <c r="C1234" s="75">
        <v>51.0</v>
      </c>
    </row>
    <row r="1235">
      <c r="A1235" s="75" t="s">
        <v>4149</v>
      </c>
      <c r="B1235" s="75" t="s">
        <v>4068</v>
      </c>
      <c r="C1235" s="75">
        <v>53.0</v>
      </c>
    </row>
    <row r="1236">
      <c r="A1236" s="75" t="s">
        <v>4150</v>
      </c>
      <c r="B1236" s="75" t="s">
        <v>4151</v>
      </c>
      <c r="C1236" s="75">
        <v>51.0</v>
      </c>
    </row>
    <row r="1237">
      <c r="A1237" s="75" t="s">
        <v>4150</v>
      </c>
      <c r="B1237" s="75">
        <v>2395.0</v>
      </c>
      <c r="C1237" s="75">
        <v>51.0</v>
      </c>
    </row>
    <row r="1238">
      <c r="A1238" s="75" t="s">
        <v>4152</v>
      </c>
      <c r="B1238" s="75" t="s">
        <v>4096</v>
      </c>
      <c r="C1238" s="75">
        <v>53.0</v>
      </c>
    </row>
    <row r="1239">
      <c r="A1239" s="109" t="s">
        <v>4153</v>
      </c>
      <c r="B1239" s="109" t="s">
        <v>4068</v>
      </c>
      <c r="C1239" s="109">
        <v>51.0</v>
      </c>
    </row>
    <row r="1240">
      <c r="A1240" s="109" t="s">
        <v>4153</v>
      </c>
      <c r="B1240" s="109">
        <v>1647.0</v>
      </c>
      <c r="C1240" s="109">
        <v>53.0</v>
      </c>
    </row>
    <row r="1241">
      <c r="A1241" s="75" t="s">
        <v>4154</v>
      </c>
      <c r="B1241" s="75" t="s">
        <v>4155</v>
      </c>
      <c r="C1241" s="75">
        <v>53.0</v>
      </c>
    </row>
    <row r="1242">
      <c r="A1242" s="75" t="s">
        <v>4156</v>
      </c>
      <c r="B1242" s="75">
        <v>2465.0</v>
      </c>
      <c r="C1242" s="75">
        <v>52.0</v>
      </c>
    </row>
    <row r="1243">
      <c r="A1243" s="75" t="s">
        <v>4157</v>
      </c>
      <c r="B1243" s="75" t="s">
        <v>4060</v>
      </c>
      <c r="C1243" s="75">
        <v>57.0</v>
      </c>
    </row>
    <row r="1244">
      <c r="A1244" s="75" t="s">
        <v>4158</v>
      </c>
      <c r="B1244" s="75" t="s">
        <v>4054</v>
      </c>
      <c r="C1244" s="75">
        <v>56.0</v>
      </c>
    </row>
    <row r="1245">
      <c r="A1245" s="109" t="s">
        <v>4158</v>
      </c>
      <c r="B1245" s="109" t="s">
        <v>4159</v>
      </c>
      <c r="C1245" s="109">
        <v>56.0</v>
      </c>
    </row>
    <row r="1246">
      <c r="A1246" s="109" t="s">
        <v>4160</v>
      </c>
      <c r="B1246" s="109" t="s">
        <v>4161</v>
      </c>
      <c r="C1246" s="109">
        <v>55.0</v>
      </c>
    </row>
    <row r="1247">
      <c r="A1247" s="109" t="s">
        <v>4162</v>
      </c>
      <c r="B1247" s="109" t="s">
        <v>4054</v>
      </c>
      <c r="C1247" s="109">
        <v>55.0</v>
      </c>
    </row>
    <row r="1248">
      <c r="A1248" s="109" t="s">
        <v>4163</v>
      </c>
      <c r="B1248" s="109">
        <v>2539.0</v>
      </c>
      <c r="C1248" s="109">
        <v>53.0</v>
      </c>
    </row>
    <row r="1249">
      <c r="A1249" s="109" t="s">
        <v>4164</v>
      </c>
      <c r="B1249" s="109">
        <v>2593.0</v>
      </c>
      <c r="C1249" s="109">
        <v>51.0</v>
      </c>
    </row>
    <row r="1250">
      <c r="A1250" s="75" t="s">
        <v>4165</v>
      </c>
      <c r="B1250" s="75" t="s">
        <v>4060</v>
      </c>
      <c r="C1250" s="75">
        <v>52.0</v>
      </c>
    </row>
    <row r="1251">
      <c r="A1251" s="75" t="s">
        <v>4165</v>
      </c>
      <c r="B1251" s="75" t="s">
        <v>4054</v>
      </c>
      <c r="C1251" s="75">
        <v>52.0</v>
      </c>
    </row>
    <row r="1252">
      <c r="A1252" s="75" t="s">
        <v>4166</v>
      </c>
      <c r="B1252" s="75" t="s">
        <v>4054</v>
      </c>
      <c r="C1252" s="75">
        <v>55.0</v>
      </c>
    </row>
    <row r="1253">
      <c r="A1253" s="75" t="s">
        <v>4167</v>
      </c>
      <c r="B1253" s="75">
        <v>256613.0</v>
      </c>
      <c r="C1253" s="75">
        <v>51.0</v>
      </c>
    </row>
    <row r="1254">
      <c r="A1254" s="109" t="s">
        <v>4167</v>
      </c>
      <c r="B1254" s="109" t="s">
        <v>4168</v>
      </c>
      <c r="C1254" s="109">
        <v>51.0</v>
      </c>
    </row>
    <row r="1255">
      <c r="A1255" s="75" t="s">
        <v>4169</v>
      </c>
      <c r="B1255" s="75" t="s">
        <v>4170</v>
      </c>
      <c r="C1255" s="75">
        <v>52.0</v>
      </c>
    </row>
    <row r="1256">
      <c r="A1256" s="109" t="s">
        <v>4171</v>
      </c>
      <c r="B1256" s="109" t="s">
        <v>4172</v>
      </c>
      <c r="C1256" s="109">
        <v>51.0</v>
      </c>
    </row>
    <row r="1257">
      <c r="A1257" s="75" t="s">
        <v>4173</v>
      </c>
      <c r="B1257" s="75">
        <v>2621.0</v>
      </c>
      <c r="C1257" s="75">
        <v>50.0</v>
      </c>
    </row>
    <row r="1258">
      <c r="A1258" s="75" t="s">
        <v>4174</v>
      </c>
      <c r="B1258" s="75" t="s">
        <v>4060</v>
      </c>
      <c r="C1258" s="75">
        <v>58.0</v>
      </c>
    </row>
    <row r="1259">
      <c r="A1259" s="75" t="s">
        <v>4175</v>
      </c>
      <c r="B1259" s="75">
        <v>2477.0</v>
      </c>
      <c r="C1259" s="75">
        <v>52.0</v>
      </c>
    </row>
    <row r="1260">
      <c r="A1260" s="109" t="s">
        <v>4176</v>
      </c>
      <c r="B1260" s="109" t="s">
        <v>4177</v>
      </c>
      <c r="C1260" s="109">
        <v>62.0</v>
      </c>
    </row>
    <row r="1261">
      <c r="A1261" s="75" t="s">
        <v>4178</v>
      </c>
      <c r="B1261" s="75" t="s">
        <v>4155</v>
      </c>
      <c r="C1261" s="75">
        <v>54.0</v>
      </c>
    </row>
    <row r="1262">
      <c r="A1262" s="75" t="s">
        <v>4178</v>
      </c>
      <c r="B1262" s="75" t="s">
        <v>4060</v>
      </c>
      <c r="C1262" s="75">
        <v>54.0</v>
      </c>
    </row>
    <row r="1263">
      <c r="A1263" s="75" t="s">
        <v>4179</v>
      </c>
      <c r="B1263" s="75" t="s">
        <v>4054</v>
      </c>
      <c r="C1263" s="75">
        <v>55.0</v>
      </c>
    </row>
    <row r="1264">
      <c r="A1264" s="75" t="s">
        <v>4180</v>
      </c>
      <c r="B1264" s="75" t="s">
        <v>4181</v>
      </c>
      <c r="C1264" s="75">
        <v>51.0</v>
      </c>
    </row>
    <row r="1265">
      <c r="A1265" s="75" t="s">
        <v>4182</v>
      </c>
      <c r="B1265" s="75" t="s">
        <v>4068</v>
      </c>
      <c r="C1265" s="75">
        <v>51.0</v>
      </c>
    </row>
    <row r="1266">
      <c r="A1266" s="75" t="s">
        <v>4182</v>
      </c>
      <c r="B1266" s="75" t="s">
        <v>4151</v>
      </c>
      <c r="C1266" s="75">
        <v>51.0</v>
      </c>
    </row>
    <row r="1267">
      <c r="A1267" s="75" t="s">
        <v>4183</v>
      </c>
      <c r="B1267" s="75">
        <v>266920.0</v>
      </c>
      <c r="C1267" s="75">
        <v>53.0</v>
      </c>
    </row>
    <row r="1268">
      <c r="A1268" s="75" t="s">
        <v>4184</v>
      </c>
      <c r="B1268" s="75">
        <v>260569.0</v>
      </c>
      <c r="C1268" s="75">
        <v>57.0</v>
      </c>
    </row>
    <row r="1269">
      <c r="A1269" s="75" t="s">
        <v>4184</v>
      </c>
      <c r="B1269" s="75" t="s">
        <v>4155</v>
      </c>
      <c r="C1269" s="75">
        <v>57.0</v>
      </c>
    </row>
    <row r="1270">
      <c r="A1270" s="75" t="s">
        <v>4184</v>
      </c>
      <c r="B1270" s="75">
        <v>272276.0</v>
      </c>
      <c r="C1270" s="75">
        <v>57.0</v>
      </c>
    </row>
    <row r="1271">
      <c r="A1271" s="75" t="s">
        <v>4185</v>
      </c>
      <c r="B1271" s="75">
        <v>260513.0</v>
      </c>
      <c r="C1271" s="75">
        <v>54.0</v>
      </c>
    </row>
    <row r="1272">
      <c r="A1272" s="75" t="s">
        <v>4185</v>
      </c>
      <c r="B1272" s="75" t="s">
        <v>4186</v>
      </c>
      <c r="C1272" s="75">
        <v>54.0</v>
      </c>
    </row>
    <row r="1273">
      <c r="A1273" s="75" t="s">
        <v>4187</v>
      </c>
      <c r="B1273" s="75">
        <v>272573.0</v>
      </c>
      <c r="C1273" s="75">
        <v>54.0</v>
      </c>
    </row>
    <row r="1274">
      <c r="A1274" s="75" t="s">
        <v>4185</v>
      </c>
      <c r="B1274" s="75" t="s">
        <v>4188</v>
      </c>
      <c r="C1274" s="75">
        <v>54.0</v>
      </c>
    </row>
    <row r="1275">
      <c r="A1275" s="109" t="s">
        <v>4189</v>
      </c>
      <c r="B1275" s="109">
        <v>272573.0</v>
      </c>
      <c r="C1275" s="109">
        <v>54.0</v>
      </c>
    </row>
    <row r="1276">
      <c r="A1276" s="75" t="s">
        <v>4187</v>
      </c>
      <c r="B1276" s="75" t="s">
        <v>4190</v>
      </c>
      <c r="C1276" s="75">
        <v>32.0</v>
      </c>
    </row>
    <row r="1277">
      <c r="A1277" s="75" t="s">
        <v>4187</v>
      </c>
      <c r="B1277" s="75" t="s">
        <v>4191</v>
      </c>
      <c r="C1277" s="75">
        <v>32.0</v>
      </c>
    </row>
    <row r="1278">
      <c r="A1278" s="75" t="s">
        <v>4187</v>
      </c>
      <c r="B1278" s="75" t="s">
        <v>4155</v>
      </c>
      <c r="C1278" s="75">
        <v>32.0</v>
      </c>
    </row>
    <row r="1279">
      <c r="A1279" s="109" t="s">
        <v>4192</v>
      </c>
      <c r="B1279" s="109" t="s">
        <v>4193</v>
      </c>
      <c r="C1279" s="109">
        <v>32.0</v>
      </c>
    </row>
    <row r="1280">
      <c r="A1280" s="75" t="s">
        <v>4194</v>
      </c>
      <c r="B1280" s="75" t="s">
        <v>4068</v>
      </c>
      <c r="C1280" s="75">
        <v>51.0</v>
      </c>
    </row>
    <row r="1281">
      <c r="A1281" s="75" t="s">
        <v>4194</v>
      </c>
      <c r="B1281" s="75" t="s">
        <v>4151</v>
      </c>
      <c r="C1281" s="75">
        <v>51.0</v>
      </c>
    </row>
    <row r="1282">
      <c r="A1282" s="75" t="s">
        <v>4195</v>
      </c>
      <c r="B1282" s="75" t="s">
        <v>4068</v>
      </c>
      <c r="C1282" s="75">
        <v>52.0</v>
      </c>
    </row>
    <row r="1283">
      <c r="A1283" s="75" t="s">
        <v>4195</v>
      </c>
      <c r="B1283" s="75" t="s">
        <v>4151</v>
      </c>
      <c r="C1283" s="75">
        <v>52.0</v>
      </c>
    </row>
    <row r="1284">
      <c r="A1284" s="75" t="s">
        <v>4195</v>
      </c>
      <c r="B1284" s="75">
        <v>2362.0</v>
      </c>
      <c r="C1284" s="75">
        <v>52.0</v>
      </c>
    </row>
    <row r="1285">
      <c r="A1285" s="109" t="s">
        <v>4196</v>
      </c>
      <c r="B1285" s="109" t="s">
        <v>4060</v>
      </c>
      <c r="C1285" s="109">
        <v>50.0</v>
      </c>
    </row>
    <row r="1286">
      <c r="A1286" s="109" t="s">
        <v>4196</v>
      </c>
      <c r="B1286" s="109" t="s">
        <v>4054</v>
      </c>
      <c r="C1286" s="109">
        <v>50.0</v>
      </c>
    </row>
    <row r="1287">
      <c r="A1287" s="75" t="s">
        <v>4197</v>
      </c>
      <c r="B1287" s="75">
        <v>2395.0</v>
      </c>
      <c r="C1287" s="75">
        <v>49.0</v>
      </c>
    </row>
    <row r="1288">
      <c r="A1288" s="109" t="s">
        <v>4198</v>
      </c>
      <c r="B1288" s="109" t="s">
        <v>4151</v>
      </c>
      <c r="C1288" s="109">
        <v>49.0</v>
      </c>
    </row>
    <row r="1289">
      <c r="A1289" s="75" t="s">
        <v>4197</v>
      </c>
      <c r="B1289" s="75" t="s">
        <v>4068</v>
      </c>
      <c r="C1289" s="75">
        <v>49.0</v>
      </c>
    </row>
    <row r="1290">
      <c r="A1290" s="75" t="s">
        <v>4197</v>
      </c>
      <c r="B1290" s="75">
        <v>1647.0</v>
      </c>
      <c r="C1290" s="75">
        <v>49.0</v>
      </c>
    </row>
    <row r="1291">
      <c r="A1291" s="109" t="s">
        <v>4199</v>
      </c>
      <c r="B1291" s="109" t="s">
        <v>4200</v>
      </c>
      <c r="C1291" s="109">
        <v>57.0</v>
      </c>
    </row>
    <row r="1292">
      <c r="A1292" s="75" t="s">
        <v>4201</v>
      </c>
      <c r="B1292" s="75">
        <v>84813.0</v>
      </c>
      <c r="C1292" s="75">
        <v>55.0</v>
      </c>
    </row>
    <row r="1293">
      <c r="A1293" s="75" t="s">
        <v>4139</v>
      </c>
      <c r="B1293" s="75">
        <v>5078.0</v>
      </c>
      <c r="C1293" s="75">
        <v>51.0</v>
      </c>
    </row>
    <row r="1294">
      <c r="A1294" s="75" t="s">
        <v>4139</v>
      </c>
      <c r="B1294" s="75">
        <v>5078.0</v>
      </c>
      <c r="C1294" s="75">
        <v>53.0</v>
      </c>
    </row>
    <row r="1295">
      <c r="A1295" s="75" t="s">
        <v>4139</v>
      </c>
      <c r="B1295" s="75">
        <v>352.0</v>
      </c>
      <c r="C1295" s="75">
        <v>51.0</v>
      </c>
    </row>
    <row r="1296">
      <c r="A1296" s="109" t="s">
        <v>4138</v>
      </c>
      <c r="B1296" s="109">
        <v>352.0</v>
      </c>
      <c r="C1296" s="109">
        <v>53.0</v>
      </c>
    </row>
    <row r="1297">
      <c r="A1297" s="75" t="s">
        <v>4202</v>
      </c>
      <c r="B1297" s="75">
        <v>323.0</v>
      </c>
      <c r="C1297" s="75">
        <v>50.0</v>
      </c>
    </row>
    <row r="1298">
      <c r="A1298" s="75" t="s">
        <v>4202</v>
      </c>
      <c r="B1298" s="75">
        <v>323.0</v>
      </c>
      <c r="C1298" s="75">
        <v>52.0</v>
      </c>
    </row>
    <row r="1299">
      <c r="A1299" s="75" t="s">
        <v>4202</v>
      </c>
      <c r="B1299" s="75">
        <v>848.0</v>
      </c>
      <c r="C1299" s="75">
        <v>50.0</v>
      </c>
    </row>
    <row r="1300">
      <c r="A1300" s="108" t="s">
        <v>4202</v>
      </c>
      <c r="B1300" s="108">
        <v>848.0</v>
      </c>
      <c r="C1300" s="108">
        <v>52.0</v>
      </c>
    </row>
    <row r="1301">
      <c r="A1301" s="75" t="s">
        <v>4202</v>
      </c>
      <c r="B1301" s="75">
        <v>5108.0</v>
      </c>
      <c r="C1301" s="75">
        <v>50.0</v>
      </c>
    </row>
    <row r="1302">
      <c r="A1302" s="109" t="s">
        <v>4202</v>
      </c>
      <c r="B1302" s="109">
        <v>5109.0</v>
      </c>
      <c r="C1302" s="109">
        <v>52.0</v>
      </c>
    </row>
    <row r="1303">
      <c r="A1303" s="109" t="s">
        <v>4202</v>
      </c>
      <c r="B1303" s="109">
        <v>5109.0</v>
      </c>
      <c r="C1303" s="109">
        <v>50.0</v>
      </c>
    </row>
    <row r="1304">
      <c r="A1304" s="75" t="s">
        <v>4202</v>
      </c>
      <c r="B1304" s="75">
        <v>5110.0</v>
      </c>
      <c r="C1304" s="75">
        <v>50.0</v>
      </c>
    </row>
    <row r="1305">
      <c r="A1305" s="75" t="s">
        <v>4202</v>
      </c>
      <c r="B1305" s="75">
        <v>5110.0</v>
      </c>
      <c r="C1305" s="75">
        <v>52.0</v>
      </c>
    </row>
    <row r="1306">
      <c r="A1306" s="75" t="s">
        <v>4203</v>
      </c>
      <c r="B1306" s="75" t="s">
        <v>4068</v>
      </c>
      <c r="C1306" s="75">
        <v>52.0</v>
      </c>
    </row>
    <row r="1307">
      <c r="A1307" s="75" t="s">
        <v>4204</v>
      </c>
      <c r="B1307" s="75" t="s">
        <v>4155</v>
      </c>
      <c r="C1307" s="75">
        <v>57.0</v>
      </c>
    </row>
    <row r="1308">
      <c r="A1308" s="75" t="s">
        <v>4205</v>
      </c>
      <c r="B1308" s="75" t="s">
        <v>4155</v>
      </c>
      <c r="C1308" s="75">
        <v>53.0</v>
      </c>
    </row>
    <row r="1309">
      <c r="A1309" s="75" t="s">
        <v>4206</v>
      </c>
      <c r="B1309" s="75">
        <v>272611.0</v>
      </c>
      <c r="C1309" s="75">
        <v>53.0</v>
      </c>
    </row>
    <row r="1310">
      <c r="A1310" s="75" t="s">
        <v>4207</v>
      </c>
      <c r="B1310" s="75">
        <v>2727.0</v>
      </c>
      <c r="C1310" s="75">
        <v>49.0</v>
      </c>
    </row>
    <row r="1311">
      <c r="A1311" s="75" t="s">
        <v>4207</v>
      </c>
      <c r="B1311" s="75">
        <v>2727.0</v>
      </c>
      <c r="C1311" s="75">
        <v>51.0</v>
      </c>
    </row>
    <row r="1312">
      <c r="A1312" s="109" t="s">
        <v>4207</v>
      </c>
      <c r="B1312" s="109">
        <v>2731.0</v>
      </c>
      <c r="C1312" s="109">
        <v>51.0</v>
      </c>
    </row>
    <row r="1313">
      <c r="A1313" s="109" t="s">
        <v>4207</v>
      </c>
      <c r="B1313" s="109">
        <v>2731.0</v>
      </c>
      <c r="C1313" s="109">
        <v>49.0</v>
      </c>
    </row>
    <row r="1314">
      <c r="A1314" s="75" t="s">
        <v>4208</v>
      </c>
      <c r="B1314" s="75">
        <v>2736.0</v>
      </c>
      <c r="C1314" s="75">
        <v>53.0</v>
      </c>
    </row>
    <row r="1315">
      <c r="A1315" s="75" t="s">
        <v>4209</v>
      </c>
      <c r="B1315" s="75">
        <v>2703.0</v>
      </c>
      <c r="C1315" s="75">
        <v>52.0</v>
      </c>
    </row>
    <row r="1316">
      <c r="A1316" s="75" t="s">
        <v>4209</v>
      </c>
      <c r="B1316" s="75" t="s">
        <v>4151</v>
      </c>
      <c r="C1316" s="75">
        <v>52.0</v>
      </c>
    </row>
    <row r="1317">
      <c r="A1317" s="75" t="s">
        <v>4210</v>
      </c>
      <c r="B1317" s="75" t="s">
        <v>4060</v>
      </c>
      <c r="C1317" s="75">
        <v>56.0</v>
      </c>
    </row>
    <row r="1318">
      <c r="A1318" s="75" t="s">
        <v>4211</v>
      </c>
      <c r="B1318" s="75" t="s">
        <v>4054</v>
      </c>
      <c r="C1318" s="75">
        <v>56.0</v>
      </c>
    </row>
    <row r="1319">
      <c r="A1319" s="75" t="s">
        <v>4212</v>
      </c>
      <c r="B1319" s="75" t="s">
        <v>4155</v>
      </c>
      <c r="C1319" s="75">
        <v>54.0</v>
      </c>
    </row>
    <row r="1320">
      <c r="A1320" s="75" t="s">
        <v>4212</v>
      </c>
      <c r="B1320" s="75">
        <v>260480.0</v>
      </c>
      <c r="C1320" s="75">
        <v>54.0</v>
      </c>
    </row>
    <row r="1321">
      <c r="A1321" s="108" t="s">
        <v>4212</v>
      </c>
      <c r="B1321" s="108">
        <v>260569.0</v>
      </c>
      <c r="C1321" s="108">
        <v>54.0</v>
      </c>
    </row>
    <row r="1322">
      <c r="A1322" s="75" t="s">
        <v>4212</v>
      </c>
      <c r="B1322" s="75">
        <v>272276.0</v>
      </c>
      <c r="C1322" s="75">
        <v>54.0</v>
      </c>
    </row>
    <row r="1323">
      <c r="A1323" s="75" t="s">
        <v>4212</v>
      </c>
      <c r="B1323" s="75">
        <v>269384.0</v>
      </c>
      <c r="C1323" s="75">
        <v>54.0</v>
      </c>
    </row>
    <row r="1324">
      <c r="A1324" s="75" t="s">
        <v>2343</v>
      </c>
      <c r="B1324" s="75"/>
      <c r="C1324" s="75"/>
    </row>
    <row r="1325">
      <c r="A1325" s="75" t="s">
        <v>2345</v>
      </c>
      <c r="B1325" s="75"/>
      <c r="C1325" s="75"/>
    </row>
    <row r="1326">
      <c r="A1326" s="75" t="s">
        <v>2348</v>
      </c>
      <c r="B1326" s="75"/>
      <c r="C1326" s="75"/>
    </row>
    <row r="1327">
      <c r="A1327" s="75" t="s">
        <v>2351</v>
      </c>
      <c r="B1327" s="75"/>
      <c r="C1327" s="75"/>
    </row>
    <row r="1328">
      <c r="A1328" s="75" t="s">
        <v>4213</v>
      </c>
      <c r="B1328" s="75" t="s">
        <v>4214</v>
      </c>
      <c r="C1328" s="75" t="s">
        <v>2354</v>
      </c>
    </row>
    <row r="1329">
      <c r="A1329" s="75" t="s">
        <v>4215</v>
      </c>
      <c r="B1329" s="75" t="s">
        <v>4214</v>
      </c>
      <c r="C1329" s="75" t="s">
        <v>1003</v>
      </c>
    </row>
    <row r="1330">
      <c r="A1330" s="75" t="s">
        <v>4216</v>
      </c>
      <c r="B1330" s="75" t="s">
        <v>4214</v>
      </c>
      <c r="C1330" s="75" t="s">
        <v>1003</v>
      </c>
    </row>
    <row r="1331">
      <c r="A1331" s="75" t="s">
        <v>4217</v>
      </c>
      <c r="B1331" s="75" t="s">
        <v>4218</v>
      </c>
      <c r="C1331" s="75"/>
    </row>
    <row r="1332">
      <c r="A1332" s="75" t="s">
        <v>4219</v>
      </c>
      <c r="B1332" s="75" t="s">
        <v>4214</v>
      </c>
      <c r="C1332" s="75" t="s">
        <v>1003</v>
      </c>
    </row>
    <row r="1333">
      <c r="A1333" s="75" t="s">
        <v>4220</v>
      </c>
      <c r="B1333" s="75" t="s">
        <v>4221</v>
      </c>
      <c r="C1333" s="75"/>
    </row>
    <row r="1334">
      <c r="A1334" s="75" t="s">
        <v>4222</v>
      </c>
      <c r="B1334" s="75" t="s">
        <v>4223</v>
      </c>
      <c r="C1334" s="75">
        <v>68.0</v>
      </c>
    </row>
    <row r="1335">
      <c r="A1335" s="75" t="s">
        <v>4224</v>
      </c>
      <c r="B1335" s="75" t="s">
        <v>4214</v>
      </c>
      <c r="C1335" s="75" t="s">
        <v>1003</v>
      </c>
    </row>
    <row r="1336">
      <c r="A1336" s="75" t="s">
        <v>4225</v>
      </c>
      <c r="B1336" s="75" t="s">
        <v>4214</v>
      </c>
      <c r="C1336" s="75" t="s">
        <v>1003</v>
      </c>
    </row>
    <row r="1337">
      <c r="A1337" s="75" t="s">
        <v>4226</v>
      </c>
      <c r="B1337" s="75" t="s">
        <v>4227</v>
      </c>
      <c r="C1337" s="75">
        <v>49.0</v>
      </c>
    </row>
    <row r="1338">
      <c r="A1338" s="75" t="s">
        <v>4226</v>
      </c>
      <c r="B1338" s="75" t="s">
        <v>4228</v>
      </c>
      <c r="C1338" s="75">
        <v>49.0</v>
      </c>
    </row>
    <row r="1339">
      <c r="A1339" s="75" t="s">
        <v>4226</v>
      </c>
      <c r="B1339" s="75" t="s">
        <v>4229</v>
      </c>
      <c r="C1339" s="75">
        <v>49.0</v>
      </c>
    </row>
    <row r="1340">
      <c r="A1340" s="75" t="s">
        <v>2370</v>
      </c>
      <c r="B1340" s="75"/>
      <c r="C1340" s="75"/>
    </row>
    <row r="1341">
      <c r="A1341" s="75" t="s">
        <v>2374</v>
      </c>
      <c r="B1341" s="75"/>
      <c r="C1341" s="75"/>
    </row>
    <row r="1342">
      <c r="A1342" s="75" t="s">
        <v>2378</v>
      </c>
      <c r="B1342" s="75"/>
      <c r="C1342" s="75"/>
    </row>
    <row r="1343">
      <c r="A1343" s="75" t="s">
        <v>4230</v>
      </c>
      <c r="B1343" s="75"/>
      <c r="C1343" s="75"/>
    </row>
    <row r="1344">
      <c r="A1344" s="75" t="s">
        <v>2383</v>
      </c>
      <c r="B1344" s="75"/>
      <c r="C1344" s="75"/>
    </row>
    <row r="1345">
      <c r="A1345" s="75" t="s">
        <v>2386</v>
      </c>
      <c r="B1345" s="75"/>
      <c r="C1345" s="75"/>
    </row>
    <row r="1346">
      <c r="A1346" s="75" t="s">
        <v>2390</v>
      </c>
      <c r="B1346" s="75"/>
      <c r="C1346" s="75"/>
    </row>
    <row r="1347">
      <c r="A1347" s="75" t="s">
        <v>2391</v>
      </c>
      <c r="B1347" s="75"/>
      <c r="C1347" s="75"/>
    </row>
    <row r="1348">
      <c r="A1348" s="75" t="s">
        <v>4231</v>
      </c>
      <c r="B1348" s="75"/>
      <c r="C1348" s="75"/>
    </row>
    <row r="1349">
      <c r="A1349" s="75" t="s">
        <v>2395</v>
      </c>
      <c r="B1349" s="75"/>
      <c r="C1349" s="75"/>
    </row>
    <row r="1350">
      <c r="A1350" s="75" t="s">
        <v>4232</v>
      </c>
      <c r="B1350" s="75"/>
      <c r="C1350" s="75"/>
    </row>
    <row r="1351">
      <c r="A1351" s="75" t="s">
        <v>2396</v>
      </c>
      <c r="B1351" s="75"/>
      <c r="C1351" s="75"/>
    </row>
    <row r="1352">
      <c r="A1352" s="75" t="s">
        <v>2399</v>
      </c>
      <c r="B1352" s="75"/>
      <c r="C1352" s="75"/>
    </row>
    <row r="1353">
      <c r="A1353" s="75" t="s">
        <v>2401</v>
      </c>
      <c r="B1353" s="75"/>
      <c r="C1353" s="75"/>
    </row>
    <row r="1354">
      <c r="A1354" s="75" t="s">
        <v>2405</v>
      </c>
      <c r="B1354" s="75"/>
      <c r="C1354" s="75"/>
    </row>
    <row r="1355">
      <c r="A1355" s="75" t="s">
        <v>2407</v>
      </c>
      <c r="B1355" s="75"/>
      <c r="C1355" s="75"/>
    </row>
    <row r="1356">
      <c r="A1356" s="75" t="s">
        <v>4233</v>
      </c>
      <c r="B1356" s="75"/>
      <c r="C1356" s="75"/>
    </row>
    <row r="1357">
      <c r="A1357" s="75" t="s">
        <v>2410</v>
      </c>
      <c r="B1357" s="75"/>
      <c r="C1357" s="75"/>
    </row>
    <row r="1358">
      <c r="A1358" s="75" t="s">
        <v>2412</v>
      </c>
      <c r="B1358" s="75"/>
      <c r="C1358" s="75"/>
    </row>
    <row r="1359">
      <c r="A1359" s="75" t="s">
        <v>4234</v>
      </c>
      <c r="B1359" s="75"/>
      <c r="C1359" s="75"/>
    </row>
    <row r="1360">
      <c r="A1360" s="75" t="s">
        <v>2416</v>
      </c>
      <c r="B1360" s="75"/>
      <c r="C1360" s="75"/>
    </row>
    <row r="1361">
      <c r="A1361" s="75" t="s">
        <v>2418</v>
      </c>
      <c r="B1361" s="75"/>
      <c r="C1361" s="75"/>
    </row>
    <row r="1362">
      <c r="A1362" s="75" t="s">
        <v>2420</v>
      </c>
      <c r="B1362" s="75"/>
      <c r="C1362" s="75"/>
    </row>
    <row r="1363">
      <c r="A1363" s="75" t="s">
        <v>2422</v>
      </c>
      <c r="B1363" s="75"/>
      <c r="C1363" s="75"/>
    </row>
    <row r="1364">
      <c r="A1364" s="75" t="s">
        <v>2423</v>
      </c>
      <c r="B1364" s="75"/>
      <c r="C1364" s="75"/>
    </row>
    <row r="1365">
      <c r="A1365" s="75" t="s">
        <v>2719</v>
      </c>
      <c r="B1365" s="75"/>
      <c r="C1365" s="75"/>
    </row>
    <row r="1366">
      <c r="A1366" s="75" t="s">
        <v>2425</v>
      </c>
      <c r="B1366" s="75"/>
      <c r="C1366" s="75"/>
    </row>
    <row r="1367">
      <c r="A1367" s="133" t="s">
        <v>2427</v>
      </c>
      <c r="B1367" s="133"/>
      <c r="C1367" s="133"/>
    </row>
    <row r="1368">
      <c r="A1368" s="75" t="s">
        <v>2430</v>
      </c>
      <c r="B1368" s="75"/>
      <c r="C1368" s="75"/>
    </row>
    <row r="1369">
      <c r="A1369" s="75" t="s">
        <v>4235</v>
      </c>
      <c r="B1369" s="75"/>
      <c r="C1369" s="75"/>
    </row>
    <row r="1370">
      <c r="A1370" s="75" t="s">
        <v>2432</v>
      </c>
      <c r="B1370" s="75"/>
      <c r="C1370" s="75"/>
    </row>
    <row r="1371">
      <c r="A1371" s="75" t="s">
        <v>2436</v>
      </c>
      <c r="B1371" s="75"/>
      <c r="C1371" s="75"/>
    </row>
    <row r="1372">
      <c r="A1372" s="75" t="s">
        <v>4236</v>
      </c>
      <c r="B1372" s="75"/>
      <c r="C1372" s="75"/>
    </row>
    <row r="1373">
      <c r="A1373" s="75" t="s">
        <v>2438</v>
      </c>
      <c r="B1373" s="75"/>
      <c r="C1373" s="75"/>
    </row>
    <row r="1374">
      <c r="A1374" s="75" t="s">
        <v>2443</v>
      </c>
      <c r="B1374" s="75"/>
      <c r="C1374" s="75"/>
    </row>
    <row r="1375">
      <c r="A1375" s="75" t="s">
        <v>2444</v>
      </c>
      <c r="B1375" s="75"/>
      <c r="C1375" s="75"/>
    </row>
    <row r="1376">
      <c r="A1376" s="75" t="s">
        <v>423</v>
      </c>
      <c r="B1376" s="75"/>
      <c r="C1376" s="75"/>
    </row>
    <row r="1377">
      <c r="A1377" s="75" t="s">
        <v>2448</v>
      </c>
      <c r="B1377" s="75"/>
      <c r="C1377" s="75"/>
    </row>
    <row r="1378">
      <c r="A1378" s="75" t="s">
        <v>4237</v>
      </c>
      <c r="B1378" s="75"/>
      <c r="C1378" s="75"/>
    </row>
    <row r="1379">
      <c r="A1379" s="75" t="s">
        <v>2450</v>
      </c>
      <c r="B1379" s="75"/>
      <c r="C1379" s="75"/>
    </row>
    <row r="1380">
      <c r="A1380" s="75" t="s">
        <v>2454</v>
      </c>
      <c r="B1380" s="75"/>
      <c r="C1380" s="75"/>
    </row>
    <row r="1381">
      <c r="A1381" s="75" t="s">
        <v>2456</v>
      </c>
      <c r="B1381" s="75"/>
      <c r="C1381" s="75"/>
    </row>
    <row r="1382">
      <c r="A1382" s="75" t="s">
        <v>2458</v>
      </c>
      <c r="B1382" s="75"/>
      <c r="C1382" s="75"/>
    </row>
    <row r="1383">
      <c r="A1383" s="75" t="s">
        <v>2460</v>
      </c>
      <c r="B1383" s="75"/>
      <c r="C1383" s="75"/>
    </row>
    <row r="1384">
      <c r="A1384" s="75" t="s">
        <v>2462</v>
      </c>
      <c r="B1384" s="75"/>
      <c r="C1384" s="75"/>
    </row>
    <row r="1385">
      <c r="A1385" s="75" t="s">
        <v>2464</v>
      </c>
      <c r="B1385" s="75"/>
      <c r="C1385" s="75"/>
    </row>
    <row r="1386">
      <c r="A1386" s="75" t="s">
        <v>2467</v>
      </c>
      <c r="B1386" s="75"/>
      <c r="C1386" s="75"/>
    </row>
    <row r="1387">
      <c r="A1387" s="75" t="s">
        <v>2469</v>
      </c>
      <c r="B1387" s="75"/>
      <c r="C1387" s="75"/>
    </row>
    <row r="1388">
      <c r="A1388" s="75" t="s">
        <v>2471</v>
      </c>
      <c r="B1388" s="75"/>
      <c r="C1388" s="75"/>
    </row>
    <row r="1389">
      <c r="A1389" s="75" t="s">
        <v>2473</v>
      </c>
      <c r="B1389" s="75"/>
      <c r="C1389" s="75"/>
    </row>
    <row r="1390">
      <c r="A1390" s="75" t="s">
        <v>4238</v>
      </c>
      <c r="B1390" s="75"/>
      <c r="C1390" s="75"/>
    </row>
    <row r="1391">
      <c r="A1391" s="75" t="s">
        <v>2476</v>
      </c>
      <c r="B1391" s="75"/>
      <c r="C1391" s="75"/>
    </row>
    <row r="1392">
      <c r="A1392" s="75" t="s">
        <v>4239</v>
      </c>
      <c r="B1392" s="75"/>
      <c r="C1392" s="75"/>
    </row>
    <row r="1393">
      <c r="A1393" s="75" t="s">
        <v>2478</v>
      </c>
      <c r="B1393" s="75"/>
      <c r="C1393" s="75"/>
    </row>
    <row r="1394">
      <c r="A1394" s="75" t="s">
        <v>2480</v>
      </c>
      <c r="B1394" s="75"/>
      <c r="C1394" s="75"/>
    </row>
    <row r="1395">
      <c r="A1395" s="75" t="s">
        <v>2481</v>
      </c>
      <c r="B1395" s="75"/>
      <c r="C1395" s="75"/>
    </row>
    <row r="1396">
      <c r="A1396" s="75" t="s">
        <v>2483</v>
      </c>
      <c r="B1396" s="75"/>
      <c r="C1396" s="75"/>
    </row>
    <row r="1397">
      <c r="A1397" s="75" t="s">
        <v>4240</v>
      </c>
      <c r="B1397" s="75"/>
      <c r="C1397" s="75"/>
    </row>
    <row r="1398">
      <c r="A1398" s="75" t="s">
        <v>2485</v>
      </c>
      <c r="B1398" s="75"/>
      <c r="C1398" s="75"/>
    </row>
    <row r="1399">
      <c r="A1399" s="75" t="s">
        <v>2486</v>
      </c>
      <c r="B1399" s="75"/>
      <c r="C1399" s="75"/>
    </row>
    <row r="1400">
      <c r="A1400" s="75" t="s">
        <v>4241</v>
      </c>
      <c r="B1400" s="75"/>
      <c r="C1400" s="75"/>
    </row>
    <row r="1401">
      <c r="A1401" s="75" t="s">
        <v>2488</v>
      </c>
      <c r="B1401" s="75"/>
      <c r="C1401" s="75"/>
    </row>
    <row r="1402">
      <c r="A1402" s="75" t="s">
        <v>4242</v>
      </c>
      <c r="B1402" s="75"/>
      <c r="C1402" s="75"/>
    </row>
    <row r="1403">
      <c r="A1403" s="75" t="s">
        <v>2490</v>
      </c>
      <c r="B1403" s="75"/>
      <c r="C1403" s="75"/>
    </row>
    <row r="1404">
      <c r="A1404" s="75" t="s">
        <v>4243</v>
      </c>
      <c r="B1404" s="75"/>
      <c r="C1404" s="75"/>
    </row>
    <row r="1405">
      <c r="A1405" s="75" t="s">
        <v>2493</v>
      </c>
      <c r="B1405" s="75"/>
      <c r="C1405" s="75"/>
    </row>
    <row r="1406">
      <c r="A1406" s="75" t="s">
        <v>4244</v>
      </c>
      <c r="B1406" s="75"/>
      <c r="C1406" s="75"/>
    </row>
    <row r="1407">
      <c r="A1407" s="75" t="s">
        <v>2495</v>
      </c>
      <c r="B1407" s="75"/>
      <c r="C1407" s="75"/>
    </row>
    <row r="1408">
      <c r="A1408" s="75" t="s">
        <v>2497</v>
      </c>
      <c r="B1408" s="75"/>
      <c r="C1408" s="75"/>
    </row>
    <row r="1409">
      <c r="A1409" s="75" t="s">
        <v>2498</v>
      </c>
      <c r="B1409" s="75"/>
      <c r="C1409" s="75"/>
    </row>
    <row r="1410">
      <c r="A1410" s="121" t="s">
        <v>2499</v>
      </c>
      <c r="B1410" s="121"/>
      <c r="C1410" s="121"/>
    </row>
    <row r="1411">
      <c r="A1411" s="75" t="s">
        <v>4245</v>
      </c>
      <c r="B1411" s="75"/>
      <c r="C1411" s="75"/>
    </row>
    <row r="1412">
      <c r="A1412" s="75" t="s">
        <v>4246</v>
      </c>
      <c r="B1412" s="75"/>
      <c r="C1412" s="75"/>
    </row>
    <row r="1413">
      <c r="A1413" s="75" t="s">
        <v>2501</v>
      </c>
      <c r="B1413" s="75"/>
      <c r="C1413" s="75"/>
    </row>
    <row r="1414">
      <c r="A1414" s="75" t="s">
        <v>4247</v>
      </c>
      <c r="B1414" s="75"/>
      <c r="C1414" s="75"/>
    </row>
    <row r="1415">
      <c r="A1415" s="75" t="s">
        <v>2504</v>
      </c>
      <c r="B1415" s="75"/>
      <c r="C1415" s="75"/>
    </row>
    <row r="1416">
      <c r="A1416" s="75" t="s">
        <v>4248</v>
      </c>
      <c r="B1416" s="75"/>
      <c r="C1416" s="75"/>
    </row>
    <row r="1417">
      <c r="A1417" s="75" t="s">
        <v>2507</v>
      </c>
      <c r="B1417" s="75"/>
      <c r="C1417" s="75"/>
    </row>
    <row r="1418">
      <c r="A1418" s="75" t="s">
        <v>2508</v>
      </c>
      <c r="B1418" s="75"/>
      <c r="C1418" s="75"/>
    </row>
    <row r="1419">
      <c r="A1419" s="75" t="s">
        <v>4249</v>
      </c>
      <c r="B1419" s="75"/>
      <c r="C1419" s="75"/>
    </row>
    <row r="1420">
      <c r="A1420" s="75" t="s">
        <v>4250</v>
      </c>
      <c r="B1420" s="75"/>
      <c r="C1420" s="75"/>
    </row>
    <row r="1421">
      <c r="A1421" s="75" t="s">
        <v>2509</v>
      </c>
      <c r="B1421" s="75"/>
      <c r="C1421" s="75"/>
    </row>
    <row r="1422">
      <c r="A1422" s="75" t="s">
        <v>2511</v>
      </c>
      <c r="B1422" s="75"/>
      <c r="C1422" s="75"/>
    </row>
    <row r="1423">
      <c r="A1423" s="75" t="s">
        <v>4251</v>
      </c>
      <c r="B1423" s="75"/>
      <c r="C1423" s="75"/>
    </row>
    <row r="1424">
      <c r="A1424" s="75" t="s">
        <v>4252</v>
      </c>
      <c r="B1424" s="75"/>
      <c r="C1424" s="75"/>
    </row>
    <row r="1425">
      <c r="A1425" s="75" t="s">
        <v>2513</v>
      </c>
      <c r="B1425" s="75"/>
      <c r="C1425" s="75"/>
    </row>
    <row r="1426">
      <c r="A1426" s="75" t="s">
        <v>4253</v>
      </c>
      <c r="B1426" s="75"/>
      <c r="C1426" s="75"/>
    </row>
    <row r="1427">
      <c r="A1427" s="75" t="s">
        <v>2515</v>
      </c>
      <c r="B1427" s="75"/>
      <c r="C1427" s="75"/>
    </row>
    <row r="1428">
      <c r="A1428" s="75" t="s">
        <v>2517</v>
      </c>
      <c r="B1428" s="75"/>
      <c r="C1428" s="75"/>
    </row>
    <row r="1429">
      <c r="A1429" s="75" t="s">
        <v>2519</v>
      </c>
      <c r="B1429" s="75"/>
      <c r="C1429" s="75"/>
    </row>
    <row r="1430">
      <c r="A1430" s="75" t="s">
        <v>4254</v>
      </c>
      <c r="B1430" s="75"/>
      <c r="C1430" s="75"/>
    </row>
    <row r="1431">
      <c r="A1431" s="75" t="s">
        <v>2523</v>
      </c>
      <c r="B1431" s="75"/>
      <c r="C1431" s="75"/>
    </row>
    <row r="1432">
      <c r="A1432" s="75" t="s">
        <v>4255</v>
      </c>
      <c r="B1432" s="75"/>
      <c r="C1432" s="75"/>
    </row>
    <row r="1433">
      <c r="A1433" s="75" t="s">
        <v>2524</v>
      </c>
      <c r="B1433" s="75"/>
      <c r="C1433" s="75"/>
    </row>
    <row r="1434">
      <c r="A1434" s="75" t="s">
        <v>2527</v>
      </c>
      <c r="B1434" s="75"/>
      <c r="C1434" s="75"/>
    </row>
    <row r="1435">
      <c r="A1435" s="75" t="s">
        <v>4256</v>
      </c>
      <c r="B1435" s="75"/>
      <c r="C1435" s="75"/>
    </row>
    <row r="1436">
      <c r="A1436" s="75" t="s">
        <v>2528</v>
      </c>
      <c r="B1436" s="75"/>
      <c r="C1436" s="75"/>
    </row>
    <row r="1437">
      <c r="A1437" s="75" t="s">
        <v>2529</v>
      </c>
      <c r="B1437" s="75"/>
      <c r="C1437" s="75"/>
    </row>
    <row r="1438">
      <c r="A1438" s="75" t="s">
        <v>4257</v>
      </c>
      <c r="B1438" s="75"/>
      <c r="C1438" s="75"/>
    </row>
    <row r="1439">
      <c r="A1439" s="75" t="s">
        <v>2531</v>
      </c>
      <c r="B1439" s="75"/>
      <c r="C1439" s="75"/>
    </row>
    <row r="1440">
      <c r="A1440" s="75" t="s">
        <v>2533</v>
      </c>
      <c r="B1440" s="75"/>
      <c r="C1440" s="75"/>
    </row>
    <row r="1441">
      <c r="A1441" s="75" t="s">
        <v>2535</v>
      </c>
      <c r="B1441" s="75"/>
      <c r="C1441" s="75"/>
    </row>
    <row r="1442">
      <c r="A1442" s="75" t="s">
        <v>2537</v>
      </c>
      <c r="B1442" s="75"/>
      <c r="C1442" s="75"/>
    </row>
    <row r="1443">
      <c r="A1443" s="75" t="s">
        <v>2539</v>
      </c>
      <c r="B1443" s="75"/>
      <c r="C1443" s="75"/>
    </row>
    <row r="1444">
      <c r="A1444" s="75" t="s">
        <v>2541</v>
      </c>
      <c r="B1444" s="75"/>
      <c r="C1444" s="75"/>
    </row>
    <row r="1445">
      <c r="A1445" s="75" t="s">
        <v>2543</v>
      </c>
      <c r="B1445" s="75"/>
      <c r="C1445" s="75"/>
    </row>
    <row r="1446">
      <c r="A1446" s="75" t="s">
        <v>2548</v>
      </c>
      <c r="B1446" s="75"/>
      <c r="C1446" s="75"/>
    </row>
    <row r="1447">
      <c r="A1447" s="75" t="s">
        <v>2549</v>
      </c>
      <c r="B1447" s="75"/>
      <c r="C1447" s="75"/>
    </row>
    <row r="1448">
      <c r="A1448" s="121" t="s">
        <v>2550</v>
      </c>
      <c r="B1448" s="121"/>
      <c r="C1448" s="121"/>
    </row>
    <row r="1449">
      <c r="A1449" s="75" t="s">
        <v>2551</v>
      </c>
      <c r="B1449" s="75"/>
      <c r="C1449" s="75"/>
    </row>
    <row r="1450">
      <c r="A1450" s="75" t="s">
        <v>4258</v>
      </c>
      <c r="B1450" s="75"/>
      <c r="C1450" s="75"/>
    </row>
    <row r="1451">
      <c r="A1451" s="75" t="s">
        <v>4259</v>
      </c>
      <c r="B1451" s="75"/>
      <c r="C1451" s="75"/>
    </row>
    <row r="1452">
      <c r="A1452" s="75" t="s">
        <v>2552</v>
      </c>
      <c r="B1452" s="75"/>
      <c r="C1452" s="75"/>
    </row>
    <row r="1453">
      <c r="A1453" s="75" t="s">
        <v>2554</v>
      </c>
      <c r="B1453" s="75"/>
      <c r="C1453" s="75"/>
    </row>
    <row r="1454">
      <c r="A1454" s="75" t="s">
        <v>2556</v>
      </c>
      <c r="B1454" s="75"/>
      <c r="C1454" s="75"/>
    </row>
    <row r="1455">
      <c r="A1455" s="75" t="s">
        <v>2558</v>
      </c>
      <c r="B1455" s="75"/>
      <c r="C1455" s="75"/>
    </row>
    <row r="1456">
      <c r="A1456" s="75" t="s">
        <v>4260</v>
      </c>
      <c r="B1456" s="75"/>
      <c r="C1456" s="75"/>
    </row>
    <row r="1457">
      <c r="A1457" s="75" t="s">
        <v>2559</v>
      </c>
      <c r="B1457" s="75"/>
      <c r="C1457" s="75"/>
    </row>
    <row r="1458">
      <c r="A1458" s="75" t="s">
        <v>2561</v>
      </c>
      <c r="B1458" s="75"/>
      <c r="C1458" s="75"/>
    </row>
    <row r="1459">
      <c r="A1459" s="75" t="s">
        <v>2563</v>
      </c>
      <c r="B1459" s="75"/>
      <c r="C1459" s="75"/>
    </row>
    <row r="1460">
      <c r="A1460" s="75" t="s">
        <v>2565</v>
      </c>
      <c r="B1460" s="75"/>
      <c r="C1460" s="75"/>
    </row>
    <row r="1461">
      <c r="A1461" s="75" t="s">
        <v>1699</v>
      </c>
      <c r="B1461" s="75"/>
      <c r="C1461" s="75"/>
    </row>
    <row r="1462">
      <c r="A1462" s="75" t="s">
        <v>4261</v>
      </c>
      <c r="B1462" s="75"/>
      <c r="C1462" s="75"/>
    </row>
    <row r="1463">
      <c r="A1463" s="75" t="s">
        <v>2566</v>
      </c>
      <c r="B1463" s="75"/>
      <c r="C1463" s="75"/>
    </row>
    <row r="1464">
      <c r="A1464" s="75" t="s">
        <v>2568</v>
      </c>
      <c r="B1464" s="75"/>
      <c r="C1464" s="75"/>
    </row>
    <row r="1465">
      <c r="A1465" s="75" t="s">
        <v>2572</v>
      </c>
      <c r="B1465" s="75"/>
      <c r="C1465" s="75"/>
    </row>
    <row r="1466">
      <c r="A1466" s="75" t="s">
        <v>2574</v>
      </c>
      <c r="B1466" s="75"/>
      <c r="C1466" s="75"/>
    </row>
    <row r="1467">
      <c r="A1467" s="75" t="s">
        <v>2576</v>
      </c>
      <c r="B1467" s="75"/>
      <c r="C1467" s="75"/>
    </row>
    <row r="1468">
      <c r="A1468" s="75" t="s">
        <v>2578</v>
      </c>
      <c r="B1468" s="75"/>
      <c r="C1468" s="75"/>
    </row>
    <row r="1469">
      <c r="A1469" s="75" t="s">
        <v>4262</v>
      </c>
      <c r="B1469" s="75"/>
      <c r="C1469" s="75"/>
    </row>
    <row r="1470">
      <c r="A1470" s="75" t="s">
        <v>2580</v>
      </c>
      <c r="B1470" s="75"/>
      <c r="C1470" s="75"/>
    </row>
    <row r="1471">
      <c r="A1471" s="75" t="s">
        <v>2583</v>
      </c>
      <c r="B1471" s="75"/>
      <c r="C1471" s="75"/>
    </row>
    <row r="1472">
      <c r="A1472" s="75" t="s">
        <v>2585</v>
      </c>
      <c r="B1472" s="75"/>
      <c r="C1472" s="75"/>
    </row>
    <row r="1473">
      <c r="A1473" s="75" t="s">
        <v>2091</v>
      </c>
      <c r="B1473" s="75"/>
      <c r="C1473" s="75"/>
    </row>
    <row r="1474">
      <c r="A1474" s="75" t="s">
        <v>2589</v>
      </c>
      <c r="B1474" s="75"/>
      <c r="C1474" s="75"/>
    </row>
    <row r="1475">
      <c r="A1475" s="75" t="s">
        <v>2592</v>
      </c>
      <c r="B1475" s="75"/>
      <c r="C1475" s="75"/>
    </row>
    <row r="1476">
      <c r="A1476" s="75" t="s">
        <v>4263</v>
      </c>
      <c r="B1476" s="75"/>
      <c r="C1476" s="75"/>
    </row>
    <row r="1477">
      <c r="A1477" s="75" t="s">
        <v>2593</v>
      </c>
      <c r="B1477" s="75"/>
      <c r="C1477" s="75"/>
    </row>
    <row r="1478">
      <c r="A1478" s="75" t="s">
        <v>2596</v>
      </c>
      <c r="B1478" s="75"/>
      <c r="C1478" s="75"/>
    </row>
    <row r="1479">
      <c r="A1479" s="75" t="s">
        <v>2599</v>
      </c>
      <c r="B1479" s="75"/>
      <c r="C1479" s="75"/>
    </row>
    <row r="1480">
      <c r="A1480" s="75" t="s">
        <v>2602</v>
      </c>
      <c r="B1480" s="75"/>
      <c r="C1480" s="75"/>
    </row>
    <row r="1481">
      <c r="A1481" s="75" t="s">
        <v>2604</v>
      </c>
      <c r="B1481" s="75"/>
      <c r="C1481" s="75"/>
    </row>
    <row r="1482">
      <c r="A1482" s="75" t="s">
        <v>4264</v>
      </c>
      <c r="B1482" s="75"/>
      <c r="C1482" s="75"/>
    </row>
    <row r="1483">
      <c r="A1483" s="75" t="s">
        <v>2606</v>
      </c>
      <c r="B1483" s="75"/>
      <c r="C1483" s="75"/>
    </row>
    <row r="1484">
      <c r="A1484" s="75" t="s">
        <v>2608</v>
      </c>
      <c r="B1484" s="75"/>
      <c r="C1484" s="75"/>
    </row>
    <row r="1485">
      <c r="A1485" s="75" t="s">
        <v>2610</v>
      </c>
      <c r="B1485" s="75"/>
      <c r="C1485" s="75"/>
    </row>
    <row r="1486">
      <c r="A1486" s="75" t="s">
        <v>2611</v>
      </c>
      <c r="B1486" s="75"/>
      <c r="C1486" s="75"/>
    </row>
    <row r="1487">
      <c r="A1487" s="75" t="s">
        <v>2613</v>
      </c>
      <c r="B1487" s="75"/>
      <c r="C1487" s="75"/>
    </row>
    <row r="1488">
      <c r="A1488" s="75" t="s">
        <v>4265</v>
      </c>
      <c r="B1488" s="75"/>
      <c r="C1488" s="75"/>
    </row>
    <row r="1489">
      <c r="A1489" s="75" t="s">
        <v>2617</v>
      </c>
      <c r="B1489" s="75"/>
      <c r="C1489" s="75"/>
    </row>
    <row r="1490">
      <c r="A1490" s="75" t="s">
        <v>2619</v>
      </c>
      <c r="B1490" s="75"/>
      <c r="C1490" s="75"/>
    </row>
    <row r="1491">
      <c r="A1491" s="75" t="s">
        <v>2621</v>
      </c>
      <c r="B1491" s="75"/>
      <c r="C1491" s="75"/>
    </row>
    <row r="1492">
      <c r="A1492" s="75" t="s">
        <v>2623</v>
      </c>
      <c r="B1492" s="75"/>
      <c r="C1492" s="75"/>
    </row>
    <row r="1493">
      <c r="A1493" s="75" t="s">
        <v>2625</v>
      </c>
      <c r="B1493" s="75"/>
      <c r="C1493" s="75"/>
    </row>
    <row r="1494">
      <c r="A1494" s="75" t="s">
        <v>2627</v>
      </c>
      <c r="B1494" s="75"/>
      <c r="C1494" s="75"/>
    </row>
    <row r="1495">
      <c r="A1495" s="75" t="s">
        <v>2629</v>
      </c>
      <c r="B1495" s="75"/>
      <c r="C1495" s="75"/>
    </row>
    <row r="1496">
      <c r="A1496" s="75" t="s">
        <v>2632</v>
      </c>
      <c r="B1496" s="75"/>
      <c r="C1496" s="75"/>
    </row>
    <row r="1497">
      <c r="A1497" s="75" t="s">
        <v>4266</v>
      </c>
      <c r="B1497" s="75"/>
      <c r="C1497" s="75"/>
    </row>
    <row r="1498">
      <c r="A1498" s="75" t="s">
        <v>2637</v>
      </c>
      <c r="B1498" s="75"/>
      <c r="C1498" s="75"/>
    </row>
    <row r="1499">
      <c r="A1499" s="75" t="s">
        <v>2639</v>
      </c>
      <c r="B1499" s="75"/>
      <c r="C1499" s="75"/>
    </row>
    <row r="1500">
      <c r="A1500" s="75" t="s">
        <v>2642</v>
      </c>
      <c r="B1500" s="75"/>
      <c r="C1500" s="75"/>
    </row>
    <row r="1501">
      <c r="A1501" s="75" t="s">
        <v>2644</v>
      </c>
      <c r="B1501" s="75"/>
      <c r="C1501" s="75"/>
    </row>
    <row r="1502">
      <c r="A1502" s="75" t="s">
        <v>2645</v>
      </c>
      <c r="B1502" s="75"/>
      <c r="C1502" s="75"/>
    </row>
    <row r="1503">
      <c r="A1503" s="75" t="s">
        <v>4267</v>
      </c>
      <c r="B1503" s="75"/>
      <c r="C1503" s="75"/>
    </row>
    <row r="1504">
      <c r="A1504" s="75" t="s">
        <v>2647</v>
      </c>
      <c r="B1504" s="75"/>
      <c r="C1504" s="75"/>
    </row>
    <row r="1505">
      <c r="A1505" s="75" t="s">
        <v>2649</v>
      </c>
      <c r="B1505" s="75"/>
      <c r="C1505" s="75"/>
    </row>
    <row r="1506">
      <c r="A1506" s="75" t="s">
        <v>2650</v>
      </c>
      <c r="B1506" s="75"/>
      <c r="C1506" s="75"/>
    </row>
    <row r="1507">
      <c r="A1507" s="75" t="s">
        <v>2652</v>
      </c>
      <c r="B1507" s="75"/>
      <c r="C1507" s="75"/>
    </row>
    <row r="1508">
      <c r="A1508" s="75" t="s">
        <v>4268</v>
      </c>
      <c r="B1508" s="75"/>
      <c r="C1508" s="75"/>
    </row>
    <row r="1509">
      <c r="A1509" s="75" t="s">
        <v>2654</v>
      </c>
      <c r="B1509" s="75"/>
      <c r="C1509" s="75"/>
    </row>
    <row r="1510">
      <c r="A1510" s="75" t="s">
        <v>4269</v>
      </c>
      <c r="B1510" s="75"/>
      <c r="C1510" s="75"/>
    </row>
    <row r="1511">
      <c r="A1511" s="75" t="s">
        <v>2656</v>
      </c>
      <c r="B1511" s="75"/>
      <c r="C1511" s="75"/>
    </row>
    <row r="1512">
      <c r="A1512" s="75" t="s">
        <v>2658</v>
      </c>
      <c r="B1512" s="75"/>
      <c r="C1512" s="75"/>
    </row>
    <row r="1513">
      <c r="A1513" s="75" t="s">
        <v>2660</v>
      </c>
      <c r="B1513" s="75"/>
      <c r="C1513" s="75"/>
    </row>
    <row r="1514">
      <c r="A1514" s="75" t="s">
        <v>4270</v>
      </c>
      <c r="B1514" s="75"/>
      <c r="C1514" s="75"/>
    </row>
    <row r="1515">
      <c r="A1515" s="75" t="s">
        <v>2661</v>
      </c>
      <c r="B1515" s="75"/>
      <c r="C1515" s="75"/>
    </row>
    <row r="1516">
      <c r="A1516" s="75" t="s">
        <v>4271</v>
      </c>
      <c r="B1516" s="75"/>
      <c r="C1516" s="75"/>
    </row>
    <row r="1517">
      <c r="A1517" s="75" t="s">
        <v>2663</v>
      </c>
      <c r="B1517" s="75"/>
      <c r="C1517" s="75"/>
    </row>
    <row r="1518">
      <c r="A1518" s="75" t="s">
        <v>2665</v>
      </c>
      <c r="B1518" s="75"/>
      <c r="C1518" s="75"/>
    </row>
    <row r="1519">
      <c r="A1519" s="75" t="s">
        <v>2667</v>
      </c>
      <c r="B1519" s="75"/>
      <c r="C1519" s="75"/>
    </row>
    <row r="1520">
      <c r="A1520" s="75" t="s">
        <v>2668</v>
      </c>
      <c r="B1520" s="75"/>
      <c r="C1520" s="75"/>
    </row>
    <row r="1521">
      <c r="A1521" s="75" t="s">
        <v>4272</v>
      </c>
      <c r="B1521" s="75"/>
      <c r="C1521" s="75"/>
    </row>
    <row r="1522">
      <c r="A1522" s="75" t="s">
        <v>4273</v>
      </c>
      <c r="B1522" s="75"/>
      <c r="C1522" s="75"/>
    </row>
    <row r="1523">
      <c r="A1523" s="75" t="s">
        <v>2507</v>
      </c>
      <c r="B1523" s="75"/>
      <c r="C1523" s="75"/>
    </row>
    <row r="1524">
      <c r="A1524" s="75" t="s">
        <v>4274</v>
      </c>
      <c r="B1524" s="75"/>
      <c r="C1524" s="75"/>
    </row>
    <row r="1525">
      <c r="A1525" s="75" t="s">
        <v>2669</v>
      </c>
      <c r="B1525" s="75"/>
      <c r="C1525" s="75"/>
    </row>
    <row r="1526">
      <c r="A1526" s="75" t="s">
        <v>2671</v>
      </c>
      <c r="B1526" s="75"/>
      <c r="C1526" s="75"/>
    </row>
    <row r="1527">
      <c r="A1527" s="75" t="s">
        <v>2673</v>
      </c>
      <c r="B1527" s="75"/>
      <c r="C1527" s="75"/>
    </row>
    <row r="1528">
      <c r="A1528" s="75" t="s">
        <v>2676</v>
      </c>
      <c r="B1528" s="75"/>
      <c r="C1528" s="75"/>
    </row>
    <row r="1529">
      <c r="A1529" s="75" t="s">
        <v>2679</v>
      </c>
      <c r="B1529" s="75"/>
      <c r="C1529" s="75"/>
    </row>
    <row r="1530">
      <c r="A1530" s="75" t="s">
        <v>2681</v>
      </c>
      <c r="B1530" s="75"/>
      <c r="C1530" s="75"/>
    </row>
    <row r="1531">
      <c r="A1531" s="75" t="s">
        <v>2682</v>
      </c>
      <c r="B1531" s="75"/>
      <c r="C1531" s="75"/>
    </row>
    <row r="1532">
      <c r="A1532" s="75" t="s">
        <v>2685</v>
      </c>
      <c r="B1532" s="75"/>
      <c r="C1532" s="75"/>
    </row>
    <row r="1533">
      <c r="A1533" s="75" t="s">
        <v>2687</v>
      </c>
      <c r="B1533" s="75"/>
      <c r="C1533" s="75"/>
    </row>
    <row r="1534">
      <c r="A1534" s="75" t="s">
        <v>2688</v>
      </c>
      <c r="B1534" s="75"/>
      <c r="C1534" s="75"/>
    </row>
    <row r="1535">
      <c r="A1535" s="75" t="s">
        <v>2689</v>
      </c>
      <c r="B1535" s="75"/>
      <c r="C1535" s="75"/>
    </row>
    <row r="1536">
      <c r="A1536" s="75" t="s">
        <v>4275</v>
      </c>
      <c r="B1536" s="75"/>
      <c r="C1536" s="75"/>
    </row>
    <row r="1537">
      <c r="A1537" s="75" t="s">
        <v>2691</v>
      </c>
      <c r="B1537" s="75"/>
      <c r="C1537" s="75"/>
    </row>
    <row r="1538">
      <c r="A1538" s="75" t="s">
        <v>2693</v>
      </c>
      <c r="B1538" s="75"/>
      <c r="C1538" s="75"/>
    </row>
    <row r="1539">
      <c r="A1539" s="75" t="s">
        <v>2695</v>
      </c>
      <c r="B1539" s="75"/>
      <c r="C1539" s="75"/>
    </row>
    <row r="1540">
      <c r="A1540" s="75" t="s">
        <v>2696</v>
      </c>
      <c r="B1540" s="75"/>
      <c r="C1540" s="75"/>
    </row>
    <row r="1541">
      <c r="A1541" s="52" t="s">
        <v>2698</v>
      </c>
      <c r="B1541" s="52"/>
      <c r="C1541" s="52"/>
    </row>
    <row r="1542">
      <c r="A1542" s="52" t="s">
        <v>2701</v>
      </c>
      <c r="B1542" s="52"/>
      <c r="C1542" s="52"/>
    </row>
    <row r="1543">
      <c r="A1543" s="52" t="s">
        <v>4276</v>
      </c>
      <c r="B1543" s="52"/>
      <c r="C1543" s="52"/>
    </row>
    <row r="1544">
      <c r="A1544" s="52" t="s">
        <v>2703</v>
      </c>
      <c r="B1544" s="52"/>
      <c r="C1544" s="52"/>
    </row>
    <row r="1545">
      <c r="A1545" s="52" t="s">
        <v>4277</v>
      </c>
      <c r="B1545" s="52"/>
      <c r="C1545" s="52"/>
    </row>
    <row r="1546">
      <c r="A1546" s="52" t="s">
        <v>4278</v>
      </c>
      <c r="B1546" s="52"/>
      <c r="C1546" s="52"/>
    </row>
    <row r="1547">
      <c r="A1547" s="52" t="s">
        <v>2708</v>
      </c>
      <c r="B1547" s="52"/>
      <c r="C1547" s="52"/>
    </row>
    <row r="1548">
      <c r="A1548" s="52" t="s">
        <v>4279</v>
      </c>
      <c r="B1548" s="52"/>
      <c r="C1548" s="52"/>
    </row>
    <row r="1549">
      <c r="A1549" s="52" t="s">
        <v>2711</v>
      </c>
      <c r="B1549" s="52"/>
      <c r="C1549" s="52"/>
    </row>
    <row r="1550">
      <c r="A1550" s="52" t="s">
        <v>2713</v>
      </c>
      <c r="B1550" s="52"/>
      <c r="C1550" s="52"/>
    </row>
    <row r="1551">
      <c r="A1551" s="52" t="s">
        <v>2716</v>
      </c>
      <c r="B1551" s="52"/>
      <c r="C1551" s="52"/>
    </row>
    <row r="1552">
      <c r="A1552" s="147" t="s">
        <v>2717</v>
      </c>
      <c r="B1552" s="147"/>
      <c r="C1552" s="147"/>
    </row>
    <row r="1553">
      <c r="A1553" s="147" t="s">
        <v>4280</v>
      </c>
      <c r="B1553" s="147"/>
      <c r="C1553" s="147"/>
    </row>
    <row r="1554">
      <c r="A1554" s="147" t="s">
        <v>4281</v>
      </c>
      <c r="B1554" s="147"/>
      <c r="C1554" s="147"/>
    </row>
    <row r="1555">
      <c r="A1555" s="147" t="s">
        <v>4282</v>
      </c>
      <c r="B1555" s="147"/>
      <c r="C1555" s="147"/>
    </row>
    <row r="1556">
      <c r="A1556" s="147" t="s">
        <v>2720</v>
      </c>
      <c r="B1556" s="147"/>
      <c r="C1556" s="147"/>
    </row>
    <row r="1557">
      <c r="A1557" s="147" t="s">
        <v>4283</v>
      </c>
      <c r="B1557" s="147"/>
      <c r="C1557" s="147"/>
    </row>
    <row r="1558">
      <c r="A1558" s="147" t="s">
        <v>2722</v>
      </c>
      <c r="B1558" s="147"/>
      <c r="C1558" s="147"/>
    </row>
    <row r="1559">
      <c r="A1559" s="147" t="s">
        <v>2724</v>
      </c>
      <c r="B1559" s="147"/>
      <c r="C1559" s="147"/>
    </row>
    <row r="1560">
      <c r="A1560" s="147" t="s">
        <v>2726</v>
      </c>
      <c r="B1560" s="147"/>
      <c r="C1560" s="147"/>
    </row>
    <row r="1561">
      <c r="A1561" s="147" t="s">
        <v>4284</v>
      </c>
      <c r="B1561" s="147"/>
      <c r="C1561" s="147"/>
    </row>
    <row r="1562">
      <c r="A1562" s="147" t="s">
        <v>2727</v>
      </c>
      <c r="B1562" s="147"/>
      <c r="C1562" s="147"/>
    </row>
    <row r="1563">
      <c r="A1563" s="147" t="s">
        <v>2730</v>
      </c>
      <c r="B1563" s="147"/>
      <c r="C1563" s="147"/>
    </row>
    <row r="1564">
      <c r="A1564" s="66" t="s">
        <v>2731</v>
      </c>
      <c r="B1564" s="66"/>
      <c r="C1564" s="66"/>
    </row>
    <row r="1565">
      <c r="A1565" s="147" t="s">
        <v>4285</v>
      </c>
      <c r="B1565" s="147"/>
      <c r="C1565" s="147"/>
    </row>
    <row r="1566">
      <c r="A1566" s="147" t="s">
        <v>2733</v>
      </c>
      <c r="B1566" s="147"/>
      <c r="C1566" s="147"/>
    </row>
    <row r="1567">
      <c r="A1567" s="147" t="s">
        <v>4286</v>
      </c>
      <c r="B1567" s="147"/>
      <c r="C1567" s="147"/>
    </row>
    <row r="1568">
      <c r="A1568" s="52" t="s">
        <v>2735</v>
      </c>
      <c r="B1568" s="52"/>
      <c r="C1568" s="52"/>
    </row>
    <row r="1569">
      <c r="A1569" s="52" t="s">
        <v>2736</v>
      </c>
      <c r="B1569" s="52"/>
      <c r="C1569" s="52"/>
    </row>
    <row r="1570">
      <c r="A1570" s="52" t="s">
        <v>2739</v>
      </c>
      <c r="B1570" s="52"/>
      <c r="C1570" s="52"/>
    </row>
    <row r="1571">
      <c r="A1571" s="52" t="s">
        <v>2740</v>
      </c>
      <c r="B1571" s="52"/>
      <c r="C1571" s="52"/>
    </row>
    <row r="1572">
      <c r="A1572" s="52" t="s">
        <v>2742</v>
      </c>
      <c r="B1572" s="52"/>
      <c r="C1572" s="52"/>
    </row>
    <row r="1573">
      <c r="A1573" s="52" t="s">
        <v>2743</v>
      </c>
      <c r="B1573" s="52"/>
      <c r="C1573" s="52"/>
    </row>
    <row r="1574">
      <c r="A1574" s="52" t="s">
        <v>2745</v>
      </c>
      <c r="B1574" s="52"/>
      <c r="C1574" s="52"/>
    </row>
    <row r="1575">
      <c r="A1575" s="52" t="s">
        <v>2746</v>
      </c>
      <c r="B1575" s="52"/>
      <c r="C1575" s="52"/>
    </row>
    <row r="1576">
      <c r="A1576" s="52" t="s">
        <v>2748</v>
      </c>
      <c r="B1576" s="52"/>
      <c r="C1576" s="52"/>
    </row>
    <row r="1577">
      <c r="A1577" s="52" t="s">
        <v>2749</v>
      </c>
      <c r="B1577" s="52"/>
      <c r="C1577" s="52"/>
    </row>
    <row r="1578">
      <c r="A1578" s="52" t="s">
        <v>4287</v>
      </c>
      <c r="B1578" s="52"/>
      <c r="C1578" s="52"/>
    </row>
    <row r="1579">
      <c r="A1579" s="52" t="s">
        <v>4288</v>
      </c>
      <c r="B1579" s="52">
        <v>6.0</v>
      </c>
      <c r="C1579" s="52">
        <v>59.0</v>
      </c>
    </row>
    <row r="1580">
      <c r="A1580" s="52" t="s">
        <v>4289</v>
      </c>
      <c r="B1580" s="52">
        <v>1.0</v>
      </c>
      <c r="C1580" s="52">
        <v>62.0</v>
      </c>
    </row>
    <row r="1581">
      <c r="A1581" s="52" t="s">
        <v>4289</v>
      </c>
      <c r="B1581" s="52">
        <v>10.0</v>
      </c>
      <c r="C1581" s="52">
        <v>62.0</v>
      </c>
    </row>
    <row r="1582">
      <c r="A1582" s="52" t="s">
        <v>4290</v>
      </c>
      <c r="B1582" s="52">
        <v>1.0</v>
      </c>
      <c r="C1582" s="52">
        <v>59.0</v>
      </c>
    </row>
    <row r="1583">
      <c r="A1583" s="52" t="s">
        <v>4291</v>
      </c>
      <c r="B1583" s="52">
        <v>1.0</v>
      </c>
      <c r="C1583" s="52">
        <v>55.0</v>
      </c>
    </row>
    <row r="1584">
      <c r="A1584" s="52" t="s">
        <v>4291</v>
      </c>
      <c r="B1584" s="52">
        <v>228.0</v>
      </c>
      <c r="C1584" s="52">
        <v>55.0</v>
      </c>
    </row>
    <row r="1585">
      <c r="A1585" s="52" t="s">
        <v>4292</v>
      </c>
      <c r="B1585" s="52">
        <v>2.0</v>
      </c>
      <c r="C1585" s="52">
        <v>54.0</v>
      </c>
    </row>
    <row r="1586">
      <c r="A1586" s="63" t="s">
        <v>4293</v>
      </c>
      <c r="B1586" s="63">
        <v>4.0</v>
      </c>
      <c r="C1586" s="63">
        <v>57.0</v>
      </c>
    </row>
    <row r="1587">
      <c r="A1587" s="63" t="s">
        <v>4294</v>
      </c>
      <c r="B1587" s="63">
        <v>196.0</v>
      </c>
      <c r="C1587" s="63">
        <v>55.0</v>
      </c>
    </row>
    <row r="1588">
      <c r="A1588" s="63" t="s">
        <v>4295</v>
      </c>
      <c r="B1588" s="63">
        <v>60.0</v>
      </c>
      <c r="C1588" s="63">
        <v>55.0</v>
      </c>
    </row>
    <row r="1589">
      <c r="A1589" s="63" t="s">
        <v>4296</v>
      </c>
      <c r="B1589" s="63">
        <v>403.0</v>
      </c>
      <c r="C1589" s="63">
        <v>54.0</v>
      </c>
    </row>
    <row r="1590">
      <c r="A1590" s="63" t="s">
        <v>4296</v>
      </c>
      <c r="B1590" s="63">
        <v>60.0</v>
      </c>
      <c r="C1590" s="63">
        <v>54.0</v>
      </c>
    </row>
    <row r="1591">
      <c r="A1591" s="52" t="s">
        <v>4297</v>
      </c>
      <c r="B1591" s="52">
        <v>44.0</v>
      </c>
      <c r="C1591" s="52">
        <v>52.0</v>
      </c>
    </row>
    <row r="1592">
      <c r="A1592" s="63" t="s">
        <v>4297</v>
      </c>
      <c r="B1592" s="63">
        <v>403.0</v>
      </c>
      <c r="C1592" s="63">
        <v>52.0</v>
      </c>
    </row>
    <row r="1593">
      <c r="A1593" s="63" t="s">
        <v>4298</v>
      </c>
      <c r="B1593" s="63" t="s">
        <v>3189</v>
      </c>
      <c r="C1593" s="63">
        <v>54.0</v>
      </c>
    </row>
    <row r="1594">
      <c r="A1594" s="52" t="s">
        <v>3318</v>
      </c>
      <c r="B1594" s="52" t="s">
        <v>3191</v>
      </c>
      <c r="C1594" s="52">
        <v>53.0</v>
      </c>
    </row>
    <row r="1595">
      <c r="A1595" s="52" t="s">
        <v>3320</v>
      </c>
      <c r="B1595" s="52" t="s">
        <v>3189</v>
      </c>
      <c r="C1595" s="52">
        <v>52.0</v>
      </c>
    </row>
    <row r="1596">
      <c r="A1596" s="52" t="s">
        <v>4299</v>
      </c>
      <c r="B1596" s="52" t="s">
        <v>3195</v>
      </c>
      <c r="C1596" s="52">
        <v>54.0</v>
      </c>
    </row>
    <row r="1597">
      <c r="A1597" s="52" t="s">
        <v>4300</v>
      </c>
      <c r="B1597" s="52" t="s">
        <v>4301</v>
      </c>
      <c r="C1597" s="52">
        <v>59.0</v>
      </c>
    </row>
    <row r="1598">
      <c r="A1598" s="52" t="s">
        <v>4302</v>
      </c>
      <c r="B1598" s="52" t="s">
        <v>4303</v>
      </c>
      <c r="C1598" s="52">
        <v>52.0</v>
      </c>
    </row>
    <row r="1599">
      <c r="A1599" s="59" t="s">
        <v>689</v>
      </c>
      <c r="B1599" s="59"/>
      <c r="C1599" s="59"/>
    </row>
    <row r="1600">
      <c r="A1600" s="59" t="s">
        <v>2767</v>
      </c>
      <c r="B1600" s="59"/>
      <c r="C1600" s="59"/>
    </row>
    <row r="1601">
      <c r="A1601" s="59" t="s">
        <v>4304</v>
      </c>
      <c r="B1601" s="59"/>
      <c r="C1601" s="59"/>
    </row>
    <row r="1602">
      <c r="A1602" s="59" t="s">
        <v>692</v>
      </c>
      <c r="B1602" s="59"/>
      <c r="C1602" s="59"/>
    </row>
    <row r="1603">
      <c r="A1603" s="59" t="s">
        <v>643</v>
      </c>
      <c r="B1603" s="59" t="s">
        <v>4305</v>
      </c>
      <c r="C1603" s="59" t="s">
        <v>1003</v>
      </c>
    </row>
    <row r="1604">
      <c r="A1604" s="59" t="s">
        <v>643</v>
      </c>
      <c r="B1604" s="59" t="s">
        <v>4306</v>
      </c>
      <c r="C1604" s="59" t="s">
        <v>1003</v>
      </c>
    </row>
    <row r="1605">
      <c r="A1605" s="60" t="s">
        <v>643</v>
      </c>
      <c r="B1605" s="60" t="s">
        <v>4307</v>
      </c>
      <c r="C1605" s="60" t="s">
        <v>1003</v>
      </c>
    </row>
    <row r="1606">
      <c r="A1606" s="59" t="s">
        <v>643</v>
      </c>
      <c r="B1606" s="59" t="s">
        <v>4308</v>
      </c>
      <c r="C1606" s="59" t="s">
        <v>1003</v>
      </c>
    </row>
    <row r="1607">
      <c r="A1607" s="59" t="s">
        <v>643</v>
      </c>
      <c r="B1607" s="59" t="s">
        <v>4309</v>
      </c>
      <c r="C1607" s="59" t="s">
        <v>1003</v>
      </c>
    </row>
    <row r="1608">
      <c r="A1608" s="60" t="s">
        <v>643</v>
      </c>
      <c r="B1608" s="60" t="s">
        <v>4310</v>
      </c>
      <c r="C1608" s="60" t="s">
        <v>1003</v>
      </c>
    </row>
    <row r="1609">
      <c r="A1609" s="59" t="s">
        <v>643</v>
      </c>
      <c r="B1609" s="59" t="s">
        <v>4311</v>
      </c>
      <c r="C1609" s="59" t="s">
        <v>1003</v>
      </c>
    </row>
    <row r="1610">
      <c r="A1610" s="59" t="s">
        <v>643</v>
      </c>
      <c r="B1610" s="59" t="s">
        <v>4312</v>
      </c>
      <c r="C1610" s="59" t="s">
        <v>1003</v>
      </c>
    </row>
    <row r="1611">
      <c r="A1611" s="59" t="s">
        <v>643</v>
      </c>
      <c r="B1611" s="59" t="s">
        <v>4313</v>
      </c>
      <c r="C1611" s="59" t="s">
        <v>1003</v>
      </c>
    </row>
    <row r="1612">
      <c r="A1612" s="59" t="s">
        <v>643</v>
      </c>
      <c r="B1612" s="59" t="s">
        <v>4314</v>
      </c>
      <c r="C1612" s="59">
        <v>58.0</v>
      </c>
    </row>
    <row r="1613">
      <c r="A1613" s="52" t="s">
        <v>4315</v>
      </c>
      <c r="B1613" s="52" t="s">
        <v>3189</v>
      </c>
      <c r="C1613" s="52">
        <v>51.0</v>
      </c>
    </row>
    <row r="1614">
      <c r="A1614" s="52" t="s">
        <v>4316</v>
      </c>
      <c r="B1614" s="52" t="s">
        <v>3186</v>
      </c>
      <c r="C1614" s="52">
        <v>54.0</v>
      </c>
    </row>
    <row r="1615">
      <c r="A1615" s="52" t="s">
        <v>4317</v>
      </c>
      <c r="B1615" s="52" t="s">
        <v>3191</v>
      </c>
      <c r="C1615" s="52">
        <v>53.0</v>
      </c>
    </row>
    <row r="1616">
      <c r="A1616" s="52" t="s">
        <v>4318</v>
      </c>
      <c r="B1616" s="52" t="s">
        <v>3187</v>
      </c>
      <c r="C1616" s="52">
        <v>51.0</v>
      </c>
    </row>
    <row r="1617">
      <c r="A1617" s="61" t="s">
        <v>4319</v>
      </c>
      <c r="B1617" s="61" t="s">
        <v>3186</v>
      </c>
      <c r="C1617" s="61">
        <v>53.0</v>
      </c>
    </row>
    <row r="1618">
      <c r="A1618" s="62" t="s">
        <v>4320</v>
      </c>
      <c r="B1618" s="62" t="s">
        <v>3187</v>
      </c>
      <c r="C1618" s="62">
        <v>51.0</v>
      </c>
    </row>
    <row r="1619">
      <c r="A1619" s="62" t="s">
        <v>4320</v>
      </c>
      <c r="B1619" s="62" t="s">
        <v>3196</v>
      </c>
      <c r="C1619" s="62">
        <v>51.0</v>
      </c>
    </row>
    <row r="1620">
      <c r="A1620" s="63" t="s">
        <v>4321</v>
      </c>
      <c r="B1620" s="63" t="s">
        <v>3191</v>
      </c>
      <c r="C1620" s="63">
        <v>54.0</v>
      </c>
    </row>
    <row r="1621">
      <c r="A1621" s="52" t="s">
        <v>4322</v>
      </c>
      <c r="B1621" s="52" t="s">
        <v>3187</v>
      </c>
      <c r="C1621" s="52">
        <v>52.0</v>
      </c>
    </row>
    <row r="1622">
      <c r="A1622" s="52" t="s">
        <v>4323</v>
      </c>
      <c r="B1622" s="52" t="s">
        <v>3186</v>
      </c>
      <c r="C1622" s="52">
        <v>54.0</v>
      </c>
    </row>
    <row r="1623">
      <c r="A1623" s="52" t="s">
        <v>4324</v>
      </c>
      <c r="B1623" s="52" t="s">
        <v>3195</v>
      </c>
      <c r="C1623" s="52">
        <v>52.0</v>
      </c>
    </row>
    <row r="1624">
      <c r="A1624" s="52" t="s">
        <v>4324</v>
      </c>
      <c r="B1624" s="52" t="s">
        <v>3287</v>
      </c>
      <c r="C1624" s="52">
        <v>52.0</v>
      </c>
    </row>
    <row r="1625">
      <c r="A1625" s="63" t="s">
        <v>4325</v>
      </c>
      <c r="B1625" s="63" t="s">
        <v>3187</v>
      </c>
      <c r="C1625" s="63">
        <v>52.0</v>
      </c>
    </row>
    <row r="1626">
      <c r="A1626" s="64" t="s">
        <v>4326</v>
      </c>
      <c r="B1626" s="64" t="s">
        <v>3187</v>
      </c>
      <c r="C1626" s="64">
        <v>50.0</v>
      </c>
    </row>
    <row r="1627">
      <c r="A1627" s="64" t="s">
        <v>4327</v>
      </c>
      <c r="B1627" s="64" t="s">
        <v>3186</v>
      </c>
      <c r="C1627" s="64">
        <v>50.0</v>
      </c>
    </row>
    <row r="1628">
      <c r="A1628" s="65" t="s">
        <v>4328</v>
      </c>
      <c r="B1628" s="65" t="s">
        <v>3187</v>
      </c>
      <c r="C1628" s="65">
        <v>51.0</v>
      </c>
    </row>
    <row r="1629">
      <c r="A1629" s="64" t="s">
        <v>4328</v>
      </c>
      <c r="B1629" s="64" t="s">
        <v>3195</v>
      </c>
      <c r="C1629" s="64">
        <v>51.0</v>
      </c>
    </row>
    <row r="1630">
      <c r="A1630" s="64" t="s">
        <v>4329</v>
      </c>
      <c r="B1630" s="64" t="s">
        <v>3186</v>
      </c>
      <c r="C1630" s="64">
        <v>50.0</v>
      </c>
    </row>
    <row r="1631">
      <c r="A1631" s="64" t="s">
        <v>4330</v>
      </c>
      <c r="B1631" s="64" t="s">
        <v>3186</v>
      </c>
      <c r="C1631" s="64">
        <v>49.0</v>
      </c>
    </row>
    <row r="1632">
      <c r="A1632" s="64" t="s">
        <v>4331</v>
      </c>
      <c r="B1632" s="64" t="s">
        <v>3191</v>
      </c>
      <c r="C1632" s="64">
        <v>51.0</v>
      </c>
    </row>
    <row r="1633">
      <c r="A1633" s="64" t="s">
        <v>4331</v>
      </c>
      <c r="B1633" s="64" t="s">
        <v>3189</v>
      </c>
      <c r="C1633" s="64">
        <v>51.0</v>
      </c>
    </row>
    <row r="1634">
      <c r="A1634" s="64" t="s">
        <v>4332</v>
      </c>
      <c r="B1634" s="64" t="s">
        <v>3186</v>
      </c>
      <c r="C1634" s="64">
        <v>54.0</v>
      </c>
    </row>
    <row r="1635">
      <c r="A1635" s="63" t="s">
        <v>3564</v>
      </c>
      <c r="B1635" s="63" t="s">
        <v>3186</v>
      </c>
      <c r="C1635" s="63">
        <v>53.0</v>
      </c>
    </row>
    <row r="1636">
      <c r="A1636" s="63" t="s">
        <v>3566</v>
      </c>
      <c r="B1636" s="63" t="s">
        <v>3196</v>
      </c>
      <c r="C1636" s="63">
        <v>52.0</v>
      </c>
    </row>
    <row r="1637">
      <c r="A1637" s="63" t="s">
        <v>3568</v>
      </c>
      <c r="B1637" s="63" t="s">
        <v>3186</v>
      </c>
      <c r="C1637" s="63">
        <v>52.0</v>
      </c>
    </row>
    <row r="1638">
      <c r="A1638" s="63" t="s">
        <v>3573</v>
      </c>
      <c r="B1638" s="63" t="s">
        <v>3186</v>
      </c>
      <c r="C1638" s="63">
        <v>53.0</v>
      </c>
    </row>
    <row r="1639">
      <c r="A1639" s="63" t="s">
        <v>4333</v>
      </c>
      <c r="B1639" s="63" t="s">
        <v>3187</v>
      </c>
      <c r="C1639" s="63">
        <v>47.0</v>
      </c>
    </row>
    <row r="1640">
      <c r="A1640" s="63" t="s">
        <v>4334</v>
      </c>
      <c r="B1640" s="63" t="s">
        <v>3187</v>
      </c>
      <c r="C1640" s="63">
        <v>52.0</v>
      </c>
    </row>
    <row r="1641">
      <c r="A1641" s="52" t="s">
        <v>4335</v>
      </c>
      <c r="B1641" s="52" t="s">
        <v>3186</v>
      </c>
      <c r="C1641" s="52">
        <v>49.0</v>
      </c>
    </row>
    <row r="1642">
      <c r="A1642" s="52" t="s">
        <v>4336</v>
      </c>
      <c r="B1642" s="52" t="s">
        <v>3191</v>
      </c>
      <c r="C1642" s="52">
        <v>56.0</v>
      </c>
    </row>
    <row r="1643">
      <c r="A1643" s="52" t="s">
        <v>4337</v>
      </c>
      <c r="B1643" s="52" t="s">
        <v>3186</v>
      </c>
      <c r="C1643" s="52">
        <v>54.0</v>
      </c>
    </row>
    <row r="1644">
      <c r="A1644" s="52" t="s">
        <v>4338</v>
      </c>
      <c r="B1644" s="52" t="s">
        <v>3186</v>
      </c>
      <c r="C1644" s="52">
        <v>51.0</v>
      </c>
    </row>
    <row r="1645">
      <c r="A1645" s="52" t="s">
        <v>4339</v>
      </c>
      <c r="B1645" s="52" t="s">
        <v>3548</v>
      </c>
      <c r="C1645" s="52">
        <v>50.0</v>
      </c>
    </row>
    <row r="1646">
      <c r="A1646" s="52" t="s">
        <v>4340</v>
      </c>
      <c r="B1646" s="52" t="s">
        <v>3189</v>
      </c>
      <c r="C1646" s="52">
        <v>52.0</v>
      </c>
    </row>
    <row r="1647">
      <c r="A1647" s="62" t="s">
        <v>3644</v>
      </c>
      <c r="B1647" s="62" t="s">
        <v>3187</v>
      </c>
      <c r="C1647" s="62">
        <v>52.0</v>
      </c>
    </row>
    <row r="1648">
      <c r="A1648" s="62" t="s">
        <v>3644</v>
      </c>
      <c r="B1648" s="62" t="s">
        <v>3287</v>
      </c>
      <c r="C1648" s="62">
        <v>52.0</v>
      </c>
    </row>
    <row r="1649">
      <c r="A1649" s="61" t="s">
        <v>4341</v>
      </c>
      <c r="B1649" s="61" t="s">
        <v>3189</v>
      </c>
      <c r="C1649" s="61" t="s">
        <v>1003</v>
      </c>
    </row>
    <row r="1650">
      <c r="A1650" s="62" t="s">
        <v>4342</v>
      </c>
      <c r="B1650" s="62" t="s">
        <v>3186</v>
      </c>
      <c r="C1650" s="62">
        <v>57.0</v>
      </c>
    </row>
    <row r="1651">
      <c r="A1651" s="159" t="s">
        <v>2782</v>
      </c>
      <c r="B1651" s="159"/>
      <c r="C1651" s="159"/>
    </row>
    <row r="1652">
      <c r="A1652" s="122" t="s">
        <v>4343</v>
      </c>
      <c r="B1652" s="122"/>
      <c r="C1652" s="122"/>
    </row>
    <row r="1653">
      <c r="A1653" s="161" t="s">
        <v>2783</v>
      </c>
      <c r="B1653" s="161"/>
      <c r="C1653" s="161"/>
    </row>
    <row r="1654">
      <c r="A1654" s="161" t="s">
        <v>2785</v>
      </c>
      <c r="B1654" s="161"/>
      <c r="C1654" s="161"/>
    </row>
    <row r="1655">
      <c r="A1655" s="159" t="s">
        <v>4344</v>
      </c>
      <c r="B1655" s="159"/>
      <c r="C1655" s="159"/>
    </row>
    <row r="1656">
      <c r="A1656" s="122" t="s">
        <v>2786</v>
      </c>
      <c r="B1656" s="122"/>
      <c r="C1656" s="122"/>
    </row>
    <row r="1657">
      <c r="A1657" s="118" t="s">
        <v>4345</v>
      </c>
      <c r="B1657" s="118"/>
      <c r="C1657" s="118"/>
    </row>
    <row r="1658">
      <c r="A1658" s="118" t="s">
        <v>4346</v>
      </c>
      <c r="B1658" s="118"/>
      <c r="C1658" s="118"/>
    </row>
    <row r="1659">
      <c r="A1659" s="118" t="s">
        <v>2787</v>
      </c>
      <c r="B1659" s="118"/>
      <c r="C1659" s="118"/>
    </row>
    <row r="1660">
      <c r="A1660" s="118" t="s">
        <v>4347</v>
      </c>
      <c r="B1660" s="118"/>
      <c r="C1660" s="118"/>
    </row>
    <row r="1661">
      <c r="A1661" s="118" t="s">
        <v>4348</v>
      </c>
      <c r="B1661" s="118"/>
      <c r="C1661" s="118"/>
    </row>
    <row r="1662">
      <c r="A1662" s="118" t="s">
        <v>4349</v>
      </c>
      <c r="B1662" s="118"/>
      <c r="C1662" s="118"/>
    </row>
    <row r="1663">
      <c r="A1663" s="118" t="s">
        <v>2788</v>
      </c>
      <c r="B1663" s="118"/>
      <c r="C1663" s="118"/>
    </row>
    <row r="1664">
      <c r="A1664" s="118" t="s">
        <v>2790</v>
      </c>
      <c r="B1664" s="118"/>
      <c r="C1664" s="118"/>
    </row>
    <row r="1665">
      <c r="A1665" s="118" t="s">
        <v>2792</v>
      </c>
      <c r="B1665" s="118"/>
      <c r="C1665" s="118"/>
    </row>
    <row r="1666">
      <c r="A1666" s="118" t="s">
        <v>4350</v>
      </c>
      <c r="B1666" s="118"/>
      <c r="C1666" s="118"/>
    </row>
    <row r="1667">
      <c r="A1667" s="118" t="s">
        <v>4351</v>
      </c>
      <c r="B1667" s="118"/>
      <c r="C1667" s="118"/>
    </row>
    <row r="1668">
      <c r="A1668" s="118" t="s">
        <v>2794</v>
      </c>
      <c r="B1668" s="118"/>
      <c r="C1668" s="118"/>
    </row>
    <row r="1669">
      <c r="A1669" s="118" t="s">
        <v>2795</v>
      </c>
      <c r="B1669" s="118"/>
      <c r="C1669" s="118"/>
    </row>
    <row r="1670">
      <c r="A1670" s="118" t="s">
        <v>2796</v>
      </c>
      <c r="B1670" s="118"/>
      <c r="C1670" s="118"/>
    </row>
    <row r="1671">
      <c r="A1671" s="118" t="s">
        <v>4352</v>
      </c>
      <c r="B1671" s="118"/>
      <c r="C1671" s="118"/>
    </row>
    <row r="1672">
      <c r="A1672" s="118" t="s">
        <v>2798</v>
      </c>
      <c r="B1672" s="118"/>
      <c r="C1672" s="118"/>
    </row>
    <row r="1673">
      <c r="A1673" s="118" t="s">
        <v>2799</v>
      </c>
      <c r="B1673" s="118"/>
      <c r="C1673" s="118"/>
    </row>
    <row r="1674">
      <c r="A1674" s="118" t="s">
        <v>2800</v>
      </c>
      <c r="B1674" s="118"/>
      <c r="C1674" s="118"/>
    </row>
    <row r="1675">
      <c r="A1675" s="118" t="s">
        <v>2802</v>
      </c>
      <c r="B1675" s="118"/>
      <c r="C1675" s="118"/>
    </row>
    <row r="1676">
      <c r="A1676" s="118" t="s">
        <v>4353</v>
      </c>
      <c r="B1676" s="118"/>
      <c r="C1676" s="118"/>
    </row>
    <row r="1677">
      <c r="A1677" s="118" t="s">
        <v>4354</v>
      </c>
      <c r="B1677" s="118"/>
      <c r="C1677" s="118"/>
    </row>
    <row r="1678">
      <c r="A1678" s="118" t="s">
        <v>2804</v>
      </c>
      <c r="B1678" s="118"/>
      <c r="C1678" s="118"/>
    </row>
    <row r="1679">
      <c r="A1679" s="118" t="s">
        <v>4355</v>
      </c>
      <c r="B1679" s="118"/>
      <c r="C1679" s="118"/>
    </row>
    <row r="1680">
      <c r="A1680" s="118" t="s">
        <v>2806</v>
      </c>
      <c r="B1680" s="118"/>
      <c r="C1680" s="118"/>
    </row>
    <row r="1681">
      <c r="A1681" s="118" t="s">
        <v>2808</v>
      </c>
      <c r="B1681" s="118"/>
      <c r="C1681" s="118"/>
    </row>
    <row r="1682">
      <c r="A1682" s="118" t="s">
        <v>4356</v>
      </c>
      <c r="B1682" s="118"/>
      <c r="C1682" s="118"/>
    </row>
    <row r="1683">
      <c r="A1683" s="118" t="s">
        <v>2812</v>
      </c>
      <c r="B1683" s="118"/>
      <c r="C1683" s="118"/>
    </row>
    <row r="1684">
      <c r="A1684" s="118" t="s">
        <v>2813</v>
      </c>
      <c r="B1684" s="118"/>
      <c r="C1684" s="118"/>
    </row>
    <row r="1685">
      <c r="A1685" s="118" t="s">
        <v>2815</v>
      </c>
      <c r="B1685" s="118"/>
      <c r="C1685" s="118"/>
    </row>
    <row r="1686">
      <c r="A1686" s="118" t="s">
        <v>2817</v>
      </c>
      <c r="B1686" s="118"/>
      <c r="C1686" s="118"/>
    </row>
    <row r="1687">
      <c r="A1687" s="118" t="s">
        <v>4357</v>
      </c>
      <c r="B1687" s="118"/>
      <c r="C1687" s="118"/>
    </row>
    <row r="1688">
      <c r="A1688" s="118" t="s">
        <v>4358</v>
      </c>
      <c r="B1688" s="118"/>
      <c r="C1688" s="118"/>
    </row>
    <row r="1689">
      <c r="A1689" s="118" t="s">
        <v>4359</v>
      </c>
      <c r="B1689" s="118"/>
      <c r="C1689" s="118"/>
    </row>
    <row r="1690">
      <c r="A1690" s="118" t="s">
        <v>4360</v>
      </c>
      <c r="B1690" s="118"/>
      <c r="C1690" s="118"/>
    </row>
    <row r="1691">
      <c r="A1691" s="118" t="s">
        <v>4361</v>
      </c>
      <c r="B1691" s="118"/>
      <c r="C1691" s="118"/>
    </row>
    <row r="1692">
      <c r="A1692" s="118" t="s">
        <v>2819</v>
      </c>
      <c r="B1692" s="118"/>
      <c r="C1692" s="118"/>
    </row>
    <row r="1693">
      <c r="A1693" s="118" t="s">
        <v>2822</v>
      </c>
      <c r="B1693" s="118"/>
      <c r="C1693" s="118"/>
    </row>
    <row r="1694">
      <c r="A1694" s="118" t="s">
        <v>2825</v>
      </c>
      <c r="B1694" s="118"/>
      <c r="C1694" s="118"/>
    </row>
    <row r="1695">
      <c r="A1695" s="118" t="s">
        <v>2826</v>
      </c>
      <c r="B1695" s="118"/>
      <c r="C1695" s="118"/>
    </row>
    <row r="1696">
      <c r="A1696" s="118" t="s">
        <v>4362</v>
      </c>
      <c r="B1696" s="118"/>
      <c r="C1696" s="118"/>
    </row>
    <row r="1697">
      <c r="A1697" s="118" t="s">
        <v>4363</v>
      </c>
      <c r="B1697" s="118"/>
      <c r="C1697" s="118"/>
    </row>
    <row r="1698">
      <c r="A1698" s="118" t="s">
        <v>2827</v>
      </c>
      <c r="B1698" s="118"/>
      <c r="C1698" s="118"/>
    </row>
    <row r="1699">
      <c r="A1699" s="118" t="s">
        <v>2829</v>
      </c>
      <c r="B1699" s="118"/>
      <c r="C1699" s="118"/>
    </row>
    <row r="1700">
      <c r="A1700" s="118" t="s">
        <v>2831</v>
      </c>
      <c r="B1700" s="118"/>
      <c r="C1700" s="118"/>
    </row>
    <row r="1701">
      <c r="A1701" s="119" t="s">
        <v>2833</v>
      </c>
      <c r="B1701" s="119"/>
      <c r="C1701" s="119"/>
    </row>
    <row r="1702">
      <c r="A1702" s="119" t="s">
        <v>2835</v>
      </c>
      <c r="B1702" s="119"/>
      <c r="C1702" s="119"/>
    </row>
    <row r="1703">
      <c r="A1703" s="15" t="s">
        <v>2836</v>
      </c>
      <c r="B1703" s="15"/>
      <c r="C1703" s="15"/>
    </row>
    <row r="1704">
      <c r="A1704" s="15" t="s">
        <v>4364</v>
      </c>
      <c r="B1704" s="15"/>
      <c r="C1704" s="15"/>
    </row>
    <row r="1705">
      <c r="A1705" s="15" t="s">
        <v>2840</v>
      </c>
      <c r="B1705" s="15"/>
      <c r="C1705" s="15"/>
    </row>
    <row r="1706">
      <c r="A1706" s="15" t="s">
        <v>2842</v>
      </c>
      <c r="B1706" s="15"/>
      <c r="C1706" s="15"/>
    </row>
    <row r="1707">
      <c r="A1707" s="15" t="s">
        <v>2844</v>
      </c>
      <c r="B1707" s="15"/>
      <c r="C1707" s="15"/>
    </row>
    <row r="1708">
      <c r="A1708" s="15" t="s">
        <v>4365</v>
      </c>
      <c r="B1708" s="15"/>
      <c r="C1708" s="15"/>
    </row>
    <row r="1709">
      <c r="A1709" s="15" t="s">
        <v>2848</v>
      </c>
      <c r="B1709" s="15"/>
      <c r="C1709" s="15"/>
    </row>
    <row r="1710">
      <c r="A1710" s="15" t="s">
        <v>2850</v>
      </c>
      <c r="B1710" s="15"/>
      <c r="C1710" s="15"/>
    </row>
    <row r="1711">
      <c r="A1711" s="15" t="s">
        <v>2851</v>
      </c>
      <c r="B1711" s="15"/>
      <c r="C1711" s="15"/>
    </row>
    <row r="1712">
      <c r="A1712" s="15" t="s">
        <v>2852</v>
      </c>
      <c r="B1712" s="15"/>
      <c r="C1712" s="15"/>
    </row>
    <row r="1713">
      <c r="A1713" s="173" t="s">
        <v>2854</v>
      </c>
      <c r="B1713" s="173"/>
      <c r="C1713" s="173"/>
    </row>
    <row r="1714">
      <c r="A1714" s="15" t="s">
        <v>2856</v>
      </c>
      <c r="B1714" s="15"/>
      <c r="C1714" s="15"/>
    </row>
    <row r="1715">
      <c r="A1715" s="15" t="s">
        <v>2858</v>
      </c>
      <c r="B1715" s="15"/>
      <c r="C1715" s="15"/>
    </row>
    <row r="1716">
      <c r="A1716" s="15" t="s">
        <v>4366</v>
      </c>
      <c r="B1716" s="15"/>
      <c r="C1716" s="15"/>
    </row>
    <row r="1717">
      <c r="A1717" s="15" t="s">
        <v>2859</v>
      </c>
      <c r="B1717" s="15"/>
      <c r="C1717" s="15"/>
    </row>
    <row r="1718">
      <c r="A1718" s="15" t="s">
        <v>2860</v>
      </c>
      <c r="B1718" s="15"/>
      <c r="C1718" s="15"/>
    </row>
    <row r="1719">
      <c r="A1719" s="15" t="s">
        <v>2861</v>
      </c>
      <c r="B1719" s="15"/>
      <c r="C1719" s="15"/>
    </row>
    <row r="1720">
      <c r="A1720" s="178" t="s">
        <v>2862</v>
      </c>
      <c r="B1720" s="178"/>
      <c r="C1720" s="178"/>
    </row>
    <row r="1721">
      <c r="A1721" s="15" t="s">
        <v>2864</v>
      </c>
      <c r="B1721" s="15"/>
      <c r="C1721" s="15"/>
    </row>
    <row r="1722">
      <c r="A1722" s="15" t="s">
        <v>2866</v>
      </c>
      <c r="B1722" s="15"/>
      <c r="C1722" s="15"/>
    </row>
    <row r="1723">
      <c r="A1723" s="15" t="s">
        <v>2867</v>
      </c>
      <c r="B1723" s="15"/>
      <c r="C1723" s="15"/>
    </row>
    <row r="1724">
      <c r="A1724" s="15" t="s">
        <v>4367</v>
      </c>
      <c r="B1724" s="15"/>
      <c r="C1724" s="15"/>
    </row>
    <row r="1725">
      <c r="A1725" s="15" t="s">
        <v>4368</v>
      </c>
      <c r="B1725" s="15"/>
      <c r="C1725" s="15"/>
    </row>
    <row r="1726">
      <c r="A1726" s="15" t="s">
        <v>2869</v>
      </c>
      <c r="B1726" s="15"/>
      <c r="C1726" s="15"/>
    </row>
    <row r="1727">
      <c r="A1727" s="15" t="s">
        <v>2870</v>
      </c>
      <c r="B1727" s="15"/>
      <c r="C1727" s="15"/>
    </row>
    <row r="1728">
      <c r="A1728" s="15" t="s">
        <v>2871</v>
      </c>
      <c r="B1728" s="15"/>
      <c r="C1728" s="15"/>
    </row>
    <row r="1729">
      <c r="A1729" s="15" t="s">
        <v>4369</v>
      </c>
      <c r="B1729" s="15"/>
      <c r="C1729" s="15"/>
    </row>
    <row r="1730">
      <c r="A1730" s="15" t="s">
        <v>2873</v>
      </c>
      <c r="B1730" s="15"/>
      <c r="C1730" s="15"/>
    </row>
    <row r="1731">
      <c r="A1731" s="15" t="s">
        <v>4370</v>
      </c>
      <c r="B1731" s="15"/>
      <c r="C1731" s="15"/>
    </row>
    <row r="1732">
      <c r="A1732" s="15" t="s">
        <v>2874</v>
      </c>
      <c r="B1732" s="15"/>
      <c r="C1732" s="15"/>
    </row>
    <row r="1733">
      <c r="A1733" s="15" t="s">
        <v>2875</v>
      </c>
      <c r="B1733" s="15"/>
      <c r="C1733" s="15"/>
    </row>
    <row r="1734">
      <c r="A1734" s="15" t="s">
        <v>4371</v>
      </c>
      <c r="B1734" s="15"/>
      <c r="C1734" s="15"/>
    </row>
    <row r="1735">
      <c r="A1735" s="15" t="s">
        <v>2877</v>
      </c>
      <c r="B1735" s="15"/>
      <c r="C1735" s="15"/>
    </row>
    <row r="1736">
      <c r="A1736" s="15" t="s">
        <v>2879</v>
      </c>
      <c r="B1736" s="15"/>
      <c r="C1736" s="15"/>
    </row>
    <row r="1737">
      <c r="A1737" s="15" t="s">
        <v>2881</v>
      </c>
      <c r="B1737" s="15"/>
      <c r="C1737" s="15"/>
    </row>
    <row r="1738">
      <c r="A1738" s="15" t="s">
        <v>2883</v>
      </c>
      <c r="B1738" s="15"/>
      <c r="C1738" s="15"/>
    </row>
    <row r="1739">
      <c r="A1739" s="15" t="s">
        <v>2885</v>
      </c>
      <c r="B1739" s="15"/>
      <c r="C1739" s="15"/>
    </row>
    <row r="1740">
      <c r="A1740" s="15" t="s">
        <v>2886</v>
      </c>
      <c r="B1740" s="15"/>
      <c r="C1740" s="15"/>
    </row>
    <row r="1741">
      <c r="A1741" s="15" t="s">
        <v>2889</v>
      </c>
      <c r="B1741" s="15"/>
      <c r="C1741" s="15"/>
    </row>
    <row r="1742">
      <c r="A1742" s="15" t="s">
        <v>2891</v>
      </c>
      <c r="B1742" s="15"/>
      <c r="C1742" s="15"/>
    </row>
    <row r="1743">
      <c r="A1743" s="15" t="s">
        <v>2893</v>
      </c>
      <c r="B1743" s="15"/>
      <c r="C1743" s="15"/>
    </row>
    <row r="1744">
      <c r="A1744" s="15" t="s">
        <v>2894</v>
      </c>
      <c r="B1744" s="15"/>
      <c r="C1744" s="15"/>
    </row>
    <row r="1745">
      <c r="A1745" s="15" t="s">
        <v>2895</v>
      </c>
      <c r="B1745" s="15"/>
      <c r="C1745" s="15"/>
    </row>
    <row r="1746">
      <c r="A1746" s="15" t="s">
        <v>4372</v>
      </c>
      <c r="B1746" s="15"/>
      <c r="C1746" s="15"/>
    </row>
    <row r="1747">
      <c r="A1747" s="15" t="s">
        <v>2897</v>
      </c>
      <c r="B1747" s="15"/>
      <c r="C1747" s="15"/>
    </row>
    <row r="1748">
      <c r="A1748" s="15" t="s">
        <v>4373</v>
      </c>
      <c r="B1748" s="15"/>
      <c r="C1748" s="15"/>
    </row>
    <row r="1749">
      <c r="A1749" s="15" t="s">
        <v>4374</v>
      </c>
      <c r="B1749" s="15"/>
      <c r="C1749" s="15"/>
    </row>
    <row r="1750">
      <c r="A1750" s="15" t="s">
        <v>4375</v>
      </c>
      <c r="B1750" s="15"/>
      <c r="C1750" s="15"/>
    </row>
    <row r="1751">
      <c r="A1751" s="15" t="s">
        <v>2898</v>
      </c>
      <c r="B1751" s="15"/>
      <c r="C1751" s="15"/>
    </row>
    <row r="1752">
      <c r="A1752" s="15" t="s">
        <v>2899</v>
      </c>
      <c r="B1752" s="15"/>
      <c r="C1752" s="15"/>
    </row>
    <row r="1753">
      <c r="A1753" s="15" t="s">
        <v>4376</v>
      </c>
      <c r="B1753" s="15"/>
      <c r="C1753" s="15"/>
    </row>
    <row r="1754">
      <c r="A1754" s="15" t="s">
        <v>2900</v>
      </c>
      <c r="B1754" s="15"/>
      <c r="C1754" s="15"/>
    </row>
    <row r="1755">
      <c r="A1755" s="15" t="s">
        <v>2901</v>
      </c>
      <c r="B1755" s="15"/>
      <c r="C1755" s="15"/>
    </row>
    <row r="1756">
      <c r="A1756" s="15" t="s">
        <v>2902</v>
      </c>
      <c r="B1756" s="15"/>
      <c r="C1756" s="15"/>
    </row>
    <row r="1757">
      <c r="A1757" s="15" t="s">
        <v>2904</v>
      </c>
      <c r="B1757" s="15"/>
      <c r="C1757" s="15"/>
    </row>
    <row r="1758">
      <c r="A1758" s="15" t="s">
        <v>2906</v>
      </c>
      <c r="B1758" s="15"/>
      <c r="C1758" s="15"/>
    </row>
    <row r="1759">
      <c r="A1759" s="15" t="s">
        <v>2908</v>
      </c>
      <c r="B1759" s="15"/>
      <c r="C1759" s="15"/>
    </row>
    <row r="1760">
      <c r="A1760" s="15" t="s">
        <v>2909</v>
      </c>
      <c r="B1760" s="15"/>
      <c r="C1760" s="15"/>
    </row>
    <row r="1761">
      <c r="A1761" s="15" t="s">
        <v>4377</v>
      </c>
      <c r="B1761" s="15"/>
      <c r="C1761" s="15"/>
    </row>
    <row r="1762">
      <c r="A1762" s="15" t="s">
        <v>2911</v>
      </c>
      <c r="B1762" s="15"/>
      <c r="C1762" s="15"/>
    </row>
    <row r="1763">
      <c r="A1763" s="15" t="s">
        <v>2912</v>
      </c>
      <c r="B1763" s="15"/>
      <c r="C1763" s="15"/>
    </row>
    <row r="1764">
      <c r="A1764" s="15" t="s">
        <v>4378</v>
      </c>
      <c r="B1764" s="15"/>
      <c r="C1764" s="15"/>
    </row>
    <row r="1765">
      <c r="A1765" s="15" t="s">
        <v>2913</v>
      </c>
      <c r="B1765" s="15"/>
      <c r="C1765" s="15"/>
    </row>
    <row r="1766">
      <c r="A1766" s="15" t="s">
        <v>4379</v>
      </c>
      <c r="B1766" s="15"/>
      <c r="C1766" s="15"/>
    </row>
    <row r="1767">
      <c r="A1767" s="15" t="s">
        <v>2915</v>
      </c>
      <c r="B1767" s="15"/>
      <c r="C1767" s="15"/>
    </row>
    <row r="1768">
      <c r="A1768" s="15" t="s">
        <v>2916</v>
      </c>
      <c r="B1768" s="15"/>
      <c r="C1768" s="15"/>
    </row>
    <row r="1769">
      <c r="A1769" s="15" t="s">
        <v>2918</v>
      </c>
      <c r="B1769" s="15"/>
      <c r="C1769" s="15"/>
    </row>
    <row r="1770">
      <c r="A1770" s="15" t="s">
        <v>2919</v>
      </c>
      <c r="B1770" s="15"/>
      <c r="C1770" s="15"/>
    </row>
    <row r="1771">
      <c r="A1771" s="15" t="s">
        <v>4380</v>
      </c>
      <c r="B1771" s="15"/>
      <c r="C1771" s="15"/>
    </row>
    <row r="1772">
      <c r="A1772" s="15" t="s">
        <v>2921</v>
      </c>
      <c r="B1772" s="15"/>
      <c r="C1772" s="15"/>
    </row>
    <row r="1773">
      <c r="A1773" s="15" t="s">
        <v>4381</v>
      </c>
      <c r="B1773" s="15"/>
      <c r="C1773" s="15"/>
    </row>
    <row r="1774">
      <c r="A1774" s="15" t="s">
        <v>4382</v>
      </c>
      <c r="B1774" s="15"/>
      <c r="C1774" s="15"/>
    </row>
    <row r="1775">
      <c r="A1775" s="15" t="s">
        <v>4383</v>
      </c>
      <c r="B1775" s="15"/>
      <c r="C1775" s="15"/>
    </row>
    <row r="1776">
      <c r="A1776" s="15" t="s">
        <v>2922</v>
      </c>
      <c r="B1776" s="15"/>
      <c r="C1776" s="15"/>
    </row>
    <row r="1777">
      <c r="A1777" s="15" t="s">
        <v>4384</v>
      </c>
      <c r="B1777" s="15"/>
      <c r="C1777" s="15"/>
    </row>
    <row r="1778">
      <c r="A1778" s="15" t="s">
        <v>4385</v>
      </c>
      <c r="B1778" s="15"/>
      <c r="C1778" s="15"/>
    </row>
    <row r="1779">
      <c r="A1779" s="15" t="s">
        <v>4386</v>
      </c>
      <c r="B1779" s="15"/>
      <c r="C1779" s="15"/>
    </row>
    <row r="1780">
      <c r="A1780" s="15" t="s">
        <v>2924</v>
      </c>
      <c r="B1780" s="15"/>
      <c r="C1780" s="15"/>
    </row>
    <row r="1781">
      <c r="A1781" s="15" t="s">
        <v>2926</v>
      </c>
      <c r="B1781" s="15"/>
      <c r="C1781" s="15"/>
    </row>
    <row r="1782">
      <c r="A1782" s="15" t="s">
        <v>2928</v>
      </c>
      <c r="B1782" s="15"/>
      <c r="C1782" s="15"/>
    </row>
    <row r="1783">
      <c r="A1783" s="15" t="s">
        <v>2930</v>
      </c>
      <c r="B1783" s="15"/>
      <c r="C1783" s="15"/>
    </row>
    <row r="1784">
      <c r="A1784" s="15" t="s">
        <v>2931</v>
      </c>
      <c r="B1784" s="15"/>
      <c r="C1784" s="15"/>
    </row>
    <row r="1785">
      <c r="A1785" s="15" t="s">
        <v>2933</v>
      </c>
      <c r="B1785" s="15"/>
      <c r="C1785" s="15"/>
    </row>
    <row r="1786">
      <c r="A1786" s="15" t="s">
        <v>2934</v>
      </c>
      <c r="B1786" s="15"/>
      <c r="C1786" s="15"/>
    </row>
    <row r="1787">
      <c r="A1787" s="15" t="s">
        <v>2935</v>
      </c>
      <c r="B1787" s="15"/>
      <c r="C1787" s="15"/>
    </row>
    <row r="1788">
      <c r="A1788" s="15" t="s">
        <v>2936</v>
      </c>
      <c r="B1788" s="15"/>
      <c r="C1788" s="15"/>
    </row>
    <row r="1789">
      <c r="A1789" s="15" t="s">
        <v>2937</v>
      </c>
      <c r="B1789" s="15"/>
      <c r="C1789" s="15"/>
    </row>
    <row r="1790">
      <c r="A1790" s="15" t="s">
        <v>2939</v>
      </c>
      <c r="B1790" s="15"/>
      <c r="C1790" s="15"/>
    </row>
    <row r="1791">
      <c r="A1791" s="15" t="s">
        <v>2941</v>
      </c>
      <c r="B1791" s="15"/>
      <c r="C1791" s="15"/>
    </row>
    <row r="1792">
      <c r="A1792" s="15" t="s">
        <v>4387</v>
      </c>
      <c r="B1792" s="15"/>
      <c r="C1792" s="15"/>
    </row>
    <row r="1793">
      <c r="A1793" s="15" t="s">
        <v>2942</v>
      </c>
      <c r="B1793" s="15"/>
      <c r="C1793" s="15"/>
    </row>
    <row r="1794">
      <c r="A1794" s="15" t="s">
        <v>2943</v>
      </c>
      <c r="B1794" s="15"/>
      <c r="C1794" s="15"/>
    </row>
    <row r="1795">
      <c r="A1795" s="15" t="s">
        <v>2945</v>
      </c>
      <c r="B1795" s="15"/>
      <c r="C1795" s="15"/>
    </row>
    <row r="1796">
      <c r="A1796" s="15" t="s">
        <v>2947</v>
      </c>
      <c r="B1796" s="15"/>
      <c r="C1796" s="15"/>
    </row>
    <row r="1797">
      <c r="A1797" s="15" t="s">
        <v>2948</v>
      </c>
      <c r="B1797" s="15"/>
      <c r="C1797" s="15"/>
    </row>
    <row r="1798">
      <c r="A1798" s="15" t="s">
        <v>4388</v>
      </c>
      <c r="B1798" s="15"/>
      <c r="C1798" s="15"/>
    </row>
    <row r="1799">
      <c r="A1799" s="15" t="s">
        <v>4389</v>
      </c>
      <c r="B1799" s="15"/>
      <c r="C1799" s="15"/>
    </row>
    <row r="1800">
      <c r="A1800" s="15" t="s">
        <v>2949</v>
      </c>
      <c r="B1800" s="15"/>
      <c r="C1800" s="15"/>
    </row>
    <row r="1801">
      <c r="A1801" s="15" t="s">
        <v>2950</v>
      </c>
      <c r="B1801" s="15"/>
      <c r="C1801" s="15"/>
    </row>
    <row r="1802">
      <c r="A1802" s="15" t="s">
        <v>2951</v>
      </c>
      <c r="B1802" s="15"/>
      <c r="C1802" s="15"/>
    </row>
    <row r="1803">
      <c r="A1803" s="15" t="s">
        <v>4390</v>
      </c>
      <c r="B1803" s="15"/>
      <c r="C1803" s="15"/>
    </row>
    <row r="1804">
      <c r="A1804" s="15" t="s">
        <v>4391</v>
      </c>
      <c r="B1804" s="15"/>
      <c r="C1804" s="15"/>
    </row>
    <row r="1805">
      <c r="A1805" s="15" t="s">
        <v>4392</v>
      </c>
      <c r="B1805" s="15"/>
      <c r="C1805" s="15"/>
    </row>
    <row r="1806">
      <c r="A1806" s="15" t="s">
        <v>4393</v>
      </c>
      <c r="B1806" s="15"/>
      <c r="C1806" s="15"/>
    </row>
    <row r="1807">
      <c r="A1807" s="15" t="s">
        <v>4394</v>
      </c>
      <c r="B1807" s="15"/>
      <c r="C1807" s="15"/>
    </row>
    <row r="1808">
      <c r="A1808" s="15" t="s">
        <v>4395</v>
      </c>
      <c r="B1808" s="15"/>
      <c r="C1808" s="15"/>
    </row>
    <row r="1809">
      <c r="A1809" s="15" t="s">
        <v>4396</v>
      </c>
      <c r="B1809" s="15"/>
      <c r="C1809" s="15"/>
    </row>
    <row r="1810">
      <c r="A1810" s="15" t="s">
        <v>4397</v>
      </c>
      <c r="B1810" s="15"/>
      <c r="C1810" s="15"/>
    </row>
    <row r="1811">
      <c r="A1811" s="15" t="s">
        <v>4398</v>
      </c>
      <c r="B1811" s="15"/>
      <c r="C1811" s="15"/>
    </row>
    <row r="1812">
      <c r="A1812" s="15" t="s">
        <v>4399</v>
      </c>
      <c r="B1812" s="15"/>
      <c r="C1812" s="15"/>
    </row>
    <row r="1813">
      <c r="A1813" s="15" t="s">
        <v>4400</v>
      </c>
      <c r="B1813" s="15"/>
      <c r="C1813" s="15"/>
    </row>
    <row r="1814">
      <c r="A1814" s="15" t="s">
        <v>4401</v>
      </c>
      <c r="B1814" s="15"/>
      <c r="C1814" s="15"/>
    </row>
    <row r="1815">
      <c r="A1815" s="15" t="s">
        <v>4402</v>
      </c>
      <c r="B1815" s="15"/>
      <c r="C1815" s="15"/>
    </row>
    <row r="1816">
      <c r="A1816" s="15" t="s">
        <v>2953</v>
      </c>
      <c r="B1816" s="15"/>
      <c r="C1816" s="15"/>
    </row>
    <row r="1817">
      <c r="A1817" s="15" t="s">
        <v>2954</v>
      </c>
      <c r="B1817" s="15"/>
      <c r="C1817" s="15"/>
    </row>
    <row r="1818">
      <c r="A1818" s="15" t="s">
        <v>2956</v>
      </c>
      <c r="B1818" s="15"/>
      <c r="C1818" s="15"/>
    </row>
    <row r="1819">
      <c r="A1819" s="15" t="s">
        <v>2957</v>
      </c>
      <c r="B1819" s="15"/>
      <c r="C1819" s="15"/>
    </row>
    <row r="1820">
      <c r="A1820" s="15" t="s">
        <v>2959</v>
      </c>
      <c r="B1820" s="15"/>
      <c r="C1820" s="15"/>
    </row>
    <row r="1821">
      <c r="A1821" s="15" t="s">
        <v>4403</v>
      </c>
      <c r="B1821" s="15"/>
      <c r="C1821" s="15"/>
    </row>
    <row r="1822">
      <c r="A1822" s="15" t="s">
        <v>2961</v>
      </c>
      <c r="B1822" s="15"/>
      <c r="C1822" s="15"/>
    </row>
    <row r="1823">
      <c r="A1823" s="15" t="s">
        <v>2963</v>
      </c>
      <c r="B1823" s="15"/>
      <c r="C1823" s="15"/>
    </row>
    <row r="1824">
      <c r="A1824" s="15" t="s">
        <v>2966</v>
      </c>
      <c r="B1824" s="15"/>
      <c r="C1824" s="15"/>
    </row>
    <row r="1825">
      <c r="A1825" s="15" t="s">
        <v>4404</v>
      </c>
      <c r="B1825" s="15"/>
      <c r="C1825" s="15"/>
    </row>
    <row r="1826">
      <c r="A1826" s="15" t="s">
        <v>4239</v>
      </c>
      <c r="B1826" s="15"/>
      <c r="C1826" s="15"/>
    </row>
    <row r="1827">
      <c r="A1827" s="15" t="s">
        <v>2970</v>
      </c>
      <c r="B1827" s="15"/>
      <c r="C1827" s="15"/>
    </row>
    <row r="1828">
      <c r="A1828" s="15" t="s">
        <v>2972</v>
      </c>
      <c r="B1828" s="15"/>
      <c r="C1828" s="15"/>
    </row>
    <row r="1829">
      <c r="A1829" s="15" t="s">
        <v>2974</v>
      </c>
      <c r="B1829" s="15"/>
      <c r="C1829" s="15"/>
    </row>
    <row r="1830">
      <c r="A1830" s="15" t="s">
        <v>2976</v>
      </c>
      <c r="B1830" s="15"/>
      <c r="C1830" s="15"/>
    </row>
    <row r="1831">
      <c r="A1831" s="15" t="s">
        <v>4405</v>
      </c>
      <c r="B1831" s="15"/>
      <c r="C1831" s="15"/>
    </row>
    <row r="1832">
      <c r="A1832" s="15" t="s">
        <v>2418</v>
      </c>
      <c r="B1832" s="15"/>
      <c r="C1832" s="15"/>
    </row>
    <row r="1833">
      <c r="A1833" s="15" t="s">
        <v>2981</v>
      </c>
      <c r="B1833" s="15"/>
      <c r="C1833" s="15"/>
    </row>
    <row r="1834">
      <c r="A1834" s="15" t="s">
        <v>2983</v>
      </c>
      <c r="B1834" s="15"/>
      <c r="C1834" s="15"/>
    </row>
    <row r="1835">
      <c r="A1835" s="15" t="s">
        <v>2986</v>
      </c>
      <c r="B1835" s="15"/>
      <c r="C1835" s="15"/>
    </row>
    <row r="1836">
      <c r="A1836" s="15" t="s">
        <v>2988</v>
      </c>
      <c r="B1836" s="15"/>
      <c r="C1836" s="15"/>
    </row>
    <row r="1837">
      <c r="A1837" s="15" t="s">
        <v>2990</v>
      </c>
      <c r="B1837" s="15"/>
      <c r="C1837" s="15"/>
    </row>
    <row r="1838">
      <c r="A1838" s="15" t="s">
        <v>4406</v>
      </c>
      <c r="B1838" s="15"/>
      <c r="C1838" s="15"/>
    </row>
    <row r="1839">
      <c r="A1839" s="15" t="s">
        <v>4407</v>
      </c>
      <c r="B1839" s="15"/>
      <c r="C1839" s="15"/>
    </row>
    <row r="1840">
      <c r="A1840" s="15" t="s">
        <v>4408</v>
      </c>
      <c r="B1840" s="15"/>
      <c r="C1840" s="15"/>
    </row>
    <row r="1841">
      <c r="A1841" s="15" t="s">
        <v>2992</v>
      </c>
      <c r="B1841" s="15"/>
      <c r="C1841" s="15"/>
    </row>
    <row r="1842">
      <c r="A1842" s="15" t="s">
        <v>2994</v>
      </c>
      <c r="B1842" s="15"/>
      <c r="C1842" s="15"/>
    </row>
    <row r="1843">
      <c r="A1843" s="15" t="s">
        <v>4409</v>
      </c>
      <c r="B1843" s="15"/>
      <c r="C1843" s="15"/>
    </row>
    <row r="1844">
      <c r="A1844" s="15" t="s">
        <v>4410</v>
      </c>
      <c r="B1844" s="15"/>
      <c r="C1844" s="15"/>
    </row>
    <row r="1845">
      <c r="A1845" s="15" t="s">
        <v>4411</v>
      </c>
      <c r="B1845" s="15"/>
      <c r="C1845" s="15"/>
    </row>
    <row r="1846">
      <c r="A1846" s="15" t="s">
        <v>4412</v>
      </c>
      <c r="B1846" s="15"/>
      <c r="C1846" s="15"/>
    </row>
    <row r="1847">
      <c r="A1847" s="15" t="s">
        <v>4413</v>
      </c>
      <c r="B1847" s="15"/>
      <c r="C1847" s="15"/>
    </row>
    <row r="1848">
      <c r="A1848" s="15" t="s">
        <v>2995</v>
      </c>
      <c r="B1848" s="15"/>
      <c r="C1848" s="15"/>
    </row>
    <row r="1849">
      <c r="A1849" s="15" t="s">
        <v>2997</v>
      </c>
      <c r="B1849" s="15"/>
      <c r="C1849" s="15"/>
    </row>
    <row r="1850">
      <c r="A1850" s="15" t="s">
        <v>4414</v>
      </c>
      <c r="B1850" s="15"/>
      <c r="C1850" s="15"/>
    </row>
    <row r="1851">
      <c r="A1851" s="15" t="s">
        <v>4415</v>
      </c>
      <c r="B1851" s="15"/>
      <c r="C1851" s="15"/>
    </row>
    <row r="1852">
      <c r="A1852" s="15" t="s">
        <v>4416</v>
      </c>
      <c r="B1852" s="15"/>
      <c r="C1852" s="15"/>
    </row>
    <row r="1853">
      <c r="A1853" s="15" t="s">
        <v>3001</v>
      </c>
      <c r="B1853" s="15"/>
      <c r="C1853" s="15"/>
    </row>
    <row r="1854">
      <c r="A1854" s="15" t="s">
        <v>4417</v>
      </c>
      <c r="B1854" s="15"/>
      <c r="C1854" s="15"/>
    </row>
    <row r="1855">
      <c r="A1855" s="15" t="s">
        <v>4418</v>
      </c>
      <c r="B1855" s="15"/>
      <c r="C1855" s="15"/>
    </row>
    <row r="1856">
      <c r="A1856" s="15" t="s">
        <v>3002</v>
      </c>
      <c r="B1856" s="15"/>
      <c r="C1856" s="15"/>
    </row>
    <row r="1857">
      <c r="A1857" s="15" t="s">
        <v>4419</v>
      </c>
      <c r="B1857" s="15"/>
      <c r="C1857" s="15"/>
    </row>
    <row r="1858">
      <c r="A1858" s="15" t="s">
        <v>4420</v>
      </c>
      <c r="B1858" s="15"/>
      <c r="C1858" s="15"/>
    </row>
    <row r="1859">
      <c r="A1859" s="15" t="s">
        <v>4421</v>
      </c>
      <c r="B1859" s="15"/>
      <c r="C1859" s="15"/>
    </row>
    <row r="1860">
      <c r="A1860" s="15" t="s">
        <v>3003</v>
      </c>
      <c r="B1860" s="15"/>
      <c r="C1860" s="15"/>
    </row>
    <row r="1861">
      <c r="A1861" s="15" t="s">
        <v>3005</v>
      </c>
      <c r="B1861" s="15"/>
      <c r="C1861" s="15"/>
    </row>
    <row r="1862">
      <c r="A1862" s="15" t="s">
        <v>4422</v>
      </c>
      <c r="B1862" s="15"/>
      <c r="C1862" s="15"/>
    </row>
    <row r="1863">
      <c r="A1863" s="15" t="s">
        <v>4423</v>
      </c>
      <c r="B1863" s="15"/>
      <c r="C1863" s="15"/>
    </row>
    <row r="1864">
      <c r="A1864" s="15" t="s">
        <v>4424</v>
      </c>
      <c r="B1864" s="15"/>
      <c r="C1864" s="15"/>
    </row>
    <row r="1865">
      <c r="A1865" s="15" t="s">
        <v>3006</v>
      </c>
      <c r="B1865" s="15"/>
      <c r="C1865" s="15"/>
    </row>
    <row r="1866">
      <c r="A1866" s="15" t="s">
        <v>4425</v>
      </c>
      <c r="B1866" s="15"/>
      <c r="C1866" s="15"/>
    </row>
    <row r="1867">
      <c r="A1867" s="15" t="s">
        <v>3007</v>
      </c>
      <c r="B1867" s="15"/>
      <c r="C1867" s="15"/>
    </row>
    <row r="1868">
      <c r="A1868" s="15" t="s">
        <v>4426</v>
      </c>
      <c r="B1868" s="15"/>
      <c r="C1868" s="15"/>
    </row>
    <row r="1869">
      <c r="A1869" s="15" t="s">
        <v>4427</v>
      </c>
      <c r="B1869" s="15"/>
      <c r="C1869" s="15"/>
    </row>
    <row r="1870">
      <c r="A1870" s="15" t="s">
        <v>4428</v>
      </c>
      <c r="B1870" s="15"/>
      <c r="C1870" s="15"/>
    </row>
    <row r="1871">
      <c r="A1871" s="15" t="s">
        <v>4429</v>
      </c>
      <c r="B1871" s="15"/>
      <c r="C1871" s="15"/>
    </row>
    <row r="1872">
      <c r="A1872" s="15" t="s">
        <v>4430</v>
      </c>
      <c r="B1872" s="15"/>
      <c r="C1872" s="15"/>
    </row>
    <row r="1873">
      <c r="A1873" s="15" t="s">
        <v>4431</v>
      </c>
      <c r="B1873" s="15"/>
      <c r="C1873" s="15"/>
    </row>
    <row r="1874">
      <c r="A1874" s="15" t="s">
        <v>4432</v>
      </c>
      <c r="B1874" s="15"/>
      <c r="C1874" s="15"/>
    </row>
    <row r="1875">
      <c r="A1875" s="15" t="s">
        <v>4433</v>
      </c>
      <c r="B1875" s="15"/>
      <c r="C1875" s="15"/>
    </row>
    <row r="1876">
      <c r="A1876" s="15" t="s">
        <v>4434</v>
      </c>
      <c r="B1876" s="15"/>
      <c r="C1876" s="15"/>
    </row>
    <row r="1877">
      <c r="A1877" s="15" t="s">
        <v>3010</v>
      </c>
      <c r="B1877" s="15"/>
      <c r="C1877" s="15"/>
    </row>
    <row r="1878">
      <c r="A1878" s="15" t="s">
        <v>3011</v>
      </c>
      <c r="B1878" s="15"/>
      <c r="C1878" s="15"/>
    </row>
    <row r="1879">
      <c r="A1879" s="15" t="s">
        <v>3013</v>
      </c>
      <c r="B1879" s="15"/>
      <c r="C1879" s="15"/>
    </row>
    <row r="1880">
      <c r="A1880" s="15" t="s">
        <v>4435</v>
      </c>
      <c r="B1880" s="15"/>
      <c r="C1880" s="15"/>
    </row>
    <row r="1881">
      <c r="A1881" s="15" t="s">
        <v>4436</v>
      </c>
      <c r="B1881" s="15"/>
      <c r="C1881" s="15"/>
    </row>
    <row r="1882">
      <c r="A1882" s="15" t="s">
        <v>4437</v>
      </c>
      <c r="B1882" s="15"/>
      <c r="C1882" s="15"/>
    </row>
    <row r="1883">
      <c r="A1883" s="15" t="s">
        <v>3014</v>
      </c>
      <c r="B1883" s="15"/>
      <c r="C1883" s="15"/>
    </row>
    <row r="1884">
      <c r="A1884" s="15" t="s">
        <v>3015</v>
      </c>
      <c r="B1884" s="15"/>
      <c r="C1884" s="15"/>
    </row>
    <row r="1885">
      <c r="A1885" s="15" t="s">
        <v>4438</v>
      </c>
      <c r="B1885" s="15"/>
      <c r="C1885" s="15"/>
    </row>
    <row r="1886">
      <c r="A1886" s="15" t="s">
        <v>3016</v>
      </c>
      <c r="B1886" s="15"/>
      <c r="C1886" s="15"/>
    </row>
    <row r="1887">
      <c r="A1887" s="15" t="s">
        <v>4439</v>
      </c>
      <c r="B1887" s="15"/>
      <c r="C1887" s="15"/>
    </row>
    <row r="1888">
      <c r="A1888" s="15" t="s">
        <v>4440</v>
      </c>
      <c r="B1888" s="15"/>
      <c r="C1888" s="15"/>
    </row>
    <row r="1889">
      <c r="A1889" s="15" t="s">
        <v>4441</v>
      </c>
      <c r="B1889" s="15"/>
      <c r="C1889" s="15"/>
    </row>
    <row r="1890">
      <c r="A1890" s="15" t="s">
        <v>3018</v>
      </c>
      <c r="B1890" s="15"/>
      <c r="C1890" s="15"/>
    </row>
    <row r="1891">
      <c r="A1891" s="15" t="s">
        <v>4442</v>
      </c>
      <c r="B1891" s="15"/>
      <c r="C1891" s="15"/>
    </row>
    <row r="1892">
      <c r="A1892" s="15" t="s">
        <v>4443</v>
      </c>
      <c r="B1892" s="15"/>
      <c r="C1892" s="15"/>
    </row>
    <row r="1893">
      <c r="A1893" s="15" t="s">
        <v>3020</v>
      </c>
      <c r="B1893" s="15"/>
      <c r="C1893" s="15"/>
    </row>
    <row r="1894">
      <c r="A1894" s="15" t="s">
        <v>4444</v>
      </c>
      <c r="B1894" s="15"/>
      <c r="C1894" s="15"/>
    </row>
    <row r="1895">
      <c r="A1895" s="15" t="s">
        <v>4445</v>
      </c>
      <c r="B1895" s="15"/>
      <c r="C1895" s="15"/>
    </row>
    <row r="1896">
      <c r="A1896" s="15" t="s">
        <v>3023</v>
      </c>
      <c r="B1896" s="15"/>
      <c r="C1896" s="15"/>
    </row>
    <row r="1897">
      <c r="A1897" s="15" t="s">
        <v>4446</v>
      </c>
      <c r="B1897" s="15"/>
      <c r="C1897" s="15"/>
    </row>
    <row r="1898">
      <c r="A1898" s="15" t="s">
        <v>3025</v>
      </c>
      <c r="B1898" s="15"/>
      <c r="C1898" s="15"/>
    </row>
    <row r="1899">
      <c r="A1899" s="15" t="s">
        <v>4447</v>
      </c>
      <c r="B1899" s="15"/>
      <c r="C1899" s="15"/>
    </row>
    <row r="1900">
      <c r="A1900" s="15" t="s">
        <v>3027</v>
      </c>
      <c r="B1900" s="15"/>
      <c r="C1900" s="15"/>
    </row>
    <row r="1901">
      <c r="A1901" s="15" t="s">
        <v>4448</v>
      </c>
      <c r="B1901" s="15"/>
      <c r="C1901" s="15"/>
    </row>
    <row r="1902">
      <c r="A1902" s="15" t="s">
        <v>3030</v>
      </c>
      <c r="B1902" s="15"/>
      <c r="C1902" s="15"/>
    </row>
    <row r="1903">
      <c r="A1903" s="15" t="s">
        <v>3031</v>
      </c>
      <c r="B1903" s="15"/>
      <c r="C1903" s="15"/>
    </row>
    <row r="1904">
      <c r="A1904" s="15" t="s">
        <v>3032</v>
      </c>
      <c r="B1904" s="15"/>
      <c r="C1904" s="15"/>
    </row>
    <row r="1905">
      <c r="A1905" s="15" t="s">
        <v>4449</v>
      </c>
      <c r="B1905" s="15"/>
      <c r="C1905" s="15"/>
    </row>
    <row r="1906">
      <c r="A1906" s="15" t="s">
        <v>3036</v>
      </c>
      <c r="B1906" s="15"/>
      <c r="C1906" s="15"/>
    </row>
    <row r="1907">
      <c r="A1907" s="15" t="s">
        <v>3039</v>
      </c>
      <c r="B1907" s="15"/>
      <c r="C1907" s="15"/>
    </row>
    <row r="1908">
      <c r="A1908" s="15" t="s">
        <v>4450</v>
      </c>
      <c r="B1908" s="15"/>
      <c r="C1908" s="15"/>
    </row>
    <row r="1909">
      <c r="A1909" s="15" t="s">
        <v>3041</v>
      </c>
      <c r="B1909" s="15"/>
      <c r="C1909" s="15"/>
    </row>
    <row r="1910">
      <c r="A1910" s="15" t="s">
        <v>4451</v>
      </c>
      <c r="B1910" s="15"/>
      <c r="C1910" s="15"/>
    </row>
    <row r="1911">
      <c r="A1911" s="15" t="s">
        <v>4452</v>
      </c>
      <c r="B1911" s="15"/>
      <c r="C1911" s="15"/>
    </row>
    <row r="1912">
      <c r="A1912" s="15" t="s">
        <v>3043</v>
      </c>
      <c r="B1912" s="15"/>
      <c r="C1912" s="15"/>
    </row>
    <row r="1913">
      <c r="A1913" s="15" t="s">
        <v>3044</v>
      </c>
      <c r="B1913" s="15"/>
      <c r="C1913" s="15"/>
    </row>
    <row r="1914">
      <c r="A1914" s="15" t="s">
        <v>3046</v>
      </c>
      <c r="B1914" s="15"/>
      <c r="C1914" s="15"/>
    </row>
    <row r="1915">
      <c r="A1915" s="15" t="s">
        <v>3047</v>
      </c>
      <c r="B1915" s="15"/>
      <c r="C1915" s="15"/>
    </row>
    <row r="1916">
      <c r="A1916" s="15" t="s">
        <v>4453</v>
      </c>
      <c r="B1916" s="15"/>
      <c r="C1916" s="15"/>
    </row>
    <row r="1917">
      <c r="A1917" s="15" t="s">
        <v>4454</v>
      </c>
      <c r="B1917" s="15"/>
      <c r="C1917" s="15"/>
    </row>
    <row r="1918">
      <c r="A1918" s="15" t="s">
        <v>4455</v>
      </c>
      <c r="B1918" s="15"/>
      <c r="C1918" s="15"/>
    </row>
    <row r="1919">
      <c r="A1919" s="15" t="s">
        <v>3049</v>
      </c>
      <c r="B1919" s="15"/>
      <c r="C1919" s="15"/>
    </row>
    <row r="1920">
      <c r="A1920" s="15" t="s">
        <v>4456</v>
      </c>
      <c r="B1920" s="15"/>
      <c r="C1920" s="15"/>
    </row>
    <row r="1921">
      <c r="A1921" s="15" t="s">
        <v>4457</v>
      </c>
      <c r="B1921" s="15"/>
      <c r="C1921" s="15"/>
    </row>
    <row r="1922">
      <c r="A1922" s="15" t="s">
        <v>4458</v>
      </c>
      <c r="B1922" s="15"/>
      <c r="C1922" s="15"/>
    </row>
    <row r="1923">
      <c r="A1923" s="15" t="s">
        <v>4459</v>
      </c>
      <c r="B1923" s="15"/>
      <c r="C1923" s="15"/>
    </row>
    <row r="1924">
      <c r="A1924" s="15" t="s">
        <v>3050</v>
      </c>
      <c r="B1924" s="15"/>
      <c r="C1924" s="15"/>
    </row>
    <row r="1925">
      <c r="A1925" s="15" t="s">
        <v>3052</v>
      </c>
      <c r="B1925" s="15"/>
      <c r="C1925" s="15"/>
    </row>
    <row r="1926">
      <c r="A1926" s="15" t="s">
        <v>3053</v>
      </c>
      <c r="B1926" s="15"/>
      <c r="C1926" s="15"/>
    </row>
    <row r="1927">
      <c r="A1927" s="15" t="s">
        <v>4460</v>
      </c>
      <c r="B1927" s="15"/>
      <c r="C1927" s="15"/>
    </row>
    <row r="1928">
      <c r="A1928" s="15" t="s">
        <v>3054</v>
      </c>
      <c r="B1928" s="15"/>
      <c r="C1928" s="15"/>
    </row>
    <row r="1929">
      <c r="A1929" s="15" t="s">
        <v>4461</v>
      </c>
      <c r="B1929" s="15"/>
      <c r="C1929" s="15"/>
    </row>
    <row r="1930">
      <c r="A1930" s="15" t="s">
        <v>4462</v>
      </c>
      <c r="B1930" s="15"/>
      <c r="C1930" s="15"/>
    </row>
    <row r="1931">
      <c r="A1931" s="15" t="s">
        <v>4463</v>
      </c>
      <c r="B1931" s="15"/>
      <c r="C1931" s="15"/>
    </row>
    <row r="1932">
      <c r="A1932" s="15" t="s">
        <v>3056</v>
      </c>
      <c r="B1932" s="15"/>
      <c r="C1932" s="15"/>
    </row>
    <row r="1933">
      <c r="A1933" s="15" t="s">
        <v>4464</v>
      </c>
      <c r="B1933" s="15"/>
      <c r="C1933" s="15"/>
    </row>
    <row r="1934">
      <c r="A1934" s="15" t="s">
        <v>3057</v>
      </c>
      <c r="B1934" s="15"/>
      <c r="C1934" s="15"/>
    </row>
    <row r="1935">
      <c r="A1935" s="15" t="s">
        <v>4465</v>
      </c>
      <c r="B1935" s="15"/>
      <c r="C1935" s="15"/>
    </row>
    <row r="1936">
      <c r="A1936" s="15" t="s">
        <v>4466</v>
      </c>
      <c r="B1936" s="15"/>
      <c r="C1936" s="15"/>
    </row>
    <row r="1937">
      <c r="A1937" s="15" t="s">
        <v>4467</v>
      </c>
      <c r="B1937" s="15"/>
      <c r="C1937" s="15"/>
    </row>
    <row r="1938">
      <c r="A1938" s="15" t="s">
        <v>4468</v>
      </c>
      <c r="B1938" s="15"/>
      <c r="C1938" s="15"/>
    </row>
    <row r="1939">
      <c r="A1939" s="15" t="s">
        <v>4469</v>
      </c>
      <c r="B1939" s="15"/>
      <c r="C1939" s="15"/>
    </row>
    <row r="1940">
      <c r="A1940" s="15" t="s">
        <v>3059</v>
      </c>
      <c r="B1940" s="15"/>
      <c r="C1940" s="15"/>
    </row>
    <row r="1941">
      <c r="A1941" s="15" t="s">
        <v>3060</v>
      </c>
      <c r="B1941" s="15"/>
      <c r="C1941" s="15"/>
    </row>
    <row r="1942">
      <c r="A1942" s="15" t="s">
        <v>4470</v>
      </c>
      <c r="B1942" s="15"/>
      <c r="C1942" s="15"/>
    </row>
    <row r="1943">
      <c r="A1943" s="15" t="s">
        <v>3061</v>
      </c>
      <c r="B1943" s="15"/>
      <c r="C1943" s="15"/>
    </row>
    <row r="1944">
      <c r="A1944" s="15" t="s">
        <v>4471</v>
      </c>
      <c r="B1944" s="15"/>
      <c r="C1944" s="15"/>
    </row>
    <row r="1945">
      <c r="A1945" s="15" t="s">
        <v>4472</v>
      </c>
      <c r="B1945" s="15"/>
      <c r="C1945" s="15"/>
    </row>
    <row r="1946">
      <c r="A1946" s="15" t="s">
        <v>4473</v>
      </c>
      <c r="B1946" s="15"/>
      <c r="C1946" s="15"/>
    </row>
    <row r="1947">
      <c r="A1947" s="15" t="s">
        <v>4474</v>
      </c>
      <c r="B1947" s="15"/>
      <c r="C1947" s="15"/>
    </row>
    <row r="1948">
      <c r="A1948" s="15" t="s">
        <v>3062</v>
      </c>
      <c r="B1948" s="15"/>
      <c r="C1948" s="15"/>
    </row>
    <row r="1949">
      <c r="A1949" s="15" t="s">
        <v>3064</v>
      </c>
      <c r="B1949" s="15"/>
      <c r="C1949" s="15"/>
    </row>
    <row r="1950">
      <c r="A1950" s="15" t="s">
        <v>3065</v>
      </c>
      <c r="B1950" s="15"/>
      <c r="C1950" s="15"/>
    </row>
    <row r="1951">
      <c r="A1951" s="15" t="s">
        <v>3066</v>
      </c>
      <c r="B1951" s="15"/>
      <c r="C1951" s="15"/>
    </row>
    <row r="1952">
      <c r="A1952" s="15" t="s">
        <v>4475</v>
      </c>
      <c r="B1952" s="15"/>
      <c r="C1952" s="15"/>
    </row>
    <row r="1953">
      <c r="A1953" s="15" t="s">
        <v>3069</v>
      </c>
      <c r="B1953" s="15"/>
      <c r="C1953" s="15"/>
    </row>
    <row r="1954">
      <c r="A1954" s="15" t="s">
        <v>3070</v>
      </c>
      <c r="B1954" s="15"/>
      <c r="C1954" s="15"/>
    </row>
    <row r="1955">
      <c r="A1955" s="15" t="s">
        <v>4476</v>
      </c>
      <c r="B1955" s="15"/>
      <c r="C1955" s="15"/>
    </row>
    <row r="1956">
      <c r="A1956" s="15" t="s">
        <v>3072</v>
      </c>
      <c r="B1956" s="15"/>
      <c r="C1956" s="15"/>
    </row>
    <row r="1957">
      <c r="A1957" s="15" t="s">
        <v>4477</v>
      </c>
      <c r="B1957" s="15"/>
      <c r="C1957" s="15"/>
    </row>
    <row r="1958">
      <c r="A1958" s="15" t="s">
        <v>3074</v>
      </c>
      <c r="B1958" s="15"/>
      <c r="C1958" s="15"/>
    </row>
    <row r="1959">
      <c r="A1959" s="15" t="s">
        <v>3076</v>
      </c>
      <c r="B1959" s="15"/>
      <c r="C1959" s="15"/>
    </row>
    <row r="1960">
      <c r="A1960" s="15" t="s">
        <v>3078</v>
      </c>
      <c r="B1960" s="15"/>
      <c r="C1960" s="15"/>
    </row>
    <row r="1961">
      <c r="A1961" s="15" t="s">
        <v>3079</v>
      </c>
      <c r="B1961" s="15"/>
      <c r="C1961" s="15"/>
    </row>
    <row r="1962">
      <c r="A1962" s="15" t="s">
        <v>4478</v>
      </c>
      <c r="B1962" s="15"/>
      <c r="C1962" s="15"/>
    </row>
    <row r="1963">
      <c r="A1963" s="15" t="s">
        <v>3081</v>
      </c>
      <c r="B1963" s="15"/>
      <c r="C1963" s="15"/>
    </row>
    <row r="1964">
      <c r="A1964" s="15" t="s">
        <v>3082</v>
      </c>
      <c r="B1964" s="15"/>
      <c r="C1964" s="15"/>
    </row>
    <row r="1965">
      <c r="A1965" s="15" t="s">
        <v>3083</v>
      </c>
      <c r="B1965" s="15"/>
      <c r="C1965" s="15"/>
    </row>
    <row r="1966">
      <c r="A1966" s="15" t="s">
        <v>4479</v>
      </c>
      <c r="B1966" s="15"/>
      <c r="C1966" s="15"/>
    </row>
    <row r="1967">
      <c r="A1967" s="15" t="s">
        <v>4480</v>
      </c>
      <c r="B1967" s="15"/>
      <c r="C1967" s="15"/>
    </row>
    <row r="1968">
      <c r="A1968" s="15" t="s">
        <v>3086</v>
      </c>
      <c r="B1968" s="15"/>
      <c r="C1968" s="15"/>
    </row>
    <row r="1969">
      <c r="A1969" s="15" t="s">
        <v>3087</v>
      </c>
      <c r="B1969" s="15"/>
      <c r="C1969" s="15"/>
    </row>
    <row r="1970">
      <c r="A1970" s="15" t="s">
        <v>3088</v>
      </c>
      <c r="B1970" s="15"/>
      <c r="C1970" s="15"/>
    </row>
    <row r="1971">
      <c r="A1971" s="15" t="s">
        <v>3089</v>
      </c>
      <c r="B1971" s="15"/>
      <c r="C1971" s="15"/>
    </row>
    <row r="1972">
      <c r="A1972" s="15" t="s">
        <v>4481</v>
      </c>
      <c r="B1972" s="15"/>
      <c r="C1972" s="15"/>
    </row>
    <row r="1973">
      <c r="A1973" s="15" t="s">
        <v>4482</v>
      </c>
      <c r="B1973" s="15"/>
      <c r="C1973" s="15"/>
    </row>
    <row r="1974">
      <c r="A1974" s="15" t="s">
        <v>4483</v>
      </c>
      <c r="B1974" s="15"/>
      <c r="C1974" s="15"/>
    </row>
    <row r="1975">
      <c r="A1975" s="15" t="s">
        <v>4484</v>
      </c>
      <c r="B1975" s="15"/>
      <c r="C1975" s="15"/>
    </row>
    <row r="1976">
      <c r="A1976" s="15" t="s">
        <v>3090</v>
      </c>
      <c r="B1976" s="15"/>
      <c r="C1976" s="15"/>
    </row>
    <row r="1977">
      <c r="A1977" s="15" t="s">
        <v>4485</v>
      </c>
      <c r="B1977" s="15"/>
      <c r="C1977" s="15"/>
    </row>
    <row r="1978">
      <c r="A1978" s="15" t="s">
        <v>3091</v>
      </c>
      <c r="B1978" s="15"/>
      <c r="C1978" s="15"/>
    </row>
    <row r="1979">
      <c r="A1979" s="15" t="s">
        <v>4486</v>
      </c>
      <c r="B1979" s="15"/>
      <c r="C1979" s="15"/>
    </row>
    <row r="1980">
      <c r="A1980" s="15" t="s">
        <v>4487</v>
      </c>
      <c r="B1980" s="15"/>
      <c r="C1980" s="15"/>
    </row>
    <row r="1981">
      <c r="A1981" s="15" t="s">
        <v>4488</v>
      </c>
      <c r="B1981" s="15"/>
      <c r="C1981" s="15"/>
    </row>
    <row r="1982">
      <c r="A1982" s="15" t="s">
        <v>3093</v>
      </c>
      <c r="B1982" s="15"/>
      <c r="C1982" s="15"/>
    </row>
    <row r="1983">
      <c r="A1983" s="15" t="s">
        <v>4489</v>
      </c>
      <c r="B1983" s="15"/>
      <c r="C1983" s="15"/>
    </row>
    <row r="1984">
      <c r="A1984" s="15" t="s">
        <v>3094</v>
      </c>
      <c r="B1984" s="15"/>
      <c r="C1984" s="15"/>
    </row>
    <row r="1985">
      <c r="A1985" s="15" t="s">
        <v>3095</v>
      </c>
      <c r="B1985" s="15"/>
      <c r="C1985" s="15"/>
    </row>
    <row r="1986">
      <c r="A1986" s="15" t="s">
        <v>3097</v>
      </c>
      <c r="B1986" s="15"/>
      <c r="C1986" s="15"/>
    </row>
    <row r="1987">
      <c r="A1987" s="15" t="s">
        <v>3098</v>
      </c>
      <c r="B1987" s="15"/>
      <c r="C1987" s="15"/>
    </row>
    <row r="1988">
      <c r="A1988" s="15" t="s">
        <v>4490</v>
      </c>
      <c r="B1988" s="15"/>
      <c r="C1988" s="15"/>
    </row>
    <row r="1989">
      <c r="A1989" s="15" t="s">
        <v>4491</v>
      </c>
      <c r="B1989" s="15"/>
      <c r="C1989" s="15"/>
    </row>
    <row r="1990">
      <c r="A1990" s="15" t="s">
        <v>3099</v>
      </c>
      <c r="B1990" s="15"/>
      <c r="C1990" s="15"/>
    </row>
    <row r="1991">
      <c r="A1991" s="15" t="s">
        <v>3100</v>
      </c>
      <c r="B1991" s="15"/>
      <c r="C1991" s="15"/>
    </row>
    <row r="1992">
      <c r="A1992" s="15" t="s">
        <v>3101</v>
      </c>
      <c r="B1992" s="15"/>
      <c r="C1992" s="15"/>
    </row>
    <row r="1993">
      <c r="A1993" s="15" t="s">
        <v>3102</v>
      </c>
      <c r="B1993" s="15"/>
      <c r="C1993" s="15"/>
    </row>
    <row r="1994">
      <c r="A1994" s="15" t="s">
        <v>4492</v>
      </c>
      <c r="B1994" s="15"/>
      <c r="C1994" s="15"/>
    </row>
    <row r="1995">
      <c r="A1995" s="15" t="s">
        <v>4493</v>
      </c>
      <c r="B1995" s="15"/>
      <c r="C1995" s="15"/>
    </row>
    <row r="1996">
      <c r="A1996" s="15" t="s">
        <v>4494</v>
      </c>
      <c r="B1996" s="15"/>
      <c r="C1996" s="15"/>
    </row>
    <row r="1997">
      <c r="A1997" s="15" t="s">
        <v>3103</v>
      </c>
      <c r="B1997" s="15"/>
      <c r="C1997" s="15"/>
    </row>
    <row r="1998">
      <c r="A1998" s="15" t="s">
        <v>3104</v>
      </c>
      <c r="B1998" s="15"/>
      <c r="C1998" s="15"/>
    </row>
    <row r="1999">
      <c r="A1999" s="15" t="s">
        <v>3106</v>
      </c>
      <c r="B1999" s="15"/>
      <c r="C1999" s="15"/>
    </row>
    <row r="2000">
      <c r="A2000" s="15" t="s">
        <v>4495</v>
      </c>
      <c r="B2000" s="15"/>
      <c r="C2000" s="15"/>
    </row>
    <row r="2001">
      <c r="A2001" s="15" t="s">
        <v>3107</v>
      </c>
      <c r="B2001" s="15"/>
      <c r="C2001" s="15"/>
    </row>
    <row r="2002">
      <c r="A2002" s="15" t="s">
        <v>3108</v>
      </c>
      <c r="B2002" s="15"/>
      <c r="C2002" s="15"/>
    </row>
  </sheetData>
  <conditionalFormatting sqref="A1:A1366 A1368:A1654">
    <cfRule type="expression" dxfId="5" priority="1">
      <formula>COUNTIF(A1:A2002,A1)&gt;1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207" t="s">
        <v>4496</v>
      </c>
      <c r="B1" s="207" t="s">
        <v>743</v>
      </c>
      <c r="C1" s="208" t="s">
        <v>745</v>
      </c>
      <c r="D1" s="209" t="s">
        <v>779</v>
      </c>
      <c r="E1" s="209" t="s">
        <v>4497</v>
      </c>
      <c r="F1" s="210"/>
      <c r="G1" s="210"/>
    </row>
    <row r="2">
      <c r="A2" s="75" t="s">
        <v>1792</v>
      </c>
      <c r="B2" s="75" t="s">
        <v>1793</v>
      </c>
      <c r="C2" s="53" t="s">
        <v>885</v>
      </c>
      <c r="D2" s="56">
        <v>2.0</v>
      </c>
      <c r="E2" s="56">
        <v>2.0</v>
      </c>
      <c r="F2" s="56"/>
      <c r="G2" s="56"/>
    </row>
    <row r="3">
      <c r="A3" s="75" t="s">
        <v>1795</v>
      </c>
      <c r="B3" s="75" t="s">
        <v>1793</v>
      </c>
      <c r="C3" s="53" t="s">
        <v>885</v>
      </c>
      <c r="D3" s="56">
        <v>4.0</v>
      </c>
      <c r="E3" s="56">
        <v>4.0</v>
      </c>
      <c r="F3" s="56"/>
      <c r="G3" s="56"/>
    </row>
    <row r="4">
      <c r="A4" s="75" t="s">
        <v>1797</v>
      </c>
      <c r="B4" s="75" t="s">
        <v>1793</v>
      </c>
      <c r="C4" s="53" t="s">
        <v>885</v>
      </c>
      <c r="D4" s="56">
        <v>1.0</v>
      </c>
      <c r="E4" s="56">
        <v>1.0</v>
      </c>
      <c r="F4" s="56"/>
      <c r="G4" s="56"/>
    </row>
    <row r="5">
      <c r="A5" s="75" t="s">
        <v>1800</v>
      </c>
      <c r="B5" s="75" t="s">
        <v>1793</v>
      </c>
      <c r="C5" s="53" t="s">
        <v>885</v>
      </c>
      <c r="D5" s="56">
        <v>1.0</v>
      </c>
      <c r="E5" s="56"/>
      <c r="F5" s="56"/>
      <c r="G5" s="56"/>
    </row>
    <row r="6">
      <c r="A6" s="75" t="s">
        <v>1802</v>
      </c>
      <c r="B6" s="75" t="s">
        <v>1793</v>
      </c>
      <c r="C6" s="53" t="s">
        <v>885</v>
      </c>
      <c r="D6" s="56">
        <v>1.0</v>
      </c>
      <c r="E6" s="56"/>
      <c r="F6" s="56"/>
      <c r="G6" s="56"/>
    </row>
    <row r="7">
      <c r="A7" s="75" t="s">
        <v>1803</v>
      </c>
      <c r="B7" s="75" t="s">
        <v>1793</v>
      </c>
      <c r="C7" s="53" t="s">
        <v>885</v>
      </c>
      <c r="D7" s="56">
        <v>1.0</v>
      </c>
      <c r="E7" s="56"/>
      <c r="F7" s="56"/>
      <c r="G7" s="56"/>
    </row>
    <row r="8">
      <c r="A8" s="75" t="s">
        <v>1804</v>
      </c>
      <c r="B8" s="75" t="s">
        <v>1793</v>
      </c>
      <c r="C8" s="53" t="s">
        <v>885</v>
      </c>
      <c r="D8" s="56">
        <v>1.0</v>
      </c>
      <c r="E8" s="56"/>
      <c r="F8" s="56"/>
      <c r="G8" s="56"/>
    </row>
    <row r="9">
      <c r="A9" s="75" t="s">
        <v>1805</v>
      </c>
      <c r="B9" s="75" t="s">
        <v>1793</v>
      </c>
      <c r="C9" s="53" t="s">
        <v>885</v>
      </c>
      <c r="D9" s="56">
        <v>1.0</v>
      </c>
      <c r="E9" s="56"/>
      <c r="F9" s="56"/>
      <c r="G9" s="56"/>
    </row>
    <row r="10">
      <c r="A10" s="75" t="s">
        <v>1807</v>
      </c>
      <c r="B10" s="75" t="s">
        <v>1793</v>
      </c>
      <c r="C10" s="53" t="s">
        <v>885</v>
      </c>
      <c r="D10" s="56">
        <v>1.0</v>
      </c>
      <c r="E10" s="56"/>
      <c r="F10" s="56"/>
      <c r="G10" s="56"/>
    </row>
    <row r="11">
      <c r="A11" s="75" t="s">
        <v>1808</v>
      </c>
      <c r="B11" s="75" t="s">
        <v>1793</v>
      </c>
      <c r="C11" s="53" t="s">
        <v>885</v>
      </c>
      <c r="D11" s="56">
        <v>2.0</v>
      </c>
      <c r="E11" s="56"/>
      <c r="F11" s="56"/>
      <c r="G11" s="56"/>
    </row>
    <row r="12">
      <c r="A12" s="75" t="s">
        <v>1810</v>
      </c>
      <c r="B12" s="75" t="s">
        <v>1793</v>
      </c>
      <c r="C12" s="53" t="s">
        <v>885</v>
      </c>
      <c r="D12" s="56">
        <v>1.0</v>
      </c>
      <c r="E12" s="56"/>
      <c r="F12" s="56"/>
      <c r="G12" s="56"/>
    </row>
    <row r="13">
      <c r="A13" s="75" t="s">
        <v>1811</v>
      </c>
      <c r="B13" s="75" t="s">
        <v>1793</v>
      </c>
      <c r="C13" s="53" t="s">
        <v>885</v>
      </c>
      <c r="D13" s="56">
        <v>1.0</v>
      </c>
      <c r="E13" s="56"/>
      <c r="F13" s="56"/>
      <c r="G13" s="56"/>
    </row>
    <row r="14">
      <c r="A14" s="75" t="s">
        <v>1813</v>
      </c>
      <c r="B14" s="75" t="s">
        <v>1793</v>
      </c>
      <c r="C14" s="53" t="s">
        <v>885</v>
      </c>
      <c r="D14" s="56">
        <v>8.0</v>
      </c>
      <c r="E14" s="56"/>
      <c r="F14" s="56"/>
      <c r="G14" s="56"/>
    </row>
    <row r="15">
      <c r="A15" s="75" t="s">
        <v>1822</v>
      </c>
      <c r="B15" s="75" t="s">
        <v>1793</v>
      </c>
      <c r="C15" s="53" t="s">
        <v>885</v>
      </c>
      <c r="D15" s="56">
        <v>1.0</v>
      </c>
      <c r="E15" s="56"/>
      <c r="F15" s="56"/>
      <c r="G15" s="56"/>
    </row>
    <row r="16">
      <c r="A16" s="75" t="s">
        <v>1824</v>
      </c>
      <c r="B16" s="75" t="s">
        <v>1793</v>
      </c>
      <c r="C16" s="53" t="s">
        <v>885</v>
      </c>
      <c r="D16" s="56">
        <v>10.0</v>
      </c>
      <c r="E16" s="56"/>
      <c r="F16" s="56"/>
      <c r="G16" s="56"/>
    </row>
    <row r="17">
      <c r="A17" s="75" t="s">
        <v>1826</v>
      </c>
      <c r="B17" s="75" t="s">
        <v>1793</v>
      </c>
      <c r="C17" s="53" t="s">
        <v>885</v>
      </c>
      <c r="D17" s="56">
        <v>1.0</v>
      </c>
      <c r="E17" s="56"/>
      <c r="F17" s="56"/>
      <c r="G17" s="56"/>
    </row>
    <row r="18">
      <c r="A18" s="75" t="s">
        <v>1829</v>
      </c>
      <c r="B18" s="75" t="s">
        <v>1793</v>
      </c>
      <c r="C18" s="53" t="s">
        <v>885</v>
      </c>
      <c r="D18" s="56">
        <v>1.0</v>
      </c>
      <c r="E18" s="56"/>
      <c r="F18" s="56"/>
      <c r="G18" s="56"/>
    </row>
    <row r="19">
      <c r="A19" s="75" t="s">
        <v>1831</v>
      </c>
      <c r="B19" s="75" t="s">
        <v>1793</v>
      </c>
      <c r="C19" s="53" t="s">
        <v>885</v>
      </c>
      <c r="D19" s="56">
        <v>1.0</v>
      </c>
      <c r="E19" s="56"/>
      <c r="F19" s="56"/>
      <c r="G19" s="56"/>
    </row>
    <row r="20">
      <c r="A20" s="75" t="s">
        <v>1832</v>
      </c>
      <c r="B20" s="75" t="s">
        <v>1793</v>
      </c>
      <c r="C20" s="53" t="s">
        <v>885</v>
      </c>
      <c r="D20" s="56">
        <v>1.0</v>
      </c>
      <c r="E20" s="78"/>
      <c r="F20" s="78"/>
      <c r="G20" s="78"/>
    </row>
    <row r="21">
      <c r="A21" s="75" t="s">
        <v>1835</v>
      </c>
      <c r="B21" s="75" t="s">
        <v>1793</v>
      </c>
      <c r="C21" s="53" t="s">
        <v>885</v>
      </c>
      <c r="D21" s="56">
        <v>1.0</v>
      </c>
      <c r="E21" s="56"/>
      <c r="F21" s="56"/>
      <c r="G21" s="56"/>
    </row>
    <row r="22">
      <c r="A22" s="75" t="s">
        <v>1839</v>
      </c>
      <c r="B22" s="75" t="s">
        <v>1793</v>
      </c>
      <c r="C22" s="53" t="s">
        <v>885</v>
      </c>
      <c r="D22" s="56">
        <v>2.0</v>
      </c>
      <c r="E22" s="56"/>
      <c r="F22" s="56"/>
      <c r="G22" s="56"/>
    </row>
    <row r="23">
      <c r="A23" s="75" t="s">
        <v>1840</v>
      </c>
      <c r="B23" s="75" t="s">
        <v>1793</v>
      </c>
      <c r="C23" s="53" t="s">
        <v>885</v>
      </c>
      <c r="D23" s="56">
        <v>1.0</v>
      </c>
      <c r="E23" s="56"/>
      <c r="F23" s="56"/>
      <c r="G23" s="56"/>
    </row>
    <row r="24">
      <c r="A24" s="75" t="s">
        <v>1842</v>
      </c>
      <c r="B24" s="75" t="s">
        <v>1793</v>
      </c>
      <c r="C24" s="53" t="s">
        <v>885</v>
      </c>
      <c r="D24" s="77">
        <v>7.0</v>
      </c>
      <c r="E24" s="77"/>
      <c r="F24" s="77"/>
      <c r="G24" s="77"/>
    </row>
    <row r="25">
      <c r="A25" s="75" t="s">
        <v>1845</v>
      </c>
      <c r="B25" s="75" t="s">
        <v>1793</v>
      </c>
      <c r="C25" s="53" t="s">
        <v>885</v>
      </c>
      <c r="D25" s="77">
        <v>1.0</v>
      </c>
      <c r="E25" s="77"/>
      <c r="F25" s="77"/>
      <c r="G25" s="77"/>
    </row>
    <row r="26">
      <c r="A26" s="75" t="s">
        <v>1846</v>
      </c>
      <c r="B26" s="75" t="s">
        <v>1793</v>
      </c>
      <c r="C26" s="53" t="s">
        <v>885</v>
      </c>
      <c r="D26" s="56">
        <v>1.0</v>
      </c>
      <c r="E26" s="56"/>
      <c r="F26" s="56"/>
      <c r="G26" s="56"/>
    </row>
    <row r="27">
      <c r="A27" s="75" t="s">
        <v>1848</v>
      </c>
      <c r="B27" s="75" t="s">
        <v>1793</v>
      </c>
      <c r="C27" s="53" t="s">
        <v>885</v>
      </c>
      <c r="D27" s="77">
        <v>3.0</v>
      </c>
      <c r="E27" s="77"/>
      <c r="F27" s="77"/>
      <c r="G27" s="77"/>
    </row>
    <row r="28">
      <c r="A28" s="75" t="s">
        <v>1850</v>
      </c>
      <c r="B28" s="75" t="s">
        <v>1793</v>
      </c>
      <c r="C28" s="53" t="s">
        <v>885</v>
      </c>
      <c r="D28" s="56">
        <v>1.0</v>
      </c>
      <c r="E28" s="56"/>
      <c r="F28" s="56"/>
      <c r="G28" s="56"/>
    </row>
    <row r="29">
      <c r="A29" s="75" t="s">
        <v>1851</v>
      </c>
      <c r="B29" s="75" t="s">
        <v>1793</v>
      </c>
      <c r="C29" s="53" t="s">
        <v>885</v>
      </c>
      <c r="D29" s="56">
        <v>1.0</v>
      </c>
      <c r="E29" s="56"/>
      <c r="F29" s="56"/>
      <c r="G29" s="56"/>
    </row>
    <row r="30">
      <c r="A30" s="75" t="s">
        <v>1852</v>
      </c>
      <c r="B30" s="75" t="s">
        <v>1793</v>
      </c>
      <c r="C30" s="53" t="s">
        <v>885</v>
      </c>
      <c r="D30" s="77">
        <v>2.0</v>
      </c>
      <c r="E30" s="57"/>
      <c r="F30" s="57"/>
      <c r="G30" s="57"/>
    </row>
    <row r="31">
      <c r="A31" s="75" t="s">
        <v>1854</v>
      </c>
      <c r="B31" s="75" t="s">
        <v>1793</v>
      </c>
      <c r="C31" s="53" t="s">
        <v>885</v>
      </c>
      <c r="D31" s="77">
        <v>1.0</v>
      </c>
      <c r="E31" s="77"/>
      <c r="F31" s="77"/>
      <c r="G31" s="77"/>
    </row>
    <row r="32">
      <c r="A32" s="75" t="s">
        <v>1855</v>
      </c>
      <c r="B32" s="75" t="s">
        <v>1793</v>
      </c>
      <c r="C32" s="53" t="s">
        <v>885</v>
      </c>
      <c r="D32" s="56">
        <v>1.0</v>
      </c>
      <c r="E32" s="56"/>
      <c r="F32" s="56"/>
      <c r="G32" s="56"/>
    </row>
    <row r="33">
      <c r="A33" s="75" t="s">
        <v>1856</v>
      </c>
      <c r="B33" s="75" t="s">
        <v>1793</v>
      </c>
      <c r="C33" s="53" t="s">
        <v>885</v>
      </c>
      <c r="D33" s="56">
        <v>1.0</v>
      </c>
      <c r="E33" s="56"/>
      <c r="F33" s="56"/>
      <c r="G33" s="56"/>
    </row>
    <row r="34">
      <c r="A34" s="75" t="s">
        <v>1857</v>
      </c>
      <c r="B34" s="75" t="s">
        <v>1793</v>
      </c>
      <c r="C34" s="53" t="s">
        <v>885</v>
      </c>
      <c r="D34" s="56">
        <v>1.0</v>
      </c>
      <c r="E34" s="56"/>
      <c r="F34" s="56"/>
      <c r="G34" s="56"/>
    </row>
    <row r="35">
      <c r="A35" s="75" t="s">
        <v>1859</v>
      </c>
      <c r="B35" s="75" t="s">
        <v>1793</v>
      </c>
      <c r="C35" s="53" t="s">
        <v>885</v>
      </c>
      <c r="D35" s="56">
        <v>1.0</v>
      </c>
      <c r="E35" s="56"/>
      <c r="F35" s="56"/>
      <c r="G35" s="56"/>
    </row>
    <row r="36">
      <c r="A36" s="75" t="s">
        <v>1860</v>
      </c>
      <c r="B36" s="75" t="s">
        <v>1793</v>
      </c>
      <c r="C36" s="53" t="s">
        <v>885</v>
      </c>
      <c r="D36" s="78">
        <v>1.0</v>
      </c>
      <c r="E36" s="78"/>
      <c r="F36" s="78"/>
      <c r="G36" s="78"/>
    </row>
    <row r="37">
      <c r="A37" s="75" t="s">
        <v>1861</v>
      </c>
      <c r="B37" s="75" t="s">
        <v>1793</v>
      </c>
      <c r="C37" s="53" t="s">
        <v>885</v>
      </c>
      <c r="D37" s="56">
        <v>1.0</v>
      </c>
      <c r="E37" s="56"/>
      <c r="F37" s="56"/>
      <c r="G37" s="56"/>
    </row>
    <row r="38">
      <c r="A38" s="75" t="s">
        <v>1863</v>
      </c>
      <c r="B38" s="75" t="s">
        <v>1793</v>
      </c>
      <c r="C38" s="53" t="s">
        <v>885</v>
      </c>
      <c r="D38" s="56">
        <v>2.0</v>
      </c>
      <c r="E38" s="56"/>
      <c r="F38" s="56"/>
      <c r="G38" s="56"/>
    </row>
    <row r="39">
      <c r="A39" s="75" t="s">
        <v>1864</v>
      </c>
      <c r="B39" s="75" t="s">
        <v>1793</v>
      </c>
      <c r="C39" s="53" t="s">
        <v>885</v>
      </c>
      <c r="D39" s="57">
        <v>1.0</v>
      </c>
      <c r="E39" s="57"/>
      <c r="F39" s="57"/>
      <c r="G39" s="57"/>
    </row>
    <row r="40">
      <c r="A40" s="75" t="s">
        <v>1866</v>
      </c>
      <c r="B40" s="75" t="s">
        <v>1793</v>
      </c>
      <c r="C40" s="53" t="s">
        <v>885</v>
      </c>
      <c r="D40" s="56">
        <v>1.0</v>
      </c>
      <c r="E40" s="56"/>
      <c r="F40" s="56"/>
      <c r="G40" s="56"/>
    </row>
    <row r="41">
      <c r="A41" s="75" t="s">
        <v>1867</v>
      </c>
      <c r="B41" s="75" t="s">
        <v>1793</v>
      </c>
      <c r="C41" s="53" t="s">
        <v>885</v>
      </c>
      <c r="D41" s="78">
        <v>1.0</v>
      </c>
      <c r="E41" s="78"/>
      <c r="F41" s="78"/>
      <c r="G41" s="78"/>
    </row>
    <row r="42">
      <c r="A42" s="75" t="s">
        <v>1868</v>
      </c>
      <c r="B42" s="75" t="s">
        <v>1793</v>
      </c>
      <c r="C42" s="53" t="s">
        <v>885</v>
      </c>
      <c r="D42" s="56">
        <v>1.0</v>
      </c>
      <c r="E42" s="56"/>
      <c r="F42" s="56"/>
      <c r="G42" s="56"/>
    </row>
    <row r="43">
      <c r="A43" s="75" t="s">
        <v>1871</v>
      </c>
      <c r="B43" s="75" t="s">
        <v>1793</v>
      </c>
      <c r="C43" s="53" t="s">
        <v>885</v>
      </c>
      <c r="D43" s="57">
        <v>1.0</v>
      </c>
      <c r="E43" s="57"/>
      <c r="F43" s="57"/>
      <c r="G43" s="57"/>
    </row>
    <row r="44">
      <c r="A44" s="75" t="s">
        <v>1872</v>
      </c>
      <c r="B44" s="75" t="s">
        <v>1793</v>
      </c>
      <c r="C44" s="53" t="s">
        <v>885</v>
      </c>
      <c r="D44" s="56">
        <v>1.0</v>
      </c>
      <c r="E44" s="56"/>
      <c r="F44" s="56"/>
      <c r="G44" s="56"/>
    </row>
    <row r="45">
      <c r="A45" s="75" t="s">
        <v>1873</v>
      </c>
      <c r="B45" s="75" t="s">
        <v>1793</v>
      </c>
      <c r="C45" s="53" t="s">
        <v>885</v>
      </c>
      <c r="D45" s="56">
        <v>1.0</v>
      </c>
      <c r="E45" s="56"/>
      <c r="F45" s="56"/>
      <c r="G45" s="56"/>
    </row>
    <row r="46">
      <c r="A46" s="75" t="s">
        <v>1874</v>
      </c>
      <c r="B46" s="75" t="s">
        <v>1793</v>
      </c>
      <c r="C46" s="53" t="s">
        <v>885</v>
      </c>
      <c r="D46" s="56">
        <v>2.0</v>
      </c>
      <c r="E46" s="56"/>
      <c r="F46" s="56"/>
      <c r="G46" s="56"/>
    </row>
    <row r="47">
      <c r="A47" s="75" t="s">
        <v>1876</v>
      </c>
      <c r="B47" s="75" t="s">
        <v>1793</v>
      </c>
      <c r="C47" s="53" t="s">
        <v>885</v>
      </c>
      <c r="D47" s="56">
        <v>1.0</v>
      </c>
      <c r="E47" s="56"/>
      <c r="F47" s="56"/>
      <c r="G47" s="56"/>
    </row>
    <row r="48">
      <c r="A48" s="75" t="s">
        <v>1877</v>
      </c>
      <c r="B48" s="75" t="s">
        <v>1793</v>
      </c>
      <c r="C48" s="53" t="s">
        <v>885</v>
      </c>
      <c r="D48" s="57">
        <v>1.0</v>
      </c>
      <c r="E48" s="57"/>
      <c r="F48" s="57"/>
      <c r="G48" s="57"/>
    </row>
    <row r="49">
      <c r="A49" s="75" t="s">
        <v>1878</v>
      </c>
      <c r="B49" s="75" t="s">
        <v>1793</v>
      </c>
      <c r="C49" s="53" t="s">
        <v>885</v>
      </c>
      <c r="D49" s="77">
        <v>2.0</v>
      </c>
      <c r="E49" s="77"/>
      <c r="F49" s="77"/>
      <c r="G49" s="77"/>
    </row>
    <row r="50">
      <c r="A50" s="75" t="s">
        <v>1879</v>
      </c>
      <c r="B50" s="75" t="s">
        <v>1793</v>
      </c>
      <c r="C50" s="53" t="s">
        <v>885</v>
      </c>
      <c r="D50" s="56">
        <v>1.0</v>
      </c>
      <c r="E50" s="56"/>
      <c r="F50" s="56"/>
      <c r="G50" s="56"/>
    </row>
    <row r="51">
      <c r="A51" s="75" t="s">
        <v>1880</v>
      </c>
      <c r="B51" s="75" t="s">
        <v>1793</v>
      </c>
      <c r="C51" s="53" t="s">
        <v>885</v>
      </c>
      <c r="D51" s="77">
        <v>3.0</v>
      </c>
      <c r="E51" s="77"/>
      <c r="F51" s="77"/>
      <c r="G51" s="77"/>
    </row>
    <row r="52">
      <c r="A52" s="75" t="s">
        <v>1882</v>
      </c>
      <c r="B52" s="75" t="s">
        <v>1793</v>
      </c>
      <c r="C52" s="53" t="s">
        <v>885</v>
      </c>
      <c r="D52" s="56">
        <v>1.0</v>
      </c>
      <c r="E52" s="56"/>
      <c r="F52" s="56"/>
      <c r="G52" s="56"/>
    </row>
    <row r="53">
      <c r="A53" s="75" t="s">
        <v>1883</v>
      </c>
      <c r="B53" s="75" t="s">
        <v>1793</v>
      </c>
      <c r="C53" s="53" t="s">
        <v>885</v>
      </c>
      <c r="D53" s="77">
        <v>1.0</v>
      </c>
      <c r="E53" s="77"/>
      <c r="F53" s="77"/>
      <c r="G53" s="77"/>
    </row>
    <row r="54">
      <c r="A54" s="75" t="s">
        <v>1884</v>
      </c>
      <c r="B54" s="75" t="s">
        <v>1793</v>
      </c>
      <c r="C54" s="53" t="s">
        <v>885</v>
      </c>
      <c r="D54" s="56">
        <v>1.0</v>
      </c>
      <c r="E54" s="56"/>
      <c r="F54" s="56"/>
      <c r="G54" s="56"/>
    </row>
    <row r="55">
      <c r="A55" s="75" t="s">
        <v>1885</v>
      </c>
      <c r="B55" s="75" t="s">
        <v>1793</v>
      </c>
      <c r="C55" s="53" t="s">
        <v>885</v>
      </c>
      <c r="D55" s="78">
        <v>1.0</v>
      </c>
      <c r="E55" s="78"/>
      <c r="F55" s="78"/>
      <c r="G55" s="78"/>
    </row>
    <row r="56">
      <c r="A56" s="75" t="s">
        <v>1887</v>
      </c>
      <c r="B56" s="75" t="s">
        <v>1793</v>
      </c>
      <c r="C56" s="53" t="s">
        <v>885</v>
      </c>
      <c r="D56" s="56">
        <v>2.0</v>
      </c>
      <c r="E56" s="56"/>
      <c r="F56" s="56"/>
      <c r="G56" s="56"/>
    </row>
    <row r="57">
      <c r="A57" s="75" t="s">
        <v>1888</v>
      </c>
      <c r="B57" s="75" t="s">
        <v>1793</v>
      </c>
      <c r="C57" s="53" t="s">
        <v>885</v>
      </c>
      <c r="D57" s="56">
        <v>1.0</v>
      </c>
      <c r="E57" s="56"/>
      <c r="F57" s="56"/>
      <c r="G57" s="56"/>
    </row>
    <row r="58">
      <c r="A58" s="75" t="s">
        <v>1889</v>
      </c>
      <c r="B58" s="75" t="s">
        <v>1793</v>
      </c>
      <c r="C58" s="53" t="s">
        <v>885</v>
      </c>
      <c r="D58" s="57">
        <v>1.0</v>
      </c>
      <c r="E58" s="57"/>
      <c r="F58" s="57"/>
      <c r="G58" s="57"/>
    </row>
    <row r="59">
      <c r="A59" s="75" t="s">
        <v>1890</v>
      </c>
      <c r="B59" s="75" t="s">
        <v>1793</v>
      </c>
      <c r="C59" s="53" t="s">
        <v>885</v>
      </c>
      <c r="D59" s="56">
        <v>1.0</v>
      </c>
      <c r="E59" s="56"/>
      <c r="F59" s="56"/>
      <c r="G59" s="56"/>
    </row>
    <row r="60">
      <c r="A60" s="75" t="s">
        <v>1891</v>
      </c>
      <c r="B60" s="75" t="s">
        <v>1793</v>
      </c>
      <c r="C60" s="53" t="s">
        <v>885</v>
      </c>
      <c r="D60" s="56">
        <v>1.0</v>
      </c>
      <c r="E60" s="56"/>
      <c r="F60" s="56"/>
      <c r="G60" s="56"/>
    </row>
    <row r="61">
      <c r="A61" s="75" t="s">
        <v>1892</v>
      </c>
      <c r="B61" s="75" t="s">
        <v>1793</v>
      </c>
      <c r="C61" s="53" t="s">
        <v>885</v>
      </c>
      <c r="D61" s="56">
        <v>2.0</v>
      </c>
      <c r="E61" s="56"/>
      <c r="F61" s="56"/>
      <c r="G61" s="56"/>
    </row>
    <row r="62">
      <c r="A62" s="75" t="s">
        <v>1893</v>
      </c>
      <c r="B62" s="75" t="s">
        <v>1793</v>
      </c>
      <c r="C62" s="53" t="s">
        <v>885</v>
      </c>
      <c r="D62" s="56">
        <v>1.0</v>
      </c>
      <c r="E62" s="56"/>
      <c r="F62" s="56"/>
      <c r="G62" s="56"/>
    </row>
    <row r="63">
      <c r="A63" s="75" t="s">
        <v>1897</v>
      </c>
      <c r="B63" s="75" t="s">
        <v>1793</v>
      </c>
      <c r="C63" s="122" t="s">
        <v>932</v>
      </c>
      <c r="D63" s="57">
        <v>1.0</v>
      </c>
    </row>
    <row r="64">
      <c r="A64" s="75" t="s">
        <v>1899</v>
      </c>
      <c r="B64" s="75" t="s">
        <v>1793</v>
      </c>
      <c r="C64" s="122" t="s">
        <v>932</v>
      </c>
      <c r="D64" s="56">
        <v>2.0</v>
      </c>
    </row>
    <row r="65">
      <c r="A65" s="75" t="s">
        <v>1901</v>
      </c>
      <c r="B65" s="75" t="s">
        <v>1793</v>
      </c>
      <c r="C65" s="122" t="s">
        <v>932</v>
      </c>
      <c r="D65" s="57">
        <v>1.0</v>
      </c>
    </row>
    <row r="66">
      <c r="A66" s="75" t="s">
        <v>1904</v>
      </c>
      <c r="B66" s="75" t="s">
        <v>1793</v>
      </c>
      <c r="C66" s="122" t="s">
        <v>932</v>
      </c>
      <c r="D66" s="57">
        <v>1.0</v>
      </c>
    </row>
    <row r="67">
      <c r="A67" s="75" t="s">
        <v>1905</v>
      </c>
      <c r="B67" s="75" t="s">
        <v>1793</v>
      </c>
      <c r="C67" s="122" t="s">
        <v>932</v>
      </c>
      <c r="D67" s="57">
        <v>1.0</v>
      </c>
    </row>
    <row r="68">
      <c r="A68" s="75" t="s">
        <v>1906</v>
      </c>
      <c r="B68" s="75" t="s">
        <v>1793</v>
      </c>
      <c r="C68" s="122" t="s">
        <v>932</v>
      </c>
      <c r="D68" s="57">
        <v>1.0</v>
      </c>
    </row>
    <row r="69">
      <c r="A69" s="75" t="s">
        <v>1908</v>
      </c>
      <c r="B69" s="75" t="s">
        <v>1793</v>
      </c>
      <c r="C69" s="122" t="s">
        <v>932</v>
      </c>
      <c r="D69" s="57">
        <v>1.0</v>
      </c>
    </row>
    <row r="70">
      <c r="A70" s="75" t="s">
        <v>1909</v>
      </c>
      <c r="B70" s="75" t="s">
        <v>1793</v>
      </c>
      <c r="C70" s="122" t="s">
        <v>932</v>
      </c>
      <c r="D70" s="57">
        <v>1.0</v>
      </c>
    </row>
    <row r="71">
      <c r="A71" s="75" t="s">
        <v>1911</v>
      </c>
      <c r="B71" s="75" t="s">
        <v>1793</v>
      </c>
      <c r="C71" s="122" t="s">
        <v>932</v>
      </c>
      <c r="D71" s="77">
        <v>1.0</v>
      </c>
    </row>
    <row r="72">
      <c r="A72" s="75" t="s">
        <v>1912</v>
      </c>
      <c r="B72" s="75" t="s">
        <v>1793</v>
      </c>
      <c r="C72" s="122" t="s">
        <v>932</v>
      </c>
      <c r="D72" s="57">
        <v>1.0</v>
      </c>
    </row>
    <row r="73">
      <c r="A73" s="75" t="s">
        <v>1915</v>
      </c>
      <c r="B73" s="75" t="s">
        <v>1793</v>
      </c>
      <c r="C73" s="122" t="s">
        <v>932</v>
      </c>
      <c r="D73" s="56">
        <v>1.0</v>
      </c>
    </row>
    <row r="74">
      <c r="A74" s="75" t="s">
        <v>1916</v>
      </c>
      <c r="B74" s="75" t="s">
        <v>1793</v>
      </c>
      <c r="C74" s="122" t="s">
        <v>932</v>
      </c>
      <c r="D74" s="57">
        <v>1.0</v>
      </c>
    </row>
    <row r="75">
      <c r="A75" s="75" t="s">
        <v>1918</v>
      </c>
      <c r="B75" s="75" t="s">
        <v>1793</v>
      </c>
      <c r="C75" s="122" t="s">
        <v>932</v>
      </c>
      <c r="D75" s="57">
        <v>1.0</v>
      </c>
    </row>
    <row r="76">
      <c r="A76" s="75" t="s">
        <v>1920</v>
      </c>
      <c r="B76" s="75" t="s">
        <v>1793</v>
      </c>
      <c r="C76" s="122" t="s">
        <v>932</v>
      </c>
      <c r="D76" s="57">
        <v>1.0</v>
      </c>
    </row>
    <row r="77">
      <c r="A77" s="75" t="s">
        <v>1922</v>
      </c>
      <c r="B77" s="75" t="s">
        <v>1793</v>
      </c>
      <c r="C77" s="122" t="s">
        <v>932</v>
      </c>
      <c r="D77" s="56">
        <v>1.0</v>
      </c>
    </row>
    <row r="78">
      <c r="A78" s="75" t="s">
        <v>1923</v>
      </c>
      <c r="B78" s="75" t="s">
        <v>1793</v>
      </c>
      <c r="C78" s="122" t="s">
        <v>932</v>
      </c>
      <c r="D78" s="56">
        <v>1.0</v>
      </c>
    </row>
    <row r="79">
      <c r="A79" s="75" t="s">
        <v>1925</v>
      </c>
      <c r="B79" s="75" t="s">
        <v>1793</v>
      </c>
      <c r="C79" s="122" t="s">
        <v>932</v>
      </c>
      <c r="D79" s="56">
        <v>2.0</v>
      </c>
    </row>
    <row r="80">
      <c r="A80" s="75" t="s">
        <v>1926</v>
      </c>
      <c r="B80" s="75" t="s">
        <v>1793</v>
      </c>
      <c r="C80" s="122" t="s">
        <v>932</v>
      </c>
      <c r="D80" s="78">
        <v>1.0</v>
      </c>
    </row>
    <row r="81">
      <c r="A81" s="75" t="s">
        <v>1930</v>
      </c>
      <c r="B81" s="75" t="s">
        <v>1793</v>
      </c>
      <c r="C81" s="122" t="s">
        <v>932</v>
      </c>
      <c r="D81" s="57">
        <v>1.0</v>
      </c>
      <c r="E81" s="55"/>
      <c r="F81" s="55"/>
      <c r="G81" s="55"/>
    </row>
    <row r="82">
      <c r="A82" s="75" t="s">
        <v>1932</v>
      </c>
      <c r="B82" s="75" t="s">
        <v>1793</v>
      </c>
      <c r="C82" s="122" t="s">
        <v>932</v>
      </c>
      <c r="D82" s="57">
        <v>1.0</v>
      </c>
      <c r="E82" s="55"/>
      <c r="F82" s="55"/>
      <c r="G82" s="55"/>
    </row>
    <row r="83">
      <c r="A83" s="75" t="s">
        <v>1933</v>
      </c>
      <c r="B83" s="75" t="s">
        <v>1793</v>
      </c>
      <c r="C83" s="122" t="s">
        <v>932</v>
      </c>
      <c r="D83" s="57">
        <v>1.0</v>
      </c>
      <c r="E83" s="55"/>
      <c r="F83" s="55"/>
      <c r="G83" s="55"/>
    </row>
    <row r="84">
      <c r="A84" s="75" t="s">
        <v>1935</v>
      </c>
      <c r="B84" s="75" t="s">
        <v>1793</v>
      </c>
      <c r="C84" s="122" t="s">
        <v>932</v>
      </c>
      <c r="D84" s="56">
        <v>2.0</v>
      </c>
      <c r="E84" s="99"/>
      <c r="F84" s="99"/>
      <c r="G84" s="99"/>
    </row>
    <row r="85">
      <c r="A85" s="75" t="s">
        <v>1936</v>
      </c>
      <c r="B85" s="75" t="s">
        <v>1793</v>
      </c>
      <c r="C85" s="122" t="s">
        <v>932</v>
      </c>
      <c r="D85" s="57">
        <v>1.0</v>
      </c>
      <c r="E85" s="55"/>
      <c r="F85" s="55"/>
      <c r="G85" s="55"/>
    </row>
    <row r="86">
      <c r="A86" s="75" t="s">
        <v>1937</v>
      </c>
      <c r="B86" s="75" t="s">
        <v>1793</v>
      </c>
      <c r="C86" s="122" t="s">
        <v>932</v>
      </c>
      <c r="D86" s="57">
        <v>1.0</v>
      </c>
      <c r="E86" s="55"/>
      <c r="F86" s="55"/>
      <c r="G86" s="55"/>
    </row>
    <row r="87">
      <c r="A87" s="75" t="s">
        <v>1938</v>
      </c>
      <c r="B87" s="75" t="s">
        <v>1793</v>
      </c>
      <c r="C87" s="122" t="s">
        <v>932</v>
      </c>
      <c r="D87" s="57">
        <v>2.0</v>
      </c>
      <c r="E87" s="55"/>
      <c r="F87" s="55"/>
      <c r="G87" s="55"/>
    </row>
    <row r="88">
      <c r="A88" s="75" t="s">
        <v>1939</v>
      </c>
      <c r="B88" s="75" t="s">
        <v>1793</v>
      </c>
      <c r="C88" s="122" t="s">
        <v>932</v>
      </c>
      <c r="D88" s="57">
        <v>1.0</v>
      </c>
      <c r="E88" s="55"/>
      <c r="F88" s="55"/>
      <c r="G88" s="55"/>
    </row>
    <row r="89">
      <c r="A89" s="75" t="s">
        <v>1940</v>
      </c>
      <c r="B89" s="75" t="s">
        <v>1793</v>
      </c>
      <c r="C89" s="122" t="s">
        <v>932</v>
      </c>
      <c r="D89" s="77">
        <v>1.0</v>
      </c>
      <c r="E89" s="83"/>
      <c r="F89" s="83"/>
      <c r="G89" s="83"/>
    </row>
    <row r="90">
      <c r="A90" s="75" t="s">
        <v>1941</v>
      </c>
      <c r="B90" s="75" t="s">
        <v>1793</v>
      </c>
      <c r="C90" s="122" t="s">
        <v>932</v>
      </c>
      <c r="D90" s="77">
        <v>1.0</v>
      </c>
      <c r="E90" s="55"/>
      <c r="F90" s="55"/>
      <c r="G90" s="55"/>
    </row>
    <row r="91">
      <c r="A91" s="75" t="s">
        <v>1942</v>
      </c>
      <c r="B91" s="75" t="s">
        <v>1793</v>
      </c>
      <c r="C91" s="122" t="s">
        <v>932</v>
      </c>
      <c r="D91" s="57">
        <v>1.0</v>
      </c>
      <c r="E91" s="55"/>
      <c r="F91" s="55"/>
      <c r="G91" s="55"/>
    </row>
    <row r="92">
      <c r="A92" s="75" t="s">
        <v>1945</v>
      </c>
      <c r="B92" s="75" t="s">
        <v>1793</v>
      </c>
      <c r="C92" s="122" t="s">
        <v>932</v>
      </c>
      <c r="D92" s="56">
        <v>1.0</v>
      </c>
      <c r="E92" s="55"/>
      <c r="F92" s="55"/>
      <c r="G92" s="55"/>
    </row>
    <row r="93">
      <c r="A93" s="75" t="s">
        <v>1946</v>
      </c>
      <c r="B93" s="75" t="s">
        <v>1793</v>
      </c>
      <c r="C93" s="122" t="s">
        <v>932</v>
      </c>
      <c r="D93" s="78">
        <v>1.0</v>
      </c>
      <c r="E93" s="55"/>
      <c r="F93" s="55"/>
      <c r="G93" s="55"/>
    </row>
    <row r="94">
      <c r="A94" s="75" t="s">
        <v>1947</v>
      </c>
      <c r="B94" s="75" t="s">
        <v>1793</v>
      </c>
      <c r="C94" s="122" t="s">
        <v>932</v>
      </c>
      <c r="D94" s="56">
        <v>1.0</v>
      </c>
      <c r="E94" s="55"/>
      <c r="F94" s="55"/>
      <c r="G94" s="55"/>
    </row>
    <row r="95">
      <c r="A95" s="75" t="s">
        <v>1948</v>
      </c>
      <c r="B95" s="75" t="s">
        <v>1793</v>
      </c>
      <c r="C95" s="122" t="s">
        <v>932</v>
      </c>
      <c r="D95" s="57">
        <v>1.0</v>
      </c>
      <c r="E95" s="55"/>
      <c r="F95" s="55"/>
      <c r="G95" s="55"/>
    </row>
    <row r="96">
      <c r="A96" s="75" t="s">
        <v>1949</v>
      </c>
      <c r="B96" s="75" t="s">
        <v>1793</v>
      </c>
      <c r="C96" s="122" t="s">
        <v>932</v>
      </c>
      <c r="D96" s="78">
        <v>1.0</v>
      </c>
      <c r="E96" s="55"/>
      <c r="F96" s="55"/>
      <c r="G96" s="55"/>
    </row>
    <row r="97">
      <c r="A97" s="75" t="s">
        <v>1950</v>
      </c>
      <c r="B97" s="75" t="s">
        <v>1793</v>
      </c>
      <c r="C97" s="122" t="s">
        <v>932</v>
      </c>
      <c r="D97" s="78">
        <v>1.0</v>
      </c>
      <c r="E97" s="55"/>
      <c r="F97" s="55"/>
      <c r="G97" s="55"/>
    </row>
    <row r="98">
      <c r="A98" s="75" t="s">
        <v>1951</v>
      </c>
      <c r="B98" s="75" t="s">
        <v>1793</v>
      </c>
      <c r="C98" s="122" t="s">
        <v>932</v>
      </c>
      <c r="D98" s="56">
        <v>1.0</v>
      </c>
      <c r="E98" s="83"/>
      <c r="F98" s="83"/>
      <c r="G98" s="83"/>
    </row>
    <row r="99">
      <c r="A99" s="75" t="s">
        <v>1953</v>
      </c>
      <c r="B99" s="75" t="s">
        <v>1793</v>
      </c>
      <c r="C99" s="122" t="s">
        <v>932</v>
      </c>
      <c r="D99" s="78">
        <v>1.0</v>
      </c>
      <c r="E99" s="55"/>
      <c r="F99" s="55"/>
      <c r="G99" s="55"/>
    </row>
    <row r="100">
      <c r="A100" s="75" t="s">
        <v>4498</v>
      </c>
      <c r="B100" s="75" t="s">
        <v>1793</v>
      </c>
      <c r="C100" s="122" t="s">
        <v>932</v>
      </c>
      <c r="D100" s="78">
        <v>1.0</v>
      </c>
      <c r="E100" s="55"/>
      <c r="F100" s="55"/>
      <c r="G100" s="55"/>
    </row>
    <row r="101">
      <c r="C101" s="122"/>
      <c r="E101" s="55"/>
      <c r="F101" s="55"/>
      <c r="G101" s="55"/>
    </row>
    <row r="102">
      <c r="C102" s="122"/>
      <c r="E102" s="55"/>
      <c r="F102" s="55"/>
      <c r="G102" s="55"/>
    </row>
    <row r="103">
      <c r="C103" s="122"/>
      <c r="E103" s="55"/>
      <c r="F103" s="55"/>
      <c r="G103" s="55"/>
    </row>
    <row r="104">
      <c r="C104" s="122"/>
      <c r="E104" s="55"/>
      <c r="F104" s="55"/>
      <c r="G104" s="55"/>
    </row>
    <row r="105">
      <c r="C105" s="122"/>
      <c r="E105" s="55"/>
      <c r="F105" s="55"/>
      <c r="G105" s="55"/>
    </row>
    <row r="106">
      <c r="C106" s="122"/>
      <c r="E106" s="55"/>
      <c r="F106" s="55"/>
      <c r="G106" s="55"/>
    </row>
    <row r="107">
      <c r="C107" s="122"/>
      <c r="E107" s="55"/>
      <c r="F107" s="55"/>
      <c r="G107" s="55"/>
    </row>
    <row r="108">
      <c r="C108" s="122"/>
      <c r="E108" s="55"/>
      <c r="F108" s="55"/>
      <c r="G108" s="55"/>
    </row>
    <row r="109">
      <c r="C109" s="122"/>
      <c r="E109" s="55"/>
      <c r="F109" s="55"/>
      <c r="G109" s="55"/>
    </row>
    <row r="110">
      <c r="C110" s="122"/>
      <c r="E110" s="55"/>
      <c r="F110" s="55"/>
      <c r="G110" s="55"/>
    </row>
    <row r="111">
      <c r="C111" s="122"/>
      <c r="E111" s="55"/>
      <c r="F111" s="55"/>
      <c r="G111" s="55"/>
    </row>
    <row r="112">
      <c r="C112" s="122"/>
      <c r="E112" s="83"/>
      <c r="F112" s="83"/>
      <c r="G112" s="83"/>
    </row>
    <row r="113">
      <c r="C113" s="122"/>
      <c r="E113" s="55"/>
      <c r="F113" s="55"/>
      <c r="G113" s="55"/>
    </row>
    <row r="114">
      <c r="C114" s="122"/>
      <c r="E114" s="55"/>
      <c r="F114" s="55"/>
      <c r="G114" s="55"/>
    </row>
    <row r="115">
      <c r="C115" s="122"/>
      <c r="E115" s="55"/>
      <c r="F115" s="55"/>
      <c r="G115" s="55"/>
    </row>
    <row r="116">
      <c r="C116" s="122"/>
      <c r="E116" s="55"/>
      <c r="F116" s="55"/>
      <c r="G116" s="55"/>
    </row>
    <row r="117">
      <c r="C117" s="122"/>
      <c r="E117" s="55"/>
      <c r="F117" s="55"/>
      <c r="G117" s="55"/>
    </row>
    <row r="118">
      <c r="C118" s="122"/>
      <c r="E118" s="55"/>
      <c r="F118" s="55"/>
      <c r="G118" s="55"/>
    </row>
    <row r="119">
      <c r="C119" s="122"/>
      <c r="E119" s="83"/>
      <c r="F119" s="83"/>
      <c r="G119" s="83"/>
    </row>
    <row r="120">
      <c r="C120" s="122"/>
      <c r="E120" s="55"/>
      <c r="F120" s="55"/>
      <c r="G120" s="55"/>
    </row>
    <row r="121">
      <c r="C121" s="122"/>
      <c r="E121" s="55"/>
      <c r="F121" s="55"/>
      <c r="G121" s="55"/>
    </row>
  </sheetData>
  <conditionalFormatting sqref="A63:A100">
    <cfRule type="expression" dxfId="5" priority="1">
      <formula>COUNTIF(A63:A986,A63)&gt;1</formula>
    </cfRule>
  </conditionalFormatting>
  <conditionalFormatting sqref="A2:A62">
    <cfRule type="expression" dxfId="5" priority="2">
      <formula>COUNTIF(A2:A986,A2)&gt;1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4499</v>
      </c>
    </row>
    <row r="2">
      <c r="A2" t="s">
        <v>4500</v>
      </c>
      <c r="B2" s="211">
        <v>1.0</v>
      </c>
      <c r="C2" t="str">
        <f t="shared" ref="C2:C18" si="1">VLOOKUP(A2,$G$2:$H$305,2,0)</f>
        <v>FT_C046BK1_M</v>
      </c>
      <c r="G2" s="3" t="s">
        <v>4500</v>
      </c>
    </row>
    <row r="3">
      <c r="A3" t="s">
        <v>4502</v>
      </c>
      <c r="B3" s="211">
        <v>2.0</v>
      </c>
      <c r="C3" t="str">
        <f t="shared" si="1"/>
        <v>FT_C046BR3_M</v>
      </c>
      <c r="G3" s="3" t="s">
        <v>4502</v>
      </c>
    </row>
    <row r="4">
      <c r="A4" t="s">
        <v>4504</v>
      </c>
      <c r="B4" s="211">
        <v>1.0</v>
      </c>
      <c r="C4" t="str">
        <f t="shared" si="1"/>
        <v>FT_C060BK2_M</v>
      </c>
      <c r="G4" s="3" t="s">
        <v>4505</v>
      </c>
    </row>
    <row r="5">
      <c r="A5" t="s">
        <v>4507</v>
      </c>
      <c r="B5" s="211">
        <v>2.0</v>
      </c>
      <c r="C5" t="str">
        <f t="shared" si="1"/>
        <v>FT_C066BR2F_M</v>
      </c>
      <c r="G5" s="3" t="s">
        <v>4508</v>
      </c>
    </row>
    <row r="6">
      <c r="A6" t="s">
        <v>4510</v>
      </c>
      <c r="B6" s="211">
        <v>1.0</v>
      </c>
      <c r="C6" t="str">
        <f t="shared" si="1"/>
        <v>FT_M035BR6_M</v>
      </c>
      <c r="G6" s="3" t="s">
        <v>4511</v>
      </c>
    </row>
    <row r="7">
      <c r="A7" t="s">
        <v>4513</v>
      </c>
      <c r="B7" s="211">
        <v>1.0</v>
      </c>
      <c r="C7" t="str">
        <f t="shared" si="1"/>
        <v>FT_M067BR4_M</v>
      </c>
      <c r="G7" s="3" t="s">
        <v>4504</v>
      </c>
    </row>
    <row r="8">
      <c r="A8" t="s">
        <v>4515</v>
      </c>
      <c r="B8" s="211">
        <v>1.0</v>
      </c>
      <c r="C8" t="str">
        <f t="shared" si="1"/>
        <v>FT_M083BR2F_M</v>
      </c>
      <c r="G8" s="3" t="s">
        <v>4516</v>
      </c>
    </row>
    <row r="9">
      <c r="A9" t="s">
        <v>4518</v>
      </c>
      <c r="B9" s="211">
        <v>3.0</v>
      </c>
      <c r="C9" t="str">
        <f t="shared" si="1"/>
        <v>FT_M101BR3P_M</v>
      </c>
      <c r="G9" s="3" t="s">
        <v>4507</v>
      </c>
    </row>
    <row r="10">
      <c r="A10" t="s">
        <v>4520</v>
      </c>
      <c r="B10" s="211">
        <v>2.0</v>
      </c>
      <c r="C10" t="str">
        <f t="shared" si="1"/>
        <v>FT_M144BR2_M</v>
      </c>
      <c r="G10" s="3" t="s">
        <v>4521</v>
      </c>
    </row>
    <row r="11">
      <c r="A11" t="s">
        <v>4523</v>
      </c>
      <c r="B11" s="211">
        <v>1.0</v>
      </c>
      <c r="C11" t="str">
        <f t="shared" si="1"/>
        <v>FT_M175BR1F_M</v>
      </c>
      <c r="G11" s="3" t="s">
        <v>4524</v>
      </c>
    </row>
    <row r="12">
      <c r="A12" t="s">
        <v>4526</v>
      </c>
      <c r="B12">
        <v>1.0</v>
      </c>
      <c r="C12" t="str">
        <f t="shared" si="1"/>
        <v>FT_P161BR1F_M</v>
      </c>
      <c r="G12" s="3" t="s">
        <v>4527</v>
      </c>
    </row>
    <row r="13">
      <c r="A13" t="s">
        <v>4529</v>
      </c>
      <c r="B13" s="211">
        <v>1.0</v>
      </c>
      <c r="C13" t="str">
        <f t="shared" si="1"/>
        <v>FT_P176BR1FP_M</v>
      </c>
      <c r="G13" s="3" t="s">
        <v>4530</v>
      </c>
    </row>
    <row r="14">
      <c r="A14" t="s">
        <v>4532</v>
      </c>
      <c r="B14" s="211">
        <v>2.0</v>
      </c>
      <c r="C14" t="str">
        <f t="shared" si="1"/>
        <v>FT_P182BK2F_M</v>
      </c>
      <c r="G14" s="3" t="s">
        <v>4510</v>
      </c>
    </row>
    <row r="15">
      <c r="A15" t="s">
        <v>4534</v>
      </c>
      <c r="B15" s="211">
        <v>1.0</v>
      </c>
      <c r="C15" t="str">
        <f t="shared" si="1"/>
        <v>FT_P191PR2F_M</v>
      </c>
      <c r="G15" s="3" t="s">
        <v>4535</v>
      </c>
    </row>
    <row r="16">
      <c r="A16" t="s">
        <v>4537</v>
      </c>
      <c r="B16" s="211">
        <v>1.0</v>
      </c>
      <c r="C16" t="str">
        <f t="shared" si="1"/>
        <v>FT_P203BR1_M</v>
      </c>
      <c r="G16" s="3" t="s">
        <v>4538</v>
      </c>
    </row>
    <row r="17">
      <c r="A17" t="s">
        <v>4539</v>
      </c>
      <c r="B17" s="211">
        <v>1.0</v>
      </c>
      <c r="C17" t="str">
        <f t="shared" si="1"/>
        <v>FT_P218BK1FP_M</v>
      </c>
      <c r="G17" s="3" t="s">
        <v>4540</v>
      </c>
    </row>
    <row r="18">
      <c r="A18" t="s">
        <v>4542</v>
      </c>
      <c r="B18" s="211">
        <v>1.0</v>
      </c>
      <c r="C18" t="str">
        <f t="shared" si="1"/>
        <v>FT_P218BR2FP_M</v>
      </c>
      <c r="G18" s="3" t="s">
        <v>4543</v>
      </c>
    </row>
    <row r="19">
      <c r="A19" t="s">
        <v>4544</v>
      </c>
      <c r="B19" s="211">
        <v>1.0</v>
      </c>
      <c r="C19" t="s">
        <v>4544</v>
      </c>
      <c r="G19" s="3" t="s">
        <v>4513</v>
      </c>
    </row>
    <row r="20">
      <c r="A20" t="s">
        <v>4546</v>
      </c>
      <c r="B20" s="211">
        <v>2.0</v>
      </c>
      <c r="C20" t="str">
        <f t="shared" ref="C20:C25" si="2">VLOOKUP(A20,$G$2:$H$305,2,0)</f>
        <v>FT_P307BK1FP_M</v>
      </c>
      <c r="G20" s="3" t="s">
        <v>4547</v>
      </c>
    </row>
    <row r="21">
      <c r="A21" t="s">
        <v>4549</v>
      </c>
      <c r="B21" s="211">
        <v>1.0</v>
      </c>
      <c r="C21" t="str">
        <f t="shared" si="2"/>
        <v>FT_P308BR3F_M</v>
      </c>
      <c r="G21" s="3" t="s">
        <v>4515</v>
      </c>
    </row>
    <row r="22">
      <c r="A22" t="s">
        <v>4550</v>
      </c>
      <c r="B22" s="211">
        <v>1.0</v>
      </c>
      <c r="C22" t="str">
        <f t="shared" si="2"/>
        <v>FT_P337BR2F_M</v>
      </c>
      <c r="G22" s="3" t="s">
        <v>4551</v>
      </c>
    </row>
    <row r="23">
      <c r="A23" t="s">
        <v>4553</v>
      </c>
      <c r="B23" s="211">
        <v>1.0</v>
      </c>
      <c r="C23" t="str">
        <f t="shared" si="2"/>
        <v>FT_PC001BR23_M</v>
      </c>
      <c r="G23" s="3" t="s">
        <v>4554</v>
      </c>
    </row>
    <row r="24">
      <c r="A24" t="s">
        <v>4556</v>
      </c>
      <c r="B24" s="211">
        <v>1.0</v>
      </c>
      <c r="C24" t="str">
        <f t="shared" si="2"/>
        <v>FT_PC002BK5_M</v>
      </c>
      <c r="G24" s="3" t="s">
        <v>4518</v>
      </c>
    </row>
    <row r="25">
      <c r="A25" s="211" t="s">
        <v>4558</v>
      </c>
      <c r="B25" s="211">
        <v>1.0</v>
      </c>
      <c r="C25" t="str">
        <f t="shared" si="2"/>
        <v>FT_P220BR2F_M</v>
      </c>
      <c r="G25" s="3" t="s">
        <v>4559</v>
      </c>
    </row>
    <row r="26">
      <c r="G26" s="3" t="s">
        <v>4520</v>
      </c>
    </row>
    <row r="27">
      <c r="G27" s="3" t="s">
        <v>4562</v>
      </c>
    </row>
    <row r="28">
      <c r="G28" s="3" t="s">
        <v>4564</v>
      </c>
    </row>
    <row r="29">
      <c r="G29" s="3" t="s">
        <v>4565</v>
      </c>
    </row>
    <row r="30">
      <c r="G30" s="3" t="s">
        <v>4567</v>
      </c>
    </row>
    <row r="31">
      <c r="G31" s="3" t="s">
        <v>4523</v>
      </c>
    </row>
    <row r="32">
      <c r="G32" s="3" t="s">
        <v>4570</v>
      </c>
    </row>
    <row r="33">
      <c r="G33" s="3" t="s">
        <v>4572</v>
      </c>
    </row>
    <row r="34">
      <c r="G34" s="3" t="s">
        <v>4574</v>
      </c>
    </row>
    <row r="35">
      <c r="G35" s="3" t="s">
        <v>4575</v>
      </c>
    </row>
    <row r="36">
      <c r="G36" s="3" t="s">
        <v>4577</v>
      </c>
    </row>
    <row r="37">
      <c r="G37" s="3" t="s">
        <v>4579</v>
      </c>
    </row>
    <row r="38">
      <c r="G38" s="3" t="s">
        <v>4581</v>
      </c>
    </row>
    <row r="39">
      <c r="G39" s="3" t="s">
        <v>4583</v>
      </c>
    </row>
    <row r="40">
      <c r="G40" s="3" t="s">
        <v>4585</v>
      </c>
    </row>
    <row r="41">
      <c r="G41" s="3" t="s">
        <v>4587</v>
      </c>
    </row>
    <row r="42">
      <c r="G42" s="3" t="s">
        <v>4526</v>
      </c>
    </row>
    <row r="43">
      <c r="G43" s="3" t="s">
        <v>4529</v>
      </c>
    </row>
    <row r="44">
      <c r="G44" s="3" t="s">
        <v>4591</v>
      </c>
    </row>
    <row r="45">
      <c r="G45" s="3" t="s">
        <v>4592</v>
      </c>
    </row>
    <row r="46">
      <c r="G46" s="3" t="s">
        <v>4594</v>
      </c>
    </row>
    <row r="47">
      <c r="G47" s="3" t="s">
        <v>4532</v>
      </c>
    </row>
    <row r="48">
      <c r="G48" s="3" t="s">
        <v>4596</v>
      </c>
    </row>
    <row r="49">
      <c r="G49" s="3" t="s">
        <v>4598</v>
      </c>
    </row>
    <row r="50">
      <c r="G50" s="3" t="s">
        <v>4600</v>
      </c>
    </row>
    <row r="51">
      <c r="G51" s="3" t="s">
        <v>4602</v>
      </c>
    </row>
    <row r="52">
      <c r="G52" s="3" t="s">
        <v>4534</v>
      </c>
    </row>
    <row r="53">
      <c r="G53" s="3" t="s">
        <v>4605</v>
      </c>
    </row>
    <row r="54">
      <c r="G54" s="3" t="s">
        <v>4537</v>
      </c>
    </row>
    <row r="55">
      <c r="G55" s="3" t="s">
        <v>4607</v>
      </c>
    </row>
    <row r="56">
      <c r="G56" s="3" t="s">
        <v>4539</v>
      </c>
    </row>
    <row r="57">
      <c r="G57" s="3" t="s">
        <v>4539</v>
      </c>
    </row>
    <row r="58">
      <c r="G58" s="3" t="s">
        <v>4542</v>
      </c>
    </row>
    <row r="59">
      <c r="G59" s="3" t="s">
        <v>4542</v>
      </c>
    </row>
    <row r="60">
      <c r="G60" s="3" t="s">
        <v>4610</v>
      </c>
    </row>
    <row r="61">
      <c r="G61" s="3" t="s">
        <v>4612</v>
      </c>
    </row>
    <row r="62">
      <c r="G62" s="3" t="s">
        <v>4614</v>
      </c>
    </row>
    <row r="63">
      <c r="G63" s="3" t="s">
        <v>4616</v>
      </c>
    </row>
    <row r="64">
      <c r="G64" s="3" t="s">
        <v>4618</v>
      </c>
    </row>
    <row r="65">
      <c r="G65" s="3" t="s">
        <v>4619</v>
      </c>
    </row>
    <row r="66">
      <c r="G66" s="3" t="s">
        <v>4621</v>
      </c>
    </row>
    <row r="67">
      <c r="G67" s="3" t="s">
        <v>4623</v>
      </c>
    </row>
    <row r="68">
      <c r="G68" s="3" t="s">
        <v>4546</v>
      </c>
    </row>
    <row r="69">
      <c r="G69" s="3" t="s">
        <v>4549</v>
      </c>
    </row>
    <row r="70">
      <c r="G70" s="3" t="s">
        <v>4627</v>
      </c>
    </row>
    <row r="71">
      <c r="G71" s="3" t="s">
        <v>4629</v>
      </c>
    </row>
    <row r="72">
      <c r="G72" s="3" t="s">
        <v>4631</v>
      </c>
    </row>
    <row r="73">
      <c r="G73" s="3" t="s">
        <v>4633</v>
      </c>
    </row>
    <row r="74">
      <c r="G74" s="3" t="s">
        <v>4635</v>
      </c>
    </row>
    <row r="75">
      <c r="G75" s="3" t="s">
        <v>4637</v>
      </c>
    </row>
    <row r="76">
      <c r="G76" s="3" t="s">
        <v>4638</v>
      </c>
    </row>
    <row r="77">
      <c r="G77" s="3" t="s">
        <v>4640</v>
      </c>
    </row>
    <row r="78">
      <c r="G78" s="3" t="s">
        <v>4642</v>
      </c>
    </row>
    <row r="79">
      <c r="G79" s="3" t="s">
        <v>4550</v>
      </c>
    </row>
    <row r="80">
      <c r="G80" s="3" t="s">
        <v>4645</v>
      </c>
    </row>
    <row r="81">
      <c r="G81" s="3" t="s">
        <v>4647</v>
      </c>
    </row>
    <row r="82">
      <c r="G82" s="3" t="s">
        <v>4649</v>
      </c>
    </row>
    <row r="83">
      <c r="G83" s="3" t="s">
        <v>4651</v>
      </c>
    </row>
    <row r="84">
      <c r="G84" s="3" t="s">
        <v>4653</v>
      </c>
    </row>
    <row r="85">
      <c r="G85" s="3" t="s">
        <v>4655</v>
      </c>
    </row>
    <row r="86">
      <c r="G86" s="3" t="s">
        <v>4657</v>
      </c>
    </row>
    <row r="87">
      <c r="G87" s="3" t="s">
        <v>4553</v>
      </c>
    </row>
    <row r="88">
      <c r="G88" s="3" t="s">
        <v>4660</v>
      </c>
    </row>
    <row r="89">
      <c r="G89" s="3" t="s">
        <v>4661</v>
      </c>
    </row>
    <row r="90">
      <c r="G90" s="3" t="s">
        <v>4663</v>
      </c>
    </row>
    <row r="91">
      <c r="G91" s="3" t="s">
        <v>4556</v>
      </c>
    </row>
    <row r="92">
      <c r="G92" s="3" t="s">
        <v>4666</v>
      </c>
    </row>
    <row r="93">
      <c r="G93" s="3" t="s">
        <v>4668</v>
      </c>
    </row>
    <row r="94">
      <c r="G94" s="3" t="s">
        <v>4670</v>
      </c>
    </row>
    <row r="95">
      <c r="G95" s="3" t="s">
        <v>4672</v>
      </c>
    </row>
    <row r="96">
      <c r="G96" s="3" t="s">
        <v>4673</v>
      </c>
    </row>
    <row r="97">
      <c r="G97" s="3" t="s">
        <v>4675</v>
      </c>
    </row>
    <row r="98">
      <c r="G98" s="3" t="s">
        <v>4677</v>
      </c>
    </row>
    <row r="99">
      <c r="G99" s="3" t="s">
        <v>4679</v>
      </c>
    </row>
    <row r="100">
      <c r="G100" s="3" t="s">
        <v>4681</v>
      </c>
    </row>
    <row r="101">
      <c r="G101" s="3" t="s">
        <v>4683</v>
      </c>
    </row>
    <row r="102">
      <c r="G102" s="3" t="s">
        <v>4685</v>
      </c>
    </row>
    <row r="103">
      <c r="G103" s="3" t="s">
        <v>4687</v>
      </c>
    </row>
    <row r="104">
      <c r="G104" s="3" t="s">
        <v>4688</v>
      </c>
    </row>
    <row r="105">
      <c r="G105" s="3" t="s">
        <v>4690</v>
      </c>
    </row>
    <row r="106">
      <c r="G106" s="3" t="s">
        <v>4691</v>
      </c>
    </row>
    <row r="107">
      <c r="G107" s="3" t="s">
        <v>4693</v>
      </c>
    </row>
    <row r="108">
      <c r="G108" s="3" t="s">
        <v>4695</v>
      </c>
    </row>
    <row r="109">
      <c r="G109" s="3" t="s">
        <v>4697</v>
      </c>
    </row>
    <row r="110">
      <c r="G110" s="3" t="s">
        <v>4699</v>
      </c>
    </row>
    <row r="111">
      <c r="G111" s="3" t="s">
        <v>4701</v>
      </c>
    </row>
    <row r="112">
      <c r="G112" s="3" t="s">
        <v>4703</v>
      </c>
    </row>
    <row r="113">
      <c r="G113" s="3" t="s">
        <v>4704</v>
      </c>
    </row>
    <row r="114">
      <c r="G114" s="3" t="s">
        <v>4706</v>
      </c>
    </row>
    <row r="115">
      <c r="G115" s="3" t="s">
        <v>4708</v>
      </c>
    </row>
    <row r="116">
      <c r="G116" s="3" t="s">
        <v>4710</v>
      </c>
    </row>
    <row r="117">
      <c r="G117" s="3" t="s">
        <v>4712</v>
      </c>
    </row>
    <row r="118">
      <c r="G118" s="3" t="s">
        <v>4713</v>
      </c>
    </row>
    <row r="119">
      <c r="G119" s="3" t="s">
        <v>4715</v>
      </c>
    </row>
    <row r="120">
      <c r="G120" s="3" t="s">
        <v>4717</v>
      </c>
    </row>
    <row r="121">
      <c r="G121" s="3" t="s">
        <v>4719</v>
      </c>
    </row>
    <row r="122">
      <c r="G122" s="3" t="s">
        <v>4721</v>
      </c>
    </row>
    <row r="123">
      <c r="G123" s="3" t="s">
        <v>4723</v>
      </c>
    </row>
    <row r="124">
      <c r="G124" s="3" t="s">
        <v>4725</v>
      </c>
    </row>
    <row r="125">
      <c r="G125" s="3" t="s">
        <v>4727</v>
      </c>
    </row>
    <row r="126">
      <c r="G126" s="3" t="s">
        <v>4729</v>
      </c>
    </row>
    <row r="127">
      <c r="G127" s="3" t="s">
        <v>4731</v>
      </c>
    </row>
    <row r="128">
      <c r="G128" s="3" t="s">
        <v>4733</v>
      </c>
    </row>
    <row r="129">
      <c r="G129" s="3" t="s">
        <v>4735</v>
      </c>
    </row>
    <row r="130">
      <c r="G130" s="3" t="s">
        <v>4737</v>
      </c>
    </row>
    <row r="131">
      <c r="G131" s="3" t="s">
        <v>4739</v>
      </c>
    </row>
    <row r="132">
      <c r="G132" s="3" t="s">
        <v>4741</v>
      </c>
    </row>
    <row r="133">
      <c r="G133" s="3" t="s">
        <v>4743</v>
      </c>
    </row>
    <row r="134">
      <c r="G134" s="3" t="s">
        <v>4745</v>
      </c>
    </row>
    <row r="135">
      <c r="G135" s="3" t="s">
        <v>4747</v>
      </c>
    </row>
    <row r="136">
      <c r="G136" s="3" t="s">
        <v>4749</v>
      </c>
    </row>
    <row r="137">
      <c r="G137" s="3" t="s">
        <v>4751</v>
      </c>
    </row>
    <row r="138">
      <c r="G138" s="3" t="s">
        <v>4753</v>
      </c>
    </row>
    <row r="139">
      <c r="G139" s="3" t="s">
        <v>4755</v>
      </c>
    </row>
    <row r="140">
      <c r="G140" s="3" t="s">
        <v>4757</v>
      </c>
    </row>
    <row r="141">
      <c r="G141" s="3" t="s">
        <v>4759</v>
      </c>
    </row>
    <row r="142">
      <c r="G142" s="3" t="s">
        <v>4761</v>
      </c>
    </row>
    <row r="143">
      <c r="G143" s="3" t="s">
        <v>4763</v>
      </c>
    </row>
    <row r="144">
      <c r="G144" s="3" t="s">
        <v>4765</v>
      </c>
    </row>
    <row r="145">
      <c r="G145" s="3" t="s">
        <v>4767</v>
      </c>
    </row>
    <row r="146">
      <c r="G146" s="3" t="s">
        <v>4769</v>
      </c>
    </row>
    <row r="147">
      <c r="G147" s="3" t="s">
        <v>4771</v>
      </c>
    </row>
    <row r="148">
      <c r="G148" s="3" t="s">
        <v>4773</v>
      </c>
    </row>
    <row r="149">
      <c r="G149" s="3" t="s">
        <v>4775</v>
      </c>
    </row>
    <row r="150">
      <c r="G150" s="3" t="s">
        <v>4777</v>
      </c>
    </row>
    <row r="151">
      <c r="G151" s="3" t="s">
        <v>4779</v>
      </c>
    </row>
    <row r="152">
      <c r="G152" s="3" t="s">
        <v>4781</v>
      </c>
    </row>
    <row r="153">
      <c r="G153" s="3" t="s">
        <v>4783</v>
      </c>
    </row>
    <row r="154">
      <c r="G154" s="3" t="s">
        <v>4785</v>
      </c>
    </row>
    <row r="155">
      <c r="G155" s="3" t="s">
        <v>4787</v>
      </c>
    </row>
    <row r="156">
      <c r="G156" s="3" t="s">
        <v>4788</v>
      </c>
    </row>
    <row r="157">
      <c r="G157" s="3" t="s">
        <v>4790</v>
      </c>
    </row>
    <row r="158">
      <c r="G158" s="3" t="s">
        <v>4791</v>
      </c>
    </row>
    <row r="159">
      <c r="G159" s="3" t="s">
        <v>4793</v>
      </c>
    </row>
    <row r="160">
      <c r="G160" s="3" t="s">
        <v>4794</v>
      </c>
    </row>
    <row r="161">
      <c r="G161" s="3" t="s">
        <v>4796</v>
      </c>
    </row>
    <row r="162">
      <c r="G162" s="3" t="s">
        <v>4797</v>
      </c>
    </row>
    <row r="163">
      <c r="G163" s="3" t="s">
        <v>4799</v>
      </c>
    </row>
    <row r="164">
      <c r="G164" s="3" t="s">
        <v>4801</v>
      </c>
    </row>
    <row r="165">
      <c r="G165" s="3" t="s">
        <v>4803</v>
      </c>
    </row>
    <row r="166">
      <c r="G166" s="3" t="s">
        <v>4805</v>
      </c>
    </row>
    <row r="167">
      <c r="G167" s="3" t="s">
        <v>4807</v>
      </c>
    </row>
    <row r="168">
      <c r="G168" s="3" t="s">
        <v>4809</v>
      </c>
    </row>
    <row r="169">
      <c r="G169" s="3" t="s">
        <v>4811</v>
      </c>
    </row>
    <row r="170">
      <c r="G170" s="3" t="s">
        <v>4813</v>
      </c>
    </row>
    <row r="171">
      <c r="G171" s="3" t="s">
        <v>4815</v>
      </c>
    </row>
    <row r="172">
      <c r="G172" s="3" t="s">
        <v>4817</v>
      </c>
    </row>
    <row r="173">
      <c r="G173" s="3" t="s">
        <v>4819</v>
      </c>
    </row>
    <row r="174">
      <c r="G174" s="3" t="s">
        <v>4821</v>
      </c>
    </row>
    <row r="175">
      <c r="G175" s="3" t="s">
        <v>4823</v>
      </c>
    </row>
    <row r="176">
      <c r="G176" s="3" t="s">
        <v>4825</v>
      </c>
    </row>
    <row r="177">
      <c r="G177" s="3" t="s">
        <v>4827</v>
      </c>
    </row>
    <row r="178">
      <c r="G178" s="3" t="s">
        <v>4829</v>
      </c>
    </row>
    <row r="179">
      <c r="G179" s="3" t="s">
        <v>4830</v>
      </c>
    </row>
    <row r="180">
      <c r="G180" s="3" t="s">
        <v>4832</v>
      </c>
    </row>
    <row r="181">
      <c r="G181" s="3" t="s">
        <v>4834</v>
      </c>
    </row>
    <row r="182">
      <c r="G182" s="3" t="s">
        <v>4836</v>
      </c>
    </row>
    <row r="183">
      <c r="G183" s="3" t="s">
        <v>4838</v>
      </c>
    </row>
    <row r="184">
      <c r="G184" s="3" t="s">
        <v>4558</v>
      </c>
    </row>
    <row r="185">
      <c r="G185" s="3" t="s">
        <v>4841</v>
      </c>
    </row>
    <row r="186">
      <c r="G186" s="3" t="s">
        <v>4843</v>
      </c>
    </row>
    <row r="187">
      <c r="G187" s="3" t="s">
        <v>4845</v>
      </c>
    </row>
    <row r="188">
      <c r="G188" s="3" t="s">
        <v>4846</v>
      </c>
    </row>
    <row r="189">
      <c r="G189" s="3" t="s">
        <v>4848</v>
      </c>
    </row>
    <row r="190">
      <c r="G190" s="3" t="s">
        <v>4850</v>
      </c>
    </row>
    <row r="191">
      <c r="G191" s="3" t="s">
        <v>4852</v>
      </c>
    </row>
    <row r="192">
      <c r="G192" s="3" t="s">
        <v>4853</v>
      </c>
    </row>
    <row r="193">
      <c r="G193" s="3" t="s">
        <v>4855</v>
      </c>
    </row>
    <row r="194">
      <c r="G194" s="3" t="s">
        <v>4857</v>
      </c>
    </row>
    <row r="195">
      <c r="G195" s="3" t="s">
        <v>4859</v>
      </c>
    </row>
    <row r="196">
      <c r="G196" s="3" t="s">
        <v>4861</v>
      </c>
    </row>
    <row r="197">
      <c r="G197" s="3" t="s">
        <v>4863</v>
      </c>
    </row>
    <row r="198">
      <c r="G198" s="3" t="s">
        <v>4865</v>
      </c>
    </row>
    <row r="199">
      <c r="G199" s="3" t="s">
        <v>4867</v>
      </c>
    </row>
    <row r="200">
      <c r="G200" s="3" t="s">
        <v>4868</v>
      </c>
    </row>
    <row r="201">
      <c r="G201" s="3" t="s">
        <v>4870</v>
      </c>
    </row>
    <row r="202">
      <c r="G202" s="3" t="s">
        <v>4872</v>
      </c>
    </row>
    <row r="203">
      <c r="G203" s="3" t="s">
        <v>4874</v>
      </c>
    </row>
    <row r="204">
      <c r="G204" s="3" t="s">
        <v>4876</v>
      </c>
    </row>
    <row r="205">
      <c r="G205" s="3" t="s">
        <v>4878</v>
      </c>
    </row>
    <row r="206">
      <c r="G206" s="3" t="s">
        <v>4880</v>
      </c>
    </row>
    <row r="207">
      <c r="G207" s="3" t="s">
        <v>4882</v>
      </c>
    </row>
    <row r="208">
      <c r="G208" s="3" t="s">
        <v>4884</v>
      </c>
    </row>
    <row r="209">
      <c r="G209" s="3" t="s">
        <v>4886</v>
      </c>
    </row>
    <row r="210">
      <c r="G210" s="3" t="s">
        <v>4888</v>
      </c>
    </row>
    <row r="211">
      <c r="G211" s="3" t="s">
        <v>4890</v>
      </c>
    </row>
    <row r="212">
      <c r="G212" s="3" t="s">
        <v>4892</v>
      </c>
    </row>
    <row r="213">
      <c r="G213" s="3" t="s">
        <v>4894</v>
      </c>
    </row>
    <row r="214">
      <c r="G214" s="3" t="s">
        <v>4896</v>
      </c>
    </row>
    <row r="215">
      <c r="G215" s="3" t="s">
        <v>4898</v>
      </c>
    </row>
    <row r="216">
      <c r="G216" s="3" t="s">
        <v>4900</v>
      </c>
    </row>
    <row r="217">
      <c r="G217" s="3" t="s">
        <v>4902</v>
      </c>
    </row>
    <row r="218">
      <c r="G218" s="3" t="s">
        <v>4904</v>
      </c>
    </row>
    <row r="219">
      <c r="G219" s="3" t="s">
        <v>4905</v>
      </c>
    </row>
    <row r="220">
      <c r="G220" s="3" t="s">
        <v>4907</v>
      </c>
    </row>
    <row r="221">
      <c r="G221" s="3" t="s">
        <v>4909</v>
      </c>
    </row>
    <row r="222">
      <c r="G222" s="3" t="s">
        <v>4911</v>
      </c>
    </row>
    <row r="223">
      <c r="G223" s="3" t="s">
        <v>4913</v>
      </c>
    </row>
    <row r="224">
      <c r="G224" s="3" t="s">
        <v>4915</v>
      </c>
    </row>
    <row r="225">
      <c r="G225" s="3" t="s">
        <v>4917</v>
      </c>
    </row>
    <row r="226">
      <c r="G226" s="3" t="s">
        <v>4918</v>
      </c>
    </row>
    <row r="227">
      <c r="G227" s="3" t="s">
        <v>4920</v>
      </c>
    </row>
    <row r="228">
      <c r="G228" s="3" t="s">
        <v>4921</v>
      </c>
    </row>
    <row r="229">
      <c r="G229" s="3" t="s">
        <v>4923</v>
      </c>
    </row>
    <row r="230">
      <c r="G230" s="3" t="s">
        <v>4925</v>
      </c>
    </row>
    <row r="231">
      <c r="G231" s="3" t="s">
        <v>4927</v>
      </c>
    </row>
    <row r="232">
      <c r="G232" s="3" t="s">
        <v>4929</v>
      </c>
    </row>
    <row r="233">
      <c r="G233" s="3" t="s">
        <v>4931</v>
      </c>
    </row>
    <row r="234">
      <c r="G234" s="3" t="s">
        <v>4933</v>
      </c>
    </row>
    <row r="235">
      <c r="G235" s="3" t="s">
        <v>4935</v>
      </c>
    </row>
    <row r="236">
      <c r="G236" s="3" t="s">
        <v>4937</v>
      </c>
    </row>
    <row r="237">
      <c r="G237" s="3" t="s">
        <v>4939</v>
      </c>
    </row>
    <row r="238">
      <c r="G238" s="3" t="s">
        <v>4941</v>
      </c>
    </row>
    <row r="239">
      <c r="G239" s="3" t="s">
        <v>4943</v>
      </c>
    </row>
    <row r="240">
      <c r="G240" s="3" t="s">
        <v>4945</v>
      </c>
    </row>
    <row r="241">
      <c r="G241" s="3" t="s">
        <v>4947</v>
      </c>
    </row>
    <row r="242">
      <c r="G242" s="3" t="s">
        <v>4949</v>
      </c>
    </row>
    <row r="243">
      <c r="G243" s="3" t="s">
        <v>4951</v>
      </c>
    </row>
    <row r="244">
      <c r="G244" s="3" t="s">
        <v>4953</v>
      </c>
    </row>
    <row r="245">
      <c r="G245" s="3" t="s">
        <v>4955</v>
      </c>
    </row>
    <row r="246">
      <c r="G246" s="3" t="s">
        <v>4957</v>
      </c>
    </row>
    <row r="247">
      <c r="G247" s="3" t="s">
        <v>4959</v>
      </c>
    </row>
    <row r="248">
      <c r="G248" s="3" t="s">
        <v>4961</v>
      </c>
    </row>
    <row r="249">
      <c r="G249" s="3" t="s">
        <v>4963</v>
      </c>
    </row>
    <row r="250">
      <c r="G250" s="3" t="s">
        <v>4965</v>
      </c>
    </row>
    <row r="251">
      <c r="G251" s="3" t="s">
        <v>4967</v>
      </c>
    </row>
    <row r="252">
      <c r="G252" s="3" t="s">
        <v>4969</v>
      </c>
    </row>
    <row r="253">
      <c r="G253" s="3" t="s">
        <v>4971</v>
      </c>
    </row>
    <row r="254">
      <c r="G254" s="3" t="s">
        <v>4973</v>
      </c>
    </row>
    <row r="255">
      <c r="G255" s="3" t="s">
        <v>4975</v>
      </c>
    </row>
    <row r="256">
      <c r="G256" s="3" t="s">
        <v>4977</v>
      </c>
    </row>
    <row r="257">
      <c r="G257" s="3" t="s">
        <v>4978</v>
      </c>
    </row>
    <row r="258">
      <c r="G258" s="3" t="s">
        <v>4980</v>
      </c>
    </row>
    <row r="259">
      <c r="G259" s="3" t="s">
        <v>4982</v>
      </c>
    </row>
    <row r="260">
      <c r="G260" s="3" t="s">
        <v>4984</v>
      </c>
    </row>
    <row r="261">
      <c r="G261" s="3" t="s">
        <v>4986</v>
      </c>
    </row>
    <row r="262">
      <c r="G262" s="3" t="s">
        <v>4988</v>
      </c>
    </row>
    <row r="263">
      <c r="G263" s="3" t="s">
        <v>4990</v>
      </c>
    </row>
    <row r="264">
      <c r="G264" s="3" t="s">
        <v>4992</v>
      </c>
    </row>
    <row r="265">
      <c r="G265" s="3" t="s">
        <v>4994</v>
      </c>
    </row>
    <row r="266">
      <c r="G266" s="3" t="s">
        <v>4996</v>
      </c>
    </row>
    <row r="267">
      <c r="G267" s="3" t="s">
        <v>4998</v>
      </c>
    </row>
    <row r="268">
      <c r="G268" s="3" t="s">
        <v>5000</v>
      </c>
    </row>
    <row r="269">
      <c r="G269" s="3" t="s">
        <v>5002</v>
      </c>
    </row>
    <row r="270">
      <c r="G270" s="3" t="s">
        <v>5004</v>
      </c>
    </row>
    <row r="271">
      <c r="G271" s="3" t="s">
        <v>5006</v>
      </c>
    </row>
    <row r="272">
      <c r="G272" s="3" t="s">
        <v>5008</v>
      </c>
    </row>
    <row r="273">
      <c r="G273" s="3" t="s">
        <v>5010</v>
      </c>
    </row>
    <row r="274">
      <c r="G274" s="3" t="s">
        <v>5012</v>
      </c>
    </row>
    <row r="275">
      <c r="G275" s="3" t="s">
        <v>5014</v>
      </c>
    </row>
    <row r="276">
      <c r="G276" s="3" t="s">
        <v>5016</v>
      </c>
    </row>
    <row r="277">
      <c r="G277" s="3" t="s">
        <v>5018</v>
      </c>
    </row>
    <row r="278">
      <c r="G278" s="3" t="s">
        <v>5020</v>
      </c>
    </row>
    <row r="279">
      <c r="G279" s="3" t="s">
        <v>5022</v>
      </c>
    </row>
    <row r="280">
      <c r="G280" s="3" t="s">
        <v>5024</v>
      </c>
    </row>
    <row r="281">
      <c r="G281" s="3" t="s">
        <v>5026</v>
      </c>
    </row>
    <row r="282">
      <c r="G282" s="3" t="s">
        <v>5028</v>
      </c>
    </row>
    <row r="283">
      <c r="G283" s="3" t="s">
        <v>5030</v>
      </c>
    </row>
    <row r="284">
      <c r="G284" s="3" t="s">
        <v>5032</v>
      </c>
    </row>
    <row r="285">
      <c r="G285" s="3" t="s">
        <v>5034</v>
      </c>
    </row>
    <row r="286">
      <c r="G286" s="3" t="s">
        <v>5036</v>
      </c>
    </row>
    <row r="287">
      <c r="G287" s="3" t="s">
        <v>5038</v>
      </c>
    </row>
    <row r="288">
      <c r="G288" s="3" t="s">
        <v>5040</v>
      </c>
    </row>
    <row r="289">
      <c r="G289" s="3" t="s">
        <v>5042</v>
      </c>
    </row>
    <row r="290">
      <c r="G290" s="3" t="s">
        <v>5044</v>
      </c>
    </row>
    <row r="291">
      <c r="G291" s="3" t="s">
        <v>5046</v>
      </c>
    </row>
    <row r="292">
      <c r="G292" s="3" t="s">
        <v>5047</v>
      </c>
    </row>
    <row r="293">
      <c r="G293" s="3" t="s">
        <v>5048</v>
      </c>
    </row>
    <row r="294">
      <c r="G294" s="3" t="s">
        <v>5049</v>
      </c>
    </row>
    <row r="295">
      <c r="G295" s="3" t="s">
        <v>5051</v>
      </c>
    </row>
    <row r="296">
      <c r="G296" s="3" t="s">
        <v>5053</v>
      </c>
    </row>
    <row r="297">
      <c r="G297" s="3" t="s">
        <v>5055</v>
      </c>
    </row>
    <row r="298">
      <c r="G298" s="3" t="s">
        <v>5057</v>
      </c>
    </row>
    <row r="299">
      <c r="G299" s="3" t="s">
        <v>5059</v>
      </c>
    </row>
    <row r="300">
      <c r="G300" s="3" t="s">
        <v>5061</v>
      </c>
    </row>
    <row r="301">
      <c r="G301" s="3" t="s">
        <v>5063</v>
      </c>
    </row>
    <row r="302">
      <c r="G302" s="3" t="s">
        <v>5065</v>
      </c>
    </row>
    <row r="303">
      <c r="G303" s="3" t="s">
        <v>5067</v>
      </c>
    </row>
    <row r="304">
      <c r="G304" s="3" t="s">
        <v>5069</v>
      </c>
    </row>
    <row r="305">
      <c r="G305" s="3" t="s">
        <v>5071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21.75"/>
    <col customWidth="1" min="4" max="130" width="18.88"/>
  </cols>
  <sheetData>
    <row r="1">
      <c r="A1" s="212"/>
      <c r="B1" s="24" t="s">
        <v>5073</v>
      </c>
      <c r="C1" s="24" t="s">
        <v>5074</v>
      </c>
      <c r="D1" s="213" t="s">
        <v>5075</v>
      </c>
      <c r="E1" s="24" t="s">
        <v>747</v>
      </c>
      <c r="F1" t="s">
        <v>5076</v>
      </c>
      <c r="G1" s="24" t="s">
        <v>5077</v>
      </c>
    </row>
    <row r="2">
      <c r="A2" s="217">
        <v>43083.6390625</v>
      </c>
      <c r="B2" s="218" t="s">
        <v>5092</v>
      </c>
      <c r="C2" s="218" t="s">
        <v>5093</v>
      </c>
      <c r="D2" s="219">
        <v>2.0</v>
      </c>
      <c r="E2" s="218">
        <v>6990.0</v>
      </c>
      <c r="F2" s="3" t="s">
        <v>5094</v>
      </c>
      <c r="G2" s="220">
        <v>43083.0</v>
      </c>
    </row>
    <row r="3">
      <c r="A3" s="217">
        <v>43083.64117313657</v>
      </c>
      <c r="B3" s="218" t="s">
        <v>5092</v>
      </c>
      <c r="C3" s="218" t="s">
        <v>5093</v>
      </c>
      <c r="D3" s="219">
        <v>1.0</v>
      </c>
      <c r="E3" s="218">
        <v>7090.0</v>
      </c>
      <c r="F3" s="3" t="s">
        <v>5094</v>
      </c>
      <c r="G3" s="220">
        <v>43083.0</v>
      </c>
    </row>
    <row r="4">
      <c r="A4" s="217">
        <v>43083.643187800924</v>
      </c>
      <c r="B4" s="218" t="s">
        <v>5092</v>
      </c>
      <c r="C4" s="218" t="s">
        <v>1792</v>
      </c>
      <c r="D4" s="219">
        <v>2.0</v>
      </c>
      <c r="E4" s="218">
        <v>6990.0</v>
      </c>
      <c r="F4" s="3" t="s">
        <v>5094</v>
      </c>
      <c r="G4" s="220">
        <v>43083.0</v>
      </c>
    </row>
    <row r="5">
      <c r="A5" s="217">
        <v>43083.64555797454</v>
      </c>
      <c r="B5" s="218" t="s">
        <v>5092</v>
      </c>
      <c r="C5" s="218" t="s">
        <v>5098</v>
      </c>
      <c r="D5" s="219">
        <v>1.0</v>
      </c>
      <c r="E5" s="218">
        <v>7490.0</v>
      </c>
      <c r="F5" s="3" t="s">
        <v>5094</v>
      </c>
      <c r="G5" s="220">
        <v>43083.0</v>
      </c>
    </row>
    <row r="6">
      <c r="A6" s="217">
        <v>43083.648636412036</v>
      </c>
      <c r="B6" s="218" t="s">
        <v>5092</v>
      </c>
      <c r="C6" s="218" t="s">
        <v>5100</v>
      </c>
      <c r="D6" s="219">
        <v>1.0</v>
      </c>
      <c r="E6" s="218">
        <v>7490.0</v>
      </c>
      <c r="F6" s="3" t="s">
        <v>5094</v>
      </c>
      <c r="G6" s="220">
        <v>43083.0</v>
      </c>
    </row>
    <row r="7">
      <c r="A7" s="217">
        <v>43083.653983888886</v>
      </c>
      <c r="B7" s="218" t="s">
        <v>5092</v>
      </c>
      <c r="C7" s="218" t="s">
        <v>1808</v>
      </c>
      <c r="D7" s="219">
        <v>2.0</v>
      </c>
      <c r="E7" s="218">
        <v>7690.0</v>
      </c>
      <c r="F7" s="3" t="s">
        <v>5094</v>
      </c>
      <c r="G7" s="220">
        <v>43083.0</v>
      </c>
    </row>
    <row r="8">
      <c r="A8" s="217">
        <v>43083.67229539352</v>
      </c>
      <c r="B8" s="218" t="s">
        <v>5092</v>
      </c>
      <c r="C8" s="218" t="s">
        <v>5102</v>
      </c>
      <c r="D8" s="219">
        <v>1.0</v>
      </c>
      <c r="E8" s="218">
        <v>6490.0</v>
      </c>
      <c r="F8" s="3" t="s">
        <v>5094</v>
      </c>
      <c r="G8" s="220">
        <v>43083.0</v>
      </c>
    </row>
    <row r="9">
      <c r="A9" s="217">
        <v>43083.67848012732</v>
      </c>
      <c r="B9" s="218" t="s">
        <v>5092</v>
      </c>
      <c r="C9" s="218" t="s">
        <v>1813</v>
      </c>
      <c r="D9" s="219">
        <v>1.0</v>
      </c>
      <c r="E9" s="218">
        <v>6490.0</v>
      </c>
      <c r="F9" s="3" t="s">
        <v>5094</v>
      </c>
      <c r="G9" s="220">
        <v>43083.0</v>
      </c>
    </row>
    <row r="10">
      <c r="A10" s="217">
        <v>43083.68149216435</v>
      </c>
      <c r="B10" s="218" t="s">
        <v>5092</v>
      </c>
      <c r="C10" s="218" t="s">
        <v>1813</v>
      </c>
      <c r="D10" s="219">
        <v>2.0</v>
      </c>
      <c r="E10" s="218">
        <v>8190.0</v>
      </c>
      <c r="F10" s="3" t="s">
        <v>5094</v>
      </c>
      <c r="G10" s="220">
        <v>43083.0</v>
      </c>
    </row>
    <row r="11">
      <c r="A11" s="217">
        <v>43083.68653394676</v>
      </c>
      <c r="B11" s="218" t="s">
        <v>5092</v>
      </c>
      <c r="C11" s="218" t="s">
        <v>5103</v>
      </c>
      <c r="D11" s="219">
        <v>1.0</v>
      </c>
      <c r="E11" s="218">
        <v>7490.0</v>
      </c>
      <c r="F11" s="3" t="s">
        <v>5094</v>
      </c>
      <c r="G11" s="220">
        <v>43083.0</v>
      </c>
    </row>
    <row r="12">
      <c r="A12" s="217">
        <v>43083.688410208335</v>
      </c>
      <c r="B12" s="218" t="s">
        <v>5092</v>
      </c>
      <c r="C12" s="218" t="s">
        <v>1815</v>
      </c>
      <c r="D12" s="219">
        <v>2.0</v>
      </c>
      <c r="E12" s="218">
        <v>6490.0</v>
      </c>
      <c r="F12" s="3" t="s">
        <v>5094</v>
      </c>
      <c r="G12" s="220">
        <v>43083.0</v>
      </c>
    </row>
    <row r="13" ht="15.0" customHeight="1">
      <c r="A13" s="217">
        <v>43083.69559782407</v>
      </c>
      <c r="B13" s="218" t="s">
        <v>5092</v>
      </c>
      <c r="C13" s="218" t="s">
        <v>1824</v>
      </c>
      <c r="D13" s="219">
        <v>3.0</v>
      </c>
      <c r="E13" s="218">
        <v>6490.0</v>
      </c>
      <c r="F13" s="3" t="s">
        <v>5094</v>
      </c>
      <c r="G13" s="220">
        <v>43083.0</v>
      </c>
    </row>
    <row r="14">
      <c r="A14" s="217">
        <v>43083.698340601855</v>
      </c>
      <c r="B14" s="218" t="s">
        <v>5092</v>
      </c>
      <c r="C14" s="218" t="s">
        <v>1824</v>
      </c>
      <c r="D14" s="219">
        <v>1.0</v>
      </c>
      <c r="E14" s="218">
        <v>6490.0</v>
      </c>
      <c r="F14" s="3" t="s">
        <v>5105</v>
      </c>
      <c r="G14" s="220">
        <v>43083.0</v>
      </c>
    </row>
    <row r="15">
      <c r="A15" s="217">
        <v>43083.70997144676</v>
      </c>
      <c r="B15" s="218" t="s">
        <v>5092</v>
      </c>
      <c r="C15" s="218" t="s">
        <v>5106</v>
      </c>
      <c r="D15" s="219">
        <v>1.0</v>
      </c>
      <c r="E15" s="218">
        <v>6990.0</v>
      </c>
      <c r="F15" s="3" t="s">
        <v>5105</v>
      </c>
      <c r="G15" s="220">
        <v>43083.0</v>
      </c>
    </row>
    <row r="16">
      <c r="A16" s="217">
        <v>43083.7158100463</v>
      </c>
      <c r="B16" s="218" t="s">
        <v>5092</v>
      </c>
      <c r="C16" s="218" t="s">
        <v>5107</v>
      </c>
      <c r="D16" s="219">
        <v>1.0</v>
      </c>
      <c r="E16" s="218">
        <v>9890.0</v>
      </c>
      <c r="F16" s="3" t="s">
        <v>5105</v>
      </c>
      <c r="G16" s="220">
        <v>43083.0</v>
      </c>
    </row>
    <row r="17">
      <c r="A17" s="217">
        <v>43083.72124387731</v>
      </c>
      <c r="B17" s="218" t="s">
        <v>5092</v>
      </c>
      <c r="C17" s="218" t="s">
        <v>1829</v>
      </c>
      <c r="D17" s="219">
        <v>1.0</v>
      </c>
      <c r="E17" s="218">
        <v>7990.0</v>
      </c>
      <c r="F17" s="3" t="s">
        <v>5105</v>
      </c>
      <c r="G17" s="220">
        <v>43083.0</v>
      </c>
    </row>
    <row r="18">
      <c r="A18" s="217">
        <v>43084.582657673614</v>
      </c>
      <c r="B18" s="218" t="s">
        <v>5092</v>
      </c>
      <c r="C18" s="218" t="s">
        <v>5109</v>
      </c>
      <c r="D18" s="219">
        <v>1.0</v>
      </c>
      <c r="E18" s="218">
        <v>6990.0</v>
      </c>
      <c r="F18" s="3" t="s">
        <v>5105</v>
      </c>
      <c r="G18" s="220">
        <v>43084.0</v>
      </c>
    </row>
    <row r="19">
      <c r="A19" s="217">
        <v>43084.58421523148</v>
      </c>
      <c r="B19" s="218" t="s">
        <v>5092</v>
      </c>
      <c r="C19" s="218" t="s">
        <v>1832</v>
      </c>
      <c r="D19" s="219">
        <v>2.0</v>
      </c>
      <c r="E19" s="218">
        <v>5990.0</v>
      </c>
      <c r="F19" s="3" t="s">
        <v>5105</v>
      </c>
      <c r="G19" s="220">
        <v>43084.0</v>
      </c>
    </row>
    <row r="20">
      <c r="A20" s="217">
        <v>43084.5860740162</v>
      </c>
      <c r="B20" s="218" t="s">
        <v>5092</v>
      </c>
      <c r="C20" s="218" t="s">
        <v>5110</v>
      </c>
      <c r="D20" s="219">
        <v>2.0</v>
      </c>
      <c r="E20" s="218">
        <v>5990.0</v>
      </c>
      <c r="F20" s="3" t="s">
        <v>5105</v>
      </c>
      <c r="G20" s="220">
        <v>43084.0</v>
      </c>
    </row>
    <row r="21">
      <c r="A21" s="217">
        <v>43084.590204293985</v>
      </c>
      <c r="B21" s="218" t="s">
        <v>5092</v>
      </c>
      <c r="C21" s="218" t="s">
        <v>1838</v>
      </c>
      <c r="D21" s="219">
        <v>1.0</v>
      </c>
      <c r="E21" s="218">
        <v>6490.0</v>
      </c>
      <c r="F21" s="3" t="s">
        <v>5105</v>
      </c>
      <c r="G21" s="220">
        <v>43084.0</v>
      </c>
    </row>
    <row r="22">
      <c r="A22" s="217">
        <v>43084.59148664352</v>
      </c>
      <c r="B22" s="218" t="s">
        <v>5092</v>
      </c>
      <c r="C22" s="218" t="s">
        <v>5112</v>
      </c>
      <c r="D22" s="219">
        <v>1.0</v>
      </c>
      <c r="E22" s="218">
        <v>6990.0</v>
      </c>
      <c r="F22" s="3" t="s">
        <v>5105</v>
      </c>
      <c r="G22" s="220">
        <v>43084.0</v>
      </c>
    </row>
    <row r="23">
      <c r="A23" s="217">
        <v>43084.59713247685</v>
      </c>
      <c r="B23" s="218" t="s">
        <v>5092</v>
      </c>
      <c r="C23" s="218" t="s">
        <v>1843</v>
      </c>
      <c r="D23" s="219">
        <v>1.0</v>
      </c>
      <c r="E23" s="218">
        <v>8190.0</v>
      </c>
      <c r="F23" s="3" t="s">
        <v>5105</v>
      </c>
      <c r="G23" s="220">
        <v>43084.0</v>
      </c>
    </row>
    <row r="24">
      <c r="A24" s="217">
        <v>43084.59849329861</v>
      </c>
      <c r="B24" s="218" t="s">
        <v>5092</v>
      </c>
      <c r="C24" s="218" t="s">
        <v>1839</v>
      </c>
      <c r="D24" s="219">
        <v>1.0</v>
      </c>
      <c r="E24" s="218">
        <v>6990.0</v>
      </c>
      <c r="F24" s="3" t="s">
        <v>5105</v>
      </c>
      <c r="G24" s="220">
        <v>43084.0</v>
      </c>
    </row>
    <row r="25">
      <c r="A25" s="217">
        <v>43084.60174762731</v>
      </c>
      <c r="B25" s="218" t="s">
        <v>5092</v>
      </c>
      <c r="C25" s="218" t="s">
        <v>5113</v>
      </c>
      <c r="D25" s="219">
        <v>1.0</v>
      </c>
      <c r="E25" s="218">
        <v>5990.0</v>
      </c>
      <c r="F25" s="3" t="s">
        <v>5105</v>
      </c>
      <c r="G25" s="220">
        <v>43084.0</v>
      </c>
    </row>
    <row r="26">
      <c r="A26" s="217">
        <v>43084.604948101856</v>
      </c>
      <c r="B26" s="218" t="s">
        <v>5092</v>
      </c>
      <c r="C26" s="218" t="s">
        <v>5114</v>
      </c>
      <c r="D26" s="219">
        <v>1.0</v>
      </c>
      <c r="E26" s="218">
        <v>9490.0</v>
      </c>
      <c r="F26" s="3" t="s">
        <v>5105</v>
      </c>
      <c r="G26" s="220">
        <v>43084.0</v>
      </c>
    </row>
    <row r="27">
      <c r="A27" s="217">
        <v>43084.60892159722</v>
      </c>
      <c r="B27" s="218" t="s">
        <v>5092</v>
      </c>
      <c r="C27" s="218" t="s">
        <v>1852</v>
      </c>
      <c r="D27" s="219">
        <v>1.0</v>
      </c>
      <c r="E27" s="218">
        <v>10390.0</v>
      </c>
      <c r="F27" s="3" t="s">
        <v>5105</v>
      </c>
      <c r="G27" s="220">
        <v>43084.0</v>
      </c>
    </row>
    <row r="28">
      <c r="A28" s="217">
        <v>43084.62308208333</v>
      </c>
      <c r="B28" s="218" t="s">
        <v>5092</v>
      </c>
      <c r="C28" s="218" t="s">
        <v>5116</v>
      </c>
      <c r="D28" s="219">
        <v>1.0</v>
      </c>
      <c r="E28" s="218">
        <v>7490.0</v>
      </c>
      <c r="F28" s="3" t="s">
        <v>5105</v>
      </c>
      <c r="G28" s="220">
        <v>43084.0</v>
      </c>
    </row>
    <row r="29">
      <c r="A29" s="217">
        <v>43084.62417981481</v>
      </c>
      <c r="B29" s="218" t="s">
        <v>5092</v>
      </c>
      <c r="C29" s="218" t="s">
        <v>5118</v>
      </c>
      <c r="D29" s="219">
        <v>1.0</v>
      </c>
      <c r="E29" s="218">
        <v>7490.0</v>
      </c>
      <c r="F29" s="3" t="s">
        <v>5105</v>
      </c>
      <c r="G29" s="220">
        <v>43084.0</v>
      </c>
    </row>
    <row r="30">
      <c r="A30" s="217">
        <v>43084.62698165509</v>
      </c>
      <c r="B30" s="218" t="s">
        <v>5092</v>
      </c>
      <c r="C30" s="218" t="s">
        <v>1818</v>
      </c>
      <c r="D30" s="219">
        <v>1.0</v>
      </c>
      <c r="E30" s="218">
        <v>7490.0</v>
      </c>
      <c r="F30" s="3" t="s">
        <v>5119</v>
      </c>
      <c r="G30" s="220">
        <v>43098.0</v>
      </c>
    </row>
    <row r="31">
      <c r="A31" s="217">
        <v>43084.627924456014</v>
      </c>
      <c r="B31" s="218" t="s">
        <v>5092</v>
      </c>
      <c r="C31" s="218" t="s">
        <v>5120</v>
      </c>
      <c r="D31" s="219">
        <v>1.0</v>
      </c>
      <c r="E31" s="218">
        <v>7490.0</v>
      </c>
      <c r="F31" s="3" t="s">
        <v>5119</v>
      </c>
      <c r="G31" s="220">
        <v>43084.0</v>
      </c>
    </row>
    <row r="32">
      <c r="A32" s="217">
        <v>43084.629061886575</v>
      </c>
      <c r="B32" s="218" t="s">
        <v>5092</v>
      </c>
      <c r="C32" s="218" t="s">
        <v>5121</v>
      </c>
      <c r="D32" s="219">
        <v>1.0</v>
      </c>
      <c r="E32" s="218">
        <v>6490.0</v>
      </c>
      <c r="F32" s="3" t="s">
        <v>5119</v>
      </c>
      <c r="G32" s="220">
        <v>43084.0</v>
      </c>
    </row>
    <row r="33">
      <c r="A33" s="217">
        <v>43084.632018738426</v>
      </c>
      <c r="B33" s="218" t="s">
        <v>5092</v>
      </c>
      <c r="C33" s="218" t="s">
        <v>5122</v>
      </c>
      <c r="D33" s="219">
        <v>1.0</v>
      </c>
      <c r="E33" s="218">
        <v>8690.0</v>
      </c>
      <c r="F33" s="3" t="s">
        <v>5119</v>
      </c>
      <c r="G33" s="220">
        <v>43084.0</v>
      </c>
    </row>
    <row r="34">
      <c r="A34" s="217">
        <v>43084.63589686343</v>
      </c>
      <c r="B34" s="218" t="s">
        <v>5092</v>
      </c>
      <c r="C34" s="218" t="s">
        <v>5125</v>
      </c>
      <c r="D34" s="219">
        <v>1.0</v>
      </c>
      <c r="E34" s="218">
        <v>7990.0</v>
      </c>
      <c r="F34" s="3" t="s">
        <v>5119</v>
      </c>
      <c r="G34" s="220">
        <v>43084.0</v>
      </c>
    </row>
    <row r="35">
      <c r="A35" s="217">
        <v>43084.637431828705</v>
      </c>
      <c r="B35" s="218" t="s">
        <v>5092</v>
      </c>
      <c r="C35" s="218" t="s">
        <v>5128</v>
      </c>
      <c r="D35" s="219">
        <v>1.0</v>
      </c>
      <c r="E35" s="218">
        <v>7490.0</v>
      </c>
      <c r="F35" s="3" t="s">
        <v>5119</v>
      </c>
      <c r="G35" s="220">
        <v>43084.0</v>
      </c>
    </row>
    <row r="36">
      <c r="A36" s="217">
        <v>43084.639442314816</v>
      </c>
      <c r="B36" s="218" t="s">
        <v>5092</v>
      </c>
      <c r="C36" s="218" t="s">
        <v>1857</v>
      </c>
      <c r="D36" s="219">
        <v>2.0</v>
      </c>
      <c r="E36" s="218">
        <v>7490.0</v>
      </c>
      <c r="F36" s="3" t="s">
        <v>5119</v>
      </c>
      <c r="G36" s="220">
        <v>43084.0</v>
      </c>
    </row>
    <row r="37">
      <c r="A37" s="217">
        <v>43084.64038328704</v>
      </c>
      <c r="B37" s="218" t="s">
        <v>5092</v>
      </c>
      <c r="C37" s="218" t="s">
        <v>1857</v>
      </c>
      <c r="D37" s="219">
        <v>1.0</v>
      </c>
      <c r="E37" s="218">
        <v>7690.0</v>
      </c>
      <c r="F37" s="3" t="s">
        <v>5119</v>
      </c>
      <c r="G37" s="220">
        <v>43084.0</v>
      </c>
    </row>
    <row r="38">
      <c r="A38" s="217">
        <v>43084.64285625</v>
      </c>
      <c r="B38" s="218" t="s">
        <v>5092</v>
      </c>
      <c r="C38" s="118" t="s">
        <v>5129</v>
      </c>
      <c r="D38" s="219">
        <v>2.0</v>
      </c>
      <c r="E38" s="218">
        <v>5990.0</v>
      </c>
      <c r="F38" s="3" t="s">
        <v>5119</v>
      </c>
      <c r="G38" s="220">
        <v>43084.0</v>
      </c>
    </row>
    <row r="39">
      <c r="A39" s="217">
        <v>43084.64600180555</v>
      </c>
      <c r="B39" s="218" t="s">
        <v>5092</v>
      </c>
      <c r="C39" s="218" t="s">
        <v>5130</v>
      </c>
      <c r="D39" s="219">
        <v>2.0</v>
      </c>
      <c r="E39" s="218">
        <v>5990.0</v>
      </c>
      <c r="F39" s="3" t="s">
        <v>5119</v>
      </c>
      <c r="G39" s="220">
        <v>43054.0</v>
      </c>
    </row>
    <row r="40">
      <c r="A40" s="217">
        <v>43084.64766957176</v>
      </c>
      <c r="B40" s="218" t="s">
        <v>5092</v>
      </c>
      <c r="C40" s="218" t="s">
        <v>5130</v>
      </c>
      <c r="D40" s="219">
        <v>1.0</v>
      </c>
      <c r="E40" s="218">
        <v>6990.0</v>
      </c>
      <c r="F40" s="3" t="s">
        <v>5119</v>
      </c>
      <c r="G40" s="220">
        <v>43084.0</v>
      </c>
    </row>
    <row r="41">
      <c r="A41" s="217">
        <v>43084.64852171297</v>
      </c>
      <c r="B41" s="218" t="s">
        <v>5092</v>
      </c>
      <c r="C41" s="218" t="s">
        <v>5131</v>
      </c>
      <c r="D41" s="219">
        <v>2.0</v>
      </c>
      <c r="E41" s="218">
        <v>5990.0</v>
      </c>
      <c r="F41" s="3" t="s">
        <v>5119</v>
      </c>
      <c r="G41" s="220">
        <v>43084.0</v>
      </c>
    </row>
    <row r="42">
      <c r="A42" s="217">
        <v>43084.654689629635</v>
      </c>
      <c r="B42" s="218" t="s">
        <v>5092</v>
      </c>
      <c r="C42" s="218" t="s">
        <v>5132</v>
      </c>
      <c r="D42" s="219">
        <v>1.0</v>
      </c>
      <c r="E42" s="218">
        <v>5490.0</v>
      </c>
      <c r="F42" s="3" t="s">
        <v>5119</v>
      </c>
      <c r="G42" s="220">
        <v>43084.0</v>
      </c>
    </row>
    <row r="43">
      <c r="A43" s="217">
        <v>43084.66310760417</v>
      </c>
      <c r="B43" s="218" t="s">
        <v>5092</v>
      </c>
      <c r="C43" s="218" t="s">
        <v>5134</v>
      </c>
      <c r="D43" s="219">
        <v>2.0</v>
      </c>
      <c r="E43" s="218">
        <v>5790.0</v>
      </c>
      <c r="F43" s="3" t="s">
        <v>5119</v>
      </c>
      <c r="G43" s="220">
        <v>43084.0</v>
      </c>
    </row>
    <row r="44">
      <c r="A44" s="217">
        <v>43084.66711064815</v>
      </c>
      <c r="B44" s="218" t="s">
        <v>5092</v>
      </c>
      <c r="C44" s="218" t="s">
        <v>5134</v>
      </c>
      <c r="D44" s="219">
        <v>2.0</v>
      </c>
      <c r="E44" s="218">
        <v>5790.0</v>
      </c>
      <c r="F44" s="3" t="s">
        <v>5135</v>
      </c>
      <c r="G44" s="220">
        <v>43084.0</v>
      </c>
    </row>
    <row r="45">
      <c r="A45" s="217">
        <v>43084.69491355324</v>
      </c>
      <c r="B45" s="218" t="s">
        <v>5092</v>
      </c>
      <c r="C45" s="218" t="s">
        <v>5136</v>
      </c>
      <c r="D45" s="219">
        <v>1.0</v>
      </c>
      <c r="E45" s="218">
        <v>7990.0</v>
      </c>
      <c r="F45" s="3" t="s">
        <v>5135</v>
      </c>
      <c r="G45" s="220">
        <v>43084.0</v>
      </c>
    </row>
    <row r="46">
      <c r="A46" s="217">
        <v>43085.62355984954</v>
      </c>
      <c r="B46" s="218" t="s">
        <v>5092</v>
      </c>
      <c r="C46" s="218" t="s">
        <v>5139</v>
      </c>
      <c r="D46" s="219">
        <v>2.0</v>
      </c>
      <c r="E46" s="218">
        <v>7690.0</v>
      </c>
      <c r="F46" s="3" t="s">
        <v>5135</v>
      </c>
      <c r="G46" s="220">
        <v>43085.0</v>
      </c>
    </row>
    <row r="47">
      <c r="A47" s="217">
        <v>43085.624911273146</v>
      </c>
      <c r="B47" s="218" t="s">
        <v>5092</v>
      </c>
      <c r="C47" s="218" t="s">
        <v>5140</v>
      </c>
      <c r="D47" s="219">
        <v>1.0</v>
      </c>
      <c r="E47" s="218">
        <v>8890.0</v>
      </c>
      <c r="F47" s="3" t="s">
        <v>5135</v>
      </c>
      <c r="G47" s="220">
        <v>43085.0</v>
      </c>
    </row>
    <row r="48">
      <c r="A48" s="217">
        <v>43085.626544756946</v>
      </c>
      <c r="B48" s="218" t="s">
        <v>5092</v>
      </c>
      <c r="C48" s="218" t="s">
        <v>5141</v>
      </c>
      <c r="D48" s="219">
        <v>1.0</v>
      </c>
      <c r="E48" s="218">
        <v>8890.0</v>
      </c>
      <c r="F48" s="3" t="s">
        <v>5135</v>
      </c>
      <c r="G48" s="220">
        <v>43085.0</v>
      </c>
    </row>
    <row r="49">
      <c r="A49" s="217">
        <v>43085.62760877315</v>
      </c>
      <c r="B49" s="218" t="s">
        <v>5092</v>
      </c>
      <c r="C49" s="218" t="s">
        <v>5143</v>
      </c>
      <c r="D49" s="219">
        <v>1.0</v>
      </c>
      <c r="E49" s="218">
        <v>7990.0</v>
      </c>
      <c r="F49" s="3" t="s">
        <v>5135</v>
      </c>
      <c r="G49" s="220">
        <v>43085.0</v>
      </c>
    </row>
    <row r="50">
      <c r="A50" s="217">
        <v>43085.70184081019</v>
      </c>
      <c r="B50" s="218" t="s">
        <v>5092</v>
      </c>
      <c r="C50" s="218" t="s">
        <v>5145</v>
      </c>
      <c r="D50" s="219">
        <v>1.0</v>
      </c>
      <c r="E50" s="218">
        <v>6990.0</v>
      </c>
      <c r="F50" s="3" t="s">
        <v>5135</v>
      </c>
      <c r="G50" s="220">
        <v>43085.0</v>
      </c>
    </row>
    <row r="51">
      <c r="A51" s="217">
        <v>43085.70297333333</v>
      </c>
      <c r="B51" s="218" t="s">
        <v>5092</v>
      </c>
      <c r="C51" s="218" t="s">
        <v>1868</v>
      </c>
      <c r="D51" s="219">
        <v>1.0</v>
      </c>
      <c r="E51" s="218">
        <v>6490.0</v>
      </c>
      <c r="F51" s="3" t="s">
        <v>5135</v>
      </c>
      <c r="G51" s="220">
        <v>43085.0</v>
      </c>
    </row>
    <row r="52">
      <c r="A52" s="217">
        <v>43085.705444039355</v>
      </c>
      <c r="B52" s="218" t="s">
        <v>5092</v>
      </c>
      <c r="C52" s="218" t="s">
        <v>5147</v>
      </c>
      <c r="D52" s="219">
        <v>1.0</v>
      </c>
      <c r="E52" s="218">
        <v>7490.0</v>
      </c>
      <c r="F52" s="3" t="s">
        <v>5135</v>
      </c>
      <c r="G52" s="220">
        <v>43085.0</v>
      </c>
    </row>
    <row r="53">
      <c r="A53" s="217">
        <v>43085.707407615744</v>
      </c>
      <c r="B53" s="218" t="s">
        <v>5092</v>
      </c>
      <c r="C53" s="218" t="s">
        <v>5148</v>
      </c>
      <c r="D53" s="219">
        <v>1.0</v>
      </c>
      <c r="E53" s="218">
        <v>6990.0</v>
      </c>
      <c r="F53" s="3" t="s">
        <v>5135</v>
      </c>
      <c r="G53" s="220">
        <v>43085.0</v>
      </c>
    </row>
    <row r="54">
      <c r="A54" s="217">
        <v>43085.707416192134</v>
      </c>
      <c r="B54" s="218" t="s">
        <v>5092</v>
      </c>
      <c r="C54" s="218" t="s">
        <v>5148</v>
      </c>
      <c r="D54" s="219">
        <v>1.0</v>
      </c>
      <c r="E54" s="218">
        <v>6990.0</v>
      </c>
      <c r="F54" s="3" t="s">
        <v>5135</v>
      </c>
      <c r="G54" s="220">
        <v>43085.0</v>
      </c>
    </row>
    <row r="55">
      <c r="A55" s="217">
        <v>43085.70882383102</v>
      </c>
      <c r="B55" s="218" t="s">
        <v>5092</v>
      </c>
      <c r="C55" s="218" t="s">
        <v>5150</v>
      </c>
      <c r="D55" s="219">
        <v>2.0</v>
      </c>
      <c r="E55" s="218">
        <v>8990.0</v>
      </c>
      <c r="F55" s="3" t="s">
        <v>5135</v>
      </c>
      <c r="G55" s="220">
        <v>43085.0</v>
      </c>
    </row>
    <row r="56">
      <c r="A56" s="217">
        <v>43085.70977204861</v>
      </c>
      <c r="B56" s="218" t="s">
        <v>5092</v>
      </c>
      <c r="C56" s="218" t="s">
        <v>1878</v>
      </c>
      <c r="D56" s="219">
        <v>2.0</v>
      </c>
      <c r="E56" s="218">
        <v>8990.0</v>
      </c>
      <c r="F56" s="3" t="s">
        <v>5135</v>
      </c>
      <c r="G56" s="220">
        <v>43085.0</v>
      </c>
    </row>
    <row r="57">
      <c r="A57" s="217">
        <v>43085.71078109954</v>
      </c>
      <c r="B57" s="218" t="s">
        <v>5092</v>
      </c>
      <c r="C57" s="218" t="s">
        <v>5152</v>
      </c>
      <c r="D57" s="219">
        <v>1.0</v>
      </c>
      <c r="E57" s="218">
        <v>8490.0</v>
      </c>
      <c r="F57" s="3" t="s">
        <v>5135</v>
      </c>
      <c r="G57" s="220">
        <v>43085.0</v>
      </c>
    </row>
    <row r="58">
      <c r="A58" s="217">
        <v>43085.711800034725</v>
      </c>
      <c r="B58" s="218" t="s">
        <v>5092</v>
      </c>
      <c r="C58" s="218" t="s">
        <v>5154</v>
      </c>
      <c r="D58" s="219">
        <v>1.0</v>
      </c>
      <c r="E58" s="218">
        <v>7790.0</v>
      </c>
      <c r="F58" s="3" t="s">
        <v>5135</v>
      </c>
      <c r="G58" s="220">
        <v>43085.0</v>
      </c>
    </row>
    <row r="59">
      <c r="A59" s="217">
        <v>43085.71276034722</v>
      </c>
      <c r="B59" s="218" t="s">
        <v>5092</v>
      </c>
      <c r="C59" s="218" t="s">
        <v>5156</v>
      </c>
      <c r="D59" s="219">
        <v>1.0</v>
      </c>
      <c r="E59" s="218">
        <v>7790.0</v>
      </c>
      <c r="F59" s="3" t="s">
        <v>5135</v>
      </c>
      <c r="G59" s="220">
        <v>43085.0</v>
      </c>
    </row>
    <row r="60">
      <c r="A60" s="217">
        <v>43085.71373171297</v>
      </c>
      <c r="B60" s="218" t="s">
        <v>5092</v>
      </c>
      <c r="C60" s="218" t="s">
        <v>5157</v>
      </c>
      <c r="D60" s="219">
        <v>1.0</v>
      </c>
      <c r="E60" s="218">
        <v>7490.0</v>
      </c>
      <c r="F60" s="3" t="s">
        <v>5158</v>
      </c>
      <c r="G60" s="220">
        <v>43085.0</v>
      </c>
    </row>
    <row r="61">
      <c r="A61" s="217">
        <v>43085.714862928246</v>
      </c>
      <c r="B61" s="218" t="s">
        <v>5092</v>
      </c>
      <c r="C61" s="218" t="s">
        <v>1880</v>
      </c>
      <c r="D61" s="219">
        <v>1.0</v>
      </c>
      <c r="E61" s="218">
        <v>7790.0</v>
      </c>
      <c r="F61" s="3" t="s">
        <v>5158</v>
      </c>
      <c r="G61" s="220">
        <v>43085.0</v>
      </c>
    </row>
    <row r="62">
      <c r="A62" s="217">
        <v>43085.71754582176</v>
      </c>
      <c r="B62" s="218" t="s">
        <v>5092</v>
      </c>
      <c r="C62" s="218" t="s">
        <v>5159</v>
      </c>
      <c r="D62" s="219">
        <v>1.0</v>
      </c>
      <c r="E62" s="218">
        <v>4490.0</v>
      </c>
      <c r="F62" s="3" t="s">
        <v>5158</v>
      </c>
      <c r="G62" s="220">
        <v>43085.0</v>
      </c>
    </row>
    <row r="63">
      <c r="A63" s="217">
        <v>43086.70560270833</v>
      </c>
      <c r="B63" s="218" t="s">
        <v>5092</v>
      </c>
      <c r="C63" s="218" t="s">
        <v>5159</v>
      </c>
      <c r="D63" s="219">
        <v>1.0</v>
      </c>
      <c r="E63" s="218">
        <v>4490.0</v>
      </c>
      <c r="F63" s="3" t="s">
        <v>5158</v>
      </c>
      <c r="G63" s="220">
        <v>43086.0</v>
      </c>
    </row>
    <row r="64">
      <c r="A64" s="217">
        <v>43086.70642766204</v>
      </c>
      <c r="B64" s="218" t="s">
        <v>5092</v>
      </c>
      <c r="C64" s="218" t="s">
        <v>5160</v>
      </c>
      <c r="D64" s="219">
        <v>1.0</v>
      </c>
      <c r="E64" s="24"/>
      <c r="F64" s="3" t="s">
        <v>5158</v>
      </c>
      <c r="G64" s="220">
        <v>43086.0</v>
      </c>
    </row>
    <row r="65">
      <c r="A65" s="217">
        <v>43086.72354946759</v>
      </c>
      <c r="B65" s="218" t="s">
        <v>5092</v>
      </c>
      <c r="C65" s="218" t="s">
        <v>5162</v>
      </c>
      <c r="D65" s="219">
        <v>1.0</v>
      </c>
      <c r="E65" s="218">
        <v>8490.0</v>
      </c>
      <c r="F65" s="3" t="s">
        <v>5158</v>
      </c>
      <c r="G65" s="220">
        <v>43086.0</v>
      </c>
    </row>
    <row r="66">
      <c r="A66" s="217">
        <v>43086.724363587964</v>
      </c>
      <c r="B66" s="218" t="s">
        <v>5092</v>
      </c>
      <c r="C66" s="218" t="s">
        <v>5163</v>
      </c>
      <c r="D66" s="219">
        <v>1.0</v>
      </c>
      <c r="E66" s="218">
        <v>4490.0</v>
      </c>
      <c r="F66" s="3" t="s">
        <v>5158</v>
      </c>
      <c r="G66" s="220">
        <v>43086.0</v>
      </c>
    </row>
    <row r="67">
      <c r="A67" s="217">
        <v>43086.72507901621</v>
      </c>
      <c r="B67" s="218" t="s">
        <v>5092</v>
      </c>
      <c r="C67" s="218" t="s">
        <v>5164</v>
      </c>
      <c r="D67" s="219">
        <v>1.0</v>
      </c>
      <c r="E67" s="218">
        <v>6990.0</v>
      </c>
      <c r="G67" s="220">
        <v>43086.0</v>
      </c>
    </row>
    <row r="68">
      <c r="A68" s="217">
        <v>43086.72618322917</v>
      </c>
      <c r="B68" s="218" t="s">
        <v>5092</v>
      </c>
      <c r="C68" s="218" t="s">
        <v>5166</v>
      </c>
      <c r="D68" s="219">
        <v>1.0</v>
      </c>
      <c r="E68" s="218">
        <v>7490.0</v>
      </c>
      <c r="F68" s="3" t="s">
        <v>5158</v>
      </c>
      <c r="G68" s="220">
        <v>43086.0</v>
      </c>
    </row>
    <row r="69">
      <c r="A69" s="217">
        <v>43086.729011574076</v>
      </c>
      <c r="B69" s="218" t="s">
        <v>5092</v>
      </c>
      <c r="C69" s="218" t="s">
        <v>5167</v>
      </c>
      <c r="D69" s="219">
        <v>1.0</v>
      </c>
      <c r="E69" s="218">
        <v>7490.0</v>
      </c>
      <c r="F69" s="3" t="s">
        <v>5158</v>
      </c>
      <c r="G69" s="220">
        <v>43086.0</v>
      </c>
    </row>
    <row r="70">
      <c r="A70" s="217">
        <v>43086.7305491088</v>
      </c>
      <c r="B70" s="218" t="s">
        <v>5092</v>
      </c>
      <c r="C70" s="218" t="s">
        <v>5168</v>
      </c>
      <c r="D70" s="219">
        <v>1.0</v>
      </c>
      <c r="E70" s="218">
        <v>7990.0</v>
      </c>
      <c r="F70" s="3" t="s">
        <v>5158</v>
      </c>
      <c r="G70" s="220">
        <v>43086.0</v>
      </c>
    </row>
    <row r="71">
      <c r="A71" s="217">
        <v>43086.73154540509</v>
      </c>
      <c r="B71" s="218" t="s">
        <v>5092</v>
      </c>
      <c r="C71" s="218" t="s">
        <v>5169</v>
      </c>
      <c r="D71" s="219">
        <v>1.0</v>
      </c>
      <c r="E71" s="218">
        <v>4490.0</v>
      </c>
      <c r="F71" s="3" t="s">
        <v>5158</v>
      </c>
      <c r="G71" s="220">
        <v>43086.0</v>
      </c>
    </row>
    <row r="72">
      <c r="A72" s="217">
        <v>43087.69519028935</v>
      </c>
      <c r="B72" s="218" t="s">
        <v>5092</v>
      </c>
      <c r="C72" s="218" t="s">
        <v>5170</v>
      </c>
      <c r="D72" s="219">
        <v>3.0</v>
      </c>
      <c r="E72" s="218">
        <v>4490.0</v>
      </c>
      <c r="F72" s="3" t="s">
        <v>5158</v>
      </c>
      <c r="G72" s="220">
        <v>43057.0</v>
      </c>
    </row>
    <row r="73">
      <c r="A73" s="217">
        <v>43087.696858553245</v>
      </c>
      <c r="B73" s="218" t="s">
        <v>5092</v>
      </c>
      <c r="C73" s="218" t="s">
        <v>5172</v>
      </c>
      <c r="D73" s="219">
        <v>1.0</v>
      </c>
      <c r="E73" s="218">
        <v>6490.0</v>
      </c>
      <c r="F73" s="3" t="s">
        <v>5158</v>
      </c>
      <c r="G73" s="220">
        <v>43057.0</v>
      </c>
    </row>
    <row r="74">
      <c r="A74" s="217">
        <v>43087.69938972223</v>
      </c>
      <c r="B74" s="218" t="s">
        <v>5092</v>
      </c>
      <c r="C74" s="218" t="s">
        <v>5174</v>
      </c>
      <c r="D74" s="219">
        <v>1.0</v>
      </c>
      <c r="E74" s="218">
        <v>4490.0</v>
      </c>
      <c r="F74" s="3" t="s">
        <v>5158</v>
      </c>
      <c r="G74" s="220">
        <v>43057.0</v>
      </c>
    </row>
    <row r="75">
      <c r="A75" s="217">
        <v>43087.70052158565</v>
      </c>
      <c r="B75" s="218" t="s">
        <v>5092</v>
      </c>
      <c r="C75" s="218" t="s">
        <v>5175</v>
      </c>
      <c r="D75" s="219">
        <v>1.0</v>
      </c>
      <c r="E75" s="218">
        <v>10490.0</v>
      </c>
      <c r="F75" s="3" t="s">
        <v>5158</v>
      </c>
      <c r="G75" s="220">
        <v>43057.0</v>
      </c>
    </row>
    <row r="76">
      <c r="A76" s="217">
        <v>43087.72041782408</v>
      </c>
      <c r="B76" s="218" t="s">
        <v>5092</v>
      </c>
      <c r="C76" s="218" t="s">
        <v>5177</v>
      </c>
      <c r="D76" s="219">
        <v>2.0</v>
      </c>
      <c r="E76" s="218">
        <v>5290.0</v>
      </c>
      <c r="F76" s="3" t="s">
        <v>5158</v>
      </c>
      <c r="G76" s="220">
        <v>43087.0</v>
      </c>
    </row>
    <row r="77">
      <c r="A77" s="217">
        <v>43087.72145135417</v>
      </c>
      <c r="B77" s="218" t="s">
        <v>5092</v>
      </c>
      <c r="C77" s="218" t="s">
        <v>5178</v>
      </c>
      <c r="D77" s="219">
        <v>2.0</v>
      </c>
      <c r="E77" s="218">
        <v>4490.0</v>
      </c>
      <c r="F77" s="3" t="s">
        <v>5179</v>
      </c>
      <c r="G77" s="220">
        <v>43057.0</v>
      </c>
    </row>
    <row r="78">
      <c r="A78" s="217">
        <v>43087.731281319444</v>
      </c>
      <c r="B78" s="218" t="s">
        <v>5092</v>
      </c>
      <c r="C78" s="218" t="s">
        <v>1887</v>
      </c>
      <c r="D78" s="219">
        <v>2.0</v>
      </c>
      <c r="E78" s="218">
        <v>5290.0</v>
      </c>
      <c r="F78" s="3" t="s">
        <v>5179</v>
      </c>
      <c r="G78" s="220">
        <v>43087.0</v>
      </c>
    </row>
    <row r="79">
      <c r="A79" s="217">
        <v>43088.78567096065</v>
      </c>
      <c r="B79" s="218" t="s">
        <v>5092</v>
      </c>
      <c r="C79" s="218" t="s">
        <v>5182</v>
      </c>
      <c r="D79" s="219">
        <v>1.0</v>
      </c>
      <c r="E79" s="218">
        <v>4290.0</v>
      </c>
      <c r="F79" s="3" t="s">
        <v>5158</v>
      </c>
      <c r="G79" s="220">
        <v>43088.0</v>
      </c>
    </row>
    <row r="80">
      <c r="A80" s="217">
        <v>43088.78715459491</v>
      </c>
      <c r="B80" s="218" t="s">
        <v>5184</v>
      </c>
      <c r="C80" s="218" t="s">
        <v>5148</v>
      </c>
      <c r="D80" s="221">
        <v>1.0</v>
      </c>
      <c r="E80" s="24"/>
      <c r="F80" s="3" t="s">
        <v>5158</v>
      </c>
      <c r="G80" s="220">
        <v>43058.0</v>
      </c>
    </row>
    <row r="81">
      <c r="A81" s="217">
        <v>43088.78788655093</v>
      </c>
      <c r="B81" s="218" t="s">
        <v>5184</v>
      </c>
      <c r="C81" s="218" t="s">
        <v>5118</v>
      </c>
      <c r="D81" s="221">
        <v>1.0</v>
      </c>
      <c r="E81" s="24"/>
      <c r="F81" s="3" t="s">
        <v>5158</v>
      </c>
      <c r="G81" s="220">
        <v>43088.0</v>
      </c>
    </row>
    <row r="82">
      <c r="A82" s="217">
        <v>43088.78858451389</v>
      </c>
      <c r="B82" s="218" t="s">
        <v>5184</v>
      </c>
      <c r="C82" s="218" t="s">
        <v>1818</v>
      </c>
      <c r="D82" s="221">
        <v>1.0</v>
      </c>
      <c r="E82" s="24"/>
      <c r="F82" s="3" t="s">
        <v>5158</v>
      </c>
      <c r="G82" s="220">
        <v>43088.0</v>
      </c>
    </row>
    <row r="83">
      <c r="A83" s="217">
        <v>43092.6398471875</v>
      </c>
      <c r="B83" s="218" t="s">
        <v>5092</v>
      </c>
      <c r="C83" s="218" t="s">
        <v>5186</v>
      </c>
      <c r="D83" s="219">
        <v>3.0</v>
      </c>
      <c r="E83" s="218">
        <v>4490.0</v>
      </c>
      <c r="F83" s="3" t="s">
        <v>5179</v>
      </c>
      <c r="G83" s="220">
        <v>43092.0</v>
      </c>
    </row>
    <row r="84">
      <c r="A84" s="217">
        <v>43092.64189863426</v>
      </c>
      <c r="B84" s="218" t="s">
        <v>5092</v>
      </c>
      <c r="C84" s="218" t="s">
        <v>5187</v>
      </c>
      <c r="D84" s="219">
        <v>1.0</v>
      </c>
      <c r="E84" s="218">
        <v>8990.0</v>
      </c>
      <c r="F84" s="3" t="s">
        <v>5179</v>
      </c>
      <c r="G84" s="220">
        <v>43090.0</v>
      </c>
    </row>
    <row r="85">
      <c r="A85" s="217">
        <v>43092.6435194213</v>
      </c>
      <c r="B85" s="218" t="s">
        <v>5092</v>
      </c>
      <c r="C85" s="218" t="s">
        <v>5189</v>
      </c>
      <c r="D85" s="219">
        <v>2.0</v>
      </c>
      <c r="E85" s="218">
        <v>6990.0</v>
      </c>
      <c r="F85" s="3" t="s">
        <v>5179</v>
      </c>
      <c r="G85" s="220">
        <v>43092.0</v>
      </c>
    </row>
    <row r="86">
      <c r="A86" s="217">
        <v>43092.647494606485</v>
      </c>
      <c r="B86" s="218" t="s">
        <v>5092</v>
      </c>
      <c r="C86" s="218" t="s">
        <v>5190</v>
      </c>
      <c r="D86" s="219">
        <v>2.0</v>
      </c>
      <c r="E86" s="218">
        <v>6990.0</v>
      </c>
      <c r="F86" s="3" t="s">
        <v>5179</v>
      </c>
      <c r="G86" s="220">
        <v>43092.0</v>
      </c>
    </row>
    <row r="87">
      <c r="A87" s="217">
        <v>43092.65224196759</v>
      </c>
      <c r="B87" s="218" t="s">
        <v>5092</v>
      </c>
      <c r="C87" s="218" t="s">
        <v>1888</v>
      </c>
      <c r="D87" s="219">
        <v>1.0</v>
      </c>
      <c r="E87" s="218">
        <v>9690.0</v>
      </c>
      <c r="F87" s="3" t="s">
        <v>5179</v>
      </c>
      <c r="G87" s="220">
        <v>43092.0</v>
      </c>
    </row>
    <row r="88">
      <c r="A88" s="217">
        <v>43092.65506965278</v>
      </c>
      <c r="B88" s="218" t="s">
        <v>5092</v>
      </c>
      <c r="C88" s="218" t="s">
        <v>1915</v>
      </c>
      <c r="D88" s="219">
        <v>6.0</v>
      </c>
      <c r="E88" s="218">
        <v>3390.0</v>
      </c>
      <c r="F88" s="3" t="s">
        <v>5179</v>
      </c>
      <c r="G88" s="220">
        <v>43092.0</v>
      </c>
    </row>
    <row r="89">
      <c r="A89" s="217">
        <v>43092.65697600694</v>
      </c>
      <c r="B89" s="218" t="s">
        <v>5092</v>
      </c>
      <c r="C89" s="218" t="s">
        <v>1913</v>
      </c>
      <c r="D89" s="219">
        <v>1.0</v>
      </c>
      <c r="E89" s="218">
        <v>4490.0</v>
      </c>
      <c r="F89" s="3" t="s">
        <v>5179</v>
      </c>
      <c r="G89" s="220">
        <v>43092.0</v>
      </c>
    </row>
    <row r="90">
      <c r="A90" s="217">
        <v>43092.660502303246</v>
      </c>
      <c r="B90" s="218" t="s">
        <v>5092</v>
      </c>
      <c r="C90" s="218" t="s">
        <v>5193</v>
      </c>
      <c r="D90" s="219">
        <v>1.0</v>
      </c>
      <c r="E90" s="218">
        <v>3390.0</v>
      </c>
      <c r="F90" s="3" t="s">
        <v>5179</v>
      </c>
      <c r="G90" s="220">
        <v>43092.0</v>
      </c>
    </row>
    <row r="91">
      <c r="A91" s="217">
        <v>43092.662172129625</v>
      </c>
      <c r="B91" s="218" t="s">
        <v>5092</v>
      </c>
      <c r="C91" s="218" t="s">
        <v>5194</v>
      </c>
      <c r="D91" s="219">
        <v>1.0</v>
      </c>
      <c r="E91" s="218">
        <v>4290.0</v>
      </c>
      <c r="F91" s="3" t="s">
        <v>5179</v>
      </c>
      <c r="G91" s="220">
        <v>43092.0</v>
      </c>
    </row>
    <row r="92">
      <c r="A92" s="217">
        <v>43092.66781244213</v>
      </c>
      <c r="B92" s="218" t="s">
        <v>5092</v>
      </c>
      <c r="C92" s="218" t="s">
        <v>5196</v>
      </c>
      <c r="D92" s="219">
        <v>1.0</v>
      </c>
      <c r="E92" s="218">
        <v>4290.0</v>
      </c>
      <c r="F92" s="3" t="s">
        <v>5179</v>
      </c>
      <c r="G92" s="220">
        <v>43092.0</v>
      </c>
    </row>
    <row r="93">
      <c r="A93" s="217">
        <v>43092.66933679398</v>
      </c>
      <c r="B93" s="218" t="s">
        <v>5092</v>
      </c>
      <c r="C93" s="218" t="s">
        <v>5197</v>
      </c>
      <c r="D93" s="219">
        <v>1.0</v>
      </c>
      <c r="E93" s="218">
        <v>4290.0</v>
      </c>
      <c r="F93" s="3" t="s">
        <v>5179</v>
      </c>
      <c r="G93" s="220">
        <v>43092.0</v>
      </c>
    </row>
    <row r="94">
      <c r="A94" s="217">
        <v>43092.67070333334</v>
      </c>
      <c r="B94" s="218" t="s">
        <v>5092</v>
      </c>
      <c r="C94" s="218" t="s">
        <v>1935</v>
      </c>
      <c r="D94" s="219">
        <v>1.0</v>
      </c>
      <c r="E94" s="218">
        <v>4990.0</v>
      </c>
      <c r="F94" s="3" t="s">
        <v>5179</v>
      </c>
      <c r="G94" s="220">
        <v>43092.0</v>
      </c>
    </row>
    <row r="95">
      <c r="A95" s="217">
        <v>43092.67175208333</v>
      </c>
      <c r="B95" s="218" t="s">
        <v>5092</v>
      </c>
      <c r="C95" s="218" t="s">
        <v>5198</v>
      </c>
      <c r="D95" s="219">
        <v>1.0</v>
      </c>
      <c r="E95" s="218">
        <v>4790.0</v>
      </c>
      <c r="F95" s="3" t="s">
        <v>5179</v>
      </c>
      <c r="G95" s="220">
        <v>43092.0</v>
      </c>
    </row>
    <row r="96">
      <c r="A96" s="217">
        <v>43092.67282090278</v>
      </c>
      <c r="B96" s="218" t="s">
        <v>5092</v>
      </c>
      <c r="C96" s="218" t="s">
        <v>5199</v>
      </c>
      <c r="D96" s="219">
        <v>1.0</v>
      </c>
      <c r="E96" s="218">
        <v>4790.0</v>
      </c>
      <c r="F96" s="3" t="s">
        <v>5179</v>
      </c>
      <c r="G96" s="220">
        <v>43092.0</v>
      </c>
    </row>
    <row r="97">
      <c r="A97" s="217">
        <v>43092.67372851852</v>
      </c>
      <c r="B97" s="218" t="s">
        <v>5092</v>
      </c>
      <c r="C97" s="218" t="s">
        <v>1947</v>
      </c>
      <c r="D97" s="219">
        <v>1.0</v>
      </c>
      <c r="E97" s="218">
        <v>4790.0</v>
      </c>
      <c r="F97" s="3" t="s">
        <v>5179</v>
      </c>
      <c r="G97" s="220">
        <v>43092.0</v>
      </c>
    </row>
    <row r="98">
      <c r="A98" s="217">
        <v>43092.67569636574</v>
      </c>
      <c r="B98" s="218" t="s">
        <v>5092</v>
      </c>
      <c r="C98" s="218" t="s">
        <v>5201</v>
      </c>
      <c r="D98" s="219">
        <v>1.0</v>
      </c>
      <c r="E98" s="218">
        <v>4790.0</v>
      </c>
      <c r="F98" s="3" t="s">
        <v>5179</v>
      </c>
      <c r="G98" s="220">
        <v>43092.0</v>
      </c>
    </row>
    <row r="99">
      <c r="A99" s="217">
        <v>43092.67661980324</v>
      </c>
      <c r="B99" s="218" t="s">
        <v>5092</v>
      </c>
      <c r="C99" s="218" t="s">
        <v>5202</v>
      </c>
      <c r="D99" s="219">
        <v>1.0</v>
      </c>
      <c r="E99" s="218">
        <v>4790.0</v>
      </c>
      <c r="F99" s="3" t="s">
        <v>5179</v>
      </c>
      <c r="G99" s="220">
        <v>43092.0</v>
      </c>
    </row>
    <row r="100">
      <c r="A100" s="217">
        <v>43092.67767413195</v>
      </c>
      <c r="B100" s="218" t="s">
        <v>5092</v>
      </c>
      <c r="C100" s="218" t="s">
        <v>5203</v>
      </c>
      <c r="D100" s="219">
        <v>1.0</v>
      </c>
      <c r="E100" s="218">
        <v>4790.0</v>
      </c>
      <c r="F100" s="3" t="s">
        <v>5179</v>
      </c>
      <c r="G100" s="220">
        <v>43092.0</v>
      </c>
    </row>
    <row r="101">
      <c r="A101" s="217">
        <v>43092.67879983796</v>
      </c>
      <c r="B101" s="218" t="s">
        <v>5092</v>
      </c>
      <c r="C101" s="218" t="s">
        <v>1892</v>
      </c>
      <c r="D101" s="219">
        <v>3.0</v>
      </c>
      <c r="E101" s="218">
        <v>4990.0</v>
      </c>
      <c r="F101" s="3" t="s">
        <v>5179</v>
      </c>
      <c r="G101" s="220">
        <v>43092.0</v>
      </c>
    </row>
    <row r="102">
      <c r="A102" s="217">
        <v>43092.679596875</v>
      </c>
      <c r="B102" s="218" t="s">
        <v>5092</v>
      </c>
      <c r="C102" s="218" t="s">
        <v>5205</v>
      </c>
      <c r="D102" s="219">
        <v>1.0</v>
      </c>
      <c r="E102" s="218">
        <v>4790.0</v>
      </c>
      <c r="F102" s="3" t="s">
        <v>5179</v>
      </c>
      <c r="G102" s="220">
        <v>43092.0</v>
      </c>
    </row>
    <row r="103">
      <c r="A103" s="217">
        <v>43092.68184635417</v>
      </c>
      <c r="B103" s="218" t="s">
        <v>5092</v>
      </c>
      <c r="C103" s="218" t="s">
        <v>5206</v>
      </c>
      <c r="D103" s="219">
        <v>1.0</v>
      </c>
      <c r="E103" s="218">
        <v>3570.0</v>
      </c>
      <c r="F103" s="3" t="s">
        <v>5207</v>
      </c>
      <c r="G103" s="220">
        <v>43092.0</v>
      </c>
    </row>
    <row r="104">
      <c r="A104" s="217">
        <v>43092.68263947917</v>
      </c>
      <c r="B104" s="218" t="s">
        <v>5092</v>
      </c>
      <c r="C104" s="223" t="s">
        <v>1786</v>
      </c>
      <c r="D104" s="219">
        <v>1.0</v>
      </c>
      <c r="E104" s="218">
        <v>3570.0</v>
      </c>
      <c r="F104" s="3" t="s">
        <v>5207</v>
      </c>
      <c r="G104" s="220">
        <v>43092.0</v>
      </c>
    </row>
    <row r="105">
      <c r="A105" s="217">
        <v>43092.68354724537</v>
      </c>
      <c r="B105" s="218" t="s">
        <v>5092</v>
      </c>
      <c r="C105" s="218" t="s">
        <v>5209</v>
      </c>
      <c r="D105" s="219">
        <v>1.0</v>
      </c>
      <c r="E105" s="218">
        <v>3570.0</v>
      </c>
      <c r="F105" s="3" t="s">
        <v>5207</v>
      </c>
      <c r="G105" s="220">
        <v>43092.0</v>
      </c>
    </row>
    <row r="106">
      <c r="A106" s="217">
        <v>43092.684237361114</v>
      </c>
      <c r="B106" s="218" t="s">
        <v>5092</v>
      </c>
      <c r="C106" s="223" t="s">
        <v>5210</v>
      </c>
      <c r="D106" s="219">
        <v>1.0</v>
      </c>
      <c r="E106" s="218">
        <v>7200.0</v>
      </c>
      <c r="F106" s="3" t="s">
        <v>5207</v>
      </c>
      <c r="G106" s="220">
        <v>43092.0</v>
      </c>
    </row>
    <row r="107">
      <c r="A107" s="217">
        <v>43092.685049618056</v>
      </c>
      <c r="B107" s="218" t="s">
        <v>5092</v>
      </c>
      <c r="C107" s="218" t="s">
        <v>1791</v>
      </c>
      <c r="D107" s="219">
        <v>1.0</v>
      </c>
      <c r="E107" s="218">
        <v>3570.0</v>
      </c>
      <c r="F107" s="3" t="s">
        <v>5207</v>
      </c>
      <c r="G107" s="220">
        <v>43092.0</v>
      </c>
    </row>
    <row r="108">
      <c r="A108" s="217">
        <v>43092.68586571759</v>
      </c>
      <c r="B108" s="218" t="s">
        <v>5092</v>
      </c>
      <c r="C108" s="218" t="s">
        <v>1996</v>
      </c>
      <c r="D108" s="219">
        <v>1.0</v>
      </c>
      <c r="E108" s="218">
        <v>5750.0</v>
      </c>
      <c r="F108" s="3" t="s">
        <v>5207</v>
      </c>
      <c r="G108" s="220">
        <v>43092.0</v>
      </c>
    </row>
    <row r="109">
      <c r="A109" s="217">
        <v>43092.686857395835</v>
      </c>
      <c r="B109" s="218" t="s">
        <v>5092</v>
      </c>
      <c r="C109" s="218" t="s">
        <v>1998</v>
      </c>
      <c r="D109" s="219">
        <v>1.0</v>
      </c>
      <c r="E109" s="218">
        <v>5750.0</v>
      </c>
      <c r="F109" s="3" t="s">
        <v>5207</v>
      </c>
      <c r="G109" s="220">
        <v>43092.0</v>
      </c>
    </row>
    <row r="110">
      <c r="A110" s="217">
        <v>43092.68764234954</v>
      </c>
      <c r="B110" s="218" t="s">
        <v>5092</v>
      </c>
      <c r="C110" s="218" t="s">
        <v>2000</v>
      </c>
      <c r="D110" s="219">
        <v>1.0</v>
      </c>
      <c r="E110" s="218">
        <v>5750.0</v>
      </c>
      <c r="F110" s="3" t="s">
        <v>5207</v>
      </c>
      <c r="G110" s="220">
        <v>43092.0</v>
      </c>
    </row>
    <row r="111">
      <c r="A111" s="217">
        <v>43092.68865140046</v>
      </c>
      <c r="B111" s="218" t="s">
        <v>5092</v>
      </c>
      <c r="C111" s="218" t="s">
        <v>5211</v>
      </c>
      <c r="D111" s="219">
        <v>1.0</v>
      </c>
      <c r="E111" s="218">
        <v>19000.0</v>
      </c>
      <c r="F111" s="3" t="s">
        <v>5212</v>
      </c>
      <c r="G111" s="220">
        <v>43092.0</v>
      </c>
    </row>
    <row r="112">
      <c r="A112" s="217">
        <v>43092.68965226852</v>
      </c>
      <c r="B112" s="218" t="s">
        <v>5092</v>
      </c>
      <c r="C112" s="218" t="s">
        <v>5214</v>
      </c>
      <c r="D112" s="219">
        <v>1.0</v>
      </c>
      <c r="E112" s="218">
        <v>14000.0</v>
      </c>
      <c r="F112" s="3" t="s">
        <v>5212</v>
      </c>
      <c r="G112" s="220">
        <v>43092.0</v>
      </c>
    </row>
    <row r="113">
      <c r="A113" s="217">
        <v>43092.69079934028</v>
      </c>
      <c r="B113" s="218" t="s">
        <v>5092</v>
      </c>
      <c r="C113" s="218" t="s">
        <v>1779</v>
      </c>
      <c r="D113" s="219">
        <v>1.0</v>
      </c>
      <c r="E113" s="218">
        <v>17000.0</v>
      </c>
      <c r="F113" s="3" t="s">
        <v>5212</v>
      </c>
      <c r="G113" s="220">
        <v>43092.0</v>
      </c>
    </row>
    <row r="114">
      <c r="A114" s="217">
        <v>43094.531851875</v>
      </c>
      <c r="B114" s="218" t="s">
        <v>5092</v>
      </c>
      <c r="C114" s="218" t="s">
        <v>2087</v>
      </c>
      <c r="D114" s="219">
        <v>1.0</v>
      </c>
      <c r="E114" s="218">
        <v>10000.0</v>
      </c>
      <c r="F114" s="3" t="s">
        <v>5179</v>
      </c>
      <c r="G114" s="220">
        <v>43064.0</v>
      </c>
    </row>
    <row r="115">
      <c r="A115" s="217">
        <v>43094.53274065972</v>
      </c>
      <c r="B115" s="218" t="s">
        <v>5092</v>
      </c>
      <c r="C115" s="218" t="s">
        <v>5216</v>
      </c>
      <c r="D115" s="219">
        <v>1.0</v>
      </c>
      <c r="E115" s="218">
        <v>17500.0</v>
      </c>
      <c r="F115" s="3" t="s">
        <v>5179</v>
      </c>
      <c r="G115" s="220">
        <v>43094.0</v>
      </c>
    </row>
    <row r="116">
      <c r="A116" s="217">
        <v>43094.54037246528</v>
      </c>
      <c r="B116" s="218" t="s">
        <v>5092</v>
      </c>
      <c r="C116" s="218" t="s">
        <v>5218</v>
      </c>
      <c r="D116" s="219">
        <v>1.0</v>
      </c>
      <c r="E116" s="218">
        <v>14500.0</v>
      </c>
      <c r="F116" s="3" t="s">
        <v>5179</v>
      </c>
      <c r="G116" s="220">
        <v>43094.0</v>
      </c>
    </row>
    <row r="117">
      <c r="A117" s="217">
        <v>43094.5416034838</v>
      </c>
      <c r="B117" s="218" t="s">
        <v>5092</v>
      </c>
      <c r="C117" s="218" t="s">
        <v>5220</v>
      </c>
      <c r="D117" s="219">
        <v>1.0</v>
      </c>
      <c r="E117" s="218">
        <v>10500.0</v>
      </c>
      <c r="F117" s="3" t="s">
        <v>5179</v>
      </c>
      <c r="G117" s="220">
        <v>43094.0</v>
      </c>
    </row>
    <row r="118">
      <c r="A118" s="217">
        <v>43094.54653153935</v>
      </c>
      <c r="B118" s="218" t="s">
        <v>5092</v>
      </c>
      <c r="C118" s="218" t="s">
        <v>5222</v>
      </c>
      <c r="D118" s="219">
        <v>1.0</v>
      </c>
      <c r="E118" s="218">
        <v>13500.0</v>
      </c>
      <c r="F118" s="3" t="s">
        <v>5179</v>
      </c>
      <c r="G118" s="220">
        <v>43094.0</v>
      </c>
    </row>
    <row r="119">
      <c r="A119" s="217">
        <v>43094.54805668982</v>
      </c>
      <c r="B119" s="218" t="s">
        <v>5092</v>
      </c>
      <c r="C119" s="218" t="s">
        <v>5223</v>
      </c>
      <c r="D119" s="219">
        <v>1.0</v>
      </c>
      <c r="E119" s="218">
        <v>17500.0</v>
      </c>
      <c r="F119" s="3" t="s">
        <v>5179</v>
      </c>
      <c r="G119" s="220">
        <v>43033.0</v>
      </c>
    </row>
    <row r="120">
      <c r="A120" s="217">
        <v>43094.55079828703</v>
      </c>
      <c r="B120" s="218" t="s">
        <v>5092</v>
      </c>
      <c r="C120" s="218" t="s">
        <v>5224</v>
      </c>
      <c r="D120" s="219">
        <v>1.0</v>
      </c>
      <c r="E120" s="218">
        <v>14500.0</v>
      </c>
      <c r="F120" s="3" t="s">
        <v>5179</v>
      </c>
      <c r="G120" s="220">
        <v>43064.0</v>
      </c>
    </row>
    <row r="121">
      <c r="A121" s="217">
        <v>43094.698420636574</v>
      </c>
      <c r="B121" s="218" t="s">
        <v>5092</v>
      </c>
      <c r="C121" s="218" t="s">
        <v>5225</v>
      </c>
      <c r="D121" s="219">
        <v>1.0</v>
      </c>
      <c r="E121" s="218">
        <v>16500.0</v>
      </c>
      <c r="F121" s="3" t="s">
        <v>5179</v>
      </c>
      <c r="G121" s="220">
        <v>43064.0</v>
      </c>
    </row>
    <row r="122">
      <c r="A122" s="217">
        <v>43094.69930662037</v>
      </c>
      <c r="B122" s="218" t="s">
        <v>5092</v>
      </c>
      <c r="C122" s="218" t="s">
        <v>5226</v>
      </c>
      <c r="D122" s="219">
        <v>1.0</v>
      </c>
      <c r="E122" s="218">
        <v>12500.0</v>
      </c>
      <c r="F122" s="3" t="s">
        <v>5179</v>
      </c>
      <c r="G122" s="220">
        <v>43094.0</v>
      </c>
    </row>
    <row r="123">
      <c r="A123" s="217">
        <v>43094.70071480324</v>
      </c>
      <c r="B123" s="218" t="s">
        <v>5092</v>
      </c>
      <c r="C123" s="218" t="s">
        <v>5227</v>
      </c>
      <c r="D123" s="219">
        <v>1.0</v>
      </c>
      <c r="E123" s="218">
        <v>14500.0</v>
      </c>
      <c r="F123" s="3" t="s">
        <v>5179</v>
      </c>
      <c r="G123" s="220">
        <v>43094.0</v>
      </c>
    </row>
    <row r="124">
      <c r="A124" s="217">
        <v>43094.70180642361</v>
      </c>
      <c r="B124" s="218" t="s">
        <v>5092</v>
      </c>
      <c r="C124" s="218" t="s">
        <v>5229</v>
      </c>
      <c r="D124" s="219">
        <v>1.0</v>
      </c>
      <c r="E124" s="218">
        <v>17000.0</v>
      </c>
      <c r="F124" s="3" t="s">
        <v>5179</v>
      </c>
      <c r="G124" s="220">
        <v>43094.0</v>
      </c>
    </row>
    <row r="125">
      <c r="A125" s="217">
        <v>43094.70305732639</v>
      </c>
      <c r="B125" s="218" t="s">
        <v>5092</v>
      </c>
      <c r="C125" s="218" t="s">
        <v>5230</v>
      </c>
      <c r="D125" s="219">
        <v>1.0</v>
      </c>
      <c r="E125" s="218">
        <v>17500.0</v>
      </c>
      <c r="F125" s="3" t="s">
        <v>5179</v>
      </c>
      <c r="G125" s="220">
        <v>43094.0</v>
      </c>
    </row>
    <row r="126">
      <c r="A126" s="217">
        <v>43094.70376895834</v>
      </c>
      <c r="B126" s="218" t="s">
        <v>5092</v>
      </c>
      <c r="C126" s="218" t="s">
        <v>5231</v>
      </c>
      <c r="D126" s="219">
        <v>1.0</v>
      </c>
      <c r="E126" s="218">
        <v>9500.0</v>
      </c>
      <c r="F126" s="3" t="s">
        <v>5179</v>
      </c>
      <c r="G126" s="220">
        <v>43094.0</v>
      </c>
    </row>
    <row r="127">
      <c r="A127" s="217">
        <v>43094.704393645836</v>
      </c>
      <c r="B127" s="218" t="s">
        <v>5092</v>
      </c>
      <c r="C127" s="218" t="s">
        <v>5232</v>
      </c>
      <c r="D127" s="219">
        <v>1.0</v>
      </c>
      <c r="E127" s="218">
        <v>18000.0</v>
      </c>
      <c r="F127" s="3" t="s">
        <v>5179</v>
      </c>
      <c r="G127" s="220">
        <v>43064.0</v>
      </c>
    </row>
    <row r="128">
      <c r="A128" s="217">
        <v>43094.70513472222</v>
      </c>
      <c r="B128" s="218" t="s">
        <v>5092</v>
      </c>
      <c r="C128" s="218" t="s">
        <v>2089</v>
      </c>
      <c r="D128" s="219">
        <v>1.0</v>
      </c>
      <c r="E128" s="218">
        <v>13500.0</v>
      </c>
      <c r="F128" s="3" t="s">
        <v>5179</v>
      </c>
      <c r="G128" s="220">
        <v>43094.0</v>
      </c>
    </row>
    <row r="129">
      <c r="A129" s="217">
        <v>43094.70591373843</v>
      </c>
      <c r="B129" s="218" t="s">
        <v>5092</v>
      </c>
      <c r="C129" s="218" t="s">
        <v>2084</v>
      </c>
      <c r="D129" s="219">
        <v>1.0</v>
      </c>
      <c r="E129" s="218">
        <v>11500.0</v>
      </c>
      <c r="F129" s="3" t="s">
        <v>5179</v>
      </c>
      <c r="G129" s="220">
        <v>43094.0</v>
      </c>
    </row>
    <row r="130">
      <c r="A130" s="217">
        <v>43094.70679265047</v>
      </c>
      <c r="B130" s="218" t="s">
        <v>5092</v>
      </c>
      <c r="C130" s="218" t="s">
        <v>5234</v>
      </c>
      <c r="D130" s="219">
        <v>1.0</v>
      </c>
      <c r="E130" s="218">
        <v>14700.0</v>
      </c>
      <c r="F130" s="3" t="s">
        <v>5179</v>
      </c>
      <c r="G130" s="220">
        <v>43064.0</v>
      </c>
    </row>
    <row r="131">
      <c r="A131" s="217">
        <v>43094.707775682866</v>
      </c>
      <c r="B131" s="218" t="s">
        <v>5092</v>
      </c>
      <c r="C131" s="218" t="s">
        <v>5235</v>
      </c>
      <c r="D131" s="219">
        <v>1.0</v>
      </c>
      <c r="E131" s="218">
        <v>14500.0</v>
      </c>
      <c r="F131" s="3" t="s">
        <v>5179</v>
      </c>
      <c r="G131" s="220">
        <v>43094.0</v>
      </c>
    </row>
    <row r="132">
      <c r="A132" s="217">
        <v>43094.70855729167</v>
      </c>
      <c r="B132" s="218" t="s">
        <v>5092</v>
      </c>
      <c r="C132" s="218" t="s">
        <v>5237</v>
      </c>
      <c r="D132" s="219">
        <v>1.0</v>
      </c>
      <c r="E132" s="218">
        <v>15500.0</v>
      </c>
      <c r="F132" s="3" t="s">
        <v>5179</v>
      </c>
      <c r="G132" s="220">
        <v>43064.0</v>
      </c>
    </row>
    <row r="133">
      <c r="A133" s="217">
        <v>43094.709274374996</v>
      </c>
      <c r="B133" s="218" t="s">
        <v>5092</v>
      </c>
      <c r="C133" s="218" t="s">
        <v>5239</v>
      </c>
      <c r="D133" s="219">
        <v>1.0</v>
      </c>
      <c r="E133" s="218">
        <v>9100.0</v>
      </c>
      <c r="F133" s="3" t="s">
        <v>5179</v>
      </c>
      <c r="G133" s="220">
        <v>43064.0</v>
      </c>
    </row>
    <row r="134">
      <c r="A134" s="217">
        <v>43094.709999722225</v>
      </c>
      <c r="B134" s="218" t="s">
        <v>5092</v>
      </c>
      <c r="C134" s="218" t="s">
        <v>5240</v>
      </c>
      <c r="D134" s="219">
        <v>1.0</v>
      </c>
      <c r="E134" s="218">
        <v>9210.0</v>
      </c>
      <c r="F134" s="3" t="s">
        <v>5179</v>
      </c>
      <c r="G134" s="220">
        <v>43064.0</v>
      </c>
    </row>
    <row r="135">
      <c r="A135" s="217">
        <v>43094.71104804398</v>
      </c>
      <c r="B135" s="218" t="s">
        <v>5092</v>
      </c>
      <c r="C135" s="218" t="s">
        <v>5241</v>
      </c>
      <c r="D135" s="219">
        <v>1.0</v>
      </c>
      <c r="E135" s="218">
        <v>4590.0</v>
      </c>
      <c r="F135" s="3" t="s">
        <v>5242</v>
      </c>
      <c r="G135" s="220">
        <v>43094.0</v>
      </c>
    </row>
    <row r="136">
      <c r="A136" s="217">
        <v>43094.711669861106</v>
      </c>
      <c r="B136" s="218" t="s">
        <v>5092</v>
      </c>
      <c r="C136" s="218" t="s">
        <v>1234</v>
      </c>
      <c r="D136" s="219">
        <v>1.0</v>
      </c>
      <c r="E136" s="218">
        <v>4590.0</v>
      </c>
      <c r="F136" s="3" t="s">
        <v>5242</v>
      </c>
      <c r="G136" s="220">
        <v>43064.0</v>
      </c>
    </row>
    <row r="137">
      <c r="A137" s="217">
        <v>43094.712397511576</v>
      </c>
      <c r="B137" s="218" t="s">
        <v>5092</v>
      </c>
      <c r="C137" s="218" t="s">
        <v>5244</v>
      </c>
      <c r="D137" s="219">
        <v>1.0</v>
      </c>
      <c r="E137" s="218">
        <v>4590.0</v>
      </c>
      <c r="F137" s="3" t="s">
        <v>5242</v>
      </c>
      <c r="G137" s="220">
        <v>43064.0</v>
      </c>
    </row>
    <row r="138">
      <c r="A138" s="217">
        <v>43094.714016990736</v>
      </c>
      <c r="B138" s="218" t="s">
        <v>5092</v>
      </c>
      <c r="C138" s="218" t="s">
        <v>5245</v>
      </c>
      <c r="D138" s="219">
        <v>1.0</v>
      </c>
      <c r="E138" s="218">
        <v>10500.0</v>
      </c>
      <c r="F138" s="3" t="s">
        <v>5246</v>
      </c>
      <c r="G138" s="220">
        <v>43033.0</v>
      </c>
    </row>
    <row r="139">
      <c r="A139" s="217">
        <v>43094.71536165509</v>
      </c>
      <c r="B139" s="218" t="s">
        <v>5092</v>
      </c>
      <c r="C139" s="218" t="s">
        <v>5247</v>
      </c>
      <c r="D139" s="219">
        <v>1.0</v>
      </c>
      <c r="E139" s="218">
        <v>10500.0</v>
      </c>
      <c r="F139" s="3" t="s">
        <v>5246</v>
      </c>
      <c r="G139" s="220">
        <v>43064.0</v>
      </c>
    </row>
    <row r="140">
      <c r="A140" s="217">
        <v>43094.71618166666</v>
      </c>
      <c r="B140" s="218" t="s">
        <v>5092</v>
      </c>
      <c r="C140" s="218" t="s">
        <v>5248</v>
      </c>
      <c r="D140" s="219">
        <v>1.0</v>
      </c>
      <c r="E140" s="218">
        <v>7500.0</v>
      </c>
      <c r="F140" s="3" t="s">
        <v>5246</v>
      </c>
      <c r="G140" s="220">
        <v>43094.0</v>
      </c>
    </row>
    <row r="141">
      <c r="A141" s="217">
        <v>43094.71771383102</v>
      </c>
      <c r="B141" s="218" t="s">
        <v>5092</v>
      </c>
      <c r="C141" s="218" t="s">
        <v>5249</v>
      </c>
      <c r="D141" s="219">
        <v>1.0</v>
      </c>
      <c r="E141" s="218">
        <v>10000.0</v>
      </c>
      <c r="F141" s="3" t="s">
        <v>5246</v>
      </c>
      <c r="G141" s="220">
        <v>43064.0</v>
      </c>
    </row>
    <row r="142">
      <c r="A142" s="217">
        <v>43094.719446863426</v>
      </c>
      <c r="B142" s="218" t="s">
        <v>5092</v>
      </c>
      <c r="C142" s="218" t="s">
        <v>5250</v>
      </c>
      <c r="D142" s="219">
        <v>1.0</v>
      </c>
      <c r="E142" s="218">
        <v>8500.0</v>
      </c>
      <c r="F142" s="3" t="s">
        <v>5246</v>
      </c>
      <c r="G142" s="220">
        <v>43064.0</v>
      </c>
    </row>
    <row r="143">
      <c r="A143" s="217">
        <v>43094.72123964121</v>
      </c>
      <c r="B143" s="218" t="s">
        <v>5092</v>
      </c>
      <c r="C143" s="218" t="s">
        <v>5251</v>
      </c>
      <c r="D143" s="219">
        <v>1.0</v>
      </c>
      <c r="E143" s="218">
        <v>11900.0</v>
      </c>
      <c r="F143" s="3" t="s">
        <v>5246</v>
      </c>
      <c r="G143" s="220">
        <v>43064.0</v>
      </c>
    </row>
    <row r="144">
      <c r="A144" s="217">
        <v>43094.72239265047</v>
      </c>
      <c r="B144" s="218" t="s">
        <v>5092</v>
      </c>
      <c r="C144" s="218" t="s">
        <v>5252</v>
      </c>
      <c r="D144" s="219">
        <v>1.0</v>
      </c>
      <c r="E144" s="218">
        <v>11500.0</v>
      </c>
      <c r="F144" s="3" t="s">
        <v>5246</v>
      </c>
      <c r="G144" s="220">
        <v>43094.0</v>
      </c>
    </row>
    <row r="145">
      <c r="A145" s="217">
        <v>43094.72384619213</v>
      </c>
      <c r="B145" s="218" t="s">
        <v>5092</v>
      </c>
      <c r="C145" s="218" t="s">
        <v>5253</v>
      </c>
      <c r="D145" s="219">
        <v>1.0</v>
      </c>
      <c r="E145" s="218">
        <v>8500.0</v>
      </c>
      <c r="F145" s="3" t="s">
        <v>5246</v>
      </c>
      <c r="G145" s="220">
        <v>43094.0</v>
      </c>
    </row>
    <row r="146">
      <c r="A146" s="217">
        <v>43096.45647638889</v>
      </c>
      <c r="B146" s="218" t="s">
        <v>5092</v>
      </c>
      <c r="C146" s="218" t="s">
        <v>5254</v>
      </c>
      <c r="D146" s="219">
        <v>1.0</v>
      </c>
      <c r="E146" s="218">
        <v>11500.0</v>
      </c>
      <c r="F146" s="3" t="s">
        <v>5246</v>
      </c>
      <c r="G146" s="220">
        <v>43096.0</v>
      </c>
    </row>
    <row r="147">
      <c r="A147" s="217">
        <v>43096.457200115736</v>
      </c>
      <c r="B147" s="218" t="s">
        <v>5092</v>
      </c>
      <c r="C147" s="218" t="s">
        <v>5255</v>
      </c>
      <c r="D147" s="219">
        <v>1.0</v>
      </c>
      <c r="E147" s="218">
        <v>11000.0</v>
      </c>
      <c r="F147" s="3" t="s">
        <v>5246</v>
      </c>
      <c r="G147" s="220">
        <v>43096.0</v>
      </c>
    </row>
    <row r="148">
      <c r="A148" s="217">
        <v>43096.45780708334</v>
      </c>
      <c r="B148" s="218" t="s">
        <v>5092</v>
      </c>
      <c r="C148" s="218" t="s">
        <v>5256</v>
      </c>
      <c r="D148" s="219">
        <v>1.0</v>
      </c>
      <c r="E148" s="218">
        <v>9500.0</v>
      </c>
      <c r="F148" s="3" t="s">
        <v>5246</v>
      </c>
      <c r="G148" s="220">
        <v>43096.0</v>
      </c>
    </row>
    <row r="149">
      <c r="A149" s="217">
        <v>43096.459250925924</v>
      </c>
      <c r="B149" s="218" t="s">
        <v>5092</v>
      </c>
      <c r="C149" s="218" t="s">
        <v>5257</v>
      </c>
      <c r="D149" s="219">
        <v>1.0</v>
      </c>
      <c r="E149" s="218">
        <v>8500.0</v>
      </c>
      <c r="F149" s="3" t="s">
        <v>5246</v>
      </c>
      <c r="G149" s="220">
        <v>43096.0</v>
      </c>
    </row>
    <row r="150">
      <c r="A150" s="217">
        <v>43096.46013221065</v>
      </c>
      <c r="B150" s="218" t="s">
        <v>5092</v>
      </c>
      <c r="C150" s="218" t="s">
        <v>5258</v>
      </c>
      <c r="D150" s="219">
        <v>1.0</v>
      </c>
      <c r="E150" s="218">
        <v>11500.0</v>
      </c>
      <c r="F150" s="3" t="s">
        <v>5246</v>
      </c>
      <c r="G150" s="220">
        <v>43096.0</v>
      </c>
    </row>
    <row r="151">
      <c r="A151" s="217">
        <v>43096.46102862268</v>
      </c>
      <c r="B151" s="218" t="s">
        <v>5092</v>
      </c>
      <c r="C151" s="218" t="s">
        <v>5259</v>
      </c>
      <c r="D151" s="219">
        <v>1.0</v>
      </c>
      <c r="E151" s="218">
        <v>11000.0</v>
      </c>
      <c r="F151" s="3" t="s">
        <v>5246</v>
      </c>
      <c r="G151" s="220">
        <v>43096.0</v>
      </c>
    </row>
    <row r="152">
      <c r="A152" s="217">
        <v>43096.462320729166</v>
      </c>
      <c r="B152" s="218" t="s">
        <v>5092</v>
      </c>
      <c r="C152" s="218" t="s">
        <v>5260</v>
      </c>
      <c r="D152" s="219">
        <v>1.0</v>
      </c>
      <c r="E152" s="218">
        <v>10500.0</v>
      </c>
      <c r="F152" s="3" t="s">
        <v>5246</v>
      </c>
      <c r="G152" s="220">
        <v>43096.0</v>
      </c>
    </row>
    <row r="153">
      <c r="A153" s="217">
        <v>43096.4633044213</v>
      </c>
      <c r="B153" s="218" t="s">
        <v>5092</v>
      </c>
      <c r="C153" s="218" t="s">
        <v>5261</v>
      </c>
      <c r="D153" s="219">
        <v>1.0</v>
      </c>
      <c r="E153" s="218">
        <v>10500.0</v>
      </c>
      <c r="F153" s="3" t="s">
        <v>5246</v>
      </c>
      <c r="G153" s="220">
        <v>43096.0</v>
      </c>
    </row>
    <row r="154">
      <c r="A154" s="217">
        <v>43096.465616875</v>
      </c>
      <c r="B154" s="218" t="s">
        <v>5092</v>
      </c>
      <c r="C154" s="218" t="s">
        <v>5262</v>
      </c>
      <c r="D154" s="219">
        <v>1.0</v>
      </c>
      <c r="E154" s="218">
        <v>10500.0</v>
      </c>
      <c r="F154" s="3" t="s">
        <v>5246</v>
      </c>
      <c r="G154" s="220">
        <v>43096.0</v>
      </c>
    </row>
    <row r="155">
      <c r="A155" s="217">
        <v>43096.46719135417</v>
      </c>
      <c r="B155" s="218" t="s">
        <v>5092</v>
      </c>
      <c r="C155" s="218" t="s">
        <v>5263</v>
      </c>
      <c r="D155" s="219">
        <v>1.0</v>
      </c>
      <c r="E155" s="218">
        <v>10000.0</v>
      </c>
      <c r="F155" s="3" t="s">
        <v>5246</v>
      </c>
      <c r="G155" s="220">
        <v>43096.0</v>
      </c>
    </row>
    <row r="156">
      <c r="A156" s="217">
        <v>43096.46942797454</v>
      </c>
      <c r="B156" s="218" t="s">
        <v>5092</v>
      </c>
      <c r="C156" s="218" t="s">
        <v>5264</v>
      </c>
      <c r="D156" s="219">
        <v>1.0</v>
      </c>
      <c r="E156" s="218">
        <v>12000.0</v>
      </c>
      <c r="F156" s="3" t="s">
        <v>5246</v>
      </c>
      <c r="G156" s="220">
        <v>43096.0</v>
      </c>
    </row>
    <row r="157">
      <c r="A157" s="217">
        <v>43096.47656407407</v>
      </c>
      <c r="B157" s="218" t="s">
        <v>5092</v>
      </c>
      <c r="C157" s="218" t="s">
        <v>5265</v>
      </c>
      <c r="D157" s="219">
        <v>1.0</v>
      </c>
      <c r="E157" s="218">
        <v>9000.0</v>
      </c>
      <c r="F157" s="3" t="s">
        <v>5246</v>
      </c>
      <c r="G157" s="220">
        <v>43096.0</v>
      </c>
    </row>
    <row r="158">
      <c r="A158" s="217">
        <v>43096.480512905095</v>
      </c>
      <c r="B158" s="218" t="s">
        <v>5092</v>
      </c>
      <c r="C158" s="218" t="s">
        <v>5266</v>
      </c>
      <c r="D158" s="219">
        <v>1.0</v>
      </c>
      <c r="E158" s="218">
        <v>7500.0</v>
      </c>
      <c r="F158" s="3" t="s">
        <v>5246</v>
      </c>
      <c r="G158" s="220">
        <v>43066.0</v>
      </c>
    </row>
    <row r="159">
      <c r="A159" s="217">
        <v>43096.48620752315</v>
      </c>
      <c r="B159" s="218" t="s">
        <v>5092</v>
      </c>
      <c r="C159" s="218" t="s">
        <v>5267</v>
      </c>
      <c r="D159" s="219">
        <v>1.0</v>
      </c>
      <c r="E159" s="218">
        <v>13000.0</v>
      </c>
      <c r="F159" s="3" t="s">
        <v>5246</v>
      </c>
      <c r="G159" s="220">
        <v>43096.0</v>
      </c>
    </row>
    <row r="160">
      <c r="A160" s="217">
        <v>43096.48782634259</v>
      </c>
      <c r="B160" s="218" t="s">
        <v>5092</v>
      </c>
      <c r="C160" s="218" t="s">
        <v>5269</v>
      </c>
      <c r="D160" s="219">
        <v>1.0</v>
      </c>
      <c r="E160" s="218">
        <v>9000.0</v>
      </c>
      <c r="F160" s="3" t="s">
        <v>5246</v>
      </c>
      <c r="G160" s="220">
        <v>43096.0</v>
      </c>
    </row>
    <row r="161">
      <c r="A161" s="217">
        <v>43096.48866072917</v>
      </c>
      <c r="B161" s="218" t="s">
        <v>5092</v>
      </c>
      <c r="C161" s="218" t="s">
        <v>5270</v>
      </c>
      <c r="D161" s="219">
        <v>1.0</v>
      </c>
      <c r="E161" s="218">
        <v>12500.0</v>
      </c>
      <c r="F161" s="3" t="s">
        <v>5246</v>
      </c>
      <c r="G161" s="220">
        <v>43096.0</v>
      </c>
    </row>
    <row r="162">
      <c r="A162" s="217">
        <v>43096.4899218287</v>
      </c>
      <c r="B162" s="218" t="s">
        <v>5092</v>
      </c>
      <c r="C162" s="218" t="s">
        <v>5271</v>
      </c>
      <c r="D162" s="219">
        <v>1.0</v>
      </c>
      <c r="E162" s="218">
        <v>10000.0</v>
      </c>
      <c r="F162" s="3" t="s">
        <v>5246</v>
      </c>
      <c r="G162" s="220">
        <v>43096.0</v>
      </c>
    </row>
    <row r="163">
      <c r="A163" s="217">
        <v>43096.49065857639</v>
      </c>
      <c r="B163" s="218" t="s">
        <v>5092</v>
      </c>
      <c r="C163" s="218" t="s">
        <v>5272</v>
      </c>
      <c r="D163" s="219">
        <v>1.0</v>
      </c>
      <c r="E163" s="218">
        <v>8500.0</v>
      </c>
      <c r="F163" s="3" t="s">
        <v>5246</v>
      </c>
      <c r="G163" s="220">
        <v>43096.0</v>
      </c>
    </row>
    <row r="164">
      <c r="A164" s="217">
        <v>43096.498981770834</v>
      </c>
      <c r="B164" s="218" t="s">
        <v>5092</v>
      </c>
      <c r="C164" s="218" t="s">
        <v>5273</v>
      </c>
      <c r="D164" s="219">
        <v>1.0</v>
      </c>
      <c r="E164" s="218">
        <v>8500.0</v>
      </c>
      <c r="F164" s="3" t="s">
        <v>5246</v>
      </c>
      <c r="G164" s="220">
        <v>43096.0</v>
      </c>
    </row>
    <row r="165">
      <c r="A165" s="217">
        <v>43096.66742204861</v>
      </c>
      <c r="B165" s="218" t="s">
        <v>5092</v>
      </c>
      <c r="C165" s="218" t="s">
        <v>5275</v>
      </c>
      <c r="D165" s="219">
        <v>1.0</v>
      </c>
      <c r="E165" s="218">
        <v>10500.0</v>
      </c>
      <c r="F165" s="3" t="s">
        <v>5246</v>
      </c>
      <c r="G165" s="220">
        <v>43096.0</v>
      </c>
    </row>
    <row r="166">
      <c r="A166" s="217">
        <v>43096.66837840278</v>
      </c>
      <c r="B166" s="218" t="s">
        <v>5092</v>
      </c>
      <c r="C166" s="218" t="s">
        <v>5276</v>
      </c>
      <c r="D166" s="219">
        <v>1.0</v>
      </c>
      <c r="E166" s="218">
        <v>8500.0</v>
      </c>
      <c r="F166" s="3" t="s">
        <v>5246</v>
      </c>
      <c r="G166" s="220">
        <v>43066.0</v>
      </c>
    </row>
    <row r="167">
      <c r="A167" s="217">
        <v>43096.66898873843</v>
      </c>
      <c r="B167" s="218" t="s">
        <v>5092</v>
      </c>
      <c r="C167" s="218" t="s">
        <v>5277</v>
      </c>
      <c r="D167" s="219">
        <v>1.0</v>
      </c>
      <c r="E167" s="218">
        <v>13000.0</v>
      </c>
      <c r="F167" s="3" t="s">
        <v>5246</v>
      </c>
      <c r="G167" s="220">
        <v>43096.0</v>
      </c>
    </row>
    <row r="168">
      <c r="A168" s="217">
        <v>43096.66970578703</v>
      </c>
      <c r="B168" s="218" t="s">
        <v>5092</v>
      </c>
      <c r="C168" s="218" t="s">
        <v>5278</v>
      </c>
      <c r="D168" s="219">
        <v>1.0</v>
      </c>
      <c r="E168" s="218">
        <v>5990.0</v>
      </c>
      <c r="F168" s="3" t="s">
        <v>5279</v>
      </c>
      <c r="G168" s="220">
        <v>43096.0</v>
      </c>
    </row>
    <row r="169">
      <c r="A169" s="217">
        <v>43096.67044212963</v>
      </c>
      <c r="B169" s="218" t="s">
        <v>5092</v>
      </c>
      <c r="C169" s="218" t="s">
        <v>5280</v>
      </c>
      <c r="D169" s="219">
        <v>1.0</v>
      </c>
      <c r="E169" s="218">
        <v>7090.0</v>
      </c>
      <c r="F169" s="3" t="s">
        <v>5279</v>
      </c>
      <c r="G169" s="220">
        <v>43096.0</v>
      </c>
    </row>
    <row r="170">
      <c r="A170" s="217">
        <v>43096.671351956014</v>
      </c>
      <c r="B170" s="218" t="s">
        <v>5092</v>
      </c>
      <c r="C170" s="218" t="s">
        <v>5281</v>
      </c>
      <c r="D170" s="219">
        <v>1.0</v>
      </c>
      <c r="E170" s="218">
        <v>5490.0</v>
      </c>
      <c r="F170" s="3" t="s">
        <v>5279</v>
      </c>
      <c r="G170" s="220">
        <v>43096.0</v>
      </c>
    </row>
    <row r="171">
      <c r="A171" s="217">
        <v>43096.67323547453</v>
      </c>
      <c r="B171" s="218" t="s">
        <v>5092</v>
      </c>
      <c r="C171" s="218" t="s">
        <v>5282</v>
      </c>
      <c r="D171" s="219">
        <v>1.0</v>
      </c>
      <c r="E171" s="218">
        <v>6690.0</v>
      </c>
      <c r="F171" s="3" t="s">
        <v>5279</v>
      </c>
      <c r="G171" s="220">
        <v>43096.0</v>
      </c>
    </row>
    <row r="172">
      <c r="A172" s="217">
        <v>43096.674072546295</v>
      </c>
      <c r="B172" s="218" t="s">
        <v>5092</v>
      </c>
      <c r="C172" s="218" t="s">
        <v>5283</v>
      </c>
      <c r="D172" s="219">
        <v>1.0</v>
      </c>
      <c r="E172" s="218">
        <v>6990.0</v>
      </c>
      <c r="F172" s="3" t="s">
        <v>5279</v>
      </c>
      <c r="G172" s="220">
        <v>43096.0</v>
      </c>
    </row>
    <row r="173">
      <c r="A173" s="217">
        <v>43096.67513413195</v>
      </c>
      <c r="B173" s="218" t="s">
        <v>5092</v>
      </c>
      <c r="C173" s="218" t="s">
        <v>5284</v>
      </c>
      <c r="D173" s="219">
        <v>1.0</v>
      </c>
      <c r="E173" s="218">
        <v>7790.0</v>
      </c>
      <c r="F173" s="3" t="s">
        <v>5279</v>
      </c>
      <c r="G173" s="220">
        <v>43096.0</v>
      </c>
    </row>
    <row r="174">
      <c r="A174" s="217">
        <v>43096.67574148148</v>
      </c>
      <c r="B174" s="218" t="s">
        <v>5092</v>
      </c>
      <c r="C174" s="218" t="s">
        <v>5285</v>
      </c>
      <c r="D174" s="219">
        <v>1.0</v>
      </c>
      <c r="E174" s="218">
        <v>11990.0</v>
      </c>
      <c r="F174" s="3" t="s">
        <v>5279</v>
      </c>
      <c r="G174" s="220">
        <v>43096.0</v>
      </c>
    </row>
    <row r="175">
      <c r="A175" s="217">
        <v>43096.6763465625</v>
      </c>
      <c r="B175" s="218" t="s">
        <v>5092</v>
      </c>
      <c r="C175" s="218" t="s">
        <v>5286</v>
      </c>
      <c r="D175" s="219">
        <v>1.0</v>
      </c>
      <c r="E175" s="218">
        <v>6690.0</v>
      </c>
      <c r="F175" s="3" t="s">
        <v>5279</v>
      </c>
      <c r="G175" s="220">
        <v>43096.0</v>
      </c>
    </row>
    <row r="176">
      <c r="A176" s="217">
        <v>43096.677029432874</v>
      </c>
      <c r="B176" s="218" t="s">
        <v>5092</v>
      </c>
      <c r="C176" s="218" t="s">
        <v>5287</v>
      </c>
      <c r="D176" s="219">
        <v>1.0</v>
      </c>
      <c r="E176" s="218">
        <v>8490.0</v>
      </c>
      <c r="F176" s="3" t="s">
        <v>5279</v>
      </c>
      <c r="G176" s="220">
        <v>43096.0</v>
      </c>
    </row>
    <row r="177">
      <c r="A177" s="217">
        <v>43096.67795729167</v>
      </c>
      <c r="B177" s="218" t="s">
        <v>5092</v>
      </c>
      <c r="C177" s="218" t="s">
        <v>5288</v>
      </c>
      <c r="D177" s="219">
        <v>1.0</v>
      </c>
      <c r="E177" s="218">
        <v>9990.0</v>
      </c>
      <c r="F177" s="3" t="s">
        <v>5279</v>
      </c>
      <c r="G177" s="220">
        <v>43096.0</v>
      </c>
    </row>
    <row r="178">
      <c r="A178" s="217">
        <v>43096.67871960648</v>
      </c>
      <c r="B178" s="218" t="s">
        <v>5092</v>
      </c>
      <c r="C178" s="218" t="s">
        <v>5289</v>
      </c>
      <c r="D178" s="219">
        <v>1.0</v>
      </c>
      <c r="E178" s="218">
        <v>2990.0</v>
      </c>
      <c r="F178" s="3" t="s">
        <v>5279</v>
      </c>
      <c r="G178" s="220">
        <v>43096.0</v>
      </c>
    </row>
    <row r="179">
      <c r="A179" s="217">
        <v>43096.680825856485</v>
      </c>
      <c r="B179" s="218" t="s">
        <v>5092</v>
      </c>
      <c r="C179" s="218" t="s">
        <v>4649</v>
      </c>
      <c r="D179" s="219">
        <v>1.0</v>
      </c>
      <c r="E179" s="218">
        <v>950.0</v>
      </c>
      <c r="F179" s="3" t="s">
        <v>5279</v>
      </c>
      <c r="G179" s="220">
        <v>43096.0</v>
      </c>
    </row>
    <row r="180">
      <c r="A180" s="217">
        <v>43096.68164388889</v>
      </c>
      <c r="B180" s="218" t="s">
        <v>5092</v>
      </c>
      <c r="C180" s="218" t="s">
        <v>4651</v>
      </c>
      <c r="D180" s="219">
        <v>1.0</v>
      </c>
      <c r="E180" s="218">
        <v>850.0</v>
      </c>
      <c r="F180" s="3" t="s">
        <v>5279</v>
      </c>
      <c r="G180" s="220">
        <v>43096.0</v>
      </c>
    </row>
    <row r="181">
      <c r="A181" s="217">
        <v>43096.68247221065</v>
      </c>
      <c r="B181" s="218" t="s">
        <v>5092</v>
      </c>
      <c r="C181" s="218" t="s">
        <v>4556</v>
      </c>
      <c r="D181" s="219">
        <v>1.0</v>
      </c>
      <c r="E181" s="218">
        <v>895.0</v>
      </c>
      <c r="F181" s="3" t="s">
        <v>5279</v>
      </c>
      <c r="G181" s="220">
        <v>43096.0</v>
      </c>
    </row>
    <row r="182">
      <c r="A182" s="217">
        <v>43096.6837419213</v>
      </c>
      <c r="B182" s="218" t="s">
        <v>5092</v>
      </c>
      <c r="C182" s="218" t="s">
        <v>4553</v>
      </c>
      <c r="D182" s="219">
        <v>1.0</v>
      </c>
      <c r="E182" s="218">
        <v>995.0</v>
      </c>
      <c r="F182" s="3" t="s">
        <v>5279</v>
      </c>
      <c r="G182" s="220">
        <v>43096.0</v>
      </c>
    </row>
    <row r="183">
      <c r="A183" s="217">
        <v>43096.684762777775</v>
      </c>
      <c r="B183" s="218" t="s">
        <v>5092</v>
      </c>
      <c r="C183" s="218" t="s">
        <v>4666</v>
      </c>
      <c r="D183" s="219">
        <v>1.0</v>
      </c>
      <c r="E183" s="218">
        <v>895.0</v>
      </c>
      <c r="F183" s="3" t="s">
        <v>5279</v>
      </c>
      <c r="G183" s="220">
        <v>43096.0</v>
      </c>
    </row>
    <row r="184">
      <c r="A184" s="217">
        <v>43096.685717546294</v>
      </c>
      <c r="B184" s="218" t="s">
        <v>5092</v>
      </c>
      <c r="C184" s="218" t="s">
        <v>4660</v>
      </c>
      <c r="D184" s="219">
        <v>1.0</v>
      </c>
      <c r="E184" s="218">
        <v>850.0</v>
      </c>
      <c r="F184" s="3" t="s">
        <v>5279</v>
      </c>
      <c r="G184" s="220">
        <v>43096.0</v>
      </c>
    </row>
    <row r="185">
      <c r="A185" s="217">
        <v>43096.68666369213</v>
      </c>
      <c r="B185" s="218" t="s">
        <v>5092</v>
      </c>
      <c r="C185" s="218" t="s">
        <v>4661</v>
      </c>
      <c r="D185" s="219">
        <v>1.0</v>
      </c>
      <c r="E185" s="218">
        <v>995.0</v>
      </c>
      <c r="F185" s="3" t="s">
        <v>5279</v>
      </c>
      <c r="G185" s="220">
        <v>43096.0</v>
      </c>
    </row>
    <row r="186">
      <c r="A186" s="217">
        <v>43096.688082650464</v>
      </c>
      <c r="B186" s="218" t="s">
        <v>5092</v>
      </c>
      <c r="C186" s="218" t="s">
        <v>4668</v>
      </c>
      <c r="D186" s="219">
        <v>1.0</v>
      </c>
      <c r="E186" s="218">
        <v>1895.0</v>
      </c>
      <c r="F186" s="3" t="s">
        <v>5279</v>
      </c>
      <c r="G186" s="220">
        <v>43096.0</v>
      </c>
    </row>
    <row r="187">
      <c r="A187" s="217">
        <v>43096.6913512037</v>
      </c>
      <c r="B187" s="218" t="s">
        <v>5092</v>
      </c>
      <c r="C187" s="218" t="s">
        <v>4500</v>
      </c>
      <c r="D187" s="219">
        <v>3.0</v>
      </c>
      <c r="E187" s="218">
        <v>1850.0</v>
      </c>
      <c r="F187" s="3" t="s">
        <v>5293</v>
      </c>
      <c r="G187" s="220">
        <v>43096.0</v>
      </c>
    </row>
    <row r="188">
      <c r="A188" s="217">
        <v>43096.692194386575</v>
      </c>
      <c r="B188" s="218" t="s">
        <v>5092</v>
      </c>
      <c r="C188" s="218" t="s">
        <v>4508</v>
      </c>
      <c r="D188" s="219">
        <v>1.0</v>
      </c>
      <c r="E188" s="218">
        <v>1995.0</v>
      </c>
      <c r="F188" s="3" t="s">
        <v>5293</v>
      </c>
      <c r="G188" s="220">
        <v>43096.0</v>
      </c>
    </row>
    <row r="189">
      <c r="A189" s="217">
        <v>43096.693356539356</v>
      </c>
      <c r="B189" s="218" t="s">
        <v>5092</v>
      </c>
      <c r="C189" s="218" t="s">
        <v>4507</v>
      </c>
      <c r="D189" s="219">
        <v>2.0</v>
      </c>
      <c r="E189" s="218">
        <v>1295.0</v>
      </c>
      <c r="F189" s="3" t="s">
        <v>5293</v>
      </c>
      <c r="G189" s="220">
        <v>43096.0</v>
      </c>
    </row>
    <row r="190">
      <c r="A190" s="217">
        <v>43096.6950524537</v>
      </c>
      <c r="B190" s="218" t="s">
        <v>5092</v>
      </c>
      <c r="C190" s="218" t="s">
        <v>4502</v>
      </c>
      <c r="D190" s="219">
        <v>3.0</v>
      </c>
      <c r="E190" s="218">
        <v>1850.0</v>
      </c>
      <c r="F190" s="3" t="s">
        <v>5293</v>
      </c>
      <c r="G190" s="220">
        <v>43096.0</v>
      </c>
    </row>
    <row r="191">
      <c r="A191" s="217">
        <v>43097.65195890046</v>
      </c>
      <c r="B191" s="218" t="s">
        <v>5092</v>
      </c>
      <c r="C191" s="218" t="s">
        <v>4504</v>
      </c>
      <c r="D191" s="219">
        <v>1.0</v>
      </c>
      <c r="E191" s="218">
        <v>2150.0</v>
      </c>
      <c r="F191" s="3" t="s">
        <v>5293</v>
      </c>
      <c r="G191" s="220">
        <v>43097.0</v>
      </c>
    </row>
    <row r="192">
      <c r="A192" s="217">
        <v>43097.653240011576</v>
      </c>
      <c r="B192" s="218" t="s">
        <v>5092</v>
      </c>
      <c r="C192" s="218" t="s">
        <v>4505</v>
      </c>
      <c r="D192" s="219">
        <v>2.0</v>
      </c>
      <c r="E192" s="218">
        <v>1850.0</v>
      </c>
      <c r="F192" s="3" t="s">
        <v>5293</v>
      </c>
      <c r="G192" s="220">
        <v>43097.0</v>
      </c>
    </row>
    <row r="193">
      <c r="A193" s="217">
        <v>43097.661568379626</v>
      </c>
      <c r="B193" s="218" t="s">
        <v>5092</v>
      </c>
      <c r="C193" s="218" t="s">
        <v>4511</v>
      </c>
      <c r="D193" s="219">
        <v>1.0</v>
      </c>
      <c r="E193" s="218">
        <v>2450.0</v>
      </c>
      <c r="F193" s="3" t="s">
        <v>5293</v>
      </c>
      <c r="G193" s="220">
        <v>43097.0</v>
      </c>
    </row>
    <row r="194">
      <c r="A194" s="217">
        <v>43097.665583553244</v>
      </c>
      <c r="B194" s="218" t="s">
        <v>5092</v>
      </c>
      <c r="C194" s="218" t="s">
        <v>4530</v>
      </c>
      <c r="D194" s="219">
        <v>1.0</v>
      </c>
      <c r="E194" s="218">
        <v>1795.0</v>
      </c>
      <c r="F194" s="3" t="s">
        <v>5293</v>
      </c>
      <c r="G194" s="220">
        <v>43097.0</v>
      </c>
    </row>
    <row r="195">
      <c r="A195" s="217">
        <v>43098.369853449076</v>
      </c>
      <c r="B195" s="218" t="s">
        <v>5092</v>
      </c>
      <c r="C195" s="218" t="s">
        <v>4524</v>
      </c>
      <c r="D195" s="219">
        <v>1.0</v>
      </c>
      <c r="E195" s="218">
        <v>1895.0</v>
      </c>
      <c r="F195" s="3" t="s">
        <v>5293</v>
      </c>
      <c r="G195" s="220">
        <v>43098.0</v>
      </c>
    </row>
    <row r="196">
      <c r="A196" s="217">
        <v>43098.37059583333</v>
      </c>
      <c r="B196" s="218" t="s">
        <v>5092</v>
      </c>
      <c r="C196" s="218" t="s">
        <v>4516</v>
      </c>
      <c r="D196" s="219">
        <v>1.0</v>
      </c>
      <c r="E196" s="218">
        <v>1895.0</v>
      </c>
      <c r="F196" s="3" t="s">
        <v>5293</v>
      </c>
      <c r="G196" s="220">
        <v>43098.0</v>
      </c>
    </row>
    <row r="197">
      <c r="A197" s="217">
        <v>43098.374217199074</v>
      </c>
      <c r="B197" s="218" t="s">
        <v>5092</v>
      </c>
      <c r="C197" s="218" t="s">
        <v>4527</v>
      </c>
      <c r="D197" s="219">
        <v>1.0</v>
      </c>
      <c r="E197" s="218">
        <v>1795.0</v>
      </c>
      <c r="F197" s="3" t="s">
        <v>5293</v>
      </c>
      <c r="G197" s="220">
        <v>43098.0</v>
      </c>
    </row>
    <row r="198">
      <c r="A198" s="217">
        <v>43098.37516236111</v>
      </c>
      <c r="B198" s="218" t="s">
        <v>5092</v>
      </c>
      <c r="C198" s="218" t="s">
        <v>4564</v>
      </c>
      <c r="D198" s="219">
        <v>1.0</v>
      </c>
      <c r="E198" s="218">
        <v>1995.0</v>
      </c>
      <c r="F198" s="3" t="s">
        <v>5295</v>
      </c>
      <c r="G198" s="220">
        <v>43098.0</v>
      </c>
    </row>
    <row r="199">
      <c r="A199" s="217">
        <v>43098.375976145835</v>
      </c>
      <c r="B199" s="218" t="s">
        <v>5092</v>
      </c>
      <c r="C199" s="218" t="s">
        <v>4540</v>
      </c>
      <c r="D199" s="219">
        <v>1.0</v>
      </c>
      <c r="E199" s="218">
        <v>2495.0</v>
      </c>
      <c r="F199" s="3" t="s">
        <v>5295</v>
      </c>
      <c r="G199" s="220">
        <v>43098.0</v>
      </c>
    </row>
    <row r="200">
      <c r="A200" s="217">
        <v>43098.37927185185</v>
      </c>
      <c r="B200" s="218" t="s">
        <v>5092</v>
      </c>
      <c r="C200" s="218" t="s">
        <v>4520</v>
      </c>
      <c r="D200" s="219">
        <v>2.0</v>
      </c>
      <c r="E200" s="218">
        <v>2495.0</v>
      </c>
      <c r="F200" s="3" t="s">
        <v>5295</v>
      </c>
      <c r="G200" s="220">
        <v>43098.0</v>
      </c>
    </row>
    <row r="201">
      <c r="A201" s="217">
        <v>43098.38021862268</v>
      </c>
      <c r="B201" s="218" t="s">
        <v>5092</v>
      </c>
      <c r="C201" s="218" t="s">
        <v>4551</v>
      </c>
      <c r="D201" s="219">
        <v>2.0</v>
      </c>
      <c r="E201" s="218">
        <v>2150.0</v>
      </c>
      <c r="F201" s="3" t="s">
        <v>5295</v>
      </c>
      <c r="G201" s="220">
        <v>43098.0</v>
      </c>
    </row>
    <row r="202">
      <c r="A202" s="217">
        <v>43098.38108724537</v>
      </c>
      <c r="B202" s="218" t="s">
        <v>5092</v>
      </c>
      <c r="C202" s="218" t="s">
        <v>4535</v>
      </c>
      <c r="D202" s="219">
        <v>1.0</v>
      </c>
      <c r="E202" s="218">
        <v>2495.0</v>
      </c>
      <c r="F202" s="3" t="s">
        <v>5295</v>
      </c>
      <c r="G202" s="220">
        <v>43098.0</v>
      </c>
    </row>
    <row r="203">
      <c r="A203" s="217">
        <v>43098.38193030092</v>
      </c>
      <c r="B203" s="218" t="s">
        <v>5092</v>
      </c>
      <c r="C203" s="218" t="s">
        <v>4513</v>
      </c>
      <c r="D203" s="219">
        <v>1.0</v>
      </c>
      <c r="E203" s="218">
        <v>1995.0</v>
      </c>
      <c r="F203" s="3" t="s">
        <v>5295</v>
      </c>
      <c r="G203" s="220">
        <v>43098.0</v>
      </c>
    </row>
    <row r="204">
      <c r="A204" s="217">
        <v>43098.38290866898</v>
      </c>
      <c r="B204" s="218" t="s">
        <v>5092</v>
      </c>
      <c r="C204" s="218" t="s">
        <v>4547</v>
      </c>
      <c r="D204" s="219">
        <v>1.0</v>
      </c>
      <c r="E204" s="218">
        <v>2150.0</v>
      </c>
      <c r="F204" s="3" t="s">
        <v>5295</v>
      </c>
      <c r="G204" s="220">
        <v>43098.0</v>
      </c>
    </row>
    <row r="205">
      <c r="A205" s="217">
        <v>43098.38372378472</v>
      </c>
      <c r="B205" s="218" t="s">
        <v>5092</v>
      </c>
      <c r="C205" s="218" t="s">
        <v>4518</v>
      </c>
      <c r="D205" s="219">
        <v>3.0</v>
      </c>
      <c r="E205" s="218">
        <v>2295.0</v>
      </c>
      <c r="F205" s="3" t="s">
        <v>5295</v>
      </c>
      <c r="G205" s="220">
        <v>43098.0</v>
      </c>
    </row>
    <row r="206">
      <c r="A206" s="217">
        <v>43098.38468752315</v>
      </c>
      <c r="B206" s="218" t="s">
        <v>5092</v>
      </c>
      <c r="C206" s="218" t="s">
        <v>4538</v>
      </c>
      <c r="D206" s="219">
        <v>2.0</v>
      </c>
      <c r="E206" s="218">
        <v>2150.0</v>
      </c>
      <c r="F206" s="3" t="s">
        <v>5295</v>
      </c>
      <c r="G206" s="220">
        <v>43098.0</v>
      </c>
    </row>
    <row r="207">
      <c r="A207" s="217">
        <v>43098.38582418981</v>
      </c>
      <c r="B207" s="218" t="s">
        <v>5092</v>
      </c>
      <c r="C207" s="218" t="s">
        <v>4570</v>
      </c>
      <c r="D207" s="219">
        <v>1.0</v>
      </c>
      <c r="E207" s="218">
        <v>2495.0</v>
      </c>
      <c r="F207" s="3" t="s">
        <v>5295</v>
      </c>
      <c r="G207" s="220">
        <v>43098.0</v>
      </c>
    </row>
    <row r="208">
      <c r="A208" s="217">
        <v>43098.38680435185</v>
      </c>
      <c r="B208" s="218" t="s">
        <v>5092</v>
      </c>
      <c r="C208" s="218" t="s">
        <v>4554</v>
      </c>
      <c r="D208" s="219">
        <v>1.0</v>
      </c>
      <c r="E208" s="218">
        <v>2095.0</v>
      </c>
      <c r="F208" s="3" t="s">
        <v>5295</v>
      </c>
      <c r="G208" s="220">
        <v>43098.0</v>
      </c>
    </row>
    <row r="209">
      <c r="A209" s="217">
        <v>43098.38794327546</v>
      </c>
      <c r="B209" s="218" t="s">
        <v>5092</v>
      </c>
      <c r="C209" s="218" t="s">
        <v>4543</v>
      </c>
      <c r="D209" s="219">
        <v>2.0</v>
      </c>
      <c r="E209" s="218">
        <v>2150.0</v>
      </c>
      <c r="F209" s="3" t="s">
        <v>5295</v>
      </c>
      <c r="G209" s="220">
        <v>43098.0</v>
      </c>
    </row>
    <row r="210">
      <c r="A210" s="217">
        <v>43098.388861423606</v>
      </c>
      <c r="B210" s="218" t="s">
        <v>5092</v>
      </c>
      <c r="C210" s="218" t="s">
        <v>4510</v>
      </c>
      <c r="D210" s="219">
        <v>1.0</v>
      </c>
      <c r="E210" s="218">
        <v>1995.0</v>
      </c>
      <c r="F210" s="3" t="s">
        <v>5295</v>
      </c>
      <c r="G210" s="220">
        <v>43098.0</v>
      </c>
    </row>
    <row r="211">
      <c r="A211" s="217">
        <v>43098.389572245374</v>
      </c>
      <c r="B211" s="218" t="s">
        <v>5092</v>
      </c>
      <c r="C211" s="218" t="s">
        <v>4515</v>
      </c>
      <c r="D211" s="219">
        <v>1.0</v>
      </c>
      <c r="E211" s="218">
        <v>2150.0</v>
      </c>
      <c r="F211" s="3" t="s">
        <v>5295</v>
      </c>
      <c r="G211" s="220">
        <v>43098.0</v>
      </c>
    </row>
    <row r="212">
      <c r="A212" s="217">
        <v>43098.39041582176</v>
      </c>
      <c r="B212" s="218" t="s">
        <v>5092</v>
      </c>
      <c r="C212" s="218" t="s">
        <v>4523</v>
      </c>
      <c r="D212" s="219">
        <v>1.0</v>
      </c>
      <c r="E212" s="218">
        <v>2295.0</v>
      </c>
      <c r="F212" s="3" t="s">
        <v>5295</v>
      </c>
      <c r="G212" s="220">
        <v>43098.0</v>
      </c>
    </row>
    <row r="213">
      <c r="A213" s="217">
        <v>43099.448149398144</v>
      </c>
      <c r="B213" s="218" t="s">
        <v>5092</v>
      </c>
      <c r="C213" s="218" t="s">
        <v>4618</v>
      </c>
      <c r="D213" s="219">
        <v>1.0</v>
      </c>
      <c r="E213" s="218">
        <v>1195.0</v>
      </c>
      <c r="F213" s="3" t="s">
        <v>5295</v>
      </c>
      <c r="G213" s="220">
        <v>43099.0</v>
      </c>
    </row>
    <row r="214">
      <c r="A214" s="217">
        <v>43099.448891886575</v>
      </c>
      <c r="B214" s="218" t="s">
        <v>5092</v>
      </c>
      <c r="C214" s="218" t="s">
        <v>4616</v>
      </c>
      <c r="D214" s="219">
        <v>1.0</v>
      </c>
      <c r="E214" s="218">
        <v>1350.0</v>
      </c>
      <c r="F214" s="3" t="s">
        <v>5295</v>
      </c>
      <c r="G214" s="220">
        <v>43099.0</v>
      </c>
    </row>
    <row r="215">
      <c r="A215" s="217">
        <v>43099.45236146991</v>
      </c>
      <c r="B215" s="218" t="s">
        <v>5092</v>
      </c>
      <c r="C215" s="218" t="s">
        <v>4629</v>
      </c>
      <c r="D215" s="219">
        <v>1.0</v>
      </c>
      <c r="E215" s="218">
        <v>1295.0</v>
      </c>
      <c r="F215" s="3" t="s">
        <v>5295</v>
      </c>
      <c r="G215" s="220">
        <v>43099.0</v>
      </c>
    </row>
    <row r="216">
      <c r="A216" s="217">
        <v>43099.45408109954</v>
      </c>
      <c r="B216" s="218" t="s">
        <v>5092</v>
      </c>
      <c r="C216" s="218" t="s">
        <v>4592</v>
      </c>
      <c r="D216" s="219">
        <v>1.0</v>
      </c>
      <c r="E216" s="218">
        <v>995.0</v>
      </c>
      <c r="F216" s="3" t="s">
        <v>5295</v>
      </c>
      <c r="G216" s="220">
        <v>43099.0</v>
      </c>
    </row>
    <row r="217">
      <c r="A217" s="217">
        <v>43099.45801127315</v>
      </c>
      <c r="B217" s="218" t="s">
        <v>5092</v>
      </c>
      <c r="C217" s="218" t="s">
        <v>4631</v>
      </c>
      <c r="D217" s="219">
        <v>1.0</v>
      </c>
      <c r="E217" s="218">
        <v>1295.0</v>
      </c>
      <c r="F217" s="3" t="s">
        <v>5295</v>
      </c>
      <c r="G217" s="220">
        <v>43099.0</v>
      </c>
    </row>
    <row r="218">
      <c r="A218" s="217">
        <v>43099.45910383102</v>
      </c>
      <c r="B218" s="218" t="s">
        <v>5092</v>
      </c>
      <c r="C218" s="218" t="s">
        <v>4637</v>
      </c>
      <c r="D218" s="219">
        <v>1.0</v>
      </c>
      <c r="E218" s="218">
        <v>1750.0</v>
      </c>
      <c r="F218" s="3" t="s">
        <v>5295</v>
      </c>
      <c r="G218" s="220">
        <v>43099.0</v>
      </c>
    </row>
    <row r="219">
      <c r="A219" s="217">
        <v>43099.45985876158</v>
      </c>
      <c r="B219" s="218" t="s">
        <v>5092</v>
      </c>
      <c r="C219" s="218" t="s">
        <v>5297</v>
      </c>
      <c r="D219" s="219">
        <v>1.0</v>
      </c>
      <c r="E219" s="218">
        <v>895.0</v>
      </c>
      <c r="F219" s="3" t="s">
        <v>5295</v>
      </c>
      <c r="G219" s="220">
        <v>43099.0</v>
      </c>
    </row>
    <row r="220">
      <c r="A220" s="217">
        <v>43099.46126244213</v>
      </c>
      <c r="B220" s="218" t="s">
        <v>5092</v>
      </c>
      <c r="C220" s="218" t="s">
        <v>4605</v>
      </c>
      <c r="D220" s="219">
        <v>1.0</v>
      </c>
      <c r="E220" s="218">
        <v>895.0</v>
      </c>
      <c r="F220" s="3" t="s">
        <v>5295</v>
      </c>
      <c r="G220" s="220">
        <v>43099.0</v>
      </c>
    </row>
    <row r="221">
      <c r="A221" s="217">
        <v>43099.4625287963</v>
      </c>
      <c r="B221" s="218" t="s">
        <v>5092</v>
      </c>
      <c r="C221" s="218" t="s">
        <v>4574</v>
      </c>
      <c r="D221" s="219">
        <v>2.0</v>
      </c>
      <c r="E221" s="218">
        <v>1295.0</v>
      </c>
      <c r="F221" s="3" t="s">
        <v>5298</v>
      </c>
      <c r="G221" s="220">
        <v>43099.0</v>
      </c>
    </row>
    <row r="222">
      <c r="A222" s="217">
        <v>43099.463527685184</v>
      </c>
      <c r="B222" s="218" t="s">
        <v>5092</v>
      </c>
      <c r="C222" s="218" t="s">
        <v>4627</v>
      </c>
      <c r="D222" s="219">
        <v>1.0</v>
      </c>
      <c r="E222" s="218">
        <v>1650.0</v>
      </c>
      <c r="F222" s="3" t="s">
        <v>5298</v>
      </c>
      <c r="G222" s="220">
        <v>43099.0</v>
      </c>
    </row>
    <row r="223">
      <c r="A223" s="217">
        <v>43099.67380394676</v>
      </c>
      <c r="B223" s="218" t="s">
        <v>5092</v>
      </c>
      <c r="C223" s="218" t="s">
        <v>4598</v>
      </c>
      <c r="D223" s="219">
        <v>3.0</v>
      </c>
      <c r="E223" s="218">
        <v>1395.0</v>
      </c>
      <c r="F223" s="3" t="s">
        <v>5298</v>
      </c>
      <c r="G223" s="220">
        <v>43099.0</v>
      </c>
    </row>
    <row r="224">
      <c r="A224" s="217">
        <v>43099.67511711805</v>
      </c>
      <c r="B224" s="218" t="s">
        <v>5092</v>
      </c>
      <c r="C224" s="218" t="s">
        <v>4550</v>
      </c>
      <c r="D224" s="219">
        <v>1.0</v>
      </c>
      <c r="E224" s="218">
        <v>2450.0</v>
      </c>
      <c r="F224" s="3" t="s">
        <v>5298</v>
      </c>
      <c r="G224" s="220">
        <v>43099.0</v>
      </c>
    </row>
    <row r="225">
      <c r="A225" s="217">
        <v>43099.676409259264</v>
      </c>
      <c r="B225" s="218" t="s">
        <v>5092</v>
      </c>
      <c r="C225" s="218" t="s">
        <v>4542</v>
      </c>
      <c r="D225" s="219">
        <v>1.0</v>
      </c>
      <c r="E225" s="218">
        <v>2395.0</v>
      </c>
      <c r="F225" s="3" t="s">
        <v>5298</v>
      </c>
      <c r="G225" s="220">
        <v>43099.0</v>
      </c>
    </row>
    <row r="226">
      <c r="A226" s="217">
        <v>43099.67729261574</v>
      </c>
      <c r="B226" s="218" t="s">
        <v>5092</v>
      </c>
      <c r="C226" s="218" t="s">
        <v>4537</v>
      </c>
      <c r="D226" s="219">
        <v>1.0</v>
      </c>
      <c r="E226" s="218">
        <v>1495.0</v>
      </c>
      <c r="F226" s="3" t="s">
        <v>5298</v>
      </c>
      <c r="G226" s="220">
        <v>43099.0</v>
      </c>
    </row>
    <row r="227">
      <c r="A227" s="217">
        <v>43099.67820783565</v>
      </c>
      <c r="B227" s="218" t="s">
        <v>5092</v>
      </c>
      <c r="C227" s="218" t="s">
        <v>4546</v>
      </c>
      <c r="D227" s="219">
        <v>2.0</v>
      </c>
      <c r="E227" s="218">
        <v>1950.0</v>
      </c>
      <c r="F227" s="3" t="s">
        <v>5298</v>
      </c>
      <c r="G227" s="220">
        <v>43099.0</v>
      </c>
    </row>
    <row r="228">
      <c r="A228" s="217">
        <v>43099.67918010417</v>
      </c>
      <c r="B228" s="218" t="s">
        <v>5092</v>
      </c>
      <c r="C228" s="218" t="s">
        <v>4539</v>
      </c>
      <c r="D228" s="219">
        <v>1.0</v>
      </c>
      <c r="E228" s="218">
        <v>2450.0</v>
      </c>
      <c r="F228" s="3" t="s">
        <v>5298</v>
      </c>
      <c r="G228" s="220">
        <v>43099.0</v>
      </c>
    </row>
    <row r="229">
      <c r="A229" s="217">
        <v>43099.68003329861</v>
      </c>
      <c r="B229" s="218" t="s">
        <v>5092</v>
      </c>
      <c r="C229" s="218" t="s">
        <v>4534</v>
      </c>
      <c r="D229" s="219">
        <v>1.0</v>
      </c>
      <c r="E229" s="218">
        <v>1295.0</v>
      </c>
      <c r="F229" s="3" t="s">
        <v>5298</v>
      </c>
      <c r="G229" s="220">
        <v>43099.0</v>
      </c>
    </row>
    <row r="230">
      <c r="A230" s="217">
        <v>43099.68100818287</v>
      </c>
      <c r="B230" s="218" t="s">
        <v>5092</v>
      </c>
      <c r="C230" s="218" t="s">
        <v>4638</v>
      </c>
      <c r="D230" s="219">
        <v>1.0</v>
      </c>
      <c r="E230" s="218">
        <v>1495.0</v>
      </c>
      <c r="F230" s="3" t="s">
        <v>5298</v>
      </c>
      <c r="G230" s="220">
        <v>43099.0</v>
      </c>
    </row>
    <row r="231">
      <c r="A231" s="217">
        <v>43099.68186784722</v>
      </c>
      <c r="B231" s="218" t="s">
        <v>5092</v>
      </c>
      <c r="C231" s="218" t="s">
        <v>5301</v>
      </c>
      <c r="D231" s="219">
        <v>1.0</v>
      </c>
      <c r="E231" s="218">
        <v>1495.0</v>
      </c>
      <c r="F231" s="3" t="s">
        <v>5298</v>
      </c>
      <c r="G231" s="220">
        <v>43099.0</v>
      </c>
    </row>
    <row r="232">
      <c r="A232" s="217">
        <v>43099.68255806713</v>
      </c>
      <c r="B232" s="218" t="s">
        <v>5092</v>
      </c>
      <c r="C232" s="218" t="s">
        <v>4600</v>
      </c>
      <c r="D232" s="219">
        <v>1.0</v>
      </c>
      <c r="E232" s="218">
        <v>1395.0</v>
      </c>
      <c r="F232" s="3" t="s">
        <v>5298</v>
      </c>
      <c r="G232" s="220">
        <v>43099.0</v>
      </c>
    </row>
    <row r="233">
      <c r="A233" s="217">
        <v>43099.68338202546</v>
      </c>
      <c r="B233" s="218" t="s">
        <v>5092</v>
      </c>
      <c r="C233" s="218" t="s">
        <v>4532</v>
      </c>
      <c r="D233" s="219">
        <v>3.0</v>
      </c>
      <c r="E233" s="218">
        <v>1295.0</v>
      </c>
      <c r="F233" s="3" t="s">
        <v>5298</v>
      </c>
      <c r="G233" s="220">
        <v>43099.0</v>
      </c>
    </row>
    <row r="234">
      <c r="A234" s="217">
        <v>43099.68400311343</v>
      </c>
      <c r="B234" s="218" t="s">
        <v>5092</v>
      </c>
      <c r="C234" s="218" t="s">
        <v>4619</v>
      </c>
      <c r="D234" s="219">
        <v>1.0</v>
      </c>
      <c r="E234" s="218">
        <v>1450.0</v>
      </c>
      <c r="F234" s="3" t="s">
        <v>5298</v>
      </c>
      <c r="G234" s="220">
        <v>43099.0</v>
      </c>
    </row>
    <row r="235">
      <c r="A235" s="217">
        <v>43099.68490596065</v>
      </c>
      <c r="B235" s="218" t="s">
        <v>5092</v>
      </c>
      <c r="C235" s="218" t="s">
        <v>4585</v>
      </c>
      <c r="D235" s="219">
        <v>1.0</v>
      </c>
      <c r="E235" s="218">
        <v>1795.0</v>
      </c>
      <c r="F235" s="3" t="s">
        <v>5298</v>
      </c>
      <c r="G235" s="220">
        <v>43099.0</v>
      </c>
    </row>
    <row r="236">
      <c r="A236" s="217">
        <v>43099.68577658565</v>
      </c>
      <c r="B236" s="218" t="s">
        <v>5092</v>
      </c>
      <c r="C236" s="218" t="s">
        <v>4591</v>
      </c>
      <c r="D236" s="219">
        <v>1.0</v>
      </c>
      <c r="E236" s="218">
        <v>1750.0</v>
      </c>
      <c r="F236" s="3" t="s">
        <v>5298</v>
      </c>
      <c r="G236" s="220">
        <v>43099.0</v>
      </c>
    </row>
    <row r="237">
      <c r="A237" s="217">
        <v>43099.68820928241</v>
      </c>
      <c r="B237" s="218" t="s">
        <v>5092</v>
      </c>
      <c r="C237" s="218" t="s">
        <v>4549</v>
      </c>
      <c r="D237" s="219">
        <v>2.0</v>
      </c>
      <c r="E237" s="218">
        <v>1395.0</v>
      </c>
      <c r="F237" s="3" t="s">
        <v>5298</v>
      </c>
      <c r="G237" s="220">
        <v>43099.0</v>
      </c>
    </row>
    <row r="238">
      <c r="A238" s="217">
        <v>43099.69004390047</v>
      </c>
      <c r="B238" s="218" t="s">
        <v>5092</v>
      </c>
      <c r="C238" s="218" t="s">
        <v>4529</v>
      </c>
      <c r="D238" s="219">
        <v>1.0</v>
      </c>
      <c r="E238" s="218">
        <v>1595.0</v>
      </c>
      <c r="F238" s="3" t="s">
        <v>5298</v>
      </c>
      <c r="G238" s="220">
        <v>43099.0</v>
      </c>
    </row>
    <row r="239">
      <c r="A239" s="217">
        <v>43099.68912898148</v>
      </c>
      <c r="B239" s="218" t="s">
        <v>5092</v>
      </c>
      <c r="C239" s="218" t="s">
        <v>4539</v>
      </c>
      <c r="D239" s="219">
        <v>1.0</v>
      </c>
      <c r="E239" s="218">
        <v>2395.0</v>
      </c>
      <c r="F239" s="3" t="s">
        <v>5298</v>
      </c>
      <c r="G239" s="220">
        <v>43099.0</v>
      </c>
    </row>
    <row r="240">
      <c r="A240" s="217">
        <v>43099.69087917824</v>
      </c>
      <c r="B240" s="218" t="s">
        <v>5092</v>
      </c>
      <c r="C240" s="218" t="s">
        <v>4594</v>
      </c>
      <c r="D240" s="219">
        <v>1.0</v>
      </c>
      <c r="E240" s="218">
        <v>995.0</v>
      </c>
      <c r="F240" s="3" t="s">
        <v>5298</v>
      </c>
      <c r="G240" s="220">
        <v>43099.0</v>
      </c>
    </row>
    <row r="241">
      <c r="A241" s="217">
        <v>43099.6917903125</v>
      </c>
      <c r="B241" s="218" t="s">
        <v>5092</v>
      </c>
      <c r="C241" s="218" t="s">
        <v>4587</v>
      </c>
      <c r="D241" s="219">
        <v>3.0</v>
      </c>
      <c r="E241" s="218">
        <v>1695.0</v>
      </c>
      <c r="F241" s="3" t="s">
        <v>5298</v>
      </c>
      <c r="G241" s="220">
        <v>43099.0</v>
      </c>
    </row>
    <row r="242">
      <c r="A242" s="217">
        <v>43099.69250309028</v>
      </c>
      <c r="B242" s="218" t="s">
        <v>5092</v>
      </c>
      <c r="C242" s="218" t="s">
        <v>4602</v>
      </c>
      <c r="D242" s="219">
        <v>1.0</v>
      </c>
      <c r="E242" s="218">
        <v>995.0</v>
      </c>
      <c r="F242" s="3" t="s">
        <v>5298</v>
      </c>
      <c r="G242" s="220">
        <v>43099.0</v>
      </c>
    </row>
    <row r="243">
      <c r="A243" s="217">
        <v>43099.69318328703</v>
      </c>
      <c r="B243" s="218" t="s">
        <v>5092</v>
      </c>
      <c r="C243" s="218" t="s">
        <v>4577</v>
      </c>
      <c r="D243" s="219">
        <v>2.0</v>
      </c>
      <c r="E243" s="218">
        <v>950.0</v>
      </c>
      <c r="F243" s="3" t="s">
        <v>5298</v>
      </c>
      <c r="G243" s="220">
        <v>43099.0</v>
      </c>
    </row>
    <row r="244">
      <c r="A244" s="217">
        <v>43099.694025358796</v>
      </c>
      <c r="B244" s="218" t="s">
        <v>5092</v>
      </c>
      <c r="C244" s="218" t="s">
        <v>4642</v>
      </c>
      <c r="D244" s="219">
        <v>1.0</v>
      </c>
      <c r="E244" s="218">
        <v>1495.0</v>
      </c>
      <c r="F244" s="3" t="s">
        <v>5298</v>
      </c>
      <c r="G244" s="220">
        <v>43099.0</v>
      </c>
    </row>
    <row r="245">
      <c r="A245" s="217">
        <v>43099.695243055554</v>
      </c>
      <c r="B245" s="218" t="s">
        <v>5092</v>
      </c>
      <c r="C245" s="218" t="s">
        <v>4542</v>
      </c>
      <c r="D245" s="219">
        <v>1.0</v>
      </c>
      <c r="E245" s="218">
        <v>2450.0</v>
      </c>
      <c r="F245" s="3" t="s">
        <v>5298</v>
      </c>
      <c r="G245" s="220">
        <v>43099.0</v>
      </c>
    </row>
    <row r="246">
      <c r="A246" s="217">
        <v>43099.696813738425</v>
      </c>
      <c r="B246" s="218" t="s">
        <v>5092</v>
      </c>
      <c r="C246" s="218" t="s">
        <v>4526</v>
      </c>
      <c r="D246" s="219">
        <v>2.0</v>
      </c>
      <c r="E246" s="218">
        <v>1695.0</v>
      </c>
      <c r="F246" s="3" t="s">
        <v>5298</v>
      </c>
      <c r="G246" s="220">
        <v>43099.0</v>
      </c>
    </row>
    <row r="247">
      <c r="A247" s="217">
        <v>43099.69759729167</v>
      </c>
      <c r="B247" s="218" t="s">
        <v>5092</v>
      </c>
      <c r="C247" s="218" t="s">
        <v>4596</v>
      </c>
      <c r="D247" s="219">
        <v>1.0</v>
      </c>
      <c r="E247" s="218">
        <v>1195.0</v>
      </c>
      <c r="F247" s="3" t="s">
        <v>5298</v>
      </c>
      <c r="G247" s="220">
        <v>43099.0</v>
      </c>
    </row>
    <row r="248">
      <c r="A248" s="217">
        <v>43099.6982324537</v>
      </c>
      <c r="B248" s="218" t="s">
        <v>5092</v>
      </c>
      <c r="C248" s="218" t="s">
        <v>4627</v>
      </c>
      <c r="D248" s="219">
        <v>1.0</v>
      </c>
      <c r="E248" s="218">
        <v>1650.0</v>
      </c>
      <c r="F248" s="3" t="s">
        <v>5298</v>
      </c>
      <c r="G248" s="220">
        <v>43099.0</v>
      </c>
    </row>
    <row r="249">
      <c r="A249" s="217">
        <v>43099.69912391204</v>
      </c>
      <c r="B249" s="218" t="s">
        <v>5092</v>
      </c>
      <c r="C249" s="218" t="s">
        <v>4583</v>
      </c>
      <c r="D249" s="219">
        <v>1.0</v>
      </c>
      <c r="E249" s="218">
        <v>1795.0</v>
      </c>
      <c r="F249" s="3" t="s">
        <v>5298</v>
      </c>
      <c r="G249" s="220">
        <v>43099.0</v>
      </c>
    </row>
    <row r="250">
      <c r="A250" s="217">
        <v>43099.70017275463</v>
      </c>
      <c r="B250" s="218" t="s">
        <v>5092</v>
      </c>
      <c r="C250" s="218" t="s">
        <v>4633</v>
      </c>
      <c r="D250" s="219">
        <v>1.0</v>
      </c>
      <c r="E250" s="218">
        <v>1595.0</v>
      </c>
      <c r="F250" s="3" t="s">
        <v>5298</v>
      </c>
      <c r="G250" s="220">
        <v>43099.0</v>
      </c>
    </row>
    <row r="251">
      <c r="A251" s="217">
        <v>43099.70288652778</v>
      </c>
      <c r="B251" s="218" t="s">
        <v>5092</v>
      </c>
      <c r="C251" s="218" t="s">
        <v>4614</v>
      </c>
      <c r="D251" s="219">
        <v>1.0</v>
      </c>
      <c r="E251" s="218">
        <v>1195.0</v>
      </c>
      <c r="F251" s="3" t="s">
        <v>5298</v>
      </c>
      <c r="G251" s="220">
        <v>43099.0</v>
      </c>
    </row>
    <row r="252">
      <c r="A252" s="217">
        <v>43100.623389444445</v>
      </c>
      <c r="B252" s="218" t="s">
        <v>5092</v>
      </c>
      <c r="C252" s="218" t="s">
        <v>5303</v>
      </c>
      <c r="D252" s="219">
        <v>1.0</v>
      </c>
      <c r="E252" s="218">
        <v>6725.0</v>
      </c>
      <c r="F252" s="3" t="s">
        <v>5304</v>
      </c>
      <c r="G252" s="220">
        <v>43100.0</v>
      </c>
    </row>
    <row r="253">
      <c r="A253" s="217">
        <v>43100.62596174769</v>
      </c>
      <c r="B253" s="218" t="s">
        <v>5092</v>
      </c>
      <c r="C253" s="218" t="s">
        <v>5306</v>
      </c>
      <c r="D253" s="219">
        <v>1.0</v>
      </c>
      <c r="E253" s="218">
        <v>6725.0</v>
      </c>
      <c r="F253" s="3" t="s">
        <v>5304</v>
      </c>
      <c r="G253" s="220">
        <v>43100.0</v>
      </c>
    </row>
    <row r="254">
      <c r="A254" s="217">
        <v>43100.62698271991</v>
      </c>
      <c r="B254" s="218" t="s">
        <v>5092</v>
      </c>
      <c r="C254" s="218" t="s">
        <v>5308</v>
      </c>
      <c r="D254" s="219">
        <v>1.0</v>
      </c>
      <c r="E254" s="218">
        <v>6725.0</v>
      </c>
      <c r="F254" s="3" t="s">
        <v>5304</v>
      </c>
      <c r="G254" s="220">
        <v>43100.0</v>
      </c>
    </row>
    <row r="255">
      <c r="A255" s="217">
        <v>43100.62934034722</v>
      </c>
      <c r="B255" s="218" t="s">
        <v>5092</v>
      </c>
      <c r="C255" s="218" t="s">
        <v>5309</v>
      </c>
      <c r="D255" s="219">
        <v>1.0</v>
      </c>
      <c r="E255" s="218">
        <v>7500.0</v>
      </c>
      <c r="F255" s="3" t="s">
        <v>5304</v>
      </c>
      <c r="G255" s="220">
        <v>43100.0</v>
      </c>
    </row>
    <row r="256">
      <c r="A256" s="217">
        <v>43100.630310312496</v>
      </c>
      <c r="B256" s="218" t="s">
        <v>5092</v>
      </c>
      <c r="C256" s="218" t="s">
        <v>5310</v>
      </c>
      <c r="D256" s="219">
        <v>1.0</v>
      </c>
      <c r="E256" s="218">
        <v>8160.0</v>
      </c>
      <c r="F256" s="3" t="s">
        <v>5304</v>
      </c>
      <c r="G256" s="220">
        <v>43100.0</v>
      </c>
    </row>
    <row r="257">
      <c r="A257" s="217">
        <v>43100.63153239583</v>
      </c>
      <c r="B257" s="218" t="s">
        <v>5092</v>
      </c>
      <c r="C257" s="218" t="s">
        <v>5311</v>
      </c>
      <c r="D257" s="219">
        <v>1.0</v>
      </c>
      <c r="E257" s="218">
        <v>6885.0</v>
      </c>
      <c r="F257" s="3" t="s">
        <v>5304</v>
      </c>
      <c r="G257" s="220">
        <v>43100.0</v>
      </c>
    </row>
    <row r="258">
      <c r="A258" s="217">
        <v>43100.63227341435</v>
      </c>
      <c r="B258" s="218" t="s">
        <v>5092</v>
      </c>
      <c r="C258" s="218" t="s">
        <v>5312</v>
      </c>
      <c r="D258" s="219">
        <v>1.0</v>
      </c>
      <c r="E258" s="218">
        <v>6885.0</v>
      </c>
      <c r="F258" s="3" t="s">
        <v>5304</v>
      </c>
      <c r="G258" s="220">
        <v>43100.0</v>
      </c>
    </row>
    <row r="259">
      <c r="A259" s="217">
        <v>43100.63314690972</v>
      </c>
      <c r="B259" s="218" t="s">
        <v>5092</v>
      </c>
      <c r="C259" s="218" t="s">
        <v>5313</v>
      </c>
      <c r="D259" s="219">
        <v>1.0</v>
      </c>
      <c r="E259" s="218">
        <v>7500.0</v>
      </c>
      <c r="F259" s="3" t="s">
        <v>5304</v>
      </c>
      <c r="G259" s="220">
        <v>43100.0</v>
      </c>
    </row>
    <row r="260">
      <c r="A260" s="217">
        <v>43100.63382086805</v>
      </c>
      <c r="B260" s="218" t="s">
        <v>5092</v>
      </c>
      <c r="C260" s="218" t="s">
        <v>5314</v>
      </c>
      <c r="D260" s="219">
        <v>1.0</v>
      </c>
      <c r="E260" s="218">
        <v>6885.0</v>
      </c>
      <c r="F260" s="3" t="s">
        <v>5304</v>
      </c>
      <c r="G260" s="220">
        <v>43100.0</v>
      </c>
    </row>
    <row r="261">
      <c r="A261" s="217">
        <v>43100.634499340274</v>
      </c>
      <c r="B261" s="218" t="s">
        <v>5092</v>
      </c>
      <c r="C261" s="218" t="s">
        <v>5315</v>
      </c>
      <c r="D261" s="219">
        <v>1.0</v>
      </c>
      <c r="E261" s="218">
        <v>6885.0</v>
      </c>
      <c r="F261" s="3" t="s">
        <v>5304</v>
      </c>
      <c r="G261" s="220">
        <v>43100.0</v>
      </c>
    </row>
    <row r="262">
      <c r="A262" s="217">
        <v>43100.63527185185</v>
      </c>
      <c r="B262" s="218" t="s">
        <v>5092</v>
      </c>
      <c r="C262" s="218" t="s">
        <v>5316</v>
      </c>
      <c r="D262" s="219">
        <v>1.0</v>
      </c>
      <c r="E262" s="218">
        <v>7500.0</v>
      </c>
      <c r="F262" s="3" t="s">
        <v>5304</v>
      </c>
      <c r="G262" s="220">
        <v>43100.0</v>
      </c>
    </row>
    <row r="263">
      <c r="A263" s="217">
        <v>43100.63604055556</v>
      </c>
      <c r="B263" s="218" t="s">
        <v>5092</v>
      </c>
      <c r="C263" s="218" t="s">
        <v>5317</v>
      </c>
      <c r="D263" s="219">
        <v>1.0</v>
      </c>
      <c r="E263" s="218">
        <v>6885.0</v>
      </c>
      <c r="F263" s="3" t="s">
        <v>5304</v>
      </c>
      <c r="G263" s="220">
        <v>43100.0</v>
      </c>
    </row>
    <row r="264">
      <c r="A264" s="217">
        <v>43100.63677173611</v>
      </c>
      <c r="B264" s="218" t="s">
        <v>5092</v>
      </c>
      <c r="C264" s="218" t="s">
        <v>5318</v>
      </c>
      <c r="D264" s="219">
        <v>1.0</v>
      </c>
      <c r="E264" s="218">
        <v>6725.0</v>
      </c>
      <c r="F264" s="3" t="s">
        <v>5304</v>
      </c>
      <c r="G264" s="220">
        <v>43100.0</v>
      </c>
    </row>
    <row r="265">
      <c r="A265" s="217">
        <v>43100.65325516203</v>
      </c>
      <c r="B265" s="218" t="s">
        <v>5092</v>
      </c>
      <c r="C265" s="218" t="s">
        <v>5319</v>
      </c>
      <c r="D265" s="219">
        <v>1.0</v>
      </c>
      <c r="E265" s="218">
        <v>2195.0</v>
      </c>
      <c r="F265" s="3" t="s">
        <v>5304</v>
      </c>
      <c r="G265" s="220">
        <v>43100.0</v>
      </c>
    </row>
    <row r="266">
      <c r="A266" s="217">
        <v>43100.656041504626</v>
      </c>
      <c r="B266" s="218" t="s">
        <v>5092</v>
      </c>
      <c r="C266" s="218" t="s">
        <v>5322</v>
      </c>
      <c r="D266" s="219">
        <v>1.0</v>
      </c>
      <c r="E266" s="218">
        <v>3295.0</v>
      </c>
      <c r="F266" s="3" t="s">
        <v>5304</v>
      </c>
      <c r="G266" s="220">
        <v>43100.0</v>
      </c>
    </row>
    <row r="267">
      <c r="A267" s="217">
        <v>43100.65721773148</v>
      </c>
      <c r="B267" s="218" t="s">
        <v>5092</v>
      </c>
      <c r="C267" s="218" t="s">
        <v>5324</v>
      </c>
      <c r="D267" s="219">
        <v>1.0</v>
      </c>
      <c r="E267" s="218">
        <v>3395.0</v>
      </c>
      <c r="F267" s="3" t="s">
        <v>5304</v>
      </c>
      <c r="G267" s="220">
        <v>43100.0</v>
      </c>
    </row>
    <row r="268">
      <c r="A268" s="217">
        <v>43100.658764583335</v>
      </c>
      <c r="B268" s="218" t="s">
        <v>5092</v>
      </c>
      <c r="C268" s="218" t="s">
        <v>5327</v>
      </c>
      <c r="D268" s="219">
        <v>1.0</v>
      </c>
      <c r="E268" s="218">
        <v>3195.0</v>
      </c>
      <c r="F268" s="3" t="s">
        <v>5304</v>
      </c>
      <c r="G268" s="220">
        <v>43100.0</v>
      </c>
    </row>
    <row r="269">
      <c r="A269" s="217">
        <v>43100.66049944445</v>
      </c>
      <c r="B269" s="218" t="s">
        <v>5092</v>
      </c>
      <c r="C269" s="218" t="s">
        <v>5330</v>
      </c>
      <c r="D269" s="219">
        <v>1.0</v>
      </c>
      <c r="E269" s="218">
        <v>3195.0</v>
      </c>
      <c r="F269" s="3" t="s">
        <v>5304</v>
      </c>
      <c r="G269" s="220">
        <v>43100.0</v>
      </c>
    </row>
    <row r="270">
      <c r="A270" s="217">
        <v>43100.66195809028</v>
      </c>
      <c r="B270" s="218" t="s">
        <v>5092</v>
      </c>
      <c r="C270" s="218" t="s">
        <v>5332</v>
      </c>
      <c r="D270" s="219">
        <v>1.0</v>
      </c>
      <c r="E270" s="218">
        <v>2195.0</v>
      </c>
      <c r="F270" s="3" t="s">
        <v>5304</v>
      </c>
      <c r="G270" s="220">
        <v>43100.0</v>
      </c>
    </row>
    <row r="271">
      <c r="A271" s="217">
        <v>43100.66328519676</v>
      </c>
      <c r="B271" s="218" t="s">
        <v>5092</v>
      </c>
      <c r="C271" s="218" t="s">
        <v>5333</v>
      </c>
      <c r="D271" s="219">
        <v>1.0</v>
      </c>
      <c r="E271" s="218">
        <v>2695.0</v>
      </c>
      <c r="F271" s="3" t="s">
        <v>5304</v>
      </c>
      <c r="G271" s="220">
        <v>43100.0</v>
      </c>
    </row>
    <row r="272">
      <c r="A272" s="217">
        <v>43100.66551907407</v>
      </c>
      <c r="B272" s="218" t="s">
        <v>5092</v>
      </c>
      <c r="C272" s="218" t="s">
        <v>5334</v>
      </c>
      <c r="D272" s="219">
        <v>1.0</v>
      </c>
      <c r="E272" s="218">
        <v>1595.0</v>
      </c>
      <c r="F272" s="3" t="s">
        <v>5304</v>
      </c>
      <c r="G272" s="220">
        <v>43100.0</v>
      </c>
    </row>
    <row r="273">
      <c r="A273" s="217">
        <v>43100.66669435185</v>
      </c>
      <c r="B273" s="218" t="s">
        <v>5092</v>
      </c>
      <c r="C273" s="218" t="s">
        <v>5335</v>
      </c>
      <c r="D273" s="219">
        <v>1.0</v>
      </c>
      <c r="E273" s="218">
        <v>2395.0</v>
      </c>
      <c r="F273" s="3" t="s">
        <v>5304</v>
      </c>
      <c r="G273" s="220">
        <v>43100.0</v>
      </c>
    </row>
    <row r="274">
      <c r="A274" s="217">
        <v>43100.66797443287</v>
      </c>
      <c r="B274" s="218" t="s">
        <v>5092</v>
      </c>
      <c r="C274" s="218" t="s">
        <v>5337</v>
      </c>
      <c r="D274" s="219">
        <v>1.0</v>
      </c>
      <c r="E274" s="218">
        <v>2995.0</v>
      </c>
      <c r="F274" s="3" t="s">
        <v>5304</v>
      </c>
      <c r="G274" s="220">
        <v>43100.0</v>
      </c>
    </row>
    <row r="275">
      <c r="A275" s="217">
        <v>43100.66931604166</v>
      </c>
      <c r="B275" s="218" t="s">
        <v>5092</v>
      </c>
      <c r="C275" s="218" t="s">
        <v>5338</v>
      </c>
      <c r="D275" s="219">
        <v>1.0</v>
      </c>
      <c r="E275" s="218">
        <v>2495.0</v>
      </c>
      <c r="F275" s="3" t="s">
        <v>5304</v>
      </c>
      <c r="G275" s="220">
        <v>43100.0</v>
      </c>
    </row>
    <row r="276">
      <c r="A276" s="217">
        <v>43100.67098483796</v>
      </c>
      <c r="B276" s="218" t="s">
        <v>5092</v>
      </c>
      <c r="C276" s="218" t="s">
        <v>5339</v>
      </c>
      <c r="D276" s="219">
        <v>1.0</v>
      </c>
      <c r="E276" s="218">
        <v>3150.0</v>
      </c>
      <c r="F276" s="3" t="s">
        <v>5304</v>
      </c>
      <c r="G276" s="220">
        <v>43100.0</v>
      </c>
    </row>
    <row r="277">
      <c r="A277" s="217">
        <v>43100.673765405096</v>
      </c>
      <c r="B277" s="218" t="s">
        <v>5092</v>
      </c>
      <c r="C277" s="218" t="s">
        <v>5340</v>
      </c>
      <c r="D277" s="219">
        <v>1.0</v>
      </c>
      <c r="E277" s="218">
        <v>2495.0</v>
      </c>
      <c r="F277" s="3" t="s">
        <v>5304</v>
      </c>
      <c r="G277" s="220">
        <v>43100.0</v>
      </c>
    </row>
    <row r="278">
      <c r="A278" s="217">
        <v>43100.67507755787</v>
      </c>
      <c r="B278" s="218" t="s">
        <v>5092</v>
      </c>
      <c r="C278" s="218" t="s">
        <v>5341</v>
      </c>
      <c r="D278" s="219">
        <v>1.0</v>
      </c>
      <c r="E278" s="218">
        <v>3795.0</v>
      </c>
      <c r="F278" s="3" t="s">
        <v>5304</v>
      </c>
      <c r="G278" s="220">
        <v>43100.0</v>
      </c>
    </row>
    <row r="279">
      <c r="A279" s="217">
        <v>43100.676323796295</v>
      </c>
      <c r="B279" s="218" t="s">
        <v>5092</v>
      </c>
      <c r="C279" s="218" t="s">
        <v>5343</v>
      </c>
      <c r="D279" s="219">
        <v>1.0</v>
      </c>
      <c r="E279" s="218">
        <v>3995.0</v>
      </c>
      <c r="F279" s="3" t="s">
        <v>5304</v>
      </c>
      <c r="G279" s="220">
        <v>43100.0</v>
      </c>
    </row>
    <row r="280">
      <c r="A280" s="217">
        <v>43100.677528113425</v>
      </c>
      <c r="B280" s="218" t="s">
        <v>5092</v>
      </c>
      <c r="C280" s="218" t="s">
        <v>5345</v>
      </c>
      <c r="D280" s="219">
        <v>1.0</v>
      </c>
      <c r="E280" s="218">
        <v>3495.0</v>
      </c>
      <c r="F280" s="3" t="s">
        <v>5304</v>
      </c>
      <c r="G280" s="220">
        <v>43100.0</v>
      </c>
    </row>
    <row r="281">
      <c r="A281" s="217">
        <v>43100.680973634255</v>
      </c>
      <c r="B281" s="218" t="s">
        <v>5092</v>
      </c>
      <c r="C281" s="218" t="s">
        <v>5346</v>
      </c>
      <c r="D281" s="219">
        <v>2.0</v>
      </c>
      <c r="E281" s="218">
        <v>8415.0</v>
      </c>
      <c r="F281" s="3" t="s">
        <v>5304</v>
      </c>
      <c r="G281" s="220">
        <v>43100.0</v>
      </c>
    </row>
    <row r="282">
      <c r="A282" s="217">
        <v>43100.68192758102</v>
      </c>
      <c r="B282" s="218" t="s">
        <v>5092</v>
      </c>
      <c r="C282" s="218" t="s">
        <v>5348</v>
      </c>
      <c r="D282" s="219">
        <v>1.0</v>
      </c>
      <c r="E282" s="218">
        <v>8415.0</v>
      </c>
      <c r="F282" s="3" t="s">
        <v>5304</v>
      </c>
      <c r="G282" s="220">
        <v>43100.0</v>
      </c>
    </row>
    <row r="283">
      <c r="A283" s="217">
        <v>43100.68298133102</v>
      </c>
      <c r="B283" s="218" t="s">
        <v>5092</v>
      </c>
      <c r="C283" s="218" t="s">
        <v>5349</v>
      </c>
      <c r="D283" s="219">
        <v>1.0</v>
      </c>
      <c r="E283" s="218">
        <v>8415.0</v>
      </c>
      <c r="F283" s="3" t="s">
        <v>5304</v>
      </c>
      <c r="G283" s="220">
        <v>43100.0</v>
      </c>
    </row>
    <row r="284">
      <c r="A284" s="217">
        <v>43100.68398165509</v>
      </c>
      <c r="B284" s="218" t="s">
        <v>5092</v>
      </c>
      <c r="C284" s="218" t="s">
        <v>5350</v>
      </c>
      <c r="D284" s="219">
        <v>1.0</v>
      </c>
      <c r="E284" s="218">
        <v>7650.0</v>
      </c>
      <c r="F284" s="3" t="s">
        <v>5304</v>
      </c>
      <c r="G284" s="220">
        <v>43100.0</v>
      </c>
    </row>
    <row r="285">
      <c r="A285" s="217">
        <v>43100.68501748843</v>
      </c>
      <c r="B285" s="218" t="s">
        <v>5092</v>
      </c>
      <c r="C285" s="218" t="s">
        <v>5351</v>
      </c>
      <c r="D285" s="219">
        <v>1.0</v>
      </c>
      <c r="E285" s="218">
        <v>8925.0</v>
      </c>
      <c r="F285" s="3" t="s">
        <v>5304</v>
      </c>
      <c r="G285" s="220">
        <v>43100.0</v>
      </c>
    </row>
    <row r="286">
      <c r="A286" s="217">
        <v>43100.68613290509</v>
      </c>
      <c r="B286" s="218" t="s">
        <v>5092</v>
      </c>
      <c r="C286" s="218" t="s">
        <v>5352</v>
      </c>
      <c r="D286" s="219">
        <v>1.0</v>
      </c>
      <c r="E286" s="218">
        <v>8400.0</v>
      </c>
      <c r="F286" s="3" t="s">
        <v>5304</v>
      </c>
      <c r="G286" s="220">
        <v>43100.0</v>
      </c>
    </row>
    <row r="287">
      <c r="A287" s="217">
        <v>43100.68712400463</v>
      </c>
      <c r="B287" s="218" t="s">
        <v>5092</v>
      </c>
      <c r="C287" s="218" t="s">
        <v>5353</v>
      </c>
      <c r="D287" s="219">
        <v>1.0</v>
      </c>
      <c r="E287" s="218">
        <v>8925.0</v>
      </c>
      <c r="F287" s="3" t="s">
        <v>5304</v>
      </c>
      <c r="G287" s="220">
        <v>43100.0</v>
      </c>
    </row>
    <row r="288">
      <c r="A288" s="217">
        <v>43100.68829686343</v>
      </c>
      <c r="B288" s="218" t="s">
        <v>5092</v>
      </c>
      <c r="C288" s="218" t="s">
        <v>5354</v>
      </c>
      <c r="D288" s="219">
        <v>1.0</v>
      </c>
      <c r="E288" s="218">
        <v>9565.0</v>
      </c>
      <c r="F288" s="3" t="s">
        <v>5304</v>
      </c>
      <c r="G288" s="220">
        <v>43100.0</v>
      </c>
    </row>
    <row r="289">
      <c r="A289" s="217">
        <v>43100.695988148145</v>
      </c>
      <c r="B289" s="218" t="s">
        <v>5092</v>
      </c>
      <c r="C289" s="218" t="s">
        <v>5355</v>
      </c>
      <c r="D289" s="219">
        <v>1.0</v>
      </c>
      <c r="E289" s="218">
        <v>8925.0</v>
      </c>
      <c r="F289" s="3" t="s">
        <v>5304</v>
      </c>
      <c r="G289" s="220">
        <v>43100.0</v>
      </c>
    </row>
    <row r="290">
      <c r="A290" s="217">
        <v>43100.69788172454</v>
      </c>
      <c r="B290" s="218" t="s">
        <v>5092</v>
      </c>
      <c r="C290" s="218" t="s">
        <v>5356</v>
      </c>
      <c r="D290" s="219">
        <v>1.0</v>
      </c>
      <c r="E290" s="218">
        <v>7650.0</v>
      </c>
      <c r="F290" s="3" t="s">
        <v>5304</v>
      </c>
      <c r="G290" s="220">
        <v>43100.0</v>
      </c>
    </row>
    <row r="291">
      <c r="A291" s="217">
        <v>43100.70061855324</v>
      </c>
      <c r="B291" s="218" t="s">
        <v>5092</v>
      </c>
      <c r="C291" s="218" t="s">
        <v>5357</v>
      </c>
      <c r="D291" s="219">
        <v>1.0</v>
      </c>
      <c r="E291" s="218">
        <v>7650.0</v>
      </c>
      <c r="F291" s="3" t="s">
        <v>5304</v>
      </c>
      <c r="G291" s="220">
        <v>43100.0</v>
      </c>
    </row>
    <row r="292">
      <c r="A292" s="217">
        <v>43101.53689033564</v>
      </c>
      <c r="B292" s="218" t="s">
        <v>5092</v>
      </c>
      <c r="C292" s="218" t="s">
        <v>5350</v>
      </c>
      <c r="D292" s="219">
        <v>1.0</v>
      </c>
      <c r="E292" s="218">
        <v>7650.0</v>
      </c>
      <c r="F292" s="3" t="s">
        <v>5304</v>
      </c>
      <c r="G292" s="220">
        <v>43101.0</v>
      </c>
    </row>
    <row r="293">
      <c r="A293" s="217">
        <v>43101.53757226852</v>
      </c>
      <c r="B293" s="218" t="s">
        <v>5092</v>
      </c>
      <c r="C293" s="218" t="s">
        <v>5359</v>
      </c>
      <c r="D293" s="219">
        <v>1.0</v>
      </c>
      <c r="E293" s="218">
        <v>8415.0</v>
      </c>
      <c r="F293" s="3" t="s">
        <v>5304</v>
      </c>
      <c r="G293" s="220">
        <v>43101.0</v>
      </c>
    </row>
    <row r="294">
      <c r="A294" s="217">
        <v>43101.5383756713</v>
      </c>
      <c r="B294" s="218" t="s">
        <v>5092</v>
      </c>
      <c r="C294" s="218" t="s">
        <v>5360</v>
      </c>
      <c r="D294" s="219">
        <v>1.0</v>
      </c>
      <c r="E294" s="218">
        <v>8415.0</v>
      </c>
      <c r="F294" s="3" t="s">
        <v>5304</v>
      </c>
      <c r="G294" s="220">
        <v>43101.0</v>
      </c>
    </row>
    <row r="295">
      <c r="A295" s="217">
        <v>43101.53976493055</v>
      </c>
      <c r="B295" s="218" t="s">
        <v>5092</v>
      </c>
      <c r="C295" s="218" t="s">
        <v>5361</v>
      </c>
      <c r="D295" s="219">
        <v>1.0</v>
      </c>
      <c r="E295" s="218">
        <v>5610.0</v>
      </c>
      <c r="F295" s="3" t="s">
        <v>5304</v>
      </c>
      <c r="G295" s="220">
        <v>43101.0</v>
      </c>
    </row>
    <row r="296">
      <c r="A296" s="217">
        <v>43101.54962642361</v>
      </c>
      <c r="B296" s="218" t="s">
        <v>5092</v>
      </c>
      <c r="C296" s="218" t="s">
        <v>5362</v>
      </c>
      <c r="D296" s="219">
        <v>1.0</v>
      </c>
      <c r="E296" s="218">
        <v>9565.0</v>
      </c>
      <c r="F296" s="3" t="s">
        <v>5304</v>
      </c>
      <c r="G296" s="220">
        <v>43101.0</v>
      </c>
    </row>
    <row r="297">
      <c r="A297" s="217">
        <v>43101.5510790625</v>
      </c>
      <c r="B297" s="218" t="s">
        <v>5092</v>
      </c>
      <c r="C297" s="218" t="s">
        <v>5364</v>
      </c>
      <c r="D297" s="219">
        <v>1.0</v>
      </c>
      <c r="E297" s="218">
        <v>3825.0</v>
      </c>
      <c r="F297" s="3" t="s">
        <v>5304</v>
      </c>
      <c r="G297" s="220">
        <v>43101.0</v>
      </c>
    </row>
    <row r="298">
      <c r="A298" s="217">
        <v>43101.55493940972</v>
      </c>
      <c r="B298" s="218" t="s">
        <v>5092</v>
      </c>
      <c r="C298" s="218" t="s">
        <v>2754</v>
      </c>
      <c r="D298" s="219">
        <v>1.0</v>
      </c>
      <c r="E298" s="218">
        <v>9565.0</v>
      </c>
      <c r="F298" s="3" t="s">
        <v>5304</v>
      </c>
      <c r="G298" s="220">
        <v>43101.0</v>
      </c>
    </row>
    <row r="299">
      <c r="A299" s="217">
        <v>43101.55608717592</v>
      </c>
      <c r="B299" s="218" t="s">
        <v>5092</v>
      </c>
      <c r="C299" s="218" t="s">
        <v>5365</v>
      </c>
      <c r="D299" s="219">
        <v>1.0</v>
      </c>
      <c r="E299" s="218">
        <v>9565.0</v>
      </c>
      <c r="F299" s="3" t="s">
        <v>5304</v>
      </c>
      <c r="G299" s="220">
        <v>43101.0</v>
      </c>
    </row>
    <row r="300">
      <c r="A300" s="217">
        <v>43101.557027800925</v>
      </c>
      <c r="B300" s="218" t="s">
        <v>5092</v>
      </c>
      <c r="C300" s="218" t="s">
        <v>5366</v>
      </c>
      <c r="D300" s="219">
        <v>1.0</v>
      </c>
      <c r="E300" s="218">
        <v>6120.0</v>
      </c>
      <c r="F300" s="3" t="s">
        <v>5304</v>
      </c>
      <c r="G300" s="220">
        <v>43101.0</v>
      </c>
    </row>
    <row r="301">
      <c r="A301" s="217">
        <v>43101.55769204861</v>
      </c>
      <c r="B301" s="218" t="s">
        <v>5092</v>
      </c>
      <c r="C301" s="218" t="s">
        <v>5366</v>
      </c>
      <c r="D301" s="219">
        <v>1.0</v>
      </c>
      <c r="E301" s="218">
        <v>6120.0</v>
      </c>
      <c r="F301" s="3" t="s">
        <v>5304</v>
      </c>
      <c r="G301" s="220">
        <v>43101.0</v>
      </c>
    </row>
    <row r="302">
      <c r="A302" s="217">
        <v>43101.559266909724</v>
      </c>
      <c r="B302" s="218" t="s">
        <v>5092</v>
      </c>
      <c r="C302" s="218" t="s">
        <v>5368</v>
      </c>
      <c r="D302" s="219">
        <v>1.0</v>
      </c>
      <c r="E302" s="218">
        <v>6120.0</v>
      </c>
      <c r="F302" s="3" t="s">
        <v>5304</v>
      </c>
      <c r="G302" s="220">
        <v>43101.0</v>
      </c>
    </row>
    <row r="303">
      <c r="A303" s="217">
        <v>43101.560034050926</v>
      </c>
      <c r="B303" s="218" t="s">
        <v>5092</v>
      </c>
      <c r="C303" s="218" t="s">
        <v>5369</v>
      </c>
      <c r="D303" s="219">
        <v>1.0</v>
      </c>
      <c r="E303" s="218">
        <v>3825.0</v>
      </c>
      <c r="F303" s="3" t="s">
        <v>5304</v>
      </c>
      <c r="G303" s="220">
        <v>43101.0</v>
      </c>
    </row>
    <row r="304">
      <c r="A304" s="217">
        <v>43101.56065693287</v>
      </c>
      <c r="B304" s="218" t="s">
        <v>5092</v>
      </c>
      <c r="C304" s="218" t="s">
        <v>5370</v>
      </c>
      <c r="D304" s="219">
        <v>2.0</v>
      </c>
      <c r="E304" s="218">
        <v>4590.0</v>
      </c>
      <c r="F304" s="3" t="s">
        <v>5304</v>
      </c>
      <c r="G304" s="220">
        <v>43101.0</v>
      </c>
    </row>
    <row r="305">
      <c r="A305" s="217">
        <v>43101.56152863426</v>
      </c>
      <c r="B305" s="218" t="s">
        <v>5092</v>
      </c>
      <c r="C305" s="218" t="s">
        <v>5371</v>
      </c>
      <c r="D305" s="219">
        <v>1.0</v>
      </c>
      <c r="E305" s="218">
        <v>6885.0</v>
      </c>
      <c r="F305" s="3" t="s">
        <v>5304</v>
      </c>
      <c r="G305" s="220">
        <v>43101.0</v>
      </c>
    </row>
    <row r="306">
      <c r="A306" s="217">
        <v>43101.562488090276</v>
      </c>
      <c r="B306" s="218" t="s">
        <v>5092</v>
      </c>
      <c r="C306" s="218" t="s">
        <v>5372</v>
      </c>
      <c r="D306" s="219">
        <v>1.0</v>
      </c>
      <c r="E306" s="218">
        <v>4590.0</v>
      </c>
      <c r="F306" s="3" t="s">
        <v>5304</v>
      </c>
      <c r="G306" s="220">
        <v>43101.0</v>
      </c>
    </row>
    <row r="307">
      <c r="A307" s="217">
        <v>43101.56327103009</v>
      </c>
      <c r="B307" s="218" t="s">
        <v>5092</v>
      </c>
      <c r="C307" s="218" t="s">
        <v>2759</v>
      </c>
      <c r="D307" s="219">
        <v>2.0</v>
      </c>
      <c r="E307" s="218">
        <v>5100.0</v>
      </c>
      <c r="F307" s="3" t="s">
        <v>5304</v>
      </c>
      <c r="G307" s="220">
        <v>43101.0</v>
      </c>
    </row>
    <row r="308">
      <c r="A308" s="217">
        <v>43101.56403142361</v>
      </c>
      <c r="B308" s="218" t="s">
        <v>5092</v>
      </c>
      <c r="C308" s="218" t="s">
        <v>5373</v>
      </c>
      <c r="D308" s="219">
        <v>1.0</v>
      </c>
      <c r="E308" s="218">
        <v>3825.0</v>
      </c>
      <c r="F308" s="3" t="s">
        <v>5304</v>
      </c>
      <c r="G308" s="220">
        <v>43101.0</v>
      </c>
    </row>
    <row r="309">
      <c r="A309" s="217">
        <v>43101.564814502315</v>
      </c>
      <c r="B309" s="218" t="s">
        <v>5092</v>
      </c>
      <c r="C309" s="218" t="s">
        <v>5372</v>
      </c>
      <c r="D309" s="219">
        <v>1.0</v>
      </c>
      <c r="E309" s="218">
        <v>4590.0</v>
      </c>
      <c r="F309" s="3" t="s">
        <v>5304</v>
      </c>
      <c r="G309" s="220">
        <v>43101.0</v>
      </c>
    </row>
    <row r="310">
      <c r="A310" s="217">
        <v>43101.56545954861</v>
      </c>
      <c r="B310" s="218" t="s">
        <v>5092</v>
      </c>
      <c r="C310" s="218" t="s">
        <v>2755</v>
      </c>
      <c r="D310" s="219">
        <v>2.0</v>
      </c>
      <c r="E310" s="218">
        <v>4590.0</v>
      </c>
      <c r="F310" s="3" t="s">
        <v>5304</v>
      </c>
      <c r="G310" s="220">
        <v>43101.0</v>
      </c>
    </row>
    <row r="311">
      <c r="A311" s="217">
        <v>43101.568031539355</v>
      </c>
      <c r="B311" s="218" t="s">
        <v>5092</v>
      </c>
      <c r="C311" s="218" t="s">
        <v>5374</v>
      </c>
      <c r="D311" s="219">
        <v>1.0</v>
      </c>
      <c r="E311" s="218">
        <v>5100.0</v>
      </c>
      <c r="F311" s="3" t="s">
        <v>5304</v>
      </c>
      <c r="G311" s="220">
        <v>43101.0</v>
      </c>
    </row>
    <row r="312">
      <c r="A312" s="217">
        <v>43101.571543784725</v>
      </c>
      <c r="B312" s="218" t="s">
        <v>5092</v>
      </c>
      <c r="C312" s="218" t="s">
        <v>5375</v>
      </c>
      <c r="D312" s="219">
        <v>2.0</v>
      </c>
      <c r="E312" s="218">
        <v>5100.0</v>
      </c>
      <c r="F312" s="3" t="s">
        <v>5304</v>
      </c>
      <c r="G312" s="220">
        <v>43101.0</v>
      </c>
    </row>
    <row r="313">
      <c r="A313" s="217">
        <v>43101.58674940972</v>
      </c>
      <c r="B313" s="218" t="s">
        <v>5092</v>
      </c>
      <c r="C313" s="218" t="s">
        <v>5376</v>
      </c>
      <c r="D313" s="219">
        <v>1.0</v>
      </c>
      <c r="E313" s="218">
        <v>5100.0</v>
      </c>
      <c r="F313" s="3" t="s">
        <v>5304</v>
      </c>
      <c r="G313" s="220">
        <v>43101.0</v>
      </c>
    </row>
    <row r="314">
      <c r="A314" s="217">
        <v>43101.587328587964</v>
      </c>
      <c r="B314" s="218" t="s">
        <v>5092</v>
      </c>
      <c r="C314" s="218" t="s">
        <v>1035</v>
      </c>
      <c r="D314" s="219">
        <v>2.0</v>
      </c>
      <c r="E314" s="218">
        <v>6120.0</v>
      </c>
      <c r="F314" s="3" t="s">
        <v>5304</v>
      </c>
      <c r="G314" s="220">
        <v>43101.0</v>
      </c>
    </row>
    <row r="315">
      <c r="A315" s="217">
        <v>43101.58812550926</v>
      </c>
      <c r="B315" s="218" t="s">
        <v>5092</v>
      </c>
      <c r="C315" s="218" t="s">
        <v>5377</v>
      </c>
      <c r="D315" s="219">
        <v>1.0</v>
      </c>
      <c r="E315" s="218">
        <v>6375.0</v>
      </c>
      <c r="F315" s="3" t="s">
        <v>5304</v>
      </c>
      <c r="G315" s="220">
        <v>43101.0</v>
      </c>
    </row>
    <row r="316">
      <c r="A316" s="217">
        <v>43101.58899296296</v>
      </c>
      <c r="B316" s="218" t="s">
        <v>5092</v>
      </c>
      <c r="C316" s="218" t="s">
        <v>5378</v>
      </c>
      <c r="D316" s="219">
        <v>1.0</v>
      </c>
      <c r="E316" s="218">
        <v>5100.0</v>
      </c>
      <c r="F316" s="3" t="s">
        <v>5304</v>
      </c>
      <c r="G316" s="220">
        <v>43101.0</v>
      </c>
    </row>
    <row r="317">
      <c r="A317" s="217">
        <v>43101.58962461806</v>
      </c>
      <c r="B317" s="218" t="s">
        <v>5092</v>
      </c>
      <c r="C317" s="218" t="s">
        <v>5379</v>
      </c>
      <c r="D317" s="219">
        <v>1.0</v>
      </c>
      <c r="E317" s="218">
        <v>3825.0</v>
      </c>
      <c r="F317" s="3" t="s">
        <v>5304</v>
      </c>
      <c r="G317" s="220">
        <v>43101.0</v>
      </c>
    </row>
    <row r="318">
      <c r="A318" s="217">
        <v>43101.590284375</v>
      </c>
      <c r="B318" s="218" t="s">
        <v>5092</v>
      </c>
      <c r="C318" s="218" t="s">
        <v>2764</v>
      </c>
      <c r="D318" s="219">
        <v>1.0</v>
      </c>
      <c r="E318" s="218">
        <v>5100.0</v>
      </c>
      <c r="F318" s="3" t="s">
        <v>5304</v>
      </c>
      <c r="G318" s="220">
        <v>43101.0</v>
      </c>
    </row>
    <row r="319">
      <c r="A319" s="217">
        <v>43101.590884618054</v>
      </c>
      <c r="B319" s="218" t="s">
        <v>5092</v>
      </c>
      <c r="C319" s="218" t="s">
        <v>5380</v>
      </c>
      <c r="D319" s="219">
        <v>1.0</v>
      </c>
      <c r="E319" s="218">
        <v>3825.0</v>
      </c>
      <c r="F319" s="3" t="s">
        <v>5304</v>
      </c>
      <c r="G319" s="220">
        <v>43101.0</v>
      </c>
    </row>
    <row r="320">
      <c r="A320" s="217">
        <v>43101.59889418981</v>
      </c>
      <c r="B320" s="218" t="s">
        <v>5092</v>
      </c>
      <c r="C320" s="218" t="s">
        <v>5381</v>
      </c>
      <c r="D320" s="219">
        <v>1.0</v>
      </c>
      <c r="E320" s="218">
        <v>2550.0</v>
      </c>
      <c r="F320" s="3" t="s">
        <v>5304</v>
      </c>
      <c r="G320" s="220">
        <v>43101.0</v>
      </c>
    </row>
    <row r="321">
      <c r="A321" s="217">
        <v>43101.599942430556</v>
      </c>
      <c r="B321" s="218" t="s">
        <v>5092</v>
      </c>
      <c r="C321" s="218" t="s">
        <v>5382</v>
      </c>
      <c r="D321" s="219">
        <v>1.0</v>
      </c>
      <c r="E321" s="218">
        <v>2550.0</v>
      </c>
      <c r="F321" s="3" t="s">
        <v>5304</v>
      </c>
      <c r="G321" s="220">
        <v>43101.0</v>
      </c>
    </row>
    <row r="322">
      <c r="A322" s="217">
        <v>43101.60078775463</v>
      </c>
      <c r="B322" s="218" t="s">
        <v>5092</v>
      </c>
      <c r="C322" s="218" t="s">
        <v>5383</v>
      </c>
      <c r="D322" s="219">
        <v>1.0</v>
      </c>
      <c r="E322" s="218">
        <v>3825.0</v>
      </c>
      <c r="F322" s="3" t="s">
        <v>5304</v>
      </c>
      <c r="G322" s="220">
        <v>43101.0</v>
      </c>
    </row>
    <row r="323">
      <c r="A323" s="217">
        <v>43101.6016394676</v>
      </c>
      <c r="B323" s="218" t="s">
        <v>5092</v>
      </c>
      <c r="C323" s="218" t="s">
        <v>5384</v>
      </c>
      <c r="D323" s="219">
        <v>1.0</v>
      </c>
      <c r="E323" s="218">
        <v>3825.0</v>
      </c>
      <c r="F323" s="3" t="s">
        <v>5304</v>
      </c>
      <c r="G323" s="220">
        <v>43101.0</v>
      </c>
    </row>
    <row r="324">
      <c r="A324" s="217">
        <v>43101.602281886575</v>
      </c>
      <c r="B324" s="218" t="s">
        <v>5092</v>
      </c>
      <c r="C324" s="218" t="s">
        <v>2763</v>
      </c>
      <c r="D324" s="219">
        <v>1.0</v>
      </c>
      <c r="E324" s="218">
        <v>3825.0</v>
      </c>
      <c r="F324" s="3" t="s">
        <v>5304</v>
      </c>
      <c r="G324" s="220">
        <v>43101.0</v>
      </c>
    </row>
    <row r="325">
      <c r="A325" s="217">
        <v>43101.60312347222</v>
      </c>
      <c r="B325" s="218" t="s">
        <v>5092</v>
      </c>
      <c r="C325" s="218" t="s">
        <v>5386</v>
      </c>
      <c r="D325" s="219">
        <v>1.0</v>
      </c>
      <c r="E325" s="218">
        <v>5100.0</v>
      </c>
      <c r="F325" s="3" t="s">
        <v>5304</v>
      </c>
      <c r="G325" s="220">
        <v>43101.0</v>
      </c>
    </row>
    <row r="326">
      <c r="A326" s="217">
        <v>43101.60417709491</v>
      </c>
      <c r="B326" s="218" t="s">
        <v>5092</v>
      </c>
      <c r="C326" s="218" t="s">
        <v>2762</v>
      </c>
      <c r="D326" s="219">
        <v>1.0</v>
      </c>
      <c r="E326" s="218">
        <v>3825.0</v>
      </c>
      <c r="F326" s="3" t="s">
        <v>5304</v>
      </c>
      <c r="G326" s="220">
        <v>43101.0</v>
      </c>
    </row>
    <row r="327">
      <c r="A327" s="217">
        <v>43101.62684835648</v>
      </c>
      <c r="B327" s="218" t="s">
        <v>5092</v>
      </c>
      <c r="C327" s="218" t="s">
        <v>5387</v>
      </c>
      <c r="D327" s="219">
        <v>1.0</v>
      </c>
      <c r="E327" s="218">
        <v>3600.0</v>
      </c>
      <c r="F327" s="3" t="s">
        <v>5304</v>
      </c>
      <c r="G327" s="220">
        <v>43101.0</v>
      </c>
    </row>
    <row r="328">
      <c r="A328" s="217">
        <v>43101.628900104166</v>
      </c>
      <c r="B328" s="218" t="s">
        <v>5092</v>
      </c>
      <c r="C328" s="218" t="s">
        <v>5389</v>
      </c>
      <c r="D328" s="219">
        <v>1.0</v>
      </c>
      <c r="E328" s="218">
        <v>3600.0</v>
      </c>
      <c r="F328" s="3" t="s">
        <v>5304</v>
      </c>
      <c r="G328" s="220">
        <v>43101.0</v>
      </c>
    </row>
    <row r="329">
      <c r="A329" s="217">
        <v>43101.629974062496</v>
      </c>
      <c r="B329" s="218" t="s">
        <v>5092</v>
      </c>
      <c r="C329" s="218" t="s">
        <v>5390</v>
      </c>
      <c r="D329" s="219">
        <v>1.0</v>
      </c>
      <c r="E329" s="218">
        <v>3600.0</v>
      </c>
      <c r="F329" s="3" t="s">
        <v>5304</v>
      </c>
      <c r="G329" s="220">
        <v>43101.0</v>
      </c>
    </row>
    <row r="330">
      <c r="A330" s="217">
        <v>43103.59664335648</v>
      </c>
      <c r="B330" s="218" t="s">
        <v>5092</v>
      </c>
      <c r="C330" s="218" t="s">
        <v>5391</v>
      </c>
      <c r="D330" s="219">
        <v>1.0</v>
      </c>
      <c r="E330" s="218">
        <v>3650.0</v>
      </c>
      <c r="F330" s="3" t="s">
        <v>5304</v>
      </c>
      <c r="G330" s="220">
        <v>43103.0</v>
      </c>
    </row>
    <row r="331">
      <c r="A331" s="217">
        <v>43103.59758681713</v>
      </c>
      <c r="B331" s="218" t="s">
        <v>5092</v>
      </c>
      <c r="C331" s="218" t="s">
        <v>5364</v>
      </c>
      <c r="D331" s="219">
        <v>1.0</v>
      </c>
      <c r="E331" s="218">
        <v>3600.0</v>
      </c>
      <c r="F331" s="3" t="s">
        <v>5304</v>
      </c>
      <c r="G331" s="220">
        <v>43103.0</v>
      </c>
    </row>
    <row r="332">
      <c r="A332" s="217">
        <v>43103.59880641203</v>
      </c>
      <c r="B332" s="218" t="s">
        <v>5092</v>
      </c>
      <c r="C332" s="218" t="s">
        <v>5368</v>
      </c>
      <c r="D332" s="219">
        <v>1.0</v>
      </c>
      <c r="E332" s="218">
        <v>3650.0</v>
      </c>
      <c r="F332" s="3" t="s">
        <v>5304</v>
      </c>
      <c r="G332" s="220">
        <v>43103.0</v>
      </c>
    </row>
    <row r="333">
      <c r="A333" s="217">
        <v>43103.59964241898</v>
      </c>
      <c r="B333" s="218" t="s">
        <v>5092</v>
      </c>
      <c r="C333" s="218" t="s">
        <v>5392</v>
      </c>
      <c r="D333" s="219">
        <v>1.0</v>
      </c>
      <c r="E333" s="218">
        <v>3600.0</v>
      </c>
      <c r="F333" s="3" t="s">
        <v>5304</v>
      </c>
      <c r="G333" s="220">
        <v>43103.0</v>
      </c>
    </row>
    <row r="334">
      <c r="A334" s="217">
        <v>43103.60077584491</v>
      </c>
      <c r="B334" s="218" t="s">
        <v>5092</v>
      </c>
      <c r="C334" s="218" t="s">
        <v>5393</v>
      </c>
      <c r="D334" s="219">
        <v>1.0</v>
      </c>
      <c r="E334" s="218">
        <v>3600.0</v>
      </c>
      <c r="F334" s="3" t="s">
        <v>5304</v>
      </c>
      <c r="G334" s="220">
        <v>43103.0</v>
      </c>
    </row>
    <row r="335">
      <c r="A335" s="217">
        <v>43103.60170068287</v>
      </c>
      <c r="B335" s="218" t="s">
        <v>5092</v>
      </c>
      <c r="C335" s="218" t="s">
        <v>5394</v>
      </c>
      <c r="D335" s="219">
        <v>1.0</v>
      </c>
      <c r="E335" s="218">
        <v>3500.0</v>
      </c>
      <c r="F335" s="3" t="s">
        <v>5304</v>
      </c>
      <c r="G335" s="220">
        <v>43103.0</v>
      </c>
    </row>
    <row r="336">
      <c r="A336" s="217">
        <v>43103.60353064815</v>
      </c>
      <c r="B336" s="218" t="s">
        <v>5092</v>
      </c>
      <c r="C336" s="218" t="s">
        <v>5395</v>
      </c>
      <c r="D336" s="219">
        <v>1.0</v>
      </c>
      <c r="E336" s="218">
        <v>3600.0</v>
      </c>
      <c r="F336" s="3" t="s">
        <v>5304</v>
      </c>
      <c r="G336" s="220">
        <v>43103.0</v>
      </c>
    </row>
    <row r="337">
      <c r="A337" s="217">
        <v>43103.60834456018</v>
      </c>
      <c r="B337" s="218" t="s">
        <v>5184</v>
      </c>
      <c r="C337" s="218" t="s">
        <v>5226</v>
      </c>
      <c r="D337" s="221">
        <v>1.0</v>
      </c>
      <c r="E337" s="218">
        <v>12500.0</v>
      </c>
      <c r="F337" s="3" t="s">
        <v>5179</v>
      </c>
      <c r="G337" s="220">
        <v>43102.0</v>
      </c>
    </row>
    <row r="338">
      <c r="A338" s="217">
        <v>43103.615892500005</v>
      </c>
      <c r="B338" s="218" t="s">
        <v>5184</v>
      </c>
      <c r="C338" s="218" t="s">
        <v>5253</v>
      </c>
      <c r="D338" s="221">
        <v>1.0</v>
      </c>
      <c r="E338" s="218">
        <v>8500.0</v>
      </c>
      <c r="F338" s="3" t="s">
        <v>5246</v>
      </c>
      <c r="G338" s="220">
        <v>43102.0</v>
      </c>
    </row>
    <row r="339">
      <c r="A339" s="217">
        <v>43103.61850563658</v>
      </c>
      <c r="B339" s="218" t="s">
        <v>5184</v>
      </c>
      <c r="C339" s="218" t="s">
        <v>5193</v>
      </c>
      <c r="D339" s="221">
        <v>1.0</v>
      </c>
      <c r="E339" s="218">
        <v>3390.0</v>
      </c>
      <c r="F339" s="3" t="s">
        <v>5179</v>
      </c>
      <c r="G339" s="220">
        <v>43089.0</v>
      </c>
    </row>
    <row r="340">
      <c r="A340" s="217">
        <v>43104.45512067129</v>
      </c>
      <c r="B340" s="218" t="s">
        <v>5092</v>
      </c>
      <c r="C340" s="218" t="s">
        <v>5403</v>
      </c>
      <c r="D340" s="219">
        <v>1.0</v>
      </c>
      <c r="E340" s="218">
        <v>4990.0</v>
      </c>
      <c r="F340" s="3" t="s">
        <v>5404</v>
      </c>
      <c r="G340" s="220">
        <v>43104.0</v>
      </c>
    </row>
    <row r="341">
      <c r="A341" s="217">
        <v>43104.45589023148</v>
      </c>
      <c r="B341" s="218" t="s">
        <v>5092</v>
      </c>
      <c r="C341" s="218" t="s">
        <v>5406</v>
      </c>
      <c r="D341" s="219">
        <v>1.0</v>
      </c>
      <c r="E341" s="218">
        <v>4990.0</v>
      </c>
      <c r="F341" s="3" t="s">
        <v>5404</v>
      </c>
      <c r="G341" s="220">
        <v>43104.0</v>
      </c>
    </row>
    <row r="342">
      <c r="A342" s="217">
        <v>43104.45691383102</v>
      </c>
      <c r="B342" s="218" t="s">
        <v>5092</v>
      </c>
      <c r="C342" s="218" t="s">
        <v>5408</v>
      </c>
      <c r="D342" s="219">
        <v>1.0</v>
      </c>
      <c r="E342" s="218">
        <v>4990.0</v>
      </c>
      <c r="F342" s="3" t="s">
        <v>5404</v>
      </c>
      <c r="G342" s="220">
        <v>43104.0</v>
      </c>
    </row>
    <row r="343">
      <c r="A343" s="217">
        <v>43104.458723171294</v>
      </c>
      <c r="B343" s="218" t="s">
        <v>5092</v>
      </c>
      <c r="C343" s="218" t="s">
        <v>1930</v>
      </c>
      <c r="D343" s="219">
        <v>1.0</v>
      </c>
      <c r="E343" s="218">
        <v>5490.0</v>
      </c>
      <c r="F343" s="3" t="s">
        <v>5404</v>
      </c>
      <c r="G343" s="220">
        <v>43104.0</v>
      </c>
    </row>
    <row r="344">
      <c r="A344" s="217">
        <v>43104.46031826389</v>
      </c>
      <c r="B344" s="218" t="s">
        <v>5092</v>
      </c>
      <c r="C344" s="218" t="s">
        <v>1925</v>
      </c>
      <c r="D344" s="219">
        <v>1.0</v>
      </c>
      <c r="E344" s="218">
        <v>4790.0</v>
      </c>
      <c r="F344" s="3" t="s">
        <v>5404</v>
      </c>
      <c r="G344" s="220">
        <v>43104.0</v>
      </c>
    </row>
    <row r="345">
      <c r="A345" s="217">
        <v>43104.463450243056</v>
      </c>
      <c r="B345" s="218" t="s">
        <v>5092</v>
      </c>
      <c r="C345" s="218" t="s">
        <v>1936</v>
      </c>
      <c r="D345" s="219">
        <v>1.0</v>
      </c>
      <c r="E345" s="218">
        <v>4990.0</v>
      </c>
      <c r="F345" s="3" t="s">
        <v>5404</v>
      </c>
      <c r="G345" s="220">
        <v>43104.0</v>
      </c>
    </row>
    <row r="346">
      <c r="A346" s="217">
        <v>43104.464582615736</v>
      </c>
      <c r="B346" s="218" t="s">
        <v>5092</v>
      </c>
      <c r="C346" s="218" t="s">
        <v>5409</v>
      </c>
      <c r="D346" s="219">
        <v>1.0</v>
      </c>
      <c r="E346" s="218">
        <v>4790.0</v>
      </c>
      <c r="F346" s="3" t="s">
        <v>5404</v>
      </c>
      <c r="G346" s="220">
        <v>43104.0</v>
      </c>
    </row>
    <row r="347">
      <c r="A347" s="217">
        <v>43104.46574587963</v>
      </c>
      <c r="B347" s="218" t="s">
        <v>5092</v>
      </c>
      <c r="C347" s="218" t="s">
        <v>5411</v>
      </c>
      <c r="D347" s="219">
        <v>1.0</v>
      </c>
      <c r="E347" s="218">
        <v>4990.0</v>
      </c>
      <c r="F347" s="3" t="s">
        <v>5404</v>
      </c>
      <c r="G347" s="220">
        <v>43104.0</v>
      </c>
    </row>
    <row r="348">
      <c r="A348" s="217">
        <v>43104.46688204861</v>
      </c>
      <c r="B348" s="218" t="s">
        <v>5092</v>
      </c>
      <c r="C348" s="218" t="s">
        <v>5412</v>
      </c>
      <c r="D348" s="219">
        <v>1.0</v>
      </c>
      <c r="E348" s="218">
        <v>4990.0</v>
      </c>
      <c r="F348" s="3" t="s">
        <v>5404</v>
      </c>
      <c r="G348" s="220">
        <v>43104.0</v>
      </c>
    </row>
    <row r="349">
      <c r="A349" s="217">
        <v>43104.46812810186</v>
      </c>
      <c r="B349" s="218" t="s">
        <v>5092</v>
      </c>
      <c r="C349" s="218" t="s">
        <v>5413</v>
      </c>
      <c r="D349" s="219">
        <v>1.0</v>
      </c>
      <c r="E349" s="218">
        <v>4790.0</v>
      </c>
      <c r="F349" s="3" t="s">
        <v>5404</v>
      </c>
      <c r="G349" s="220">
        <v>43104.0</v>
      </c>
    </row>
    <row r="350">
      <c r="A350" s="217">
        <v>43104.46901530093</v>
      </c>
      <c r="B350" s="218" t="s">
        <v>5092</v>
      </c>
      <c r="C350" s="218" t="s">
        <v>1933</v>
      </c>
      <c r="D350" s="219">
        <v>1.0</v>
      </c>
      <c r="E350" s="218">
        <v>4990.0</v>
      </c>
      <c r="F350" s="3" t="s">
        <v>5404</v>
      </c>
      <c r="G350" s="220">
        <v>43104.0</v>
      </c>
    </row>
    <row r="351">
      <c r="A351" s="217">
        <v>43104.47114834491</v>
      </c>
      <c r="B351" s="218" t="s">
        <v>5092</v>
      </c>
      <c r="C351" s="218" t="s">
        <v>5415</v>
      </c>
      <c r="D351" s="219">
        <v>1.0</v>
      </c>
      <c r="E351" s="218">
        <v>4990.0</v>
      </c>
      <c r="F351" s="3" t="s">
        <v>5404</v>
      </c>
      <c r="G351" s="220">
        <v>43104.0</v>
      </c>
    </row>
    <row r="352">
      <c r="A352" s="217">
        <v>43104.472133159725</v>
      </c>
      <c r="B352" s="218" t="s">
        <v>5092</v>
      </c>
      <c r="C352" s="218" t="s">
        <v>1928</v>
      </c>
      <c r="D352" s="219">
        <v>1.0</v>
      </c>
      <c r="E352" s="218">
        <v>5490.0</v>
      </c>
      <c r="F352" s="3" t="s">
        <v>5404</v>
      </c>
      <c r="G352" s="220">
        <v>43104.0</v>
      </c>
    </row>
    <row r="353">
      <c r="A353" s="217">
        <v>43104.47303356482</v>
      </c>
      <c r="B353" s="218" t="s">
        <v>5092</v>
      </c>
      <c r="C353" s="218" t="s">
        <v>5411</v>
      </c>
      <c r="D353" s="219">
        <v>1.0</v>
      </c>
      <c r="E353" s="218">
        <v>5090.0</v>
      </c>
      <c r="F353" s="3" t="s">
        <v>5404</v>
      </c>
      <c r="G353" s="220">
        <v>43104.0</v>
      </c>
    </row>
    <row r="354">
      <c r="A354" s="217">
        <v>43104.47404140046</v>
      </c>
      <c r="B354" s="218" t="s">
        <v>5092</v>
      </c>
      <c r="C354" s="218" t="s">
        <v>5416</v>
      </c>
      <c r="D354" s="219">
        <v>1.0</v>
      </c>
      <c r="E354" s="218">
        <v>4990.0</v>
      </c>
      <c r="F354" s="3" t="s">
        <v>5404</v>
      </c>
      <c r="G354" s="220">
        <v>43104.0</v>
      </c>
    </row>
    <row r="355">
      <c r="A355" s="217">
        <v>43104.47564068287</v>
      </c>
      <c r="B355" s="218" t="s">
        <v>5092</v>
      </c>
      <c r="C355" s="218" t="s">
        <v>1948</v>
      </c>
      <c r="D355" s="219">
        <v>1.0</v>
      </c>
      <c r="E355" s="218">
        <v>6790.0</v>
      </c>
      <c r="F355" s="3" t="s">
        <v>5404</v>
      </c>
      <c r="G355" s="220">
        <v>43104.0</v>
      </c>
    </row>
    <row r="356">
      <c r="A356" s="217">
        <v>43104.47650417824</v>
      </c>
      <c r="B356" s="218" t="s">
        <v>5092</v>
      </c>
      <c r="C356" s="218" t="s">
        <v>5417</v>
      </c>
      <c r="D356" s="219">
        <v>1.0</v>
      </c>
      <c r="E356" s="218">
        <v>6790.0</v>
      </c>
      <c r="F356" s="3" t="s">
        <v>5404</v>
      </c>
      <c r="G356" s="220">
        <v>43104.0</v>
      </c>
    </row>
    <row r="357">
      <c r="A357" s="217">
        <v>43104.47754096065</v>
      </c>
      <c r="B357" s="218" t="s">
        <v>5092</v>
      </c>
      <c r="C357" s="218" t="s">
        <v>5418</v>
      </c>
      <c r="D357" s="219">
        <v>1.0</v>
      </c>
      <c r="E357" s="218">
        <v>7290.0</v>
      </c>
      <c r="F357" s="3" t="s">
        <v>5404</v>
      </c>
      <c r="G357" s="220">
        <v>43104.0</v>
      </c>
    </row>
    <row r="358">
      <c r="A358" s="217">
        <v>43104.478508368054</v>
      </c>
      <c r="B358" s="218" t="s">
        <v>5092</v>
      </c>
      <c r="C358" s="218" t="s">
        <v>5419</v>
      </c>
      <c r="D358" s="219">
        <v>1.0</v>
      </c>
      <c r="E358" s="218">
        <v>4790.0</v>
      </c>
      <c r="F358" s="3" t="s">
        <v>5404</v>
      </c>
      <c r="G358" s="220">
        <v>43104.0</v>
      </c>
    </row>
    <row r="359">
      <c r="A359" s="217">
        <v>43104.47955527778</v>
      </c>
      <c r="B359" s="218" t="s">
        <v>5092</v>
      </c>
      <c r="C359" s="218" t="s">
        <v>5420</v>
      </c>
      <c r="D359" s="219">
        <v>1.0</v>
      </c>
      <c r="E359" s="218">
        <v>7290.0</v>
      </c>
      <c r="F359" s="3" t="s">
        <v>5404</v>
      </c>
      <c r="G359" s="220">
        <v>43104.0</v>
      </c>
    </row>
    <row r="360">
      <c r="A360" s="217">
        <v>43104.480361504626</v>
      </c>
      <c r="B360" s="218" t="s">
        <v>5092</v>
      </c>
      <c r="C360" s="218" t="s">
        <v>1937</v>
      </c>
      <c r="D360" s="219">
        <v>1.0</v>
      </c>
      <c r="E360" s="218">
        <v>7790.0</v>
      </c>
      <c r="F360" s="3" t="s">
        <v>5404</v>
      </c>
      <c r="G360" s="220">
        <v>43104.0</v>
      </c>
    </row>
    <row r="361">
      <c r="A361" s="217">
        <v>43104.54991125</v>
      </c>
      <c r="B361" s="218" t="s">
        <v>5092</v>
      </c>
      <c r="C361" s="218" t="s">
        <v>1942</v>
      </c>
      <c r="D361" s="219">
        <v>1.0</v>
      </c>
      <c r="E361" s="218">
        <v>6290.0</v>
      </c>
      <c r="F361" s="3" t="s">
        <v>5404</v>
      </c>
      <c r="G361" s="220">
        <v>43104.0</v>
      </c>
    </row>
    <row r="362">
      <c r="A362" s="217">
        <v>43104.55125444444</v>
      </c>
      <c r="B362" s="218" t="s">
        <v>5092</v>
      </c>
      <c r="C362" s="218" t="s">
        <v>5421</v>
      </c>
      <c r="D362" s="219">
        <v>1.0</v>
      </c>
      <c r="E362" s="218">
        <v>5990.0</v>
      </c>
      <c r="F362" s="3" t="s">
        <v>5404</v>
      </c>
      <c r="G362" s="220">
        <v>43104.0</v>
      </c>
    </row>
    <row r="363">
      <c r="A363" s="217">
        <v>43104.55187364583</v>
      </c>
      <c r="B363" s="218" t="s">
        <v>5092</v>
      </c>
      <c r="C363" s="218" t="s">
        <v>5416</v>
      </c>
      <c r="D363" s="219">
        <v>1.0</v>
      </c>
      <c r="E363" s="218">
        <v>4990.0</v>
      </c>
      <c r="F363" s="3" t="s">
        <v>5404</v>
      </c>
      <c r="G363" s="220">
        <v>43104.0</v>
      </c>
    </row>
    <row r="364">
      <c r="A364" s="217">
        <v>43104.552784872685</v>
      </c>
      <c r="B364" s="218" t="s">
        <v>5092</v>
      </c>
      <c r="C364" s="218" t="s">
        <v>1916</v>
      </c>
      <c r="D364" s="219">
        <v>1.0</v>
      </c>
      <c r="E364" s="218">
        <v>5990.0</v>
      </c>
      <c r="F364" s="3" t="s">
        <v>5404</v>
      </c>
      <c r="G364" s="220">
        <v>43104.0</v>
      </c>
    </row>
    <row r="365">
      <c r="A365" s="217">
        <v>43104.686685023145</v>
      </c>
      <c r="B365" s="218" t="s">
        <v>5092</v>
      </c>
      <c r="C365" s="118" t="s">
        <v>1758</v>
      </c>
      <c r="D365" s="219">
        <v>1.0</v>
      </c>
      <c r="E365" s="218">
        <v>4750.0</v>
      </c>
      <c r="F365" s="3" t="s">
        <v>5422</v>
      </c>
      <c r="G365" s="220">
        <v>43104.0</v>
      </c>
    </row>
    <row r="366">
      <c r="A366" s="217">
        <v>43104.68751341435</v>
      </c>
      <c r="B366" s="218" t="s">
        <v>5092</v>
      </c>
      <c r="C366" s="118" t="s">
        <v>5424</v>
      </c>
      <c r="D366" s="219">
        <v>1.0</v>
      </c>
      <c r="E366" s="218">
        <v>3875.0</v>
      </c>
      <c r="F366" s="3" t="s">
        <v>5422</v>
      </c>
      <c r="G366" s="220">
        <v>43104.0</v>
      </c>
    </row>
    <row r="367">
      <c r="A367" s="217">
        <v>43104.68811628473</v>
      </c>
      <c r="B367" s="218" t="s">
        <v>5092</v>
      </c>
      <c r="C367" s="118" t="s">
        <v>1753</v>
      </c>
      <c r="D367" s="219">
        <v>1.0</v>
      </c>
      <c r="E367" s="218">
        <v>2375.0</v>
      </c>
      <c r="F367" s="3" t="s">
        <v>5422</v>
      </c>
      <c r="G367" s="220">
        <v>43104.0</v>
      </c>
    </row>
    <row r="368">
      <c r="A368" s="217">
        <v>43104.689005312495</v>
      </c>
      <c r="B368" s="218" t="s">
        <v>5092</v>
      </c>
      <c r="C368" s="118" t="s">
        <v>5426</v>
      </c>
      <c r="D368" s="219">
        <v>1.0</v>
      </c>
      <c r="E368" s="218">
        <v>2950.0</v>
      </c>
      <c r="F368" s="3" t="s">
        <v>5422</v>
      </c>
      <c r="G368" s="220">
        <v>43104.0</v>
      </c>
    </row>
    <row r="369">
      <c r="A369" s="217">
        <v>43104.68969429398</v>
      </c>
      <c r="B369" s="218" t="s">
        <v>5092</v>
      </c>
      <c r="C369" s="118" t="s">
        <v>1770</v>
      </c>
      <c r="D369" s="219">
        <v>1.0</v>
      </c>
      <c r="E369" s="218">
        <v>3350.0</v>
      </c>
      <c r="F369" s="3" t="s">
        <v>5422</v>
      </c>
      <c r="G369" s="220">
        <v>43104.0</v>
      </c>
    </row>
    <row r="370">
      <c r="A370" s="217">
        <v>43104.69101380787</v>
      </c>
      <c r="B370" s="218" t="s">
        <v>5092</v>
      </c>
      <c r="C370" s="118" t="s">
        <v>1762</v>
      </c>
      <c r="D370" s="219">
        <v>1.0</v>
      </c>
      <c r="E370" s="218">
        <v>2950.0</v>
      </c>
      <c r="F370" s="3" t="s">
        <v>5422</v>
      </c>
      <c r="G370" s="220">
        <v>43104.0</v>
      </c>
    </row>
    <row r="371">
      <c r="A371" s="217">
        <v>43104.691838680556</v>
      </c>
      <c r="B371" s="218" t="s">
        <v>5092</v>
      </c>
      <c r="C371" s="118" t="s">
        <v>5426</v>
      </c>
      <c r="D371" s="219">
        <v>1.0</v>
      </c>
      <c r="E371" s="218">
        <v>2950.0</v>
      </c>
      <c r="F371" s="3" t="s">
        <v>5422</v>
      </c>
      <c r="G371" s="220">
        <v>43104.0</v>
      </c>
    </row>
    <row r="372">
      <c r="A372" s="217">
        <v>43104.69250075231</v>
      </c>
      <c r="B372" s="218" t="s">
        <v>5092</v>
      </c>
      <c r="C372" s="118" t="s">
        <v>5428</v>
      </c>
      <c r="D372" s="219">
        <v>1.0</v>
      </c>
      <c r="E372" s="218">
        <v>3750.0</v>
      </c>
      <c r="F372" s="3" t="s">
        <v>5422</v>
      </c>
      <c r="G372" s="220">
        <v>43104.0</v>
      </c>
    </row>
    <row r="373">
      <c r="A373" s="217">
        <v>43104.69339717593</v>
      </c>
      <c r="B373" s="218" t="s">
        <v>5092</v>
      </c>
      <c r="C373" s="118" t="s">
        <v>1766</v>
      </c>
      <c r="D373" s="219">
        <v>1.0</v>
      </c>
      <c r="E373" s="218">
        <v>3500.0</v>
      </c>
      <c r="F373" s="3" t="s">
        <v>5422</v>
      </c>
      <c r="G373" s="220">
        <v>43104.0</v>
      </c>
    </row>
    <row r="374">
      <c r="A374" s="217">
        <v>43104.69469773148</v>
      </c>
      <c r="B374" s="218" t="s">
        <v>5092</v>
      </c>
      <c r="C374" s="118" t="s">
        <v>5429</v>
      </c>
      <c r="D374" s="219">
        <v>1.0</v>
      </c>
      <c r="E374" s="218">
        <v>3500.0</v>
      </c>
      <c r="F374" s="3" t="s">
        <v>5422</v>
      </c>
      <c r="G374" s="220">
        <v>43104.0</v>
      </c>
    </row>
    <row r="375">
      <c r="A375" s="217">
        <v>43104.69572769676</v>
      </c>
      <c r="B375" s="218" t="s">
        <v>5092</v>
      </c>
      <c r="C375" s="118" t="s">
        <v>1769</v>
      </c>
      <c r="D375" s="219">
        <v>1.0</v>
      </c>
      <c r="E375" s="218">
        <v>2950.0</v>
      </c>
      <c r="F375" s="3" t="s">
        <v>5422</v>
      </c>
      <c r="G375" s="220">
        <v>43104.0</v>
      </c>
    </row>
    <row r="376">
      <c r="A376" s="217">
        <v>43104.70296106482</v>
      </c>
      <c r="B376" s="218" t="s">
        <v>5092</v>
      </c>
      <c r="C376" s="218" t="s">
        <v>1959</v>
      </c>
      <c r="D376" s="219">
        <v>3.0</v>
      </c>
      <c r="E376" s="218">
        <v>1800.0</v>
      </c>
      <c r="F376" s="3" t="s">
        <v>5422</v>
      </c>
      <c r="G376" s="220">
        <v>43104.0</v>
      </c>
    </row>
    <row r="377">
      <c r="A377" s="217">
        <v>43104.703854085645</v>
      </c>
      <c r="B377" s="218" t="s">
        <v>5092</v>
      </c>
      <c r="C377" s="218" t="s">
        <v>1961</v>
      </c>
      <c r="D377" s="219">
        <v>3.0</v>
      </c>
      <c r="E377" s="218">
        <v>1800.0</v>
      </c>
      <c r="F377" s="3" t="s">
        <v>5422</v>
      </c>
      <c r="G377" s="220">
        <v>43104.0</v>
      </c>
    </row>
    <row r="378">
      <c r="A378" s="217">
        <v>43104.704579108795</v>
      </c>
      <c r="B378" s="218" t="s">
        <v>5092</v>
      </c>
      <c r="C378" s="218" t="s">
        <v>1963</v>
      </c>
      <c r="D378" s="219">
        <v>1.0</v>
      </c>
      <c r="E378" s="218">
        <v>1800.0</v>
      </c>
      <c r="F378" s="3" t="s">
        <v>5422</v>
      </c>
      <c r="G378" s="220">
        <v>43104.0</v>
      </c>
    </row>
    <row r="379">
      <c r="A379" s="217">
        <v>43104.714775706016</v>
      </c>
      <c r="B379" s="218" t="s">
        <v>5092</v>
      </c>
      <c r="C379" s="218" t="s">
        <v>5432</v>
      </c>
      <c r="D379" s="219">
        <v>1.0</v>
      </c>
      <c r="E379" s="218">
        <v>2250.0</v>
      </c>
      <c r="F379" s="3" t="s">
        <v>5422</v>
      </c>
      <c r="G379" s="220">
        <v>43104.0</v>
      </c>
    </row>
    <row r="380">
      <c r="A380" s="217">
        <v>43105.62413517361</v>
      </c>
      <c r="B380" s="218" t="s">
        <v>5092</v>
      </c>
      <c r="C380" s="218" t="s">
        <v>5433</v>
      </c>
      <c r="D380" s="219">
        <v>1.0</v>
      </c>
      <c r="E380" s="218">
        <v>4590.0</v>
      </c>
      <c r="F380" s="3" t="s">
        <v>5434</v>
      </c>
      <c r="G380" s="220">
        <v>43105.0</v>
      </c>
    </row>
    <row r="381">
      <c r="A381" s="217">
        <v>43105.62569927084</v>
      </c>
      <c r="B381" s="218" t="s">
        <v>5092</v>
      </c>
      <c r="C381" s="218" t="s">
        <v>5436</v>
      </c>
      <c r="D381" s="219">
        <v>1.0</v>
      </c>
      <c r="E381" s="218">
        <v>4590.0</v>
      </c>
      <c r="F381" s="3" t="s">
        <v>5434</v>
      </c>
      <c r="G381" s="220">
        <v>43105.0</v>
      </c>
    </row>
    <row r="382">
      <c r="A382" s="217">
        <v>43105.62746243055</v>
      </c>
      <c r="B382" s="218" t="s">
        <v>5092</v>
      </c>
      <c r="C382" s="218" t="s">
        <v>5438</v>
      </c>
      <c r="D382" s="219">
        <v>2.0</v>
      </c>
      <c r="E382" s="218">
        <v>4790.0</v>
      </c>
      <c r="F382" s="3" t="s">
        <v>5434</v>
      </c>
      <c r="G382" s="220">
        <v>43105.0</v>
      </c>
    </row>
    <row r="383">
      <c r="A383" s="217">
        <v>43105.632143738425</v>
      </c>
      <c r="B383" s="218" t="s">
        <v>5092</v>
      </c>
      <c r="C383" s="218" t="s">
        <v>5440</v>
      </c>
      <c r="D383" s="219">
        <v>1.0</v>
      </c>
      <c r="E383" s="218">
        <v>3790.0</v>
      </c>
      <c r="F383" s="3" t="s">
        <v>5434</v>
      </c>
      <c r="G383" s="220">
        <v>43105.0</v>
      </c>
    </row>
    <row r="384">
      <c r="A384" s="217">
        <v>43105.650313148144</v>
      </c>
      <c r="B384" s="218" t="s">
        <v>5092</v>
      </c>
      <c r="C384" s="218" t="s">
        <v>5442</v>
      </c>
      <c r="D384" s="219">
        <v>1.0</v>
      </c>
      <c r="E384" s="218">
        <v>6490.0</v>
      </c>
      <c r="F384" s="3" t="s">
        <v>5434</v>
      </c>
      <c r="G384" s="220">
        <v>43105.0</v>
      </c>
    </row>
    <row r="385">
      <c r="A385" s="217">
        <v>43105.6516218287</v>
      </c>
      <c r="B385" s="218" t="s">
        <v>5092</v>
      </c>
      <c r="C385" s="218" t="s">
        <v>2110</v>
      </c>
      <c r="D385" s="219">
        <v>2.0</v>
      </c>
      <c r="E385" s="218">
        <v>5990.0</v>
      </c>
      <c r="F385" s="3" t="s">
        <v>5434</v>
      </c>
      <c r="G385" s="220">
        <v>43105.0</v>
      </c>
    </row>
    <row r="386">
      <c r="A386" s="217">
        <v>43105.65277490741</v>
      </c>
      <c r="B386" s="218" t="s">
        <v>5092</v>
      </c>
      <c r="C386" s="218" t="s">
        <v>2120</v>
      </c>
      <c r="D386" s="219">
        <v>4.0</v>
      </c>
      <c r="E386" s="218">
        <v>5990.0</v>
      </c>
      <c r="F386" s="3" t="s">
        <v>5434</v>
      </c>
      <c r="G386" s="220">
        <v>43105.0</v>
      </c>
    </row>
    <row r="387">
      <c r="A387" s="217">
        <v>43105.655050092595</v>
      </c>
      <c r="B387" s="218" t="s">
        <v>5092</v>
      </c>
      <c r="C387" s="218" t="s">
        <v>5445</v>
      </c>
      <c r="D387" s="219">
        <v>1.0</v>
      </c>
      <c r="E387" s="218">
        <v>5990.0</v>
      </c>
      <c r="F387" s="3" t="s">
        <v>5446</v>
      </c>
      <c r="G387" s="220">
        <v>43105.0</v>
      </c>
    </row>
    <row r="388">
      <c r="A388" s="217">
        <v>43105.662769097224</v>
      </c>
      <c r="B388" s="218" t="s">
        <v>5092</v>
      </c>
      <c r="C388" s="218" t="s">
        <v>5448</v>
      </c>
      <c r="D388" s="219">
        <v>2.0</v>
      </c>
      <c r="E388" s="218">
        <v>4990.0</v>
      </c>
      <c r="F388" s="3" t="s">
        <v>5446</v>
      </c>
      <c r="G388" s="220">
        <v>43105.0</v>
      </c>
    </row>
    <row r="389">
      <c r="A389" s="217">
        <v>43105.664179872685</v>
      </c>
      <c r="B389" s="218" t="s">
        <v>5092</v>
      </c>
      <c r="C389" s="218" t="s">
        <v>5442</v>
      </c>
      <c r="D389" s="219">
        <v>1.0</v>
      </c>
      <c r="E389" s="218">
        <v>6490.0</v>
      </c>
      <c r="F389" s="3" t="s">
        <v>5446</v>
      </c>
      <c r="G389" s="220">
        <v>43105.0</v>
      </c>
    </row>
    <row r="390">
      <c r="A390" s="217">
        <v>43105.667993599534</v>
      </c>
      <c r="B390" s="218" t="s">
        <v>5092</v>
      </c>
      <c r="C390" s="218" t="s">
        <v>2117</v>
      </c>
      <c r="D390" s="219">
        <v>5.0</v>
      </c>
      <c r="E390" s="218">
        <v>4290.0</v>
      </c>
      <c r="F390" s="3" t="s">
        <v>5446</v>
      </c>
      <c r="G390" s="220">
        <v>43105.0</v>
      </c>
    </row>
    <row r="391">
      <c r="A391" s="217">
        <v>43105.67005364584</v>
      </c>
      <c r="B391" s="218" t="s">
        <v>5092</v>
      </c>
      <c r="C391" s="218" t="s">
        <v>5451</v>
      </c>
      <c r="D391" s="219">
        <v>1.0</v>
      </c>
      <c r="E391" s="218">
        <v>4590.0</v>
      </c>
      <c r="F391" s="3" t="s">
        <v>5446</v>
      </c>
      <c r="G391" s="220">
        <v>43105.0</v>
      </c>
    </row>
    <row r="392">
      <c r="A392" s="217">
        <v>43105.672024837964</v>
      </c>
      <c r="B392" s="218" t="s">
        <v>5092</v>
      </c>
      <c r="C392" s="218" t="s">
        <v>5452</v>
      </c>
      <c r="D392" s="219">
        <v>1.0</v>
      </c>
      <c r="E392" s="218">
        <v>4990.0</v>
      </c>
      <c r="F392" s="3" t="s">
        <v>5446</v>
      </c>
      <c r="G392" s="220">
        <v>43105.0</v>
      </c>
    </row>
    <row r="393">
      <c r="A393" s="217">
        <v>43105.67400371528</v>
      </c>
      <c r="B393" s="218" t="s">
        <v>5092</v>
      </c>
      <c r="C393" s="218" t="s">
        <v>2134</v>
      </c>
      <c r="D393" s="219">
        <v>3.0</v>
      </c>
      <c r="E393" s="218">
        <v>4290.0</v>
      </c>
      <c r="F393" s="3" t="s">
        <v>5434</v>
      </c>
      <c r="G393" s="220">
        <v>43105.0</v>
      </c>
    </row>
    <row r="394">
      <c r="A394" s="217">
        <v>43105.67594920139</v>
      </c>
      <c r="B394" s="218" t="s">
        <v>5092</v>
      </c>
      <c r="C394" s="218" t="s">
        <v>5454</v>
      </c>
      <c r="D394" s="219">
        <v>1.0</v>
      </c>
      <c r="E394" s="218">
        <v>4590.0</v>
      </c>
      <c r="F394" s="3" t="s">
        <v>5446</v>
      </c>
      <c r="G394" s="220">
        <v>43105.0</v>
      </c>
    </row>
    <row r="395">
      <c r="A395" s="217">
        <v>43105.68027370371</v>
      </c>
      <c r="B395" s="218" t="s">
        <v>5092</v>
      </c>
      <c r="C395" s="218" t="s">
        <v>2136</v>
      </c>
      <c r="D395" s="219">
        <v>1.0</v>
      </c>
      <c r="E395" s="218">
        <v>4290.0</v>
      </c>
      <c r="F395" s="3" t="s">
        <v>5446</v>
      </c>
      <c r="G395" s="220">
        <v>43105.0</v>
      </c>
    </row>
    <row r="396">
      <c r="A396" s="217">
        <v>43105.68140108796</v>
      </c>
      <c r="B396" s="218" t="s">
        <v>5092</v>
      </c>
      <c r="C396" s="218" t="s">
        <v>2135</v>
      </c>
      <c r="D396" s="219">
        <v>2.0</v>
      </c>
      <c r="E396" s="218">
        <v>4290.0</v>
      </c>
      <c r="F396" s="3" t="s">
        <v>5434</v>
      </c>
      <c r="G396" s="220">
        <v>43105.0</v>
      </c>
    </row>
    <row r="397">
      <c r="A397" s="217">
        <v>43105.682405960644</v>
      </c>
      <c r="B397" s="218" t="s">
        <v>5092</v>
      </c>
      <c r="C397" s="218" t="s">
        <v>5458</v>
      </c>
      <c r="D397" s="219">
        <v>2.0</v>
      </c>
      <c r="E397" s="218">
        <v>4990.0</v>
      </c>
      <c r="F397" s="3" t="s">
        <v>5459</v>
      </c>
      <c r="G397" s="220">
        <v>43105.0</v>
      </c>
    </row>
    <row r="398">
      <c r="A398" s="217">
        <v>43105.68425568287</v>
      </c>
      <c r="B398" s="218" t="s">
        <v>5092</v>
      </c>
      <c r="C398" s="218" t="s">
        <v>5460</v>
      </c>
      <c r="D398" s="219">
        <v>4.0</v>
      </c>
      <c r="E398" s="218">
        <v>4290.0</v>
      </c>
      <c r="F398" s="3" t="s">
        <v>5459</v>
      </c>
      <c r="G398" s="220">
        <v>43105.0</v>
      </c>
    </row>
    <row r="399">
      <c r="A399" s="217">
        <v>43105.68988665509</v>
      </c>
      <c r="B399" s="218" t="s">
        <v>5092</v>
      </c>
      <c r="C399" s="218" t="s">
        <v>5461</v>
      </c>
      <c r="D399" s="219">
        <v>1.0</v>
      </c>
      <c r="E399" s="218">
        <v>5290.0</v>
      </c>
      <c r="F399" s="3" t="s">
        <v>5446</v>
      </c>
      <c r="G399" s="220">
        <v>43105.0</v>
      </c>
    </row>
    <row r="400">
      <c r="A400" s="217">
        <v>43108.443955069444</v>
      </c>
      <c r="B400" s="218" t="s">
        <v>5092</v>
      </c>
      <c r="C400" s="218" t="s">
        <v>5463</v>
      </c>
      <c r="D400" s="219">
        <v>1.0</v>
      </c>
      <c r="E400" s="218">
        <v>4790.0</v>
      </c>
      <c r="F400" s="3" t="s">
        <v>5459</v>
      </c>
      <c r="G400" s="220">
        <v>43108.0</v>
      </c>
    </row>
    <row r="401">
      <c r="A401" s="217">
        <v>43108.44474302084</v>
      </c>
      <c r="B401" s="218" t="s">
        <v>5092</v>
      </c>
      <c r="C401" s="218" t="s">
        <v>5465</v>
      </c>
      <c r="D401" s="219">
        <v>1.0</v>
      </c>
      <c r="E401" s="218">
        <v>4990.0</v>
      </c>
      <c r="F401" s="3" t="s">
        <v>5459</v>
      </c>
      <c r="G401" s="220">
        <v>43108.0</v>
      </c>
    </row>
    <row r="402">
      <c r="A402" s="217">
        <v>43108.446678796296</v>
      </c>
      <c r="B402" s="218" t="s">
        <v>5092</v>
      </c>
      <c r="C402" s="218" t="s">
        <v>2151</v>
      </c>
      <c r="D402" s="219">
        <v>2.0</v>
      </c>
      <c r="E402" s="218">
        <v>4990.0</v>
      </c>
      <c r="F402" s="3" t="s">
        <v>5459</v>
      </c>
      <c r="G402" s="220">
        <v>43108.0</v>
      </c>
    </row>
    <row r="403">
      <c r="A403" s="217">
        <v>43108.44825530093</v>
      </c>
      <c r="B403" s="218" t="s">
        <v>5092</v>
      </c>
      <c r="C403" s="218" t="s">
        <v>2165</v>
      </c>
      <c r="D403" s="219">
        <v>1.0</v>
      </c>
      <c r="E403" s="218">
        <v>5490.0</v>
      </c>
      <c r="F403" s="3" t="s">
        <v>5459</v>
      </c>
      <c r="G403" s="220">
        <v>43108.0</v>
      </c>
    </row>
    <row r="404">
      <c r="A404" s="217">
        <v>43108.45241387731</v>
      </c>
      <c r="B404" s="218" t="s">
        <v>5092</v>
      </c>
      <c r="C404" s="218" t="s">
        <v>2163</v>
      </c>
      <c r="D404" s="219">
        <v>2.0</v>
      </c>
      <c r="E404" s="218">
        <v>5490.0</v>
      </c>
      <c r="F404" s="3" t="s">
        <v>5459</v>
      </c>
      <c r="G404" s="220">
        <v>43108.0</v>
      </c>
    </row>
    <row r="405">
      <c r="A405" s="217">
        <v>43108.45538837963</v>
      </c>
      <c r="B405" s="218" t="s">
        <v>5092</v>
      </c>
      <c r="C405" s="218" t="s">
        <v>5467</v>
      </c>
      <c r="D405" s="219">
        <v>1.0</v>
      </c>
      <c r="E405" s="218">
        <v>6190.0</v>
      </c>
      <c r="F405" s="3" t="s">
        <v>5434</v>
      </c>
      <c r="G405" s="220">
        <v>43108.0</v>
      </c>
    </row>
    <row r="406">
      <c r="A406" s="217">
        <v>43108.456554895834</v>
      </c>
      <c r="B406" s="218" t="s">
        <v>5092</v>
      </c>
      <c r="C406" s="218" t="s">
        <v>5440</v>
      </c>
      <c r="D406" s="219">
        <v>1.0</v>
      </c>
      <c r="E406" s="218">
        <v>3790.0</v>
      </c>
      <c r="F406" s="3" t="s">
        <v>5434</v>
      </c>
      <c r="G406" s="220">
        <v>43108.0</v>
      </c>
    </row>
    <row r="407">
      <c r="A407" s="217">
        <v>43108.45824097222</v>
      </c>
      <c r="B407" s="218" t="s">
        <v>5092</v>
      </c>
      <c r="C407" s="218" t="s">
        <v>5445</v>
      </c>
      <c r="D407" s="219">
        <v>1.0</v>
      </c>
      <c r="E407" s="218">
        <v>5990.0</v>
      </c>
      <c r="F407" s="3" t="s">
        <v>5459</v>
      </c>
      <c r="G407" s="220">
        <v>43108.0</v>
      </c>
    </row>
    <row r="408">
      <c r="A408" s="217">
        <v>43108.45931929398</v>
      </c>
      <c r="B408" s="218" t="s">
        <v>5092</v>
      </c>
      <c r="C408" s="218" t="s">
        <v>5470</v>
      </c>
      <c r="D408" s="219">
        <v>1.0</v>
      </c>
      <c r="E408" s="218">
        <v>4990.0</v>
      </c>
      <c r="F408" s="3" t="s">
        <v>5471</v>
      </c>
      <c r="G408" s="220">
        <v>43108.0</v>
      </c>
    </row>
    <row r="409">
      <c r="A409" s="217">
        <v>43108.46050318287</v>
      </c>
      <c r="B409" s="218" t="s">
        <v>5092</v>
      </c>
      <c r="C409" s="218" t="s">
        <v>5472</v>
      </c>
      <c r="D409" s="219">
        <v>3.0</v>
      </c>
      <c r="E409" s="218">
        <v>4990.0</v>
      </c>
      <c r="F409" s="3" t="s">
        <v>5471</v>
      </c>
      <c r="G409" s="220">
        <v>43108.0</v>
      </c>
    </row>
    <row r="410">
      <c r="A410" s="217">
        <v>43108.46687704861</v>
      </c>
      <c r="B410" s="218" t="s">
        <v>5092</v>
      </c>
      <c r="C410" s="218" t="s">
        <v>2163</v>
      </c>
      <c r="D410" s="219">
        <v>2.0</v>
      </c>
      <c r="E410" s="218">
        <v>5990.0</v>
      </c>
      <c r="F410" s="3" t="s">
        <v>5471</v>
      </c>
      <c r="G410" s="220">
        <v>43442.0</v>
      </c>
    </row>
    <row r="411">
      <c r="A411" s="217">
        <v>43108.46909663195</v>
      </c>
      <c r="B411" s="218" t="s">
        <v>5092</v>
      </c>
      <c r="C411" s="218" t="s">
        <v>2165</v>
      </c>
      <c r="D411" s="219">
        <v>1.0</v>
      </c>
      <c r="E411" s="218">
        <v>5490.0</v>
      </c>
      <c r="F411" s="3" t="s">
        <v>5471</v>
      </c>
      <c r="G411" s="220">
        <v>43108.0</v>
      </c>
    </row>
    <row r="412">
      <c r="A412" s="217">
        <v>43108.47200454861</v>
      </c>
      <c r="B412" s="218" t="s">
        <v>5092</v>
      </c>
      <c r="C412" s="218" t="s">
        <v>5475</v>
      </c>
      <c r="D412" s="219">
        <v>1.0</v>
      </c>
      <c r="E412" s="218">
        <v>4590.0</v>
      </c>
      <c r="F412" s="3" t="s">
        <v>5471</v>
      </c>
      <c r="G412" s="220">
        <v>43108.0</v>
      </c>
    </row>
    <row r="413">
      <c r="A413" s="217">
        <v>43108.47327637731</v>
      </c>
      <c r="B413" s="218" t="s">
        <v>5092</v>
      </c>
      <c r="C413" s="218" t="s">
        <v>5477</v>
      </c>
      <c r="D413" s="219">
        <v>2.0</v>
      </c>
      <c r="E413" s="218">
        <v>3290.0</v>
      </c>
      <c r="F413" s="3" t="s">
        <v>5471</v>
      </c>
      <c r="G413" s="220">
        <v>43108.0</v>
      </c>
    </row>
    <row r="414">
      <c r="A414" s="217">
        <v>43108.583557314814</v>
      </c>
      <c r="B414" s="218" t="s">
        <v>5092</v>
      </c>
      <c r="C414" s="218" t="s">
        <v>5479</v>
      </c>
      <c r="D414" s="219">
        <v>1.0</v>
      </c>
      <c r="E414" s="218">
        <v>4590.0</v>
      </c>
      <c r="F414" s="3" t="s">
        <v>5480</v>
      </c>
      <c r="G414" s="220">
        <v>43108.0</v>
      </c>
    </row>
    <row r="415">
      <c r="A415" s="217">
        <v>43108.584845543985</v>
      </c>
      <c r="B415" s="218" t="s">
        <v>5092</v>
      </c>
      <c r="C415" s="218" t="s">
        <v>5482</v>
      </c>
      <c r="D415" s="219">
        <v>4.0</v>
      </c>
      <c r="E415" s="218">
        <v>3990.0</v>
      </c>
      <c r="F415" s="3" t="s">
        <v>5480</v>
      </c>
      <c r="G415" s="220">
        <v>43108.0</v>
      </c>
    </row>
    <row r="416">
      <c r="A416" s="217">
        <v>43108.58740386574</v>
      </c>
      <c r="B416" s="218" t="s">
        <v>5092</v>
      </c>
      <c r="C416" s="218" t="s">
        <v>5483</v>
      </c>
      <c r="D416" s="219">
        <v>2.0</v>
      </c>
      <c r="E416" s="218">
        <v>3490.0</v>
      </c>
      <c r="F416" s="3" t="s">
        <v>5480</v>
      </c>
      <c r="G416" s="220">
        <v>43108.0</v>
      </c>
    </row>
    <row r="417">
      <c r="A417" s="217">
        <v>43108.60756171297</v>
      </c>
      <c r="B417" s="218" t="s">
        <v>5092</v>
      </c>
      <c r="C417" s="218" t="s">
        <v>5484</v>
      </c>
      <c r="D417" s="219">
        <v>3.0</v>
      </c>
      <c r="E417" s="218">
        <v>3990.0</v>
      </c>
      <c r="F417" s="3" t="s">
        <v>5446</v>
      </c>
      <c r="G417" s="220">
        <v>43108.0</v>
      </c>
    </row>
    <row r="418">
      <c r="A418" s="217">
        <v>43108.611384675925</v>
      </c>
      <c r="B418" s="218" t="s">
        <v>5092</v>
      </c>
      <c r="C418" s="218" t="s">
        <v>5486</v>
      </c>
      <c r="D418" s="219">
        <v>2.0</v>
      </c>
      <c r="E418" s="218">
        <v>3990.0</v>
      </c>
      <c r="F418" s="3" t="s">
        <v>5480</v>
      </c>
      <c r="G418" s="220">
        <v>43108.0</v>
      </c>
    </row>
    <row r="419">
      <c r="A419" s="217">
        <v>43108.61326039352</v>
      </c>
      <c r="B419" s="218" t="s">
        <v>5092</v>
      </c>
      <c r="C419" s="218" t="s">
        <v>5487</v>
      </c>
      <c r="D419" s="219">
        <v>1.0</v>
      </c>
      <c r="E419" s="218">
        <v>2121.0</v>
      </c>
      <c r="F419" s="3" t="s">
        <v>5480</v>
      </c>
      <c r="G419" s="220">
        <v>43108.0</v>
      </c>
    </row>
    <row r="420">
      <c r="A420" s="217">
        <v>43110.63120097222</v>
      </c>
      <c r="B420" s="218" t="s">
        <v>5092</v>
      </c>
      <c r="C420" s="218" t="s">
        <v>2193</v>
      </c>
      <c r="D420" s="219">
        <v>3.0</v>
      </c>
      <c r="E420" s="218">
        <v>5990.0</v>
      </c>
      <c r="F420" s="3" t="s">
        <v>5471</v>
      </c>
      <c r="G420" s="220">
        <v>43110.0</v>
      </c>
    </row>
    <row r="421">
      <c r="A421" s="217">
        <v>43110.63479895833</v>
      </c>
      <c r="B421" s="218" t="s">
        <v>5092</v>
      </c>
      <c r="C421" s="218" t="s">
        <v>5489</v>
      </c>
      <c r="D421" s="219">
        <v>3.0</v>
      </c>
      <c r="E421" s="218">
        <v>3990.0</v>
      </c>
      <c r="F421" s="3" t="s">
        <v>5471</v>
      </c>
      <c r="G421" s="220">
        <v>43110.0</v>
      </c>
    </row>
    <row r="422">
      <c r="A422" s="217">
        <v>43110.636437187495</v>
      </c>
      <c r="B422" s="218" t="s">
        <v>5092</v>
      </c>
      <c r="C422" s="218" t="s">
        <v>5490</v>
      </c>
      <c r="D422" s="219">
        <v>1.0</v>
      </c>
      <c r="E422" s="218">
        <v>4990.0</v>
      </c>
      <c r="F422" s="3" t="s">
        <v>5459</v>
      </c>
      <c r="G422" s="220">
        <v>43110.0</v>
      </c>
    </row>
    <row r="423">
      <c r="A423" s="217">
        <v>43110.637730347225</v>
      </c>
      <c r="B423" s="218" t="s">
        <v>5092</v>
      </c>
      <c r="C423" s="218" t="s">
        <v>5492</v>
      </c>
      <c r="D423" s="219">
        <v>1.0</v>
      </c>
      <c r="E423" s="218">
        <v>5290.0</v>
      </c>
      <c r="F423" s="3" t="s">
        <v>5434</v>
      </c>
      <c r="G423" s="220">
        <v>43110.0</v>
      </c>
    </row>
    <row r="424">
      <c r="A424" s="217">
        <v>43110.639686423616</v>
      </c>
      <c r="B424" s="218" t="s">
        <v>5092</v>
      </c>
      <c r="C424" s="218" t="s">
        <v>5493</v>
      </c>
      <c r="D424" s="219">
        <v>3.0</v>
      </c>
      <c r="E424" s="218">
        <v>4290.0</v>
      </c>
      <c r="F424" s="3" t="s">
        <v>5494</v>
      </c>
      <c r="G424" s="220">
        <v>43110.0</v>
      </c>
    </row>
    <row r="425">
      <c r="A425" s="217">
        <v>43110.64262053241</v>
      </c>
      <c r="B425" s="218" t="s">
        <v>5092</v>
      </c>
      <c r="C425" s="218" t="s">
        <v>5496</v>
      </c>
      <c r="D425" s="219">
        <v>3.0</v>
      </c>
      <c r="E425" s="218">
        <v>3990.0</v>
      </c>
      <c r="F425" s="3" t="s">
        <v>5494</v>
      </c>
      <c r="G425" s="220">
        <v>43110.0</v>
      </c>
    </row>
    <row r="426">
      <c r="A426" s="217">
        <v>43110.643694467595</v>
      </c>
      <c r="B426" s="218" t="s">
        <v>5092</v>
      </c>
      <c r="C426" s="218" t="s">
        <v>2109</v>
      </c>
      <c r="D426" s="219">
        <v>1.0</v>
      </c>
      <c r="E426" s="218">
        <v>4590.0</v>
      </c>
      <c r="F426" s="3" t="s">
        <v>5494</v>
      </c>
      <c r="G426" s="220">
        <v>43110.0</v>
      </c>
    </row>
    <row r="427">
      <c r="A427" s="217">
        <v>43110.64518798611</v>
      </c>
      <c r="B427" s="218" t="s">
        <v>5092</v>
      </c>
      <c r="C427" s="218" t="s">
        <v>2104</v>
      </c>
      <c r="D427" s="219">
        <v>2.0</v>
      </c>
      <c r="E427" s="218">
        <v>4590.0</v>
      </c>
      <c r="F427" s="3" t="s">
        <v>5494</v>
      </c>
      <c r="G427" s="220">
        <v>43110.0</v>
      </c>
    </row>
    <row r="428">
      <c r="A428" s="217">
        <v>43110.646372731484</v>
      </c>
      <c r="B428" s="218" t="s">
        <v>5092</v>
      </c>
      <c r="C428" s="218" t="s">
        <v>2114</v>
      </c>
      <c r="D428" s="219">
        <v>1.0</v>
      </c>
      <c r="E428" s="218">
        <v>4590.0</v>
      </c>
      <c r="F428" s="3" t="s">
        <v>5494</v>
      </c>
      <c r="G428" s="220">
        <v>43110.0</v>
      </c>
    </row>
    <row r="429">
      <c r="A429" s="217">
        <v>43110.64766422454</v>
      </c>
      <c r="B429" s="218" t="s">
        <v>5092</v>
      </c>
      <c r="C429" s="218" t="s">
        <v>2118</v>
      </c>
      <c r="D429" s="219">
        <v>1.0</v>
      </c>
      <c r="E429" s="218">
        <v>4990.0</v>
      </c>
      <c r="F429" s="3" t="s">
        <v>5494</v>
      </c>
      <c r="G429" s="220">
        <v>43110.0</v>
      </c>
    </row>
    <row r="430">
      <c r="A430" s="217">
        <v>43110.648437592594</v>
      </c>
      <c r="B430" s="218" t="s">
        <v>5092</v>
      </c>
      <c r="C430" s="218" t="s">
        <v>2126</v>
      </c>
      <c r="D430" s="219">
        <v>2.0</v>
      </c>
      <c r="E430" s="218">
        <v>3790.0</v>
      </c>
      <c r="F430" s="3" t="s">
        <v>5494</v>
      </c>
      <c r="G430" s="220">
        <v>43110.0</v>
      </c>
    </row>
    <row r="431">
      <c r="A431" s="217">
        <v>43110.65063836805</v>
      </c>
      <c r="B431" s="218" t="s">
        <v>5092</v>
      </c>
      <c r="C431" s="218" t="s">
        <v>2129</v>
      </c>
      <c r="D431" s="214"/>
      <c r="E431" s="218">
        <v>3790.0</v>
      </c>
      <c r="F431" s="3" t="s">
        <v>5497</v>
      </c>
      <c r="G431" s="220">
        <v>43110.0</v>
      </c>
    </row>
    <row r="432">
      <c r="A432" s="217">
        <v>43110.651645624996</v>
      </c>
      <c r="B432" s="218" t="s">
        <v>5092</v>
      </c>
      <c r="C432" s="218" t="s">
        <v>2131</v>
      </c>
      <c r="D432" s="219">
        <v>2.0</v>
      </c>
      <c r="E432" s="218">
        <v>3790.0</v>
      </c>
      <c r="F432" s="3" t="s">
        <v>5497</v>
      </c>
      <c r="G432" s="220">
        <v>43110.0</v>
      </c>
    </row>
    <row r="433">
      <c r="A433" s="217">
        <v>43110.65260774306</v>
      </c>
      <c r="B433" s="218" t="s">
        <v>5092</v>
      </c>
      <c r="C433" s="218" t="s">
        <v>5499</v>
      </c>
      <c r="D433" s="219">
        <v>3.0</v>
      </c>
      <c r="E433" s="218">
        <v>3790.0</v>
      </c>
      <c r="F433" s="3" t="s">
        <v>5497</v>
      </c>
      <c r="G433" s="220">
        <v>43110.0</v>
      </c>
    </row>
    <row r="434">
      <c r="A434" s="217">
        <v>43110.65501811342</v>
      </c>
      <c r="B434" s="218" t="s">
        <v>5092</v>
      </c>
      <c r="C434" s="218" t="s">
        <v>5500</v>
      </c>
      <c r="D434" s="219">
        <v>2.0</v>
      </c>
      <c r="E434" s="218">
        <v>4290.0</v>
      </c>
      <c r="F434" s="3" t="s">
        <v>5497</v>
      </c>
      <c r="G434" s="220">
        <v>43110.0</v>
      </c>
    </row>
    <row r="435">
      <c r="A435" s="217">
        <v>43110.6569919676</v>
      </c>
      <c r="B435" s="218" t="s">
        <v>5092</v>
      </c>
      <c r="C435" s="218" t="s">
        <v>5501</v>
      </c>
      <c r="D435" s="219">
        <v>1.0</v>
      </c>
      <c r="E435" s="218">
        <v>4590.0</v>
      </c>
      <c r="F435" s="3" t="s">
        <v>5497</v>
      </c>
      <c r="G435" s="220">
        <v>43110.0</v>
      </c>
    </row>
    <row r="436">
      <c r="A436" s="217">
        <v>43110.65923179398</v>
      </c>
      <c r="B436" s="218" t="s">
        <v>5092</v>
      </c>
      <c r="C436" s="218" t="s">
        <v>2146</v>
      </c>
      <c r="D436" s="219">
        <v>1.0</v>
      </c>
      <c r="E436" s="218">
        <v>4990.0</v>
      </c>
      <c r="F436" s="3" t="s">
        <v>5497</v>
      </c>
      <c r="G436" s="220">
        <v>43110.0</v>
      </c>
    </row>
    <row r="437">
      <c r="A437" s="217">
        <v>43110.66021956019</v>
      </c>
      <c r="B437" s="218" t="s">
        <v>5092</v>
      </c>
      <c r="C437" s="218" t="s">
        <v>2157</v>
      </c>
      <c r="D437" s="219">
        <v>4.0</v>
      </c>
      <c r="E437" s="218">
        <v>3790.0</v>
      </c>
      <c r="F437" s="3" t="s">
        <v>5497</v>
      </c>
      <c r="G437" s="220">
        <v>43110.0</v>
      </c>
    </row>
    <row r="438">
      <c r="A438" s="217">
        <v>43110.66236844908</v>
      </c>
      <c r="B438" s="218" t="s">
        <v>5092</v>
      </c>
      <c r="C438" s="218" t="s">
        <v>5503</v>
      </c>
      <c r="D438" s="219">
        <v>1.0</v>
      </c>
      <c r="E438" s="218">
        <v>3490.0</v>
      </c>
      <c r="F438" s="3" t="s">
        <v>5497</v>
      </c>
      <c r="G438" s="220">
        <v>43110.0</v>
      </c>
    </row>
    <row r="439">
      <c r="A439" s="217">
        <v>43110.68426354167</v>
      </c>
      <c r="B439" s="218" t="s">
        <v>5184</v>
      </c>
      <c r="C439" s="218" t="s">
        <v>4661</v>
      </c>
      <c r="D439" s="221">
        <v>1.0</v>
      </c>
      <c r="E439" s="218">
        <v>995.0</v>
      </c>
      <c r="F439" s="3" t="s">
        <v>5279</v>
      </c>
      <c r="G439" s="220">
        <v>43109.0</v>
      </c>
    </row>
    <row r="440">
      <c r="A440" s="217">
        <v>43110.68676347222</v>
      </c>
      <c r="B440" s="218" t="s">
        <v>5184</v>
      </c>
      <c r="C440" s="218" t="s">
        <v>2759</v>
      </c>
      <c r="D440" s="221">
        <v>1.0</v>
      </c>
      <c r="E440" s="24"/>
      <c r="F440" s="3" t="s">
        <v>5304</v>
      </c>
      <c r="G440" s="220">
        <v>43109.0</v>
      </c>
    </row>
    <row r="441">
      <c r="A441" s="217">
        <v>43111.545842974534</v>
      </c>
      <c r="B441" s="218" t="s">
        <v>5092</v>
      </c>
      <c r="C441" s="218" t="s">
        <v>2158</v>
      </c>
      <c r="D441" s="219">
        <v>2.0</v>
      </c>
      <c r="E441" s="218">
        <v>3790.0</v>
      </c>
      <c r="F441" s="3" t="s">
        <v>5480</v>
      </c>
      <c r="G441" s="220">
        <v>43111.0</v>
      </c>
    </row>
    <row r="442">
      <c r="A442" s="217">
        <v>43111.546789872686</v>
      </c>
      <c r="B442" s="218" t="s">
        <v>5092</v>
      </c>
      <c r="C442" s="218" t="s">
        <v>5512</v>
      </c>
      <c r="D442" s="219">
        <v>1.0</v>
      </c>
      <c r="E442" s="218">
        <v>4290.0</v>
      </c>
      <c r="F442" s="3" t="s">
        <v>5494</v>
      </c>
      <c r="G442" s="220">
        <v>43111.0</v>
      </c>
    </row>
    <row r="443">
      <c r="A443" s="217">
        <v>43111.54741871528</v>
      </c>
      <c r="B443" s="218" t="s">
        <v>5092</v>
      </c>
      <c r="C443" s="218" t="s">
        <v>5513</v>
      </c>
      <c r="D443" s="219">
        <v>1.0</v>
      </c>
      <c r="E443" s="218">
        <v>4290.0</v>
      </c>
      <c r="F443" s="3" t="s">
        <v>5494</v>
      </c>
      <c r="G443" s="220">
        <v>43111.0</v>
      </c>
    </row>
    <row r="444">
      <c r="A444" s="217">
        <v>43111.54897621528</v>
      </c>
      <c r="B444" s="218" t="s">
        <v>5092</v>
      </c>
      <c r="C444" s="218" t="s">
        <v>5514</v>
      </c>
      <c r="D444" s="219">
        <v>1.0</v>
      </c>
      <c r="E444" s="218">
        <v>3990.0</v>
      </c>
      <c r="F444" s="3" t="s">
        <v>5497</v>
      </c>
      <c r="G444" s="220">
        <v>43111.0</v>
      </c>
    </row>
    <row r="445">
      <c r="A445" s="217">
        <v>43111.55051981482</v>
      </c>
      <c r="B445" s="218" t="s">
        <v>5092</v>
      </c>
      <c r="C445" s="218" t="s">
        <v>2173</v>
      </c>
      <c r="D445" s="219">
        <v>5.0</v>
      </c>
      <c r="E445" s="218">
        <v>3090.0</v>
      </c>
      <c r="F445" s="3" t="s">
        <v>5497</v>
      </c>
      <c r="G445" s="220">
        <v>43111.0</v>
      </c>
    </row>
    <row r="446">
      <c r="A446" s="217">
        <v>43111.551491631944</v>
      </c>
      <c r="B446" s="218" t="s">
        <v>5092</v>
      </c>
      <c r="C446" s="218" t="s">
        <v>5516</v>
      </c>
      <c r="D446" s="219">
        <v>2.0</v>
      </c>
      <c r="E446" s="218">
        <v>3290.0</v>
      </c>
      <c r="F446" s="3" t="s">
        <v>5497</v>
      </c>
      <c r="G446" s="220">
        <v>43111.0</v>
      </c>
    </row>
    <row r="447">
      <c r="A447" s="217">
        <v>43111.55324969908</v>
      </c>
      <c r="B447" s="218" t="s">
        <v>5092</v>
      </c>
      <c r="C447" s="218" t="s">
        <v>5516</v>
      </c>
      <c r="D447" s="219">
        <v>3.0</v>
      </c>
      <c r="E447" s="218">
        <v>3290.0</v>
      </c>
      <c r="F447" s="3" t="s">
        <v>5497</v>
      </c>
      <c r="G447" s="220">
        <v>43111.0</v>
      </c>
    </row>
    <row r="448">
      <c r="A448" s="217">
        <v>43111.57449400463</v>
      </c>
      <c r="B448" s="218" t="s">
        <v>5092</v>
      </c>
      <c r="C448" s="218" t="s">
        <v>5517</v>
      </c>
      <c r="D448" s="219">
        <v>1.0</v>
      </c>
      <c r="E448" s="218">
        <v>3990.0</v>
      </c>
      <c r="F448" s="3" t="s">
        <v>5497</v>
      </c>
      <c r="G448" s="220">
        <v>43111.0</v>
      </c>
    </row>
    <row r="449">
      <c r="A449" s="217">
        <v>43111.57868571759</v>
      </c>
      <c r="B449" s="218" t="s">
        <v>5092</v>
      </c>
      <c r="C449" s="218" t="s">
        <v>2169</v>
      </c>
      <c r="D449" s="219">
        <v>1.0</v>
      </c>
      <c r="E449" s="218">
        <v>3490.0</v>
      </c>
      <c r="F449" s="3" t="s">
        <v>5497</v>
      </c>
      <c r="G449" s="220">
        <v>43111.0</v>
      </c>
    </row>
    <row r="450">
      <c r="A450" s="217">
        <v>43111.57987782407</v>
      </c>
      <c r="B450" s="218" t="s">
        <v>5092</v>
      </c>
      <c r="C450" s="218" t="s">
        <v>5518</v>
      </c>
      <c r="D450" s="219">
        <v>1.0</v>
      </c>
      <c r="E450" s="218">
        <v>3290.0</v>
      </c>
      <c r="F450" s="3" t="s">
        <v>5497</v>
      </c>
      <c r="G450" s="220">
        <v>43111.0</v>
      </c>
    </row>
    <row r="451">
      <c r="A451" s="217">
        <v>43111.581444537034</v>
      </c>
      <c r="B451" s="218" t="s">
        <v>5092</v>
      </c>
      <c r="C451" s="218" t="s">
        <v>2180</v>
      </c>
      <c r="D451" s="219">
        <v>9.0</v>
      </c>
      <c r="E451" s="218">
        <v>3290.0</v>
      </c>
      <c r="F451" s="3" t="s">
        <v>5519</v>
      </c>
      <c r="G451" s="220">
        <v>43111.0</v>
      </c>
    </row>
    <row r="452">
      <c r="A452" s="217">
        <v>43111.583193715276</v>
      </c>
      <c r="B452" s="218" t="s">
        <v>5092</v>
      </c>
      <c r="C452" s="218" t="s">
        <v>2187</v>
      </c>
      <c r="D452" s="219">
        <v>3.0</v>
      </c>
      <c r="E452" s="218">
        <v>3790.0</v>
      </c>
      <c r="F452" s="3" t="s">
        <v>5519</v>
      </c>
      <c r="G452" s="220">
        <v>43111.0</v>
      </c>
    </row>
    <row r="453">
      <c r="A453" s="217">
        <v>43111.58950447917</v>
      </c>
      <c r="B453" s="218" t="s">
        <v>5092</v>
      </c>
      <c r="C453" s="218" t="s">
        <v>5522</v>
      </c>
      <c r="D453" s="219">
        <v>2.0</v>
      </c>
      <c r="E453" s="218">
        <v>3790.0</v>
      </c>
      <c r="F453" s="3" t="s">
        <v>5519</v>
      </c>
      <c r="G453" s="220">
        <v>43111.0</v>
      </c>
    </row>
    <row r="454">
      <c r="A454" s="217">
        <v>43111.609315381946</v>
      </c>
      <c r="B454" s="218" t="s">
        <v>5092</v>
      </c>
      <c r="C454" s="218" t="s">
        <v>5523</v>
      </c>
      <c r="D454" s="219">
        <v>1.0</v>
      </c>
      <c r="E454" s="218">
        <v>3490.0</v>
      </c>
      <c r="F454" s="3" t="s">
        <v>5519</v>
      </c>
      <c r="G454" s="220">
        <v>43111.0</v>
      </c>
    </row>
    <row r="455">
      <c r="A455" s="217">
        <v>43111.61065523148</v>
      </c>
      <c r="B455" s="218" t="s">
        <v>5092</v>
      </c>
      <c r="C455" s="218" t="s">
        <v>5524</v>
      </c>
      <c r="D455" s="219">
        <v>1.0</v>
      </c>
      <c r="E455" s="218">
        <v>5590.0</v>
      </c>
      <c r="F455" s="3" t="s">
        <v>5519</v>
      </c>
      <c r="G455" s="220">
        <v>43111.0</v>
      </c>
    </row>
    <row r="456">
      <c r="A456" s="217">
        <v>43111.61382550926</v>
      </c>
      <c r="B456" s="218" t="s">
        <v>5092</v>
      </c>
      <c r="C456" s="218" t="s">
        <v>2207</v>
      </c>
      <c r="D456" s="219">
        <v>1.0</v>
      </c>
      <c r="E456" s="218">
        <v>5590.0</v>
      </c>
      <c r="F456" s="3" t="s">
        <v>5519</v>
      </c>
      <c r="G456" s="220">
        <v>43111.0</v>
      </c>
    </row>
    <row r="457">
      <c r="A457" s="217">
        <v>43111.61524753472</v>
      </c>
      <c r="B457" s="218" t="s">
        <v>5092</v>
      </c>
      <c r="C457" s="218" t="s">
        <v>2210</v>
      </c>
      <c r="D457" s="219">
        <v>4.0</v>
      </c>
      <c r="E457" s="218">
        <v>3790.0</v>
      </c>
      <c r="F457" s="3" t="s">
        <v>5519</v>
      </c>
      <c r="G457" s="220">
        <v>43111.0</v>
      </c>
    </row>
    <row r="458">
      <c r="A458" s="217">
        <v>43111.6194611574</v>
      </c>
      <c r="B458" s="218" t="s">
        <v>5092</v>
      </c>
      <c r="C458" s="218" t="s">
        <v>2214</v>
      </c>
      <c r="D458" s="219">
        <v>1.0</v>
      </c>
      <c r="E458" s="218">
        <v>3790.0</v>
      </c>
      <c r="F458" s="3" t="s">
        <v>5519</v>
      </c>
      <c r="G458" s="220">
        <v>43111.0</v>
      </c>
    </row>
    <row r="459">
      <c r="A459" s="217">
        <v>43111.62090149306</v>
      </c>
      <c r="B459" s="218" t="s">
        <v>5092</v>
      </c>
      <c r="C459" s="218" t="s">
        <v>2215</v>
      </c>
      <c r="D459" s="219">
        <v>3.0</v>
      </c>
      <c r="E459" s="218">
        <v>3790.0</v>
      </c>
      <c r="F459" s="3" t="s">
        <v>5519</v>
      </c>
      <c r="G459" s="220">
        <v>43111.0</v>
      </c>
    </row>
    <row r="460">
      <c r="A460" s="217">
        <v>43111.62511592593</v>
      </c>
      <c r="B460" s="218" t="s">
        <v>5092</v>
      </c>
      <c r="C460" s="218" t="s">
        <v>2218</v>
      </c>
      <c r="D460" s="219">
        <v>5.0</v>
      </c>
      <c r="E460" s="218">
        <v>3790.0</v>
      </c>
      <c r="F460" s="3" t="s">
        <v>5519</v>
      </c>
      <c r="G460" s="220">
        <v>43111.0</v>
      </c>
    </row>
    <row r="461">
      <c r="A461" s="217">
        <v>43111.62644497685</v>
      </c>
      <c r="B461" s="218" t="s">
        <v>5092</v>
      </c>
      <c r="C461" s="218" t="s">
        <v>2220</v>
      </c>
      <c r="D461" s="219">
        <v>4.0</v>
      </c>
      <c r="E461" s="218">
        <v>3790.0</v>
      </c>
      <c r="F461" s="3" t="s">
        <v>5519</v>
      </c>
      <c r="G461" s="220">
        <v>43111.0</v>
      </c>
    </row>
    <row r="462">
      <c r="A462" s="217">
        <v>43111.68601300926</v>
      </c>
      <c r="B462" s="218" t="s">
        <v>5092</v>
      </c>
      <c r="C462" s="218" t="s">
        <v>5528</v>
      </c>
      <c r="D462" s="219">
        <v>2.0</v>
      </c>
      <c r="E462" s="218">
        <v>3290.0</v>
      </c>
      <c r="F462" s="3" t="s">
        <v>5529</v>
      </c>
      <c r="G462" s="220">
        <v>43111.0</v>
      </c>
    </row>
    <row r="463">
      <c r="A463" s="217">
        <v>43111.68688346064</v>
      </c>
      <c r="B463" s="218" t="s">
        <v>5092</v>
      </c>
      <c r="C463" s="218" t="s">
        <v>5531</v>
      </c>
      <c r="D463" s="219">
        <v>1.0</v>
      </c>
      <c r="E463" s="218">
        <v>3190.0</v>
      </c>
      <c r="F463" s="3" t="s">
        <v>5529</v>
      </c>
      <c r="G463" s="220">
        <v>43111.0</v>
      </c>
    </row>
    <row r="464">
      <c r="A464" s="217">
        <v>43111.69266655092</v>
      </c>
      <c r="B464" s="218" t="s">
        <v>5092</v>
      </c>
      <c r="C464" s="218" t="s">
        <v>5533</v>
      </c>
      <c r="D464" s="219">
        <v>1.0</v>
      </c>
      <c r="E464" s="218">
        <v>6090.0</v>
      </c>
      <c r="F464" s="3" t="s">
        <v>5529</v>
      </c>
      <c r="G464" s="220">
        <v>43111.0</v>
      </c>
    </row>
    <row r="465">
      <c r="A465" s="217">
        <v>43112.603206851854</v>
      </c>
      <c r="B465" s="218" t="s">
        <v>5092</v>
      </c>
      <c r="C465" s="218" t="s">
        <v>5534</v>
      </c>
      <c r="D465" s="219">
        <v>1.0</v>
      </c>
      <c r="E465" s="218">
        <v>5290.0</v>
      </c>
      <c r="F465" s="3" t="s">
        <v>5529</v>
      </c>
      <c r="G465" s="220">
        <v>43112.0</v>
      </c>
    </row>
    <row r="466">
      <c r="A466" s="217">
        <v>43112.60395496528</v>
      </c>
      <c r="B466" s="218" t="s">
        <v>5092</v>
      </c>
      <c r="C466" s="218" t="s">
        <v>5536</v>
      </c>
      <c r="D466" s="219">
        <v>1.0</v>
      </c>
      <c r="E466" s="218">
        <v>4790.0</v>
      </c>
      <c r="F466" s="3" t="s">
        <v>5529</v>
      </c>
      <c r="G466" s="220">
        <v>43112.0</v>
      </c>
    </row>
    <row r="467">
      <c r="A467" s="217">
        <v>43112.606149363426</v>
      </c>
      <c r="B467" s="218" t="s">
        <v>5092</v>
      </c>
      <c r="C467" s="218" t="s">
        <v>5537</v>
      </c>
      <c r="D467" s="219">
        <v>1.0</v>
      </c>
      <c r="E467" s="218">
        <v>3490.0</v>
      </c>
      <c r="F467" s="3" t="s">
        <v>5529</v>
      </c>
      <c r="G467" s="220">
        <v>43112.0</v>
      </c>
    </row>
    <row r="468">
      <c r="A468" s="217">
        <v>43112.6072953125</v>
      </c>
      <c r="B468" s="218" t="s">
        <v>5092</v>
      </c>
      <c r="C468" s="218" t="s">
        <v>5539</v>
      </c>
      <c r="D468" s="219">
        <v>1.0</v>
      </c>
      <c r="E468" s="218">
        <v>4790.0</v>
      </c>
      <c r="F468" s="3" t="s">
        <v>5529</v>
      </c>
      <c r="G468" s="220">
        <v>43112.0</v>
      </c>
    </row>
    <row r="469">
      <c r="A469" s="217">
        <v>43112.60906376157</v>
      </c>
      <c r="B469" s="218" t="s">
        <v>5092</v>
      </c>
      <c r="C469" s="218" t="s">
        <v>5541</v>
      </c>
      <c r="D469" s="219">
        <v>1.0</v>
      </c>
      <c r="E469" s="218">
        <v>6690.0</v>
      </c>
      <c r="F469" s="3" t="s">
        <v>5529</v>
      </c>
      <c r="G469" s="220">
        <v>43112.0</v>
      </c>
    </row>
    <row r="470">
      <c r="A470" s="217">
        <v>43112.60995732639</v>
      </c>
      <c r="B470" s="218" t="s">
        <v>5092</v>
      </c>
      <c r="C470" s="218" t="s">
        <v>2267</v>
      </c>
      <c r="D470" s="219">
        <v>1.0</v>
      </c>
      <c r="E470" s="218">
        <v>5690.0</v>
      </c>
      <c r="F470" s="3" t="s">
        <v>5529</v>
      </c>
      <c r="G470" s="220">
        <v>43112.0</v>
      </c>
    </row>
    <row r="471">
      <c r="A471" s="217">
        <v>43112.612224375</v>
      </c>
      <c r="B471" s="218" t="s">
        <v>5092</v>
      </c>
      <c r="C471" s="218" t="s">
        <v>5543</v>
      </c>
      <c r="D471" s="219">
        <v>1.0</v>
      </c>
      <c r="E471" s="218">
        <v>4790.0</v>
      </c>
      <c r="F471" s="3" t="s">
        <v>5529</v>
      </c>
      <c r="G471" s="220">
        <v>43113.0</v>
      </c>
    </row>
    <row r="472">
      <c r="A472" s="217">
        <v>43112.62351311343</v>
      </c>
      <c r="B472" s="218" t="s">
        <v>5092</v>
      </c>
      <c r="C472" s="218" t="s">
        <v>5544</v>
      </c>
      <c r="D472" s="219">
        <v>1.0</v>
      </c>
      <c r="E472" s="218">
        <v>1900.0</v>
      </c>
      <c r="F472" s="3" t="s">
        <v>5545</v>
      </c>
      <c r="G472" s="220">
        <v>43112.0</v>
      </c>
    </row>
    <row r="473">
      <c r="A473" s="217">
        <v>43112.62434951389</v>
      </c>
      <c r="B473" s="218" t="s">
        <v>5092</v>
      </c>
      <c r="C473" s="218" t="s">
        <v>5548</v>
      </c>
      <c r="D473" s="219">
        <v>1.0</v>
      </c>
      <c r="E473" s="218">
        <v>1900.0</v>
      </c>
      <c r="F473" s="3" t="s">
        <v>5545</v>
      </c>
      <c r="G473" s="220">
        <v>43112.0</v>
      </c>
    </row>
    <row r="474">
      <c r="A474" s="217">
        <v>43112.62526340278</v>
      </c>
      <c r="B474" s="218" t="s">
        <v>5092</v>
      </c>
      <c r="C474" s="218" t="s">
        <v>5549</v>
      </c>
      <c r="D474" s="219">
        <v>1.0</v>
      </c>
      <c r="E474" s="218">
        <v>1900.0</v>
      </c>
      <c r="F474" s="3" t="s">
        <v>5545</v>
      </c>
      <c r="G474" s="220">
        <v>43112.0</v>
      </c>
    </row>
    <row r="475">
      <c r="A475" s="217">
        <v>43112.62608642361</v>
      </c>
      <c r="B475" s="218" t="s">
        <v>5092</v>
      </c>
      <c r="C475" s="218" t="s">
        <v>5550</v>
      </c>
      <c r="D475" s="219">
        <v>1.0</v>
      </c>
      <c r="E475" s="218">
        <v>1900.0</v>
      </c>
      <c r="F475" s="3" t="s">
        <v>5545</v>
      </c>
      <c r="G475" s="220">
        <v>43112.0</v>
      </c>
    </row>
    <row r="476">
      <c r="A476" s="217">
        <v>43112.62703934028</v>
      </c>
      <c r="B476" s="218" t="s">
        <v>5092</v>
      </c>
      <c r="C476" s="218" t="s">
        <v>1463</v>
      </c>
      <c r="D476" s="219">
        <v>1.0</v>
      </c>
      <c r="E476" s="218">
        <v>1900.0</v>
      </c>
      <c r="F476" s="3" t="s">
        <v>5545</v>
      </c>
      <c r="G476" s="220">
        <v>43112.0</v>
      </c>
    </row>
    <row r="477">
      <c r="A477" s="217">
        <v>43112.627887696755</v>
      </c>
      <c r="B477" s="218" t="s">
        <v>5092</v>
      </c>
      <c r="C477" s="218" t="s">
        <v>5552</v>
      </c>
      <c r="D477" s="219">
        <v>1.0</v>
      </c>
      <c r="E477" s="218">
        <v>1900.0</v>
      </c>
      <c r="F477" s="3" t="s">
        <v>5545</v>
      </c>
      <c r="G477" s="220">
        <v>43112.0</v>
      </c>
    </row>
    <row r="478">
      <c r="A478" s="217">
        <v>43112.628600462966</v>
      </c>
      <c r="B478" s="218" t="s">
        <v>5092</v>
      </c>
      <c r="C478" s="218" t="s">
        <v>5553</v>
      </c>
      <c r="D478" s="219">
        <v>1.0</v>
      </c>
      <c r="E478" s="218">
        <v>1900.0</v>
      </c>
      <c r="F478" s="3" t="s">
        <v>5545</v>
      </c>
      <c r="G478" s="220">
        <v>43112.0</v>
      </c>
    </row>
    <row r="479">
      <c r="A479" s="217">
        <v>43112.629264953706</v>
      </c>
      <c r="B479" s="218" t="s">
        <v>5092</v>
      </c>
      <c r="C479" s="218" t="s">
        <v>5554</v>
      </c>
      <c r="D479" s="219">
        <v>1.0</v>
      </c>
      <c r="E479" s="218">
        <v>1900.0</v>
      </c>
      <c r="F479" s="3" t="s">
        <v>5545</v>
      </c>
      <c r="G479" s="220">
        <v>43112.0</v>
      </c>
    </row>
    <row r="480">
      <c r="A480" s="217">
        <v>43112.62997971065</v>
      </c>
      <c r="B480" s="218" t="s">
        <v>5092</v>
      </c>
      <c r="C480" s="218" t="s">
        <v>5555</v>
      </c>
      <c r="D480" s="219">
        <v>1.0</v>
      </c>
      <c r="E480" s="218">
        <v>1900.0</v>
      </c>
      <c r="F480" s="3" t="s">
        <v>5545</v>
      </c>
      <c r="G480" s="220">
        <v>43112.0</v>
      </c>
    </row>
    <row r="481">
      <c r="A481" s="217">
        <v>43112.631542731484</v>
      </c>
      <c r="B481" s="218" t="s">
        <v>5092</v>
      </c>
      <c r="C481" s="218" t="s">
        <v>1296</v>
      </c>
      <c r="D481" s="219">
        <v>1.0</v>
      </c>
      <c r="E481" s="218">
        <v>1800.0</v>
      </c>
      <c r="F481" s="3" t="s">
        <v>5545</v>
      </c>
      <c r="G481" s="220">
        <v>43112.0</v>
      </c>
    </row>
    <row r="482">
      <c r="A482" s="217">
        <v>43112.63210451389</v>
      </c>
      <c r="B482" s="218" t="s">
        <v>5092</v>
      </c>
      <c r="C482" s="218" t="s">
        <v>5556</v>
      </c>
      <c r="D482" s="219">
        <v>1.0</v>
      </c>
      <c r="E482" s="218">
        <v>1800.0</v>
      </c>
      <c r="F482" s="3" t="s">
        <v>5545</v>
      </c>
      <c r="G482" s="220">
        <v>43112.0</v>
      </c>
    </row>
    <row r="483">
      <c r="A483" s="217">
        <v>43112.63266743056</v>
      </c>
      <c r="B483" s="218" t="s">
        <v>5092</v>
      </c>
      <c r="C483" s="218" t="s">
        <v>5557</v>
      </c>
      <c r="D483" s="219">
        <v>1.0</v>
      </c>
      <c r="E483" s="218">
        <v>1800.0</v>
      </c>
      <c r="F483" s="3" t="s">
        <v>5545</v>
      </c>
      <c r="G483" s="220">
        <v>43112.0</v>
      </c>
    </row>
    <row r="484">
      <c r="A484" s="217">
        <v>43112.633237789356</v>
      </c>
      <c r="B484" s="218" t="s">
        <v>5092</v>
      </c>
      <c r="C484" s="218" t="s">
        <v>5558</v>
      </c>
      <c r="D484" s="219">
        <v>1.0</v>
      </c>
      <c r="E484" s="218">
        <v>1800.0</v>
      </c>
      <c r="F484" s="3" t="s">
        <v>5545</v>
      </c>
      <c r="G484" s="220">
        <v>43112.0</v>
      </c>
    </row>
    <row r="485">
      <c r="A485" s="217">
        <v>43112.63383178241</v>
      </c>
      <c r="B485" s="218" t="s">
        <v>5092</v>
      </c>
      <c r="C485" s="218" t="s">
        <v>5560</v>
      </c>
      <c r="D485" s="219">
        <v>1.0</v>
      </c>
      <c r="E485" s="218">
        <v>1800.0</v>
      </c>
      <c r="F485" s="3" t="s">
        <v>5545</v>
      </c>
      <c r="G485" s="220">
        <v>43112.0</v>
      </c>
    </row>
    <row r="486">
      <c r="A486" s="217">
        <v>43112.634554432865</v>
      </c>
      <c r="B486" s="218" t="s">
        <v>5092</v>
      </c>
      <c r="C486" s="218" t="s">
        <v>5561</v>
      </c>
      <c r="D486" s="219">
        <v>1.0</v>
      </c>
      <c r="E486" s="218">
        <v>1800.0</v>
      </c>
      <c r="F486" s="3" t="s">
        <v>5545</v>
      </c>
      <c r="G486" s="220">
        <v>43112.0</v>
      </c>
    </row>
    <row r="487">
      <c r="A487" s="217">
        <v>43112.63564925926</v>
      </c>
      <c r="B487" s="218" t="s">
        <v>5092</v>
      </c>
      <c r="C487" s="218" t="s">
        <v>1465</v>
      </c>
      <c r="D487" s="219">
        <v>1.0</v>
      </c>
      <c r="E487" s="218">
        <v>1800.0</v>
      </c>
      <c r="F487" s="3" t="s">
        <v>5545</v>
      </c>
      <c r="G487" s="220">
        <v>43112.0</v>
      </c>
    </row>
    <row r="488">
      <c r="A488" s="217">
        <v>43112.636233564815</v>
      </c>
      <c r="B488" s="218" t="s">
        <v>5092</v>
      </c>
      <c r="C488" s="218" t="s">
        <v>5563</v>
      </c>
      <c r="D488" s="219">
        <v>1.0</v>
      </c>
      <c r="E488" s="218">
        <v>1800.0</v>
      </c>
      <c r="F488" s="3" t="s">
        <v>5545</v>
      </c>
      <c r="G488" s="220">
        <v>43112.0</v>
      </c>
    </row>
    <row r="489">
      <c r="A489" s="217">
        <v>43112.637052488426</v>
      </c>
      <c r="B489" s="218" t="s">
        <v>5092</v>
      </c>
      <c r="C489" s="218" t="s">
        <v>5564</v>
      </c>
      <c r="D489" s="219">
        <v>1.0</v>
      </c>
      <c r="E489" s="218">
        <v>1800.0</v>
      </c>
      <c r="F489" s="3" t="s">
        <v>5545</v>
      </c>
      <c r="G489" s="220">
        <v>43112.0</v>
      </c>
    </row>
    <row r="490">
      <c r="A490" s="217">
        <v>43112.63789327546</v>
      </c>
      <c r="B490" s="218" t="s">
        <v>5092</v>
      </c>
      <c r="C490" s="218" t="s">
        <v>5565</v>
      </c>
      <c r="D490" s="219">
        <v>1.0</v>
      </c>
      <c r="E490" s="218">
        <v>1800.0</v>
      </c>
      <c r="F490" s="3" t="s">
        <v>5545</v>
      </c>
      <c r="G490" s="220">
        <v>43112.0</v>
      </c>
    </row>
    <row r="491">
      <c r="A491" s="217">
        <v>43112.638543368055</v>
      </c>
      <c r="B491" s="218" t="s">
        <v>5092</v>
      </c>
      <c r="C491" s="218" t="s">
        <v>5566</v>
      </c>
      <c r="D491" s="219">
        <v>1.0</v>
      </c>
      <c r="E491" s="218">
        <v>1800.0</v>
      </c>
      <c r="F491" s="3" t="s">
        <v>5545</v>
      </c>
      <c r="G491" s="220">
        <v>43112.0</v>
      </c>
    </row>
    <row r="492">
      <c r="A492" s="217">
        <v>43112.63910234954</v>
      </c>
      <c r="B492" s="218" t="s">
        <v>5092</v>
      </c>
      <c r="C492" s="218" t="s">
        <v>5567</v>
      </c>
      <c r="D492" s="219">
        <v>1.0</v>
      </c>
      <c r="E492" s="218">
        <v>1800.0</v>
      </c>
      <c r="F492" s="3" t="s">
        <v>5545</v>
      </c>
      <c r="G492" s="220">
        <v>43112.0</v>
      </c>
    </row>
    <row r="493">
      <c r="A493" s="217">
        <v>43112.63968432871</v>
      </c>
      <c r="B493" s="218" t="s">
        <v>5092</v>
      </c>
      <c r="C493" s="218" t="s">
        <v>1303</v>
      </c>
      <c r="D493" s="219">
        <v>1.0</v>
      </c>
      <c r="E493" s="218">
        <v>1800.0</v>
      </c>
      <c r="F493" s="3" t="s">
        <v>5545</v>
      </c>
      <c r="G493" s="220">
        <v>43112.0</v>
      </c>
    </row>
    <row r="494">
      <c r="A494" s="217">
        <v>43112.65038630787</v>
      </c>
      <c r="B494" s="218" t="s">
        <v>5092</v>
      </c>
      <c r="C494" s="218" t="s">
        <v>5568</v>
      </c>
      <c r="D494" s="219">
        <v>1.0</v>
      </c>
      <c r="E494" s="218">
        <v>1800.0</v>
      </c>
      <c r="F494" s="3" t="s">
        <v>5545</v>
      </c>
      <c r="G494" s="220">
        <v>43112.0</v>
      </c>
    </row>
    <row r="495">
      <c r="A495" s="217">
        <v>43112.65486296296</v>
      </c>
      <c r="B495" s="218" t="s">
        <v>5092</v>
      </c>
      <c r="C495" s="218" t="s">
        <v>1292</v>
      </c>
      <c r="D495" s="219">
        <v>1.0</v>
      </c>
      <c r="E495" s="218">
        <v>1800.0</v>
      </c>
      <c r="F495" s="3" t="s">
        <v>5545</v>
      </c>
      <c r="G495" s="220">
        <v>43113.0</v>
      </c>
    </row>
    <row r="496">
      <c r="A496" s="217">
        <v>43112.65563966436</v>
      </c>
      <c r="B496" s="218" t="s">
        <v>5092</v>
      </c>
      <c r="C496" s="218" t="s">
        <v>5569</v>
      </c>
      <c r="D496" s="219">
        <v>1.0</v>
      </c>
      <c r="E496" s="218">
        <v>1800.0</v>
      </c>
      <c r="F496" s="3" t="s">
        <v>5545</v>
      </c>
      <c r="G496" s="220">
        <v>43112.0</v>
      </c>
    </row>
    <row r="497">
      <c r="A497" s="217">
        <v>43112.656525</v>
      </c>
      <c r="B497" s="218" t="s">
        <v>5092</v>
      </c>
      <c r="C497" s="218" t="s">
        <v>5570</v>
      </c>
      <c r="D497" s="219">
        <v>1.0</v>
      </c>
      <c r="E497" s="218">
        <v>1800.0</v>
      </c>
      <c r="F497" s="3" t="s">
        <v>5545</v>
      </c>
      <c r="G497" s="220">
        <v>43112.0</v>
      </c>
    </row>
    <row r="498">
      <c r="A498" s="217">
        <v>43112.65726486111</v>
      </c>
      <c r="B498" s="218" t="s">
        <v>5092</v>
      </c>
      <c r="C498" s="218" t="s">
        <v>5571</v>
      </c>
      <c r="D498" s="219">
        <v>1.0</v>
      </c>
      <c r="E498" s="218">
        <v>1800.0</v>
      </c>
      <c r="F498" s="3" t="s">
        <v>5545</v>
      </c>
      <c r="G498" s="220">
        <v>43112.0</v>
      </c>
    </row>
    <row r="499">
      <c r="A499" s="217">
        <v>43112.65813215278</v>
      </c>
      <c r="B499" s="218" t="s">
        <v>5092</v>
      </c>
      <c r="C499" s="218" t="s">
        <v>5572</v>
      </c>
      <c r="D499" s="219">
        <v>1.0</v>
      </c>
      <c r="E499" s="218">
        <v>1800.0</v>
      </c>
      <c r="F499" s="3" t="s">
        <v>5545</v>
      </c>
      <c r="G499" s="220">
        <v>43112.0</v>
      </c>
    </row>
    <row r="500">
      <c r="A500" s="217">
        <v>43112.65960128472</v>
      </c>
      <c r="B500" s="218" t="s">
        <v>5092</v>
      </c>
      <c r="C500" s="218" t="s">
        <v>5573</v>
      </c>
      <c r="D500" s="219">
        <v>1.0</v>
      </c>
      <c r="E500" s="218">
        <v>1800.0</v>
      </c>
      <c r="F500" s="3" t="s">
        <v>5545</v>
      </c>
      <c r="G500" s="220">
        <v>43112.0</v>
      </c>
    </row>
    <row r="501">
      <c r="A501" s="217">
        <v>43112.66035527778</v>
      </c>
      <c r="B501" s="218" t="s">
        <v>5092</v>
      </c>
      <c r="C501" s="218" t="s">
        <v>5574</v>
      </c>
      <c r="D501" s="219">
        <v>1.0</v>
      </c>
      <c r="E501" s="218">
        <v>1800.0</v>
      </c>
      <c r="F501" s="3" t="s">
        <v>5545</v>
      </c>
      <c r="G501" s="220">
        <v>43112.0</v>
      </c>
    </row>
    <row r="502">
      <c r="A502" s="217">
        <v>43112.662157569444</v>
      </c>
      <c r="B502" s="218" t="s">
        <v>5092</v>
      </c>
      <c r="C502" s="218" t="s">
        <v>5575</v>
      </c>
      <c r="D502" s="219">
        <v>1.0</v>
      </c>
      <c r="E502" s="218">
        <v>1800.0</v>
      </c>
      <c r="F502" s="3" t="s">
        <v>5545</v>
      </c>
      <c r="G502" s="220">
        <v>43112.0</v>
      </c>
    </row>
    <row r="503">
      <c r="A503" s="217">
        <v>43112.666561018515</v>
      </c>
      <c r="B503" s="218" t="s">
        <v>5092</v>
      </c>
      <c r="C503" s="218" t="s">
        <v>1306</v>
      </c>
      <c r="D503" s="219">
        <v>1.0</v>
      </c>
      <c r="E503" s="218">
        <v>1800.0</v>
      </c>
      <c r="F503" s="3" t="s">
        <v>5545</v>
      </c>
      <c r="G503" s="220">
        <v>43112.0</v>
      </c>
    </row>
    <row r="504">
      <c r="A504" s="217">
        <v>43112.66980461805</v>
      </c>
      <c r="B504" s="218" t="s">
        <v>5092</v>
      </c>
      <c r="C504" s="218" t="s">
        <v>5576</v>
      </c>
      <c r="D504" s="219">
        <v>1.0</v>
      </c>
      <c r="E504" s="218">
        <v>1800.0</v>
      </c>
      <c r="F504" s="3" t="s">
        <v>5545</v>
      </c>
      <c r="G504" s="220">
        <v>43112.0</v>
      </c>
    </row>
    <row r="505">
      <c r="A505" s="217">
        <v>43112.67285149306</v>
      </c>
      <c r="B505" s="218" t="s">
        <v>5092</v>
      </c>
      <c r="C505" s="218" t="s">
        <v>5577</v>
      </c>
      <c r="D505" s="219">
        <v>1.0</v>
      </c>
      <c r="E505" s="218">
        <v>1800.0</v>
      </c>
      <c r="F505" s="3" t="s">
        <v>5545</v>
      </c>
      <c r="G505" s="220">
        <v>43112.0</v>
      </c>
    </row>
    <row r="506">
      <c r="A506" s="217">
        <v>43112.6745459375</v>
      </c>
      <c r="B506" s="218" t="s">
        <v>5092</v>
      </c>
      <c r="C506" s="218" t="s">
        <v>5578</v>
      </c>
      <c r="D506" s="219">
        <v>1.0</v>
      </c>
      <c r="E506" s="218">
        <v>1800.0</v>
      </c>
      <c r="F506" s="3" t="s">
        <v>5545</v>
      </c>
      <c r="G506" s="220">
        <v>43112.0</v>
      </c>
    </row>
    <row r="507">
      <c r="A507" s="217">
        <v>43112.67564792824</v>
      </c>
      <c r="B507" s="218" t="s">
        <v>5092</v>
      </c>
      <c r="C507" s="218" t="s">
        <v>5579</v>
      </c>
      <c r="D507" s="219">
        <v>1.0</v>
      </c>
      <c r="E507" s="218">
        <v>1800.0</v>
      </c>
      <c r="F507" s="3" t="s">
        <v>5545</v>
      </c>
      <c r="G507" s="220">
        <v>43112.0</v>
      </c>
    </row>
    <row r="508">
      <c r="A508" s="217">
        <v>43112.676571909724</v>
      </c>
      <c r="B508" s="218" t="s">
        <v>5092</v>
      </c>
      <c r="C508" s="218" t="s">
        <v>1300</v>
      </c>
      <c r="D508" s="219">
        <v>1.0</v>
      </c>
      <c r="E508" s="218">
        <v>1800.0</v>
      </c>
      <c r="F508" s="3" t="s">
        <v>5545</v>
      </c>
      <c r="G508" s="220">
        <v>43112.0</v>
      </c>
    </row>
    <row r="509">
      <c r="A509" s="217">
        <v>43112.68377780092</v>
      </c>
      <c r="B509" s="218" t="s">
        <v>5092</v>
      </c>
      <c r="C509" s="218" t="s">
        <v>5580</v>
      </c>
      <c r="D509" s="219">
        <v>1.0</v>
      </c>
      <c r="E509" s="218">
        <v>1800.0</v>
      </c>
      <c r="F509" s="3" t="s">
        <v>5545</v>
      </c>
      <c r="G509" s="220">
        <v>43112.0</v>
      </c>
    </row>
    <row r="510">
      <c r="A510" s="217">
        <v>43112.68460604167</v>
      </c>
      <c r="B510" s="218" t="s">
        <v>5092</v>
      </c>
      <c r="C510" s="218" t="s">
        <v>5581</v>
      </c>
      <c r="D510" s="219">
        <v>1.0</v>
      </c>
      <c r="E510" s="218">
        <v>1800.0</v>
      </c>
      <c r="F510" s="3" t="s">
        <v>5545</v>
      </c>
      <c r="G510" s="220">
        <v>43112.0</v>
      </c>
    </row>
    <row r="511">
      <c r="A511" s="217">
        <v>43112.68531666667</v>
      </c>
      <c r="B511" s="218" t="s">
        <v>5092</v>
      </c>
      <c r="C511" s="218" t="s">
        <v>5582</v>
      </c>
      <c r="D511" s="219">
        <v>1.0</v>
      </c>
      <c r="E511" s="218">
        <v>1800.0</v>
      </c>
      <c r="F511" s="3" t="s">
        <v>5545</v>
      </c>
      <c r="G511" s="220">
        <v>43112.0</v>
      </c>
    </row>
    <row r="512">
      <c r="A512" s="217">
        <v>43112.68609278935</v>
      </c>
      <c r="B512" s="218" t="s">
        <v>5092</v>
      </c>
      <c r="C512" s="218" t="s">
        <v>5583</v>
      </c>
      <c r="D512" s="219">
        <v>1.0</v>
      </c>
      <c r="E512" s="218">
        <v>1800.0</v>
      </c>
      <c r="F512" s="3" t="s">
        <v>5545</v>
      </c>
      <c r="G512" s="220">
        <v>43112.0</v>
      </c>
    </row>
    <row r="513">
      <c r="A513" s="217">
        <v>43112.68732939815</v>
      </c>
      <c r="B513" s="218" t="s">
        <v>5092</v>
      </c>
      <c r="C513" s="218" t="s">
        <v>5584</v>
      </c>
      <c r="D513" s="219">
        <v>1.0</v>
      </c>
      <c r="E513" s="218">
        <v>1800.0</v>
      </c>
      <c r="F513" s="3" t="s">
        <v>5545</v>
      </c>
      <c r="G513" s="220">
        <v>43112.0</v>
      </c>
    </row>
    <row r="514">
      <c r="A514" s="217">
        <v>43112.6882375</v>
      </c>
      <c r="B514" s="218" t="s">
        <v>5092</v>
      </c>
      <c r="C514" s="218" t="s">
        <v>5585</v>
      </c>
      <c r="D514" s="219">
        <v>1.0</v>
      </c>
      <c r="E514" s="218">
        <v>1800.0</v>
      </c>
      <c r="F514" s="3" t="s">
        <v>5545</v>
      </c>
      <c r="G514" s="220">
        <v>43112.0</v>
      </c>
    </row>
    <row r="515">
      <c r="A515" s="217">
        <v>43112.68933541667</v>
      </c>
      <c r="B515" s="218" t="s">
        <v>5092</v>
      </c>
      <c r="C515" s="218" t="s">
        <v>1302</v>
      </c>
      <c r="D515" s="219">
        <v>1.0</v>
      </c>
      <c r="E515" s="218">
        <v>1800.0</v>
      </c>
      <c r="F515" s="3" t="s">
        <v>5545</v>
      </c>
      <c r="G515" s="220">
        <v>43112.0</v>
      </c>
    </row>
    <row r="516">
      <c r="A516" s="217">
        <v>43112.691193032406</v>
      </c>
      <c r="B516" s="218" t="s">
        <v>5092</v>
      </c>
      <c r="C516" s="218" t="s">
        <v>5586</v>
      </c>
      <c r="D516" s="219">
        <v>1.0</v>
      </c>
      <c r="E516" s="218">
        <v>1800.0</v>
      </c>
      <c r="F516" s="3" t="s">
        <v>5545</v>
      </c>
      <c r="G516" s="220">
        <v>43112.0</v>
      </c>
    </row>
    <row r="517">
      <c r="A517" s="217">
        <v>43112.69202608796</v>
      </c>
      <c r="B517" s="218" t="s">
        <v>5092</v>
      </c>
      <c r="C517" s="218" t="s">
        <v>5587</v>
      </c>
      <c r="D517" s="219">
        <v>1.0</v>
      </c>
      <c r="E517" s="218">
        <v>1800.0</v>
      </c>
      <c r="F517" s="3" t="s">
        <v>5545</v>
      </c>
      <c r="G517" s="220">
        <v>43112.0</v>
      </c>
    </row>
    <row r="518">
      <c r="A518" s="217">
        <v>43112.69313959491</v>
      </c>
      <c r="B518" s="218" t="s">
        <v>5092</v>
      </c>
      <c r="C518" s="218" t="s">
        <v>5588</v>
      </c>
      <c r="D518" s="219">
        <v>1.0</v>
      </c>
      <c r="E518" s="218">
        <v>1800.0</v>
      </c>
      <c r="F518" s="3" t="s">
        <v>5545</v>
      </c>
      <c r="G518" s="220">
        <v>43112.0</v>
      </c>
    </row>
    <row r="519">
      <c r="A519" s="217">
        <v>43112.69495452546</v>
      </c>
      <c r="B519" s="218" t="s">
        <v>5092</v>
      </c>
      <c r="C519" s="218" t="s">
        <v>5589</v>
      </c>
      <c r="D519" s="219">
        <v>1.0</v>
      </c>
      <c r="E519" s="218">
        <v>1800.0</v>
      </c>
      <c r="F519" s="3" t="s">
        <v>5545</v>
      </c>
      <c r="G519" s="220">
        <v>43112.0</v>
      </c>
    </row>
    <row r="520">
      <c r="A520" s="217">
        <v>43112.69669648148</v>
      </c>
      <c r="B520" s="218" t="s">
        <v>5092</v>
      </c>
      <c r="C520" s="218" t="s">
        <v>5590</v>
      </c>
      <c r="D520" s="219">
        <v>1.0</v>
      </c>
      <c r="E520" s="218">
        <v>1800.0</v>
      </c>
      <c r="F520" s="3" t="s">
        <v>5545</v>
      </c>
      <c r="G520" s="220">
        <v>43112.0</v>
      </c>
    </row>
    <row r="521">
      <c r="A521" s="217">
        <v>43112.69759165509</v>
      </c>
      <c r="B521" s="218" t="s">
        <v>5092</v>
      </c>
      <c r="C521" s="218" t="s">
        <v>5591</v>
      </c>
      <c r="D521" s="219">
        <v>1.0</v>
      </c>
      <c r="E521" s="218">
        <v>1800.0</v>
      </c>
      <c r="F521" s="3" t="s">
        <v>5545</v>
      </c>
      <c r="G521" s="220">
        <v>43112.0</v>
      </c>
    </row>
    <row r="522">
      <c r="A522" s="217">
        <v>43112.698362696756</v>
      </c>
      <c r="B522" s="218" t="s">
        <v>5092</v>
      </c>
      <c r="C522" s="218" t="s">
        <v>5592</v>
      </c>
      <c r="D522" s="219">
        <v>1.0</v>
      </c>
      <c r="E522" s="218">
        <v>1800.0</v>
      </c>
      <c r="F522" s="3" t="s">
        <v>5545</v>
      </c>
      <c r="G522" s="220">
        <v>43112.0</v>
      </c>
    </row>
    <row r="523">
      <c r="A523" s="217">
        <v>43112.70020986111</v>
      </c>
      <c r="B523" s="218" t="s">
        <v>5092</v>
      </c>
      <c r="C523" s="218" t="s">
        <v>5593</v>
      </c>
      <c r="D523" s="219">
        <v>1.0</v>
      </c>
      <c r="E523" s="218">
        <v>1800.0</v>
      </c>
      <c r="F523" s="3" t="s">
        <v>5545</v>
      </c>
      <c r="G523" s="220">
        <v>43112.0</v>
      </c>
    </row>
    <row r="524">
      <c r="A524" s="217">
        <v>43112.7008428588</v>
      </c>
      <c r="B524" s="218" t="s">
        <v>5092</v>
      </c>
      <c r="C524" s="218" t="s">
        <v>5594</v>
      </c>
      <c r="D524" s="219">
        <v>1.0</v>
      </c>
      <c r="E524" s="218">
        <v>1800.0</v>
      </c>
      <c r="F524" s="3" t="s">
        <v>5545</v>
      </c>
      <c r="G524" s="220">
        <v>43112.0</v>
      </c>
    </row>
    <row r="525">
      <c r="A525" s="217">
        <v>43112.70252803241</v>
      </c>
      <c r="B525" s="218" t="s">
        <v>5092</v>
      </c>
      <c r="C525" s="218" t="s">
        <v>5595</v>
      </c>
      <c r="D525" s="219">
        <v>1.0</v>
      </c>
      <c r="E525" s="218">
        <v>1800.0</v>
      </c>
      <c r="F525" s="3" t="s">
        <v>5545</v>
      </c>
      <c r="G525" s="220">
        <v>43112.0</v>
      </c>
    </row>
    <row r="526">
      <c r="A526" s="217">
        <v>43112.703120543985</v>
      </c>
      <c r="B526" s="218" t="s">
        <v>5092</v>
      </c>
      <c r="C526" s="218" t="s">
        <v>5596</v>
      </c>
      <c r="D526" s="219">
        <v>1.0</v>
      </c>
      <c r="E526" s="218">
        <v>1800.0</v>
      </c>
      <c r="F526" s="3" t="s">
        <v>5545</v>
      </c>
      <c r="G526" s="220">
        <v>43112.0</v>
      </c>
    </row>
    <row r="527">
      <c r="A527" s="217">
        <v>43112.70367436342</v>
      </c>
      <c r="B527" s="218" t="s">
        <v>5092</v>
      </c>
      <c r="C527" s="218" t="s">
        <v>5597</v>
      </c>
      <c r="D527" s="219">
        <v>1.0</v>
      </c>
      <c r="E527" s="218">
        <v>1800.0</v>
      </c>
      <c r="F527" s="3" t="s">
        <v>5545</v>
      </c>
      <c r="G527" s="220">
        <v>43112.0</v>
      </c>
    </row>
    <row r="528">
      <c r="A528" s="217">
        <v>43113.45720679398</v>
      </c>
      <c r="B528" s="218" t="s">
        <v>5092</v>
      </c>
      <c r="C528" s="218" t="s">
        <v>708</v>
      </c>
      <c r="D528" s="219">
        <v>1.0</v>
      </c>
      <c r="E528" s="218">
        <v>1800.0</v>
      </c>
      <c r="F528" s="3" t="s">
        <v>5545</v>
      </c>
      <c r="G528" s="220">
        <v>43113.0</v>
      </c>
    </row>
    <row r="529">
      <c r="A529" s="217">
        <v>43113.45797135417</v>
      </c>
      <c r="B529" s="218" t="s">
        <v>5092</v>
      </c>
      <c r="C529" s="218" t="s">
        <v>1461</v>
      </c>
      <c r="D529" s="219">
        <v>3.0</v>
      </c>
      <c r="E529" s="218">
        <v>1800.0</v>
      </c>
      <c r="F529" s="3" t="s">
        <v>5545</v>
      </c>
      <c r="G529" s="220">
        <v>43113.0</v>
      </c>
    </row>
    <row r="530">
      <c r="A530" s="217">
        <v>43113.459658657404</v>
      </c>
      <c r="B530" s="218" t="s">
        <v>5092</v>
      </c>
      <c r="C530" s="218" t="s">
        <v>5598</v>
      </c>
      <c r="D530" s="219">
        <v>1.0</v>
      </c>
      <c r="E530" s="218">
        <v>1800.0</v>
      </c>
      <c r="F530" s="3" t="s">
        <v>5545</v>
      </c>
      <c r="G530" s="220">
        <v>43113.0</v>
      </c>
    </row>
    <row r="531">
      <c r="A531" s="217">
        <v>43113.46056516204</v>
      </c>
      <c r="B531" s="218" t="s">
        <v>5092</v>
      </c>
      <c r="C531" s="218" t="s">
        <v>711</v>
      </c>
      <c r="D531" s="219">
        <v>1.0</v>
      </c>
      <c r="E531" s="218">
        <v>1800.0</v>
      </c>
      <c r="F531" s="3" t="s">
        <v>5545</v>
      </c>
      <c r="G531" s="220">
        <v>43113.0</v>
      </c>
    </row>
    <row r="532">
      <c r="A532" s="217">
        <v>43113.461273796296</v>
      </c>
      <c r="B532" s="218" t="s">
        <v>5092</v>
      </c>
      <c r="C532" s="218" t="s">
        <v>5599</v>
      </c>
      <c r="D532" s="219">
        <v>1.0</v>
      </c>
      <c r="E532" s="218">
        <v>1800.0</v>
      </c>
      <c r="F532" s="3" t="s">
        <v>5545</v>
      </c>
      <c r="G532" s="220">
        <v>43113.0</v>
      </c>
    </row>
    <row r="533">
      <c r="A533" s="217">
        <v>43113.463600787036</v>
      </c>
      <c r="B533" s="218" t="s">
        <v>5092</v>
      </c>
      <c r="C533" s="218" t="s">
        <v>1298</v>
      </c>
      <c r="D533" s="219">
        <v>1.0</v>
      </c>
      <c r="E533" s="218">
        <v>1800.0</v>
      </c>
      <c r="F533" s="3" t="s">
        <v>5545</v>
      </c>
      <c r="G533" s="220">
        <v>43113.0</v>
      </c>
    </row>
    <row r="534">
      <c r="A534" s="217">
        <v>43113.46597484953</v>
      </c>
      <c r="B534" s="218" t="s">
        <v>5092</v>
      </c>
      <c r="C534" s="218" t="s">
        <v>1468</v>
      </c>
      <c r="D534" s="219">
        <v>1.0</v>
      </c>
      <c r="E534" s="218">
        <v>1800.0</v>
      </c>
      <c r="F534" s="3" t="s">
        <v>5545</v>
      </c>
      <c r="G534" s="220">
        <v>43113.0</v>
      </c>
    </row>
    <row r="535">
      <c r="A535" s="217">
        <v>43113.466966886575</v>
      </c>
      <c r="B535" s="218" t="s">
        <v>5092</v>
      </c>
      <c r="C535" s="218" t="s">
        <v>5600</v>
      </c>
      <c r="D535" s="219">
        <v>1.0</v>
      </c>
      <c r="E535" s="218">
        <v>1800.0</v>
      </c>
      <c r="F535" s="3" t="s">
        <v>5545</v>
      </c>
      <c r="G535" s="220">
        <v>43113.0</v>
      </c>
    </row>
    <row r="536">
      <c r="A536" s="217">
        <v>43113.46793150463</v>
      </c>
      <c r="B536" s="218" t="s">
        <v>5092</v>
      </c>
      <c r="C536" s="218" t="s">
        <v>1466</v>
      </c>
      <c r="D536" s="219">
        <v>2.0</v>
      </c>
      <c r="E536" s="218">
        <v>1800.0</v>
      </c>
      <c r="F536" s="3" t="s">
        <v>5545</v>
      </c>
      <c r="G536" s="220">
        <v>43113.0</v>
      </c>
    </row>
    <row r="537">
      <c r="A537" s="217">
        <v>43113.468641354164</v>
      </c>
      <c r="B537" s="218" t="s">
        <v>5092</v>
      </c>
      <c r="C537" s="218" t="s">
        <v>5601</v>
      </c>
      <c r="D537" s="219">
        <v>1.0</v>
      </c>
      <c r="E537" s="218">
        <v>1800.0</v>
      </c>
      <c r="F537" s="3" t="s">
        <v>5545</v>
      </c>
      <c r="G537" s="220">
        <v>43113.0</v>
      </c>
    </row>
    <row r="538">
      <c r="A538" s="217">
        <v>43113.471351458335</v>
      </c>
      <c r="B538" s="218" t="s">
        <v>5092</v>
      </c>
      <c r="C538" s="218" t="s">
        <v>1304</v>
      </c>
      <c r="D538" s="219">
        <v>1.0</v>
      </c>
      <c r="E538" s="218">
        <v>1800.0</v>
      </c>
      <c r="F538" s="3" t="s">
        <v>5545</v>
      </c>
      <c r="G538" s="220">
        <v>43113.0</v>
      </c>
    </row>
    <row r="539">
      <c r="A539" s="217">
        <v>43113.47585556713</v>
      </c>
      <c r="B539" s="218" t="s">
        <v>5092</v>
      </c>
      <c r="C539" s="218" t="s">
        <v>1309</v>
      </c>
      <c r="D539" s="219">
        <v>1.0</v>
      </c>
      <c r="E539" s="218">
        <v>1800.0</v>
      </c>
      <c r="F539" s="3" t="s">
        <v>5545</v>
      </c>
      <c r="G539" s="220">
        <v>43113.0</v>
      </c>
    </row>
    <row r="540">
      <c r="A540" s="217">
        <v>43113.47713519676</v>
      </c>
      <c r="B540" s="218" t="s">
        <v>5092</v>
      </c>
      <c r="C540" s="218" t="s">
        <v>705</v>
      </c>
      <c r="D540" s="219">
        <v>1.0</v>
      </c>
      <c r="E540" s="218">
        <v>1800.0</v>
      </c>
      <c r="F540" s="3" t="s">
        <v>5545</v>
      </c>
      <c r="G540" s="220">
        <v>43113.0</v>
      </c>
    </row>
    <row r="541">
      <c r="A541" s="217">
        <v>43113.4807830787</v>
      </c>
      <c r="B541" s="218" t="s">
        <v>5092</v>
      </c>
      <c r="C541" s="218" t="s">
        <v>1294</v>
      </c>
      <c r="D541" s="219">
        <v>1.0</v>
      </c>
      <c r="E541" s="218">
        <v>1800.0</v>
      </c>
      <c r="F541" s="3" t="s">
        <v>5545</v>
      </c>
      <c r="G541" s="220">
        <v>43113.0</v>
      </c>
    </row>
    <row r="542">
      <c r="A542" s="217">
        <v>43113.48138990741</v>
      </c>
      <c r="B542" s="218" t="s">
        <v>5092</v>
      </c>
      <c r="C542" s="218" t="s">
        <v>5602</v>
      </c>
      <c r="D542" s="219">
        <v>1.0</v>
      </c>
      <c r="E542" s="218">
        <v>1800.0</v>
      </c>
      <c r="F542" s="3" t="s">
        <v>5545</v>
      </c>
      <c r="G542" s="220">
        <v>43113.0</v>
      </c>
    </row>
    <row r="543">
      <c r="A543" s="217">
        <v>43113.49852270834</v>
      </c>
      <c r="B543" s="218" t="s">
        <v>5092</v>
      </c>
      <c r="C543" s="118" t="s">
        <v>5603</v>
      </c>
      <c r="D543" s="219">
        <v>1.0</v>
      </c>
      <c r="E543" s="218">
        <v>2150.0</v>
      </c>
      <c r="F543" s="3" t="s">
        <v>5545</v>
      </c>
      <c r="G543" s="220">
        <v>43113.0</v>
      </c>
    </row>
    <row r="544">
      <c r="A544" s="217">
        <v>43113.50073128472</v>
      </c>
      <c r="B544" s="218" t="s">
        <v>5092</v>
      </c>
      <c r="C544" s="218" t="s">
        <v>1622</v>
      </c>
      <c r="D544" s="219">
        <v>1.0</v>
      </c>
      <c r="E544" s="218">
        <v>2150.0</v>
      </c>
      <c r="F544" s="3" t="s">
        <v>5545</v>
      </c>
      <c r="G544" s="220">
        <v>43113.0</v>
      </c>
    </row>
    <row r="545">
      <c r="A545" s="217">
        <v>43113.502120833335</v>
      </c>
      <c r="B545" s="218" t="s">
        <v>5092</v>
      </c>
      <c r="C545" s="218" t="s">
        <v>5606</v>
      </c>
      <c r="D545" s="219">
        <v>1.0</v>
      </c>
      <c r="E545" s="218">
        <v>2150.0</v>
      </c>
      <c r="F545" s="3" t="s">
        <v>5545</v>
      </c>
      <c r="G545" s="220">
        <v>43113.0</v>
      </c>
    </row>
    <row r="546">
      <c r="A546" s="217">
        <v>43113.50364417824</v>
      </c>
      <c r="B546" s="218" t="s">
        <v>5092</v>
      </c>
      <c r="C546" s="218" t="s">
        <v>1627</v>
      </c>
      <c r="D546" s="219">
        <v>1.0</v>
      </c>
      <c r="E546" s="218">
        <v>3000.0</v>
      </c>
      <c r="F546" s="3" t="s">
        <v>5545</v>
      </c>
      <c r="G546" s="220">
        <v>43113.0</v>
      </c>
    </row>
    <row r="547">
      <c r="A547" s="217">
        <v>43113.50466716435</v>
      </c>
      <c r="B547" s="218" t="s">
        <v>5092</v>
      </c>
      <c r="C547" s="218" t="s">
        <v>1628</v>
      </c>
      <c r="D547" s="219">
        <v>1.0</v>
      </c>
      <c r="E547" s="218">
        <v>3000.0</v>
      </c>
      <c r="F547" s="3" t="s">
        <v>5545</v>
      </c>
      <c r="G547" s="220">
        <v>43113.0</v>
      </c>
    </row>
    <row r="548">
      <c r="A548" s="217">
        <v>43113.51121107639</v>
      </c>
      <c r="B548" s="218" t="s">
        <v>5092</v>
      </c>
      <c r="C548" s="218" t="s">
        <v>1629</v>
      </c>
      <c r="D548" s="219">
        <v>1.0</v>
      </c>
      <c r="E548" s="218">
        <v>3000.0</v>
      </c>
      <c r="F548" s="3" t="s">
        <v>5545</v>
      </c>
      <c r="G548" s="220">
        <v>43113.0</v>
      </c>
    </row>
    <row r="549">
      <c r="A549" s="217">
        <v>43113.51217928241</v>
      </c>
      <c r="B549" s="218" t="s">
        <v>5092</v>
      </c>
      <c r="C549" s="218" t="s">
        <v>1631</v>
      </c>
      <c r="D549" s="219">
        <v>1.0</v>
      </c>
      <c r="E549" s="218">
        <v>3000.0</v>
      </c>
      <c r="F549" s="3" t="s">
        <v>5545</v>
      </c>
      <c r="G549" s="220">
        <v>43113.0</v>
      </c>
    </row>
    <row r="550">
      <c r="A550" s="217">
        <v>43113.53666655092</v>
      </c>
      <c r="B550" s="218" t="s">
        <v>5092</v>
      </c>
      <c r="C550" s="218" t="s">
        <v>5609</v>
      </c>
      <c r="D550" s="219">
        <v>1.0</v>
      </c>
      <c r="E550" s="218">
        <v>3000.0</v>
      </c>
      <c r="F550" s="3" t="s">
        <v>5545</v>
      </c>
      <c r="G550" s="220">
        <v>43113.0</v>
      </c>
    </row>
    <row r="551">
      <c r="A551" s="217">
        <v>43113.537478240745</v>
      </c>
      <c r="B551" s="218" t="s">
        <v>5092</v>
      </c>
      <c r="C551" s="218" t="s">
        <v>5610</v>
      </c>
      <c r="D551" s="219">
        <v>1.0</v>
      </c>
      <c r="E551" s="218">
        <v>3000.0</v>
      </c>
      <c r="F551" s="3" t="s">
        <v>5545</v>
      </c>
      <c r="G551" s="220">
        <v>43113.0</v>
      </c>
    </row>
    <row r="552">
      <c r="A552" s="217">
        <v>43113.53857958333</v>
      </c>
      <c r="B552" s="218" t="s">
        <v>5092</v>
      </c>
      <c r="C552" s="218" t="s">
        <v>5611</v>
      </c>
      <c r="D552" s="219">
        <v>1.0</v>
      </c>
      <c r="E552" s="218">
        <v>3000.0</v>
      </c>
      <c r="F552" s="3" t="s">
        <v>5545</v>
      </c>
      <c r="G552" s="220">
        <v>43113.0</v>
      </c>
    </row>
    <row r="553">
      <c r="A553" s="217">
        <v>43113.54358834491</v>
      </c>
      <c r="B553" s="218" t="s">
        <v>5092</v>
      </c>
      <c r="C553" s="218" t="s">
        <v>2131</v>
      </c>
      <c r="D553" s="219">
        <v>1.0</v>
      </c>
      <c r="E553" s="218">
        <v>3490.0</v>
      </c>
      <c r="F553" s="3" t="s">
        <v>5545</v>
      </c>
      <c r="G553" s="220">
        <v>43113.0</v>
      </c>
    </row>
    <row r="554">
      <c r="A554" s="217">
        <v>43113.54860928241</v>
      </c>
      <c r="B554" s="218" t="s">
        <v>5092</v>
      </c>
      <c r="C554" s="218" t="s">
        <v>1290</v>
      </c>
      <c r="D554" s="219">
        <v>1.0</v>
      </c>
      <c r="E554" s="218">
        <v>1800.0</v>
      </c>
      <c r="F554" s="3" t="s">
        <v>5545</v>
      </c>
      <c r="G554" s="220">
        <v>43113.0</v>
      </c>
    </row>
    <row r="555">
      <c r="A555" s="217">
        <v>43114.42889850694</v>
      </c>
      <c r="B555" s="218" t="s">
        <v>5092</v>
      </c>
      <c r="C555" s="218" t="s">
        <v>707</v>
      </c>
      <c r="D555" s="219">
        <v>1.0</v>
      </c>
      <c r="E555" s="218">
        <v>1800.0</v>
      </c>
      <c r="F555" s="3" t="s">
        <v>5545</v>
      </c>
      <c r="G555" s="220">
        <v>43114.0</v>
      </c>
    </row>
    <row r="556">
      <c r="A556" s="217">
        <v>43114.431754791665</v>
      </c>
      <c r="B556" s="218" t="s">
        <v>5092</v>
      </c>
      <c r="C556" s="218" t="s">
        <v>5612</v>
      </c>
      <c r="D556" s="219">
        <v>1.0</v>
      </c>
      <c r="E556" s="218">
        <v>1800.0</v>
      </c>
      <c r="F556" s="3" t="s">
        <v>5545</v>
      </c>
      <c r="G556" s="220">
        <v>43114.0</v>
      </c>
    </row>
    <row r="557">
      <c r="A557" s="217">
        <v>43114.432594432874</v>
      </c>
      <c r="B557" s="218" t="s">
        <v>5092</v>
      </c>
      <c r="C557" s="218" t="s">
        <v>5614</v>
      </c>
      <c r="D557" s="219">
        <v>1.0</v>
      </c>
      <c r="E557" s="218">
        <v>1800.0</v>
      </c>
      <c r="F557" s="3" t="s">
        <v>5545</v>
      </c>
      <c r="G557" s="220">
        <v>43114.0</v>
      </c>
    </row>
    <row r="558">
      <c r="A558" s="217">
        <v>43114.43332484954</v>
      </c>
      <c r="B558" s="218" t="s">
        <v>5092</v>
      </c>
      <c r="C558" s="218" t="s">
        <v>5615</v>
      </c>
      <c r="D558" s="219">
        <v>1.0</v>
      </c>
      <c r="E558" s="218">
        <v>1800.0</v>
      </c>
      <c r="F558" s="3" t="s">
        <v>5545</v>
      </c>
      <c r="G558" s="220">
        <v>43114.0</v>
      </c>
    </row>
    <row r="559">
      <c r="A559" s="217">
        <v>43114.43464177083</v>
      </c>
      <c r="B559" s="218" t="s">
        <v>5092</v>
      </c>
      <c r="C559" s="218" t="s">
        <v>5616</v>
      </c>
      <c r="D559" s="219">
        <v>1.0</v>
      </c>
      <c r="E559" s="218">
        <v>1800.0</v>
      </c>
      <c r="F559" s="3" t="s">
        <v>5545</v>
      </c>
      <c r="G559" s="220">
        <v>43114.0</v>
      </c>
    </row>
    <row r="560">
      <c r="A560" s="217">
        <v>43114.43676133102</v>
      </c>
      <c r="B560" s="218" t="s">
        <v>5092</v>
      </c>
      <c r="C560" s="218" t="s">
        <v>5617</v>
      </c>
      <c r="D560" s="219">
        <v>1.0</v>
      </c>
      <c r="E560" s="218">
        <v>994.0</v>
      </c>
      <c r="F560" s="3" t="s">
        <v>5545</v>
      </c>
      <c r="G560" s="220">
        <v>43114.0</v>
      </c>
    </row>
    <row r="561">
      <c r="A561" s="217">
        <v>43114.44055353009</v>
      </c>
      <c r="B561" s="218" t="s">
        <v>5092</v>
      </c>
      <c r="C561" s="218" t="s">
        <v>5618</v>
      </c>
      <c r="D561" s="219">
        <v>1.0</v>
      </c>
      <c r="E561" s="218">
        <v>1800.0</v>
      </c>
      <c r="F561" s="3" t="s">
        <v>5619</v>
      </c>
      <c r="G561" s="220">
        <v>43114.0</v>
      </c>
    </row>
    <row r="562">
      <c r="A562" s="217">
        <v>43114.44156329861</v>
      </c>
      <c r="B562" s="218" t="s">
        <v>5092</v>
      </c>
      <c r="C562" s="218" t="s">
        <v>5620</v>
      </c>
      <c r="D562" s="219">
        <v>1.0</v>
      </c>
      <c r="E562" s="218">
        <v>1800.0</v>
      </c>
      <c r="F562" s="3" t="s">
        <v>5619</v>
      </c>
      <c r="G562" s="220">
        <v>43114.0</v>
      </c>
    </row>
    <row r="563">
      <c r="A563" s="217">
        <v>43114.442709131945</v>
      </c>
      <c r="B563" s="218" t="s">
        <v>5092</v>
      </c>
      <c r="C563" s="218" t="s">
        <v>5621</v>
      </c>
      <c r="D563" s="219">
        <v>1.0</v>
      </c>
      <c r="E563" s="218">
        <v>1800.0</v>
      </c>
      <c r="F563" s="3" t="s">
        <v>5619</v>
      </c>
      <c r="G563" s="220">
        <v>43114.0</v>
      </c>
    </row>
    <row r="564">
      <c r="A564" s="217">
        <v>43114.44487387731</v>
      </c>
      <c r="B564" s="218" t="s">
        <v>5092</v>
      </c>
      <c r="C564" s="218" t="s">
        <v>1968</v>
      </c>
      <c r="D564" s="219">
        <v>1.0</v>
      </c>
      <c r="E564" s="218">
        <v>1800.0</v>
      </c>
      <c r="F564" s="3" t="s">
        <v>5619</v>
      </c>
      <c r="G564" s="220">
        <v>43114.0</v>
      </c>
    </row>
    <row r="565">
      <c r="A565" s="217">
        <v>43114.446846226856</v>
      </c>
      <c r="B565" s="218" t="s">
        <v>5092</v>
      </c>
      <c r="C565" s="218" t="s">
        <v>1971</v>
      </c>
      <c r="D565" s="219">
        <v>1.0</v>
      </c>
      <c r="E565" s="218">
        <v>1800.0</v>
      </c>
      <c r="F565" s="3" t="s">
        <v>5619</v>
      </c>
      <c r="G565" s="220">
        <v>43114.0</v>
      </c>
    </row>
    <row r="566">
      <c r="A566" s="217">
        <v>43114.44913476852</v>
      </c>
      <c r="B566" s="218" t="s">
        <v>5092</v>
      </c>
      <c r="C566" s="218" t="s">
        <v>5623</v>
      </c>
      <c r="D566" s="219">
        <v>1.0</v>
      </c>
      <c r="E566" s="218">
        <v>1800.0</v>
      </c>
      <c r="F566" s="3" t="s">
        <v>5619</v>
      </c>
      <c r="G566" s="220">
        <v>43114.0</v>
      </c>
    </row>
    <row r="567">
      <c r="A567" s="217">
        <v>43114.451660439816</v>
      </c>
      <c r="B567" s="218" t="s">
        <v>5092</v>
      </c>
      <c r="C567" s="218" t="s">
        <v>5624</v>
      </c>
      <c r="D567" s="219">
        <v>1.0</v>
      </c>
      <c r="E567" s="218">
        <v>1800.0</v>
      </c>
      <c r="F567" s="3" t="s">
        <v>5625</v>
      </c>
      <c r="G567" s="220">
        <v>43114.0</v>
      </c>
    </row>
    <row r="568">
      <c r="A568" s="217">
        <v>43114.45408604167</v>
      </c>
      <c r="B568" s="218" t="s">
        <v>5092</v>
      </c>
      <c r="C568" s="218" t="s">
        <v>5626</v>
      </c>
      <c r="D568" s="219">
        <v>1.0</v>
      </c>
      <c r="E568" s="218">
        <v>1800.0</v>
      </c>
      <c r="F568" s="3" t="s">
        <v>5625</v>
      </c>
      <c r="G568" s="220">
        <v>43114.0</v>
      </c>
    </row>
    <row r="569">
      <c r="A569" s="217">
        <v>43114.45614362269</v>
      </c>
      <c r="B569" s="218" t="s">
        <v>5092</v>
      </c>
      <c r="C569" s="218" t="s">
        <v>5627</v>
      </c>
      <c r="D569" s="219">
        <v>1.0</v>
      </c>
      <c r="E569" s="218">
        <v>1800.0</v>
      </c>
      <c r="F569" s="3" t="s">
        <v>5625</v>
      </c>
      <c r="G569" s="220">
        <v>43114.0</v>
      </c>
    </row>
    <row r="570">
      <c r="A570" s="217">
        <v>43114.45930793982</v>
      </c>
      <c r="B570" s="218" t="s">
        <v>5092</v>
      </c>
      <c r="C570" s="218" t="s">
        <v>1972</v>
      </c>
      <c r="D570" s="219">
        <v>1.0</v>
      </c>
      <c r="E570" s="218">
        <v>1800.0</v>
      </c>
      <c r="F570" s="3" t="s">
        <v>5625</v>
      </c>
      <c r="G570" s="220">
        <v>43114.0</v>
      </c>
    </row>
    <row r="571">
      <c r="A571" s="217">
        <v>43114.46042828704</v>
      </c>
      <c r="B571" s="218" t="s">
        <v>5092</v>
      </c>
      <c r="C571" s="218" t="s">
        <v>5628</v>
      </c>
      <c r="D571" s="219">
        <v>1.0</v>
      </c>
      <c r="E571" s="218">
        <v>1800.0</v>
      </c>
      <c r="F571" s="3" t="s">
        <v>5625</v>
      </c>
      <c r="G571" s="220">
        <v>43114.0</v>
      </c>
    </row>
    <row r="572">
      <c r="A572" s="217">
        <v>43114.462564733796</v>
      </c>
      <c r="B572" s="218" t="s">
        <v>5092</v>
      </c>
      <c r="C572" s="218" t="s">
        <v>1966</v>
      </c>
      <c r="D572" s="219">
        <v>2.0</v>
      </c>
      <c r="E572" s="218">
        <v>1800.0</v>
      </c>
      <c r="F572" s="3" t="s">
        <v>5625</v>
      </c>
      <c r="G572" s="220">
        <v>43114.0</v>
      </c>
    </row>
    <row r="573">
      <c r="A573" s="217">
        <v>43114.46356150463</v>
      </c>
      <c r="B573" s="218" t="s">
        <v>5092</v>
      </c>
      <c r="C573" s="218" t="s">
        <v>5629</v>
      </c>
      <c r="D573" s="219">
        <v>1.0</v>
      </c>
      <c r="E573" s="218">
        <v>1800.0</v>
      </c>
      <c r="F573" s="3" t="s">
        <v>5625</v>
      </c>
      <c r="G573" s="220">
        <v>43114.0</v>
      </c>
    </row>
    <row r="574">
      <c r="A574" s="217">
        <v>43114.46442402778</v>
      </c>
      <c r="B574" s="218" t="s">
        <v>5092</v>
      </c>
      <c r="C574" s="218" t="s">
        <v>1964</v>
      </c>
      <c r="D574" s="219">
        <v>1.0</v>
      </c>
      <c r="E574" s="218">
        <v>1800.0</v>
      </c>
      <c r="F574" s="3" t="s">
        <v>5625</v>
      </c>
      <c r="G574" s="220">
        <v>43114.0</v>
      </c>
    </row>
    <row r="575">
      <c r="A575" s="217">
        <v>43114.465786064815</v>
      </c>
      <c r="B575" s="218" t="s">
        <v>5092</v>
      </c>
      <c r="C575" s="218" t="s">
        <v>1966</v>
      </c>
      <c r="D575" s="219">
        <v>1.0</v>
      </c>
      <c r="E575" s="218">
        <v>1800.0</v>
      </c>
      <c r="F575" s="3" t="s">
        <v>5625</v>
      </c>
      <c r="G575" s="220">
        <v>43114.0</v>
      </c>
    </row>
    <row r="576">
      <c r="A576" s="217">
        <v>43114.46653763889</v>
      </c>
      <c r="B576" s="218" t="s">
        <v>5092</v>
      </c>
      <c r="C576" s="218" t="s">
        <v>1964</v>
      </c>
      <c r="D576" s="219">
        <v>2.0</v>
      </c>
      <c r="E576" s="218">
        <v>1800.0</v>
      </c>
      <c r="F576" s="3" t="s">
        <v>5625</v>
      </c>
      <c r="G576" s="220">
        <v>43114.0</v>
      </c>
    </row>
    <row r="577">
      <c r="A577" s="217">
        <v>43114.467391666665</v>
      </c>
      <c r="B577" s="218" t="s">
        <v>5092</v>
      </c>
      <c r="C577" s="218" t="s">
        <v>1966</v>
      </c>
      <c r="D577" s="219">
        <v>1.0</v>
      </c>
      <c r="E577" s="218">
        <v>1800.0</v>
      </c>
      <c r="F577" s="3" t="s">
        <v>5625</v>
      </c>
      <c r="G577" s="220">
        <v>43114.0</v>
      </c>
    </row>
    <row r="578">
      <c r="A578" s="217">
        <v>43114.47918784722</v>
      </c>
      <c r="B578" s="218" t="s">
        <v>5092</v>
      </c>
      <c r="C578" s="218" t="s">
        <v>5630</v>
      </c>
      <c r="D578" s="219">
        <v>1.0</v>
      </c>
      <c r="E578" s="218">
        <v>1800.0</v>
      </c>
      <c r="F578" s="3" t="s">
        <v>5625</v>
      </c>
      <c r="G578" s="220">
        <v>43114.0</v>
      </c>
    </row>
    <row r="579">
      <c r="A579" s="217">
        <v>43114.61756457176</v>
      </c>
      <c r="B579" s="218" t="s">
        <v>5092</v>
      </c>
      <c r="C579" s="218" t="s">
        <v>5631</v>
      </c>
      <c r="D579" s="219">
        <v>1.0</v>
      </c>
      <c r="E579" s="218">
        <v>2375.0</v>
      </c>
      <c r="F579" s="3" t="s">
        <v>5632</v>
      </c>
      <c r="G579" s="220">
        <v>43114.0</v>
      </c>
    </row>
    <row r="580">
      <c r="A580" s="217">
        <v>43114.618546956015</v>
      </c>
      <c r="B580" s="218" t="s">
        <v>5092</v>
      </c>
      <c r="C580" s="218" t="s">
        <v>5634</v>
      </c>
      <c r="D580" s="219">
        <v>2.0</v>
      </c>
      <c r="E580" s="218">
        <v>2950.0</v>
      </c>
      <c r="F580" s="3" t="s">
        <v>5632</v>
      </c>
      <c r="G580" s="220">
        <v>43114.0</v>
      </c>
    </row>
    <row r="581">
      <c r="A581" s="217">
        <v>43114.61927271991</v>
      </c>
      <c r="B581" s="218" t="s">
        <v>5092</v>
      </c>
      <c r="C581" s="118" t="s">
        <v>1781</v>
      </c>
      <c r="D581" s="219">
        <v>1.0</v>
      </c>
      <c r="E581" s="218">
        <v>3250.0</v>
      </c>
      <c r="F581" s="3" t="s">
        <v>5632</v>
      </c>
      <c r="G581" s="220">
        <v>43114.0</v>
      </c>
    </row>
    <row r="582">
      <c r="A582" s="217">
        <v>43114.62068087963</v>
      </c>
      <c r="B582" s="218" t="s">
        <v>5092</v>
      </c>
      <c r="C582" s="218" t="s">
        <v>1750</v>
      </c>
      <c r="D582" s="219">
        <v>1.0</v>
      </c>
      <c r="E582" s="218">
        <v>2375.0</v>
      </c>
      <c r="F582" s="3" t="s">
        <v>5632</v>
      </c>
      <c r="G582" s="220">
        <v>43114.0</v>
      </c>
    </row>
    <row r="583">
      <c r="A583" s="217">
        <v>43114.62200804398</v>
      </c>
      <c r="B583" s="218" t="s">
        <v>5092</v>
      </c>
      <c r="C583" s="218" t="s">
        <v>1783</v>
      </c>
      <c r="D583" s="219">
        <v>1.0</v>
      </c>
      <c r="E583" s="218">
        <v>2250.0</v>
      </c>
      <c r="F583" s="3" t="s">
        <v>5632</v>
      </c>
      <c r="G583" s="220">
        <v>43114.0</v>
      </c>
    </row>
    <row r="584">
      <c r="A584" s="217">
        <v>43114.62267633102</v>
      </c>
      <c r="B584" s="218" t="s">
        <v>5092</v>
      </c>
      <c r="C584" s="218" t="s">
        <v>1761</v>
      </c>
      <c r="D584" s="219">
        <v>1.0</v>
      </c>
      <c r="E584" s="218">
        <v>2950.0</v>
      </c>
      <c r="F584" s="3" t="s">
        <v>5632</v>
      </c>
      <c r="G584" s="220">
        <v>43114.0</v>
      </c>
    </row>
    <row r="585">
      <c r="A585" s="217">
        <v>43114.62619582176</v>
      </c>
      <c r="B585" s="218" t="s">
        <v>5092</v>
      </c>
      <c r="C585" s="218" t="s">
        <v>5635</v>
      </c>
      <c r="D585" s="219">
        <v>1.0</v>
      </c>
      <c r="E585" s="218">
        <v>2800.0</v>
      </c>
      <c r="F585" s="3" t="s">
        <v>5632</v>
      </c>
      <c r="G585" s="220">
        <v>43114.0</v>
      </c>
    </row>
    <row r="586">
      <c r="A586" s="217">
        <v>43114.62705587963</v>
      </c>
      <c r="B586" s="218" t="s">
        <v>5092</v>
      </c>
      <c r="C586" s="218" t="s">
        <v>5636</v>
      </c>
      <c r="D586" s="219">
        <v>1.0</v>
      </c>
      <c r="E586" s="218">
        <v>2800.0</v>
      </c>
      <c r="F586" s="3" t="s">
        <v>5632</v>
      </c>
      <c r="G586" s="220">
        <v>43114.0</v>
      </c>
    </row>
    <row r="587">
      <c r="A587" s="217">
        <v>43114.62770092592</v>
      </c>
      <c r="B587" s="218" t="s">
        <v>5092</v>
      </c>
      <c r="C587" s="218" t="s">
        <v>1473</v>
      </c>
      <c r="D587" s="219">
        <v>1.0</v>
      </c>
      <c r="E587" s="218">
        <v>2800.0</v>
      </c>
      <c r="F587" s="3" t="s">
        <v>5632</v>
      </c>
      <c r="G587" s="220">
        <v>43114.0</v>
      </c>
    </row>
    <row r="588">
      <c r="A588" s="217">
        <v>43114.62842085648</v>
      </c>
      <c r="B588" s="218" t="s">
        <v>5092</v>
      </c>
      <c r="C588" s="218" t="s">
        <v>5638</v>
      </c>
      <c r="D588" s="219">
        <v>1.0</v>
      </c>
      <c r="E588" s="218">
        <v>2800.0</v>
      </c>
      <c r="F588" s="3" t="s">
        <v>5632</v>
      </c>
      <c r="G588" s="220">
        <v>43114.0</v>
      </c>
    </row>
    <row r="589">
      <c r="A589" s="217">
        <v>43114.62911920139</v>
      </c>
      <c r="B589" s="218" t="s">
        <v>5092</v>
      </c>
      <c r="C589" s="218" t="s">
        <v>5639</v>
      </c>
      <c r="D589" s="219">
        <v>1.0</v>
      </c>
      <c r="E589" s="218">
        <v>2800.0</v>
      </c>
      <c r="F589" s="3" t="s">
        <v>5632</v>
      </c>
      <c r="G589" s="220">
        <v>43114.0</v>
      </c>
    </row>
    <row r="590">
      <c r="A590" s="217">
        <v>43114.630149351855</v>
      </c>
      <c r="B590" s="218" t="s">
        <v>5092</v>
      </c>
      <c r="C590" s="218" t="s">
        <v>5640</v>
      </c>
      <c r="D590" s="219">
        <v>1.0</v>
      </c>
      <c r="E590" s="218">
        <v>2800.0</v>
      </c>
      <c r="F590" s="3" t="s">
        <v>5641</v>
      </c>
      <c r="G590" s="220">
        <v>43114.0</v>
      </c>
    </row>
    <row r="591">
      <c r="A591" s="217">
        <v>43114.63079079861</v>
      </c>
      <c r="B591" s="218" t="s">
        <v>5092</v>
      </c>
      <c r="C591" s="218" t="s">
        <v>5643</v>
      </c>
      <c r="D591" s="219">
        <v>1.0</v>
      </c>
      <c r="E591" s="218">
        <v>2800.0</v>
      </c>
      <c r="F591" s="3" t="s">
        <v>5632</v>
      </c>
      <c r="G591" s="220">
        <v>43114.0</v>
      </c>
    </row>
    <row r="592">
      <c r="A592" s="217">
        <v>43114.631602511574</v>
      </c>
      <c r="B592" s="218" t="s">
        <v>5092</v>
      </c>
      <c r="C592" s="218" t="s">
        <v>5644</v>
      </c>
      <c r="D592" s="219">
        <v>1.0</v>
      </c>
      <c r="E592" s="218">
        <v>3250.0</v>
      </c>
      <c r="F592" s="3" t="s">
        <v>5632</v>
      </c>
      <c r="G592" s="220">
        <v>43114.0</v>
      </c>
    </row>
    <row r="593">
      <c r="A593" s="217">
        <v>43114.634477280095</v>
      </c>
      <c r="B593" s="218" t="s">
        <v>5092</v>
      </c>
      <c r="C593" s="218" t="s">
        <v>5645</v>
      </c>
      <c r="D593" s="219">
        <v>1.0</v>
      </c>
      <c r="E593" s="218">
        <v>3250.0</v>
      </c>
      <c r="F593" s="3" t="s">
        <v>5632</v>
      </c>
      <c r="G593" s="220">
        <v>43114.0</v>
      </c>
    </row>
    <row r="594">
      <c r="A594" s="217">
        <v>43114.63624266203</v>
      </c>
      <c r="B594" s="218" t="s">
        <v>5092</v>
      </c>
      <c r="C594" s="218" t="s">
        <v>5646</v>
      </c>
      <c r="D594" s="219">
        <v>1.0</v>
      </c>
      <c r="E594" s="218">
        <v>2950.0</v>
      </c>
      <c r="F594" s="3" t="s">
        <v>5632</v>
      </c>
      <c r="G594" s="220">
        <v>43115.0</v>
      </c>
    </row>
    <row r="595">
      <c r="A595" s="217">
        <v>43114.63726523148</v>
      </c>
      <c r="B595" s="218" t="s">
        <v>5092</v>
      </c>
      <c r="C595" s="218" t="s">
        <v>5647</v>
      </c>
      <c r="D595" s="219">
        <v>1.0</v>
      </c>
      <c r="E595" s="218">
        <v>2375.0</v>
      </c>
      <c r="F595" s="3" t="s">
        <v>5632</v>
      </c>
      <c r="G595" s="220">
        <v>43114.0</v>
      </c>
    </row>
    <row r="596">
      <c r="A596" s="217">
        <v>43114.63888439815</v>
      </c>
      <c r="B596" s="218" t="s">
        <v>5092</v>
      </c>
      <c r="C596" s="218" t="s">
        <v>5648</v>
      </c>
      <c r="D596" s="219">
        <v>1.0</v>
      </c>
      <c r="E596" s="218">
        <v>3350.0</v>
      </c>
      <c r="F596" s="3" t="s">
        <v>5632</v>
      </c>
      <c r="G596" s="220">
        <v>43114.0</v>
      </c>
    </row>
    <row r="597">
      <c r="A597" s="217">
        <v>43114.64062148148</v>
      </c>
      <c r="B597" s="218" t="s">
        <v>5092</v>
      </c>
      <c r="C597" s="218" t="s">
        <v>5650</v>
      </c>
      <c r="D597" s="219">
        <v>1.0</v>
      </c>
      <c r="E597" s="218">
        <v>2950.0</v>
      </c>
      <c r="F597" s="3" t="s">
        <v>5632</v>
      </c>
      <c r="G597" s="220">
        <v>43114.0</v>
      </c>
    </row>
    <row r="598">
      <c r="A598" s="217">
        <v>43114.64148947917</v>
      </c>
      <c r="B598" s="218" t="s">
        <v>5092</v>
      </c>
      <c r="C598" s="218" t="s">
        <v>5651</v>
      </c>
      <c r="D598" s="219">
        <v>1.0</v>
      </c>
      <c r="E598" s="218">
        <v>2950.0</v>
      </c>
      <c r="F598" s="3" t="s">
        <v>5632</v>
      </c>
      <c r="G598" s="220">
        <v>43114.0</v>
      </c>
    </row>
    <row r="599">
      <c r="A599" s="217">
        <v>43114.6424806713</v>
      </c>
      <c r="B599" s="218" t="s">
        <v>5092</v>
      </c>
      <c r="C599" s="218" t="s">
        <v>1757</v>
      </c>
      <c r="D599" s="219">
        <v>1.0</v>
      </c>
      <c r="E599" s="218">
        <v>2950.0</v>
      </c>
      <c r="F599" s="3" t="s">
        <v>5632</v>
      </c>
      <c r="G599" s="220">
        <v>43114.0</v>
      </c>
    </row>
    <row r="600">
      <c r="A600" s="217">
        <v>43114.64324128472</v>
      </c>
      <c r="B600" s="218" t="s">
        <v>5092</v>
      </c>
      <c r="C600" s="218" t="s">
        <v>5652</v>
      </c>
      <c r="D600" s="219">
        <v>1.0</v>
      </c>
      <c r="E600" s="218">
        <v>2950.0</v>
      </c>
      <c r="F600" s="3" t="s">
        <v>5632</v>
      </c>
      <c r="G600" s="220">
        <v>43114.0</v>
      </c>
    </row>
    <row r="601">
      <c r="A601" s="217">
        <v>43114.64404665509</v>
      </c>
      <c r="B601" s="218" t="s">
        <v>5092</v>
      </c>
      <c r="C601" s="218" t="s">
        <v>1754</v>
      </c>
      <c r="D601" s="219">
        <v>1.0</v>
      </c>
      <c r="E601" s="218">
        <v>3375.0</v>
      </c>
      <c r="F601" s="3" t="s">
        <v>5632</v>
      </c>
      <c r="G601" s="220">
        <v>43114.0</v>
      </c>
    </row>
    <row r="602">
      <c r="A602" s="217">
        <v>43114.66917716435</v>
      </c>
      <c r="B602" s="218" t="s">
        <v>5092</v>
      </c>
      <c r="C602" s="218" t="s">
        <v>5653</v>
      </c>
      <c r="D602" s="219">
        <v>1.0</v>
      </c>
      <c r="E602" s="24"/>
      <c r="G602" s="220">
        <v>43114.0</v>
      </c>
    </row>
    <row r="603">
      <c r="A603" s="217">
        <v>43114.68787678241</v>
      </c>
      <c r="B603" s="218" t="s">
        <v>5092</v>
      </c>
      <c r="C603" s="218" t="s">
        <v>5655</v>
      </c>
      <c r="D603" s="219">
        <v>1.0</v>
      </c>
      <c r="E603" s="218">
        <v>1980.0</v>
      </c>
      <c r="F603" s="3" t="s">
        <v>5656</v>
      </c>
      <c r="G603" s="220">
        <v>43114.0</v>
      </c>
    </row>
    <row r="604">
      <c r="A604" s="217">
        <v>43114.68880996528</v>
      </c>
      <c r="B604" s="218" t="s">
        <v>5092</v>
      </c>
      <c r="C604" s="218" t="s">
        <v>5657</v>
      </c>
      <c r="D604" s="219">
        <v>1.0</v>
      </c>
      <c r="E604" s="218">
        <v>2450.0</v>
      </c>
      <c r="F604" s="3" t="s">
        <v>5656</v>
      </c>
      <c r="G604" s="220">
        <v>43114.0</v>
      </c>
    </row>
    <row r="605">
      <c r="A605" s="217">
        <v>43114.689463125</v>
      </c>
      <c r="B605" s="218" t="s">
        <v>5092</v>
      </c>
      <c r="C605" s="218" t="s">
        <v>5658</v>
      </c>
      <c r="D605" s="219">
        <v>1.0</v>
      </c>
      <c r="E605" s="218">
        <v>1980.0</v>
      </c>
      <c r="F605" s="3" t="s">
        <v>5656</v>
      </c>
      <c r="G605" s="220">
        <v>43114.0</v>
      </c>
    </row>
    <row r="606">
      <c r="A606" s="217">
        <v>43114.690200902776</v>
      </c>
      <c r="B606" s="218" t="s">
        <v>5092</v>
      </c>
      <c r="C606" s="218" t="s">
        <v>5659</v>
      </c>
      <c r="D606" s="219">
        <v>1.0</v>
      </c>
      <c r="E606" s="218">
        <v>2450.0</v>
      </c>
      <c r="F606" s="3" t="s">
        <v>5656</v>
      </c>
      <c r="G606" s="220">
        <v>43114.0</v>
      </c>
    </row>
    <row r="607">
      <c r="A607" s="217">
        <v>43114.69151171297</v>
      </c>
      <c r="B607" s="218" t="s">
        <v>5092</v>
      </c>
      <c r="C607" s="218" t="s">
        <v>5660</v>
      </c>
      <c r="D607" s="219">
        <v>1.0</v>
      </c>
      <c r="E607" s="218">
        <v>1980.0</v>
      </c>
      <c r="F607" s="3" t="s">
        <v>5656</v>
      </c>
      <c r="G607" s="220">
        <v>43114.0</v>
      </c>
    </row>
    <row r="608">
      <c r="A608" s="217">
        <v>43114.69230353009</v>
      </c>
      <c r="B608" s="218" t="s">
        <v>5092</v>
      </c>
      <c r="C608" s="218" t="s">
        <v>5661</v>
      </c>
      <c r="D608" s="219">
        <v>1.0</v>
      </c>
      <c r="E608" s="218">
        <v>1980.0</v>
      </c>
      <c r="F608" s="3" t="s">
        <v>5656</v>
      </c>
      <c r="G608" s="220">
        <v>43114.0</v>
      </c>
    </row>
    <row r="609">
      <c r="A609" s="217">
        <v>43114.692772951385</v>
      </c>
      <c r="B609" s="218" t="s">
        <v>5092</v>
      </c>
      <c r="C609" s="218" t="s">
        <v>722</v>
      </c>
      <c r="D609" s="219">
        <v>1.0</v>
      </c>
      <c r="E609" s="218">
        <v>1980.0</v>
      </c>
      <c r="F609" s="3" t="s">
        <v>5656</v>
      </c>
      <c r="G609" s="220">
        <v>43114.0</v>
      </c>
    </row>
    <row r="610">
      <c r="A610" s="217">
        <v>43114.69338157408</v>
      </c>
      <c r="B610" s="218" t="s">
        <v>5092</v>
      </c>
      <c r="C610" s="218" t="s">
        <v>5662</v>
      </c>
      <c r="D610" s="219">
        <v>1.0</v>
      </c>
      <c r="E610" s="218">
        <v>1980.0</v>
      </c>
      <c r="F610" s="3" t="s">
        <v>5656</v>
      </c>
      <c r="G610" s="220">
        <v>43114.0</v>
      </c>
    </row>
    <row r="611">
      <c r="A611" s="217">
        <v>43114.694009212966</v>
      </c>
      <c r="B611" s="218" t="s">
        <v>5092</v>
      </c>
      <c r="C611" s="218" t="s">
        <v>5663</v>
      </c>
      <c r="D611" s="219">
        <v>1.0</v>
      </c>
      <c r="E611" s="218">
        <v>2380.0</v>
      </c>
      <c r="F611" s="3" t="s">
        <v>5656</v>
      </c>
      <c r="G611" s="220">
        <v>43114.0</v>
      </c>
    </row>
    <row r="612">
      <c r="A612" s="217">
        <v>43114.69483232639</v>
      </c>
      <c r="B612" s="218" t="s">
        <v>5092</v>
      </c>
      <c r="C612" s="218" t="s">
        <v>5664</v>
      </c>
      <c r="D612" s="219">
        <v>1.0</v>
      </c>
      <c r="E612" s="218">
        <v>2150.0</v>
      </c>
      <c r="F612" s="3" t="s">
        <v>5656</v>
      </c>
      <c r="G612" s="220">
        <v>43114.0</v>
      </c>
    </row>
    <row r="613">
      <c r="A613" s="217">
        <v>43114.6955053125</v>
      </c>
      <c r="B613" s="218" t="s">
        <v>5092</v>
      </c>
      <c r="C613" s="218" t="s">
        <v>5665</v>
      </c>
      <c r="D613" s="219">
        <v>1.0</v>
      </c>
      <c r="E613" s="218">
        <v>2150.0</v>
      </c>
      <c r="F613" s="3" t="s">
        <v>5656</v>
      </c>
      <c r="G613" s="220">
        <v>43114.0</v>
      </c>
    </row>
    <row r="614">
      <c r="A614" s="217">
        <v>43114.696105462965</v>
      </c>
      <c r="B614" s="218" t="s">
        <v>5092</v>
      </c>
      <c r="C614" s="218" t="s">
        <v>5666</v>
      </c>
      <c r="D614" s="219">
        <v>1.0</v>
      </c>
      <c r="E614" s="218">
        <v>1980.0</v>
      </c>
      <c r="F614" s="3" t="s">
        <v>5656</v>
      </c>
      <c r="G614" s="220">
        <v>43448.0</v>
      </c>
    </row>
    <row r="615">
      <c r="A615" s="217">
        <v>43114.6967482176</v>
      </c>
      <c r="B615" s="218" t="s">
        <v>5092</v>
      </c>
      <c r="C615" s="218" t="s">
        <v>5667</v>
      </c>
      <c r="D615" s="219">
        <v>1.0</v>
      </c>
      <c r="E615" s="218">
        <v>1980.0</v>
      </c>
      <c r="F615" s="3" t="s">
        <v>5656</v>
      </c>
      <c r="G615" s="220">
        <v>43114.0</v>
      </c>
    </row>
    <row r="616">
      <c r="A616" s="217">
        <v>43114.69742974537</v>
      </c>
      <c r="B616" s="218" t="s">
        <v>5092</v>
      </c>
      <c r="C616" s="218" t="s">
        <v>5668</v>
      </c>
      <c r="D616" s="219">
        <v>1.0</v>
      </c>
      <c r="E616" s="218">
        <v>1980.0</v>
      </c>
      <c r="F616" s="3" t="s">
        <v>5656</v>
      </c>
      <c r="G616" s="220">
        <v>43114.0</v>
      </c>
    </row>
    <row r="617">
      <c r="A617" s="217">
        <v>43114.69882784723</v>
      </c>
      <c r="B617" s="218" t="s">
        <v>5092</v>
      </c>
      <c r="C617" s="218" t="s">
        <v>5669</v>
      </c>
      <c r="D617" s="219">
        <v>1.0</v>
      </c>
      <c r="E617" s="218">
        <v>1980.0</v>
      </c>
      <c r="F617" s="3" t="s">
        <v>5656</v>
      </c>
      <c r="G617" s="220">
        <v>43114.0</v>
      </c>
    </row>
    <row r="618">
      <c r="A618" s="217">
        <v>43114.69990335648</v>
      </c>
      <c r="B618" s="218" t="s">
        <v>5092</v>
      </c>
      <c r="C618" s="218" t="s">
        <v>5670</v>
      </c>
      <c r="D618" s="219">
        <v>1.0</v>
      </c>
      <c r="E618" s="218">
        <v>1980.0</v>
      </c>
      <c r="F618" s="3" t="s">
        <v>5656</v>
      </c>
      <c r="G618" s="220">
        <v>43114.0</v>
      </c>
    </row>
    <row r="619">
      <c r="A619" s="217">
        <v>43114.7006118287</v>
      </c>
      <c r="B619" s="218" t="s">
        <v>5092</v>
      </c>
      <c r="C619" s="218" t="s">
        <v>5671</v>
      </c>
      <c r="D619" s="219">
        <v>1.0</v>
      </c>
      <c r="E619" s="218">
        <v>1980.0</v>
      </c>
      <c r="F619" s="3" t="s">
        <v>5656</v>
      </c>
      <c r="G619" s="220">
        <v>43114.0</v>
      </c>
    </row>
    <row r="620">
      <c r="A620" s="217">
        <v>43114.70127796296</v>
      </c>
      <c r="B620" s="218" t="s">
        <v>5092</v>
      </c>
      <c r="C620" s="218" t="s">
        <v>5672</v>
      </c>
      <c r="D620" s="219">
        <v>1.0</v>
      </c>
      <c r="E620" s="218">
        <v>1950.0</v>
      </c>
      <c r="F620" s="3" t="s">
        <v>5656</v>
      </c>
      <c r="G620" s="220">
        <v>43114.0</v>
      </c>
    </row>
    <row r="621">
      <c r="A621" s="217">
        <v>43114.702089467595</v>
      </c>
      <c r="B621" s="218" t="s">
        <v>5092</v>
      </c>
      <c r="C621" s="218" t="s">
        <v>5673</v>
      </c>
      <c r="D621" s="219">
        <v>1.0</v>
      </c>
      <c r="E621" s="218">
        <v>1980.0</v>
      </c>
      <c r="F621" s="3" t="s">
        <v>5656</v>
      </c>
      <c r="G621" s="220">
        <v>43114.0</v>
      </c>
    </row>
    <row r="622">
      <c r="A622" s="217">
        <v>43114.702930370375</v>
      </c>
      <c r="B622" s="218" t="s">
        <v>5092</v>
      </c>
      <c r="C622" s="218" t="s">
        <v>5674</v>
      </c>
      <c r="D622" s="219">
        <v>1.0</v>
      </c>
      <c r="E622" s="218">
        <v>2450.0</v>
      </c>
      <c r="F622" s="3" t="s">
        <v>5656</v>
      </c>
      <c r="G622" s="220">
        <v>43114.0</v>
      </c>
    </row>
    <row r="623">
      <c r="A623" s="217">
        <v>43114.703577418986</v>
      </c>
      <c r="B623" s="218" t="s">
        <v>5092</v>
      </c>
      <c r="C623" s="218" t="s">
        <v>1334</v>
      </c>
      <c r="D623" s="219">
        <v>1.0</v>
      </c>
      <c r="E623" s="218">
        <v>1990.0</v>
      </c>
      <c r="F623" s="3" t="s">
        <v>5656</v>
      </c>
      <c r="G623" s="220">
        <v>43114.0</v>
      </c>
    </row>
    <row r="624">
      <c r="A624" s="217">
        <v>43114.70446237268</v>
      </c>
      <c r="B624" s="218" t="s">
        <v>5092</v>
      </c>
      <c r="C624" s="218" t="s">
        <v>5675</v>
      </c>
      <c r="D624" s="219">
        <v>1.0</v>
      </c>
      <c r="E624" s="218">
        <v>1990.0</v>
      </c>
      <c r="F624" s="3" t="s">
        <v>5656</v>
      </c>
      <c r="G624" s="220">
        <v>43114.0</v>
      </c>
    </row>
    <row r="625">
      <c r="A625" s="217">
        <v>43114.74526892361</v>
      </c>
      <c r="B625" s="218" t="s">
        <v>5092</v>
      </c>
      <c r="C625" s="218" t="s">
        <v>706</v>
      </c>
      <c r="D625" s="219">
        <v>1.0</v>
      </c>
      <c r="E625" s="218">
        <v>1800.0</v>
      </c>
      <c r="F625" s="3" t="s">
        <v>5656</v>
      </c>
      <c r="G625" s="220">
        <v>43114.0</v>
      </c>
    </row>
    <row r="626">
      <c r="A626" s="217">
        <v>43114.74748774305</v>
      </c>
      <c r="B626" s="218" t="s">
        <v>5092</v>
      </c>
      <c r="C626" s="218" t="s">
        <v>1736</v>
      </c>
      <c r="D626" s="219">
        <v>1.0</v>
      </c>
      <c r="E626" s="218">
        <v>2250.0</v>
      </c>
      <c r="F626" s="3" t="s">
        <v>5656</v>
      </c>
      <c r="G626" s="220">
        <v>43114.0</v>
      </c>
    </row>
    <row r="627">
      <c r="A627" s="217">
        <v>43114.760749293986</v>
      </c>
      <c r="B627" s="218" t="s">
        <v>5092</v>
      </c>
      <c r="C627" s="218" t="s">
        <v>1735</v>
      </c>
      <c r="D627" s="219">
        <v>1.0</v>
      </c>
      <c r="E627" s="218">
        <v>2250.0</v>
      </c>
      <c r="F627" s="3" t="s">
        <v>5656</v>
      </c>
      <c r="G627" s="220">
        <v>43114.0</v>
      </c>
    </row>
    <row r="628">
      <c r="A628" s="217">
        <v>43114.76338087963</v>
      </c>
      <c r="B628" s="218" t="s">
        <v>5092</v>
      </c>
      <c r="C628" s="218" t="s">
        <v>1731</v>
      </c>
      <c r="D628" s="219">
        <v>2.0</v>
      </c>
      <c r="E628" s="218">
        <v>2250.0</v>
      </c>
      <c r="F628" s="3" t="s">
        <v>5656</v>
      </c>
      <c r="G628" s="220">
        <v>43114.0</v>
      </c>
    </row>
    <row r="629">
      <c r="A629" s="217">
        <v>43114.76424768519</v>
      </c>
      <c r="B629" s="218" t="s">
        <v>5092</v>
      </c>
      <c r="C629" s="218" t="s">
        <v>5678</v>
      </c>
      <c r="D629" s="219">
        <v>1.0</v>
      </c>
      <c r="E629" s="218">
        <v>2250.0</v>
      </c>
      <c r="F629" s="3" t="s">
        <v>5656</v>
      </c>
      <c r="G629" s="220">
        <v>43114.0</v>
      </c>
    </row>
    <row r="630">
      <c r="A630" s="217">
        <v>43114.76499224537</v>
      </c>
      <c r="B630" s="218" t="s">
        <v>5092</v>
      </c>
      <c r="C630" s="218" t="s">
        <v>1734</v>
      </c>
      <c r="D630" s="219">
        <v>2.0</v>
      </c>
      <c r="E630" s="218">
        <v>2250.0</v>
      </c>
      <c r="F630" s="3" t="s">
        <v>5656</v>
      </c>
      <c r="G630" s="220">
        <v>43114.0</v>
      </c>
    </row>
    <row r="631">
      <c r="A631" s="217">
        <v>43114.76558582176</v>
      </c>
      <c r="B631" s="218" t="s">
        <v>5092</v>
      </c>
      <c r="C631" s="218" t="s">
        <v>5680</v>
      </c>
      <c r="D631" s="219">
        <v>1.0</v>
      </c>
      <c r="E631" s="218">
        <v>2250.0</v>
      </c>
      <c r="F631" s="3" t="s">
        <v>5656</v>
      </c>
      <c r="G631" s="220">
        <v>43114.0</v>
      </c>
    </row>
    <row r="632">
      <c r="A632" s="217">
        <v>43114.766149884264</v>
      </c>
      <c r="B632" s="218" t="s">
        <v>5092</v>
      </c>
      <c r="C632" s="218" t="s">
        <v>1737</v>
      </c>
      <c r="D632" s="219">
        <v>1.0</v>
      </c>
      <c r="E632" s="218">
        <v>2250.0</v>
      </c>
      <c r="F632" s="3" t="s">
        <v>5656</v>
      </c>
      <c r="G632" s="220">
        <v>43114.0</v>
      </c>
    </row>
    <row r="633">
      <c r="A633" s="217">
        <v>43114.76693708333</v>
      </c>
      <c r="B633" s="218" t="s">
        <v>5092</v>
      </c>
      <c r="C633" s="218" t="s">
        <v>1738</v>
      </c>
      <c r="D633" s="219">
        <v>1.0</v>
      </c>
      <c r="E633" s="218">
        <v>2250.0</v>
      </c>
      <c r="F633" s="3" t="s">
        <v>5656</v>
      </c>
      <c r="G633" s="220">
        <v>43115.0</v>
      </c>
    </row>
    <row r="634">
      <c r="A634" s="217">
        <v>43114.76749291667</v>
      </c>
      <c r="B634" s="218" t="s">
        <v>5092</v>
      </c>
      <c r="C634" s="218" t="s">
        <v>1739</v>
      </c>
      <c r="D634" s="219">
        <v>1.0</v>
      </c>
      <c r="E634" s="218">
        <v>2250.0</v>
      </c>
      <c r="F634" s="3" t="s">
        <v>5656</v>
      </c>
      <c r="G634" s="220">
        <v>43114.0</v>
      </c>
    </row>
    <row r="635">
      <c r="A635" s="217">
        <v>43114.77000039352</v>
      </c>
      <c r="B635" s="218" t="s">
        <v>5092</v>
      </c>
      <c r="C635" s="218" t="s">
        <v>5681</v>
      </c>
      <c r="D635" s="219">
        <v>1.0</v>
      </c>
      <c r="E635" s="218">
        <v>2150.0</v>
      </c>
      <c r="F635" s="3" t="s">
        <v>5656</v>
      </c>
      <c r="G635" s="220">
        <v>43114.0</v>
      </c>
    </row>
    <row r="636">
      <c r="A636" s="217">
        <v>43114.77143601852</v>
      </c>
      <c r="B636" s="218" t="s">
        <v>5092</v>
      </c>
      <c r="C636" s="218" t="s">
        <v>5682</v>
      </c>
      <c r="D636" s="219">
        <v>1.0</v>
      </c>
      <c r="E636" s="218">
        <v>3200.0</v>
      </c>
      <c r="F636" s="3" t="s">
        <v>5632</v>
      </c>
      <c r="G636" s="220">
        <v>43121.0</v>
      </c>
    </row>
    <row r="637">
      <c r="A637" s="217">
        <v>43114.77304075232</v>
      </c>
      <c r="B637" s="218" t="s">
        <v>5092</v>
      </c>
      <c r="C637" s="218" t="s">
        <v>5683</v>
      </c>
      <c r="D637" s="219">
        <v>1.0</v>
      </c>
      <c r="E637" s="218">
        <v>2800.0</v>
      </c>
      <c r="F637" s="3" t="s">
        <v>5632</v>
      </c>
      <c r="G637" s="220">
        <v>43114.0</v>
      </c>
    </row>
    <row r="638">
      <c r="A638" s="217">
        <v>43114.7739960301</v>
      </c>
      <c r="B638" s="218" t="s">
        <v>5092</v>
      </c>
      <c r="C638" s="218" t="s">
        <v>1635</v>
      </c>
      <c r="D638" s="219">
        <v>1.0</v>
      </c>
      <c r="E638" s="218">
        <v>3200.0</v>
      </c>
      <c r="F638" s="3" t="s">
        <v>5632</v>
      </c>
      <c r="G638" s="220">
        <v>43114.0</v>
      </c>
    </row>
    <row r="639">
      <c r="A639" s="217">
        <v>43114.775622754634</v>
      </c>
      <c r="B639" s="218" t="s">
        <v>5092</v>
      </c>
      <c r="C639" s="218" t="s">
        <v>5684</v>
      </c>
      <c r="D639" s="219">
        <v>1.0</v>
      </c>
      <c r="E639" s="218">
        <v>3350.0</v>
      </c>
      <c r="F639" s="3" t="s">
        <v>5632</v>
      </c>
      <c r="G639" s="220">
        <v>43115.0</v>
      </c>
    </row>
    <row r="640">
      <c r="A640" s="217">
        <v>43114.776418298614</v>
      </c>
      <c r="B640" s="218" t="s">
        <v>5092</v>
      </c>
      <c r="C640" s="218" t="s">
        <v>5615</v>
      </c>
      <c r="D640" s="219">
        <v>1.0</v>
      </c>
      <c r="E640" s="218">
        <v>1800.0</v>
      </c>
      <c r="F640" s="3" t="s">
        <v>5656</v>
      </c>
      <c r="G640" s="220">
        <v>43115.0</v>
      </c>
    </row>
    <row r="641">
      <c r="A641" s="217">
        <v>43114.77842585648</v>
      </c>
      <c r="B641" s="218" t="s">
        <v>5092</v>
      </c>
      <c r="C641" s="218" t="s">
        <v>1459</v>
      </c>
      <c r="D641" s="219">
        <v>1.0</v>
      </c>
      <c r="E641" s="218">
        <v>1800.0</v>
      </c>
      <c r="F641" s="3" t="s">
        <v>5656</v>
      </c>
      <c r="G641" s="220">
        <v>43114.0</v>
      </c>
    </row>
    <row r="642">
      <c r="A642" s="217">
        <v>43116.620864247685</v>
      </c>
      <c r="B642" s="218" t="s">
        <v>5092</v>
      </c>
      <c r="C642" s="218" t="s">
        <v>709</v>
      </c>
      <c r="D642" s="219">
        <v>1.0</v>
      </c>
      <c r="E642" s="218">
        <v>1800.0</v>
      </c>
      <c r="F642" s="3" t="s">
        <v>5656</v>
      </c>
      <c r="G642" s="220">
        <v>43116.0</v>
      </c>
    </row>
    <row r="643">
      <c r="A643" s="217">
        <v>43116.621941157406</v>
      </c>
      <c r="B643" s="218" t="s">
        <v>5092</v>
      </c>
      <c r="C643" s="218" t="s">
        <v>5687</v>
      </c>
      <c r="D643" s="219">
        <v>1.0</v>
      </c>
      <c r="E643" s="218">
        <v>1800.0</v>
      </c>
      <c r="F643" s="3" t="s">
        <v>5545</v>
      </c>
      <c r="G643" s="220">
        <v>43123.0</v>
      </c>
    </row>
    <row r="644">
      <c r="A644" s="217">
        <v>43116.62250520833</v>
      </c>
      <c r="B644" s="218" t="s">
        <v>5092</v>
      </c>
      <c r="C644" s="218" t="s">
        <v>5688</v>
      </c>
      <c r="D644" s="219">
        <v>1.0</v>
      </c>
      <c r="E644" s="218">
        <v>1800.0</v>
      </c>
      <c r="F644" s="3" t="s">
        <v>5545</v>
      </c>
      <c r="G644" s="220">
        <v>43123.0</v>
      </c>
    </row>
    <row r="645">
      <c r="A645" s="217">
        <v>43116.62307351852</v>
      </c>
      <c r="B645" s="218" t="s">
        <v>5092</v>
      </c>
      <c r="C645" s="218" t="s">
        <v>5689</v>
      </c>
      <c r="D645" s="219">
        <v>1.0</v>
      </c>
      <c r="E645" s="218">
        <v>1800.0</v>
      </c>
      <c r="F645" s="3" t="s">
        <v>5545</v>
      </c>
      <c r="G645" s="220">
        <v>43116.0</v>
      </c>
    </row>
    <row r="646">
      <c r="A646" s="217">
        <v>43116.6238060301</v>
      </c>
      <c r="B646" s="218" t="s">
        <v>5092</v>
      </c>
      <c r="C646" s="218" t="s">
        <v>5690</v>
      </c>
      <c r="D646" s="219">
        <v>1.0</v>
      </c>
      <c r="E646" s="218">
        <v>1800.0</v>
      </c>
      <c r="F646" s="3" t="s">
        <v>5545</v>
      </c>
      <c r="G646" s="220">
        <v>43116.0</v>
      </c>
    </row>
    <row r="647">
      <c r="A647" s="217">
        <v>43116.62440446759</v>
      </c>
      <c r="B647" s="218" t="s">
        <v>5092</v>
      </c>
      <c r="C647" s="218" t="s">
        <v>1469</v>
      </c>
      <c r="D647" s="219">
        <v>1.0</v>
      </c>
      <c r="E647" s="218">
        <v>1800.0</v>
      </c>
      <c r="F647" s="3" t="s">
        <v>5545</v>
      </c>
      <c r="G647" s="220">
        <v>43116.0</v>
      </c>
    </row>
    <row r="648">
      <c r="A648" s="217">
        <v>43116.62604836805</v>
      </c>
      <c r="B648" s="218" t="s">
        <v>5092</v>
      </c>
      <c r="C648" s="218" t="s">
        <v>1467</v>
      </c>
      <c r="D648" s="219">
        <v>1.0</v>
      </c>
      <c r="E648" s="218">
        <v>1800.0</v>
      </c>
      <c r="F648" s="3" t="s">
        <v>5545</v>
      </c>
      <c r="G648" s="220">
        <v>43116.0</v>
      </c>
    </row>
    <row r="649">
      <c r="A649" s="217">
        <v>43116.6266775463</v>
      </c>
      <c r="B649" s="218" t="s">
        <v>5092</v>
      </c>
      <c r="C649" s="218" t="s">
        <v>5566</v>
      </c>
      <c r="D649" s="219">
        <v>1.0</v>
      </c>
      <c r="E649" s="218">
        <v>1800.0</v>
      </c>
      <c r="F649" s="3" t="s">
        <v>5545</v>
      </c>
      <c r="G649" s="220">
        <v>43116.0</v>
      </c>
    </row>
    <row r="650">
      <c r="A650" s="217">
        <v>43116.62725993055</v>
      </c>
      <c r="B650" s="218" t="s">
        <v>5092</v>
      </c>
      <c r="C650" s="218" t="s">
        <v>1459</v>
      </c>
      <c r="D650" s="219">
        <v>1.0</v>
      </c>
      <c r="E650" s="218">
        <v>1800.0</v>
      </c>
      <c r="F650" s="3" t="s">
        <v>5545</v>
      </c>
      <c r="G650" s="220">
        <v>43116.0</v>
      </c>
    </row>
    <row r="651">
      <c r="A651" s="217">
        <v>43116.628521817125</v>
      </c>
      <c r="B651" s="218" t="s">
        <v>5092</v>
      </c>
      <c r="C651" s="218" t="s">
        <v>704</v>
      </c>
      <c r="D651" s="219">
        <v>1.0</v>
      </c>
      <c r="E651" s="218">
        <v>1800.0</v>
      </c>
      <c r="F651" s="3" t="s">
        <v>5545</v>
      </c>
      <c r="G651" s="220">
        <v>43116.0</v>
      </c>
    </row>
    <row r="652">
      <c r="A652" s="217">
        <v>43116.62908719908</v>
      </c>
      <c r="B652" s="218" t="s">
        <v>5092</v>
      </c>
      <c r="C652" s="218" t="s">
        <v>5692</v>
      </c>
      <c r="D652" s="219">
        <v>1.0</v>
      </c>
      <c r="E652" s="218">
        <v>1800.0</v>
      </c>
      <c r="F652" s="3" t="s">
        <v>5545</v>
      </c>
      <c r="G652" s="220">
        <v>43116.0</v>
      </c>
    </row>
    <row r="653">
      <c r="A653" s="217">
        <v>43116.62988994213</v>
      </c>
      <c r="B653" s="218" t="s">
        <v>5092</v>
      </c>
      <c r="C653" s="218" t="s">
        <v>1464</v>
      </c>
      <c r="D653" s="219">
        <v>1.0</v>
      </c>
      <c r="E653" s="218">
        <v>2100.0</v>
      </c>
      <c r="F653" s="3" t="s">
        <v>5545</v>
      </c>
      <c r="G653" s="220">
        <v>43116.0</v>
      </c>
    </row>
    <row r="654">
      <c r="A654" s="217">
        <v>43116.63050100695</v>
      </c>
      <c r="B654" s="218" t="s">
        <v>5092</v>
      </c>
      <c r="C654" s="218" t="s">
        <v>5695</v>
      </c>
      <c r="D654" s="219">
        <v>1.0</v>
      </c>
      <c r="E654" s="218">
        <v>1800.0</v>
      </c>
      <c r="F654" s="3" t="s">
        <v>5545</v>
      </c>
      <c r="G654" s="220">
        <v>43116.0</v>
      </c>
    </row>
    <row r="655">
      <c r="A655" s="217">
        <v>43116.63233217593</v>
      </c>
      <c r="B655" s="218" t="s">
        <v>5092</v>
      </c>
      <c r="C655" s="218" t="s">
        <v>1307</v>
      </c>
      <c r="D655" s="219">
        <v>1.0</v>
      </c>
      <c r="E655" s="218">
        <v>1800.0</v>
      </c>
      <c r="F655" s="3" t="s">
        <v>5545</v>
      </c>
      <c r="G655" s="220">
        <v>43116.0</v>
      </c>
    </row>
    <row r="656">
      <c r="A656" s="217">
        <v>43116.63414010417</v>
      </c>
      <c r="B656" s="218" t="s">
        <v>5092</v>
      </c>
      <c r="C656" s="218" t="s">
        <v>1618</v>
      </c>
      <c r="D656" s="219">
        <v>1.0</v>
      </c>
      <c r="E656" s="218">
        <v>2150.0</v>
      </c>
      <c r="F656" s="3" t="s">
        <v>5545</v>
      </c>
      <c r="G656" s="220">
        <v>43116.0</v>
      </c>
    </row>
    <row r="657">
      <c r="A657" s="217">
        <v>43116.63595430556</v>
      </c>
      <c r="B657" s="218" t="s">
        <v>5092</v>
      </c>
      <c r="C657" s="218" t="s">
        <v>1740</v>
      </c>
      <c r="D657" s="219">
        <v>1.0</v>
      </c>
      <c r="E657" s="218">
        <v>2250.0</v>
      </c>
      <c r="F657" s="3" t="s">
        <v>5545</v>
      </c>
      <c r="G657" s="220">
        <v>43116.0</v>
      </c>
    </row>
    <row r="658">
      <c r="A658" s="217">
        <v>43116.63711861111</v>
      </c>
      <c r="B658" s="218" t="s">
        <v>5092</v>
      </c>
      <c r="C658" s="218" t="s">
        <v>5699</v>
      </c>
      <c r="D658" s="219">
        <v>1.0</v>
      </c>
      <c r="E658" s="218">
        <v>1800.0</v>
      </c>
      <c r="F658" s="3" t="s">
        <v>5545</v>
      </c>
      <c r="G658" s="220">
        <v>43116.0</v>
      </c>
    </row>
    <row r="659">
      <c r="A659" s="217">
        <v>43117.4978553125</v>
      </c>
      <c r="B659" s="218" t="s">
        <v>5092</v>
      </c>
      <c r="C659" s="218" t="s">
        <v>2105</v>
      </c>
      <c r="D659" s="219">
        <v>1.0</v>
      </c>
      <c r="E659" s="218">
        <v>3990.0</v>
      </c>
      <c r="F659" s="3" t="s">
        <v>5701</v>
      </c>
      <c r="G659" s="220">
        <v>43117.0</v>
      </c>
    </row>
    <row r="660">
      <c r="A660" s="217">
        <v>43117.49841</v>
      </c>
      <c r="B660" s="218" t="s">
        <v>5092</v>
      </c>
      <c r="C660" s="218" t="s">
        <v>5703</v>
      </c>
      <c r="D660" s="219">
        <v>1.0</v>
      </c>
      <c r="E660" s="24"/>
      <c r="F660" s="3" t="s">
        <v>5701</v>
      </c>
      <c r="G660" s="220">
        <v>43117.0</v>
      </c>
    </row>
    <row r="661">
      <c r="A661" s="217">
        <v>43117.49978758102</v>
      </c>
      <c r="B661" s="218" t="s">
        <v>5092</v>
      </c>
      <c r="C661" s="218" t="s">
        <v>5704</v>
      </c>
      <c r="D661" s="219">
        <v>2.0</v>
      </c>
      <c r="E661" s="218">
        <v>4590.0</v>
      </c>
      <c r="F661" s="3" t="s">
        <v>5701</v>
      </c>
      <c r="G661" s="220">
        <v>43117.0</v>
      </c>
    </row>
    <row r="662">
      <c r="A662" s="217">
        <v>43117.50415903935</v>
      </c>
      <c r="B662" s="218" t="s">
        <v>5092</v>
      </c>
      <c r="C662" s="218" t="s">
        <v>5486</v>
      </c>
      <c r="D662" s="219">
        <v>1.0</v>
      </c>
      <c r="E662" s="218">
        <v>3990.0</v>
      </c>
      <c r="F662" s="3" t="s">
        <v>5701</v>
      </c>
      <c r="G662" s="220">
        <v>43117.0</v>
      </c>
    </row>
    <row r="663">
      <c r="A663" s="217">
        <v>43117.507852407405</v>
      </c>
      <c r="B663" s="218" t="s">
        <v>5092</v>
      </c>
      <c r="C663" s="218" t="s">
        <v>2206</v>
      </c>
      <c r="D663" s="219">
        <v>1.0</v>
      </c>
      <c r="E663" s="218">
        <v>5290.0</v>
      </c>
      <c r="F663" s="3" t="s">
        <v>5422</v>
      </c>
      <c r="G663" s="220">
        <v>43117.0</v>
      </c>
    </row>
    <row r="664">
      <c r="A664" s="217">
        <v>43117.51019016204</v>
      </c>
      <c r="B664" s="218" t="s">
        <v>5092</v>
      </c>
      <c r="C664" s="218" t="s">
        <v>5499</v>
      </c>
      <c r="D664" s="219">
        <v>1.0</v>
      </c>
      <c r="E664" s="218">
        <v>3790.0</v>
      </c>
      <c r="F664" s="3" t="s">
        <v>5422</v>
      </c>
      <c r="G664" s="220">
        <v>43117.0</v>
      </c>
    </row>
    <row r="665">
      <c r="A665" s="217">
        <v>43117.51081871528</v>
      </c>
      <c r="B665" s="218" t="s">
        <v>5092</v>
      </c>
      <c r="C665" s="218" t="s">
        <v>5708</v>
      </c>
      <c r="D665" s="219">
        <v>1.0</v>
      </c>
      <c r="E665" s="218">
        <v>5290.0</v>
      </c>
      <c r="F665" s="3" t="s">
        <v>5422</v>
      </c>
      <c r="G665" s="220">
        <v>43117.0</v>
      </c>
    </row>
    <row r="666">
      <c r="A666" s="217">
        <v>43117.51201668981</v>
      </c>
      <c r="B666" s="218" t="s">
        <v>5092</v>
      </c>
      <c r="C666" s="218" t="s">
        <v>5493</v>
      </c>
      <c r="D666" s="219">
        <v>1.0</v>
      </c>
      <c r="E666" s="218">
        <v>4290.0</v>
      </c>
      <c r="F666" s="3" t="s">
        <v>5422</v>
      </c>
      <c r="G666" s="220">
        <v>43117.0</v>
      </c>
    </row>
    <row r="667">
      <c r="A667" s="217">
        <v>43117.55140303241</v>
      </c>
      <c r="B667" s="218" t="s">
        <v>5092</v>
      </c>
      <c r="C667" s="218" t="s">
        <v>5710</v>
      </c>
      <c r="D667" s="219">
        <v>1.0</v>
      </c>
      <c r="E667" s="218">
        <v>3800.0</v>
      </c>
      <c r="F667" s="3" t="s">
        <v>5711</v>
      </c>
      <c r="G667" s="220">
        <v>43117.0</v>
      </c>
    </row>
    <row r="668">
      <c r="A668" s="217">
        <v>43117.55233261574</v>
      </c>
      <c r="B668" s="218" t="s">
        <v>5092</v>
      </c>
      <c r="C668" s="218" t="s">
        <v>5713</v>
      </c>
      <c r="D668" s="219">
        <v>1.0</v>
      </c>
      <c r="E668" s="218">
        <v>3800.0</v>
      </c>
      <c r="F668" s="3" t="s">
        <v>5711</v>
      </c>
      <c r="G668" s="220">
        <v>43117.0</v>
      </c>
    </row>
    <row r="669">
      <c r="A669" s="217">
        <v>43117.55322756944</v>
      </c>
      <c r="B669" s="218" t="s">
        <v>5092</v>
      </c>
      <c r="C669" s="218" t="s">
        <v>5714</v>
      </c>
      <c r="D669" s="219">
        <v>1.0</v>
      </c>
      <c r="E669" s="218">
        <v>3800.0</v>
      </c>
      <c r="F669" s="3" t="s">
        <v>5711</v>
      </c>
      <c r="G669" s="220">
        <v>43124.0</v>
      </c>
    </row>
    <row r="670">
      <c r="A670" s="217">
        <v>43117.55432206018</v>
      </c>
      <c r="B670" s="218" t="s">
        <v>5092</v>
      </c>
      <c r="C670" s="218" t="s">
        <v>5715</v>
      </c>
      <c r="D670" s="219">
        <v>1.0</v>
      </c>
      <c r="E670" s="218">
        <v>2000.0</v>
      </c>
      <c r="F670" s="3" t="s">
        <v>5711</v>
      </c>
      <c r="G670" s="220">
        <v>43117.0</v>
      </c>
    </row>
    <row r="671">
      <c r="A671" s="217">
        <v>43117.55516613426</v>
      </c>
      <c r="B671" s="218" t="s">
        <v>5092</v>
      </c>
      <c r="C671" s="218" t="s">
        <v>5716</v>
      </c>
      <c r="D671" s="219">
        <v>1.0</v>
      </c>
      <c r="E671" s="218">
        <v>2000.0</v>
      </c>
      <c r="F671" s="3" t="s">
        <v>5711</v>
      </c>
      <c r="G671" s="220">
        <v>43117.0</v>
      </c>
    </row>
    <row r="672">
      <c r="A672" s="217">
        <v>43117.55628765046</v>
      </c>
      <c r="B672" s="218" t="s">
        <v>5092</v>
      </c>
      <c r="C672" s="218" t="s">
        <v>5717</v>
      </c>
      <c r="D672" s="219">
        <v>1.0</v>
      </c>
      <c r="E672" s="218">
        <v>2000.0</v>
      </c>
      <c r="F672" s="3" t="s">
        <v>5711</v>
      </c>
      <c r="G672" s="220">
        <v>43117.0</v>
      </c>
    </row>
    <row r="673">
      <c r="A673" s="217">
        <v>43117.55707790509</v>
      </c>
      <c r="B673" s="218" t="s">
        <v>5092</v>
      </c>
      <c r="C673" s="218" t="s">
        <v>5718</v>
      </c>
      <c r="D673" s="219">
        <v>1.0</v>
      </c>
      <c r="E673" s="218">
        <v>2000.0</v>
      </c>
      <c r="F673" s="3" t="s">
        <v>5711</v>
      </c>
      <c r="G673" s="220">
        <v>43117.0</v>
      </c>
    </row>
    <row r="674">
      <c r="A674" s="217">
        <v>43117.55898584491</v>
      </c>
      <c r="B674" s="218" t="s">
        <v>5092</v>
      </c>
      <c r="C674" s="218" t="s">
        <v>5719</v>
      </c>
      <c r="D674" s="219">
        <v>1.0</v>
      </c>
      <c r="E674" s="218">
        <v>1000.0</v>
      </c>
      <c r="F674" s="3" t="s">
        <v>5720</v>
      </c>
      <c r="G674" s="220">
        <v>43117.0</v>
      </c>
    </row>
    <row r="675">
      <c r="A675" s="217">
        <v>43117.55987513889</v>
      </c>
      <c r="B675" s="218" t="s">
        <v>5092</v>
      </c>
      <c r="C675" s="218" t="s">
        <v>684</v>
      </c>
      <c r="D675" s="219">
        <v>1.0</v>
      </c>
      <c r="E675" s="218">
        <v>900.0</v>
      </c>
      <c r="F675" s="3" t="s">
        <v>5720</v>
      </c>
      <c r="G675" s="220">
        <v>43117.0</v>
      </c>
    </row>
    <row r="676">
      <c r="A676" s="217">
        <v>43117.56067202546</v>
      </c>
      <c r="B676" s="218" t="s">
        <v>5092</v>
      </c>
      <c r="C676" s="218" t="s">
        <v>1077</v>
      </c>
      <c r="D676" s="219">
        <v>1.0</v>
      </c>
      <c r="E676" s="218">
        <v>1000.0</v>
      </c>
      <c r="F676" s="3" t="s">
        <v>5720</v>
      </c>
      <c r="G676" s="220">
        <v>43117.0</v>
      </c>
    </row>
    <row r="677">
      <c r="A677" s="217">
        <v>43117.5619572338</v>
      </c>
      <c r="B677" s="218" t="s">
        <v>5092</v>
      </c>
      <c r="C677" s="218" t="s">
        <v>5723</v>
      </c>
      <c r="D677" s="219">
        <v>1.0</v>
      </c>
      <c r="E677" s="218">
        <v>2500.0</v>
      </c>
      <c r="F677" s="3" t="s">
        <v>5720</v>
      </c>
      <c r="G677" s="220">
        <v>43117.0</v>
      </c>
    </row>
    <row r="678">
      <c r="A678" s="217">
        <v>43117.563166747685</v>
      </c>
      <c r="B678" s="218" t="s">
        <v>5092</v>
      </c>
      <c r="C678" s="218" t="s">
        <v>5724</v>
      </c>
      <c r="D678" s="219">
        <v>1.0</v>
      </c>
      <c r="E678" s="218">
        <v>800.0</v>
      </c>
      <c r="F678" s="3" t="s">
        <v>5720</v>
      </c>
      <c r="G678" s="220">
        <v>43117.0</v>
      </c>
    </row>
    <row r="679">
      <c r="A679" s="217">
        <v>43117.564192418984</v>
      </c>
      <c r="B679" s="218" t="s">
        <v>5092</v>
      </c>
      <c r="C679" s="218" t="s">
        <v>5726</v>
      </c>
      <c r="D679" s="219">
        <v>1.0</v>
      </c>
      <c r="E679" s="218">
        <v>800.0</v>
      </c>
      <c r="F679" s="3" t="s">
        <v>5720</v>
      </c>
      <c r="G679" s="220">
        <v>43117.0</v>
      </c>
    </row>
    <row r="680">
      <c r="A680" s="217">
        <v>43117.56512520833</v>
      </c>
      <c r="B680" s="218" t="s">
        <v>5092</v>
      </c>
      <c r="C680" s="218" t="s">
        <v>5727</v>
      </c>
      <c r="D680" s="219">
        <v>1.0</v>
      </c>
      <c r="E680" s="218">
        <v>1000.0</v>
      </c>
      <c r="F680" s="3" t="s">
        <v>5720</v>
      </c>
      <c r="G680" s="220">
        <v>43117.0</v>
      </c>
    </row>
    <row r="681">
      <c r="A681" s="217">
        <v>43117.56734922454</v>
      </c>
      <c r="B681" s="218" t="s">
        <v>5092</v>
      </c>
      <c r="C681" s="218" t="s">
        <v>5728</v>
      </c>
      <c r="D681" s="219">
        <v>1.0</v>
      </c>
      <c r="E681" s="218">
        <v>2500.0</v>
      </c>
      <c r="F681" s="3" t="s">
        <v>5720</v>
      </c>
      <c r="G681" s="220">
        <v>43117.0</v>
      </c>
    </row>
    <row r="682">
      <c r="A682" s="217">
        <v>43117.568247083334</v>
      </c>
      <c r="B682" s="218" t="s">
        <v>5092</v>
      </c>
      <c r="C682" s="218" t="s">
        <v>5730</v>
      </c>
      <c r="D682" s="219">
        <v>1.0</v>
      </c>
      <c r="E682" s="218">
        <v>1000.0</v>
      </c>
      <c r="F682" s="3" t="s">
        <v>5720</v>
      </c>
      <c r="G682" s="220">
        <v>43117.0</v>
      </c>
    </row>
    <row r="683">
      <c r="A683" s="217">
        <v>43117.57079738426</v>
      </c>
      <c r="B683" s="218" t="s">
        <v>5092</v>
      </c>
      <c r="C683" s="218" t="s">
        <v>5731</v>
      </c>
      <c r="D683" s="219">
        <v>1.0</v>
      </c>
      <c r="E683" s="218">
        <v>800.0</v>
      </c>
      <c r="F683" s="3" t="s">
        <v>5720</v>
      </c>
      <c r="G683" s="220">
        <v>43117.0</v>
      </c>
    </row>
    <row r="684">
      <c r="A684" s="217">
        <v>43117.57160512732</v>
      </c>
      <c r="B684" s="218" t="s">
        <v>5092</v>
      </c>
      <c r="C684" s="218" t="s">
        <v>5732</v>
      </c>
      <c r="D684" s="219">
        <v>1.0</v>
      </c>
      <c r="E684" s="218">
        <v>2500.0</v>
      </c>
      <c r="F684" s="3" t="s">
        <v>5720</v>
      </c>
      <c r="G684" s="220">
        <v>43117.0</v>
      </c>
    </row>
    <row r="685">
      <c r="A685" s="217">
        <v>43117.57290403935</v>
      </c>
      <c r="B685" s="218" t="s">
        <v>5092</v>
      </c>
      <c r="C685" s="218" t="s">
        <v>5734</v>
      </c>
      <c r="D685" s="219">
        <v>1.0</v>
      </c>
      <c r="E685" s="218">
        <v>2500.0</v>
      </c>
      <c r="F685" s="3" t="s">
        <v>5720</v>
      </c>
      <c r="G685" s="220">
        <v>43117.0</v>
      </c>
    </row>
    <row r="686">
      <c r="A686" s="217">
        <v>43117.57407263889</v>
      </c>
      <c r="B686" s="218" t="s">
        <v>5092</v>
      </c>
      <c r="C686" s="218" t="s">
        <v>5735</v>
      </c>
      <c r="D686" s="219">
        <v>1.0</v>
      </c>
      <c r="E686" s="218">
        <v>2500.0</v>
      </c>
      <c r="F686" s="3" t="s">
        <v>5720</v>
      </c>
      <c r="G686" s="220">
        <v>43117.0</v>
      </c>
    </row>
    <row r="687">
      <c r="A687" s="217">
        <v>43117.57487633102</v>
      </c>
      <c r="B687" s="218" t="s">
        <v>5092</v>
      </c>
      <c r="C687" s="218" t="s">
        <v>1080</v>
      </c>
      <c r="D687" s="219">
        <v>1.0</v>
      </c>
      <c r="E687" s="218">
        <v>1400.0</v>
      </c>
      <c r="F687" s="3" t="s">
        <v>5720</v>
      </c>
      <c r="G687" s="220">
        <v>43117.0</v>
      </c>
    </row>
    <row r="688">
      <c r="A688" s="217">
        <v>43117.57611126157</v>
      </c>
      <c r="B688" s="218" t="s">
        <v>5092</v>
      </c>
      <c r="C688" s="218" t="s">
        <v>683</v>
      </c>
      <c r="D688" s="219">
        <v>1.0</v>
      </c>
      <c r="E688" s="218">
        <v>800.0</v>
      </c>
      <c r="F688" s="3" t="s">
        <v>5720</v>
      </c>
      <c r="G688" s="220">
        <v>43117.0</v>
      </c>
    </row>
    <row r="689">
      <c r="A689" s="217">
        <v>43117.57738497685</v>
      </c>
      <c r="B689" s="218" t="s">
        <v>5092</v>
      </c>
      <c r="C689" s="218" t="s">
        <v>1070</v>
      </c>
      <c r="D689" s="219">
        <v>1.0</v>
      </c>
      <c r="E689" s="218">
        <v>1200.0</v>
      </c>
      <c r="F689" s="3" t="s">
        <v>5720</v>
      </c>
      <c r="G689" s="220">
        <v>43117.0</v>
      </c>
    </row>
    <row r="690">
      <c r="A690" s="217">
        <v>43117.57827209491</v>
      </c>
      <c r="B690" s="218" t="s">
        <v>5092</v>
      </c>
      <c r="C690" s="218" t="s">
        <v>5736</v>
      </c>
      <c r="D690" s="219">
        <v>1.0</v>
      </c>
      <c r="E690" s="218">
        <v>2500.0</v>
      </c>
      <c r="F690" s="3" t="s">
        <v>5720</v>
      </c>
      <c r="G690" s="220">
        <v>43117.0</v>
      </c>
    </row>
    <row r="691">
      <c r="A691" s="217">
        <v>43117.57941148148</v>
      </c>
      <c r="B691" s="218" t="s">
        <v>5092</v>
      </c>
      <c r="C691" s="118" t="s">
        <v>5737</v>
      </c>
      <c r="D691" s="219">
        <v>1.0</v>
      </c>
      <c r="E691" s="218">
        <v>1400.0</v>
      </c>
      <c r="F691" s="3" t="s">
        <v>5720</v>
      </c>
      <c r="G691" s="220">
        <v>43117.0</v>
      </c>
    </row>
    <row r="692">
      <c r="A692" s="217">
        <v>43117.58041008102</v>
      </c>
      <c r="B692" s="218" t="s">
        <v>5092</v>
      </c>
      <c r="C692" s="218" t="s">
        <v>5738</v>
      </c>
      <c r="D692" s="219">
        <v>1.0</v>
      </c>
      <c r="E692" s="218">
        <v>800.0</v>
      </c>
      <c r="F692" s="3" t="s">
        <v>5720</v>
      </c>
      <c r="G692" s="220">
        <v>43117.0</v>
      </c>
    </row>
    <row r="693">
      <c r="A693" s="217">
        <v>43117.58177710648</v>
      </c>
      <c r="B693" s="218" t="s">
        <v>5092</v>
      </c>
      <c r="C693" s="218" t="s">
        <v>5739</v>
      </c>
      <c r="D693" s="219">
        <v>1.0</v>
      </c>
      <c r="E693" s="218">
        <v>1400.0</v>
      </c>
      <c r="F693" s="3" t="s">
        <v>5720</v>
      </c>
      <c r="G693" s="220">
        <v>43117.0</v>
      </c>
    </row>
    <row r="694">
      <c r="A694" s="217">
        <v>43117.583025555556</v>
      </c>
      <c r="B694" s="218" t="s">
        <v>5092</v>
      </c>
      <c r="C694" s="218" t="s">
        <v>5740</v>
      </c>
      <c r="D694" s="219">
        <v>1.0</v>
      </c>
      <c r="E694" s="218">
        <v>1000.0</v>
      </c>
      <c r="F694" s="3" t="s">
        <v>5720</v>
      </c>
      <c r="G694" s="220">
        <v>43117.0</v>
      </c>
    </row>
    <row r="695">
      <c r="A695" s="217">
        <v>43117.5839754051</v>
      </c>
      <c r="B695" s="218" t="s">
        <v>5092</v>
      </c>
      <c r="C695" s="218" t="s">
        <v>5742</v>
      </c>
      <c r="D695" s="219">
        <v>1.0</v>
      </c>
      <c r="E695" s="218">
        <v>1000.0</v>
      </c>
      <c r="F695" s="3" t="s">
        <v>5720</v>
      </c>
      <c r="G695" s="220">
        <v>43117.0</v>
      </c>
    </row>
    <row r="696">
      <c r="A696" s="217">
        <v>43117.58544783565</v>
      </c>
      <c r="B696" s="218" t="s">
        <v>5092</v>
      </c>
      <c r="C696" s="218" t="s">
        <v>1061</v>
      </c>
      <c r="D696" s="219">
        <v>1.0</v>
      </c>
      <c r="E696" s="218">
        <v>800.0</v>
      </c>
      <c r="F696" s="3" t="s">
        <v>5743</v>
      </c>
      <c r="G696" s="220">
        <v>43124.0</v>
      </c>
    </row>
    <row r="697">
      <c r="A697" s="217">
        <v>43117.58626452547</v>
      </c>
      <c r="B697" s="218" t="s">
        <v>5092</v>
      </c>
      <c r="C697" s="218" t="s">
        <v>683</v>
      </c>
      <c r="D697" s="219">
        <v>1.0</v>
      </c>
      <c r="E697" s="218">
        <v>800.0</v>
      </c>
      <c r="F697" s="3" t="s">
        <v>5743</v>
      </c>
      <c r="G697" s="220">
        <v>43117.0</v>
      </c>
    </row>
    <row r="698">
      <c r="A698" s="217">
        <v>43117.58708251157</v>
      </c>
      <c r="B698" s="218" t="s">
        <v>5092</v>
      </c>
      <c r="C698" s="218" t="s">
        <v>5744</v>
      </c>
      <c r="D698" s="219">
        <v>1.0</v>
      </c>
      <c r="E698" s="218">
        <v>800.0</v>
      </c>
      <c r="F698" s="3" t="s">
        <v>5743</v>
      </c>
      <c r="G698" s="220">
        <v>43117.0</v>
      </c>
    </row>
    <row r="699">
      <c r="A699" s="217">
        <v>43117.64320407408</v>
      </c>
      <c r="B699" s="218" t="s">
        <v>5092</v>
      </c>
      <c r="C699" s="218" t="s">
        <v>5745</v>
      </c>
      <c r="D699" s="219">
        <v>1.0</v>
      </c>
      <c r="E699" s="218">
        <v>1000.0</v>
      </c>
      <c r="F699" s="3" t="s">
        <v>5743</v>
      </c>
      <c r="G699" s="220">
        <v>43117.0</v>
      </c>
    </row>
    <row r="700">
      <c r="A700" s="217">
        <v>43117.64397689815</v>
      </c>
      <c r="B700" s="218" t="s">
        <v>5092</v>
      </c>
      <c r="C700" s="218" t="s">
        <v>5746</v>
      </c>
      <c r="D700" s="219">
        <v>1.0</v>
      </c>
      <c r="E700" s="218">
        <v>2500.0</v>
      </c>
      <c r="F700" s="3" t="s">
        <v>5743</v>
      </c>
      <c r="G700" s="220">
        <v>43117.0</v>
      </c>
    </row>
    <row r="701">
      <c r="A701" s="217">
        <v>43117.645557048614</v>
      </c>
      <c r="B701" s="218" t="s">
        <v>5092</v>
      </c>
      <c r="C701" s="218" t="s">
        <v>1063</v>
      </c>
      <c r="D701" s="219">
        <v>1.0</v>
      </c>
      <c r="E701" s="218">
        <v>900.0</v>
      </c>
      <c r="F701" s="3" t="s">
        <v>5743</v>
      </c>
      <c r="G701" s="220">
        <v>43117.0</v>
      </c>
    </row>
    <row r="702">
      <c r="A702" s="217">
        <v>43117.646848125005</v>
      </c>
      <c r="B702" s="218" t="s">
        <v>5092</v>
      </c>
      <c r="C702" s="218" t="s">
        <v>685</v>
      </c>
      <c r="D702" s="219">
        <v>1.0</v>
      </c>
      <c r="E702" s="218">
        <v>900.0</v>
      </c>
      <c r="F702" s="3" t="s">
        <v>5743</v>
      </c>
      <c r="G702" s="220">
        <v>43117.0</v>
      </c>
    </row>
    <row r="703">
      <c r="A703" s="217">
        <v>43117.6480034375</v>
      </c>
      <c r="B703" s="218" t="s">
        <v>5092</v>
      </c>
      <c r="C703" s="218" t="s">
        <v>1091</v>
      </c>
      <c r="D703" s="219">
        <v>1.0</v>
      </c>
      <c r="E703" s="218">
        <v>1500.0</v>
      </c>
      <c r="F703" s="3" t="s">
        <v>5743</v>
      </c>
      <c r="G703" s="220">
        <v>43117.0</v>
      </c>
    </row>
    <row r="704">
      <c r="A704" s="217">
        <v>43117.64897645834</v>
      </c>
      <c r="B704" s="218" t="s">
        <v>5092</v>
      </c>
      <c r="C704" s="218" t="s">
        <v>5748</v>
      </c>
      <c r="D704" s="219">
        <v>1.0</v>
      </c>
      <c r="E704" s="218">
        <v>1000.0</v>
      </c>
      <c r="F704" s="3" t="s">
        <v>5743</v>
      </c>
      <c r="G704" s="220">
        <v>43117.0</v>
      </c>
    </row>
    <row r="705">
      <c r="A705" s="217">
        <v>43117.64987587963</v>
      </c>
      <c r="B705" s="218" t="s">
        <v>5092</v>
      </c>
      <c r="C705" s="218" t="s">
        <v>5749</v>
      </c>
      <c r="D705" s="219">
        <v>1.0</v>
      </c>
      <c r="E705" s="218">
        <v>1000.0</v>
      </c>
      <c r="F705" s="3" t="s">
        <v>5743</v>
      </c>
      <c r="G705" s="220">
        <v>43117.0</v>
      </c>
    </row>
    <row r="706">
      <c r="A706" s="217">
        <v>43117.65079371528</v>
      </c>
      <c r="B706" s="218" t="s">
        <v>5092</v>
      </c>
      <c r="C706" s="218" t="s">
        <v>5750</v>
      </c>
      <c r="D706" s="219">
        <v>1.0</v>
      </c>
      <c r="E706" s="218">
        <v>3500.0</v>
      </c>
      <c r="F706" s="3" t="s">
        <v>5743</v>
      </c>
      <c r="G706" s="220">
        <v>43117.0</v>
      </c>
    </row>
    <row r="707">
      <c r="A707" s="217">
        <v>43117.65167432871</v>
      </c>
      <c r="B707" s="218" t="s">
        <v>5092</v>
      </c>
      <c r="C707" s="218" t="s">
        <v>5751</v>
      </c>
      <c r="D707" s="219">
        <v>1.0</v>
      </c>
      <c r="E707" s="218">
        <v>1000.0</v>
      </c>
      <c r="F707" s="3" t="s">
        <v>5743</v>
      </c>
      <c r="G707" s="220">
        <v>43117.0</v>
      </c>
    </row>
    <row r="708">
      <c r="A708" s="217">
        <v>43117.6617081713</v>
      </c>
      <c r="B708" s="218" t="s">
        <v>5184</v>
      </c>
      <c r="C708" s="218" t="s">
        <v>4515</v>
      </c>
      <c r="D708" s="221">
        <v>1.0</v>
      </c>
      <c r="E708" s="218">
        <v>2150.0</v>
      </c>
      <c r="F708" s="3" t="s">
        <v>5295</v>
      </c>
      <c r="G708" s="220">
        <v>43117.0</v>
      </c>
    </row>
    <row r="709">
      <c r="A709" s="217">
        <v>43117.664803761574</v>
      </c>
      <c r="B709" s="218" t="s">
        <v>5184</v>
      </c>
      <c r="C709" s="218" t="s">
        <v>4587</v>
      </c>
      <c r="D709" s="221">
        <v>1.0</v>
      </c>
      <c r="E709" s="218">
        <v>1695.0</v>
      </c>
      <c r="F709" s="3" t="s">
        <v>5298</v>
      </c>
      <c r="G709" s="220">
        <v>43117.0</v>
      </c>
    </row>
    <row r="710">
      <c r="A710" s="217">
        <v>43119.69345021991</v>
      </c>
      <c r="B710" s="218" t="s">
        <v>5092</v>
      </c>
      <c r="C710" s="218" t="s">
        <v>5758</v>
      </c>
      <c r="D710" s="219">
        <v>1.0</v>
      </c>
      <c r="E710" s="218">
        <v>1750.0</v>
      </c>
      <c r="F710" s="3" t="s">
        <v>5743</v>
      </c>
      <c r="G710" s="220">
        <v>43119.0</v>
      </c>
    </row>
    <row r="711">
      <c r="A711" s="217">
        <v>43119.69448549769</v>
      </c>
      <c r="B711" s="218" t="s">
        <v>5092</v>
      </c>
      <c r="C711" s="218" t="s">
        <v>5759</v>
      </c>
      <c r="D711" s="219">
        <v>1.0</v>
      </c>
      <c r="E711" s="218">
        <v>1250.0</v>
      </c>
      <c r="F711" s="3" t="s">
        <v>5743</v>
      </c>
      <c r="G711" s="220">
        <v>43119.0</v>
      </c>
    </row>
    <row r="712">
      <c r="A712" s="217">
        <v>43119.6952734838</v>
      </c>
      <c r="B712" s="218" t="s">
        <v>5092</v>
      </c>
      <c r="C712" s="218" t="s">
        <v>5760</v>
      </c>
      <c r="D712" s="219">
        <v>1.0</v>
      </c>
      <c r="E712" s="218">
        <v>2000.0</v>
      </c>
      <c r="F712" s="3" t="s">
        <v>5743</v>
      </c>
      <c r="G712" s="220">
        <v>43119.0</v>
      </c>
    </row>
    <row r="713">
      <c r="A713" s="217">
        <v>43119.696687268515</v>
      </c>
      <c r="B713" s="218" t="s">
        <v>5092</v>
      </c>
      <c r="C713" s="218" t="s">
        <v>5761</v>
      </c>
      <c r="D713" s="219">
        <v>1.0</v>
      </c>
      <c r="E713" s="218">
        <v>900.0</v>
      </c>
      <c r="F713" s="3" t="s">
        <v>5743</v>
      </c>
      <c r="G713" s="220">
        <v>43119.0</v>
      </c>
    </row>
    <row r="714">
      <c r="A714" s="217">
        <v>43119.69754486111</v>
      </c>
      <c r="B714" s="218" t="s">
        <v>5092</v>
      </c>
      <c r="C714" s="218" t="s">
        <v>1119</v>
      </c>
      <c r="D714" s="219">
        <v>1.0</v>
      </c>
      <c r="E714" s="218">
        <v>1200.0</v>
      </c>
      <c r="F714" s="3" t="s">
        <v>5743</v>
      </c>
      <c r="G714" s="220">
        <v>43119.0</v>
      </c>
    </row>
    <row r="715">
      <c r="A715" s="217">
        <v>43119.70025310185</v>
      </c>
      <c r="B715" s="218" t="s">
        <v>5092</v>
      </c>
      <c r="C715" s="218" t="s">
        <v>5762</v>
      </c>
      <c r="D715" s="219">
        <v>1.0</v>
      </c>
      <c r="E715" s="218">
        <v>900.0</v>
      </c>
      <c r="F715" s="3" t="s">
        <v>5743</v>
      </c>
      <c r="G715" s="220">
        <v>43119.0</v>
      </c>
    </row>
    <row r="716">
      <c r="A716" s="217">
        <v>43119.70170306713</v>
      </c>
      <c r="B716" s="218" t="s">
        <v>5092</v>
      </c>
      <c r="C716" s="218" t="s">
        <v>5764</v>
      </c>
      <c r="D716" s="219">
        <v>1.0</v>
      </c>
      <c r="E716" s="218">
        <v>1600.0</v>
      </c>
      <c r="F716" s="3" t="s">
        <v>5743</v>
      </c>
      <c r="G716" s="220">
        <v>43119.0</v>
      </c>
    </row>
    <row r="717">
      <c r="A717" s="217">
        <v>43119.716439814816</v>
      </c>
      <c r="B717" s="218" t="s">
        <v>5092</v>
      </c>
      <c r="C717" s="218" t="s">
        <v>5765</v>
      </c>
      <c r="D717" s="219">
        <v>1.0</v>
      </c>
      <c r="E717" s="218">
        <v>900.0</v>
      </c>
      <c r="F717" s="3" t="s">
        <v>5743</v>
      </c>
      <c r="G717" s="220">
        <v>43119.0</v>
      </c>
    </row>
    <row r="718">
      <c r="A718" s="217">
        <v>43119.71773371528</v>
      </c>
      <c r="B718" s="218" t="s">
        <v>5092</v>
      </c>
      <c r="C718" s="218" t="s">
        <v>5766</v>
      </c>
      <c r="D718" s="219">
        <v>1.0</v>
      </c>
      <c r="E718" s="218">
        <v>1000.0</v>
      </c>
      <c r="F718" s="3" t="s">
        <v>5743</v>
      </c>
      <c r="G718" s="220">
        <v>43119.0</v>
      </c>
    </row>
    <row r="719">
      <c r="A719" s="217">
        <v>43119.71865871528</v>
      </c>
      <c r="B719" s="218" t="s">
        <v>5092</v>
      </c>
      <c r="C719" s="218" t="s">
        <v>5767</v>
      </c>
      <c r="D719" s="219">
        <v>1.0</v>
      </c>
      <c r="E719" s="218">
        <v>1400.0</v>
      </c>
      <c r="F719" s="3" t="s">
        <v>5743</v>
      </c>
      <c r="G719" s="220">
        <v>43119.0</v>
      </c>
    </row>
    <row r="720">
      <c r="A720" s="217">
        <v>43142.62138505787</v>
      </c>
      <c r="B720" s="218" t="s">
        <v>5092</v>
      </c>
      <c r="C720" s="218" t="s">
        <v>4832</v>
      </c>
      <c r="D720" s="219">
        <v>1.0</v>
      </c>
      <c r="E720" s="218">
        <v>1495.0</v>
      </c>
      <c r="F720" s="3" t="s">
        <v>5298</v>
      </c>
      <c r="G720" s="220">
        <v>43142.0</v>
      </c>
    </row>
    <row r="721">
      <c r="A721" s="224">
        <v>43184.763839293984</v>
      </c>
      <c r="B721" s="118" t="s">
        <v>5184</v>
      </c>
      <c r="C721" s="118" t="s">
        <v>4627</v>
      </c>
      <c r="D721" s="225">
        <v>1.0</v>
      </c>
      <c r="E721" s="118">
        <v>1650.0</v>
      </c>
      <c r="F721" s="16"/>
      <c r="G721" s="226">
        <v>43184.0</v>
      </c>
    </row>
    <row r="722">
      <c r="A722" s="224">
        <v>43184.76609193287</v>
      </c>
      <c r="B722" s="118" t="s">
        <v>5184</v>
      </c>
      <c r="C722" s="118" t="s">
        <v>5631</v>
      </c>
      <c r="D722" s="225">
        <v>1.0</v>
      </c>
      <c r="E722" s="118">
        <v>2375.0</v>
      </c>
      <c r="F722" s="16"/>
      <c r="G722" s="226">
        <v>43184.0</v>
      </c>
    </row>
    <row r="723">
      <c r="A723" s="224">
        <v>43184.77053006944</v>
      </c>
      <c r="B723" s="118" t="s">
        <v>5184</v>
      </c>
      <c r="C723" s="118" t="s">
        <v>5683</v>
      </c>
      <c r="D723" s="225">
        <v>1.0</v>
      </c>
      <c r="E723" s="118">
        <v>2250.0</v>
      </c>
      <c r="F723" s="16"/>
      <c r="G723" s="226">
        <v>43184.0</v>
      </c>
    </row>
    <row r="724">
      <c r="A724" s="224">
        <v>43184.77204444444</v>
      </c>
      <c r="B724" s="118" t="s">
        <v>5184</v>
      </c>
      <c r="C724" s="118" t="s">
        <v>5211</v>
      </c>
      <c r="D724" s="225">
        <v>1.0</v>
      </c>
      <c r="E724" s="118">
        <v>18000.0</v>
      </c>
      <c r="F724" s="16"/>
      <c r="G724" s="226">
        <v>43185.0</v>
      </c>
    </row>
    <row r="725">
      <c r="A725" s="224">
        <v>43196.56367074074</v>
      </c>
      <c r="B725" s="118" t="s">
        <v>5184</v>
      </c>
      <c r="C725" s="118" t="s">
        <v>5131</v>
      </c>
      <c r="D725" s="225">
        <v>1.0</v>
      </c>
      <c r="E725" s="118">
        <v>5990.0</v>
      </c>
      <c r="F725" s="15" t="s">
        <v>5776</v>
      </c>
      <c r="G725" s="226">
        <v>43196.0</v>
      </c>
    </row>
    <row r="726">
      <c r="A726" s="224">
        <v>43196.59872017361</v>
      </c>
      <c r="B726" s="118" t="s">
        <v>5184</v>
      </c>
      <c r="C726" s="118" t="s">
        <v>1947</v>
      </c>
      <c r="D726" s="225">
        <v>1.0</v>
      </c>
      <c r="E726" s="118">
        <v>4790.0</v>
      </c>
      <c r="F726" s="15" t="s">
        <v>5781</v>
      </c>
      <c r="G726" s="226">
        <v>43196.0</v>
      </c>
    </row>
    <row r="727">
      <c r="A727" s="224">
        <v>43196.60250635417</v>
      </c>
      <c r="B727" s="118" t="s">
        <v>5184</v>
      </c>
      <c r="C727" s="118" t="s">
        <v>5782</v>
      </c>
      <c r="D727" s="225">
        <v>1.0</v>
      </c>
      <c r="E727" s="118">
        <v>500.0</v>
      </c>
      <c r="F727" s="15" t="s">
        <v>5783</v>
      </c>
      <c r="G727" s="226">
        <v>43195.0</v>
      </c>
    </row>
    <row r="728">
      <c r="A728" s="224">
        <v>43196.60359925926</v>
      </c>
      <c r="B728" s="118" t="s">
        <v>5184</v>
      </c>
      <c r="C728" s="118" t="s">
        <v>5786</v>
      </c>
      <c r="D728" s="225">
        <v>1.0</v>
      </c>
      <c r="E728" s="118">
        <v>300.0</v>
      </c>
      <c r="F728" s="15" t="s">
        <v>5787</v>
      </c>
      <c r="G728" s="226">
        <v>43195.0</v>
      </c>
    </row>
    <row r="729">
      <c r="A729" s="224">
        <v>43196.604763310184</v>
      </c>
      <c r="B729" s="118" t="s">
        <v>5184</v>
      </c>
      <c r="C729" s="118" t="s">
        <v>5789</v>
      </c>
      <c r="D729" s="225">
        <v>1.0</v>
      </c>
      <c r="E729" s="118">
        <v>400.0</v>
      </c>
      <c r="F729" s="15" t="s">
        <v>5787</v>
      </c>
      <c r="G729" s="226">
        <v>43195.0</v>
      </c>
    </row>
    <row r="730">
      <c r="A730" s="224">
        <v>43196.61112166666</v>
      </c>
      <c r="B730" s="118" t="s">
        <v>5184</v>
      </c>
      <c r="C730" s="118" t="s">
        <v>5366</v>
      </c>
      <c r="D730" s="225">
        <v>1.0</v>
      </c>
      <c r="E730" s="118">
        <v>6120.0</v>
      </c>
      <c r="F730" s="15" t="s">
        <v>5304</v>
      </c>
      <c r="G730" s="226">
        <v>43194.0</v>
      </c>
    </row>
    <row r="731">
      <c r="A731" s="224">
        <v>43196.614878125</v>
      </c>
      <c r="B731" s="118" t="s">
        <v>5184</v>
      </c>
      <c r="C731" s="118" t="s">
        <v>5128</v>
      </c>
      <c r="D731" s="225">
        <v>1.0</v>
      </c>
      <c r="E731" s="118">
        <v>7490.0</v>
      </c>
      <c r="F731" s="15" t="s">
        <v>5119</v>
      </c>
      <c r="G731" s="226">
        <v>43194.0</v>
      </c>
    </row>
    <row r="732">
      <c r="A732" s="224">
        <v>43197.41581719907</v>
      </c>
      <c r="B732" s="118" t="s">
        <v>5184</v>
      </c>
      <c r="C732" s="118" t="s">
        <v>5297</v>
      </c>
      <c r="D732" s="225">
        <v>1.0</v>
      </c>
      <c r="E732" s="118">
        <v>895.0</v>
      </c>
      <c r="F732" s="15" t="s">
        <v>5298</v>
      </c>
      <c r="G732" s="226">
        <v>43197.0</v>
      </c>
    </row>
    <row r="733">
      <c r="A733" s="224">
        <v>43197.41744619213</v>
      </c>
      <c r="B733" s="118" t="s">
        <v>5184</v>
      </c>
      <c r="C733" s="118" t="s">
        <v>4526</v>
      </c>
      <c r="D733" s="225">
        <v>1.0</v>
      </c>
      <c r="E733" s="118">
        <v>1695.0</v>
      </c>
      <c r="F733" s="15" t="s">
        <v>5298</v>
      </c>
      <c r="G733" s="226">
        <v>43197.0</v>
      </c>
    </row>
    <row r="734">
      <c r="A734" s="224">
        <v>43199.473694201384</v>
      </c>
      <c r="B734" s="118" t="s">
        <v>5184</v>
      </c>
      <c r="C734" s="118" t="s">
        <v>4500</v>
      </c>
      <c r="D734" s="225">
        <v>1.0</v>
      </c>
      <c r="E734" s="118">
        <v>1850.0</v>
      </c>
      <c r="F734" s="15" t="s">
        <v>5293</v>
      </c>
      <c r="G734" s="226">
        <v>43198.0</v>
      </c>
    </row>
    <row r="735">
      <c r="A735" s="224">
        <v>43199.47603560185</v>
      </c>
      <c r="B735" s="118" t="s">
        <v>5184</v>
      </c>
      <c r="C735" s="118" t="s">
        <v>4605</v>
      </c>
      <c r="D735" s="225">
        <v>1.0</v>
      </c>
      <c r="E735" s="118">
        <v>995.0</v>
      </c>
      <c r="F735" s="15" t="s">
        <v>5295</v>
      </c>
      <c r="G735" s="226">
        <v>43198.0</v>
      </c>
    </row>
    <row r="736">
      <c r="A736" s="224">
        <v>43199.48467284722</v>
      </c>
      <c r="B736" s="118" t="s">
        <v>5184</v>
      </c>
      <c r="C736" s="118" t="s">
        <v>4596</v>
      </c>
      <c r="D736" s="225">
        <v>1.0</v>
      </c>
      <c r="E736" s="118">
        <v>1195.0</v>
      </c>
      <c r="F736" s="15" t="s">
        <v>5298</v>
      </c>
      <c r="G736" s="226">
        <v>43198.0</v>
      </c>
    </row>
    <row r="737">
      <c r="A737" s="224">
        <v>43199.49700832176</v>
      </c>
      <c r="B737" s="118" t="s">
        <v>5184</v>
      </c>
      <c r="C737" s="118" t="s">
        <v>4538</v>
      </c>
      <c r="D737" s="225">
        <v>1.0</v>
      </c>
      <c r="E737" s="118">
        <v>2150.0</v>
      </c>
      <c r="F737" s="15" t="s">
        <v>5295</v>
      </c>
      <c r="G737" s="226">
        <v>43198.0</v>
      </c>
    </row>
    <row r="738">
      <c r="A738" s="224">
        <v>43199.498678020835</v>
      </c>
      <c r="B738" s="118" t="s">
        <v>5184</v>
      </c>
      <c r="C738" s="118" t="s">
        <v>5797</v>
      </c>
      <c r="D738" s="225">
        <v>1.0</v>
      </c>
      <c r="E738" s="118">
        <v>1695.0</v>
      </c>
      <c r="F738" s="15" t="s">
        <v>5298</v>
      </c>
      <c r="G738" s="226">
        <v>43198.0</v>
      </c>
    </row>
    <row r="739">
      <c r="A739" s="224">
        <v>43199.49989476852</v>
      </c>
      <c r="B739" s="118" t="s">
        <v>5184</v>
      </c>
      <c r="C739" s="118" t="s">
        <v>2151</v>
      </c>
      <c r="D739" s="225">
        <v>1.0</v>
      </c>
      <c r="E739" s="118">
        <v>4990.0</v>
      </c>
      <c r="F739" s="15" t="s">
        <v>5459</v>
      </c>
      <c r="G739" s="226">
        <v>43198.0</v>
      </c>
    </row>
    <row r="740">
      <c r="A740" s="224">
        <v>43199.51020464121</v>
      </c>
      <c r="B740" s="118" t="s">
        <v>5184</v>
      </c>
      <c r="C740" s="118" t="s">
        <v>5602</v>
      </c>
      <c r="D740" s="225">
        <v>1.0</v>
      </c>
      <c r="E740" s="118">
        <v>1800.0</v>
      </c>
      <c r="F740" s="15" t="s">
        <v>5545</v>
      </c>
      <c r="G740" s="226">
        <v>43197.0</v>
      </c>
    </row>
    <row r="741">
      <c r="A741" s="224">
        <v>43199.51122086805</v>
      </c>
      <c r="B741" s="118" t="s">
        <v>5184</v>
      </c>
      <c r="C741" s="118" t="s">
        <v>5786</v>
      </c>
      <c r="D741" s="225">
        <v>1.0</v>
      </c>
      <c r="E741" s="118">
        <v>300.0</v>
      </c>
      <c r="F741" s="15" t="s">
        <v>5787</v>
      </c>
      <c r="G741" s="226">
        <v>43197.0</v>
      </c>
    </row>
    <row r="742">
      <c r="A742" s="224">
        <v>43199.512127650465</v>
      </c>
      <c r="B742" s="118" t="s">
        <v>5184</v>
      </c>
      <c r="C742" s="118" t="s">
        <v>5786</v>
      </c>
      <c r="D742" s="225">
        <v>1.0</v>
      </c>
      <c r="E742" s="118">
        <v>300.0</v>
      </c>
      <c r="F742" s="15" t="s">
        <v>5787</v>
      </c>
      <c r="G742" s="226">
        <v>43197.0</v>
      </c>
    </row>
    <row r="743">
      <c r="A743" s="224">
        <v>43199.512719872684</v>
      </c>
      <c r="B743" s="118" t="s">
        <v>5184</v>
      </c>
      <c r="C743" s="118" t="s">
        <v>5804</v>
      </c>
      <c r="D743" s="225">
        <v>1.0</v>
      </c>
      <c r="E743" s="118">
        <v>300.0</v>
      </c>
      <c r="F743" s="15" t="s">
        <v>5787</v>
      </c>
      <c r="G743" s="226">
        <v>43197.0</v>
      </c>
    </row>
    <row r="744">
      <c r="A744" s="224">
        <v>43199.51772320602</v>
      </c>
      <c r="B744" s="118" t="s">
        <v>5184</v>
      </c>
      <c r="C744" s="118" t="s">
        <v>5806</v>
      </c>
      <c r="D744" s="225">
        <v>1.0</v>
      </c>
      <c r="E744" s="118">
        <v>300.0</v>
      </c>
      <c r="F744" s="15" t="s">
        <v>5787</v>
      </c>
      <c r="G744" s="226">
        <v>43197.0</v>
      </c>
    </row>
    <row r="745">
      <c r="A745" s="224">
        <v>43199.51871467593</v>
      </c>
      <c r="B745" s="118" t="s">
        <v>5184</v>
      </c>
      <c r="C745" s="118" t="s">
        <v>5786</v>
      </c>
      <c r="D745" s="225">
        <v>1.0</v>
      </c>
      <c r="E745" s="118">
        <v>300.0</v>
      </c>
      <c r="F745" s="15" t="s">
        <v>5787</v>
      </c>
      <c r="G745" s="226">
        <v>43197.0</v>
      </c>
    </row>
    <row r="746">
      <c r="A746" s="224">
        <v>43199.51947042824</v>
      </c>
      <c r="B746" s="118" t="s">
        <v>5184</v>
      </c>
      <c r="C746" s="118" t="s">
        <v>5782</v>
      </c>
      <c r="D746" s="225">
        <v>1.0</v>
      </c>
      <c r="E746" s="118">
        <v>400.0</v>
      </c>
      <c r="F746" s="15" t="s">
        <v>5787</v>
      </c>
      <c r="G746" s="226">
        <v>43198.0</v>
      </c>
    </row>
    <row r="747">
      <c r="A747" s="224">
        <v>43199.5203625</v>
      </c>
      <c r="B747" s="118" t="s">
        <v>5184</v>
      </c>
      <c r="C747" s="118" t="s">
        <v>5806</v>
      </c>
      <c r="D747" s="225">
        <v>1.0</v>
      </c>
      <c r="E747" s="118">
        <v>300.0</v>
      </c>
      <c r="F747" s="15" t="s">
        <v>5787</v>
      </c>
      <c r="G747" s="226">
        <v>43199.0</v>
      </c>
    </row>
    <row r="748">
      <c r="A748" s="224">
        <v>43199.52103829861</v>
      </c>
      <c r="B748" s="118" t="s">
        <v>5184</v>
      </c>
      <c r="C748" s="118" t="s">
        <v>5789</v>
      </c>
      <c r="D748" s="225">
        <v>1.0</v>
      </c>
      <c r="E748" s="118">
        <v>400.0</v>
      </c>
      <c r="F748" s="15" t="s">
        <v>5787</v>
      </c>
      <c r="G748" s="226">
        <v>43199.0</v>
      </c>
    </row>
    <row r="749">
      <c r="A749" s="224">
        <v>43199.54165324074</v>
      </c>
      <c r="B749" s="118" t="s">
        <v>5184</v>
      </c>
      <c r="C749" s="118" t="s">
        <v>5789</v>
      </c>
      <c r="D749" s="225">
        <v>1.0</v>
      </c>
      <c r="E749" s="118">
        <v>400.0</v>
      </c>
      <c r="F749" s="15" t="s">
        <v>5787</v>
      </c>
      <c r="G749" s="226">
        <v>43199.0</v>
      </c>
    </row>
    <row r="750">
      <c r="A750" s="224">
        <v>43200.439165937496</v>
      </c>
      <c r="B750" s="118" t="s">
        <v>5184</v>
      </c>
      <c r="C750" s="118" t="s">
        <v>4500</v>
      </c>
      <c r="D750" s="225">
        <v>1.0</v>
      </c>
      <c r="E750" s="118">
        <v>1850.0</v>
      </c>
      <c r="F750" s="15" t="s">
        <v>5293</v>
      </c>
      <c r="G750" s="226">
        <v>43199.0</v>
      </c>
    </row>
    <row r="751">
      <c r="A751" s="224">
        <v>43200.440404768524</v>
      </c>
      <c r="B751" s="118" t="s">
        <v>5184</v>
      </c>
      <c r="C751" s="118" t="s">
        <v>4549</v>
      </c>
      <c r="D751" s="225">
        <v>1.0</v>
      </c>
      <c r="E751" s="118">
        <v>1395.0</v>
      </c>
      <c r="F751" s="15" t="s">
        <v>5298</v>
      </c>
      <c r="G751" s="226">
        <v>43199.0</v>
      </c>
    </row>
    <row r="752">
      <c r="A752" s="224">
        <v>43200.442456273144</v>
      </c>
      <c r="B752" s="118" t="s">
        <v>5184</v>
      </c>
      <c r="C752" s="118" t="s">
        <v>5804</v>
      </c>
      <c r="D752" s="225">
        <v>1.0</v>
      </c>
      <c r="E752" s="118">
        <v>300.0</v>
      </c>
      <c r="F752" s="15" t="s">
        <v>5787</v>
      </c>
      <c r="G752" s="226">
        <v>43199.0</v>
      </c>
    </row>
    <row r="753">
      <c r="A753" s="224">
        <v>43200.45322466435</v>
      </c>
      <c r="B753" s="118" t="s">
        <v>5184</v>
      </c>
      <c r="C753" s="118" t="s">
        <v>5814</v>
      </c>
      <c r="D753" s="225">
        <v>1.0</v>
      </c>
      <c r="E753" s="118">
        <v>1980.0</v>
      </c>
      <c r="F753" s="15" t="s">
        <v>5656</v>
      </c>
      <c r="G753" s="226">
        <v>43199.0</v>
      </c>
    </row>
    <row r="754">
      <c r="A754" s="224">
        <v>43200.46278981482</v>
      </c>
      <c r="B754" s="118" t="s">
        <v>5184</v>
      </c>
      <c r="C754" s="118" t="s">
        <v>5789</v>
      </c>
      <c r="D754" s="225">
        <v>1.0</v>
      </c>
      <c r="E754" s="118">
        <v>400.0</v>
      </c>
      <c r="F754" s="15" t="s">
        <v>5787</v>
      </c>
      <c r="G754" s="226">
        <v>43200.0</v>
      </c>
    </row>
    <row r="755">
      <c r="A755" s="224">
        <v>43201.40796065972</v>
      </c>
      <c r="B755" s="118" t="s">
        <v>5184</v>
      </c>
      <c r="C755" s="118" t="s">
        <v>5804</v>
      </c>
      <c r="D755" s="225">
        <v>1.0</v>
      </c>
      <c r="E755" s="118">
        <v>300.0</v>
      </c>
      <c r="F755" s="15" t="s">
        <v>5787</v>
      </c>
      <c r="G755" s="226">
        <v>43201.0</v>
      </c>
    </row>
    <row r="756">
      <c r="A756" s="224">
        <v>43201.40908241898</v>
      </c>
      <c r="B756" s="118" t="s">
        <v>5184</v>
      </c>
      <c r="C756" s="118" t="s">
        <v>5818</v>
      </c>
      <c r="D756" s="225">
        <v>1.0</v>
      </c>
      <c r="E756" s="118">
        <v>300.0</v>
      </c>
      <c r="F756" s="15" t="s">
        <v>5787</v>
      </c>
      <c r="G756" s="226">
        <v>43200.0</v>
      </c>
    </row>
    <row r="757">
      <c r="A757" s="224">
        <v>43201.41021667824</v>
      </c>
      <c r="B757" s="118" t="s">
        <v>5184</v>
      </c>
      <c r="C757" s="118" t="s">
        <v>5818</v>
      </c>
      <c r="D757" s="225">
        <v>1.0</v>
      </c>
      <c r="E757" s="118">
        <v>300.0</v>
      </c>
      <c r="F757" s="15" t="s">
        <v>5787</v>
      </c>
      <c r="G757" s="226">
        <v>43200.0</v>
      </c>
    </row>
    <row r="758">
      <c r="A758" s="224">
        <v>43201.417546481476</v>
      </c>
      <c r="B758" s="118" t="s">
        <v>5184</v>
      </c>
      <c r="C758" s="118" t="s">
        <v>5821</v>
      </c>
      <c r="D758" s="225">
        <v>1.0</v>
      </c>
      <c r="E758" s="118">
        <v>1400.0</v>
      </c>
      <c r="F758" s="15" t="s">
        <v>5656</v>
      </c>
      <c r="G758" s="226">
        <v>43201.0</v>
      </c>
    </row>
    <row r="759">
      <c r="A759" s="224">
        <v>43201.42014743056</v>
      </c>
      <c r="B759" s="118" t="s">
        <v>5184</v>
      </c>
      <c r="C759" s="118" t="s">
        <v>5818</v>
      </c>
      <c r="D759" s="225">
        <v>1.0</v>
      </c>
      <c r="E759" s="118">
        <v>300.0</v>
      </c>
      <c r="F759" s="15" t="s">
        <v>5787</v>
      </c>
      <c r="G759" s="226">
        <v>43201.0</v>
      </c>
    </row>
    <row r="760">
      <c r="A760" s="224">
        <v>43201.431611921296</v>
      </c>
      <c r="B760" s="118" t="s">
        <v>5184</v>
      </c>
      <c r="C760" s="118" t="s">
        <v>5156</v>
      </c>
      <c r="D760" s="225">
        <v>1.0</v>
      </c>
      <c r="E760" s="118">
        <v>7790.0</v>
      </c>
      <c r="F760" s="15" t="s">
        <v>5135</v>
      </c>
      <c r="G760" s="226">
        <v>43201.0</v>
      </c>
    </row>
    <row r="761">
      <c r="A761" s="224">
        <v>43201.43291849537</v>
      </c>
      <c r="B761" s="118" t="s">
        <v>5184</v>
      </c>
      <c r="C761" s="118" t="s">
        <v>5112</v>
      </c>
      <c r="D761" s="225">
        <v>1.0</v>
      </c>
      <c r="E761" s="118">
        <v>6990.0</v>
      </c>
      <c r="F761" s="15" t="s">
        <v>5105</v>
      </c>
      <c r="G761" s="226">
        <v>43201.0</v>
      </c>
    </row>
    <row r="762">
      <c r="A762" s="224">
        <v>43201.435604976854</v>
      </c>
      <c r="B762" s="118" t="s">
        <v>5184</v>
      </c>
      <c r="C762" s="118" t="s">
        <v>5680</v>
      </c>
      <c r="D762" s="225">
        <v>1.0</v>
      </c>
      <c r="E762" s="118">
        <v>2250.0</v>
      </c>
      <c r="F762" s="15" t="s">
        <v>5656</v>
      </c>
      <c r="G762" s="226">
        <v>43201.0</v>
      </c>
    </row>
    <row r="763">
      <c r="A763" s="224">
        <v>43201.44448128472</v>
      </c>
      <c r="B763" s="118" t="s">
        <v>5092</v>
      </c>
      <c r="C763" s="118" t="s">
        <v>4558</v>
      </c>
      <c r="D763" s="227">
        <v>1.0</v>
      </c>
      <c r="E763" s="118">
        <v>1795.0</v>
      </c>
      <c r="F763" s="16"/>
      <c r="G763" s="226">
        <v>43200.0</v>
      </c>
    </row>
    <row r="764">
      <c r="A764" s="224">
        <v>43201.45001320602</v>
      </c>
      <c r="B764" s="118" t="s">
        <v>5184</v>
      </c>
      <c r="C764" s="118" t="s">
        <v>1928</v>
      </c>
      <c r="D764" s="225">
        <v>1.0</v>
      </c>
      <c r="E764" s="118">
        <v>5490.0</v>
      </c>
      <c r="F764" s="15" t="s">
        <v>5404</v>
      </c>
      <c r="G764" s="226">
        <v>43201.0</v>
      </c>
    </row>
    <row r="765">
      <c r="A765" s="224">
        <v>43201.44652280092</v>
      </c>
      <c r="B765" s="118" t="s">
        <v>5184</v>
      </c>
      <c r="C765" s="118" t="s">
        <v>4558</v>
      </c>
      <c r="D765" s="225">
        <v>1.0</v>
      </c>
      <c r="E765" s="118">
        <v>1795.0</v>
      </c>
      <c r="F765" s="15" t="s">
        <v>5298</v>
      </c>
      <c r="G765" s="226">
        <v>43201.0</v>
      </c>
    </row>
    <row r="766">
      <c r="A766" s="224">
        <v>43202.53494024306</v>
      </c>
      <c r="B766" s="118" t="s">
        <v>5092</v>
      </c>
      <c r="C766" s="118" t="s">
        <v>1615</v>
      </c>
      <c r="D766" s="227">
        <v>1.0</v>
      </c>
      <c r="E766" s="118">
        <v>2100.0</v>
      </c>
      <c r="F766" s="15" t="s">
        <v>5833</v>
      </c>
      <c r="G766" s="226">
        <v>43202.0</v>
      </c>
    </row>
    <row r="767">
      <c r="A767" s="224">
        <v>43202.54877907407</v>
      </c>
      <c r="B767" s="118" t="s">
        <v>5092</v>
      </c>
      <c r="C767" s="118" t="s">
        <v>5834</v>
      </c>
      <c r="D767" s="227">
        <v>1.0</v>
      </c>
      <c r="E767" s="118">
        <v>2100.0</v>
      </c>
      <c r="F767" s="15" t="s">
        <v>5833</v>
      </c>
      <c r="G767" s="226">
        <v>43202.0</v>
      </c>
    </row>
    <row r="768">
      <c r="A768" s="224">
        <v>43202.56036969907</v>
      </c>
      <c r="B768" s="118" t="s">
        <v>5092</v>
      </c>
      <c r="C768" s="118" t="s">
        <v>5835</v>
      </c>
      <c r="D768" s="227">
        <v>1.0</v>
      </c>
      <c r="E768" s="118">
        <v>2100.0</v>
      </c>
      <c r="F768" s="15" t="s">
        <v>5833</v>
      </c>
      <c r="G768" s="226">
        <v>43202.0</v>
      </c>
    </row>
    <row r="769">
      <c r="A769" s="224">
        <v>43202.57037502315</v>
      </c>
      <c r="B769" s="118" t="s">
        <v>5092</v>
      </c>
      <c r="C769" s="118" t="s">
        <v>5836</v>
      </c>
      <c r="D769" s="227">
        <v>8.0</v>
      </c>
      <c r="E769" s="118">
        <v>2100.0</v>
      </c>
      <c r="F769" s="15" t="s">
        <v>5837</v>
      </c>
      <c r="G769" s="226">
        <v>43202.0</v>
      </c>
    </row>
    <row r="770">
      <c r="A770" s="224">
        <v>43202.572148356485</v>
      </c>
      <c r="B770" s="118" t="s">
        <v>5092</v>
      </c>
      <c r="C770" s="118" t="s">
        <v>5838</v>
      </c>
      <c r="D770" s="227">
        <v>11.0</v>
      </c>
      <c r="E770" s="118">
        <v>2100.0</v>
      </c>
      <c r="F770" s="15" t="s">
        <v>5833</v>
      </c>
      <c r="G770" s="226">
        <v>43202.0</v>
      </c>
    </row>
    <row r="771">
      <c r="A771" s="224">
        <v>43202.57445731481</v>
      </c>
      <c r="B771" s="118" t="s">
        <v>5092</v>
      </c>
      <c r="C771" s="118" t="s">
        <v>5838</v>
      </c>
      <c r="D771" s="227">
        <v>9.0</v>
      </c>
      <c r="E771" s="118">
        <v>2100.0</v>
      </c>
      <c r="F771" s="15" t="s">
        <v>5833</v>
      </c>
      <c r="G771" s="226">
        <v>43202.0</v>
      </c>
    </row>
    <row r="772">
      <c r="A772" s="224">
        <v>43202.57617327546</v>
      </c>
      <c r="B772" s="118" t="s">
        <v>5092</v>
      </c>
      <c r="C772" s="118" t="s">
        <v>5839</v>
      </c>
      <c r="D772" s="227">
        <v>5.0</v>
      </c>
      <c r="E772" s="118">
        <v>2100.0</v>
      </c>
      <c r="F772" s="15" t="s">
        <v>5833</v>
      </c>
      <c r="G772" s="226">
        <v>43202.0</v>
      </c>
    </row>
    <row r="773">
      <c r="A773" s="224">
        <v>43202.57973628472</v>
      </c>
      <c r="B773" s="118" t="s">
        <v>2322</v>
      </c>
      <c r="C773" s="118" t="s">
        <v>4558</v>
      </c>
      <c r="D773" s="227">
        <v>1.0</v>
      </c>
      <c r="E773" s="118">
        <v>1795.0</v>
      </c>
      <c r="F773" s="15" t="s">
        <v>5298</v>
      </c>
      <c r="G773" s="226">
        <v>43202.0</v>
      </c>
    </row>
    <row r="774">
      <c r="A774" s="224">
        <v>43203.64964268518</v>
      </c>
      <c r="B774" s="118" t="s">
        <v>5184</v>
      </c>
      <c r="C774" s="118" t="s">
        <v>5782</v>
      </c>
      <c r="D774" s="225">
        <v>1.0</v>
      </c>
      <c r="E774" s="118">
        <v>400.0</v>
      </c>
      <c r="F774" s="15" t="s">
        <v>5787</v>
      </c>
      <c r="G774" s="226">
        <v>43202.0</v>
      </c>
    </row>
    <row r="775">
      <c r="A775" s="224">
        <v>43203.65075185185</v>
      </c>
      <c r="B775" s="118" t="s">
        <v>5184</v>
      </c>
      <c r="C775" s="118" t="s">
        <v>5818</v>
      </c>
      <c r="D775" s="225">
        <v>1.0</v>
      </c>
      <c r="E775" s="118">
        <v>300.0</v>
      </c>
      <c r="F775" s="15" t="s">
        <v>5787</v>
      </c>
      <c r="G775" s="226">
        <v>43202.0</v>
      </c>
    </row>
    <row r="776">
      <c r="A776" s="224">
        <v>43203.65807200232</v>
      </c>
      <c r="B776" s="118" t="s">
        <v>5184</v>
      </c>
      <c r="C776" s="118" t="s">
        <v>5845</v>
      </c>
      <c r="D776" s="225">
        <v>1.0</v>
      </c>
      <c r="E776" s="118">
        <v>500.0</v>
      </c>
      <c r="F776" s="15" t="s">
        <v>5787</v>
      </c>
      <c r="G776" s="226">
        <v>43201.0</v>
      </c>
    </row>
    <row r="777">
      <c r="A777" s="224">
        <v>43203.65906157407</v>
      </c>
      <c r="B777" s="118" t="s">
        <v>5184</v>
      </c>
      <c r="C777" s="118" t="s">
        <v>5845</v>
      </c>
      <c r="D777" s="225">
        <v>1.0</v>
      </c>
      <c r="E777" s="118">
        <v>500.0</v>
      </c>
      <c r="F777" s="15" t="s">
        <v>5787</v>
      </c>
      <c r="G777" s="226">
        <v>43202.0</v>
      </c>
    </row>
    <row r="778">
      <c r="A778" s="224">
        <v>43203.66031265046</v>
      </c>
      <c r="B778" s="118" t="s">
        <v>5184</v>
      </c>
      <c r="C778" s="118" t="s">
        <v>5848</v>
      </c>
      <c r="D778" s="225">
        <v>1.0</v>
      </c>
      <c r="E778" s="118">
        <v>1000.0</v>
      </c>
      <c r="F778" s="15" t="s">
        <v>5787</v>
      </c>
      <c r="G778" s="226">
        <v>43202.0</v>
      </c>
    </row>
    <row r="779">
      <c r="A779" s="224">
        <v>43203.660936527776</v>
      </c>
      <c r="B779" s="118" t="s">
        <v>5184</v>
      </c>
      <c r="C779" s="118" t="s">
        <v>5786</v>
      </c>
      <c r="D779" s="225">
        <v>1.0</v>
      </c>
      <c r="E779" s="118">
        <v>300.0</v>
      </c>
      <c r="F779" s="15" t="s">
        <v>5787</v>
      </c>
      <c r="G779" s="226">
        <v>43202.0</v>
      </c>
    </row>
    <row r="780">
      <c r="A780" s="224">
        <v>43203.66758075231</v>
      </c>
      <c r="B780" s="118" t="s">
        <v>5184</v>
      </c>
      <c r="C780" s="118" t="s">
        <v>5851</v>
      </c>
      <c r="D780" s="225">
        <v>1.0</v>
      </c>
      <c r="E780" s="118">
        <v>1800.0</v>
      </c>
      <c r="F780" s="15" t="s">
        <v>5625</v>
      </c>
      <c r="G780" s="226">
        <v>43202.0</v>
      </c>
    </row>
    <row r="781">
      <c r="A781" s="224">
        <v>43203.669391041665</v>
      </c>
      <c r="B781" s="118" t="s">
        <v>5184</v>
      </c>
      <c r="C781" s="118" t="s">
        <v>5789</v>
      </c>
      <c r="D781" s="225">
        <v>1.0</v>
      </c>
      <c r="E781" s="118">
        <v>450.0</v>
      </c>
      <c r="F781" s="15" t="s">
        <v>5787</v>
      </c>
      <c r="G781" s="226">
        <v>43203.0</v>
      </c>
    </row>
    <row r="782">
      <c r="A782" s="224">
        <v>43203.67006229167</v>
      </c>
      <c r="B782" s="118" t="s">
        <v>5184</v>
      </c>
      <c r="C782" s="118" t="s">
        <v>5804</v>
      </c>
      <c r="D782" s="225">
        <v>1.0</v>
      </c>
      <c r="E782" s="118">
        <v>300.0</v>
      </c>
      <c r="F782" s="15" t="s">
        <v>5787</v>
      </c>
      <c r="G782" s="226">
        <v>43203.0</v>
      </c>
    </row>
    <row r="783">
      <c r="A783" s="224">
        <v>43203.67834809028</v>
      </c>
      <c r="B783" s="118" t="s">
        <v>5184</v>
      </c>
      <c r="C783" s="118" t="s">
        <v>5789</v>
      </c>
      <c r="D783" s="225">
        <v>1.0</v>
      </c>
      <c r="E783" s="118">
        <v>400.0</v>
      </c>
      <c r="F783" s="15" t="s">
        <v>5787</v>
      </c>
      <c r="G783" s="226">
        <v>43203.0</v>
      </c>
    </row>
    <row r="784">
      <c r="A784" s="224">
        <v>43203.68023611111</v>
      </c>
      <c r="B784" s="118" t="s">
        <v>5184</v>
      </c>
      <c r="C784" s="118" t="s">
        <v>5589</v>
      </c>
      <c r="D784" s="225">
        <v>1.0</v>
      </c>
      <c r="E784" s="118">
        <v>1800.0</v>
      </c>
      <c r="F784" s="15" t="s">
        <v>5711</v>
      </c>
      <c r="G784" s="226">
        <v>43203.0</v>
      </c>
    </row>
    <row r="785">
      <c r="A785" s="224">
        <v>43203.683400775466</v>
      </c>
      <c r="B785" s="118" t="s">
        <v>5184</v>
      </c>
      <c r="C785" s="118" t="s">
        <v>5684</v>
      </c>
      <c r="D785" s="225">
        <v>1.0</v>
      </c>
      <c r="E785" s="118">
        <v>3350.0</v>
      </c>
      <c r="F785" s="15" t="s">
        <v>5632</v>
      </c>
      <c r="G785" s="226">
        <v>43203.0</v>
      </c>
    </row>
    <row r="786">
      <c r="A786" s="224">
        <v>43203.68574759259</v>
      </c>
      <c r="B786" s="118" t="s">
        <v>5184</v>
      </c>
      <c r="C786" s="118" t="s">
        <v>4540</v>
      </c>
      <c r="D786" s="225">
        <v>1.0</v>
      </c>
      <c r="E786" s="118">
        <v>2495.0</v>
      </c>
      <c r="F786" s="15" t="s">
        <v>5295</v>
      </c>
      <c r="G786" s="226">
        <v>43203.0</v>
      </c>
    </row>
    <row r="787">
      <c r="A787" s="224">
        <v>43205.428055069446</v>
      </c>
      <c r="B787" s="118" t="s">
        <v>5184</v>
      </c>
      <c r="C787" s="118" t="s">
        <v>5789</v>
      </c>
      <c r="D787" s="225">
        <v>1.0</v>
      </c>
      <c r="E787" s="118">
        <v>400.0</v>
      </c>
      <c r="F787" s="15" t="s">
        <v>5787</v>
      </c>
      <c r="G787" s="226">
        <v>43204.0</v>
      </c>
    </row>
    <row r="788">
      <c r="A788" s="224">
        <v>43205.429125925926</v>
      </c>
      <c r="B788" s="118" t="s">
        <v>5184</v>
      </c>
      <c r="C788" s="118" t="s">
        <v>5789</v>
      </c>
      <c r="D788" s="225">
        <v>1.0</v>
      </c>
      <c r="E788" s="118">
        <v>400.0</v>
      </c>
      <c r="F788" s="15" t="s">
        <v>5787</v>
      </c>
      <c r="G788" s="226">
        <v>43204.0</v>
      </c>
    </row>
    <row r="789">
      <c r="A789" s="224">
        <v>43205.43090706019</v>
      </c>
      <c r="B789" s="118" t="s">
        <v>5184</v>
      </c>
      <c r="C789" s="118" t="s">
        <v>5782</v>
      </c>
      <c r="D789" s="225">
        <v>1.0</v>
      </c>
      <c r="E789" s="118">
        <v>300.0</v>
      </c>
      <c r="F789" s="15" t="s">
        <v>5787</v>
      </c>
      <c r="G789" s="226">
        <v>43204.0</v>
      </c>
    </row>
    <row r="790">
      <c r="A790" s="224">
        <v>43205.433041296295</v>
      </c>
      <c r="B790" s="118" t="s">
        <v>5184</v>
      </c>
      <c r="C790" s="118" t="s">
        <v>5806</v>
      </c>
      <c r="D790" s="225">
        <v>1.0</v>
      </c>
      <c r="E790" s="118">
        <v>300.0</v>
      </c>
      <c r="F790" s="15" t="s">
        <v>5787</v>
      </c>
      <c r="G790" s="226">
        <v>43204.0</v>
      </c>
    </row>
    <row r="791">
      <c r="A791" s="224">
        <v>43205.44086126157</v>
      </c>
      <c r="B791" s="118" t="s">
        <v>5092</v>
      </c>
      <c r="C791" s="118" t="s">
        <v>5863</v>
      </c>
      <c r="D791" s="227">
        <v>1.0</v>
      </c>
      <c r="E791" s="118">
        <v>1950.0</v>
      </c>
      <c r="F791" s="15" t="s">
        <v>5833</v>
      </c>
      <c r="G791" s="226">
        <v>43205.0</v>
      </c>
    </row>
    <row r="792">
      <c r="A792" s="217">
        <v>43205.44288509259</v>
      </c>
      <c r="B792" s="218" t="s">
        <v>5092</v>
      </c>
      <c r="C792" s="218" t="s">
        <v>5865</v>
      </c>
      <c r="D792" s="219" t="s">
        <v>5866</v>
      </c>
      <c r="E792" s="218">
        <v>1950.0</v>
      </c>
      <c r="F792" s="3" t="s">
        <v>5833</v>
      </c>
      <c r="G792" s="220">
        <v>43205.0</v>
      </c>
    </row>
    <row r="793">
      <c r="A793" s="217">
        <v>43205.44455876158</v>
      </c>
      <c r="B793" s="218" t="s">
        <v>5092</v>
      </c>
      <c r="C793" s="218" t="s">
        <v>5867</v>
      </c>
      <c r="D793" s="219">
        <v>1.0</v>
      </c>
      <c r="E793" s="218">
        <v>2370.0</v>
      </c>
      <c r="F793" s="3" t="s">
        <v>5833</v>
      </c>
      <c r="G793" s="220">
        <v>43205.0</v>
      </c>
    </row>
    <row r="794">
      <c r="A794" s="217">
        <v>43205.44588368056</v>
      </c>
      <c r="B794" s="218" t="s">
        <v>5092</v>
      </c>
      <c r="C794" s="218" t="s">
        <v>5868</v>
      </c>
      <c r="D794" s="219">
        <v>1.0</v>
      </c>
      <c r="E794" s="218">
        <v>2590.0</v>
      </c>
      <c r="F794" s="3" t="s">
        <v>5833</v>
      </c>
      <c r="G794" s="220">
        <v>43205.0</v>
      </c>
    </row>
    <row r="795">
      <c r="A795" s="217">
        <v>43205.44763063657</v>
      </c>
      <c r="B795" s="218" t="s">
        <v>5092</v>
      </c>
      <c r="C795" s="218" t="s">
        <v>1411</v>
      </c>
      <c r="D795" s="219">
        <v>1.0</v>
      </c>
      <c r="E795" s="218">
        <v>2590.0</v>
      </c>
      <c r="F795" s="3" t="s">
        <v>5833</v>
      </c>
      <c r="G795" s="220">
        <v>43205.0</v>
      </c>
    </row>
    <row r="796">
      <c r="A796" s="217">
        <v>43205.452721828704</v>
      </c>
      <c r="B796" s="218" t="s">
        <v>5092</v>
      </c>
      <c r="C796" s="218" t="s">
        <v>5869</v>
      </c>
      <c r="D796" s="219">
        <v>1.0</v>
      </c>
      <c r="E796" s="218">
        <v>2150.0</v>
      </c>
      <c r="F796" s="3" t="s">
        <v>5833</v>
      </c>
      <c r="G796" s="220">
        <v>43205.0</v>
      </c>
    </row>
    <row r="797">
      <c r="A797" s="217">
        <v>43205.45057609954</v>
      </c>
      <c r="B797" s="218" t="s">
        <v>5092</v>
      </c>
      <c r="C797" s="218" t="s">
        <v>1378</v>
      </c>
      <c r="D797" s="219">
        <v>1.0</v>
      </c>
      <c r="E797" s="218">
        <v>1950.0</v>
      </c>
      <c r="F797" s="3" t="s">
        <v>5833</v>
      </c>
      <c r="G797" s="220">
        <v>43205.0</v>
      </c>
    </row>
    <row r="798">
      <c r="A798" s="217">
        <v>43205.454750624995</v>
      </c>
      <c r="B798" s="218" t="s">
        <v>5092</v>
      </c>
      <c r="C798" s="218" t="s">
        <v>5870</v>
      </c>
      <c r="D798" s="219">
        <v>1.0</v>
      </c>
      <c r="E798" s="218">
        <v>1950.0</v>
      </c>
      <c r="F798" s="3" t="s">
        <v>5833</v>
      </c>
      <c r="G798" s="220">
        <v>43205.0</v>
      </c>
    </row>
    <row r="799">
      <c r="A799" s="217">
        <v>43205.45619269676</v>
      </c>
      <c r="B799" s="218" t="s">
        <v>5092</v>
      </c>
      <c r="C799" s="218" t="s">
        <v>5871</v>
      </c>
      <c r="D799" s="219">
        <v>1.0</v>
      </c>
      <c r="E799" s="218">
        <v>1950.0</v>
      </c>
      <c r="F799" s="3" t="s">
        <v>5833</v>
      </c>
      <c r="G799" s="220">
        <v>43205.0</v>
      </c>
    </row>
    <row r="800">
      <c r="A800" s="217">
        <v>43205.461601469906</v>
      </c>
      <c r="B800" s="218" t="s">
        <v>5092</v>
      </c>
      <c r="C800" s="218" t="s">
        <v>5872</v>
      </c>
      <c r="D800" s="219">
        <v>1.0</v>
      </c>
      <c r="E800" s="218">
        <v>2370.0</v>
      </c>
      <c r="F800" s="3" t="s">
        <v>5833</v>
      </c>
      <c r="G800" s="220">
        <v>43205.0</v>
      </c>
    </row>
    <row r="801">
      <c r="A801" s="217">
        <v>43205.47834607639</v>
      </c>
      <c r="B801" s="218" t="s">
        <v>5092</v>
      </c>
      <c r="C801" s="218" t="s">
        <v>5873</v>
      </c>
      <c r="D801" s="219">
        <v>1.0</v>
      </c>
      <c r="E801" s="218">
        <v>2590.0</v>
      </c>
      <c r="F801" s="3" t="s">
        <v>5833</v>
      </c>
      <c r="G801" s="220">
        <v>43205.0</v>
      </c>
    </row>
    <row r="802">
      <c r="A802" s="217">
        <v>43205.47918203704</v>
      </c>
      <c r="B802" s="218" t="s">
        <v>5092</v>
      </c>
      <c r="C802" s="218" t="s">
        <v>5874</v>
      </c>
      <c r="D802" s="219">
        <v>1.0</v>
      </c>
      <c r="E802" s="218">
        <v>1950.0</v>
      </c>
      <c r="F802" s="3" t="s">
        <v>5833</v>
      </c>
      <c r="G802" s="220">
        <v>43205.0</v>
      </c>
    </row>
    <row r="803">
      <c r="A803" s="217">
        <v>43206.524546562505</v>
      </c>
      <c r="B803" s="218" t="s">
        <v>5184</v>
      </c>
      <c r="C803" s="218" t="s">
        <v>4660</v>
      </c>
      <c r="D803" s="221">
        <v>1.0</v>
      </c>
      <c r="E803" s="218">
        <v>850.0</v>
      </c>
      <c r="F803" s="3" t="s">
        <v>5295</v>
      </c>
      <c r="G803" s="220">
        <v>43205.0</v>
      </c>
    </row>
    <row r="804">
      <c r="A804" s="217">
        <v>43206.52750615741</v>
      </c>
      <c r="B804" s="218" t="s">
        <v>5184</v>
      </c>
      <c r="C804" s="218" t="s">
        <v>4594</v>
      </c>
      <c r="D804" s="221">
        <v>1.0</v>
      </c>
      <c r="E804" s="218">
        <v>995.0</v>
      </c>
      <c r="F804" s="3" t="s">
        <v>5298</v>
      </c>
      <c r="G804" s="220">
        <v>43205.0</v>
      </c>
    </row>
    <row r="805">
      <c r="A805" s="217">
        <v>43206.53247085648</v>
      </c>
      <c r="B805" s="218" t="s">
        <v>5184</v>
      </c>
      <c r="C805" s="218" t="s">
        <v>5879</v>
      </c>
      <c r="D805" s="221">
        <v>1.0</v>
      </c>
      <c r="E805" s="218">
        <v>9000.0</v>
      </c>
      <c r="F805" s="3" t="s">
        <v>5304</v>
      </c>
      <c r="G805" s="220">
        <v>43205.0</v>
      </c>
    </row>
    <row r="806">
      <c r="A806" s="217">
        <v>43206.53411797454</v>
      </c>
      <c r="B806" s="218" t="s">
        <v>5184</v>
      </c>
      <c r="C806" s="218" t="s">
        <v>5883</v>
      </c>
      <c r="D806" s="221">
        <v>1.0</v>
      </c>
      <c r="E806" s="218">
        <v>6990.0</v>
      </c>
      <c r="F806" s="3" t="s">
        <v>5119</v>
      </c>
      <c r="G806" s="220">
        <v>43205.0</v>
      </c>
    </row>
    <row r="807">
      <c r="A807" s="217">
        <v>43206.544527094906</v>
      </c>
      <c r="B807" s="218" t="s">
        <v>5184</v>
      </c>
      <c r="C807" s="218" t="s">
        <v>5107</v>
      </c>
      <c r="D807" s="221">
        <v>1.0</v>
      </c>
      <c r="E807" s="218">
        <v>9890.0</v>
      </c>
      <c r="F807" s="3" t="s">
        <v>5105</v>
      </c>
      <c r="G807" s="220">
        <v>43205.0</v>
      </c>
    </row>
    <row r="808">
      <c r="A808" s="217">
        <v>43206.55217081019</v>
      </c>
      <c r="B808" s="218" t="s">
        <v>5184</v>
      </c>
      <c r="C808" s="218" t="s">
        <v>5845</v>
      </c>
      <c r="D808" s="221">
        <v>1.0</v>
      </c>
      <c r="E808" s="218">
        <v>500.0</v>
      </c>
      <c r="F808" s="3" t="s">
        <v>5787</v>
      </c>
      <c r="G808" s="220">
        <v>43205.0</v>
      </c>
    </row>
    <row r="809">
      <c r="A809" s="217">
        <v>43206.55575008102</v>
      </c>
      <c r="B809" s="218" t="s">
        <v>5184</v>
      </c>
      <c r="C809" s="218" t="s">
        <v>5804</v>
      </c>
      <c r="D809" s="221">
        <v>1.0</v>
      </c>
      <c r="E809" s="218">
        <v>300.0</v>
      </c>
      <c r="F809" s="3" t="s">
        <v>5787</v>
      </c>
      <c r="G809" s="220">
        <v>43205.0</v>
      </c>
    </row>
    <row r="810">
      <c r="A810" s="217">
        <v>43206.558496631944</v>
      </c>
      <c r="B810" s="218" t="s">
        <v>5184</v>
      </c>
      <c r="C810" s="218" t="s">
        <v>1235</v>
      </c>
      <c r="D810" s="221">
        <v>1.0</v>
      </c>
      <c r="E810" s="218">
        <v>650.0</v>
      </c>
      <c r="G810" s="220">
        <v>43205.0</v>
      </c>
    </row>
    <row r="811">
      <c r="A811" s="217">
        <v>43206.559841608796</v>
      </c>
      <c r="B811" s="218" t="s">
        <v>5184</v>
      </c>
      <c r="C811" s="218" t="s">
        <v>5845</v>
      </c>
      <c r="D811" s="221">
        <v>1.0</v>
      </c>
      <c r="E811" s="218">
        <v>500.0</v>
      </c>
      <c r="F811" s="3" t="s">
        <v>5787</v>
      </c>
      <c r="G811" s="220">
        <v>43205.0</v>
      </c>
    </row>
    <row r="812">
      <c r="A812" s="217">
        <v>43206.56078893518</v>
      </c>
      <c r="B812" s="218" t="s">
        <v>5184</v>
      </c>
      <c r="C812" s="218" t="s">
        <v>5789</v>
      </c>
      <c r="D812" s="221">
        <v>1.0</v>
      </c>
      <c r="E812" s="218">
        <v>400.0</v>
      </c>
      <c r="F812" s="3" t="s">
        <v>5787</v>
      </c>
      <c r="G812" s="220">
        <v>43205.0</v>
      </c>
    </row>
    <row r="813">
      <c r="A813" s="217">
        <v>43206.562555682875</v>
      </c>
      <c r="B813" s="218" t="s">
        <v>5184</v>
      </c>
      <c r="C813" s="218" t="s">
        <v>5845</v>
      </c>
      <c r="D813" s="221">
        <v>1.0</v>
      </c>
      <c r="E813" s="218">
        <v>500.0</v>
      </c>
      <c r="F813" s="3" t="s">
        <v>5787</v>
      </c>
      <c r="G813" s="220">
        <v>43205.0</v>
      </c>
    </row>
    <row r="814">
      <c r="A814" s="217">
        <v>43206.56356461806</v>
      </c>
      <c r="B814" s="218" t="s">
        <v>5184</v>
      </c>
      <c r="C814" s="218" t="s">
        <v>5782</v>
      </c>
      <c r="D814" s="221">
        <v>1.0</v>
      </c>
      <c r="E814" s="218">
        <v>400.0</v>
      </c>
      <c r="F814" s="3" t="s">
        <v>5787</v>
      </c>
      <c r="G814" s="220">
        <v>43206.0</v>
      </c>
    </row>
    <row r="815">
      <c r="A815" s="217">
        <v>43206.56446471065</v>
      </c>
      <c r="B815" s="218" t="s">
        <v>5184</v>
      </c>
      <c r="C815" s="218" t="s">
        <v>5893</v>
      </c>
      <c r="D815" s="221">
        <v>1.0</v>
      </c>
      <c r="E815" s="218">
        <v>250.0</v>
      </c>
      <c r="F815" s="3" t="s">
        <v>5787</v>
      </c>
      <c r="G815" s="220">
        <v>43206.0</v>
      </c>
    </row>
    <row r="816">
      <c r="A816" s="217">
        <v>43206.565694074074</v>
      </c>
      <c r="B816" s="218" t="s">
        <v>5184</v>
      </c>
      <c r="C816" s="218" t="s">
        <v>5818</v>
      </c>
      <c r="D816" s="221">
        <v>1.0</v>
      </c>
      <c r="E816" s="218">
        <v>300.0</v>
      </c>
      <c r="F816" s="3" t="s">
        <v>5787</v>
      </c>
      <c r="G816" s="220">
        <v>43206.0</v>
      </c>
    </row>
    <row r="817">
      <c r="A817" s="217">
        <v>43206.59526164352</v>
      </c>
      <c r="B817" s="218" t="s">
        <v>5184</v>
      </c>
      <c r="C817" s="218" t="s">
        <v>5789</v>
      </c>
      <c r="D817" s="221">
        <v>1.0</v>
      </c>
      <c r="E817" s="218">
        <v>400.0</v>
      </c>
      <c r="F817" s="3" t="s">
        <v>5787</v>
      </c>
      <c r="G817" s="220">
        <v>43206.0</v>
      </c>
    </row>
    <row r="818">
      <c r="A818" s="217">
        <v>43208.61150125</v>
      </c>
      <c r="B818" s="218" t="s">
        <v>5184</v>
      </c>
      <c r="C818" s="218" t="s">
        <v>5190</v>
      </c>
      <c r="D818" s="221">
        <v>2.0</v>
      </c>
      <c r="E818" s="218">
        <v>6990.0</v>
      </c>
      <c r="F818" s="3" t="s">
        <v>5179</v>
      </c>
      <c r="G818" s="220">
        <v>43207.0</v>
      </c>
    </row>
    <row r="819">
      <c r="A819" s="217">
        <v>43208.613003252314</v>
      </c>
      <c r="B819" s="218" t="s">
        <v>5184</v>
      </c>
      <c r="C819" s="218" t="s">
        <v>4559</v>
      </c>
      <c r="D819" s="221">
        <v>1.0</v>
      </c>
      <c r="E819" s="218">
        <v>2150.0</v>
      </c>
      <c r="F819" s="3" t="s">
        <v>5295</v>
      </c>
      <c r="G819" s="220">
        <v>43207.0</v>
      </c>
    </row>
    <row r="820">
      <c r="A820" s="217">
        <v>43208.61813444445</v>
      </c>
      <c r="B820" s="218" t="s">
        <v>5184</v>
      </c>
      <c r="C820" s="218" t="s">
        <v>5818</v>
      </c>
      <c r="D820" s="221">
        <v>1.0</v>
      </c>
      <c r="E820" s="218">
        <v>300.0</v>
      </c>
      <c r="F820" s="3" t="s">
        <v>5787</v>
      </c>
      <c r="G820" s="220">
        <v>43207.0</v>
      </c>
    </row>
    <row r="821">
      <c r="A821" s="217">
        <v>43208.619282858795</v>
      </c>
      <c r="B821" s="218" t="s">
        <v>5184</v>
      </c>
      <c r="C821" s="218" t="s">
        <v>5818</v>
      </c>
      <c r="D821" s="221">
        <v>1.0</v>
      </c>
      <c r="E821" s="218">
        <v>300.0</v>
      </c>
      <c r="F821" s="3" t="s">
        <v>5787</v>
      </c>
      <c r="G821" s="220">
        <v>43207.0</v>
      </c>
    </row>
    <row r="822">
      <c r="A822" s="217">
        <v>43208.620430752315</v>
      </c>
      <c r="B822" s="218" t="s">
        <v>5184</v>
      </c>
      <c r="C822" s="218" t="s">
        <v>5893</v>
      </c>
      <c r="D822" s="221">
        <v>1.0</v>
      </c>
      <c r="E822" s="218">
        <v>250.0</v>
      </c>
      <c r="F822" s="3" t="s">
        <v>5787</v>
      </c>
      <c r="G822" s="220">
        <v>43207.0</v>
      </c>
    </row>
    <row r="823">
      <c r="A823" s="217">
        <v>43208.62723224537</v>
      </c>
      <c r="B823" s="218" t="s">
        <v>5184</v>
      </c>
      <c r="C823" s="218" t="s">
        <v>5789</v>
      </c>
      <c r="D823" s="221">
        <v>1.0</v>
      </c>
      <c r="E823" s="218">
        <v>500.0</v>
      </c>
      <c r="F823" s="3" t="s">
        <v>5787</v>
      </c>
      <c r="G823" s="220">
        <v>43208.0</v>
      </c>
    </row>
    <row r="824">
      <c r="A824" s="217">
        <v>43208.628046550926</v>
      </c>
      <c r="B824" s="218" t="s">
        <v>5184</v>
      </c>
      <c r="C824" s="218" t="s">
        <v>5789</v>
      </c>
      <c r="D824" s="221">
        <v>1.0</v>
      </c>
      <c r="E824" s="218">
        <v>400.0</v>
      </c>
      <c r="F824" s="3" t="s">
        <v>5787</v>
      </c>
      <c r="G824" s="220">
        <v>43208.0</v>
      </c>
    </row>
    <row r="825">
      <c r="A825" s="217">
        <v>43208.62885649306</v>
      </c>
      <c r="B825" s="218" t="s">
        <v>5184</v>
      </c>
      <c r="C825" s="218" t="s">
        <v>5789</v>
      </c>
      <c r="D825" s="221">
        <v>1.0</v>
      </c>
      <c r="E825" s="218">
        <v>400.0</v>
      </c>
      <c r="F825" s="3" t="s">
        <v>5787</v>
      </c>
      <c r="G825" s="220">
        <v>43208.0</v>
      </c>
    </row>
    <row r="826">
      <c r="A826" s="217">
        <v>43208.63011315972</v>
      </c>
      <c r="B826" s="218" t="s">
        <v>5184</v>
      </c>
      <c r="C826" s="218" t="s">
        <v>5789</v>
      </c>
      <c r="D826" s="221">
        <v>1.0</v>
      </c>
      <c r="E826" s="218">
        <v>400.0</v>
      </c>
      <c r="F826" s="3" t="s">
        <v>5787</v>
      </c>
      <c r="G826" s="220">
        <v>43208.0</v>
      </c>
    </row>
    <row r="827">
      <c r="A827" s="217">
        <v>43208.63300541667</v>
      </c>
      <c r="B827" s="218" t="s">
        <v>5184</v>
      </c>
      <c r="C827" s="218" t="s">
        <v>5630</v>
      </c>
      <c r="D827" s="221">
        <v>1.0</v>
      </c>
      <c r="E827" s="218">
        <v>1800.0</v>
      </c>
      <c r="F827" s="3" t="s">
        <v>5625</v>
      </c>
      <c r="G827" s="220">
        <v>43208.0</v>
      </c>
    </row>
    <row r="828">
      <c r="A828" s="217">
        <v>43208.635625462965</v>
      </c>
      <c r="B828" s="218" t="s">
        <v>5184</v>
      </c>
      <c r="C828" s="218" t="s">
        <v>5818</v>
      </c>
      <c r="D828" s="221">
        <v>1.0</v>
      </c>
      <c r="E828" s="218">
        <v>300.0</v>
      </c>
      <c r="F828" s="3" t="s">
        <v>5787</v>
      </c>
      <c r="G828" s="220">
        <v>43208.0</v>
      </c>
    </row>
    <row r="829">
      <c r="A829" s="217">
        <v>43208.830726932865</v>
      </c>
      <c r="B829" s="218" t="s">
        <v>5184</v>
      </c>
      <c r="C829" s="218" t="s">
        <v>4592</v>
      </c>
      <c r="D829" s="221">
        <v>1.0</v>
      </c>
      <c r="E829" s="218">
        <v>1395.0</v>
      </c>
      <c r="F829" s="3" t="s">
        <v>5298</v>
      </c>
      <c r="G829" s="220">
        <v>43208.0</v>
      </c>
    </row>
    <row r="830">
      <c r="A830" s="217">
        <v>43208.83350130787</v>
      </c>
      <c r="B830" s="218" t="s">
        <v>5184</v>
      </c>
      <c r="C830" s="218" t="s">
        <v>4532</v>
      </c>
      <c r="D830" s="221">
        <v>1.0</v>
      </c>
      <c r="E830" s="218">
        <v>1295.0</v>
      </c>
      <c r="F830" s="3" t="s">
        <v>5298</v>
      </c>
      <c r="G830" s="220">
        <v>43208.0</v>
      </c>
    </row>
    <row r="831">
      <c r="A831" s="217">
        <v>43209.56561644676</v>
      </c>
      <c r="B831" s="218" t="s">
        <v>5184</v>
      </c>
      <c r="C831" s="218" t="s">
        <v>5139</v>
      </c>
      <c r="D831" s="221">
        <v>2.0</v>
      </c>
      <c r="E831" s="218">
        <v>7690.0</v>
      </c>
      <c r="F831" s="3" t="s">
        <v>5135</v>
      </c>
      <c r="G831" s="220">
        <v>43209.0</v>
      </c>
    </row>
    <row r="832">
      <c r="A832" s="217">
        <v>43209.57373054398</v>
      </c>
      <c r="B832" s="218" t="s">
        <v>5184</v>
      </c>
      <c r="C832" s="218" t="s">
        <v>5789</v>
      </c>
      <c r="D832" s="221">
        <v>1.0</v>
      </c>
      <c r="E832" s="218">
        <v>400.0</v>
      </c>
      <c r="F832" s="3" t="s">
        <v>5787</v>
      </c>
      <c r="G832" s="220">
        <v>43209.0</v>
      </c>
    </row>
    <row r="833">
      <c r="A833" s="217">
        <v>43209.57520717593</v>
      </c>
      <c r="B833" s="218" t="s">
        <v>5184</v>
      </c>
      <c r="C833" s="218" t="s">
        <v>5782</v>
      </c>
      <c r="D833" s="221">
        <v>1.0</v>
      </c>
      <c r="E833" s="218">
        <v>400.0</v>
      </c>
      <c r="F833" s="3" t="s">
        <v>5787</v>
      </c>
      <c r="G833" s="220">
        <v>43209.0</v>
      </c>
    </row>
    <row r="834">
      <c r="A834" s="217">
        <v>43209.5760734375</v>
      </c>
      <c r="B834" s="218" t="s">
        <v>5184</v>
      </c>
      <c r="C834" s="218" t="s">
        <v>5845</v>
      </c>
      <c r="D834" s="221">
        <v>1.0</v>
      </c>
      <c r="E834" s="218">
        <v>500.0</v>
      </c>
      <c r="F834" s="3" t="s">
        <v>5787</v>
      </c>
      <c r="G834" s="220">
        <v>43209.0</v>
      </c>
    </row>
    <row r="835">
      <c r="A835" s="217">
        <v>43209.57880158565</v>
      </c>
      <c r="B835" s="218" t="s">
        <v>5184</v>
      </c>
      <c r="C835" s="218" t="s">
        <v>1928</v>
      </c>
      <c r="D835" s="221">
        <v>1.0</v>
      </c>
      <c r="E835" s="218">
        <v>5490.0</v>
      </c>
      <c r="F835" s="3" t="s">
        <v>5404</v>
      </c>
      <c r="G835" s="220">
        <v>43209.0</v>
      </c>
    </row>
    <row r="836">
      <c r="A836" s="217">
        <v>43210.71877479166</v>
      </c>
      <c r="B836" s="218" t="s">
        <v>5184</v>
      </c>
      <c r="C836" s="218" t="s">
        <v>5141</v>
      </c>
      <c r="D836" s="221">
        <v>1.0</v>
      </c>
      <c r="E836" s="218">
        <v>8190.0</v>
      </c>
      <c r="F836" s="3" t="s">
        <v>5135</v>
      </c>
      <c r="G836" s="220">
        <v>43210.0</v>
      </c>
    </row>
    <row r="837">
      <c r="A837" s="217">
        <v>43210.71964236111</v>
      </c>
      <c r="B837" s="218" t="s">
        <v>5184</v>
      </c>
      <c r="C837" s="218" t="s">
        <v>5893</v>
      </c>
      <c r="D837" s="221">
        <v>1.0</v>
      </c>
      <c r="E837" s="218">
        <v>250.0</v>
      </c>
      <c r="F837" s="3" t="s">
        <v>5787</v>
      </c>
      <c r="G837" s="220">
        <v>43210.0</v>
      </c>
    </row>
    <row r="838">
      <c r="A838" s="217">
        <v>43210.720578541666</v>
      </c>
      <c r="B838" s="218" t="s">
        <v>5184</v>
      </c>
      <c r="C838" s="218" t="s">
        <v>5893</v>
      </c>
      <c r="D838" s="221">
        <v>1.0</v>
      </c>
      <c r="E838" s="218">
        <v>250.0</v>
      </c>
      <c r="F838" s="3" t="s">
        <v>5787</v>
      </c>
      <c r="G838" s="220">
        <v>43210.0</v>
      </c>
    </row>
    <row r="839">
      <c r="A839" s="217">
        <v>43210.72204101852</v>
      </c>
      <c r="B839" s="218" t="s">
        <v>5184</v>
      </c>
      <c r="C839" s="218" t="s">
        <v>5845</v>
      </c>
      <c r="D839" s="221">
        <v>1.0</v>
      </c>
      <c r="E839" s="218">
        <v>500.0</v>
      </c>
      <c r="F839" s="3" t="s">
        <v>5787</v>
      </c>
      <c r="G839" s="220">
        <v>43210.0</v>
      </c>
    </row>
    <row r="840">
      <c r="A840" s="217">
        <v>43211.687909155095</v>
      </c>
      <c r="B840" s="218" t="s">
        <v>5184</v>
      </c>
      <c r="C840" s="218" t="s">
        <v>5782</v>
      </c>
      <c r="D840" s="221">
        <v>1.0</v>
      </c>
      <c r="E840" s="218">
        <v>400.0</v>
      </c>
      <c r="F840" s="3" t="s">
        <v>5787</v>
      </c>
      <c r="G840" s="220">
        <v>43210.0</v>
      </c>
    </row>
    <row r="841">
      <c r="A841" s="217">
        <v>43211.69024681713</v>
      </c>
      <c r="B841" s="218" t="s">
        <v>5184</v>
      </c>
      <c r="C841" s="218" t="s">
        <v>5789</v>
      </c>
      <c r="D841" s="221">
        <v>1.0</v>
      </c>
      <c r="E841" s="218">
        <v>400.0</v>
      </c>
      <c r="F841" s="3" t="s">
        <v>5787</v>
      </c>
      <c r="G841" s="220">
        <v>43211.0</v>
      </c>
    </row>
    <row r="842">
      <c r="A842" s="217">
        <v>43211.69161297454</v>
      </c>
      <c r="B842" s="218" t="s">
        <v>5184</v>
      </c>
      <c r="C842" s="218" t="s">
        <v>5893</v>
      </c>
      <c r="D842" s="221">
        <v>1.0</v>
      </c>
      <c r="E842" s="218">
        <v>250.0</v>
      </c>
      <c r="F842" s="3" t="s">
        <v>5787</v>
      </c>
      <c r="G842" s="220">
        <v>43211.0</v>
      </c>
    </row>
    <row r="843">
      <c r="A843" s="217">
        <v>43211.69240302083</v>
      </c>
      <c r="B843" s="218" t="s">
        <v>5184</v>
      </c>
      <c r="C843" s="218" t="s">
        <v>5893</v>
      </c>
      <c r="D843" s="221">
        <v>1.0</v>
      </c>
      <c r="E843" s="218">
        <v>250.0</v>
      </c>
      <c r="F843" s="3" t="s">
        <v>5787</v>
      </c>
      <c r="G843" s="220">
        <v>43211.0</v>
      </c>
    </row>
    <row r="844">
      <c r="A844" s="217">
        <v>43211.69322809028</v>
      </c>
      <c r="B844" s="218" t="s">
        <v>5184</v>
      </c>
      <c r="C844" s="218" t="s">
        <v>5789</v>
      </c>
      <c r="D844" s="221">
        <v>1.0</v>
      </c>
      <c r="E844" s="218">
        <v>400.0</v>
      </c>
      <c r="F844" s="3" t="s">
        <v>5937</v>
      </c>
      <c r="G844" s="220">
        <v>43211.0</v>
      </c>
    </row>
    <row r="845">
      <c r="A845" s="217">
        <v>43211.69409234954</v>
      </c>
      <c r="B845" s="218" t="s">
        <v>5184</v>
      </c>
      <c r="C845" s="218" t="s">
        <v>5789</v>
      </c>
      <c r="D845" s="221">
        <v>1.0</v>
      </c>
      <c r="E845" s="218">
        <v>400.0</v>
      </c>
      <c r="F845" s="3" t="s">
        <v>5787</v>
      </c>
      <c r="G845" s="220">
        <v>43211.0</v>
      </c>
    </row>
    <row r="846">
      <c r="A846" s="217">
        <v>43211.69484196759</v>
      </c>
      <c r="B846" s="218" t="s">
        <v>5184</v>
      </c>
      <c r="C846" s="218" t="s">
        <v>5893</v>
      </c>
      <c r="D846" s="221">
        <v>1.0</v>
      </c>
      <c r="E846" s="218">
        <v>300.0</v>
      </c>
      <c r="F846" s="3" t="s">
        <v>5787</v>
      </c>
      <c r="G846" s="220">
        <v>43211.0</v>
      </c>
    </row>
    <row r="847">
      <c r="A847" s="217">
        <v>43211.69929907407</v>
      </c>
      <c r="B847" s="218" t="s">
        <v>5184</v>
      </c>
      <c r="C847" s="218" t="s">
        <v>5167</v>
      </c>
      <c r="D847" s="221">
        <v>1.0</v>
      </c>
      <c r="E847" s="218">
        <v>7490.0</v>
      </c>
      <c r="F847" s="3" t="s">
        <v>5158</v>
      </c>
      <c r="G847" s="220">
        <v>43211.0</v>
      </c>
    </row>
    <row r="848">
      <c r="A848" s="217">
        <v>43211.72952861111</v>
      </c>
      <c r="B848" s="218" t="s">
        <v>5184</v>
      </c>
      <c r="C848" s="218" t="s">
        <v>2047</v>
      </c>
      <c r="D848" s="221">
        <v>1.0</v>
      </c>
      <c r="E848" s="218">
        <v>7650.0</v>
      </c>
      <c r="F848" s="3" t="s">
        <v>5304</v>
      </c>
      <c r="G848" s="220">
        <v>43211.0</v>
      </c>
    </row>
    <row r="849">
      <c r="A849" s="217">
        <v>43212.68598234953</v>
      </c>
      <c r="B849" s="218" t="s">
        <v>5184</v>
      </c>
      <c r="C849" s="218" t="s">
        <v>5818</v>
      </c>
      <c r="D849" s="221">
        <v>1.0</v>
      </c>
      <c r="E849" s="218">
        <v>300.0</v>
      </c>
      <c r="F849" s="3" t="s">
        <v>5787</v>
      </c>
      <c r="G849" s="220">
        <v>43212.0</v>
      </c>
    </row>
    <row r="850">
      <c r="A850" s="217">
        <v>43212.68732864583</v>
      </c>
      <c r="B850" s="218" t="s">
        <v>5184</v>
      </c>
      <c r="C850" s="218" t="s">
        <v>5845</v>
      </c>
      <c r="D850" s="221">
        <v>1.0</v>
      </c>
      <c r="E850" s="218">
        <v>400.0</v>
      </c>
      <c r="F850" s="3" t="s">
        <v>5787</v>
      </c>
      <c r="G850" s="220">
        <v>43212.0</v>
      </c>
    </row>
    <row r="851">
      <c r="A851" s="217">
        <v>43212.69012767361</v>
      </c>
      <c r="B851" s="218" t="s">
        <v>5184</v>
      </c>
      <c r="C851" s="218" t="s">
        <v>5944</v>
      </c>
      <c r="D851" s="221">
        <v>1.0</v>
      </c>
      <c r="E851" s="218">
        <v>11990.0</v>
      </c>
      <c r="F851" s="3" t="s">
        <v>5279</v>
      </c>
      <c r="G851" s="220">
        <v>43212.0</v>
      </c>
    </row>
    <row r="852">
      <c r="A852" s="217">
        <v>43213.57083254629</v>
      </c>
      <c r="B852" s="218" t="s">
        <v>5184</v>
      </c>
      <c r="C852" s="218" t="s">
        <v>1838</v>
      </c>
      <c r="D852" s="221">
        <v>1.0</v>
      </c>
      <c r="E852" s="218">
        <v>6490.0</v>
      </c>
      <c r="F852" s="3" t="s">
        <v>5119</v>
      </c>
      <c r="G852" s="220">
        <v>43213.0</v>
      </c>
    </row>
    <row r="853">
      <c r="A853" s="217">
        <v>43213.57189424768</v>
      </c>
      <c r="B853" s="218" t="s">
        <v>5184</v>
      </c>
      <c r="C853" s="218" t="s">
        <v>5883</v>
      </c>
      <c r="D853" s="221">
        <v>1.0</v>
      </c>
      <c r="E853" s="218">
        <v>6990.0</v>
      </c>
      <c r="F853" s="3" t="s">
        <v>5119</v>
      </c>
      <c r="G853" s="220">
        <v>43213.0</v>
      </c>
    </row>
    <row r="854">
      <c r="A854" s="217">
        <v>43213.57422393518</v>
      </c>
      <c r="B854" s="218" t="s">
        <v>5184</v>
      </c>
      <c r="C854" s="218" t="s">
        <v>5475</v>
      </c>
      <c r="D854" s="221">
        <v>1.0</v>
      </c>
      <c r="E854" s="218">
        <v>4590.0</v>
      </c>
      <c r="F854" s="3" t="s">
        <v>5471</v>
      </c>
      <c r="G854" s="220">
        <v>43213.0</v>
      </c>
    </row>
    <row r="855">
      <c r="A855" s="217">
        <v>43213.57539179398</v>
      </c>
      <c r="B855" s="218" t="s">
        <v>5184</v>
      </c>
      <c r="C855" s="218" t="s">
        <v>4570</v>
      </c>
      <c r="D855" s="221">
        <v>1.0</v>
      </c>
      <c r="E855" s="218">
        <v>2495.0</v>
      </c>
      <c r="F855" s="3" t="s">
        <v>5295</v>
      </c>
      <c r="G855" s="220">
        <v>43213.0</v>
      </c>
    </row>
    <row r="856">
      <c r="A856" s="217">
        <v>43213.57660697917</v>
      </c>
      <c r="B856" s="218" t="s">
        <v>5184</v>
      </c>
      <c r="C856" s="218" t="s">
        <v>5150</v>
      </c>
      <c r="D856" s="221">
        <v>1.0</v>
      </c>
      <c r="E856" s="218">
        <v>8990.0</v>
      </c>
      <c r="F856" s="3" t="s">
        <v>5158</v>
      </c>
      <c r="G856" s="220">
        <v>43213.0</v>
      </c>
    </row>
    <row r="857">
      <c r="A857" s="217">
        <v>43213.57876445602</v>
      </c>
      <c r="B857" s="218" t="s">
        <v>5184</v>
      </c>
      <c r="C857" s="218" t="s">
        <v>4598</v>
      </c>
      <c r="D857" s="221">
        <v>1.0</v>
      </c>
      <c r="E857" s="218">
        <v>1395.0</v>
      </c>
      <c r="F857" s="3" t="s">
        <v>5298</v>
      </c>
      <c r="G857" s="220">
        <v>43213.0</v>
      </c>
    </row>
    <row r="858">
      <c r="A858" s="217">
        <v>43213.58304515046</v>
      </c>
      <c r="B858" s="218" t="s">
        <v>5184</v>
      </c>
      <c r="C858" s="218" t="s">
        <v>5848</v>
      </c>
      <c r="D858" s="221">
        <v>1.0</v>
      </c>
      <c r="E858" s="218">
        <v>1000.0</v>
      </c>
      <c r="F858" s="3" t="s">
        <v>5787</v>
      </c>
      <c r="G858" s="220">
        <v>43213.0</v>
      </c>
    </row>
    <row r="859">
      <c r="A859" s="217">
        <v>43213.58377793981</v>
      </c>
      <c r="B859" s="218" t="s">
        <v>5184</v>
      </c>
      <c r="C859" s="218" t="s">
        <v>5782</v>
      </c>
      <c r="D859" s="221">
        <v>1.0</v>
      </c>
      <c r="E859" s="218">
        <v>400.0</v>
      </c>
      <c r="F859" s="3" t="s">
        <v>5787</v>
      </c>
      <c r="G859" s="220">
        <v>43213.0</v>
      </c>
    </row>
    <row r="860">
      <c r="A860" s="217">
        <v>43213.58543359954</v>
      </c>
      <c r="B860" s="218" t="s">
        <v>5184</v>
      </c>
      <c r="C860" s="218" t="s">
        <v>5789</v>
      </c>
      <c r="D860" s="221">
        <v>1.0</v>
      </c>
      <c r="E860" s="218">
        <v>450.0</v>
      </c>
      <c r="F860" s="3" t="s">
        <v>5787</v>
      </c>
      <c r="G860" s="220">
        <v>43211.0</v>
      </c>
    </row>
    <row r="861">
      <c r="A861" s="217">
        <v>43214.59880478009</v>
      </c>
      <c r="B861" s="218" t="s">
        <v>5184</v>
      </c>
      <c r="C861" s="218" t="s">
        <v>4598</v>
      </c>
      <c r="D861" s="221">
        <v>1.0</v>
      </c>
      <c r="E861" s="218">
        <v>1395.0</v>
      </c>
      <c r="F861" s="3" t="s">
        <v>5298</v>
      </c>
      <c r="G861" s="220">
        <v>43214.0</v>
      </c>
    </row>
    <row r="862">
      <c r="A862" s="217">
        <v>43216.60834008102</v>
      </c>
      <c r="B862" s="218" t="s">
        <v>2322</v>
      </c>
      <c r="C862" s="218" t="s">
        <v>1928</v>
      </c>
      <c r="D862" s="219">
        <v>1.0</v>
      </c>
      <c r="E862" s="218">
        <v>5490.0</v>
      </c>
      <c r="F862" s="3" t="s">
        <v>5404</v>
      </c>
      <c r="G862" s="220">
        <v>43215.0</v>
      </c>
    </row>
    <row r="863">
      <c r="A863" s="217">
        <v>43216.6117815162</v>
      </c>
      <c r="B863" s="218" t="s">
        <v>5184</v>
      </c>
      <c r="C863" s="218" t="s">
        <v>5961</v>
      </c>
      <c r="D863" s="221">
        <v>1.0</v>
      </c>
      <c r="E863" s="218">
        <v>2375.0</v>
      </c>
      <c r="F863" s="3" t="s">
        <v>5632</v>
      </c>
      <c r="G863" s="220">
        <v>43215.0</v>
      </c>
    </row>
    <row r="864">
      <c r="A864" s="217">
        <v>43216.61346608796</v>
      </c>
      <c r="B864" s="218" t="s">
        <v>5184</v>
      </c>
      <c r="C864" s="218" t="s">
        <v>5467</v>
      </c>
      <c r="D864" s="221">
        <v>1.0</v>
      </c>
      <c r="E864" s="218">
        <v>6190.0</v>
      </c>
      <c r="F864" s="3" t="s">
        <v>5434</v>
      </c>
      <c r="G864" s="220">
        <v>43215.0</v>
      </c>
    </row>
    <row r="865">
      <c r="A865" s="217">
        <v>43216.61571278935</v>
      </c>
      <c r="B865" s="218" t="s">
        <v>5184</v>
      </c>
      <c r="C865" s="218" t="s">
        <v>4627</v>
      </c>
      <c r="D865" s="221">
        <v>1.0</v>
      </c>
      <c r="E865" s="218">
        <v>1650.0</v>
      </c>
      <c r="F865" s="3" t="s">
        <v>5298</v>
      </c>
      <c r="G865" s="220">
        <v>43215.0</v>
      </c>
    </row>
    <row r="866">
      <c r="A866" s="217">
        <v>43216.62537834491</v>
      </c>
      <c r="B866" s="218" t="s">
        <v>5184</v>
      </c>
      <c r="C866" s="218" t="s">
        <v>5818</v>
      </c>
      <c r="D866" s="221">
        <v>1.0</v>
      </c>
      <c r="E866" s="218">
        <v>300.0</v>
      </c>
      <c r="F866" s="3" t="s">
        <v>5787</v>
      </c>
      <c r="G866" s="220">
        <v>43215.0</v>
      </c>
    </row>
    <row r="867">
      <c r="A867" s="217">
        <v>43216.628694328705</v>
      </c>
      <c r="B867" s="218" t="s">
        <v>5184</v>
      </c>
      <c r="C867" s="218" t="s">
        <v>5848</v>
      </c>
      <c r="D867" s="221">
        <v>1.0</v>
      </c>
      <c r="E867" s="218">
        <v>1000.0</v>
      </c>
      <c r="F867" s="3" t="s">
        <v>5787</v>
      </c>
      <c r="G867" s="220">
        <v>43215.0</v>
      </c>
    </row>
    <row r="868">
      <c r="A868" s="217">
        <v>43216.63475196759</v>
      </c>
      <c r="B868" s="218" t="s">
        <v>5184</v>
      </c>
      <c r="C868" s="218" t="s">
        <v>5893</v>
      </c>
      <c r="D868" s="221">
        <v>1.0</v>
      </c>
      <c r="E868" s="218">
        <v>300.0</v>
      </c>
      <c r="F868" s="3" t="s">
        <v>5787</v>
      </c>
      <c r="G868" s="220">
        <v>43215.0</v>
      </c>
    </row>
    <row r="869">
      <c r="A869" s="217">
        <v>43216.63611898148</v>
      </c>
      <c r="B869" s="218" t="s">
        <v>5184</v>
      </c>
      <c r="C869" s="218" t="s">
        <v>5804</v>
      </c>
      <c r="D869" s="221">
        <v>1.0</v>
      </c>
      <c r="E869" s="218">
        <v>300.0</v>
      </c>
      <c r="F869" s="3" t="s">
        <v>5787</v>
      </c>
      <c r="G869" s="220">
        <v>43215.0</v>
      </c>
    </row>
    <row r="870">
      <c r="A870" s="217">
        <v>43216.63810383102</v>
      </c>
      <c r="B870" s="218" t="s">
        <v>5184</v>
      </c>
      <c r="C870" s="218" t="s">
        <v>5789</v>
      </c>
      <c r="D870" s="221">
        <v>1.0</v>
      </c>
      <c r="E870" s="218">
        <v>450.0</v>
      </c>
      <c r="F870" s="3" t="s">
        <v>5787</v>
      </c>
      <c r="G870" s="220">
        <v>43216.0</v>
      </c>
    </row>
    <row r="871">
      <c r="A871" s="217">
        <v>43216.63919548611</v>
      </c>
      <c r="B871" s="218" t="s">
        <v>5184</v>
      </c>
      <c r="C871" s="218" t="s">
        <v>5786</v>
      </c>
      <c r="D871" s="221">
        <v>1.0</v>
      </c>
      <c r="E871" s="218">
        <v>260.0</v>
      </c>
      <c r="F871" s="3" t="s">
        <v>5787</v>
      </c>
      <c r="G871" s="220">
        <v>43216.0</v>
      </c>
    </row>
    <row r="872">
      <c r="A872" s="217">
        <v>43217.45448315972</v>
      </c>
      <c r="B872" s="218" t="s">
        <v>5184</v>
      </c>
      <c r="C872" s="218" t="s">
        <v>5974</v>
      </c>
      <c r="D872" s="221">
        <v>1.0</v>
      </c>
      <c r="E872" s="218">
        <v>8415.0</v>
      </c>
      <c r="F872" s="3" t="s">
        <v>5304</v>
      </c>
      <c r="G872" s="220">
        <v>43217.0</v>
      </c>
    </row>
    <row r="873">
      <c r="A873" s="217">
        <v>43217.644412685186</v>
      </c>
      <c r="B873" s="218" t="s">
        <v>5184</v>
      </c>
      <c r="C873" s="218" t="s">
        <v>5976</v>
      </c>
      <c r="D873" s="221">
        <v>1.0</v>
      </c>
      <c r="E873" s="218">
        <v>450.0</v>
      </c>
      <c r="F873" s="3" t="s">
        <v>5787</v>
      </c>
      <c r="G873" s="220">
        <v>43217.0</v>
      </c>
    </row>
    <row r="874">
      <c r="A874" s="217">
        <v>43217.64541442129</v>
      </c>
      <c r="B874" s="218" t="s">
        <v>5184</v>
      </c>
      <c r="C874" s="218" t="s">
        <v>5789</v>
      </c>
      <c r="D874" s="221">
        <v>1.0</v>
      </c>
      <c r="E874" s="218">
        <v>450.0</v>
      </c>
      <c r="F874" s="3" t="s">
        <v>5787</v>
      </c>
      <c r="G874" s="220">
        <v>43217.0</v>
      </c>
    </row>
    <row r="875">
      <c r="A875" s="217">
        <v>43217.64876354167</v>
      </c>
      <c r="B875" s="218" t="s">
        <v>5184</v>
      </c>
      <c r="C875" s="218" t="s">
        <v>5836</v>
      </c>
      <c r="D875" s="221">
        <v>1.0</v>
      </c>
      <c r="E875" s="218">
        <v>2100.0</v>
      </c>
      <c r="F875" s="3" t="s">
        <v>5833</v>
      </c>
      <c r="G875" s="220">
        <v>43217.0</v>
      </c>
    </row>
    <row r="876">
      <c r="A876" s="217">
        <v>43217.65217728009</v>
      </c>
      <c r="B876" s="218" t="s">
        <v>5184</v>
      </c>
      <c r="C876" s="218" t="s">
        <v>5789</v>
      </c>
      <c r="D876" s="221">
        <v>1.0</v>
      </c>
      <c r="E876" s="218">
        <v>300.0</v>
      </c>
      <c r="F876" s="3" t="s">
        <v>5787</v>
      </c>
      <c r="G876" s="220">
        <v>43217.0</v>
      </c>
    </row>
    <row r="877">
      <c r="A877" s="217">
        <v>43218.72339875</v>
      </c>
      <c r="B877" s="218" t="s">
        <v>5184</v>
      </c>
      <c r="C877" s="218" t="s">
        <v>4527</v>
      </c>
      <c r="D877" s="221">
        <v>1.0</v>
      </c>
      <c r="E877" s="218">
        <v>1795.0</v>
      </c>
      <c r="F877" s="3" t="s">
        <v>5293</v>
      </c>
      <c r="G877" s="220">
        <v>43218.0</v>
      </c>
    </row>
    <row r="878">
      <c r="A878" s="217">
        <v>43218.727344872685</v>
      </c>
      <c r="B878" s="218" t="s">
        <v>5184</v>
      </c>
      <c r="C878" s="218" t="s">
        <v>5838</v>
      </c>
      <c r="D878" s="221">
        <v>1.0</v>
      </c>
      <c r="E878" s="218">
        <v>2100.0</v>
      </c>
      <c r="F878" s="3" t="s">
        <v>5833</v>
      </c>
      <c r="G878" s="220">
        <v>43218.0</v>
      </c>
    </row>
    <row r="879">
      <c r="A879" s="217">
        <v>43218.73016934028</v>
      </c>
      <c r="B879" s="218" t="s">
        <v>5184</v>
      </c>
      <c r="C879" s="218" t="s">
        <v>4619</v>
      </c>
      <c r="D879" s="221">
        <v>1.0</v>
      </c>
      <c r="E879" s="218">
        <v>1495.0</v>
      </c>
      <c r="F879" s="3" t="s">
        <v>5298</v>
      </c>
      <c r="G879" s="220">
        <v>43218.0</v>
      </c>
    </row>
    <row r="880">
      <c r="A880" s="217">
        <v>43219.48740292824</v>
      </c>
      <c r="B880" s="218" t="s">
        <v>5184</v>
      </c>
      <c r="C880" s="218" t="s">
        <v>5168</v>
      </c>
      <c r="D880" s="221">
        <v>1.0</v>
      </c>
      <c r="E880" s="218">
        <v>7990.0</v>
      </c>
      <c r="F880" s="3" t="s">
        <v>5179</v>
      </c>
      <c r="G880" s="220">
        <v>43219.0</v>
      </c>
    </row>
    <row r="881">
      <c r="A881" s="217">
        <v>43219.62740405093</v>
      </c>
      <c r="B881" s="218" t="s">
        <v>5184</v>
      </c>
      <c r="C881" s="218" t="s">
        <v>5789</v>
      </c>
      <c r="D881" s="221">
        <v>1.0</v>
      </c>
      <c r="E881" s="218">
        <v>300.0</v>
      </c>
      <c r="F881" s="3" t="s">
        <v>5787</v>
      </c>
      <c r="G881" s="220">
        <v>43218.0</v>
      </c>
    </row>
    <row r="882">
      <c r="A882" s="217">
        <v>43219.628492986114</v>
      </c>
      <c r="B882" s="218" t="s">
        <v>5184</v>
      </c>
      <c r="C882" s="218" t="s">
        <v>5789</v>
      </c>
      <c r="D882" s="221">
        <v>1.0</v>
      </c>
      <c r="E882" s="218">
        <v>300.0</v>
      </c>
      <c r="F882" s="3" t="s">
        <v>5787</v>
      </c>
      <c r="G882" s="220">
        <v>43218.0</v>
      </c>
    </row>
    <row r="883">
      <c r="A883" s="217">
        <v>43219.62946133102</v>
      </c>
      <c r="B883" s="218" t="s">
        <v>5184</v>
      </c>
      <c r="C883" s="218" t="s">
        <v>5789</v>
      </c>
      <c r="D883" s="221">
        <v>1.0</v>
      </c>
      <c r="E883" s="218">
        <v>300.0</v>
      </c>
      <c r="F883" s="3" t="s">
        <v>5787</v>
      </c>
      <c r="G883" s="220">
        <v>43218.0</v>
      </c>
    </row>
    <row r="884">
      <c r="A884" s="217">
        <v>43219.6309425463</v>
      </c>
      <c r="B884" s="218" t="s">
        <v>5184</v>
      </c>
      <c r="C884" s="218" t="s">
        <v>5845</v>
      </c>
      <c r="D884" s="221">
        <v>1.0</v>
      </c>
      <c r="E884" s="218">
        <v>500.0</v>
      </c>
      <c r="F884" s="3" t="s">
        <v>5787</v>
      </c>
      <c r="G884" s="220">
        <v>43218.0</v>
      </c>
    </row>
    <row r="885">
      <c r="A885" s="217">
        <v>43219.632357581024</v>
      </c>
      <c r="B885" s="218" t="s">
        <v>5184</v>
      </c>
      <c r="C885" s="218" t="s">
        <v>5818</v>
      </c>
      <c r="D885" s="221">
        <v>1.0</v>
      </c>
      <c r="E885" s="218">
        <v>300.0</v>
      </c>
      <c r="F885" s="3" t="s">
        <v>5787</v>
      </c>
      <c r="G885" s="220">
        <v>43218.0</v>
      </c>
    </row>
    <row r="886">
      <c r="A886" s="217">
        <v>43219.63363278935</v>
      </c>
      <c r="B886" s="218" t="s">
        <v>5184</v>
      </c>
      <c r="C886" s="218" t="s">
        <v>5976</v>
      </c>
      <c r="D886" s="221">
        <v>1.0</v>
      </c>
      <c r="E886" s="218">
        <v>400.0</v>
      </c>
      <c r="F886" s="3" t="s">
        <v>5787</v>
      </c>
      <c r="G886" s="220">
        <v>43218.0</v>
      </c>
    </row>
    <row r="887">
      <c r="A887" s="217">
        <v>43219.63564415509</v>
      </c>
      <c r="B887" s="218" t="s">
        <v>5184</v>
      </c>
      <c r="C887" s="218" t="s">
        <v>5789</v>
      </c>
      <c r="D887" s="221">
        <v>1.0</v>
      </c>
      <c r="E887" s="218">
        <v>300.0</v>
      </c>
      <c r="F887" s="3" t="s">
        <v>5787</v>
      </c>
      <c r="G887" s="220">
        <v>43218.0</v>
      </c>
    </row>
    <row r="888">
      <c r="A888" s="217">
        <v>43219.63724297454</v>
      </c>
      <c r="B888" s="218" t="s">
        <v>5184</v>
      </c>
      <c r="C888" s="218" t="s">
        <v>5804</v>
      </c>
      <c r="D888" s="221">
        <v>1.0</v>
      </c>
      <c r="E888" s="218">
        <v>300.0</v>
      </c>
      <c r="F888" s="3" t="s">
        <v>5787</v>
      </c>
      <c r="G888" s="220">
        <v>43218.0</v>
      </c>
    </row>
    <row r="889">
      <c r="A889" s="217">
        <v>43219.641266701394</v>
      </c>
      <c r="B889" s="218" t="s">
        <v>5184</v>
      </c>
      <c r="C889" s="218" t="s">
        <v>5848</v>
      </c>
      <c r="D889" s="221">
        <v>1.0</v>
      </c>
      <c r="E889" s="218">
        <v>1000.0</v>
      </c>
      <c r="F889" s="3" t="s">
        <v>5787</v>
      </c>
      <c r="G889" s="220">
        <v>43218.0</v>
      </c>
    </row>
    <row r="890">
      <c r="A890" s="217">
        <v>43219.64314490741</v>
      </c>
      <c r="B890" s="218" t="s">
        <v>5184</v>
      </c>
      <c r="C890" s="218" t="s">
        <v>5782</v>
      </c>
      <c r="D890" s="221">
        <v>1.0</v>
      </c>
      <c r="E890" s="218">
        <v>400.0</v>
      </c>
      <c r="F890" s="3" t="s">
        <v>5787</v>
      </c>
      <c r="G890" s="220">
        <v>43219.0</v>
      </c>
    </row>
    <row r="891">
      <c r="A891" s="217">
        <v>43219.64936216435</v>
      </c>
      <c r="B891" s="218" t="s">
        <v>5184</v>
      </c>
      <c r="C891" s="218" t="s">
        <v>1235</v>
      </c>
      <c r="D891" s="221">
        <v>1.0</v>
      </c>
      <c r="E891" s="218">
        <v>650.0</v>
      </c>
      <c r="G891" s="220">
        <v>43219.0</v>
      </c>
    </row>
    <row r="892">
      <c r="A892" s="217">
        <v>43220.73898565972</v>
      </c>
      <c r="B892" s="218" t="s">
        <v>5184</v>
      </c>
      <c r="C892" s="218" t="s">
        <v>4530</v>
      </c>
      <c r="D892" s="221">
        <v>1.0</v>
      </c>
      <c r="E892" s="218">
        <v>1750.0</v>
      </c>
      <c r="F892" s="3" t="s">
        <v>5293</v>
      </c>
      <c r="G892" s="220">
        <v>43220.0</v>
      </c>
    </row>
    <row r="893">
      <c r="A893" s="217">
        <v>43220.74023767361</v>
      </c>
      <c r="B893" s="218" t="s">
        <v>5184</v>
      </c>
      <c r="C893" s="218" t="s">
        <v>5224</v>
      </c>
      <c r="D893" s="221">
        <v>1.0</v>
      </c>
      <c r="E893" s="218">
        <v>14500.0</v>
      </c>
      <c r="F893" s="3" t="s">
        <v>5212</v>
      </c>
      <c r="G893" s="220">
        <v>43220.0</v>
      </c>
    </row>
    <row r="894">
      <c r="A894" s="217">
        <v>43221.71106174769</v>
      </c>
      <c r="B894" s="218" t="s">
        <v>5184</v>
      </c>
      <c r="C894" s="218" t="s">
        <v>6000</v>
      </c>
      <c r="D894" s="221">
        <v>1.0</v>
      </c>
      <c r="E894" s="218">
        <v>4490.0</v>
      </c>
      <c r="F894" s="3" t="s">
        <v>5179</v>
      </c>
      <c r="G894" s="220">
        <v>43220.0</v>
      </c>
    </row>
    <row r="895">
      <c r="A895" s="217">
        <v>43221.712971076384</v>
      </c>
      <c r="B895" s="218" t="s">
        <v>5184</v>
      </c>
      <c r="C895" s="218" t="s">
        <v>6001</v>
      </c>
      <c r="D895" s="221">
        <v>1.0</v>
      </c>
      <c r="E895" s="218">
        <v>400.0</v>
      </c>
      <c r="F895" s="3" t="s">
        <v>5787</v>
      </c>
      <c r="G895" s="220">
        <v>43220.0</v>
      </c>
    </row>
    <row r="896">
      <c r="A896" s="217">
        <v>43221.7138396875</v>
      </c>
      <c r="B896" s="218" t="s">
        <v>5184</v>
      </c>
      <c r="C896" s="218" t="s">
        <v>5893</v>
      </c>
      <c r="D896" s="221">
        <v>1.0</v>
      </c>
      <c r="E896" s="218">
        <v>250.0</v>
      </c>
      <c r="F896" s="3" t="s">
        <v>5787</v>
      </c>
      <c r="G896" s="220">
        <v>43220.0</v>
      </c>
    </row>
    <row r="897">
      <c r="A897" s="217">
        <v>43221.71496709491</v>
      </c>
      <c r="B897" s="218" t="s">
        <v>5184</v>
      </c>
      <c r="C897" s="218" t="s">
        <v>5789</v>
      </c>
      <c r="D897" s="221">
        <v>1.0</v>
      </c>
      <c r="E897" s="218">
        <v>400.0</v>
      </c>
      <c r="F897" s="3" t="s">
        <v>5787</v>
      </c>
      <c r="G897" s="220">
        <v>43220.0</v>
      </c>
    </row>
    <row r="898">
      <c r="A898" s="217">
        <v>43221.715936967594</v>
      </c>
      <c r="B898" s="218" t="s">
        <v>5184</v>
      </c>
      <c r="C898" s="218" t="s">
        <v>5789</v>
      </c>
      <c r="D898" s="221">
        <v>1.0</v>
      </c>
      <c r="E898" s="218">
        <v>300.0</v>
      </c>
      <c r="F898" s="3" t="s">
        <v>5787</v>
      </c>
      <c r="G898" s="220">
        <v>43221.0</v>
      </c>
    </row>
    <row r="899">
      <c r="A899" s="217">
        <v>43221.71672622685</v>
      </c>
      <c r="B899" s="218" t="s">
        <v>5184</v>
      </c>
      <c r="C899" s="218" t="s">
        <v>5789</v>
      </c>
      <c r="D899" s="221">
        <v>1.0</v>
      </c>
      <c r="E899" s="218">
        <v>250.0</v>
      </c>
      <c r="F899" s="3" t="s">
        <v>5787</v>
      </c>
      <c r="G899" s="220">
        <v>43221.0</v>
      </c>
    </row>
    <row r="900">
      <c r="A900" s="217">
        <v>43221.71744923611</v>
      </c>
      <c r="B900" s="218" t="s">
        <v>5184</v>
      </c>
      <c r="C900" s="218" t="s">
        <v>5893</v>
      </c>
      <c r="D900" s="221">
        <v>1.0</v>
      </c>
      <c r="E900" s="218">
        <v>250.0</v>
      </c>
      <c r="F900" s="3" t="s">
        <v>5787</v>
      </c>
      <c r="G900" s="220">
        <v>43221.0</v>
      </c>
    </row>
    <row r="901">
      <c r="A901" s="217">
        <v>43221.71814570602</v>
      </c>
      <c r="B901" s="218" t="s">
        <v>5184</v>
      </c>
      <c r="C901" s="218" t="s">
        <v>5789</v>
      </c>
      <c r="D901" s="221">
        <v>1.0</v>
      </c>
      <c r="E901" s="218">
        <v>300.0</v>
      </c>
      <c r="F901" s="3" t="s">
        <v>5787</v>
      </c>
      <c r="G901" s="220">
        <v>43221.0</v>
      </c>
    </row>
    <row r="902">
      <c r="A902" s="217">
        <v>43223.53088978009</v>
      </c>
      <c r="B902" s="218" t="s">
        <v>5184</v>
      </c>
      <c r="C902" s="218" t="s">
        <v>6011</v>
      </c>
      <c r="D902" s="221">
        <v>1.0</v>
      </c>
      <c r="E902" s="218">
        <v>10990.0</v>
      </c>
      <c r="F902" s="3" t="s">
        <v>5279</v>
      </c>
      <c r="G902" s="220">
        <v>43223.0</v>
      </c>
    </row>
    <row r="903">
      <c r="A903" s="217">
        <v>43223.53793663194</v>
      </c>
      <c r="B903" s="218" t="s">
        <v>5184</v>
      </c>
      <c r="C903" s="218" t="s">
        <v>5308</v>
      </c>
      <c r="D903" s="221">
        <v>1.0</v>
      </c>
      <c r="E903" s="218">
        <v>6725.0</v>
      </c>
      <c r="F903" s="3" t="s">
        <v>5304</v>
      </c>
      <c r="G903" s="220">
        <v>43223.0</v>
      </c>
    </row>
    <row r="904">
      <c r="A904" s="217">
        <v>43223.539153125</v>
      </c>
      <c r="B904" s="218" t="s">
        <v>5184</v>
      </c>
      <c r="C904" s="218" t="s">
        <v>5318</v>
      </c>
      <c r="D904" s="221">
        <v>1.0</v>
      </c>
      <c r="E904" s="218">
        <v>6725.0</v>
      </c>
      <c r="F904" s="3" t="s">
        <v>5304</v>
      </c>
      <c r="G904" s="220">
        <v>43223.0</v>
      </c>
    </row>
    <row r="905">
      <c r="A905" s="217">
        <v>43223.54159148148</v>
      </c>
      <c r="B905" s="218" t="s">
        <v>5184</v>
      </c>
      <c r="C905" s="218" t="s">
        <v>6012</v>
      </c>
      <c r="D905" s="221">
        <v>1.0</v>
      </c>
      <c r="E905" s="218">
        <v>6725.0</v>
      </c>
      <c r="F905" s="3" t="s">
        <v>5304</v>
      </c>
      <c r="G905" s="220">
        <v>43223.0</v>
      </c>
    </row>
    <row r="906">
      <c r="A906" s="217">
        <v>43223.54278233796</v>
      </c>
      <c r="B906" s="218" t="s">
        <v>5184</v>
      </c>
      <c r="C906" s="218" t="s">
        <v>5597</v>
      </c>
      <c r="D906" s="221">
        <v>1.0</v>
      </c>
      <c r="E906" s="218">
        <v>1800.0</v>
      </c>
      <c r="F906" s="3" t="s">
        <v>5625</v>
      </c>
      <c r="G906" s="220">
        <v>43223.0</v>
      </c>
    </row>
    <row r="907">
      <c r="A907" s="217">
        <v>43223.54394315972</v>
      </c>
      <c r="B907" s="218" t="s">
        <v>5184</v>
      </c>
      <c r="C907" s="218" t="s">
        <v>5555</v>
      </c>
      <c r="D907" s="221">
        <v>1.0</v>
      </c>
      <c r="E907" s="218">
        <v>1800.0</v>
      </c>
      <c r="F907" s="3" t="s">
        <v>5625</v>
      </c>
      <c r="G907" s="220">
        <v>43222.0</v>
      </c>
    </row>
    <row r="908">
      <c r="A908" s="217">
        <v>43223.55875813657</v>
      </c>
      <c r="B908" s="218" t="s">
        <v>5184</v>
      </c>
      <c r="C908" s="218" t="s">
        <v>4520</v>
      </c>
      <c r="D908" s="221">
        <v>1.0</v>
      </c>
      <c r="E908" s="218">
        <v>2495.0</v>
      </c>
      <c r="F908" s="3" t="s">
        <v>5293</v>
      </c>
      <c r="G908" s="220">
        <v>43218.0</v>
      </c>
    </row>
    <row r="909">
      <c r="A909" s="217">
        <v>43223.58448489584</v>
      </c>
      <c r="B909" s="218" t="s">
        <v>5184</v>
      </c>
      <c r="C909" s="218" t="s">
        <v>5879</v>
      </c>
      <c r="D909" s="221">
        <v>1.0</v>
      </c>
      <c r="E909" s="218">
        <v>9000.0</v>
      </c>
      <c r="F909" s="3" t="s">
        <v>5304</v>
      </c>
      <c r="G909" s="220">
        <v>43220.0</v>
      </c>
    </row>
    <row r="910">
      <c r="A910" s="217">
        <v>43223.59415916666</v>
      </c>
      <c r="B910" s="218" t="s">
        <v>5184</v>
      </c>
      <c r="C910" s="218" t="s">
        <v>4832</v>
      </c>
      <c r="D910" s="221">
        <v>1.0</v>
      </c>
      <c r="E910" s="218">
        <v>1495.0</v>
      </c>
      <c r="F910" s="3" t="s">
        <v>5298</v>
      </c>
      <c r="G910" s="220">
        <v>43223.0</v>
      </c>
    </row>
    <row r="911">
      <c r="A911" s="217">
        <v>43223.71892818287</v>
      </c>
      <c r="B911" s="218" t="s">
        <v>5184</v>
      </c>
      <c r="C911" s="218" t="s">
        <v>4637</v>
      </c>
      <c r="D911" s="221">
        <v>1.0</v>
      </c>
      <c r="E911" s="218">
        <v>1750.0</v>
      </c>
      <c r="F911" s="3" t="s">
        <v>5298</v>
      </c>
      <c r="G911" s="220">
        <v>43223.0</v>
      </c>
    </row>
    <row r="912">
      <c r="A912" s="217">
        <v>43224.72542120371</v>
      </c>
      <c r="B912" s="218" t="s">
        <v>5184</v>
      </c>
      <c r="C912" s="218" t="s">
        <v>6022</v>
      </c>
      <c r="D912" s="221">
        <v>1.0</v>
      </c>
      <c r="E912" s="218">
        <v>6490.0</v>
      </c>
      <c r="F912" s="3" t="s">
        <v>5105</v>
      </c>
      <c r="G912" s="220">
        <v>43224.0</v>
      </c>
    </row>
    <row r="913">
      <c r="A913" s="217">
        <v>43224.72797371528</v>
      </c>
      <c r="B913" s="218" t="s">
        <v>5184</v>
      </c>
      <c r="C913" s="218" t="s">
        <v>5848</v>
      </c>
      <c r="D913" s="221">
        <v>1.0</v>
      </c>
      <c r="E913" s="218">
        <v>1000.0</v>
      </c>
      <c r="F913" s="3" t="s">
        <v>5787</v>
      </c>
      <c r="G913" s="220">
        <v>43222.0</v>
      </c>
    </row>
    <row r="914">
      <c r="A914" s="217">
        <v>43224.72872479167</v>
      </c>
      <c r="B914" s="218" t="s">
        <v>5184</v>
      </c>
      <c r="C914" s="218" t="s">
        <v>5893</v>
      </c>
      <c r="D914" s="221">
        <v>1.0</v>
      </c>
      <c r="E914" s="218">
        <v>250.0</v>
      </c>
      <c r="F914" s="3" t="s">
        <v>5787</v>
      </c>
      <c r="G914" s="220">
        <v>43222.0</v>
      </c>
    </row>
    <row r="915">
      <c r="A915" s="217">
        <v>43224.7298869213</v>
      </c>
      <c r="B915" s="218" t="s">
        <v>5184</v>
      </c>
      <c r="C915" s="218" t="s">
        <v>5976</v>
      </c>
      <c r="D915" s="221">
        <v>1.0</v>
      </c>
      <c r="E915" s="218">
        <v>400.0</v>
      </c>
      <c r="F915" s="3" t="s">
        <v>5787</v>
      </c>
      <c r="G915" s="220">
        <v>43223.0</v>
      </c>
    </row>
    <row r="916">
      <c r="A916" s="217">
        <v>43224.730635775464</v>
      </c>
      <c r="B916" s="218" t="s">
        <v>5184</v>
      </c>
      <c r="C916" s="218" t="s">
        <v>5789</v>
      </c>
      <c r="D916" s="221">
        <v>1.0</v>
      </c>
      <c r="E916" s="218">
        <v>300.0</v>
      </c>
      <c r="F916" s="3" t="s">
        <v>5787</v>
      </c>
      <c r="G916" s="220">
        <v>43223.0</v>
      </c>
    </row>
    <row r="917">
      <c r="A917" s="217">
        <v>43225.54484635417</v>
      </c>
      <c r="B917" s="218" t="s">
        <v>5184</v>
      </c>
      <c r="C917" s="218" t="s">
        <v>1461</v>
      </c>
      <c r="D917" s="221">
        <v>1.0</v>
      </c>
      <c r="E917" s="218">
        <v>1800.0</v>
      </c>
      <c r="F917" s="3" t="s">
        <v>5625</v>
      </c>
      <c r="G917" s="220">
        <v>43225.0</v>
      </c>
    </row>
    <row r="918">
      <c r="A918" s="217">
        <v>43225.54601476852</v>
      </c>
      <c r="B918" s="218" t="s">
        <v>5184</v>
      </c>
      <c r="C918" s="218" t="s">
        <v>5566</v>
      </c>
      <c r="D918" s="221">
        <v>1.0</v>
      </c>
      <c r="E918" s="218">
        <v>1800.0</v>
      </c>
      <c r="F918" s="3" t="s">
        <v>5625</v>
      </c>
      <c r="G918" s="220">
        <v>43225.0</v>
      </c>
    </row>
    <row r="919">
      <c r="A919" s="217">
        <v>43225.54738795139</v>
      </c>
      <c r="B919" s="218" t="s">
        <v>5184</v>
      </c>
      <c r="C919" s="218" t="s">
        <v>5561</v>
      </c>
      <c r="D919" s="221">
        <v>1.0</v>
      </c>
      <c r="E919" s="218">
        <v>1800.0</v>
      </c>
      <c r="F919" s="3" t="s">
        <v>5625</v>
      </c>
      <c r="G919" s="220">
        <v>43225.0</v>
      </c>
    </row>
    <row r="920">
      <c r="A920" s="217">
        <v>43225.54863827546</v>
      </c>
      <c r="B920" s="218" t="s">
        <v>5184</v>
      </c>
      <c r="C920" s="218" t="s">
        <v>6028</v>
      </c>
      <c r="D920" s="221">
        <v>1.0</v>
      </c>
      <c r="E920" s="218">
        <v>1800.0</v>
      </c>
      <c r="F920" s="3" t="s">
        <v>5625</v>
      </c>
      <c r="G920" s="220">
        <v>43225.0</v>
      </c>
    </row>
    <row r="921">
      <c r="A921" s="217">
        <v>43225.549570682866</v>
      </c>
      <c r="B921" s="218" t="s">
        <v>5184</v>
      </c>
      <c r="C921" s="218" t="s">
        <v>5565</v>
      </c>
      <c r="D921" s="221">
        <v>1.0</v>
      </c>
      <c r="E921" s="218">
        <v>1800.0</v>
      </c>
      <c r="F921" s="3" t="s">
        <v>5625</v>
      </c>
      <c r="G921" s="220">
        <v>43225.0</v>
      </c>
    </row>
    <row r="922">
      <c r="A922" s="217">
        <v>43225.563701122686</v>
      </c>
      <c r="B922" s="218" t="s">
        <v>5184</v>
      </c>
      <c r="C922" s="218" t="s">
        <v>5893</v>
      </c>
      <c r="D922" s="221">
        <v>1.0</v>
      </c>
      <c r="E922" s="218">
        <v>250.0</v>
      </c>
      <c r="F922" s="3" t="s">
        <v>5787</v>
      </c>
      <c r="G922" s="220">
        <v>43224.0</v>
      </c>
    </row>
    <row r="923">
      <c r="A923" s="217">
        <v>43225.56667645833</v>
      </c>
      <c r="B923" s="218" t="s">
        <v>5184</v>
      </c>
      <c r="C923" s="218" t="s">
        <v>5789</v>
      </c>
      <c r="D923" s="221">
        <v>1.0</v>
      </c>
      <c r="E923" s="218">
        <v>400.0</v>
      </c>
      <c r="F923" s="3" t="s">
        <v>5787</v>
      </c>
      <c r="G923" s="220">
        <v>43224.0</v>
      </c>
    </row>
    <row r="924">
      <c r="A924" s="217">
        <v>43225.56907831019</v>
      </c>
      <c r="B924" s="218" t="s">
        <v>5184</v>
      </c>
      <c r="C924" s="218" t="s">
        <v>5496</v>
      </c>
      <c r="D924" s="221">
        <v>1.0</v>
      </c>
      <c r="E924" s="218">
        <v>3990.0</v>
      </c>
      <c r="F924" s="3" t="s">
        <v>5494</v>
      </c>
      <c r="G924" s="220">
        <v>43224.0</v>
      </c>
    </row>
    <row r="925">
      <c r="A925" s="217">
        <v>43225.57187313658</v>
      </c>
      <c r="B925" s="218" t="s">
        <v>5184</v>
      </c>
      <c r="C925" s="218" t="s">
        <v>5782</v>
      </c>
      <c r="D925" s="221">
        <v>1.0</v>
      </c>
      <c r="E925" s="218">
        <v>400.0</v>
      </c>
      <c r="F925" s="3" t="s">
        <v>5787</v>
      </c>
      <c r="G925" s="220">
        <v>43225.0</v>
      </c>
    </row>
    <row r="926">
      <c r="A926" s="217">
        <v>43225.57266210648</v>
      </c>
      <c r="B926" s="218" t="s">
        <v>5184</v>
      </c>
      <c r="C926" s="218" t="s">
        <v>5848</v>
      </c>
      <c r="D926" s="221">
        <v>1.0</v>
      </c>
      <c r="E926" s="218">
        <v>1000.0</v>
      </c>
      <c r="F926" s="3" t="s">
        <v>5787</v>
      </c>
      <c r="G926" s="220">
        <v>43225.0</v>
      </c>
    </row>
    <row r="927">
      <c r="A927" s="217">
        <v>43227.514756261575</v>
      </c>
      <c r="B927" s="218" t="s">
        <v>5184</v>
      </c>
      <c r="C927" s="218" t="s">
        <v>6032</v>
      </c>
      <c r="D927" s="221">
        <v>1.0</v>
      </c>
      <c r="E927" s="218">
        <v>1000.0</v>
      </c>
      <c r="G927" s="220">
        <v>43225.0</v>
      </c>
    </row>
    <row r="928">
      <c r="A928" s="217">
        <v>43227.51720298611</v>
      </c>
      <c r="B928" s="218" t="s">
        <v>5184</v>
      </c>
      <c r="C928" s="218" t="s">
        <v>5420</v>
      </c>
      <c r="D928" s="221">
        <v>1.0</v>
      </c>
      <c r="E928" s="218">
        <v>7290.0</v>
      </c>
      <c r="F928" s="3" t="s">
        <v>5404</v>
      </c>
      <c r="G928" s="220">
        <v>43227.0</v>
      </c>
    </row>
    <row r="929">
      <c r="A929" s="217">
        <v>43227.51867469907</v>
      </c>
      <c r="B929" s="218" t="s">
        <v>5184</v>
      </c>
      <c r="C929" s="218" t="s">
        <v>4526</v>
      </c>
      <c r="D929" s="221">
        <v>1.0</v>
      </c>
      <c r="E929" s="218">
        <v>1650.0</v>
      </c>
      <c r="F929" s="3" t="s">
        <v>5246</v>
      </c>
      <c r="G929" s="220">
        <v>43227.0</v>
      </c>
    </row>
    <row r="930">
      <c r="A930" s="217">
        <v>43227.520655671295</v>
      </c>
      <c r="B930" s="218" t="s">
        <v>5184</v>
      </c>
      <c r="C930" s="218" t="s">
        <v>4500</v>
      </c>
      <c r="D930" s="221">
        <v>1.0</v>
      </c>
      <c r="E930" s="218">
        <v>1850.0</v>
      </c>
      <c r="F930" s="3" t="s">
        <v>5212</v>
      </c>
      <c r="G930" s="220">
        <v>43227.0</v>
      </c>
    </row>
    <row r="931">
      <c r="A931" s="217">
        <v>43227.5297982176</v>
      </c>
      <c r="B931" s="218" t="s">
        <v>5184</v>
      </c>
      <c r="C931" s="218" t="s">
        <v>5409</v>
      </c>
      <c r="D931" s="221">
        <v>1.0</v>
      </c>
      <c r="E931" s="218">
        <v>4790.0</v>
      </c>
      <c r="G931" s="220">
        <v>43227.0</v>
      </c>
    </row>
    <row r="932">
      <c r="A932" s="217">
        <v>43227.534478078705</v>
      </c>
      <c r="B932" s="218" t="s">
        <v>5184</v>
      </c>
      <c r="C932" s="234" t="s">
        <v>6036</v>
      </c>
      <c r="D932" s="221">
        <v>1.0</v>
      </c>
      <c r="E932" s="218">
        <v>400.0</v>
      </c>
      <c r="G932" s="220">
        <v>43225.0</v>
      </c>
    </row>
    <row r="933">
      <c r="A933" s="217">
        <v>43227.54144271991</v>
      </c>
      <c r="B933" s="218" t="s">
        <v>5184</v>
      </c>
      <c r="C933" s="234" t="s">
        <v>6038</v>
      </c>
      <c r="D933" s="221">
        <v>1.0</v>
      </c>
      <c r="E933" s="218">
        <v>350.0</v>
      </c>
      <c r="G933" s="220">
        <v>43225.0</v>
      </c>
    </row>
    <row r="934">
      <c r="A934" s="217">
        <v>43227.71383177083</v>
      </c>
      <c r="B934" s="218" t="s">
        <v>5184</v>
      </c>
      <c r="C934" s="218" t="s">
        <v>6001</v>
      </c>
      <c r="D934" s="221">
        <v>1.0</v>
      </c>
      <c r="E934" s="218">
        <v>500.0</v>
      </c>
      <c r="F934" s="3" t="s">
        <v>5787</v>
      </c>
      <c r="G934" s="220">
        <v>43226.0</v>
      </c>
    </row>
    <row r="935">
      <c r="A935" s="217">
        <v>43227.71504635416</v>
      </c>
      <c r="B935" s="218" t="s">
        <v>5184</v>
      </c>
      <c r="C935" s="218" t="s">
        <v>6001</v>
      </c>
      <c r="D935" s="221">
        <v>1.0</v>
      </c>
      <c r="E935" s="218">
        <v>500.0</v>
      </c>
      <c r="F935" s="3" t="s">
        <v>5787</v>
      </c>
      <c r="G935" s="220">
        <v>43226.0</v>
      </c>
    </row>
    <row r="936">
      <c r="A936" s="217">
        <v>43227.71669548611</v>
      </c>
      <c r="B936" s="218" t="s">
        <v>5184</v>
      </c>
      <c r="C936" s="218" t="s">
        <v>5786</v>
      </c>
      <c r="D936" s="221">
        <v>1.0</v>
      </c>
      <c r="E936" s="218">
        <v>300.0</v>
      </c>
      <c r="F936" s="3" t="s">
        <v>5787</v>
      </c>
      <c r="G936" s="220">
        <v>43226.0</v>
      </c>
    </row>
    <row r="937">
      <c r="A937" s="217">
        <v>43227.72152153935</v>
      </c>
      <c r="B937" s="218" t="s">
        <v>5184</v>
      </c>
      <c r="C937" s="234" t="s">
        <v>2545</v>
      </c>
      <c r="D937" s="221">
        <v>1.0</v>
      </c>
      <c r="E937" s="218">
        <v>200.0</v>
      </c>
      <c r="F937" s="3" t="s">
        <v>5787</v>
      </c>
      <c r="G937" s="220">
        <v>43226.0</v>
      </c>
    </row>
    <row r="938">
      <c r="A938" s="217">
        <v>43228.43127497685</v>
      </c>
      <c r="B938" s="218" t="s">
        <v>5184</v>
      </c>
      <c r="C938" s="218" t="s">
        <v>4624</v>
      </c>
      <c r="D938" s="221">
        <v>1.0</v>
      </c>
      <c r="E938" s="24"/>
      <c r="F938" s="3" t="s">
        <v>5246</v>
      </c>
      <c r="G938" s="220">
        <v>43227.0</v>
      </c>
    </row>
    <row r="939">
      <c r="A939" s="217">
        <v>43228.581217847226</v>
      </c>
      <c r="B939" s="218" t="s">
        <v>2322</v>
      </c>
      <c r="C939" s="234" t="s">
        <v>6046</v>
      </c>
      <c r="D939" s="219">
        <v>1.0</v>
      </c>
      <c r="E939" s="218">
        <v>2375.0</v>
      </c>
      <c r="G939" s="220">
        <v>43228.0</v>
      </c>
    </row>
    <row r="940">
      <c r="A940" s="217">
        <v>43228.71041341435</v>
      </c>
      <c r="B940" s="218" t="s">
        <v>5184</v>
      </c>
      <c r="C940" s="218" t="s">
        <v>5818</v>
      </c>
      <c r="D940" s="221">
        <v>1.0</v>
      </c>
      <c r="E940" s="218">
        <v>300.0</v>
      </c>
      <c r="F940" s="3" t="s">
        <v>5787</v>
      </c>
      <c r="G940" s="220">
        <v>43227.0</v>
      </c>
    </row>
    <row r="941">
      <c r="A941" s="217">
        <v>43228.71145122685</v>
      </c>
      <c r="B941" s="218" t="s">
        <v>5184</v>
      </c>
      <c r="C941" s="234" t="s">
        <v>6036</v>
      </c>
      <c r="D941" s="221">
        <v>1.0</v>
      </c>
      <c r="E941" s="218">
        <v>400.0</v>
      </c>
      <c r="F941" s="3" t="s">
        <v>5787</v>
      </c>
      <c r="G941" s="220">
        <v>43227.0</v>
      </c>
    </row>
    <row r="942">
      <c r="A942" s="217">
        <v>43228.71206888889</v>
      </c>
      <c r="B942" s="218" t="s">
        <v>5184</v>
      </c>
      <c r="C942" s="234" t="s">
        <v>6038</v>
      </c>
      <c r="D942" s="221">
        <v>1.0</v>
      </c>
      <c r="E942" s="218">
        <v>350.0</v>
      </c>
      <c r="G942" s="220">
        <v>43227.0</v>
      </c>
    </row>
    <row r="943">
      <c r="A943" s="217">
        <v>43228.71312392361</v>
      </c>
      <c r="B943" s="218" t="s">
        <v>5184</v>
      </c>
      <c r="C943" s="218" t="s">
        <v>5782</v>
      </c>
      <c r="D943" s="221">
        <v>1.0</v>
      </c>
      <c r="E943" s="218">
        <v>400.0</v>
      </c>
      <c r="F943" s="3" t="s">
        <v>5787</v>
      </c>
      <c r="G943" s="220">
        <v>43227.0</v>
      </c>
    </row>
    <row r="944">
      <c r="A944" s="217">
        <v>43228.713801192134</v>
      </c>
      <c r="B944" s="218" t="s">
        <v>5184</v>
      </c>
      <c r="C944" s="218" t="s">
        <v>5818</v>
      </c>
      <c r="D944" s="221">
        <v>1.0</v>
      </c>
      <c r="E944" s="218">
        <v>300.0</v>
      </c>
      <c r="F944" s="3" t="s">
        <v>5787</v>
      </c>
      <c r="G944" s="220">
        <v>43227.0</v>
      </c>
    </row>
    <row r="945">
      <c r="A945" s="217">
        <v>43228.71543949074</v>
      </c>
      <c r="B945" s="218" t="s">
        <v>5184</v>
      </c>
      <c r="C945" s="234" t="s">
        <v>6053</v>
      </c>
      <c r="D945" s="221">
        <v>1.0</v>
      </c>
      <c r="E945" s="218">
        <v>300.0</v>
      </c>
      <c r="F945" s="3" t="s">
        <v>5787</v>
      </c>
      <c r="G945" s="220">
        <v>43227.0</v>
      </c>
    </row>
    <row r="946">
      <c r="A946" s="217">
        <v>43228.71629671296</v>
      </c>
      <c r="B946" s="218" t="s">
        <v>5184</v>
      </c>
      <c r="C946" s="218" t="s">
        <v>5818</v>
      </c>
      <c r="D946" s="221">
        <v>1.0</v>
      </c>
      <c r="E946" s="218">
        <v>300.0</v>
      </c>
      <c r="F946" s="3" t="s">
        <v>5787</v>
      </c>
      <c r="G946" s="220">
        <v>43227.0</v>
      </c>
    </row>
    <row r="947">
      <c r="A947" s="217">
        <v>43228.717011967594</v>
      </c>
      <c r="B947" s="218" t="s">
        <v>5184</v>
      </c>
      <c r="C947" s="218" t="s">
        <v>5804</v>
      </c>
      <c r="D947" s="221">
        <v>1.0</v>
      </c>
      <c r="E947" s="218">
        <v>300.0</v>
      </c>
      <c r="F947" s="3" t="s">
        <v>5787</v>
      </c>
      <c r="G947" s="220">
        <v>43227.0</v>
      </c>
    </row>
    <row r="948">
      <c r="A948" s="217">
        <v>43228.717752013894</v>
      </c>
      <c r="B948" s="218" t="s">
        <v>5184</v>
      </c>
      <c r="C948" s="234" t="s">
        <v>6038</v>
      </c>
      <c r="D948" s="221">
        <v>1.0</v>
      </c>
      <c r="E948" s="218">
        <v>350.0</v>
      </c>
      <c r="G948" s="220">
        <v>43227.0</v>
      </c>
    </row>
    <row r="949">
      <c r="A949" s="217">
        <v>43228.723409004626</v>
      </c>
      <c r="B949" s="218" t="s">
        <v>5184</v>
      </c>
      <c r="C949" s="218" t="s">
        <v>5804</v>
      </c>
      <c r="D949" s="221">
        <v>1.0</v>
      </c>
      <c r="E949" s="218">
        <v>300.0</v>
      </c>
      <c r="F949" s="3" t="s">
        <v>5787</v>
      </c>
      <c r="G949" s="220">
        <v>43228.0</v>
      </c>
    </row>
    <row r="950">
      <c r="A950" s="217">
        <v>43228.724072060184</v>
      </c>
      <c r="B950" s="218" t="s">
        <v>5184</v>
      </c>
      <c r="C950" s="234" t="s">
        <v>6038</v>
      </c>
      <c r="D950" s="221">
        <v>1.0</v>
      </c>
      <c r="E950" s="218">
        <v>350.0</v>
      </c>
      <c r="G950" s="220">
        <v>43228.0</v>
      </c>
    </row>
    <row r="951">
      <c r="A951" s="217">
        <v>43228.72499107639</v>
      </c>
      <c r="B951" s="218" t="s">
        <v>5184</v>
      </c>
      <c r="C951" s="234" t="s">
        <v>6053</v>
      </c>
      <c r="D951" s="221">
        <v>1.0</v>
      </c>
      <c r="E951" s="218">
        <v>300.0</v>
      </c>
      <c r="G951" s="220">
        <v>43228.0</v>
      </c>
    </row>
    <row r="952">
      <c r="A952" s="217">
        <v>43228.7256753588</v>
      </c>
      <c r="B952" s="218" t="s">
        <v>5184</v>
      </c>
      <c r="C952" s="234" t="s">
        <v>284</v>
      </c>
      <c r="D952" s="221">
        <v>1.0</v>
      </c>
      <c r="E952" s="218">
        <v>350.0</v>
      </c>
      <c r="G952" s="220">
        <v>43228.0</v>
      </c>
    </row>
    <row r="953">
      <c r="A953" s="217">
        <v>43229.460545277776</v>
      </c>
      <c r="B953" s="218" t="s">
        <v>5184</v>
      </c>
      <c r="C953" s="218" t="s">
        <v>4526</v>
      </c>
      <c r="D953" s="221">
        <v>1.0</v>
      </c>
      <c r="E953" s="218">
        <v>1850.0</v>
      </c>
      <c r="F953" s="3" t="s">
        <v>5246</v>
      </c>
      <c r="G953" s="220">
        <v>43229.0</v>
      </c>
    </row>
    <row r="954">
      <c r="A954" s="217">
        <v>43231.492590925925</v>
      </c>
      <c r="B954" s="218" t="s">
        <v>5184</v>
      </c>
      <c r="C954" s="218" t="s">
        <v>5786</v>
      </c>
      <c r="D954" s="221">
        <v>1.0</v>
      </c>
      <c r="E954" s="218">
        <v>300.0</v>
      </c>
      <c r="F954" s="3" t="s">
        <v>5787</v>
      </c>
      <c r="G954" s="220">
        <v>43229.0</v>
      </c>
    </row>
    <row r="955">
      <c r="A955" s="217">
        <v>43231.49386474537</v>
      </c>
      <c r="B955" s="218" t="s">
        <v>5184</v>
      </c>
      <c r="C955" s="234" t="s">
        <v>6053</v>
      </c>
      <c r="D955" s="221">
        <v>1.0</v>
      </c>
      <c r="E955" s="218">
        <v>300.0</v>
      </c>
      <c r="F955" s="3" t="s">
        <v>5787</v>
      </c>
      <c r="G955" s="220">
        <v>43229.0</v>
      </c>
    </row>
    <row r="956">
      <c r="A956" s="217">
        <v>43231.494799189815</v>
      </c>
      <c r="B956" s="218" t="s">
        <v>5184</v>
      </c>
      <c r="C956" s="218" t="s">
        <v>5818</v>
      </c>
      <c r="D956" s="221">
        <v>1.0</v>
      </c>
      <c r="E956" s="218">
        <v>300.0</v>
      </c>
      <c r="F956" s="3" t="s">
        <v>5787</v>
      </c>
      <c r="G956" s="220">
        <v>43229.0</v>
      </c>
    </row>
    <row r="957">
      <c r="A957" s="217">
        <v>43231.49614270833</v>
      </c>
      <c r="B957" s="218" t="s">
        <v>5184</v>
      </c>
      <c r="C957" s="218" t="s">
        <v>5789</v>
      </c>
      <c r="D957" s="221">
        <v>1.0</v>
      </c>
      <c r="E957" s="218">
        <v>400.0</v>
      </c>
      <c r="F957" s="3" t="s">
        <v>5787</v>
      </c>
      <c r="G957" s="220">
        <v>43229.0</v>
      </c>
    </row>
    <row r="958">
      <c r="A958" s="217">
        <v>43231.49805921296</v>
      </c>
      <c r="B958" s="218" t="s">
        <v>5184</v>
      </c>
      <c r="C958" s="218" t="s">
        <v>6066</v>
      </c>
      <c r="D958" s="221">
        <v>1.0</v>
      </c>
      <c r="E958" s="218">
        <v>1600.0</v>
      </c>
      <c r="F958" s="3" t="s">
        <v>5625</v>
      </c>
      <c r="G958" s="220">
        <v>43229.0</v>
      </c>
    </row>
    <row r="959">
      <c r="A959" s="217">
        <v>43231.500535416664</v>
      </c>
      <c r="B959" s="218" t="s">
        <v>5184</v>
      </c>
      <c r="C959" s="218" t="s">
        <v>5786</v>
      </c>
      <c r="D959" s="221">
        <v>1.0</v>
      </c>
      <c r="E959" s="218">
        <v>300.0</v>
      </c>
      <c r="F959" s="3" t="s">
        <v>5787</v>
      </c>
      <c r="G959" s="220">
        <v>43230.0</v>
      </c>
    </row>
    <row r="960">
      <c r="A960" s="217">
        <v>43231.55661020833</v>
      </c>
      <c r="B960" s="218" t="s">
        <v>5184</v>
      </c>
      <c r="C960" s="234" t="s">
        <v>6038</v>
      </c>
      <c r="D960" s="221">
        <v>1.0</v>
      </c>
      <c r="E960" s="218">
        <v>350.0</v>
      </c>
      <c r="F960" s="3" t="s">
        <v>5787</v>
      </c>
      <c r="G960" s="220">
        <v>43230.0</v>
      </c>
    </row>
    <row r="961">
      <c r="A961" s="217">
        <v>43231.59804099537</v>
      </c>
      <c r="B961" s="218" t="s">
        <v>5184</v>
      </c>
      <c r="C961" s="218" t="s">
        <v>5664</v>
      </c>
      <c r="D961" s="221">
        <v>1.0</v>
      </c>
      <c r="E961" s="218">
        <v>2000.0</v>
      </c>
      <c r="F961" s="3" t="s">
        <v>5625</v>
      </c>
      <c r="G961" s="220">
        <v>43231.0</v>
      </c>
    </row>
    <row r="962">
      <c r="A962" s="217">
        <v>43231.608005358794</v>
      </c>
      <c r="B962" s="218" t="s">
        <v>5184</v>
      </c>
      <c r="C962" s="218" t="s">
        <v>6070</v>
      </c>
      <c r="D962" s="221">
        <v>1.0</v>
      </c>
      <c r="E962" s="218">
        <v>2000.0</v>
      </c>
      <c r="F962" s="3" t="s">
        <v>5625</v>
      </c>
      <c r="G962" s="220">
        <v>43231.0</v>
      </c>
    </row>
    <row r="963">
      <c r="A963" s="217">
        <v>43231.61957217593</v>
      </c>
      <c r="B963" s="218" t="s">
        <v>5184</v>
      </c>
      <c r="C963" s="218" t="s">
        <v>5661</v>
      </c>
      <c r="D963" s="221">
        <v>1.0</v>
      </c>
      <c r="E963" s="218">
        <v>2000.0</v>
      </c>
      <c r="F963" s="3" t="s">
        <v>5625</v>
      </c>
      <c r="G963" s="220">
        <v>43231.0</v>
      </c>
    </row>
    <row r="964">
      <c r="A964" s="217">
        <v>43231.62749329861</v>
      </c>
      <c r="B964" s="218" t="s">
        <v>5184</v>
      </c>
      <c r="C964" s="218" t="s">
        <v>6071</v>
      </c>
      <c r="D964" s="221">
        <v>1.0</v>
      </c>
      <c r="E964" s="218">
        <v>3290.0</v>
      </c>
      <c r="G964" s="220">
        <v>43231.0</v>
      </c>
    </row>
    <row r="965">
      <c r="A965" s="217">
        <v>43232.630724409726</v>
      </c>
      <c r="B965" s="218" t="s">
        <v>5092</v>
      </c>
      <c r="C965" s="218" t="s">
        <v>6072</v>
      </c>
      <c r="D965" s="219">
        <v>1.0</v>
      </c>
      <c r="E965" s="218">
        <v>13000.0</v>
      </c>
      <c r="F965" s="3" t="s">
        <v>5212</v>
      </c>
      <c r="G965" s="220">
        <v>43232.0</v>
      </c>
    </row>
    <row r="966">
      <c r="A966" s="217">
        <v>43232.63181841435</v>
      </c>
      <c r="B966" s="218" t="s">
        <v>5092</v>
      </c>
      <c r="C966" s="218" t="s">
        <v>6074</v>
      </c>
      <c r="D966" s="219">
        <v>1.0</v>
      </c>
      <c r="E966" s="218">
        <v>13500.0</v>
      </c>
      <c r="F966" s="3" t="s">
        <v>5212</v>
      </c>
      <c r="G966" s="220">
        <v>43232.0</v>
      </c>
    </row>
    <row r="967">
      <c r="A967" s="217">
        <v>43232.6329733912</v>
      </c>
      <c r="B967" s="218" t="s">
        <v>5092</v>
      </c>
      <c r="C967" s="218" t="s">
        <v>2088</v>
      </c>
      <c r="D967" s="219">
        <v>1.0</v>
      </c>
      <c r="E967" s="218">
        <v>12000.0</v>
      </c>
      <c r="F967" s="3" t="s">
        <v>5212</v>
      </c>
      <c r="G967" s="220">
        <v>43232.0</v>
      </c>
    </row>
    <row r="968">
      <c r="A968" s="217">
        <v>43232.634785891205</v>
      </c>
      <c r="B968" s="218" t="s">
        <v>2322</v>
      </c>
      <c r="C968" s="218" t="s">
        <v>4520</v>
      </c>
      <c r="D968" s="219">
        <v>1.0</v>
      </c>
      <c r="E968" s="218">
        <v>2495.0</v>
      </c>
      <c r="F968" s="3" t="s">
        <v>5293</v>
      </c>
      <c r="G968" s="220">
        <v>43232.0</v>
      </c>
    </row>
    <row r="969">
      <c r="A969" s="217">
        <v>43232.638810000004</v>
      </c>
      <c r="B969" s="218" t="s">
        <v>2322</v>
      </c>
      <c r="C969" s="218" t="s">
        <v>1930</v>
      </c>
      <c r="D969" s="219">
        <v>1.0</v>
      </c>
      <c r="E969" s="218">
        <v>5490.0</v>
      </c>
      <c r="G969" s="220">
        <v>43232.0</v>
      </c>
    </row>
    <row r="970">
      <c r="A970" s="217">
        <v>43233.42594296296</v>
      </c>
      <c r="B970" s="218" t="s">
        <v>5184</v>
      </c>
      <c r="C970" s="234" t="s">
        <v>6081</v>
      </c>
      <c r="D970" s="221">
        <v>1.0</v>
      </c>
      <c r="E970" s="24"/>
      <c r="G970" s="220">
        <v>43232.0</v>
      </c>
    </row>
    <row r="971">
      <c r="A971" s="217">
        <v>43233.45532165509</v>
      </c>
      <c r="B971" s="218" t="s">
        <v>5184</v>
      </c>
      <c r="C971" s="218" t="s">
        <v>5838</v>
      </c>
      <c r="D971" s="221">
        <v>1.0</v>
      </c>
      <c r="E971" s="218">
        <v>2100.0</v>
      </c>
      <c r="F971" s="3" t="s">
        <v>5833</v>
      </c>
      <c r="G971" s="220">
        <v>43231.0</v>
      </c>
    </row>
    <row r="972">
      <c r="A972" s="217">
        <v>43233.45609435185</v>
      </c>
      <c r="B972" s="218" t="s">
        <v>5184</v>
      </c>
      <c r="C972" s="218" t="s">
        <v>5782</v>
      </c>
      <c r="D972" s="221">
        <v>1.0</v>
      </c>
      <c r="E972" s="218">
        <v>400.0</v>
      </c>
      <c r="F972" s="3" t="s">
        <v>5787</v>
      </c>
      <c r="G972" s="220">
        <v>43231.0</v>
      </c>
    </row>
    <row r="973">
      <c r="A973" s="217">
        <v>43233.45684648148</v>
      </c>
      <c r="B973" s="218" t="s">
        <v>5184</v>
      </c>
      <c r="C973" s="218" t="s">
        <v>5789</v>
      </c>
      <c r="D973" s="221">
        <v>1.0</v>
      </c>
      <c r="E973" s="218">
        <v>400.0</v>
      </c>
      <c r="F973" s="3" t="s">
        <v>5787</v>
      </c>
      <c r="G973" s="220">
        <v>43231.0</v>
      </c>
    </row>
    <row r="974">
      <c r="A974" s="217">
        <v>43233.45800076389</v>
      </c>
      <c r="B974" s="218" t="s">
        <v>5184</v>
      </c>
      <c r="C974" s="218" t="s">
        <v>5786</v>
      </c>
      <c r="D974" s="221">
        <v>1.0</v>
      </c>
      <c r="E974" s="218">
        <v>300.0</v>
      </c>
      <c r="F974" s="3" t="s">
        <v>5787</v>
      </c>
      <c r="G974" s="220">
        <v>43231.0</v>
      </c>
    </row>
    <row r="975">
      <c r="A975" s="217">
        <v>43233.46197118056</v>
      </c>
      <c r="B975" s="218" t="s">
        <v>5184</v>
      </c>
      <c r="C975" s="234" t="s">
        <v>6036</v>
      </c>
      <c r="D975" s="221">
        <v>1.0</v>
      </c>
      <c r="E975" s="218">
        <v>400.0</v>
      </c>
      <c r="G975" s="220">
        <v>43231.0</v>
      </c>
    </row>
    <row r="976">
      <c r="A976" s="217">
        <v>43233.462815590276</v>
      </c>
      <c r="B976" s="218" t="s">
        <v>5184</v>
      </c>
      <c r="C976" s="234" t="s">
        <v>284</v>
      </c>
      <c r="D976" s="221">
        <v>1.0</v>
      </c>
      <c r="E976" s="218">
        <v>350.0</v>
      </c>
      <c r="G976" s="220">
        <v>43231.0</v>
      </c>
    </row>
    <row r="977">
      <c r="A977" s="217">
        <v>43233.51215405093</v>
      </c>
      <c r="B977" s="218" t="s">
        <v>5184</v>
      </c>
      <c r="C977" s="218" t="s">
        <v>6089</v>
      </c>
      <c r="D977" s="221">
        <v>1.0</v>
      </c>
      <c r="E977" s="218">
        <v>1000.0</v>
      </c>
      <c r="G977" s="220">
        <v>43231.0</v>
      </c>
    </row>
    <row r="978">
      <c r="A978" s="217">
        <v>43233.513757106484</v>
      </c>
      <c r="B978" s="218" t="s">
        <v>5184</v>
      </c>
      <c r="C978" s="218" t="s">
        <v>5789</v>
      </c>
      <c r="D978" s="221">
        <v>1.0</v>
      </c>
      <c r="E978" s="218">
        <v>400.0</v>
      </c>
      <c r="G978" s="220">
        <v>43232.0</v>
      </c>
    </row>
    <row r="979">
      <c r="A979" s="217">
        <v>43233.514389421296</v>
      </c>
      <c r="B979" s="218" t="s">
        <v>5184</v>
      </c>
      <c r="C979" s="218" t="s">
        <v>5818</v>
      </c>
      <c r="D979" s="221">
        <v>1.0</v>
      </c>
      <c r="E979" s="218">
        <v>300.0</v>
      </c>
      <c r="G979" s="220">
        <v>43232.0</v>
      </c>
    </row>
    <row r="980">
      <c r="A980" s="217">
        <v>43233.51606334491</v>
      </c>
      <c r="B980" s="218" t="s">
        <v>5184</v>
      </c>
      <c r="C980" s="218" t="s">
        <v>5789</v>
      </c>
      <c r="D980" s="221">
        <v>1.0</v>
      </c>
      <c r="E980" s="218">
        <v>400.0</v>
      </c>
      <c r="G980" s="220">
        <v>43232.0</v>
      </c>
    </row>
    <row r="981">
      <c r="A981" s="217">
        <v>43233.517450555555</v>
      </c>
      <c r="B981" s="218" t="s">
        <v>5184</v>
      </c>
      <c r="C981" s="218" t="s">
        <v>5818</v>
      </c>
      <c r="D981" s="221">
        <v>1.0</v>
      </c>
      <c r="E981" s="218">
        <v>300.0</v>
      </c>
      <c r="F981" s="3" t="s">
        <v>5787</v>
      </c>
      <c r="G981" s="220">
        <v>43232.0</v>
      </c>
    </row>
    <row r="982">
      <c r="A982" s="217">
        <v>43233.52058872685</v>
      </c>
      <c r="B982" s="218" t="s">
        <v>5184</v>
      </c>
      <c r="C982" s="218" t="s">
        <v>5786</v>
      </c>
      <c r="D982" s="221">
        <v>1.0</v>
      </c>
      <c r="E982" s="218">
        <v>300.0</v>
      </c>
      <c r="F982" s="3" t="s">
        <v>5787</v>
      </c>
      <c r="G982" s="220">
        <v>43232.0</v>
      </c>
    </row>
    <row r="983">
      <c r="A983" s="217">
        <v>43233.52208768518</v>
      </c>
      <c r="B983" s="218" t="s">
        <v>5184</v>
      </c>
      <c r="C983" s="218" t="s">
        <v>5786</v>
      </c>
      <c r="D983" s="221">
        <v>1.0</v>
      </c>
      <c r="E983" s="218">
        <v>300.0</v>
      </c>
      <c r="F983" s="3" t="s">
        <v>5787</v>
      </c>
      <c r="G983" s="220">
        <v>43232.0</v>
      </c>
    </row>
    <row r="984">
      <c r="A984" s="217">
        <v>43233.52334672454</v>
      </c>
      <c r="B984" s="218" t="s">
        <v>5184</v>
      </c>
      <c r="C984" s="218" t="s">
        <v>5786</v>
      </c>
      <c r="D984" s="221">
        <v>1.0</v>
      </c>
      <c r="E984" s="218">
        <v>300.0</v>
      </c>
      <c r="F984" s="3" t="s">
        <v>5787</v>
      </c>
      <c r="G984" s="220">
        <v>43232.0</v>
      </c>
    </row>
    <row r="985">
      <c r="A985" s="217">
        <v>43233.52408988426</v>
      </c>
      <c r="B985" s="218" t="s">
        <v>5184</v>
      </c>
      <c r="C985" s="218" t="s">
        <v>5818</v>
      </c>
      <c r="D985" s="221">
        <v>1.0</v>
      </c>
      <c r="E985" s="218">
        <v>300.0</v>
      </c>
      <c r="F985" s="3" t="s">
        <v>5787</v>
      </c>
      <c r="G985" s="220">
        <v>43232.0</v>
      </c>
    </row>
    <row r="986">
      <c r="A986" s="217">
        <v>43234.52864792824</v>
      </c>
      <c r="B986" s="218" t="s">
        <v>5184</v>
      </c>
      <c r="C986" s="218" t="s">
        <v>5419</v>
      </c>
      <c r="D986" s="221">
        <v>1.0</v>
      </c>
      <c r="E986" s="218">
        <v>4790.0</v>
      </c>
      <c r="G986" s="220">
        <v>43233.0</v>
      </c>
    </row>
    <row r="987">
      <c r="A987" s="217">
        <v>43235.62689484954</v>
      </c>
      <c r="B987" s="218" t="s">
        <v>5092</v>
      </c>
      <c r="C987" s="218" t="s">
        <v>5804</v>
      </c>
      <c r="D987" s="219">
        <v>44.0</v>
      </c>
      <c r="E987" s="218">
        <v>300.0</v>
      </c>
      <c r="F987" s="3" t="s">
        <v>5787</v>
      </c>
      <c r="G987" s="220">
        <v>43235.0</v>
      </c>
    </row>
    <row r="988">
      <c r="A988" s="217">
        <v>43235.630231655094</v>
      </c>
      <c r="B988" s="218" t="s">
        <v>5092</v>
      </c>
      <c r="C988" s="218" t="s">
        <v>6100</v>
      </c>
      <c r="D988" s="219">
        <v>1.0</v>
      </c>
      <c r="E988" s="218">
        <v>14820.0</v>
      </c>
      <c r="F988" s="3" t="s">
        <v>5212</v>
      </c>
      <c r="G988" s="220">
        <v>43235.0</v>
      </c>
    </row>
    <row r="989">
      <c r="A989" s="217">
        <v>43235.65106365741</v>
      </c>
      <c r="B989" s="218" t="s">
        <v>5092</v>
      </c>
      <c r="C989" s="218" t="s">
        <v>1058</v>
      </c>
      <c r="D989" s="219">
        <v>1.0</v>
      </c>
      <c r="E989" s="218">
        <v>1800.0</v>
      </c>
      <c r="F989" s="3" t="s">
        <v>5787</v>
      </c>
      <c r="G989" s="220">
        <v>43235.0</v>
      </c>
    </row>
    <row r="990">
      <c r="A990" s="217">
        <v>43235.65289341436</v>
      </c>
      <c r="B990" s="218" t="s">
        <v>5092</v>
      </c>
      <c r="C990" s="218" t="s">
        <v>6101</v>
      </c>
      <c r="D990" s="219">
        <v>1.0</v>
      </c>
      <c r="E990" s="218">
        <v>1800.0</v>
      </c>
      <c r="F990" s="3" t="s">
        <v>5787</v>
      </c>
      <c r="G990" s="220">
        <v>43235.0</v>
      </c>
    </row>
    <row r="991">
      <c r="A991" s="217">
        <v>43235.653635752315</v>
      </c>
      <c r="B991" s="218" t="s">
        <v>5092</v>
      </c>
      <c r="C991" s="218" t="s">
        <v>6102</v>
      </c>
      <c r="D991" s="219">
        <v>1.0</v>
      </c>
      <c r="E991" s="218">
        <v>1800.0</v>
      </c>
      <c r="G991" s="220">
        <v>43235.0</v>
      </c>
    </row>
    <row r="992">
      <c r="A992" s="217">
        <v>43235.6560874537</v>
      </c>
      <c r="B992" s="218" t="s">
        <v>5092</v>
      </c>
      <c r="C992" s="218" t="s">
        <v>6103</v>
      </c>
      <c r="D992" s="219">
        <v>1.0</v>
      </c>
      <c r="E992" s="218">
        <v>1800.0</v>
      </c>
      <c r="G992" s="220">
        <v>43235.0</v>
      </c>
    </row>
    <row r="993">
      <c r="A993" s="217">
        <v>43235.65876627315</v>
      </c>
      <c r="B993" s="218" t="s">
        <v>5092</v>
      </c>
      <c r="C993" s="218" t="s">
        <v>1059</v>
      </c>
      <c r="D993" s="219">
        <v>1.0</v>
      </c>
      <c r="E993" s="218">
        <v>1800.0</v>
      </c>
      <c r="G993" s="220">
        <v>43235.0</v>
      </c>
    </row>
    <row r="994">
      <c r="A994" s="217">
        <v>43235.66013109953</v>
      </c>
      <c r="B994" s="218" t="s">
        <v>5092</v>
      </c>
      <c r="C994" s="218" t="s">
        <v>1065</v>
      </c>
      <c r="D994" s="219">
        <v>1.0</v>
      </c>
      <c r="E994" s="218">
        <v>1800.0</v>
      </c>
      <c r="G994" s="220">
        <v>43235.0</v>
      </c>
    </row>
    <row r="995">
      <c r="A995" s="217">
        <v>43235.66280626158</v>
      </c>
      <c r="B995" s="218" t="s">
        <v>5092</v>
      </c>
      <c r="C995" s="218" t="s">
        <v>686</v>
      </c>
      <c r="D995" s="219">
        <v>1.0</v>
      </c>
      <c r="E995" s="218">
        <v>1800.0</v>
      </c>
      <c r="G995" s="220">
        <v>43235.0</v>
      </c>
    </row>
    <row r="996">
      <c r="A996" s="217">
        <v>43235.66393769676</v>
      </c>
      <c r="B996" s="218" t="s">
        <v>5092</v>
      </c>
      <c r="C996" s="218" t="s">
        <v>2096</v>
      </c>
      <c r="D996" s="219">
        <v>1.0</v>
      </c>
      <c r="E996" s="218">
        <v>1800.0</v>
      </c>
      <c r="G996" s="220">
        <v>43235.0</v>
      </c>
    </row>
    <row r="997">
      <c r="A997" s="217">
        <v>43235.66483332176</v>
      </c>
      <c r="B997" s="218" t="s">
        <v>5092</v>
      </c>
      <c r="C997" s="218" t="s">
        <v>1067</v>
      </c>
      <c r="D997" s="219">
        <v>1.0</v>
      </c>
      <c r="E997" s="218">
        <v>1800.0</v>
      </c>
      <c r="G997" s="220">
        <v>43235.0</v>
      </c>
    </row>
    <row r="998">
      <c r="A998" s="217">
        <v>43235.66545880787</v>
      </c>
      <c r="B998" s="218" t="s">
        <v>5092</v>
      </c>
      <c r="C998" s="218" t="s">
        <v>1068</v>
      </c>
      <c r="D998" s="219">
        <v>1.0</v>
      </c>
      <c r="E998" s="218">
        <v>1800.0</v>
      </c>
      <c r="G998" s="220">
        <v>43235.0</v>
      </c>
    </row>
    <row r="999">
      <c r="A999" s="217">
        <v>43235.66699413194</v>
      </c>
      <c r="B999" s="218" t="s">
        <v>5092</v>
      </c>
      <c r="C999" s="218" t="s">
        <v>6104</v>
      </c>
      <c r="D999" s="219">
        <v>1.0</v>
      </c>
      <c r="E999" s="218">
        <v>1800.0</v>
      </c>
      <c r="G999" s="220">
        <v>43235.0</v>
      </c>
    </row>
    <row r="1000">
      <c r="A1000" s="217">
        <v>43235.667628553245</v>
      </c>
      <c r="B1000" s="218" t="s">
        <v>5092</v>
      </c>
      <c r="C1000" s="218" t="s">
        <v>6105</v>
      </c>
      <c r="D1000" s="219">
        <v>1.0</v>
      </c>
      <c r="E1000" s="218">
        <v>1800.0</v>
      </c>
      <c r="G1000" s="220">
        <v>43235.0</v>
      </c>
    </row>
    <row r="1001">
      <c r="A1001" s="217">
        <v>43235.66874767361</v>
      </c>
      <c r="B1001" s="218" t="s">
        <v>5092</v>
      </c>
      <c r="C1001" s="218" t="s">
        <v>6106</v>
      </c>
      <c r="D1001" s="219">
        <v>1.0</v>
      </c>
      <c r="E1001" s="218">
        <v>1800.0</v>
      </c>
      <c r="G1001" s="220">
        <v>43235.0</v>
      </c>
    </row>
    <row r="1002">
      <c r="A1002" s="217">
        <v>43235.67198166667</v>
      </c>
      <c r="B1002" s="218" t="s">
        <v>5092</v>
      </c>
      <c r="C1002" s="218" t="s">
        <v>6107</v>
      </c>
      <c r="D1002" s="219">
        <v>1.0</v>
      </c>
      <c r="E1002" s="218">
        <v>1800.0</v>
      </c>
      <c r="G1002" s="220">
        <v>43235.0</v>
      </c>
    </row>
    <row r="1003">
      <c r="A1003" s="217">
        <v>43235.67261309028</v>
      </c>
      <c r="B1003" s="218" t="s">
        <v>5092</v>
      </c>
      <c r="C1003" s="218" t="s">
        <v>1078</v>
      </c>
      <c r="D1003" s="219">
        <v>1.0</v>
      </c>
      <c r="E1003" s="218">
        <v>1800.0</v>
      </c>
      <c r="G1003" s="220">
        <v>43235.0</v>
      </c>
    </row>
    <row r="1004">
      <c r="A1004" s="217">
        <v>43235.67404644676</v>
      </c>
      <c r="B1004" s="218" t="s">
        <v>5092</v>
      </c>
      <c r="C1004" s="218" t="s">
        <v>6108</v>
      </c>
      <c r="D1004" s="219">
        <v>1.0</v>
      </c>
      <c r="E1004" s="218">
        <v>1800.0</v>
      </c>
      <c r="G1004" s="220">
        <v>43235.0</v>
      </c>
    </row>
    <row r="1005">
      <c r="A1005" s="217">
        <v>43235.675480543985</v>
      </c>
      <c r="B1005" s="218" t="s">
        <v>5092</v>
      </c>
      <c r="C1005" s="218" t="s">
        <v>6109</v>
      </c>
      <c r="D1005" s="219">
        <v>1.0</v>
      </c>
      <c r="E1005" s="218">
        <v>1800.0</v>
      </c>
      <c r="G1005" s="220">
        <v>43235.0</v>
      </c>
    </row>
    <row r="1006">
      <c r="A1006" s="217">
        <v>43235.676576770835</v>
      </c>
      <c r="B1006" s="218" t="s">
        <v>5092</v>
      </c>
      <c r="C1006" s="218" t="s">
        <v>1083</v>
      </c>
      <c r="D1006" s="219">
        <v>1.0</v>
      </c>
      <c r="E1006" s="218">
        <v>1800.0</v>
      </c>
      <c r="G1006" s="220">
        <v>43235.0</v>
      </c>
    </row>
    <row r="1007">
      <c r="A1007" s="217">
        <v>43235.67706174769</v>
      </c>
      <c r="B1007" s="218" t="s">
        <v>5092</v>
      </c>
      <c r="C1007" s="218" t="s">
        <v>1085</v>
      </c>
      <c r="D1007" s="219">
        <v>2.0</v>
      </c>
      <c r="E1007" s="218">
        <v>1800.0</v>
      </c>
      <c r="G1007" s="220">
        <v>43235.0</v>
      </c>
    </row>
    <row r="1008">
      <c r="A1008" s="217">
        <v>43235.6779687963</v>
      </c>
      <c r="B1008" s="218" t="s">
        <v>5092</v>
      </c>
      <c r="C1008" s="218" t="s">
        <v>6110</v>
      </c>
      <c r="D1008" s="219">
        <v>1.0</v>
      </c>
      <c r="E1008" s="218">
        <v>1800.0</v>
      </c>
      <c r="G1008" s="220">
        <v>43235.0</v>
      </c>
    </row>
    <row r="1009">
      <c r="A1009" s="217">
        <v>43235.6785071412</v>
      </c>
      <c r="B1009" s="218" t="s">
        <v>5092</v>
      </c>
      <c r="C1009" s="218" t="s">
        <v>6111</v>
      </c>
      <c r="D1009" s="219">
        <v>2.0</v>
      </c>
      <c r="E1009" s="218">
        <v>1800.0</v>
      </c>
      <c r="G1009" s="220">
        <v>43235.0</v>
      </c>
    </row>
    <row r="1010">
      <c r="A1010" s="217">
        <v>43235.679753819444</v>
      </c>
      <c r="B1010" s="218" t="s">
        <v>5092</v>
      </c>
      <c r="C1010" s="218" t="s">
        <v>6112</v>
      </c>
      <c r="D1010" s="219">
        <v>1.0</v>
      </c>
      <c r="E1010" s="218">
        <v>1800.0</v>
      </c>
      <c r="G1010" s="220">
        <v>43235.0</v>
      </c>
    </row>
    <row r="1011">
      <c r="A1011" s="217">
        <v>43235.6806975</v>
      </c>
      <c r="B1011" s="218" t="s">
        <v>5092</v>
      </c>
      <c r="C1011" s="218" t="s">
        <v>6113</v>
      </c>
      <c r="D1011" s="219">
        <v>2.0</v>
      </c>
      <c r="E1011" s="218">
        <v>1800.0</v>
      </c>
      <c r="G1011" s="220">
        <v>43235.0</v>
      </c>
    </row>
    <row r="1012">
      <c r="A1012" s="217">
        <v>43235.681286782405</v>
      </c>
      <c r="B1012" s="218" t="s">
        <v>5092</v>
      </c>
      <c r="C1012" s="218" t="s">
        <v>6114</v>
      </c>
      <c r="D1012" s="219">
        <v>1.0</v>
      </c>
      <c r="E1012" s="218">
        <v>1800.0</v>
      </c>
      <c r="G1012" s="220">
        <v>43235.0</v>
      </c>
    </row>
    <row r="1013">
      <c r="A1013" s="217">
        <v>43235.68242483796</v>
      </c>
      <c r="B1013" s="218" t="s">
        <v>5092</v>
      </c>
      <c r="C1013" s="218" t="s">
        <v>6115</v>
      </c>
      <c r="D1013" s="219">
        <v>1.0</v>
      </c>
      <c r="E1013" s="218">
        <v>1800.0</v>
      </c>
      <c r="G1013" s="220">
        <v>43235.0</v>
      </c>
    </row>
    <row r="1014">
      <c r="A1014" s="217">
        <v>43235.68307625</v>
      </c>
      <c r="B1014" s="218" t="s">
        <v>5092</v>
      </c>
      <c r="C1014" s="218" t="s">
        <v>1165</v>
      </c>
      <c r="D1014" s="219">
        <v>1.0</v>
      </c>
      <c r="E1014" s="218">
        <v>1800.0</v>
      </c>
      <c r="G1014" s="220">
        <v>43235.0</v>
      </c>
    </row>
    <row r="1015">
      <c r="A1015" s="217">
        <v>43235.68763797454</v>
      </c>
      <c r="B1015" s="218" t="s">
        <v>5092</v>
      </c>
      <c r="C1015" s="218" t="s">
        <v>5848</v>
      </c>
      <c r="D1015" s="219">
        <v>51.0</v>
      </c>
      <c r="E1015" s="218">
        <v>1000.0</v>
      </c>
      <c r="F1015" s="3" t="s">
        <v>5787</v>
      </c>
      <c r="G1015" s="220">
        <v>43235.0</v>
      </c>
    </row>
    <row r="1016">
      <c r="A1016" s="217">
        <v>43235.69020733796</v>
      </c>
      <c r="B1016" s="218" t="s">
        <v>5092</v>
      </c>
      <c r="C1016" s="218" t="s">
        <v>1235</v>
      </c>
      <c r="D1016" s="219">
        <v>22.0</v>
      </c>
      <c r="E1016" s="218">
        <v>650.0</v>
      </c>
      <c r="F1016" s="3" t="s">
        <v>2354</v>
      </c>
      <c r="G1016" s="220">
        <v>43235.0</v>
      </c>
    </row>
    <row r="1017">
      <c r="A1017" s="217">
        <v>43235.697749189814</v>
      </c>
      <c r="B1017" s="218" t="s">
        <v>5092</v>
      </c>
      <c r="C1017" s="218" t="s">
        <v>1789</v>
      </c>
      <c r="D1017" s="219">
        <v>31.0</v>
      </c>
      <c r="E1017" s="218">
        <v>800.0</v>
      </c>
      <c r="G1017" s="220">
        <v>43235.0</v>
      </c>
    </row>
    <row r="1018">
      <c r="A1018" s="217">
        <v>43235.699539305555</v>
      </c>
      <c r="B1018" s="218" t="s">
        <v>5092</v>
      </c>
      <c r="C1018" s="218" t="s">
        <v>1022</v>
      </c>
      <c r="D1018" s="219">
        <v>36.0</v>
      </c>
      <c r="E1018" s="218">
        <v>1000.0</v>
      </c>
      <c r="G1018" s="220">
        <v>43235.0</v>
      </c>
    </row>
    <row r="1019">
      <c r="A1019" s="217">
        <v>43235.70126539352</v>
      </c>
      <c r="B1019" s="218" t="s">
        <v>5092</v>
      </c>
      <c r="C1019" s="218" t="s">
        <v>5782</v>
      </c>
      <c r="D1019" s="219">
        <v>141.0</v>
      </c>
      <c r="E1019" s="218">
        <v>400.0</v>
      </c>
      <c r="F1019" s="3" t="s">
        <v>5787</v>
      </c>
      <c r="G1019" s="220">
        <v>43235.0</v>
      </c>
    </row>
    <row r="1020">
      <c r="A1020" s="217">
        <v>43235.70724753472</v>
      </c>
      <c r="B1020" s="218" t="s">
        <v>5092</v>
      </c>
      <c r="C1020" s="218" t="s">
        <v>5845</v>
      </c>
      <c r="D1020" s="219">
        <v>95.0</v>
      </c>
      <c r="E1020" s="218">
        <v>500.0</v>
      </c>
      <c r="F1020" s="3" t="s">
        <v>5787</v>
      </c>
      <c r="G1020" s="220">
        <v>43235.0</v>
      </c>
    </row>
    <row r="1021">
      <c r="A1021" s="217">
        <v>43235.708648368054</v>
      </c>
      <c r="B1021" s="218" t="s">
        <v>5092</v>
      </c>
      <c r="C1021" s="218" t="s">
        <v>5818</v>
      </c>
      <c r="D1021" s="219">
        <v>40.0</v>
      </c>
      <c r="E1021" s="218">
        <v>300.0</v>
      </c>
      <c r="F1021" s="3" t="s">
        <v>5787</v>
      </c>
      <c r="G1021" s="220">
        <v>43235.0</v>
      </c>
    </row>
    <row r="1022">
      <c r="A1022" s="217">
        <v>43235.70941653935</v>
      </c>
      <c r="B1022" s="218" t="s">
        <v>5092</v>
      </c>
      <c r="C1022" s="218" t="s">
        <v>6117</v>
      </c>
      <c r="D1022" s="219">
        <v>4.0</v>
      </c>
      <c r="E1022" s="218">
        <v>1000.0</v>
      </c>
      <c r="F1022" s="3" t="s">
        <v>5787</v>
      </c>
      <c r="G1022" s="220">
        <v>43235.0</v>
      </c>
    </row>
    <row r="1023">
      <c r="A1023" s="217">
        <v>43235.71259614584</v>
      </c>
      <c r="B1023" s="218" t="s">
        <v>5092</v>
      </c>
      <c r="C1023" s="218" t="s">
        <v>5976</v>
      </c>
      <c r="D1023" s="219">
        <v>22.0</v>
      </c>
      <c r="E1023" s="218">
        <v>400.0</v>
      </c>
      <c r="F1023" s="3" t="s">
        <v>5787</v>
      </c>
      <c r="G1023" s="220">
        <v>43235.0</v>
      </c>
    </row>
    <row r="1024">
      <c r="A1024" s="217">
        <v>43235.713775069446</v>
      </c>
      <c r="B1024" s="218" t="s">
        <v>5092</v>
      </c>
      <c r="C1024" s="218" t="s">
        <v>6119</v>
      </c>
      <c r="D1024" s="219">
        <v>8.0</v>
      </c>
      <c r="E1024" s="218">
        <v>1500.0</v>
      </c>
      <c r="F1024" s="3" t="s">
        <v>5787</v>
      </c>
      <c r="G1024" s="220">
        <v>43235.0</v>
      </c>
    </row>
    <row r="1025">
      <c r="A1025" s="217">
        <v>43235.71460761574</v>
      </c>
      <c r="B1025" s="218" t="s">
        <v>5092</v>
      </c>
      <c r="C1025" s="218" t="s">
        <v>5789</v>
      </c>
      <c r="D1025" s="219">
        <v>60.0</v>
      </c>
      <c r="E1025" s="218">
        <v>300.0</v>
      </c>
      <c r="F1025" s="3" t="s">
        <v>5787</v>
      </c>
      <c r="G1025" s="220">
        <v>43235.0</v>
      </c>
    </row>
    <row r="1026">
      <c r="A1026" s="217">
        <v>43235.71545967592</v>
      </c>
      <c r="B1026" s="218" t="s">
        <v>5092</v>
      </c>
      <c r="C1026" s="218" t="s">
        <v>6001</v>
      </c>
      <c r="D1026" s="219">
        <v>62.0</v>
      </c>
      <c r="E1026" s="218">
        <v>450.0</v>
      </c>
      <c r="F1026" s="3" t="s">
        <v>5787</v>
      </c>
      <c r="G1026" s="220">
        <v>43235.0</v>
      </c>
    </row>
    <row r="1027">
      <c r="A1027" s="217">
        <v>43235.71603969907</v>
      </c>
      <c r="B1027" s="218" t="s">
        <v>5092</v>
      </c>
      <c r="C1027" s="218" t="s">
        <v>6120</v>
      </c>
      <c r="D1027" s="219">
        <v>5.0</v>
      </c>
      <c r="E1027" s="218">
        <v>300.0</v>
      </c>
      <c r="F1027" s="3" t="s">
        <v>5787</v>
      </c>
      <c r="G1027" s="220">
        <v>43235.0</v>
      </c>
    </row>
    <row r="1028">
      <c r="A1028" s="217">
        <v>43235.71680259259</v>
      </c>
      <c r="B1028" s="218" t="s">
        <v>5092</v>
      </c>
      <c r="C1028" s="218" t="s">
        <v>6121</v>
      </c>
      <c r="D1028" s="219">
        <v>13.0</v>
      </c>
      <c r="E1028" s="218">
        <v>1200.0</v>
      </c>
      <c r="F1028" s="3" t="s">
        <v>5787</v>
      </c>
      <c r="G1028" s="220">
        <v>43235.0</v>
      </c>
    </row>
    <row r="1029">
      <c r="A1029" s="217">
        <v>43235.718399641206</v>
      </c>
      <c r="B1029" s="218" t="s">
        <v>5092</v>
      </c>
      <c r="C1029" s="218" t="s">
        <v>5893</v>
      </c>
      <c r="D1029" s="219">
        <v>17.0</v>
      </c>
      <c r="E1029" s="218">
        <v>250.0</v>
      </c>
      <c r="F1029" s="3" t="s">
        <v>5787</v>
      </c>
      <c r="G1029" s="220">
        <v>43235.0</v>
      </c>
    </row>
    <row r="1030">
      <c r="A1030" s="217">
        <v>43235.72156278935</v>
      </c>
      <c r="B1030" s="218" t="s">
        <v>5092</v>
      </c>
      <c r="C1030" s="218" t="s">
        <v>6122</v>
      </c>
      <c r="D1030" s="219">
        <v>1.0</v>
      </c>
      <c r="E1030" s="218">
        <v>1600.0</v>
      </c>
      <c r="F1030" s="3" t="s">
        <v>5787</v>
      </c>
      <c r="G1030" s="220">
        <v>43235.0</v>
      </c>
    </row>
    <row r="1031">
      <c r="A1031" s="217">
        <v>43235.722328171294</v>
      </c>
      <c r="B1031" s="218" t="s">
        <v>5092</v>
      </c>
      <c r="C1031" s="218" t="s">
        <v>6123</v>
      </c>
      <c r="D1031" s="219">
        <v>1.0</v>
      </c>
      <c r="E1031" s="218">
        <v>1600.0</v>
      </c>
      <c r="G1031" s="220">
        <v>43235.0</v>
      </c>
    </row>
    <row r="1032">
      <c r="A1032" s="217">
        <v>43235.723097696755</v>
      </c>
      <c r="B1032" s="218" t="s">
        <v>5092</v>
      </c>
      <c r="C1032" s="218" t="s">
        <v>6124</v>
      </c>
      <c r="D1032" s="219">
        <v>1.0</v>
      </c>
      <c r="E1032" s="218">
        <v>1600.0</v>
      </c>
      <c r="F1032" s="3" t="s">
        <v>5787</v>
      </c>
      <c r="G1032" s="220">
        <v>43235.0</v>
      </c>
    </row>
    <row r="1033">
      <c r="A1033" s="217">
        <v>43235.723807939816</v>
      </c>
      <c r="B1033" s="218" t="s">
        <v>5092</v>
      </c>
      <c r="C1033" s="218" t="s">
        <v>6125</v>
      </c>
      <c r="D1033" s="219">
        <v>1.0</v>
      </c>
      <c r="E1033" s="218">
        <v>1600.0</v>
      </c>
      <c r="F1033" s="3" t="s">
        <v>5787</v>
      </c>
      <c r="G1033" s="220">
        <v>43235.0</v>
      </c>
    </row>
    <row r="1034">
      <c r="A1034" s="217">
        <v>43235.724749953704</v>
      </c>
      <c r="B1034" s="218" t="s">
        <v>5092</v>
      </c>
      <c r="C1034" s="218" t="s">
        <v>6126</v>
      </c>
      <c r="D1034" s="219">
        <v>1.0</v>
      </c>
      <c r="E1034" s="218">
        <v>1600.0</v>
      </c>
      <c r="G1034" s="220">
        <v>43235.0</v>
      </c>
    </row>
    <row r="1035">
      <c r="A1035" s="217">
        <v>43235.725479375</v>
      </c>
      <c r="B1035" s="218" t="s">
        <v>5092</v>
      </c>
      <c r="C1035" s="218" t="s">
        <v>1177</v>
      </c>
      <c r="D1035" s="219">
        <v>1.0</v>
      </c>
      <c r="E1035" s="218">
        <v>1600.0</v>
      </c>
      <c r="G1035" s="220">
        <v>43235.0</v>
      </c>
    </row>
    <row r="1036">
      <c r="A1036" s="217">
        <v>43235.727218125</v>
      </c>
      <c r="B1036" s="218" t="s">
        <v>5092</v>
      </c>
      <c r="C1036" s="218" t="s">
        <v>6127</v>
      </c>
      <c r="D1036" s="219">
        <v>1.0</v>
      </c>
      <c r="E1036" s="218">
        <v>1600.0</v>
      </c>
      <c r="G1036" s="220">
        <v>43235.0</v>
      </c>
    </row>
    <row r="1037">
      <c r="A1037" s="217">
        <v>43235.72780346065</v>
      </c>
      <c r="B1037" s="218" t="s">
        <v>5092</v>
      </c>
      <c r="C1037" s="218" t="s">
        <v>1073</v>
      </c>
      <c r="D1037" s="219">
        <v>1.0</v>
      </c>
      <c r="E1037" s="218">
        <v>1600.0</v>
      </c>
      <c r="G1037" s="220">
        <v>43235.0</v>
      </c>
    </row>
    <row r="1038">
      <c r="A1038" s="217">
        <v>43235.72830608796</v>
      </c>
      <c r="B1038" s="218" t="s">
        <v>5092</v>
      </c>
      <c r="C1038" s="218" t="s">
        <v>6128</v>
      </c>
      <c r="D1038" s="219">
        <v>1.0</v>
      </c>
      <c r="E1038" s="218">
        <v>1600.0</v>
      </c>
      <c r="G1038" s="220">
        <v>43235.0</v>
      </c>
    </row>
    <row r="1039">
      <c r="A1039" s="217">
        <v>43235.72985924769</v>
      </c>
      <c r="B1039" s="218" t="s">
        <v>5092</v>
      </c>
      <c r="C1039" s="218" t="s">
        <v>6129</v>
      </c>
      <c r="D1039" s="219">
        <v>1.0</v>
      </c>
      <c r="E1039" s="218">
        <v>1600.0</v>
      </c>
      <c r="G1039" s="220">
        <v>43235.0</v>
      </c>
    </row>
    <row r="1040">
      <c r="A1040" s="217">
        <v>43235.73073244213</v>
      </c>
      <c r="B1040" s="218" t="s">
        <v>5092</v>
      </c>
      <c r="C1040" s="218" t="s">
        <v>6130</v>
      </c>
      <c r="D1040" s="219">
        <v>1.0</v>
      </c>
      <c r="E1040" s="218">
        <v>1600.0</v>
      </c>
      <c r="G1040" s="220">
        <v>43235.0</v>
      </c>
    </row>
    <row r="1041">
      <c r="A1041" s="217">
        <v>43235.73120137732</v>
      </c>
      <c r="B1041" s="218" t="s">
        <v>5092</v>
      </c>
      <c r="C1041" s="218" t="s">
        <v>6131</v>
      </c>
      <c r="D1041" s="219">
        <v>1.0</v>
      </c>
      <c r="E1041" s="218">
        <v>1600.0</v>
      </c>
      <c r="G1041" s="220">
        <v>43235.0</v>
      </c>
    </row>
    <row r="1042">
      <c r="A1042" s="217">
        <v>43235.73172258102</v>
      </c>
      <c r="B1042" s="218" t="s">
        <v>5092</v>
      </c>
      <c r="C1042" s="218" t="s">
        <v>6132</v>
      </c>
      <c r="D1042" s="219">
        <v>1.0</v>
      </c>
      <c r="E1042" s="218">
        <v>1600.0</v>
      </c>
      <c r="G1042" s="220">
        <v>43235.0</v>
      </c>
    </row>
    <row r="1043">
      <c r="A1043" s="217">
        <v>43235.732784120366</v>
      </c>
      <c r="B1043" s="218" t="s">
        <v>5092</v>
      </c>
      <c r="C1043" s="218" t="s">
        <v>6133</v>
      </c>
      <c r="D1043" s="219">
        <v>1.0</v>
      </c>
      <c r="E1043" s="218">
        <v>1600.0</v>
      </c>
      <c r="G1043" s="220">
        <v>43235.0</v>
      </c>
    </row>
    <row r="1044">
      <c r="A1044" s="217">
        <v>43235.73394525463</v>
      </c>
      <c r="B1044" s="218" t="s">
        <v>5092</v>
      </c>
      <c r="C1044" s="218" t="s">
        <v>6134</v>
      </c>
      <c r="D1044" s="219">
        <v>1.0</v>
      </c>
      <c r="E1044" s="218">
        <v>1600.0</v>
      </c>
      <c r="G1044" s="220">
        <v>43235.0</v>
      </c>
    </row>
    <row r="1045">
      <c r="A1045" s="217">
        <v>43235.73461560185</v>
      </c>
      <c r="B1045" s="218" t="s">
        <v>5092</v>
      </c>
      <c r="C1045" s="218" t="s">
        <v>6135</v>
      </c>
      <c r="D1045" s="219">
        <v>1.0</v>
      </c>
      <c r="E1045" s="218">
        <v>1600.0</v>
      </c>
      <c r="G1045" s="220">
        <v>43235.0</v>
      </c>
    </row>
    <row r="1046">
      <c r="A1046" s="217">
        <v>43235.73507510417</v>
      </c>
      <c r="B1046" s="218" t="s">
        <v>5092</v>
      </c>
      <c r="C1046" s="218" t="s">
        <v>6136</v>
      </c>
      <c r="D1046" s="219">
        <v>1.0</v>
      </c>
      <c r="E1046" s="218">
        <v>1600.0</v>
      </c>
      <c r="G1046" s="220">
        <v>43235.0</v>
      </c>
    </row>
    <row r="1047">
      <c r="A1047" s="217">
        <v>43235.7357180324</v>
      </c>
      <c r="B1047" s="218" t="s">
        <v>5092</v>
      </c>
      <c r="C1047" s="218" t="s">
        <v>6137</v>
      </c>
      <c r="D1047" s="219">
        <v>1.0</v>
      </c>
      <c r="E1047" s="218">
        <v>1600.0</v>
      </c>
      <c r="G1047" s="220">
        <v>43235.0</v>
      </c>
    </row>
    <row r="1048">
      <c r="A1048" s="217">
        <v>43235.736526423614</v>
      </c>
      <c r="B1048" s="218" t="s">
        <v>5092</v>
      </c>
      <c r="C1048" s="218" t="s">
        <v>6138</v>
      </c>
      <c r="D1048" s="219">
        <v>1.0</v>
      </c>
      <c r="E1048" s="218">
        <v>1600.0</v>
      </c>
      <c r="G1048" s="220">
        <v>43235.0</v>
      </c>
    </row>
    <row r="1049">
      <c r="A1049" s="217">
        <v>43235.73760422454</v>
      </c>
      <c r="B1049" s="218" t="s">
        <v>5092</v>
      </c>
      <c r="C1049" s="218" t="s">
        <v>1072</v>
      </c>
      <c r="D1049" s="219">
        <v>1.0</v>
      </c>
      <c r="E1049" s="218">
        <v>1600.0</v>
      </c>
      <c r="G1049" s="220">
        <v>43235.0</v>
      </c>
    </row>
    <row r="1050">
      <c r="A1050" s="217">
        <v>43235.7386927662</v>
      </c>
      <c r="B1050" s="218" t="s">
        <v>5092</v>
      </c>
      <c r="C1050" s="218" t="s">
        <v>6139</v>
      </c>
      <c r="D1050" s="219">
        <v>1.0</v>
      </c>
      <c r="E1050" s="218">
        <v>2000.0</v>
      </c>
      <c r="G1050" s="220">
        <v>43235.0</v>
      </c>
    </row>
    <row r="1051">
      <c r="A1051" s="217">
        <v>43235.744617881945</v>
      </c>
      <c r="B1051" s="218" t="s">
        <v>5092</v>
      </c>
      <c r="C1051" s="218" t="s">
        <v>5670</v>
      </c>
      <c r="D1051" s="219">
        <v>1.0</v>
      </c>
      <c r="E1051" s="218">
        <v>2000.0</v>
      </c>
      <c r="G1051" s="220">
        <v>43235.0</v>
      </c>
    </row>
    <row r="1052">
      <c r="A1052" s="217">
        <v>43235.74652565972</v>
      </c>
      <c r="B1052" s="218" t="s">
        <v>5092</v>
      </c>
      <c r="C1052" s="218" t="s">
        <v>6140</v>
      </c>
      <c r="D1052" s="219">
        <v>1.0</v>
      </c>
      <c r="E1052" s="218">
        <v>2000.0</v>
      </c>
      <c r="G1052" s="220">
        <v>43235.0</v>
      </c>
    </row>
    <row r="1053">
      <c r="A1053" s="217">
        <v>43235.755755439815</v>
      </c>
      <c r="B1053" s="218" t="s">
        <v>5092</v>
      </c>
      <c r="C1053" s="218" t="s">
        <v>730</v>
      </c>
      <c r="D1053" s="219">
        <v>1.0</v>
      </c>
      <c r="E1053" s="218">
        <v>2000.0</v>
      </c>
      <c r="G1053" s="220">
        <v>43235.0</v>
      </c>
    </row>
    <row r="1054">
      <c r="A1054" s="217">
        <v>43236.50864209491</v>
      </c>
      <c r="B1054" s="218" t="s">
        <v>5092</v>
      </c>
      <c r="C1054" s="218" t="s">
        <v>6141</v>
      </c>
      <c r="D1054" s="219">
        <v>2.0</v>
      </c>
      <c r="E1054" s="24"/>
      <c r="G1054" s="220">
        <v>43236.0</v>
      </c>
    </row>
    <row r="1055">
      <c r="A1055" s="217">
        <v>43236.51304561342</v>
      </c>
      <c r="B1055" s="218" t="s">
        <v>5092</v>
      </c>
      <c r="C1055" s="218" t="s">
        <v>6142</v>
      </c>
      <c r="D1055" s="219">
        <v>1.0</v>
      </c>
      <c r="E1055" s="24"/>
      <c r="G1055" s="220">
        <v>43236.0</v>
      </c>
    </row>
    <row r="1056">
      <c r="A1056" s="217">
        <v>43236.53685128472</v>
      </c>
      <c r="B1056" s="218" t="s">
        <v>5092</v>
      </c>
      <c r="C1056" s="218" t="s">
        <v>6143</v>
      </c>
      <c r="D1056" s="219">
        <v>1.0</v>
      </c>
      <c r="E1056" s="218">
        <v>1800.0</v>
      </c>
      <c r="G1056" s="220">
        <v>43236.0</v>
      </c>
    </row>
    <row r="1057">
      <c r="A1057" s="217">
        <v>43236.53761834491</v>
      </c>
      <c r="B1057" s="218" t="s">
        <v>5092</v>
      </c>
      <c r="C1057" s="218" t="s">
        <v>710</v>
      </c>
      <c r="D1057" s="219">
        <v>1.0</v>
      </c>
      <c r="E1057" s="218">
        <v>1800.0</v>
      </c>
      <c r="G1057" s="220">
        <v>43236.0</v>
      </c>
    </row>
    <row r="1058">
      <c r="A1058" s="217">
        <v>43236.539351493055</v>
      </c>
      <c r="B1058" s="218" t="s">
        <v>5092</v>
      </c>
      <c r="C1058" s="218" t="s">
        <v>6144</v>
      </c>
      <c r="D1058" s="219">
        <v>1.0</v>
      </c>
      <c r="E1058" s="218">
        <v>1800.0</v>
      </c>
      <c r="G1058" s="220">
        <v>43236.0</v>
      </c>
    </row>
    <row r="1059">
      <c r="A1059" s="217">
        <v>43236.54186363426</v>
      </c>
      <c r="B1059" s="218" t="s">
        <v>5092</v>
      </c>
      <c r="C1059" s="218" t="s">
        <v>6145</v>
      </c>
      <c r="D1059" s="219">
        <v>1.0</v>
      </c>
      <c r="E1059" s="218">
        <v>1800.0</v>
      </c>
      <c r="F1059" s="3" t="s">
        <v>5625</v>
      </c>
      <c r="G1059" s="220">
        <v>43236.0</v>
      </c>
    </row>
    <row r="1060">
      <c r="A1060" s="217">
        <v>43236.542830439816</v>
      </c>
      <c r="B1060" s="218" t="s">
        <v>5092</v>
      </c>
      <c r="C1060" s="218" t="s">
        <v>6146</v>
      </c>
      <c r="D1060" s="219">
        <v>1.0</v>
      </c>
      <c r="E1060" s="218">
        <v>1800.0</v>
      </c>
      <c r="F1060" s="3" t="s">
        <v>5625</v>
      </c>
      <c r="G1060" s="220">
        <v>43236.0</v>
      </c>
    </row>
    <row r="1061">
      <c r="A1061" s="217">
        <v>43236.54402663195</v>
      </c>
      <c r="B1061" s="218" t="s">
        <v>5092</v>
      </c>
      <c r="C1061" s="218" t="s">
        <v>6147</v>
      </c>
      <c r="D1061" s="219">
        <v>1.0</v>
      </c>
      <c r="E1061" s="218">
        <v>1800.0</v>
      </c>
      <c r="F1061" s="3" t="s">
        <v>5625</v>
      </c>
      <c r="G1061" s="220">
        <v>43236.0</v>
      </c>
    </row>
    <row r="1062">
      <c r="A1062" s="217">
        <v>43236.55040259259</v>
      </c>
      <c r="B1062" s="218" t="s">
        <v>5092</v>
      </c>
      <c r="C1062" s="218" t="s">
        <v>6148</v>
      </c>
      <c r="D1062" s="219">
        <v>1.0</v>
      </c>
      <c r="E1062" s="218">
        <v>1800.0</v>
      </c>
      <c r="F1062" s="3" t="s">
        <v>5625</v>
      </c>
      <c r="G1062" s="220">
        <v>43236.0</v>
      </c>
    </row>
    <row r="1063">
      <c r="A1063" s="217">
        <v>43236.55972550926</v>
      </c>
      <c r="B1063" s="218" t="s">
        <v>5092</v>
      </c>
      <c r="C1063" s="218" t="s">
        <v>6149</v>
      </c>
      <c r="D1063" s="219">
        <v>1.0</v>
      </c>
      <c r="E1063" s="218">
        <v>1800.0</v>
      </c>
      <c r="G1063" s="220">
        <v>43236.0</v>
      </c>
    </row>
    <row r="1064">
      <c r="A1064" s="217">
        <v>43236.560828587964</v>
      </c>
      <c r="B1064" s="218" t="s">
        <v>5092</v>
      </c>
      <c r="C1064" s="218" t="s">
        <v>6150</v>
      </c>
      <c r="D1064" s="219">
        <v>1.0</v>
      </c>
      <c r="E1064" s="218">
        <v>1800.0</v>
      </c>
      <c r="F1064" s="3" t="s">
        <v>5625</v>
      </c>
      <c r="G1064" s="220">
        <v>43236.0</v>
      </c>
    </row>
    <row r="1065">
      <c r="A1065" s="217">
        <v>43236.57813711806</v>
      </c>
      <c r="B1065" s="218" t="s">
        <v>5092</v>
      </c>
      <c r="C1065" s="218" t="s">
        <v>6151</v>
      </c>
      <c r="D1065" s="219">
        <v>1.0</v>
      </c>
      <c r="E1065" s="218">
        <v>2500.0</v>
      </c>
      <c r="F1065" s="3" t="s">
        <v>5833</v>
      </c>
      <c r="G1065" s="220">
        <v>43236.0</v>
      </c>
    </row>
    <row r="1066">
      <c r="A1066" s="217">
        <v>43236.579325694445</v>
      </c>
      <c r="B1066" s="218" t="s">
        <v>5092</v>
      </c>
      <c r="C1066" s="218" t="s">
        <v>6153</v>
      </c>
      <c r="D1066" s="219">
        <v>1.0</v>
      </c>
      <c r="E1066" s="24"/>
      <c r="F1066" s="3" t="s">
        <v>5833</v>
      </c>
      <c r="G1066" s="220">
        <v>43236.0</v>
      </c>
    </row>
    <row r="1067">
      <c r="A1067" s="217">
        <v>43236.580041712965</v>
      </c>
      <c r="B1067" s="218" t="s">
        <v>5092</v>
      </c>
      <c r="C1067" s="218" t="s">
        <v>6154</v>
      </c>
      <c r="D1067" s="219">
        <v>1.0</v>
      </c>
      <c r="E1067" s="24"/>
      <c r="F1067" s="3" t="s">
        <v>5833</v>
      </c>
      <c r="G1067" s="220">
        <v>43236.0</v>
      </c>
    </row>
    <row r="1068">
      <c r="A1068" s="217">
        <v>43236.580925567134</v>
      </c>
      <c r="B1068" s="218" t="s">
        <v>5092</v>
      </c>
      <c r="C1068" s="218" t="s">
        <v>6155</v>
      </c>
      <c r="D1068" s="219">
        <v>1.0</v>
      </c>
      <c r="E1068" s="218">
        <v>2500.0</v>
      </c>
      <c r="F1068" s="3" t="s">
        <v>5833</v>
      </c>
      <c r="G1068" s="220">
        <v>43236.0</v>
      </c>
    </row>
    <row r="1069">
      <c r="A1069" s="217">
        <v>43236.58361627314</v>
      </c>
      <c r="B1069" s="218" t="s">
        <v>5092</v>
      </c>
      <c r="C1069" s="218" t="s">
        <v>6156</v>
      </c>
      <c r="D1069" s="219">
        <v>1.0</v>
      </c>
      <c r="E1069" s="218">
        <v>2500.0</v>
      </c>
      <c r="F1069" s="3" t="s">
        <v>5833</v>
      </c>
      <c r="G1069" s="220">
        <v>43236.0</v>
      </c>
    </row>
    <row r="1070">
      <c r="A1070" s="217">
        <v>43236.58459547454</v>
      </c>
      <c r="B1070" s="218" t="s">
        <v>5092</v>
      </c>
      <c r="C1070" s="218" t="s">
        <v>6157</v>
      </c>
      <c r="D1070" s="219">
        <v>2.0</v>
      </c>
      <c r="E1070" s="218">
        <v>2500.0</v>
      </c>
      <c r="F1070" s="3" t="s">
        <v>5833</v>
      </c>
      <c r="G1070" s="220">
        <v>43236.0</v>
      </c>
    </row>
    <row r="1071">
      <c r="A1071" s="217">
        <v>43236.585328217596</v>
      </c>
      <c r="B1071" s="218" t="s">
        <v>5092</v>
      </c>
      <c r="C1071" s="218" t="s">
        <v>6158</v>
      </c>
      <c r="D1071" s="219">
        <v>1.0</v>
      </c>
      <c r="E1071" s="218">
        <v>2500.0</v>
      </c>
      <c r="G1071" s="220">
        <v>43236.0</v>
      </c>
    </row>
    <row r="1072">
      <c r="A1072" s="217">
        <v>43236.59138753472</v>
      </c>
      <c r="B1072" s="218" t="s">
        <v>5092</v>
      </c>
      <c r="C1072" s="218" t="s">
        <v>6159</v>
      </c>
      <c r="D1072" s="219">
        <v>1.0</v>
      </c>
      <c r="E1072" s="218">
        <v>2500.0</v>
      </c>
      <c r="G1072" s="220">
        <v>43236.0</v>
      </c>
    </row>
    <row r="1073">
      <c r="A1073" s="217">
        <v>43236.59223018518</v>
      </c>
      <c r="B1073" s="218" t="s">
        <v>5092</v>
      </c>
      <c r="C1073" s="218" t="s">
        <v>6160</v>
      </c>
      <c r="D1073" s="219">
        <v>1.0</v>
      </c>
      <c r="E1073" s="218">
        <v>2500.0</v>
      </c>
      <c r="G1073" s="220">
        <v>43236.0</v>
      </c>
    </row>
    <row r="1074">
      <c r="A1074" s="217">
        <v>43236.59290195601</v>
      </c>
      <c r="B1074" s="218" t="s">
        <v>5092</v>
      </c>
      <c r="C1074" s="218" t="s">
        <v>6161</v>
      </c>
      <c r="D1074" s="219">
        <v>1.0</v>
      </c>
      <c r="E1074" s="218">
        <v>2500.0</v>
      </c>
      <c r="G1074" s="220">
        <v>43236.0</v>
      </c>
    </row>
    <row r="1075">
      <c r="A1075" s="217">
        <v>43236.59367594907</v>
      </c>
      <c r="B1075" s="218" t="s">
        <v>5092</v>
      </c>
      <c r="C1075" s="218" t="s">
        <v>6162</v>
      </c>
      <c r="D1075" s="219">
        <v>1.0</v>
      </c>
      <c r="E1075" s="218">
        <v>2500.0</v>
      </c>
      <c r="G1075" s="220">
        <v>43236.0</v>
      </c>
    </row>
    <row r="1076">
      <c r="A1076" s="217">
        <v>43236.59432474537</v>
      </c>
      <c r="B1076" s="218" t="s">
        <v>5092</v>
      </c>
      <c r="C1076" s="218" t="s">
        <v>6163</v>
      </c>
      <c r="D1076" s="219">
        <v>1.0</v>
      </c>
      <c r="E1076" s="218">
        <v>2500.0</v>
      </c>
      <c r="G1076" s="220">
        <v>43236.0</v>
      </c>
    </row>
    <row r="1077">
      <c r="A1077" s="217">
        <v>43236.59492148148</v>
      </c>
      <c r="B1077" s="218" t="s">
        <v>5092</v>
      </c>
      <c r="C1077" s="218" t="s">
        <v>6164</v>
      </c>
      <c r="D1077" s="219">
        <v>1.0</v>
      </c>
      <c r="E1077" s="218">
        <v>2500.0</v>
      </c>
      <c r="G1077" s="220">
        <v>43236.0</v>
      </c>
    </row>
    <row r="1078">
      <c r="A1078" s="217">
        <v>43236.595651944444</v>
      </c>
      <c r="B1078" s="218" t="s">
        <v>5092</v>
      </c>
      <c r="C1078" s="218" t="s">
        <v>6165</v>
      </c>
      <c r="D1078" s="219">
        <v>1.0</v>
      </c>
      <c r="E1078" s="218">
        <v>2500.0</v>
      </c>
      <c r="G1078" s="220">
        <v>43236.0</v>
      </c>
    </row>
    <row r="1079">
      <c r="A1079" s="217">
        <v>43236.59708489584</v>
      </c>
      <c r="B1079" s="218" t="s">
        <v>5092</v>
      </c>
      <c r="C1079" s="218" t="s">
        <v>6166</v>
      </c>
      <c r="D1079" s="219">
        <v>1.0</v>
      </c>
      <c r="E1079" s="218">
        <v>2500.0</v>
      </c>
      <c r="G1079" s="220">
        <v>43236.0</v>
      </c>
    </row>
    <row r="1080">
      <c r="A1080" s="217">
        <v>43236.59769685185</v>
      </c>
      <c r="B1080" s="218" t="s">
        <v>5092</v>
      </c>
      <c r="C1080" s="218" t="s">
        <v>6167</v>
      </c>
      <c r="D1080" s="219">
        <v>1.0</v>
      </c>
      <c r="E1080" s="218">
        <v>2500.0</v>
      </c>
      <c r="G1080" s="220">
        <v>43236.0</v>
      </c>
    </row>
    <row r="1081">
      <c r="A1081" s="217">
        <v>43236.59838015046</v>
      </c>
      <c r="B1081" s="218" t="s">
        <v>5092</v>
      </c>
      <c r="C1081" s="218" t="s">
        <v>6168</v>
      </c>
      <c r="D1081" s="219">
        <v>3.0</v>
      </c>
      <c r="E1081" s="218">
        <v>2500.0</v>
      </c>
      <c r="G1081" s="220">
        <v>43236.0</v>
      </c>
    </row>
    <row r="1082">
      <c r="A1082" s="217">
        <v>43236.6109065625</v>
      </c>
      <c r="B1082" s="218" t="s">
        <v>5092</v>
      </c>
      <c r="C1082" s="218" t="s">
        <v>6169</v>
      </c>
      <c r="D1082" s="219">
        <v>1.0</v>
      </c>
      <c r="E1082" s="218">
        <v>3625.0</v>
      </c>
      <c r="G1082" s="220">
        <v>43236.0</v>
      </c>
    </row>
    <row r="1083">
      <c r="A1083" s="217">
        <v>43236.611541018516</v>
      </c>
      <c r="B1083" s="218" t="s">
        <v>5092</v>
      </c>
      <c r="C1083" s="218" t="s">
        <v>6170</v>
      </c>
      <c r="D1083" s="219">
        <v>1.0</v>
      </c>
      <c r="E1083" s="218">
        <v>2500.0</v>
      </c>
      <c r="G1083" s="220">
        <v>43236.0</v>
      </c>
    </row>
    <row r="1084">
      <c r="A1084" s="217">
        <v>43236.61226115741</v>
      </c>
      <c r="B1084" s="218" t="s">
        <v>5092</v>
      </c>
      <c r="C1084" s="218" t="s">
        <v>6171</v>
      </c>
      <c r="D1084" s="219">
        <v>1.0</v>
      </c>
      <c r="E1084" s="218">
        <v>1950.0</v>
      </c>
      <c r="G1084" s="220">
        <v>43236.0</v>
      </c>
    </row>
    <row r="1085">
      <c r="A1085" s="217">
        <v>43236.614464212966</v>
      </c>
      <c r="B1085" s="218" t="s">
        <v>5092</v>
      </c>
      <c r="C1085" s="218" t="s">
        <v>1672</v>
      </c>
      <c r="D1085" s="219">
        <v>1.0</v>
      </c>
      <c r="E1085" s="218">
        <v>2590.0</v>
      </c>
      <c r="G1085" s="220">
        <v>43236.0</v>
      </c>
    </row>
    <row r="1086">
      <c r="A1086" s="217">
        <v>43236.61500942129</v>
      </c>
      <c r="B1086" s="218" t="s">
        <v>5092</v>
      </c>
      <c r="C1086" s="218" t="s">
        <v>6172</v>
      </c>
      <c r="D1086" s="219">
        <v>1.0</v>
      </c>
      <c r="E1086" s="218">
        <v>2590.0</v>
      </c>
      <c r="G1086" s="220">
        <v>43236.0</v>
      </c>
    </row>
    <row r="1087">
      <c r="A1087" s="217">
        <v>43236.6156546412</v>
      </c>
      <c r="B1087" s="218" t="s">
        <v>5092</v>
      </c>
      <c r="C1087" s="218" t="s">
        <v>1677</v>
      </c>
      <c r="D1087" s="219">
        <v>1.0</v>
      </c>
      <c r="E1087" s="218">
        <v>2700.0</v>
      </c>
      <c r="G1087" s="220">
        <v>43236.0</v>
      </c>
    </row>
    <row r="1088">
      <c r="A1088" s="217">
        <v>43236.61621395833</v>
      </c>
      <c r="B1088" s="218" t="s">
        <v>5092</v>
      </c>
      <c r="C1088" s="218" t="s">
        <v>1681</v>
      </c>
      <c r="D1088" s="219">
        <v>1.0</v>
      </c>
      <c r="E1088" s="218">
        <v>2450.0</v>
      </c>
      <c r="G1088" s="220">
        <v>43236.0</v>
      </c>
    </row>
    <row r="1089">
      <c r="A1089" s="217">
        <v>43236.61719815972</v>
      </c>
      <c r="B1089" s="218" t="s">
        <v>5092</v>
      </c>
      <c r="C1089" s="218" t="s">
        <v>1679</v>
      </c>
      <c r="D1089" s="219">
        <v>1.0</v>
      </c>
      <c r="E1089" s="218">
        <v>3050.0</v>
      </c>
      <c r="G1089" s="220">
        <v>43236.0</v>
      </c>
    </row>
    <row r="1090">
      <c r="A1090" s="217">
        <v>43236.617877384255</v>
      </c>
      <c r="B1090" s="218" t="s">
        <v>5092</v>
      </c>
      <c r="C1090" s="218" t="s">
        <v>1683</v>
      </c>
      <c r="D1090" s="219">
        <v>1.0</v>
      </c>
      <c r="E1090" s="218">
        <v>3050.0</v>
      </c>
      <c r="G1090" s="220">
        <v>43236.0</v>
      </c>
    </row>
    <row r="1091">
      <c r="A1091" s="217">
        <v>43236.63485512731</v>
      </c>
      <c r="B1091" s="218" t="s">
        <v>5092</v>
      </c>
      <c r="C1091" s="218" t="s">
        <v>1725</v>
      </c>
      <c r="D1091" s="219">
        <v>1.0</v>
      </c>
      <c r="E1091" s="218">
        <v>8790.0</v>
      </c>
      <c r="F1091" s="3" t="s">
        <v>5279</v>
      </c>
      <c r="G1091" s="220">
        <v>43236.0</v>
      </c>
    </row>
    <row r="1092">
      <c r="A1092" s="217">
        <v>43236.63612501157</v>
      </c>
      <c r="B1092" s="218" t="s">
        <v>5092</v>
      </c>
      <c r="C1092" s="218" t="s">
        <v>1727</v>
      </c>
      <c r="D1092" s="219">
        <v>1.0</v>
      </c>
      <c r="E1092" s="218">
        <v>8790.0</v>
      </c>
      <c r="F1092" s="3" t="s">
        <v>5279</v>
      </c>
      <c r="G1092" s="220">
        <v>43236.0</v>
      </c>
    </row>
    <row r="1093">
      <c r="A1093" s="217">
        <v>43236.66394908565</v>
      </c>
      <c r="B1093" s="218" t="s">
        <v>5092</v>
      </c>
      <c r="C1093" s="218" t="s">
        <v>6173</v>
      </c>
      <c r="D1093" s="219">
        <v>1.0</v>
      </c>
      <c r="E1093" s="218">
        <v>1800.0</v>
      </c>
      <c r="G1093" s="220">
        <v>43236.0</v>
      </c>
    </row>
    <row r="1094">
      <c r="A1094" s="217">
        <v>43236.67969730324</v>
      </c>
      <c r="B1094" s="218" t="s">
        <v>5092</v>
      </c>
      <c r="C1094" s="218" t="s">
        <v>6174</v>
      </c>
      <c r="D1094" s="219">
        <v>1.0</v>
      </c>
      <c r="E1094" s="218">
        <v>1800.0</v>
      </c>
      <c r="G1094" s="220">
        <v>43236.0</v>
      </c>
    </row>
    <row r="1095">
      <c r="A1095" s="217">
        <v>43236.68080768519</v>
      </c>
      <c r="B1095" s="218" t="s">
        <v>5092</v>
      </c>
      <c r="C1095" s="218" t="s">
        <v>6175</v>
      </c>
      <c r="D1095" s="219">
        <v>1.0</v>
      </c>
      <c r="E1095" s="218">
        <v>1800.0</v>
      </c>
      <c r="G1095" s="220">
        <v>43236.0</v>
      </c>
    </row>
    <row r="1096">
      <c r="A1096" s="217">
        <v>43236.6824383912</v>
      </c>
      <c r="B1096" s="218" t="s">
        <v>5092</v>
      </c>
      <c r="C1096" s="218" t="s">
        <v>6176</v>
      </c>
      <c r="D1096" s="219">
        <v>1.0</v>
      </c>
      <c r="E1096" s="218">
        <v>1800.0</v>
      </c>
      <c r="G1096" s="220">
        <v>43236.0</v>
      </c>
    </row>
    <row r="1097">
      <c r="A1097" s="217">
        <v>43236.687852187504</v>
      </c>
      <c r="B1097" s="218" t="s">
        <v>5092</v>
      </c>
      <c r="C1097" s="218" t="s">
        <v>2061</v>
      </c>
      <c r="D1097" s="219">
        <v>1.0</v>
      </c>
      <c r="E1097" s="218">
        <v>8925.0</v>
      </c>
      <c r="G1097" s="220">
        <v>43236.0</v>
      </c>
    </row>
    <row r="1098">
      <c r="A1098" s="217">
        <v>43236.73324045139</v>
      </c>
      <c r="B1098" s="218" t="s">
        <v>5092</v>
      </c>
      <c r="C1098" s="218" t="s">
        <v>6177</v>
      </c>
      <c r="D1098" s="219">
        <v>1.0</v>
      </c>
      <c r="E1098" s="218">
        <v>3790.0</v>
      </c>
      <c r="G1098" s="220">
        <v>43236.0</v>
      </c>
    </row>
    <row r="1099">
      <c r="A1099" s="217">
        <v>43236.73410958333</v>
      </c>
      <c r="B1099" s="218" t="s">
        <v>5092</v>
      </c>
      <c r="C1099" s="218" t="s">
        <v>6178</v>
      </c>
      <c r="D1099" s="219">
        <v>1.0</v>
      </c>
      <c r="E1099" s="218">
        <v>3790.0</v>
      </c>
      <c r="G1099" s="220">
        <v>43236.0</v>
      </c>
    </row>
    <row r="1100">
      <c r="A1100" s="217">
        <v>43236.73519177083</v>
      </c>
      <c r="B1100" s="218" t="s">
        <v>5092</v>
      </c>
      <c r="C1100" s="218" t="s">
        <v>6179</v>
      </c>
      <c r="D1100" s="219">
        <v>1.0</v>
      </c>
      <c r="E1100" s="218">
        <v>3790.0</v>
      </c>
      <c r="G1100" s="220">
        <v>43236.0</v>
      </c>
    </row>
    <row r="1101">
      <c r="A1101" s="217">
        <v>43237.42656907407</v>
      </c>
      <c r="B1101" s="218" t="s">
        <v>5092</v>
      </c>
      <c r="C1101" s="218" t="s">
        <v>5961</v>
      </c>
      <c r="D1101" s="219">
        <v>1.0</v>
      </c>
      <c r="E1101" s="218">
        <v>2375.0</v>
      </c>
      <c r="G1101" s="220">
        <v>43237.0</v>
      </c>
    </row>
    <row r="1102">
      <c r="A1102" s="217">
        <v>43237.44289730324</v>
      </c>
      <c r="B1102" s="218" t="s">
        <v>5092</v>
      </c>
      <c r="C1102" s="218" t="s">
        <v>6180</v>
      </c>
      <c r="D1102" s="219">
        <v>1.0</v>
      </c>
      <c r="E1102" s="218">
        <v>3250.0</v>
      </c>
      <c r="G1102" s="220">
        <v>43237.0</v>
      </c>
    </row>
    <row r="1103">
      <c r="A1103" s="217">
        <v>43237.4460034838</v>
      </c>
      <c r="B1103" s="218" t="s">
        <v>5092</v>
      </c>
      <c r="C1103" s="218" t="s">
        <v>6181</v>
      </c>
      <c r="D1103" s="219">
        <v>1.0</v>
      </c>
      <c r="E1103" s="218">
        <v>6990.0</v>
      </c>
      <c r="F1103" s="3" t="s">
        <v>5094</v>
      </c>
      <c r="G1103" s="220">
        <v>43237.0</v>
      </c>
    </row>
    <row r="1104">
      <c r="A1104" s="217">
        <v>43237.4472662037</v>
      </c>
      <c r="B1104" s="218" t="s">
        <v>5092</v>
      </c>
      <c r="C1104" s="218" t="s">
        <v>1810</v>
      </c>
      <c r="D1104" s="219">
        <v>1.0</v>
      </c>
      <c r="E1104" s="218">
        <v>8890.0</v>
      </c>
      <c r="F1104" s="3" t="s">
        <v>5105</v>
      </c>
      <c r="G1104" s="220">
        <v>43237.0</v>
      </c>
    </row>
    <row r="1105">
      <c r="A1105" s="217">
        <v>43237.44888952546</v>
      </c>
      <c r="B1105" s="218" t="s">
        <v>5092</v>
      </c>
      <c r="C1105" s="218" t="s">
        <v>6182</v>
      </c>
      <c r="D1105" s="219">
        <v>1.0</v>
      </c>
      <c r="E1105" s="218">
        <v>5990.0</v>
      </c>
      <c r="F1105" s="3" t="s">
        <v>5105</v>
      </c>
      <c r="G1105" s="220">
        <v>43237.0</v>
      </c>
    </row>
    <row r="1106">
      <c r="A1106" s="217">
        <v>43237.45007825231</v>
      </c>
      <c r="B1106" s="218" t="s">
        <v>5092</v>
      </c>
      <c r="C1106" s="218" t="s">
        <v>1822</v>
      </c>
      <c r="D1106" s="219">
        <v>1.0</v>
      </c>
      <c r="E1106" s="218">
        <v>6990.0</v>
      </c>
      <c r="F1106" s="3" t="s">
        <v>5105</v>
      </c>
      <c r="G1106" s="220">
        <v>43237.0</v>
      </c>
    </row>
    <row r="1107">
      <c r="A1107" s="217">
        <v>43237.453210057865</v>
      </c>
      <c r="B1107" s="218" t="s">
        <v>5092</v>
      </c>
      <c r="C1107" s="218" t="s">
        <v>6183</v>
      </c>
      <c r="D1107" s="219">
        <v>1.0</v>
      </c>
      <c r="E1107" s="218">
        <v>9390.0</v>
      </c>
      <c r="F1107" s="3" t="s">
        <v>5119</v>
      </c>
      <c r="G1107" s="220">
        <v>43237.0</v>
      </c>
    </row>
    <row r="1108">
      <c r="A1108" s="217">
        <v>43237.45582495371</v>
      </c>
      <c r="B1108" s="218" t="s">
        <v>5092</v>
      </c>
      <c r="C1108" s="218" t="s">
        <v>6184</v>
      </c>
      <c r="D1108" s="219">
        <v>1.0</v>
      </c>
      <c r="E1108" s="218">
        <v>11490.0</v>
      </c>
      <c r="F1108" s="3" t="s">
        <v>5119</v>
      </c>
      <c r="G1108" s="220">
        <v>43237.0</v>
      </c>
    </row>
    <row r="1109">
      <c r="A1109" s="217">
        <v>43237.45750158565</v>
      </c>
      <c r="B1109" s="218" t="s">
        <v>5092</v>
      </c>
      <c r="C1109" s="218" t="s">
        <v>1856</v>
      </c>
      <c r="D1109" s="219">
        <v>1.0</v>
      </c>
      <c r="E1109" s="218">
        <v>7990.0</v>
      </c>
      <c r="F1109" s="3" t="s">
        <v>5119</v>
      </c>
      <c r="G1109" s="220">
        <v>43237.0</v>
      </c>
    </row>
    <row r="1110">
      <c r="A1110" s="217">
        <v>43237.46066496528</v>
      </c>
      <c r="B1110" s="218" t="s">
        <v>5092</v>
      </c>
      <c r="C1110" s="218" t="s">
        <v>6185</v>
      </c>
      <c r="D1110" s="219">
        <v>1.0</v>
      </c>
      <c r="E1110" s="218">
        <v>5490.0</v>
      </c>
      <c r="G1110" s="220">
        <v>43237.0</v>
      </c>
    </row>
    <row r="1111">
      <c r="A1111" s="217">
        <v>43237.46404605324</v>
      </c>
      <c r="B1111" s="218" t="s">
        <v>5092</v>
      </c>
      <c r="C1111" s="218" t="s">
        <v>6186</v>
      </c>
      <c r="D1111" s="219">
        <v>1.0</v>
      </c>
      <c r="E1111" s="218">
        <v>8790.0</v>
      </c>
      <c r="G1111" s="220">
        <v>43237.0</v>
      </c>
    </row>
    <row r="1112">
      <c r="A1112" s="217">
        <v>43237.46686346065</v>
      </c>
      <c r="B1112" s="218" t="s">
        <v>5092</v>
      </c>
      <c r="C1112" s="218" t="s">
        <v>1864</v>
      </c>
      <c r="D1112" s="219">
        <v>1.0</v>
      </c>
      <c r="E1112" s="218">
        <v>8490.0</v>
      </c>
      <c r="G1112" s="220">
        <v>43237.0</v>
      </c>
    </row>
    <row r="1113">
      <c r="A1113" s="217">
        <v>43237.467680497684</v>
      </c>
      <c r="B1113" s="218" t="s">
        <v>5092</v>
      </c>
      <c r="C1113" s="218" t="s">
        <v>6187</v>
      </c>
      <c r="D1113" s="219">
        <v>1.0</v>
      </c>
      <c r="E1113" s="218">
        <v>8490.0</v>
      </c>
      <c r="G1113" s="220">
        <v>43237.0</v>
      </c>
    </row>
    <row r="1114">
      <c r="A1114" s="217">
        <v>43237.46834841435</v>
      </c>
      <c r="B1114" s="218" t="s">
        <v>5092</v>
      </c>
      <c r="C1114" s="218" t="s">
        <v>6188</v>
      </c>
      <c r="D1114" s="219">
        <v>1.0</v>
      </c>
      <c r="E1114" s="218">
        <v>8490.0</v>
      </c>
      <c r="G1114" s="220">
        <v>43237.0</v>
      </c>
    </row>
    <row r="1115">
      <c r="A1115" s="217">
        <v>43237.46899650463</v>
      </c>
      <c r="B1115" s="218" t="s">
        <v>5092</v>
      </c>
      <c r="C1115" s="218" t="s">
        <v>6189</v>
      </c>
      <c r="D1115" s="219">
        <v>1.0</v>
      </c>
      <c r="E1115" s="24"/>
      <c r="G1115" s="220">
        <v>43237.0</v>
      </c>
    </row>
    <row r="1116">
      <c r="A1116" s="217">
        <v>43237.47169309028</v>
      </c>
      <c r="B1116" s="218" t="s">
        <v>5092</v>
      </c>
      <c r="C1116" s="218" t="s">
        <v>6190</v>
      </c>
      <c r="D1116" s="219">
        <v>1.0</v>
      </c>
      <c r="E1116" s="218">
        <v>8490.0</v>
      </c>
      <c r="G1116" s="220">
        <v>43237.0</v>
      </c>
    </row>
    <row r="1117">
      <c r="A1117" s="217">
        <v>43237.47595508102</v>
      </c>
      <c r="B1117" s="218" t="s">
        <v>5092</v>
      </c>
      <c r="C1117" s="218" t="s">
        <v>6191</v>
      </c>
      <c r="D1117" s="219">
        <v>1.0</v>
      </c>
      <c r="E1117" s="218">
        <v>4790.0</v>
      </c>
      <c r="G1117" s="220">
        <v>43237.0</v>
      </c>
    </row>
    <row r="1118">
      <c r="A1118" s="217">
        <v>43237.47812177084</v>
      </c>
      <c r="B1118" s="218" t="s">
        <v>5092</v>
      </c>
      <c r="C1118" s="218" t="s">
        <v>6192</v>
      </c>
      <c r="D1118" s="219">
        <v>1.0</v>
      </c>
      <c r="E1118" s="218">
        <v>9390.0</v>
      </c>
      <c r="G1118" s="220">
        <v>43237.0</v>
      </c>
    </row>
    <row r="1119">
      <c r="A1119" s="217">
        <v>43237.47971980324</v>
      </c>
      <c r="B1119" s="218" t="s">
        <v>5092</v>
      </c>
      <c r="C1119" s="218" t="s">
        <v>6193</v>
      </c>
      <c r="D1119" s="219">
        <v>1.0</v>
      </c>
      <c r="E1119" s="218">
        <v>6290.0</v>
      </c>
      <c r="G1119" s="220">
        <v>43237.0</v>
      </c>
    </row>
    <row r="1120">
      <c r="A1120" s="217">
        <v>43237.48094550926</v>
      </c>
      <c r="B1120" s="218" t="s">
        <v>5092</v>
      </c>
      <c r="C1120" s="218" t="s">
        <v>6194</v>
      </c>
      <c r="D1120" s="219">
        <v>1.0</v>
      </c>
      <c r="E1120" s="218">
        <v>8290.0</v>
      </c>
      <c r="G1120" s="220">
        <v>43237.0</v>
      </c>
    </row>
    <row r="1121">
      <c r="A1121" s="217">
        <v>43237.49729939815</v>
      </c>
      <c r="B1121" s="218" t="s">
        <v>5092</v>
      </c>
      <c r="C1121" s="218" t="s">
        <v>6195</v>
      </c>
      <c r="D1121" s="219">
        <v>1.0</v>
      </c>
      <c r="E1121" s="218">
        <v>6490.0</v>
      </c>
      <c r="G1121" s="220">
        <v>43237.0</v>
      </c>
    </row>
    <row r="1122">
      <c r="A1122" s="217">
        <v>43237.49862258101</v>
      </c>
      <c r="B1122" s="218" t="s">
        <v>5092</v>
      </c>
      <c r="C1122" s="218" t="s">
        <v>6196</v>
      </c>
      <c r="D1122" s="219">
        <v>1.0</v>
      </c>
      <c r="E1122" s="218">
        <v>7990.0</v>
      </c>
      <c r="G1122" s="220">
        <v>43237.0</v>
      </c>
    </row>
    <row r="1123">
      <c r="A1123" s="217">
        <v>43237.49989511574</v>
      </c>
      <c r="B1123" s="218" t="s">
        <v>5092</v>
      </c>
      <c r="C1123" s="218" t="s">
        <v>6197</v>
      </c>
      <c r="D1123" s="219">
        <v>1.0</v>
      </c>
      <c r="E1123" s="218">
        <v>6990.0</v>
      </c>
      <c r="G1123" s="220">
        <v>43237.0</v>
      </c>
    </row>
    <row r="1124">
      <c r="A1124" s="217">
        <v>43237.50115652778</v>
      </c>
      <c r="B1124" s="218" t="s">
        <v>5092</v>
      </c>
      <c r="C1124" s="218" t="s">
        <v>6198</v>
      </c>
      <c r="D1124" s="219">
        <v>1.0</v>
      </c>
      <c r="E1124" s="24"/>
      <c r="G1124" s="220">
        <v>43237.0</v>
      </c>
    </row>
    <row r="1125">
      <c r="A1125" s="217">
        <v>43237.50195488426</v>
      </c>
      <c r="B1125" s="218" t="s">
        <v>5092</v>
      </c>
      <c r="C1125" s="218" t="s">
        <v>6199</v>
      </c>
      <c r="D1125" s="219">
        <v>1.0</v>
      </c>
      <c r="E1125" s="218">
        <v>7490.0</v>
      </c>
      <c r="G1125" s="220">
        <v>43237.0</v>
      </c>
    </row>
    <row r="1126">
      <c r="A1126" s="217">
        <v>43237.50302079861</v>
      </c>
      <c r="B1126" s="218" t="s">
        <v>5092</v>
      </c>
      <c r="C1126" s="218" t="s">
        <v>6200</v>
      </c>
      <c r="D1126" s="219">
        <v>1.0</v>
      </c>
      <c r="E1126" s="24"/>
      <c r="G1126" s="220">
        <v>43237.0</v>
      </c>
    </row>
    <row r="1127">
      <c r="A1127" s="217">
        <v>43237.50425627315</v>
      </c>
      <c r="B1127" s="218" t="s">
        <v>5092</v>
      </c>
      <c r="C1127" s="218" t="s">
        <v>1871</v>
      </c>
      <c r="D1127" s="219">
        <v>1.0</v>
      </c>
      <c r="E1127" s="218">
        <v>7990.0</v>
      </c>
      <c r="G1127" s="220">
        <v>43237.0</v>
      </c>
    </row>
    <row r="1128">
      <c r="A1128" s="217">
        <v>43237.505153125</v>
      </c>
      <c r="B1128" s="218" t="s">
        <v>5092</v>
      </c>
      <c r="C1128" s="218" t="s">
        <v>6201</v>
      </c>
      <c r="D1128" s="219">
        <v>1.0</v>
      </c>
      <c r="E1128" s="24"/>
      <c r="G1128" s="220">
        <v>43237.0</v>
      </c>
    </row>
    <row r="1129">
      <c r="A1129" s="217">
        <v>43237.50627395834</v>
      </c>
      <c r="B1129" s="218" t="s">
        <v>5092</v>
      </c>
      <c r="C1129" s="218" t="s">
        <v>1883</v>
      </c>
      <c r="D1129" s="219">
        <v>1.0</v>
      </c>
      <c r="E1129" s="218">
        <v>6990.0</v>
      </c>
      <c r="G1129" s="220">
        <v>43237.0</v>
      </c>
    </row>
    <row r="1130">
      <c r="A1130" s="217">
        <v>43237.50724605324</v>
      </c>
      <c r="B1130" s="218" t="s">
        <v>5092</v>
      </c>
      <c r="C1130" s="218" t="s">
        <v>6202</v>
      </c>
      <c r="D1130" s="219">
        <v>1.0</v>
      </c>
      <c r="E1130" s="24"/>
      <c r="G1130" s="220">
        <v>43237.0</v>
      </c>
    </row>
    <row r="1131">
      <c r="A1131" s="217">
        <v>43237.50857607639</v>
      </c>
      <c r="B1131" s="218" t="s">
        <v>5092</v>
      </c>
      <c r="C1131" s="218" t="s">
        <v>6203</v>
      </c>
      <c r="D1131" s="219">
        <v>1.0</v>
      </c>
      <c r="E1131" s="218">
        <v>7990.0</v>
      </c>
      <c r="G1131" s="220">
        <v>43237.0</v>
      </c>
    </row>
    <row r="1132">
      <c r="A1132" s="217">
        <v>43237.50960664352</v>
      </c>
      <c r="B1132" s="218" t="s">
        <v>5092</v>
      </c>
      <c r="C1132" s="218" t="s">
        <v>6204</v>
      </c>
      <c r="D1132" s="219">
        <v>1.0</v>
      </c>
      <c r="E1132" s="218">
        <v>6290.0</v>
      </c>
      <c r="G1132" s="220">
        <v>43237.0</v>
      </c>
    </row>
    <row r="1133">
      <c r="A1133" s="217">
        <v>43237.510256423615</v>
      </c>
      <c r="B1133" s="218" t="s">
        <v>5092</v>
      </c>
      <c r="C1133" s="218" t="s">
        <v>6205</v>
      </c>
      <c r="D1133" s="219">
        <v>1.0</v>
      </c>
      <c r="E1133" s="24"/>
      <c r="G1133" s="220">
        <v>43237.0</v>
      </c>
    </row>
    <row r="1134">
      <c r="A1134" s="217">
        <v>43237.51135688658</v>
      </c>
      <c r="B1134" s="218" t="s">
        <v>5092</v>
      </c>
      <c r="C1134" s="218" t="s">
        <v>6206</v>
      </c>
      <c r="D1134" s="219">
        <v>1.0</v>
      </c>
      <c r="E1134" s="218">
        <v>6490.0</v>
      </c>
      <c r="G1134" s="220">
        <v>43237.0</v>
      </c>
    </row>
    <row r="1135">
      <c r="A1135" s="217">
        <v>43237.512811168985</v>
      </c>
      <c r="B1135" s="218" t="s">
        <v>5092</v>
      </c>
      <c r="C1135" s="218" t="s">
        <v>6207</v>
      </c>
      <c r="D1135" s="219">
        <v>1.0</v>
      </c>
      <c r="E1135" s="218">
        <v>10290.0</v>
      </c>
      <c r="G1135" s="220">
        <v>43237.0</v>
      </c>
    </row>
    <row r="1136">
      <c r="A1136" s="217">
        <v>43237.513568078706</v>
      </c>
      <c r="B1136" s="218" t="s">
        <v>5092</v>
      </c>
      <c r="C1136" s="218" t="s">
        <v>6208</v>
      </c>
      <c r="D1136" s="219">
        <v>1.0</v>
      </c>
      <c r="E1136" s="218">
        <v>8490.0</v>
      </c>
      <c r="G1136" s="220">
        <v>43237.0</v>
      </c>
    </row>
    <row r="1137">
      <c r="A1137" s="217">
        <v>43237.51469150463</v>
      </c>
      <c r="B1137" s="218" t="s">
        <v>5092</v>
      </c>
      <c r="C1137" s="218" t="s">
        <v>1885</v>
      </c>
      <c r="D1137" s="219">
        <v>1.0</v>
      </c>
      <c r="E1137" s="218">
        <v>6990.0</v>
      </c>
      <c r="G1137" s="220">
        <v>43237.0</v>
      </c>
    </row>
    <row r="1138">
      <c r="A1138" s="217">
        <v>43237.51732079861</v>
      </c>
      <c r="B1138" s="218" t="s">
        <v>5092</v>
      </c>
      <c r="C1138" s="218" t="s">
        <v>6209</v>
      </c>
      <c r="D1138" s="219">
        <v>1.0</v>
      </c>
      <c r="E1138" s="218">
        <v>7490.0</v>
      </c>
      <c r="G1138" s="220">
        <v>43237.0</v>
      </c>
    </row>
    <row r="1139">
      <c r="A1139" s="217">
        <v>43237.518241157406</v>
      </c>
      <c r="B1139" s="218" t="s">
        <v>5092</v>
      </c>
      <c r="C1139" s="218" t="s">
        <v>1893</v>
      </c>
      <c r="D1139" s="219">
        <v>1.0</v>
      </c>
      <c r="E1139" s="218">
        <v>8190.0</v>
      </c>
      <c r="G1139" s="220">
        <v>43237.0</v>
      </c>
    </row>
    <row r="1140">
      <c r="A1140" s="217">
        <v>43237.51886043981</v>
      </c>
      <c r="B1140" s="218" t="s">
        <v>5092</v>
      </c>
      <c r="C1140" s="218" t="s">
        <v>6210</v>
      </c>
      <c r="D1140" s="219">
        <v>1.0</v>
      </c>
      <c r="E1140" s="218">
        <v>8590.0</v>
      </c>
      <c r="G1140" s="220">
        <v>43237.0</v>
      </c>
    </row>
    <row r="1141">
      <c r="A1141" s="217">
        <v>43237.5273408912</v>
      </c>
      <c r="B1141" s="218" t="s">
        <v>5092</v>
      </c>
      <c r="C1141" s="218" t="s">
        <v>5182</v>
      </c>
      <c r="D1141" s="219">
        <v>1.0</v>
      </c>
      <c r="E1141" s="218">
        <v>4290.0</v>
      </c>
      <c r="G1141" s="220">
        <v>43237.0</v>
      </c>
    </row>
    <row r="1142">
      <c r="A1142" s="217">
        <v>43237.529930115736</v>
      </c>
      <c r="B1142" s="218" t="s">
        <v>5092</v>
      </c>
      <c r="C1142" s="218" t="s">
        <v>1926</v>
      </c>
      <c r="D1142" s="219">
        <v>1.0</v>
      </c>
      <c r="E1142" s="218">
        <v>4290.0</v>
      </c>
      <c r="G1142" s="220">
        <v>43237.0</v>
      </c>
    </row>
    <row r="1143">
      <c r="A1143" s="217">
        <v>43237.53215434028</v>
      </c>
      <c r="B1143" s="218" t="s">
        <v>5092</v>
      </c>
      <c r="C1143" s="218" t="s">
        <v>6211</v>
      </c>
      <c r="D1143" s="219">
        <v>1.0</v>
      </c>
      <c r="E1143" s="218">
        <v>7290.0</v>
      </c>
      <c r="G1143" s="220">
        <v>43237.0</v>
      </c>
    </row>
    <row r="1144">
      <c r="A1144" s="217">
        <v>43237.53325825231</v>
      </c>
      <c r="B1144" s="218" t="s">
        <v>5092</v>
      </c>
      <c r="C1144" s="218" t="s">
        <v>1957</v>
      </c>
      <c r="D1144" s="219">
        <v>2.0</v>
      </c>
      <c r="E1144" s="24"/>
      <c r="G1144" s="220">
        <v>43237.0</v>
      </c>
    </row>
    <row r="1145">
      <c r="A1145" s="217">
        <v>43237.53853837963</v>
      </c>
      <c r="B1145" s="218" t="s">
        <v>5092</v>
      </c>
      <c r="C1145" s="218" t="s">
        <v>1969</v>
      </c>
      <c r="D1145" s="219">
        <v>1.0</v>
      </c>
      <c r="E1145" s="218">
        <v>1800.0</v>
      </c>
      <c r="G1145" s="220">
        <v>43237.0</v>
      </c>
    </row>
    <row r="1146">
      <c r="A1146" s="217">
        <v>43237.539327384264</v>
      </c>
      <c r="B1146" s="218" t="s">
        <v>5092</v>
      </c>
      <c r="C1146" s="218" t="s">
        <v>6212</v>
      </c>
      <c r="D1146" s="219">
        <v>1.0</v>
      </c>
      <c r="E1146" s="218">
        <v>1800.0</v>
      </c>
      <c r="G1146" s="220">
        <v>43237.0</v>
      </c>
    </row>
    <row r="1147">
      <c r="A1147" s="217">
        <v>43238.53241119213</v>
      </c>
      <c r="B1147" s="218" t="s">
        <v>5184</v>
      </c>
      <c r="C1147" s="234" t="s">
        <v>5976</v>
      </c>
      <c r="D1147" s="221">
        <v>1.0</v>
      </c>
      <c r="E1147" s="218">
        <v>400.0</v>
      </c>
      <c r="F1147" s="3" t="s">
        <v>5787</v>
      </c>
      <c r="G1147" s="220">
        <v>43233.0</v>
      </c>
    </row>
    <row r="1148">
      <c r="A1148" s="217">
        <v>43238.53352340277</v>
      </c>
      <c r="B1148" s="218" t="s">
        <v>5184</v>
      </c>
      <c r="C1148" s="218" t="s">
        <v>5893</v>
      </c>
      <c r="D1148" s="221">
        <v>1.0</v>
      </c>
      <c r="E1148" s="218">
        <v>250.0</v>
      </c>
      <c r="F1148" s="3" t="s">
        <v>5787</v>
      </c>
      <c r="G1148" s="220">
        <v>43233.0</v>
      </c>
    </row>
    <row r="1149">
      <c r="A1149" s="217">
        <v>43238.53440046296</v>
      </c>
      <c r="B1149" s="218" t="s">
        <v>5184</v>
      </c>
      <c r="C1149" s="218" t="s">
        <v>5804</v>
      </c>
      <c r="D1149" s="221">
        <v>1.0</v>
      </c>
      <c r="E1149" s="218">
        <v>300.0</v>
      </c>
      <c r="F1149" s="3" t="s">
        <v>5787</v>
      </c>
      <c r="G1149" s="220">
        <v>43233.0</v>
      </c>
    </row>
    <row r="1150">
      <c r="A1150" s="217">
        <v>43238.53523663194</v>
      </c>
      <c r="B1150" s="218" t="s">
        <v>5184</v>
      </c>
      <c r="C1150" s="218" t="s">
        <v>5804</v>
      </c>
      <c r="D1150" s="221">
        <v>1.0</v>
      </c>
      <c r="E1150" s="218">
        <v>300.0</v>
      </c>
      <c r="G1150" s="220">
        <v>43233.0</v>
      </c>
    </row>
    <row r="1151">
      <c r="A1151" s="217">
        <v>43238.53595711806</v>
      </c>
      <c r="B1151" s="218" t="s">
        <v>5184</v>
      </c>
      <c r="C1151" s="218" t="s">
        <v>5789</v>
      </c>
      <c r="D1151" s="221">
        <v>1.0</v>
      </c>
      <c r="E1151" s="218">
        <v>400.0</v>
      </c>
      <c r="F1151" s="3" t="s">
        <v>5787</v>
      </c>
      <c r="G1151" s="220">
        <v>43233.0</v>
      </c>
    </row>
    <row r="1152">
      <c r="A1152" s="217">
        <v>43238.53753354167</v>
      </c>
      <c r="B1152" s="218" t="s">
        <v>5184</v>
      </c>
      <c r="C1152" s="218" t="s">
        <v>5786</v>
      </c>
      <c r="D1152" s="221">
        <v>1.0</v>
      </c>
      <c r="E1152" s="218">
        <v>300.0</v>
      </c>
      <c r="F1152" s="3" t="s">
        <v>5787</v>
      </c>
      <c r="G1152" s="220">
        <v>43234.0</v>
      </c>
    </row>
    <row r="1153">
      <c r="A1153" s="217">
        <v>43238.538400474536</v>
      </c>
      <c r="B1153" s="218" t="s">
        <v>5184</v>
      </c>
      <c r="C1153" s="234" t="s">
        <v>5976</v>
      </c>
      <c r="D1153" s="221">
        <v>1.0</v>
      </c>
      <c r="E1153" s="218">
        <v>400.0</v>
      </c>
      <c r="F1153" s="3" t="s">
        <v>5787</v>
      </c>
      <c r="G1153" s="220">
        <v>43234.0</v>
      </c>
    </row>
    <row r="1154">
      <c r="A1154" s="217">
        <v>43238.53936359954</v>
      </c>
      <c r="B1154" s="218" t="s">
        <v>5184</v>
      </c>
      <c r="C1154" s="234" t="s">
        <v>5848</v>
      </c>
      <c r="D1154" s="221">
        <v>1.0</v>
      </c>
      <c r="E1154" s="218">
        <v>1000.0</v>
      </c>
      <c r="F1154" s="3" t="s">
        <v>5787</v>
      </c>
      <c r="G1154" s="220">
        <v>43234.0</v>
      </c>
    </row>
    <row r="1155">
      <c r="A1155" s="217">
        <v>43238.55665229166</v>
      </c>
      <c r="B1155" s="218" t="s">
        <v>5184</v>
      </c>
      <c r="C1155" s="218" t="s">
        <v>5786</v>
      </c>
      <c r="D1155" s="221">
        <v>1.0</v>
      </c>
      <c r="E1155" s="218">
        <v>300.0</v>
      </c>
      <c r="F1155" s="3" t="s">
        <v>5787</v>
      </c>
      <c r="G1155" s="220">
        <v>43234.0</v>
      </c>
    </row>
    <row r="1156">
      <c r="A1156" s="217">
        <v>43238.559375</v>
      </c>
      <c r="B1156" s="218" t="s">
        <v>5184</v>
      </c>
      <c r="C1156" s="234" t="s">
        <v>5976</v>
      </c>
      <c r="D1156" s="221">
        <v>1.0</v>
      </c>
      <c r="E1156" s="218">
        <v>500.0</v>
      </c>
      <c r="F1156" s="3" t="s">
        <v>5787</v>
      </c>
      <c r="G1156" s="220">
        <v>43234.0</v>
      </c>
    </row>
    <row r="1157">
      <c r="A1157" s="217">
        <v>43238.56616700231</v>
      </c>
      <c r="B1157" s="218" t="s">
        <v>5184</v>
      </c>
      <c r="C1157" s="218" t="s">
        <v>5893</v>
      </c>
      <c r="D1157" s="221">
        <v>1.0</v>
      </c>
      <c r="E1157" s="218">
        <v>250.0</v>
      </c>
      <c r="F1157" s="3" t="s">
        <v>5787</v>
      </c>
      <c r="G1157" s="220">
        <v>43234.0</v>
      </c>
    </row>
    <row r="1158">
      <c r="A1158" s="217">
        <v>43238.56721635417</v>
      </c>
      <c r="B1158" s="218" t="s">
        <v>5184</v>
      </c>
      <c r="C1158" s="234" t="s">
        <v>6053</v>
      </c>
      <c r="D1158" s="221">
        <v>1.0</v>
      </c>
      <c r="E1158" s="218">
        <v>300.0</v>
      </c>
      <c r="G1158" s="220">
        <v>43235.0</v>
      </c>
    </row>
    <row r="1159">
      <c r="A1159" s="217">
        <v>43238.56827708334</v>
      </c>
      <c r="B1159" s="218" t="s">
        <v>5184</v>
      </c>
      <c r="C1159" s="218" t="s">
        <v>5789</v>
      </c>
      <c r="D1159" s="221">
        <v>1.0</v>
      </c>
      <c r="E1159" s="218">
        <v>400.0</v>
      </c>
      <c r="F1159" s="3" t="s">
        <v>5787</v>
      </c>
      <c r="G1159" s="220">
        <v>43235.0</v>
      </c>
    </row>
    <row r="1160">
      <c r="A1160" s="217">
        <v>43238.56873125</v>
      </c>
      <c r="B1160" s="218" t="s">
        <v>5184</v>
      </c>
      <c r="C1160" s="234" t="s">
        <v>2545</v>
      </c>
      <c r="D1160" s="221">
        <v>1.0</v>
      </c>
      <c r="E1160" s="218">
        <v>200.0</v>
      </c>
      <c r="F1160" s="3" t="s">
        <v>5833</v>
      </c>
      <c r="G1160" s="220">
        <v>43235.0</v>
      </c>
    </row>
    <row r="1161">
      <c r="A1161" s="217">
        <v>43238.569494745374</v>
      </c>
      <c r="B1161" s="218" t="s">
        <v>5184</v>
      </c>
      <c r="C1161" s="234" t="s">
        <v>6053</v>
      </c>
      <c r="D1161" s="221">
        <v>1.0</v>
      </c>
      <c r="E1161" s="218">
        <v>300.0</v>
      </c>
      <c r="G1161" s="220">
        <v>43235.0</v>
      </c>
    </row>
    <row r="1162">
      <c r="A1162" s="217">
        <v>43238.57038082176</v>
      </c>
      <c r="B1162" s="218" t="s">
        <v>5184</v>
      </c>
      <c r="C1162" s="234" t="s">
        <v>6053</v>
      </c>
      <c r="D1162" s="221">
        <v>1.0</v>
      </c>
      <c r="E1162" s="218">
        <v>300.0</v>
      </c>
      <c r="G1162" s="220">
        <v>43235.0</v>
      </c>
    </row>
    <row r="1163">
      <c r="A1163" s="217">
        <v>43238.57206559028</v>
      </c>
      <c r="B1163" s="218" t="s">
        <v>5184</v>
      </c>
      <c r="C1163" s="218" t="s">
        <v>5818</v>
      </c>
      <c r="D1163" s="221">
        <v>1.0</v>
      </c>
      <c r="E1163" s="218">
        <v>250.0</v>
      </c>
      <c r="F1163" s="3" t="s">
        <v>5787</v>
      </c>
      <c r="G1163" s="220">
        <v>43235.0</v>
      </c>
    </row>
    <row r="1164">
      <c r="A1164" s="217">
        <v>43238.57341318287</v>
      </c>
      <c r="B1164" s="218" t="s">
        <v>5184</v>
      </c>
      <c r="C1164" s="218" t="s">
        <v>5893</v>
      </c>
      <c r="D1164" s="221">
        <v>1.0</v>
      </c>
      <c r="E1164" s="218">
        <v>250.0</v>
      </c>
      <c r="F1164" s="3" t="s">
        <v>5787</v>
      </c>
      <c r="G1164" s="220">
        <v>43235.0</v>
      </c>
    </row>
    <row r="1165">
      <c r="A1165" s="217">
        <v>43238.57991234954</v>
      </c>
      <c r="B1165" s="218" t="s">
        <v>5184</v>
      </c>
      <c r="C1165" s="234" t="s">
        <v>6230</v>
      </c>
      <c r="D1165" s="221">
        <v>1.0</v>
      </c>
      <c r="E1165" s="218">
        <v>300.0</v>
      </c>
      <c r="G1165" s="220">
        <v>43235.0</v>
      </c>
    </row>
    <row r="1166">
      <c r="A1166" s="217">
        <v>43238.58145454861</v>
      </c>
      <c r="B1166" s="218" t="s">
        <v>5184</v>
      </c>
      <c r="C1166" s="218" t="s">
        <v>5786</v>
      </c>
      <c r="D1166" s="221">
        <v>1.0</v>
      </c>
      <c r="E1166" s="218">
        <v>300.0</v>
      </c>
      <c r="F1166" s="3" t="s">
        <v>5787</v>
      </c>
      <c r="G1166" s="220">
        <v>43236.0</v>
      </c>
    </row>
    <row r="1167">
      <c r="A1167" s="217">
        <v>43238.582592824074</v>
      </c>
      <c r="B1167" s="218" t="s">
        <v>5184</v>
      </c>
      <c r="C1167" s="218" t="s">
        <v>5804</v>
      </c>
      <c r="D1167" s="221">
        <v>1.0</v>
      </c>
      <c r="E1167" s="218">
        <v>300.0</v>
      </c>
      <c r="F1167" s="3" t="s">
        <v>5787</v>
      </c>
      <c r="G1167" s="220">
        <v>43236.0</v>
      </c>
    </row>
    <row r="1168">
      <c r="A1168" s="217">
        <v>43238.583548622686</v>
      </c>
      <c r="B1168" s="218" t="s">
        <v>5184</v>
      </c>
      <c r="C1168" s="218" t="s">
        <v>5786</v>
      </c>
      <c r="D1168" s="221">
        <v>1.0</v>
      </c>
      <c r="E1168" s="218">
        <v>300.0</v>
      </c>
      <c r="F1168" s="3" t="s">
        <v>5787</v>
      </c>
      <c r="G1168" s="220">
        <v>43236.0</v>
      </c>
    </row>
    <row r="1169">
      <c r="A1169" s="217">
        <v>43238.58443120371</v>
      </c>
      <c r="B1169" s="218" t="s">
        <v>5184</v>
      </c>
      <c r="C1169" s="218" t="s">
        <v>5786</v>
      </c>
      <c r="D1169" s="221">
        <v>1.0</v>
      </c>
      <c r="E1169" s="218">
        <v>300.0</v>
      </c>
      <c r="F1169" s="3" t="s">
        <v>5787</v>
      </c>
      <c r="G1169" s="220">
        <v>43236.0</v>
      </c>
    </row>
    <row r="1170">
      <c r="A1170" s="217">
        <v>43238.585429733794</v>
      </c>
      <c r="B1170" s="218" t="s">
        <v>5184</v>
      </c>
      <c r="C1170" s="218" t="s">
        <v>5789</v>
      </c>
      <c r="D1170" s="221">
        <v>1.0</v>
      </c>
      <c r="E1170" s="218">
        <v>400.0</v>
      </c>
      <c r="F1170" s="3" t="s">
        <v>5787</v>
      </c>
      <c r="G1170" s="220">
        <v>43236.0</v>
      </c>
    </row>
    <row r="1171">
      <c r="A1171" s="217">
        <v>43238.58625734954</v>
      </c>
      <c r="B1171" s="218" t="s">
        <v>5184</v>
      </c>
      <c r="C1171" s="218" t="s">
        <v>5818</v>
      </c>
      <c r="D1171" s="221">
        <v>1.0</v>
      </c>
      <c r="E1171" s="218">
        <v>300.0</v>
      </c>
      <c r="F1171" s="3" t="s">
        <v>5787</v>
      </c>
      <c r="G1171" s="220">
        <v>43236.0</v>
      </c>
    </row>
    <row r="1172">
      <c r="A1172" s="217">
        <v>43238.58745472222</v>
      </c>
      <c r="B1172" s="218" t="s">
        <v>5184</v>
      </c>
      <c r="C1172" s="234" t="s">
        <v>1235</v>
      </c>
      <c r="D1172" s="221">
        <v>1.0</v>
      </c>
      <c r="E1172" s="218">
        <v>650.0</v>
      </c>
      <c r="F1172" s="3" t="s">
        <v>5787</v>
      </c>
      <c r="G1172" s="220">
        <v>43237.0</v>
      </c>
    </row>
    <row r="1173">
      <c r="A1173" s="217">
        <v>43238.58881988426</v>
      </c>
      <c r="B1173" s="218" t="s">
        <v>5184</v>
      </c>
      <c r="C1173" s="234" t="s">
        <v>5848</v>
      </c>
      <c r="D1173" s="221">
        <v>1.0</v>
      </c>
      <c r="E1173" s="218">
        <v>1000.0</v>
      </c>
      <c r="F1173" s="3" t="s">
        <v>5787</v>
      </c>
      <c r="G1173" s="220">
        <v>43237.0</v>
      </c>
    </row>
    <row r="1174">
      <c r="A1174" s="217">
        <v>43238.597452118054</v>
      </c>
      <c r="B1174" s="218" t="s">
        <v>5184</v>
      </c>
      <c r="C1174" s="234" t="s">
        <v>5848</v>
      </c>
      <c r="D1174" s="221">
        <v>1.0</v>
      </c>
      <c r="E1174" s="218">
        <v>1000.0</v>
      </c>
      <c r="F1174" s="3" t="s">
        <v>5787</v>
      </c>
      <c r="G1174" s="220">
        <v>43237.0</v>
      </c>
    </row>
    <row r="1175">
      <c r="A1175" s="217">
        <v>43238.59828148148</v>
      </c>
      <c r="B1175" s="218" t="s">
        <v>5184</v>
      </c>
      <c r="C1175" s="234" t="s">
        <v>6053</v>
      </c>
      <c r="D1175" s="221">
        <v>1.0</v>
      </c>
      <c r="E1175" s="218">
        <v>300.0</v>
      </c>
      <c r="G1175" s="220">
        <v>43237.0</v>
      </c>
    </row>
    <row r="1176">
      <c r="A1176" s="217">
        <v>43238.6121337963</v>
      </c>
      <c r="B1176" s="218" t="s">
        <v>5092</v>
      </c>
      <c r="C1176" s="218" t="s">
        <v>5202</v>
      </c>
      <c r="D1176" s="219">
        <v>1.0</v>
      </c>
      <c r="E1176" s="218">
        <v>4790.0</v>
      </c>
      <c r="G1176" s="220">
        <v>43238.0</v>
      </c>
    </row>
    <row r="1177">
      <c r="A1177" s="217">
        <v>43238.61759887732</v>
      </c>
      <c r="B1177" s="218" t="s">
        <v>5092</v>
      </c>
      <c r="C1177" s="218" t="s">
        <v>1840</v>
      </c>
      <c r="D1177" s="219">
        <v>1.0</v>
      </c>
      <c r="E1177" s="24"/>
      <c r="G1177" s="220">
        <v>43238.0</v>
      </c>
    </row>
    <row r="1178">
      <c r="A1178" s="217">
        <v>43238.62565265046</v>
      </c>
      <c r="B1178" s="218" t="s">
        <v>5092</v>
      </c>
      <c r="C1178" s="218" t="s">
        <v>5883</v>
      </c>
      <c r="D1178" s="219">
        <v>1.0</v>
      </c>
      <c r="E1178" s="24"/>
      <c r="G1178" s="220">
        <v>43238.0</v>
      </c>
    </row>
    <row r="1179">
      <c r="A1179" s="217">
        <v>43238.626286493054</v>
      </c>
      <c r="B1179" s="218" t="s">
        <v>5092</v>
      </c>
      <c r="C1179" s="218" t="s">
        <v>5106</v>
      </c>
      <c r="D1179" s="219">
        <v>1.0</v>
      </c>
      <c r="E1179" s="24"/>
      <c r="G1179" s="220">
        <v>43238.0</v>
      </c>
    </row>
    <row r="1180">
      <c r="A1180" s="217">
        <v>43238.626991620375</v>
      </c>
      <c r="B1180" s="218" t="s">
        <v>5092</v>
      </c>
      <c r="C1180" s="218" t="s">
        <v>5189</v>
      </c>
      <c r="D1180" s="219">
        <v>1.0</v>
      </c>
      <c r="E1180" s="24"/>
      <c r="G1180" s="220">
        <v>43238.0</v>
      </c>
    </row>
    <row r="1181">
      <c r="A1181" s="217">
        <v>43238.62979167824</v>
      </c>
      <c r="B1181" s="218" t="s">
        <v>5092</v>
      </c>
      <c r="C1181" s="218" t="s">
        <v>1887</v>
      </c>
      <c r="D1181" s="219">
        <v>1.0</v>
      </c>
      <c r="E1181" s="24"/>
      <c r="G1181" s="220">
        <v>43238.0</v>
      </c>
    </row>
    <row r="1182">
      <c r="A1182" s="217">
        <v>43240.56311383102</v>
      </c>
      <c r="B1182" s="218" t="s">
        <v>5184</v>
      </c>
      <c r="C1182" s="218" t="s">
        <v>5287</v>
      </c>
      <c r="D1182" s="221">
        <v>1.0</v>
      </c>
      <c r="E1182" s="218">
        <v>8490.0</v>
      </c>
      <c r="F1182" s="3" t="s">
        <v>5279</v>
      </c>
      <c r="G1182" s="220">
        <v>43237.0</v>
      </c>
    </row>
    <row r="1183">
      <c r="A1183" s="217">
        <v>43240.56651041667</v>
      </c>
      <c r="B1183" s="218" t="s">
        <v>5184</v>
      </c>
      <c r="C1183" s="218" t="s">
        <v>5789</v>
      </c>
      <c r="D1183" s="221">
        <v>1.0</v>
      </c>
      <c r="E1183" s="218">
        <v>400.0</v>
      </c>
      <c r="F1183" s="3">
        <v>400.0</v>
      </c>
      <c r="G1183" s="220">
        <v>43238.0</v>
      </c>
    </row>
    <row r="1184">
      <c r="A1184" s="217">
        <v>43240.56918136574</v>
      </c>
      <c r="B1184" s="218" t="s">
        <v>5184</v>
      </c>
      <c r="C1184" s="218" t="s">
        <v>5976</v>
      </c>
      <c r="D1184" s="221">
        <v>1.0</v>
      </c>
      <c r="E1184" s="218">
        <v>400.0</v>
      </c>
      <c r="F1184" s="3" t="s">
        <v>5787</v>
      </c>
      <c r="G1184" s="220">
        <v>43238.0</v>
      </c>
    </row>
    <row r="1185">
      <c r="A1185" s="217">
        <v>43240.57051482639</v>
      </c>
      <c r="B1185" s="218" t="s">
        <v>5184</v>
      </c>
      <c r="C1185" s="218" t="s">
        <v>5893</v>
      </c>
      <c r="D1185" s="221">
        <v>1.0</v>
      </c>
      <c r="E1185" s="218">
        <v>250.0</v>
      </c>
      <c r="F1185" s="3" t="s">
        <v>5787</v>
      </c>
      <c r="G1185" s="220">
        <v>43238.0</v>
      </c>
    </row>
    <row r="1186">
      <c r="A1186" s="217">
        <v>43240.57746768519</v>
      </c>
      <c r="B1186" s="218" t="s">
        <v>5184</v>
      </c>
      <c r="C1186" s="218" t="s">
        <v>6053</v>
      </c>
      <c r="D1186" s="221">
        <v>2.0</v>
      </c>
      <c r="E1186" s="218">
        <v>300.0</v>
      </c>
      <c r="F1186" s="3" t="s">
        <v>5787</v>
      </c>
      <c r="G1186" s="220">
        <v>43238.0</v>
      </c>
    </row>
    <row r="1187">
      <c r="A1187" s="217">
        <v>43240.57923743056</v>
      </c>
      <c r="B1187" s="218" t="s">
        <v>5184</v>
      </c>
      <c r="C1187" s="218" t="s">
        <v>5818</v>
      </c>
      <c r="D1187" s="221">
        <v>1.0</v>
      </c>
      <c r="E1187" s="218">
        <v>300.0</v>
      </c>
      <c r="F1187" s="3" t="s">
        <v>5787</v>
      </c>
      <c r="G1187" s="220">
        <v>43238.0</v>
      </c>
    </row>
    <row r="1188">
      <c r="A1188" s="217">
        <v>43240.589159537034</v>
      </c>
      <c r="B1188" s="218" t="s">
        <v>5184</v>
      </c>
      <c r="C1188" s="218" t="s">
        <v>5786</v>
      </c>
      <c r="D1188" s="221">
        <v>1.0</v>
      </c>
      <c r="E1188" s="218">
        <v>300.0</v>
      </c>
      <c r="F1188" s="3" t="s">
        <v>5787</v>
      </c>
      <c r="G1188" s="220">
        <v>43239.0</v>
      </c>
    </row>
    <row r="1189">
      <c r="A1189" s="217">
        <v>43240.59013761574</v>
      </c>
      <c r="B1189" s="218" t="s">
        <v>5184</v>
      </c>
      <c r="C1189" s="218" t="s">
        <v>5804</v>
      </c>
      <c r="D1189" s="221">
        <v>1.0</v>
      </c>
      <c r="E1189" s="218">
        <v>300.0</v>
      </c>
      <c r="F1189" s="3" t="s">
        <v>5787</v>
      </c>
      <c r="G1189" s="220">
        <v>43239.0</v>
      </c>
    </row>
    <row r="1190">
      <c r="A1190" s="217">
        <v>43240.59106212963</v>
      </c>
      <c r="B1190" s="218" t="s">
        <v>5184</v>
      </c>
      <c r="C1190" s="218" t="s">
        <v>6246</v>
      </c>
      <c r="D1190" s="221">
        <v>1.0</v>
      </c>
      <c r="E1190" s="218">
        <v>1800.0</v>
      </c>
      <c r="G1190" s="220">
        <v>43239.0</v>
      </c>
    </row>
    <row r="1191">
      <c r="A1191" s="217">
        <v>43240.59229315972</v>
      </c>
      <c r="B1191" s="218" t="s">
        <v>5184</v>
      </c>
      <c r="C1191" s="218" t="s">
        <v>5818</v>
      </c>
      <c r="D1191" s="221">
        <v>1.0</v>
      </c>
      <c r="E1191" s="218">
        <v>300.0</v>
      </c>
      <c r="F1191" s="3" t="s">
        <v>5787</v>
      </c>
      <c r="G1191" s="220">
        <v>43239.0</v>
      </c>
    </row>
    <row r="1192">
      <c r="A1192" s="217">
        <v>43240.59320847222</v>
      </c>
      <c r="B1192" s="218" t="s">
        <v>5184</v>
      </c>
      <c r="C1192" s="218" t="s">
        <v>5893</v>
      </c>
      <c r="D1192" s="221">
        <v>1.0</v>
      </c>
      <c r="E1192" s="218">
        <v>250.0</v>
      </c>
      <c r="F1192" s="3" t="s">
        <v>5787</v>
      </c>
      <c r="G1192" s="220">
        <v>43239.0</v>
      </c>
    </row>
    <row r="1193">
      <c r="A1193" s="217">
        <v>43240.59423939815</v>
      </c>
      <c r="B1193" s="218" t="s">
        <v>5184</v>
      </c>
      <c r="C1193" s="218" t="s">
        <v>5818</v>
      </c>
      <c r="D1193" s="221">
        <v>1.0</v>
      </c>
      <c r="E1193" s="218">
        <v>300.0</v>
      </c>
      <c r="F1193" s="3" t="s">
        <v>5787</v>
      </c>
      <c r="G1193" s="220">
        <v>43239.0</v>
      </c>
    </row>
    <row r="1194">
      <c r="A1194" s="217">
        <v>43240.59601237268</v>
      </c>
      <c r="B1194" s="218" t="s">
        <v>5184</v>
      </c>
      <c r="C1194" s="218" t="s">
        <v>5782</v>
      </c>
      <c r="D1194" s="221">
        <v>1.0</v>
      </c>
      <c r="E1194" s="218">
        <v>400.0</v>
      </c>
      <c r="F1194" s="3" t="s">
        <v>5787</v>
      </c>
      <c r="G1194" s="220">
        <v>43239.0</v>
      </c>
    </row>
    <row r="1195">
      <c r="A1195" s="217">
        <v>43241.716808530095</v>
      </c>
      <c r="B1195" s="218" t="s">
        <v>5092</v>
      </c>
      <c r="C1195" s="218" t="s">
        <v>5818</v>
      </c>
      <c r="D1195" s="219">
        <v>5.0</v>
      </c>
      <c r="E1195" s="218">
        <v>300.0</v>
      </c>
      <c r="G1195" s="220">
        <v>43241.0</v>
      </c>
    </row>
    <row r="1196">
      <c r="A1196" s="217">
        <v>43241.71741886574</v>
      </c>
      <c r="B1196" s="218" t="s">
        <v>5092</v>
      </c>
      <c r="C1196" s="218" t="s">
        <v>5786</v>
      </c>
      <c r="D1196" s="219">
        <v>5.0</v>
      </c>
      <c r="E1196" s="218">
        <v>300.0</v>
      </c>
      <c r="G1196" s="220">
        <v>43241.0</v>
      </c>
    </row>
    <row r="1197">
      <c r="A1197" s="217">
        <v>43241.72057572917</v>
      </c>
      <c r="B1197" s="218" t="s">
        <v>5184</v>
      </c>
      <c r="C1197" s="218" t="s">
        <v>6251</v>
      </c>
      <c r="D1197" s="221">
        <v>1.0</v>
      </c>
      <c r="E1197" s="218">
        <v>3290.0</v>
      </c>
      <c r="G1197" s="220">
        <v>43241.0</v>
      </c>
    </row>
    <row r="1198">
      <c r="A1198" s="217">
        <v>43243.44509978009</v>
      </c>
      <c r="B1198" s="218" t="s">
        <v>5092</v>
      </c>
      <c r="C1198" s="218" t="s">
        <v>5109</v>
      </c>
      <c r="D1198" s="219">
        <v>1.0</v>
      </c>
      <c r="E1198" s="218">
        <v>6490.0</v>
      </c>
      <c r="G1198" s="220">
        <v>43243.0</v>
      </c>
    </row>
    <row r="1199">
      <c r="A1199" s="217">
        <v>43243.44720416667</v>
      </c>
      <c r="B1199" s="218" t="s">
        <v>5092</v>
      </c>
      <c r="C1199" s="218" t="s">
        <v>5118</v>
      </c>
      <c r="D1199" s="219">
        <v>1.0</v>
      </c>
      <c r="E1199" s="218">
        <v>6990.0</v>
      </c>
      <c r="G1199" s="220">
        <v>43243.0</v>
      </c>
    </row>
    <row r="1200">
      <c r="A1200" s="217">
        <v>43243.448850810186</v>
      </c>
      <c r="B1200" s="218" t="s">
        <v>5092</v>
      </c>
      <c r="C1200" s="218" t="s">
        <v>6254</v>
      </c>
      <c r="D1200" s="219">
        <v>1.0</v>
      </c>
      <c r="E1200" s="218">
        <v>6990.0</v>
      </c>
      <c r="G1200" s="220">
        <v>43243.0</v>
      </c>
    </row>
    <row r="1201">
      <c r="A1201" s="217">
        <v>43243.45619222222</v>
      </c>
      <c r="B1201" s="218" t="s">
        <v>5092</v>
      </c>
      <c r="C1201" s="218" t="s">
        <v>5122</v>
      </c>
      <c r="D1201" s="219">
        <v>1.0</v>
      </c>
      <c r="E1201" s="218">
        <v>6990.0</v>
      </c>
      <c r="G1201" s="220">
        <v>43244.0</v>
      </c>
    </row>
    <row r="1202">
      <c r="A1202" s="217">
        <v>43243.47105170139</v>
      </c>
      <c r="B1202" s="218" t="s">
        <v>5092</v>
      </c>
      <c r="C1202" s="218" t="s">
        <v>6255</v>
      </c>
      <c r="D1202" s="219">
        <v>1.0</v>
      </c>
      <c r="E1202" s="218">
        <v>6490.0</v>
      </c>
      <c r="G1202" s="220">
        <v>43250.0</v>
      </c>
    </row>
    <row r="1203">
      <c r="A1203" s="217">
        <v>43243.473472060185</v>
      </c>
      <c r="B1203" s="218" t="s">
        <v>5092</v>
      </c>
      <c r="C1203" s="218" t="s">
        <v>6257</v>
      </c>
      <c r="D1203" s="219">
        <v>1.0</v>
      </c>
      <c r="E1203" s="218">
        <v>4390.0</v>
      </c>
      <c r="G1203" s="220">
        <v>43243.0</v>
      </c>
    </row>
    <row r="1204">
      <c r="A1204" s="217">
        <v>43243.47568800926</v>
      </c>
      <c r="B1204" s="218" t="s">
        <v>5092</v>
      </c>
      <c r="C1204" s="218" t="s">
        <v>6258</v>
      </c>
      <c r="D1204" s="219">
        <v>1.0</v>
      </c>
      <c r="E1204" s="218">
        <v>4390.0</v>
      </c>
      <c r="G1204" s="220">
        <v>43243.0</v>
      </c>
    </row>
    <row r="1205">
      <c r="A1205" s="217">
        <v>43243.48255237269</v>
      </c>
      <c r="B1205" s="218" t="s">
        <v>5092</v>
      </c>
      <c r="C1205" s="218" t="s">
        <v>6259</v>
      </c>
      <c r="D1205" s="219">
        <v>1.0</v>
      </c>
      <c r="E1205" s="218">
        <v>4390.0</v>
      </c>
      <c r="G1205" s="220">
        <v>43243.0</v>
      </c>
    </row>
    <row r="1206">
      <c r="A1206" s="217">
        <v>43243.499819212964</v>
      </c>
      <c r="B1206" s="218" t="s">
        <v>5092</v>
      </c>
      <c r="C1206" s="218" t="s">
        <v>6260</v>
      </c>
      <c r="D1206" s="219">
        <v>1.0</v>
      </c>
      <c r="E1206" s="218">
        <v>4390.0</v>
      </c>
      <c r="G1206" s="220">
        <v>43243.0</v>
      </c>
    </row>
    <row r="1207">
      <c r="A1207" s="217">
        <v>43243.5012774537</v>
      </c>
      <c r="B1207" s="218" t="s">
        <v>5092</v>
      </c>
      <c r="C1207" s="218" t="s">
        <v>6261</v>
      </c>
      <c r="D1207" s="219">
        <v>1.0</v>
      </c>
      <c r="E1207" s="218">
        <v>5890.0</v>
      </c>
      <c r="G1207" s="220">
        <v>43243.0</v>
      </c>
    </row>
    <row r="1208">
      <c r="A1208" s="217">
        <v>43243.50481387731</v>
      </c>
      <c r="B1208" s="218" t="s">
        <v>5092</v>
      </c>
      <c r="C1208" s="218" t="s">
        <v>1865</v>
      </c>
      <c r="D1208" s="219">
        <v>1.0</v>
      </c>
      <c r="E1208" s="218">
        <v>4290.0</v>
      </c>
      <c r="G1208" s="220">
        <v>43243.0</v>
      </c>
    </row>
    <row r="1209">
      <c r="A1209" s="217">
        <v>43243.50572703704</v>
      </c>
      <c r="B1209" s="218" t="s">
        <v>5092</v>
      </c>
      <c r="C1209" s="218" t="s">
        <v>6262</v>
      </c>
      <c r="D1209" s="219">
        <v>1.0</v>
      </c>
      <c r="E1209" s="218">
        <v>4290.0</v>
      </c>
      <c r="G1209" s="220">
        <v>43243.0</v>
      </c>
    </row>
    <row r="1210">
      <c r="A1210" s="217">
        <v>43243.51021923611</v>
      </c>
      <c r="B1210" s="218" t="s">
        <v>5092</v>
      </c>
      <c r="C1210" s="218" t="s">
        <v>1867</v>
      </c>
      <c r="D1210" s="219">
        <v>1.0</v>
      </c>
      <c r="E1210" s="218">
        <v>4290.0</v>
      </c>
      <c r="G1210" s="220">
        <v>43243.0</v>
      </c>
    </row>
    <row r="1211">
      <c r="A1211" s="217">
        <v>43243.511503368056</v>
      </c>
      <c r="B1211" s="218" t="s">
        <v>5092</v>
      </c>
      <c r="C1211" s="218" t="s">
        <v>5169</v>
      </c>
      <c r="D1211" s="219">
        <v>1.0</v>
      </c>
      <c r="E1211" s="218">
        <v>4890.0</v>
      </c>
      <c r="G1211" s="220">
        <v>43243.0</v>
      </c>
    </row>
    <row r="1212">
      <c r="A1212" s="217">
        <v>43243.51356232639</v>
      </c>
      <c r="B1212" s="218" t="s">
        <v>5092</v>
      </c>
      <c r="C1212" s="218" t="s">
        <v>6264</v>
      </c>
      <c r="D1212" s="219">
        <v>1.0</v>
      </c>
      <c r="E1212" s="218">
        <v>4290.0</v>
      </c>
      <c r="G1212" s="220">
        <v>43243.0</v>
      </c>
    </row>
    <row r="1213">
      <c r="A1213" s="217">
        <v>43243.63897813657</v>
      </c>
      <c r="B1213" s="218" t="s">
        <v>5184</v>
      </c>
      <c r="C1213" s="218" t="s">
        <v>1915</v>
      </c>
      <c r="D1213" s="221">
        <v>1.0</v>
      </c>
      <c r="E1213" s="218">
        <v>3390.0</v>
      </c>
      <c r="F1213" s="3" t="s">
        <v>5179</v>
      </c>
      <c r="G1213" s="220">
        <v>43243.0</v>
      </c>
    </row>
    <row r="1214">
      <c r="A1214" s="217">
        <v>43244.59477372685</v>
      </c>
      <c r="B1214" s="218" t="s">
        <v>5184</v>
      </c>
      <c r="C1214" s="218" t="s">
        <v>5782</v>
      </c>
      <c r="D1214" s="221">
        <v>1.0</v>
      </c>
      <c r="E1214" s="218">
        <v>400.0</v>
      </c>
      <c r="F1214" s="3" t="s">
        <v>5787</v>
      </c>
      <c r="G1214" s="220">
        <v>43240.0</v>
      </c>
    </row>
    <row r="1215">
      <c r="A1215" s="217">
        <v>43244.595945023146</v>
      </c>
      <c r="B1215" s="218" t="s">
        <v>5184</v>
      </c>
      <c r="C1215" s="218" t="s">
        <v>5845</v>
      </c>
      <c r="D1215" s="221">
        <v>1.0</v>
      </c>
      <c r="E1215" s="218">
        <v>500.0</v>
      </c>
      <c r="F1215" s="3" t="s">
        <v>5787</v>
      </c>
      <c r="G1215" s="220">
        <v>43240.0</v>
      </c>
    </row>
    <row r="1216">
      <c r="A1216" s="217">
        <v>43244.59700912037</v>
      </c>
      <c r="B1216" s="218" t="s">
        <v>5184</v>
      </c>
      <c r="C1216" s="218" t="s">
        <v>5845</v>
      </c>
      <c r="D1216" s="221">
        <v>1.0</v>
      </c>
      <c r="E1216" s="218">
        <v>500.0</v>
      </c>
      <c r="F1216" s="3" t="s">
        <v>5787</v>
      </c>
      <c r="G1216" s="220">
        <v>3695666.0</v>
      </c>
    </row>
    <row r="1217">
      <c r="A1217" s="217">
        <v>43244.59783445601</v>
      </c>
      <c r="B1217" s="218" t="s">
        <v>5184</v>
      </c>
      <c r="C1217" s="218" t="s">
        <v>6001</v>
      </c>
      <c r="D1217" s="221">
        <v>1.0</v>
      </c>
      <c r="E1217" s="218">
        <v>450.0</v>
      </c>
      <c r="F1217" s="3" t="s">
        <v>5787</v>
      </c>
      <c r="G1217" s="220">
        <v>43241.0</v>
      </c>
    </row>
    <row r="1218">
      <c r="A1218" s="217">
        <v>43244.59846206018</v>
      </c>
      <c r="B1218" s="218" t="s">
        <v>5184</v>
      </c>
      <c r="C1218" s="218" t="s">
        <v>5786</v>
      </c>
      <c r="D1218" s="221">
        <v>1.0</v>
      </c>
      <c r="E1218" s="218">
        <v>300.0</v>
      </c>
      <c r="F1218" s="3" t="s">
        <v>5787</v>
      </c>
      <c r="G1218" s="220">
        <v>43241.0</v>
      </c>
    </row>
    <row r="1219">
      <c r="A1219" s="217">
        <v>43244.59940765046</v>
      </c>
      <c r="B1219" s="218" t="s">
        <v>5184</v>
      </c>
      <c r="C1219" s="218" t="s">
        <v>5818</v>
      </c>
      <c r="D1219" s="221">
        <v>1.0</v>
      </c>
      <c r="E1219" s="218">
        <v>300.0</v>
      </c>
      <c r="F1219" s="3" t="s">
        <v>5787</v>
      </c>
      <c r="G1219" s="220">
        <v>43241.0</v>
      </c>
    </row>
    <row r="1220">
      <c r="A1220" s="217">
        <v>43244.60061734954</v>
      </c>
      <c r="B1220" s="218" t="s">
        <v>5184</v>
      </c>
      <c r="C1220" s="218" t="s">
        <v>5789</v>
      </c>
      <c r="D1220" s="221">
        <v>1.0</v>
      </c>
      <c r="E1220" s="218">
        <v>400.0</v>
      </c>
      <c r="F1220" s="3" t="s">
        <v>5787</v>
      </c>
      <c r="G1220" s="220">
        <v>43241.0</v>
      </c>
    </row>
    <row r="1221">
      <c r="A1221" s="217">
        <v>43244.60862967593</v>
      </c>
      <c r="B1221" s="218" t="s">
        <v>5184</v>
      </c>
      <c r="C1221" s="218" t="s">
        <v>5782</v>
      </c>
      <c r="D1221" s="221">
        <v>1.0</v>
      </c>
      <c r="E1221" s="218">
        <v>400.0</v>
      </c>
      <c r="F1221" s="3" t="s">
        <v>5787</v>
      </c>
      <c r="G1221" s="220">
        <v>43241.0</v>
      </c>
    </row>
    <row r="1222">
      <c r="A1222" s="217">
        <v>43244.62342520834</v>
      </c>
      <c r="B1222" s="218" t="s">
        <v>5184</v>
      </c>
      <c r="C1222" s="218" t="s">
        <v>5976</v>
      </c>
      <c r="D1222" s="221">
        <v>1.0</v>
      </c>
      <c r="E1222" s="218">
        <v>400.0</v>
      </c>
      <c r="F1222" s="3" t="s">
        <v>5787</v>
      </c>
      <c r="G1222" s="220">
        <v>43242.0</v>
      </c>
    </row>
    <row r="1223">
      <c r="A1223" s="217">
        <v>43244.62770938658</v>
      </c>
      <c r="B1223" s="218" t="s">
        <v>5184</v>
      </c>
      <c r="C1223" s="218" t="s">
        <v>5848</v>
      </c>
      <c r="D1223" s="221">
        <v>1.0</v>
      </c>
      <c r="E1223" s="218">
        <v>1000.0</v>
      </c>
      <c r="F1223" s="3" t="s">
        <v>5787</v>
      </c>
      <c r="G1223" s="220">
        <v>43242.0</v>
      </c>
    </row>
    <row r="1224">
      <c r="A1224" s="217">
        <v>43244.62970230324</v>
      </c>
      <c r="B1224" s="218" t="s">
        <v>5184</v>
      </c>
      <c r="C1224" s="218" t="s">
        <v>5804</v>
      </c>
      <c r="D1224" s="221">
        <v>1.0</v>
      </c>
      <c r="E1224" s="218">
        <v>300.0</v>
      </c>
      <c r="F1224" s="3" t="s">
        <v>5787</v>
      </c>
      <c r="G1224" s="220">
        <v>43242.0</v>
      </c>
    </row>
    <row r="1225">
      <c r="A1225" s="217">
        <v>43244.630973946754</v>
      </c>
      <c r="B1225" s="218" t="s">
        <v>5184</v>
      </c>
      <c r="C1225" s="218" t="s">
        <v>5786</v>
      </c>
      <c r="D1225" s="221">
        <v>1.0</v>
      </c>
      <c r="E1225" s="218">
        <v>300.0</v>
      </c>
      <c r="F1225" s="3" t="s">
        <v>5787</v>
      </c>
      <c r="G1225" s="220">
        <v>43242.0</v>
      </c>
    </row>
    <row r="1226">
      <c r="A1226" s="217">
        <v>43244.632065300924</v>
      </c>
      <c r="B1226" s="218" t="s">
        <v>5184</v>
      </c>
      <c r="C1226" s="218" t="s">
        <v>5782</v>
      </c>
      <c r="D1226" s="221">
        <v>1.0</v>
      </c>
      <c r="E1226" s="218">
        <v>400.0</v>
      </c>
      <c r="F1226" s="3" t="s">
        <v>5787</v>
      </c>
      <c r="G1226" s="220">
        <v>43242.0</v>
      </c>
    </row>
    <row r="1227">
      <c r="A1227" s="217">
        <v>43244.66738480324</v>
      </c>
      <c r="B1227" s="218" t="s">
        <v>5184</v>
      </c>
      <c r="C1227" s="218" t="s">
        <v>5789</v>
      </c>
      <c r="D1227" s="221">
        <v>1.0</v>
      </c>
      <c r="E1227" s="218">
        <v>400.0</v>
      </c>
      <c r="F1227" s="3" t="s">
        <v>5787</v>
      </c>
      <c r="G1227" s="220">
        <v>43242.0</v>
      </c>
    </row>
    <row r="1228">
      <c r="A1228" s="217">
        <v>43244.67968724537</v>
      </c>
      <c r="B1228" s="218" t="s">
        <v>5184</v>
      </c>
      <c r="C1228" s="218" t="s">
        <v>6001</v>
      </c>
      <c r="D1228" s="221">
        <v>1.0</v>
      </c>
      <c r="E1228" s="218">
        <v>450.0</v>
      </c>
      <c r="F1228" s="3" t="s">
        <v>5787</v>
      </c>
      <c r="G1228" s="220">
        <v>43243.0</v>
      </c>
    </row>
    <row r="1229">
      <c r="A1229" s="217">
        <v>43244.68182672454</v>
      </c>
      <c r="B1229" s="218" t="s">
        <v>5184</v>
      </c>
      <c r="C1229" s="218" t="s">
        <v>5848</v>
      </c>
      <c r="D1229" s="221">
        <v>1.0</v>
      </c>
      <c r="E1229" s="218">
        <v>1000.0</v>
      </c>
      <c r="F1229" s="3" t="s">
        <v>5787</v>
      </c>
      <c r="G1229" s="220">
        <v>43243.0</v>
      </c>
    </row>
    <row r="1230">
      <c r="A1230" s="217">
        <v>43244.68366351852</v>
      </c>
      <c r="B1230" s="218" t="s">
        <v>5184</v>
      </c>
      <c r="C1230" s="218" t="s">
        <v>6001</v>
      </c>
      <c r="D1230" s="221">
        <v>1.0</v>
      </c>
      <c r="E1230" s="218">
        <v>450.0</v>
      </c>
      <c r="F1230" s="3" t="s">
        <v>5787</v>
      </c>
      <c r="G1230" s="220">
        <v>43243.0</v>
      </c>
    </row>
    <row r="1231">
      <c r="A1231" s="217">
        <v>43244.686023437505</v>
      </c>
      <c r="B1231" s="218" t="s">
        <v>5184</v>
      </c>
      <c r="C1231" s="218" t="s">
        <v>5838</v>
      </c>
      <c r="D1231" s="221">
        <v>1.0</v>
      </c>
      <c r="E1231" s="218">
        <v>2100.0</v>
      </c>
      <c r="F1231" s="3" t="s">
        <v>5833</v>
      </c>
      <c r="G1231" s="220">
        <v>43244.0</v>
      </c>
    </row>
    <row r="1232">
      <c r="A1232" s="217">
        <v>43244.68927645833</v>
      </c>
      <c r="B1232" s="218" t="s">
        <v>5184</v>
      </c>
      <c r="C1232" s="218" t="s">
        <v>5789</v>
      </c>
      <c r="D1232" s="221">
        <v>1.0</v>
      </c>
      <c r="E1232" s="218">
        <v>400.0</v>
      </c>
      <c r="F1232" s="3" t="s">
        <v>5787</v>
      </c>
      <c r="G1232" s="220">
        <v>43243.0</v>
      </c>
    </row>
    <row r="1233">
      <c r="A1233" s="217">
        <v>43245.58629180556</v>
      </c>
      <c r="B1233" s="218" t="s">
        <v>5092</v>
      </c>
      <c r="C1233" s="218" t="s">
        <v>4544</v>
      </c>
      <c r="D1233" s="219">
        <v>1.0</v>
      </c>
      <c r="E1233" s="218">
        <v>2295.0</v>
      </c>
      <c r="F1233" s="3" t="s">
        <v>5298</v>
      </c>
      <c r="G1233" s="220">
        <v>43245.0</v>
      </c>
    </row>
    <row r="1234">
      <c r="A1234" s="217">
        <v>43245.58855277778</v>
      </c>
      <c r="B1234" s="218" t="s">
        <v>5092</v>
      </c>
      <c r="C1234" s="218" t="s">
        <v>6281</v>
      </c>
      <c r="D1234" s="219">
        <v>1.0</v>
      </c>
      <c r="E1234" s="24"/>
      <c r="G1234" s="220">
        <v>43245.0</v>
      </c>
    </row>
    <row r="1235">
      <c r="A1235" s="217">
        <v>43245.61565391204</v>
      </c>
      <c r="B1235" s="218" t="s">
        <v>5092</v>
      </c>
      <c r="C1235" s="218" t="s">
        <v>6282</v>
      </c>
      <c r="D1235" s="219">
        <v>1.0</v>
      </c>
      <c r="E1235" s="218">
        <v>1800.0</v>
      </c>
      <c r="G1235" s="220">
        <v>43245.0</v>
      </c>
    </row>
    <row r="1236">
      <c r="A1236" s="217">
        <v>43245.61683564815</v>
      </c>
      <c r="B1236" s="218" t="s">
        <v>5092</v>
      </c>
      <c r="C1236" s="218" t="s">
        <v>703</v>
      </c>
      <c r="D1236" s="219">
        <v>1.0</v>
      </c>
      <c r="E1236" s="218">
        <v>1800.0</v>
      </c>
      <c r="F1236" s="3" t="s">
        <v>5787</v>
      </c>
      <c r="G1236" s="220">
        <v>43245.0</v>
      </c>
    </row>
    <row r="1237">
      <c r="A1237" s="217">
        <v>43245.619983310185</v>
      </c>
      <c r="B1237" s="218" t="s">
        <v>5092</v>
      </c>
      <c r="C1237" s="218" t="s">
        <v>6283</v>
      </c>
      <c r="D1237" s="219">
        <v>1.0</v>
      </c>
      <c r="E1237" s="218">
        <v>2150.0</v>
      </c>
      <c r="F1237" s="3" t="s">
        <v>5787</v>
      </c>
      <c r="G1237" s="220">
        <v>43245.0</v>
      </c>
    </row>
    <row r="1238">
      <c r="A1238" s="217">
        <v>43245.638390567125</v>
      </c>
      <c r="B1238" s="218" t="s">
        <v>5092</v>
      </c>
      <c r="C1238" s="218" t="s">
        <v>6284</v>
      </c>
      <c r="D1238" s="219">
        <v>1.0</v>
      </c>
      <c r="E1238" s="218">
        <v>2150.0</v>
      </c>
      <c r="F1238" s="3" t="s">
        <v>5787</v>
      </c>
      <c r="G1238" s="220">
        <v>43245.0</v>
      </c>
    </row>
    <row r="1239">
      <c r="A1239" s="217">
        <v>43245.64023775463</v>
      </c>
      <c r="B1239" s="218" t="s">
        <v>5092</v>
      </c>
      <c r="C1239" s="218" t="s">
        <v>1624</v>
      </c>
      <c r="D1239" s="219">
        <v>1.0</v>
      </c>
      <c r="E1239" s="218">
        <v>2150.0</v>
      </c>
      <c r="F1239" s="3" t="s">
        <v>5787</v>
      </c>
      <c r="G1239" s="220">
        <v>43245.0</v>
      </c>
    </row>
    <row r="1240">
      <c r="A1240" s="217">
        <v>43245.64116990741</v>
      </c>
      <c r="B1240" s="218" t="s">
        <v>5092</v>
      </c>
      <c r="C1240" s="218" t="s">
        <v>6285</v>
      </c>
      <c r="D1240" s="219">
        <v>1.0</v>
      </c>
      <c r="E1240" s="218">
        <v>3000.0</v>
      </c>
      <c r="F1240" s="3" t="s">
        <v>5787</v>
      </c>
      <c r="G1240" s="220">
        <v>43245.0</v>
      </c>
    </row>
    <row r="1241">
      <c r="A1241" s="217">
        <v>43245.64331966435</v>
      </c>
      <c r="B1241" s="218" t="s">
        <v>5092</v>
      </c>
      <c r="C1241" s="218" t="s">
        <v>6286</v>
      </c>
      <c r="D1241" s="219">
        <v>1.0</v>
      </c>
      <c r="E1241" s="218">
        <v>11490.0</v>
      </c>
      <c r="F1241" s="3" t="s">
        <v>5279</v>
      </c>
      <c r="G1241" s="220">
        <v>43245.0</v>
      </c>
    </row>
    <row r="1242">
      <c r="A1242" s="217">
        <v>43245.64427665509</v>
      </c>
      <c r="B1242" s="218" t="s">
        <v>5092</v>
      </c>
      <c r="C1242" s="218" t="s">
        <v>6287</v>
      </c>
      <c r="D1242" s="219">
        <v>1.0</v>
      </c>
      <c r="E1242" s="218">
        <v>6290.0</v>
      </c>
      <c r="F1242" s="3" t="s">
        <v>5787</v>
      </c>
      <c r="G1242" s="220">
        <v>43245.0</v>
      </c>
    </row>
    <row r="1243">
      <c r="A1243" s="217">
        <v>43245.645094050924</v>
      </c>
      <c r="B1243" s="218" t="s">
        <v>5092</v>
      </c>
      <c r="C1243" s="218" t="s">
        <v>6288</v>
      </c>
      <c r="D1243" s="219">
        <v>1.0</v>
      </c>
      <c r="E1243" s="218">
        <v>6290.0</v>
      </c>
      <c r="F1243" s="3" t="s">
        <v>5787</v>
      </c>
      <c r="G1243" s="220">
        <v>43245.0</v>
      </c>
    </row>
    <row r="1244">
      <c r="A1244" s="217">
        <v>43245.64568721065</v>
      </c>
      <c r="B1244" s="218" t="s">
        <v>5092</v>
      </c>
      <c r="C1244" s="218" t="s">
        <v>6289</v>
      </c>
      <c r="D1244" s="219">
        <v>1.0</v>
      </c>
      <c r="E1244" s="218">
        <v>10990.0</v>
      </c>
      <c r="F1244" s="3" t="s">
        <v>5787</v>
      </c>
      <c r="G1244" s="220">
        <v>43245.0</v>
      </c>
    </row>
    <row r="1245">
      <c r="A1245" s="217">
        <v>43245.646340266205</v>
      </c>
      <c r="B1245" s="218" t="s">
        <v>5092</v>
      </c>
      <c r="C1245" s="218" t="s">
        <v>6290</v>
      </c>
      <c r="D1245" s="219">
        <v>1.0</v>
      </c>
      <c r="E1245" s="218">
        <v>6990.0</v>
      </c>
      <c r="F1245" s="3" t="s">
        <v>5787</v>
      </c>
      <c r="G1245" s="220">
        <v>43245.0</v>
      </c>
    </row>
    <row r="1246">
      <c r="A1246" s="217">
        <v>43245.64735832176</v>
      </c>
      <c r="B1246" s="218" t="s">
        <v>5092</v>
      </c>
      <c r="C1246" s="218" t="s">
        <v>6291</v>
      </c>
      <c r="D1246" s="219">
        <v>1.0</v>
      </c>
      <c r="E1246" s="218">
        <v>6490.0</v>
      </c>
      <c r="F1246" s="3" t="s">
        <v>5279</v>
      </c>
      <c r="G1246" s="220">
        <v>43245.0</v>
      </c>
    </row>
    <row r="1247">
      <c r="A1247" s="217">
        <v>43245.65126168981</v>
      </c>
      <c r="B1247" s="218" t="s">
        <v>5092</v>
      </c>
      <c r="C1247" s="218" t="s">
        <v>6292</v>
      </c>
      <c r="D1247" s="219">
        <v>1.0</v>
      </c>
      <c r="E1247" s="218">
        <v>9290.0</v>
      </c>
      <c r="F1247" s="3" t="s">
        <v>5279</v>
      </c>
      <c r="G1247" s="220">
        <v>43245.0</v>
      </c>
    </row>
    <row r="1248">
      <c r="A1248" s="217">
        <v>43245.65178435185</v>
      </c>
      <c r="B1248" s="218" t="s">
        <v>5092</v>
      </c>
      <c r="C1248" s="218" t="s">
        <v>6293</v>
      </c>
      <c r="D1248" s="219">
        <v>1.0</v>
      </c>
      <c r="E1248" s="218">
        <v>7690.0</v>
      </c>
      <c r="F1248" s="3" t="s">
        <v>5279</v>
      </c>
      <c r="G1248" s="220">
        <v>43245.0</v>
      </c>
    </row>
    <row r="1249">
      <c r="A1249" s="217">
        <v>43245.65240957176</v>
      </c>
      <c r="B1249" s="218" t="s">
        <v>5092</v>
      </c>
      <c r="C1249" s="218" t="s">
        <v>6294</v>
      </c>
      <c r="D1249" s="219">
        <v>1.0</v>
      </c>
      <c r="E1249" s="218">
        <v>8290.0</v>
      </c>
      <c r="F1249" s="3" t="s">
        <v>5279</v>
      </c>
      <c r="G1249" s="220">
        <v>43245.0</v>
      </c>
    </row>
    <row r="1250">
      <c r="A1250" s="217">
        <v>43245.653105289355</v>
      </c>
      <c r="B1250" s="218" t="s">
        <v>5092</v>
      </c>
      <c r="C1250" s="218" t="s">
        <v>6295</v>
      </c>
      <c r="D1250" s="219">
        <v>1.0</v>
      </c>
      <c r="E1250" s="218">
        <v>7690.0</v>
      </c>
      <c r="F1250" s="3" t="s">
        <v>5279</v>
      </c>
      <c r="G1250" s="220">
        <v>43245.0</v>
      </c>
    </row>
    <row r="1251">
      <c r="A1251" s="217">
        <v>43245.654568750004</v>
      </c>
      <c r="B1251" s="218" t="s">
        <v>5092</v>
      </c>
      <c r="C1251" s="218" t="s">
        <v>6296</v>
      </c>
      <c r="D1251" s="219">
        <v>1.0</v>
      </c>
      <c r="E1251" s="218">
        <v>5490.0</v>
      </c>
      <c r="F1251" s="3" t="s">
        <v>5279</v>
      </c>
      <c r="G1251" s="220">
        <v>43245.0</v>
      </c>
    </row>
    <row r="1252">
      <c r="A1252" s="217">
        <v>43245.65515045139</v>
      </c>
      <c r="B1252" s="218" t="s">
        <v>5092</v>
      </c>
      <c r="C1252" s="218" t="s">
        <v>6297</v>
      </c>
      <c r="D1252" s="219">
        <v>1.0</v>
      </c>
      <c r="E1252" s="218">
        <v>5490.0</v>
      </c>
      <c r="F1252" s="3" t="s">
        <v>5279</v>
      </c>
      <c r="G1252" s="220">
        <v>43245.0</v>
      </c>
    </row>
    <row r="1253">
      <c r="A1253" s="217">
        <v>43245.65567425926</v>
      </c>
      <c r="B1253" s="218" t="s">
        <v>5092</v>
      </c>
      <c r="C1253" s="218" t="s">
        <v>6298</v>
      </c>
      <c r="D1253" s="219">
        <v>1.0</v>
      </c>
      <c r="E1253" s="218">
        <v>5490.0</v>
      </c>
      <c r="F1253" s="3" t="s">
        <v>5279</v>
      </c>
      <c r="G1253" s="220">
        <v>43245.0</v>
      </c>
    </row>
    <row r="1254">
      <c r="A1254" s="217">
        <v>43245.65712015046</v>
      </c>
      <c r="B1254" s="218" t="s">
        <v>5092</v>
      </c>
      <c r="C1254" s="218" t="s">
        <v>6299</v>
      </c>
      <c r="D1254" s="219">
        <v>1.0</v>
      </c>
      <c r="E1254" s="218">
        <v>7790.0</v>
      </c>
      <c r="F1254" s="3" t="s">
        <v>5279</v>
      </c>
      <c r="G1254" s="220">
        <v>43245.0</v>
      </c>
    </row>
    <row r="1255">
      <c r="A1255" s="217">
        <v>43245.657755671295</v>
      </c>
      <c r="B1255" s="218" t="s">
        <v>5092</v>
      </c>
      <c r="C1255" s="218" t="s">
        <v>6300</v>
      </c>
      <c r="D1255" s="219">
        <v>1.0</v>
      </c>
      <c r="E1255" s="218">
        <v>8090.0</v>
      </c>
      <c r="F1255" s="3" t="s">
        <v>5279</v>
      </c>
      <c r="G1255" s="220">
        <v>43245.0</v>
      </c>
    </row>
    <row r="1256">
      <c r="A1256" s="217">
        <v>43245.65901341435</v>
      </c>
      <c r="B1256" s="218" t="s">
        <v>5092</v>
      </c>
      <c r="C1256" s="218" t="s">
        <v>6301</v>
      </c>
      <c r="D1256" s="219">
        <v>1.0</v>
      </c>
      <c r="E1256" s="218">
        <v>2250.0</v>
      </c>
      <c r="F1256" s="3" t="s">
        <v>5833</v>
      </c>
      <c r="G1256" s="220">
        <v>43245.0</v>
      </c>
    </row>
    <row r="1257">
      <c r="A1257" s="217">
        <v>43245.66055758102</v>
      </c>
      <c r="B1257" s="218" t="s">
        <v>5092</v>
      </c>
      <c r="C1257" s="218" t="s">
        <v>6302</v>
      </c>
      <c r="D1257" s="219">
        <v>1.0</v>
      </c>
      <c r="E1257" s="218">
        <v>7490.0</v>
      </c>
      <c r="F1257" s="3" t="s">
        <v>5094</v>
      </c>
      <c r="G1257" s="220">
        <v>43245.0</v>
      </c>
    </row>
    <row r="1258">
      <c r="A1258" s="217">
        <v>43245.66118872685</v>
      </c>
      <c r="B1258" s="218" t="s">
        <v>5092</v>
      </c>
      <c r="C1258" s="218" t="s">
        <v>1805</v>
      </c>
      <c r="D1258" s="219">
        <v>1.0</v>
      </c>
      <c r="E1258" s="24"/>
      <c r="F1258" s="3" t="s">
        <v>6303</v>
      </c>
      <c r="G1258" s="220">
        <v>43245.0</v>
      </c>
    </row>
    <row r="1259">
      <c r="A1259" s="217">
        <v>43245.661718125004</v>
      </c>
      <c r="B1259" s="218" t="s">
        <v>5092</v>
      </c>
      <c r="C1259" s="218" t="s">
        <v>1855</v>
      </c>
      <c r="D1259" s="219">
        <v>1.0</v>
      </c>
      <c r="E1259" s="24"/>
      <c r="F1259" s="3" t="s">
        <v>6303</v>
      </c>
      <c r="G1259" s="220">
        <v>43245.0</v>
      </c>
    </row>
    <row r="1260">
      <c r="A1260" s="217">
        <v>43245.66317726852</v>
      </c>
      <c r="B1260" s="218" t="s">
        <v>5092</v>
      </c>
      <c r="C1260" s="218" t="s">
        <v>6304</v>
      </c>
      <c r="D1260" s="219">
        <v>22.0</v>
      </c>
      <c r="E1260" s="218">
        <v>1200.0</v>
      </c>
      <c r="F1260" s="3" t="s">
        <v>5787</v>
      </c>
      <c r="G1260" s="220">
        <v>43245.0</v>
      </c>
    </row>
    <row r="1261">
      <c r="A1261" s="217">
        <v>43245.66408607639</v>
      </c>
      <c r="B1261" s="218" t="s">
        <v>5092</v>
      </c>
      <c r="C1261" s="218" t="s">
        <v>6305</v>
      </c>
      <c r="D1261" s="219">
        <v>8.0</v>
      </c>
      <c r="E1261" s="218">
        <v>1300.0</v>
      </c>
      <c r="F1261" s="3" t="s">
        <v>5787</v>
      </c>
      <c r="G1261" s="220">
        <v>43245.0</v>
      </c>
    </row>
    <row r="1262">
      <c r="A1262" s="217">
        <v>43245.66565094907</v>
      </c>
      <c r="B1262" s="218" t="s">
        <v>5092</v>
      </c>
      <c r="C1262" s="218" t="s">
        <v>6306</v>
      </c>
      <c r="D1262" s="219">
        <v>40.0</v>
      </c>
      <c r="E1262" s="218">
        <v>250.0</v>
      </c>
      <c r="F1262" s="3" t="s">
        <v>5787</v>
      </c>
      <c r="G1262" s="220">
        <v>43245.0</v>
      </c>
    </row>
    <row r="1263">
      <c r="A1263" s="217">
        <v>43245.66691269676</v>
      </c>
      <c r="B1263" s="218" t="s">
        <v>5092</v>
      </c>
      <c r="C1263" s="218" t="s">
        <v>6307</v>
      </c>
      <c r="D1263" s="219">
        <v>1.0</v>
      </c>
      <c r="E1263" s="218">
        <v>1800.0</v>
      </c>
      <c r="F1263" s="3" t="s">
        <v>5787</v>
      </c>
      <c r="G1263" s="220">
        <v>43245.0</v>
      </c>
    </row>
    <row r="1264">
      <c r="A1264" s="217">
        <v>43245.66845932871</v>
      </c>
      <c r="B1264" s="218" t="s">
        <v>5092</v>
      </c>
      <c r="C1264" s="218" t="s">
        <v>5710</v>
      </c>
      <c r="D1264" s="219">
        <v>1.0</v>
      </c>
      <c r="E1264" s="218">
        <v>1800.0</v>
      </c>
      <c r="F1264" s="3" t="s">
        <v>5787</v>
      </c>
      <c r="G1264" s="220">
        <v>43245.0</v>
      </c>
    </row>
    <row r="1265">
      <c r="A1265" s="217">
        <v>43245.670776875</v>
      </c>
      <c r="B1265" s="218" t="s">
        <v>5092</v>
      </c>
      <c r="C1265" s="218" t="s">
        <v>6308</v>
      </c>
      <c r="D1265" s="219">
        <v>1.0</v>
      </c>
      <c r="E1265" s="218">
        <v>6835.0</v>
      </c>
      <c r="F1265" s="3" t="s">
        <v>5833</v>
      </c>
      <c r="G1265" s="220">
        <v>43245.0</v>
      </c>
    </row>
    <row r="1266">
      <c r="A1266" s="217">
        <v>43245.67148792824</v>
      </c>
      <c r="B1266" s="218" t="s">
        <v>5092</v>
      </c>
      <c r="C1266" s="218" t="s">
        <v>6309</v>
      </c>
      <c r="D1266" s="219">
        <v>1.0</v>
      </c>
      <c r="E1266" s="218">
        <v>6835.0</v>
      </c>
      <c r="F1266" s="3" t="s">
        <v>5833</v>
      </c>
      <c r="G1266" s="220">
        <v>43245.0</v>
      </c>
    </row>
    <row r="1267">
      <c r="A1267" s="217">
        <v>43245.67218849537</v>
      </c>
      <c r="B1267" s="218" t="s">
        <v>5092</v>
      </c>
      <c r="C1267" s="218" t="s">
        <v>6310</v>
      </c>
      <c r="D1267" s="219">
        <v>1.0</v>
      </c>
      <c r="E1267" s="218">
        <v>6835.0</v>
      </c>
      <c r="F1267" s="3" t="s">
        <v>5833</v>
      </c>
      <c r="G1267" s="220">
        <v>43245.0</v>
      </c>
    </row>
    <row r="1268">
      <c r="A1268" s="217">
        <v>43245.67292892361</v>
      </c>
      <c r="B1268" s="218" t="s">
        <v>5092</v>
      </c>
      <c r="C1268" s="218" t="s">
        <v>6311</v>
      </c>
      <c r="D1268" s="219">
        <v>1.0</v>
      </c>
      <c r="E1268" s="218">
        <v>6885.0</v>
      </c>
      <c r="F1268" s="3" t="s">
        <v>5833</v>
      </c>
      <c r="G1268" s="220">
        <v>43245.0</v>
      </c>
    </row>
    <row r="1269">
      <c r="A1269" s="217">
        <v>43245.67398594908</v>
      </c>
      <c r="B1269" s="218" t="s">
        <v>5092</v>
      </c>
      <c r="C1269" s="218" t="s">
        <v>6312</v>
      </c>
      <c r="D1269" s="219">
        <v>1.0</v>
      </c>
      <c r="E1269" s="218">
        <v>6885.0</v>
      </c>
      <c r="F1269" s="3" t="s">
        <v>5833</v>
      </c>
      <c r="G1269" s="220">
        <v>43245.0</v>
      </c>
    </row>
    <row r="1270">
      <c r="A1270" s="217">
        <v>43245.67497746528</v>
      </c>
      <c r="B1270" s="218" t="s">
        <v>5092</v>
      </c>
      <c r="C1270" s="218" t="s">
        <v>6313</v>
      </c>
      <c r="D1270" s="219">
        <v>1.0</v>
      </c>
      <c r="E1270" s="218">
        <v>11500.0</v>
      </c>
      <c r="F1270" s="3" t="s">
        <v>5212</v>
      </c>
      <c r="G1270" s="220">
        <v>43245.0</v>
      </c>
    </row>
    <row r="1271">
      <c r="A1271" s="217">
        <v>43245.67580322917</v>
      </c>
      <c r="B1271" s="218" t="s">
        <v>5092</v>
      </c>
      <c r="C1271" s="218" t="s">
        <v>6314</v>
      </c>
      <c r="D1271" s="219">
        <v>1.0</v>
      </c>
      <c r="E1271" s="218">
        <v>4590.0</v>
      </c>
      <c r="G1271" s="220">
        <v>43245.0</v>
      </c>
    </row>
    <row r="1272">
      <c r="A1272" s="217">
        <v>43245.67677253472</v>
      </c>
      <c r="B1272" s="218" t="s">
        <v>5092</v>
      </c>
      <c r="C1272" s="218" t="s">
        <v>6315</v>
      </c>
      <c r="D1272" s="219">
        <v>1.0</v>
      </c>
      <c r="E1272" s="218">
        <v>3990.0</v>
      </c>
      <c r="G1272" s="220">
        <v>43245.0</v>
      </c>
    </row>
    <row r="1273">
      <c r="A1273" s="217">
        <v>43245.67773766204</v>
      </c>
      <c r="B1273" s="218" t="s">
        <v>5092</v>
      </c>
      <c r="C1273" s="218" t="s">
        <v>2101</v>
      </c>
      <c r="D1273" s="219">
        <v>1.0</v>
      </c>
      <c r="E1273" s="218">
        <v>3990.0</v>
      </c>
      <c r="G1273" s="220">
        <v>43245.0</v>
      </c>
    </row>
    <row r="1274">
      <c r="A1274" s="217">
        <v>43245.67920846065</v>
      </c>
      <c r="B1274" s="218" t="s">
        <v>5092</v>
      </c>
      <c r="C1274" s="218" t="s">
        <v>2111</v>
      </c>
      <c r="D1274" s="219">
        <v>1.0</v>
      </c>
      <c r="E1274" s="218">
        <v>4590.0</v>
      </c>
      <c r="G1274" s="220">
        <v>43245.0</v>
      </c>
    </row>
    <row r="1275">
      <c r="A1275" s="217">
        <v>43245.679936967594</v>
      </c>
      <c r="B1275" s="218" t="s">
        <v>5092</v>
      </c>
      <c r="C1275" s="218" t="s">
        <v>6316</v>
      </c>
      <c r="D1275" s="219">
        <v>1.0</v>
      </c>
      <c r="E1275" s="218">
        <v>4590.0</v>
      </c>
      <c r="G1275" s="220">
        <v>43245.0</v>
      </c>
    </row>
    <row r="1276">
      <c r="A1276" s="217">
        <v>43245.680949490736</v>
      </c>
      <c r="B1276" s="218" t="s">
        <v>5092</v>
      </c>
      <c r="C1276" s="218" t="s">
        <v>2122</v>
      </c>
      <c r="D1276" s="219">
        <v>1.0</v>
      </c>
      <c r="E1276" s="218">
        <v>4990.0</v>
      </c>
      <c r="G1276" s="220">
        <v>43245.0</v>
      </c>
    </row>
    <row r="1277">
      <c r="A1277" s="217">
        <v>43245.68192914352</v>
      </c>
      <c r="B1277" s="218" t="s">
        <v>5092</v>
      </c>
      <c r="C1277" s="218" t="s">
        <v>6317</v>
      </c>
      <c r="D1277" s="219">
        <v>1.0</v>
      </c>
      <c r="E1277" s="218">
        <v>4790.0</v>
      </c>
      <c r="G1277" s="220">
        <v>43245.0</v>
      </c>
    </row>
    <row r="1278">
      <c r="A1278" s="217">
        <v>43245.68281359954</v>
      </c>
      <c r="B1278" s="218" t="s">
        <v>5092</v>
      </c>
      <c r="C1278" s="218" t="s">
        <v>2124</v>
      </c>
      <c r="D1278" s="219">
        <v>1.0</v>
      </c>
      <c r="E1278" s="218">
        <v>4990.0</v>
      </c>
      <c r="G1278" s="220">
        <v>43245.0</v>
      </c>
    </row>
    <row r="1279">
      <c r="A1279" s="217">
        <v>43245.684341319444</v>
      </c>
      <c r="B1279" s="218" t="s">
        <v>5092</v>
      </c>
      <c r="C1279" s="218" t="s">
        <v>6318</v>
      </c>
      <c r="D1279" s="219">
        <v>1.0</v>
      </c>
      <c r="E1279" s="218">
        <v>3790.0</v>
      </c>
      <c r="G1279" s="220">
        <v>43245.0</v>
      </c>
    </row>
    <row r="1280">
      <c r="A1280" s="217">
        <v>43245.6855608912</v>
      </c>
      <c r="B1280" s="218" t="s">
        <v>5092</v>
      </c>
      <c r="C1280" s="218" t="s">
        <v>6319</v>
      </c>
      <c r="D1280" s="219">
        <v>4.0</v>
      </c>
      <c r="E1280" s="218">
        <v>3790.0</v>
      </c>
      <c r="G1280" s="220">
        <v>43245.0</v>
      </c>
    </row>
    <row r="1281">
      <c r="A1281" s="217">
        <v>43245.688442303246</v>
      </c>
      <c r="B1281" s="218" t="s">
        <v>5092</v>
      </c>
      <c r="C1281" s="218" t="s">
        <v>6320</v>
      </c>
      <c r="D1281" s="219">
        <v>2.0</v>
      </c>
      <c r="E1281" s="218">
        <v>3290.0</v>
      </c>
      <c r="G1281" s="220">
        <v>43245.0</v>
      </c>
    </row>
    <row r="1282">
      <c r="A1282" s="217">
        <v>43245.68931233796</v>
      </c>
      <c r="B1282" s="218" t="s">
        <v>5092</v>
      </c>
      <c r="C1282" s="218" t="s">
        <v>6321</v>
      </c>
      <c r="D1282" s="219">
        <v>1.0</v>
      </c>
      <c r="E1282" s="24"/>
      <c r="G1282" s="220">
        <v>43245.0</v>
      </c>
    </row>
    <row r="1283">
      <c r="A1283" s="217">
        <v>43245.69035899306</v>
      </c>
      <c r="B1283" s="218" t="s">
        <v>5092</v>
      </c>
      <c r="C1283" s="218" t="s">
        <v>6322</v>
      </c>
      <c r="D1283" s="219">
        <v>1.0</v>
      </c>
      <c r="E1283" s="218">
        <v>4990.0</v>
      </c>
      <c r="G1283" s="220">
        <v>43245.0</v>
      </c>
    </row>
    <row r="1284">
      <c r="A1284" s="217">
        <v>43245.69139774305</v>
      </c>
      <c r="B1284" s="218" t="s">
        <v>5092</v>
      </c>
      <c r="C1284" s="218" t="s">
        <v>6323</v>
      </c>
      <c r="D1284" s="219">
        <v>1.0</v>
      </c>
      <c r="E1284" s="218">
        <v>4990.0</v>
      </c>
      <c r="G1284" s="220">
        <v>43245.0</v>
      </c>
    </row>
    <row r="1285">
      <c r="A1285" s="217">
        <v>43245.69257481481</v>
      </c>
      <c r="B1285" s="218" t="s">
        <v>5092</v>
      </c>
      <c r="C1285" s="218" t="s">
        <v>6324</v>
      </c>
      <c r="D1285" s="219">
        <v>1.0</v>
      </c>
      <c r="E1285" s="24"/>
      <c r="F1285" s="3">
        <v>3490.0</v>
      </c>
      <c r="G1285" s="220">
        <v>43245.0</v>
      </c>
    </row>
    <row r="1286">
      <c r="A1286" s="217">
        <v>43245.694364571755</v>
      </c>
      <c r="B1286" s="218" t="s">
        <v>5092</v>
      </c>
      <c r="C1286" s="218" t="s">
        <v>6325</v>
      </c>
      <c r="D1286" s="219">
        <v>4.0</v>
      </c>
      <c r="E1286" s="218">
        <v>5490.0</v>
      </c>
      <c r="G1286" s="220">
        <v>43245.0</v>
      </c>
    </row>
    <row r="1287">
      <c r="A1287" s="217">
        <v>43245.695158622686</v>
      </c>
      <c r="B1287" s="218" t="s">
        <v>5092</v>
      </c>
      <c r="C1287" s="218" t="s">
        <v>6326</v>
      </c>
      <c r="D1287" s="219">
        <v>1.0</v>
      </c>
      <c r="E1287" s="218">
        <v>6690.0</v>
      </c>
      <c r="G1287" s="220">
        <v>43245.0</v>
      </c>
    </row>
    <row r="1288">
      <c r="A1288" s="217">
        <v>43245.69659425926</v>
      </c>
      <c r="B1288" s="218" t="s">
        <v>5092</v>
      </c>
      <c r="C1288" s="218" t="s">
        <v>6327</v>
      </c>
      <c r="D1288" s="219">
        <v>1.0</v>
      </c>
      <c r="E1288" s="218">
        <v>3990.0</v>
      </c>
      <c r="G1288" s="220">
        <v>43245.0</v>
      </c>
    </row>
    <row r="1289">
      <c r="A1289" s="217">
        <v>43245.697604155095</v>
      </c>
      <c r="B1289" s="218" t="s">
        <v>5092</v>
      </c>
      <c r="C1289" s="218" t="s">
        <v>6328</v>
      </c>
      <c r="D1289" s="219">
        <v>1.0</v>
      </c>
      <c r="E1289" s="218">
        <v>3990.0</v>
      </c>
      <c r="G1289" s="220">
        <v>43245.0</v>
      </c>
    </row>
    <row r="1290">
      <c r="A1290" s="217">
        <v>43245.70027314815</v>
      </c>
      <c r="B1290" s="218" t="s">
        <v>5092</v>
      </c>
      <c r="C1290" s="218" t="s">
        <v>6329</v>
      </c>
      <c r="D1290" s="219">
        <v>1.0</v>
      </c>
      <c r="E1290" s="218">
        <v>5490.0</v>
      </c>
      <c r="G1290" s="220">
        <v>43245.0</v>
      </c>
    </row>
    <row r="1291">
      <c r="A1291" s="217">
        <v>43245.70125546296</v>
      </c>
      <c r="B1291" s="218" t="s">
        <v>5092</v>
      </c>
      <c r="C1291" s="218" t="s">
        <v>6330</v>
      </c>
      <c r="D1291" s="219">
        <v>2.0</v>
      </c>
      <c r="E1291" s="218">
        <v>3290.0</v>
      </c>
      <c r="G1291" s="220">
        <v>43245.0</v>
      </c>
    </row>
    <row r="1292">
      <c r="A1292" s="217">
        <v>43245.70206826389</v>
      </c>
      <c r="B1292" s="218" t="s">
        <v>5092</v>
      </c>
      <c r="C1292" s="218" t="s">
        <v>6331</v>
      </c>
      <c r="D1292" s="219">
        <v>10.0</v>
      </c>
      <c r="E1292" s="218">
        <v>3290.0</v>
      </c>
      <c r="G1292" s="220">
        <v>43245.0</v>
      </c>
    </row>
    <row r="1293">
      <c r="A1293" s="217">
        <v>43245.703372442134</v>
      </c>
      <c r="B1293" s="218" t="s">
        <v>5092</v>
      </c>
      <c r="C1293" s="218" t="s">
        <v>6332</v>
      </c>
      <c r="D1293" s="219">
        <v>1.0</v>
      </c>
      <c r="E1293" s="218">
        <v>3490.0</v>
      </c>
      <c r="G1293" s="220">
        <v>43245.0</v>
      </c>
    </row>
    <row r="1294">
      <c r="A1294" s="217">
        <v>43245.704559074074</v>
      </c>
      <c r="B1294" s="218" t="s">
        <v>5092</v>
      </c>
      <c r="C1294" s="218" t="s">
        <v>2185</v>
      </c>
      <c r="D1294" s="219">
        <v>2.0</v>
      </c>
      <c r="E1294" s="218">
        <v>3790.0</v>
      </c>
      <c r="G1294" s="220">
        <v>43245.0</v>
      </c>
    </row>
    <row r="1295">
      <c r="A1295" s="217">
        <v>43245.70522912037</v>
      </c>
      <c r="B1295" s="218" t="s">
        <v>5092</v>
      </c>
      <c r="C1295" s="218" t="s">
        <v>6333</v>
      </c>
      <c r="D1295" s="219">
        <v>3.0</v>
      </c>
      <c r="E1295" s="218">
        <v>3790.0</v>
      </c>
      <c r="G1295" s="220">
        <v>43245.0</v>
      </c>
    </row>
    <row r="1296">
      <c r="A1296" s="217">
        <v>43245.70616811342</v>
      </c>
      <c r="B1296" s="218" t="s">
        <v>5092</v>
      </c>
      <c r="C1296" s="218" t="s">
        <v>6334</v>
      </c>
      <c r="D1296" s="219">
        <v>1.0</v>
      </c>
      <c r="E1296" s="218">
        <v>3290.0</v>
      </c>
      <c r="G1296" s="220">
        <v>43245.0</v>
      </c>
    </row>
    <row r="1297">
      <c r="A1297" s="217">
        <v>43245.70705445602</v>
      </c>
      <c r="B1297" s="218" t="s">
        <v>5092</v>
      </c>
      <c r="C1297" s="218" t="s">
        <v>6335</v>
      </c>
      <c r="D1297" s="219">
        <v>1.0</v>
      </c>
      <c r="E1297" s="218">
        <v>3490.0</v>
      </c>
      <c r="G1297" s="220">
        <v>43245.0</v>
      </c>
    </row>
    <row r="1298">
      <c r="A1298" s="217">
        <v>43245.70825108796</v>
      </c>
      <c r="B1298" s="218" t="s">
        <v>5092</v>
      </c>
      <c r="C1298" s="218" t="s">
        <v>6336</v>
      </c>
      <c r="D1298" s="219">
        <v>1.0</v>
      </c>
      <c r="E1298" s="218">
        <v>4590.0</v>
      </c>
      <c r="G1298" s="220">
        <v>43245.0</v>
      </c>
    </row>
    <row r="1299">
      <c r="A1299" s="217">
        <v>43245.710061562495</v>
      </c>
      <c r="B1299" s="218" t="s">
        <v>5092</v>
      </c>
      <c r="C1299" s="218" t="s">
        <v>6337</v>
      </c>
      <c r="D1299" s="219">
        <v>1.0</v>
      </c>
      <c r="E1299" s="218">
        <v>5590.0</v>
      </c>
      <c r="G1299" s="220">
        <v>43245.0</v>
      </c>
    </row>
    <row r="1300">
      <c r="A1300" s="217">
        <v>43245.71074246528</v>
      </c>
      <c r="B1300" s="218" t="s">
        <v>5092</v>
      </c>
      <c r="C1300" s="218" t="s">
        <v>6338</v>
      </c>
      <c r="D1300" s="219">
        <v>1.0</v>
      </c>
      <c r="E1300" s="218">
        <v>5590.0</v>
      </c>
      <c r="G1300" s="220">
        <v>43245.0</v>
      </c>
    </row>
    <row r="1301">
      <c r="A1301" s="217">
        <v>43245.71141503472</v>
      </c>
      <c r="B1301" s="218" t="s">
        <v>5092</v>
      </c>
      <c r="C1301" s="218" t="s">
        <v>6339</v>
      </c>
      <c r="D1301" s="219">
        <v>4.0</v>
      </c>
      <c r="E1301" s="218">
        <v>3790.0</v>
      </c>
      <c r="G1301" s="220">
        <v>43245.0</v>
      </c>
    </row>
    <row r="1302">
      <c r="A1302" s="217">
        <v>43245.71226515046</v>
      </c>
      <c r="B1302" s="218" t="s">
        <v>5092</v>
      </c>
      <c r="C1302" s="218" t="s">
        <v>6340</v>
      </c>
      <c r="D1302" s="219">
        <v>2.0</v>
      </c>
      <c r="E1302" s="218">
        <v>3790.0</v>
      </c>
      <c r="G1302" s="220">
        <v>43245.0</v>
      </c>
    </row>
    <row r="1303">
      <c r="A1303" s="217">
        <v>43245.71337736111</v>
      </c>
      <c r="B1303" s="218" t="s">
        <v>5092</v>
      </c>
      <c r="C1303" s="218" t="s">
        <v>5483</v>
      </c>
      <c r="D1303" s="219">
        <v>2.0</v>
      </c>
      <c r="E1303" s="218">
        <v>3490.0</v>
      </c>
      <c r="G1303" s="220">
        <v>43245.0</v>
      </c>
    </row>
    <row r="1304">
      <c r="A1304" s="217">
        <v>43245.71403120371</v>
      </c>
      <c r="B1304" s="218" t="s">
        <v>5092</v>
      </c>
      <c r="C1304" s="218" t="s">
        <v>6341</v>
      </c>
      <c r="D1304" s="219">
        <v>4.0</v>
      </c>
      <c r="E1304" s="218">
        <v>3490.0</v>
      </c>
      <c r="G1304" s="220">
        <v>43245.0</v>
      </c>
    </row>
    <row r="1305">
      <c r="A1305" s="217">
        <v>43245.71495763889</v>
      </c>
      <c r="B1305" s="218" t="s">
        <v>5092</v>
      </c>
      <c r="C1305" s="218" t="s">
        <v>6342</v>
      </c>
      <c r="D1305" s="219">
        <v>1.0</v>
      </c>
      <c r="E1305" s="218">
        <v>3990.0</v>
      </c>
      <c r="G1305" s="220">
        <v>43245.0</v>
      </c>
    </row>
    <row r="1306">
      <c r="A1306" s="217">
        <v>43245.71568395833</v>
      </c>
      <c r="B1306" s="218" t="s">
        <v>5092</v>
      </c>
      <c r="C1306" s="218" t="s">
        <v>6251</v>
      </c>
      <c r="D1306" s="219">
        <v>1.0</v>
      </c>
      <c r="E1306" s="218">
        <v>3290.0</v>
      </c>
      <c r="G1306" s="220">
        <v>43245.0</v>
      </c>
    </row>
    <row r="1307">
      <c r="A1307" s="217">
        <v>43245.71675519676</v>
      </c>
      <c r="B1307" s="218" t="s">
        <v>5092</v>
      </c>
      <c r="C1307" s="218" t="s">
        <v>6343</v>
      </c>
      <c r="D1307" s="219">
        <v>1.0</v>
      </c>
      <c r="E1307" s="218">
        <v>3790.0</v>
      </c>
      <c r="G1307" s="220">
        <v>43245.0</v>
      </c>
    </row>
    <row r="1308">
      <c r="A1308" s="217">
        <v>43245.71765309028</v>
      </c>
      <c r="B1308" s="218" t="s">
        <v>5092</v>
      </c>
      <c r="C1308" s="218" t="s">
        <v>6344</v>
      </c>
      <c r="D1308" s="219">
        <v>1.0</v>
      </c>
      <c r="E1308" s="218">
        <v>3490.0</v>
      </c>
      <c r="G1308" s="220">
        <v>43245.0</v>
      </c>
    </row>
    <row r="1309">
      <c r="A1309" s="217">
        <v>43245.718990740745</v>
      </c>
      <c r="B1309" s="218" t="s">
        <v>5092</v>
      </c>
      <c r="C1309" s="218" t="s">
        <v>6345</v>
      </c>
      <c r="D1309" s="219">
        <v>1.0</v>
      </c>
      <c r="E1309" s="218">
        <v>3490.0</v>
      </c>
      <c r="G1309" s="220">
        <v>43245.0</v>
      </c>
    </row>
    <row r="1310">
      <c r="A1310" s="217">
        <v>43245.71988259259</v>
      </c>
      <c r="B1310" s="218" t="s">
        <v>5092</v>
      </c>
      <c r="C1310" s="218" t="s">
        <v>6346</v>
      </c>
      <c r="D1310" s="219">
        <v>1.0</v>
      </c>
      <c r="E1310" s="218">
        <v>3490.0</v>
      </c>
      <c r="G1310" s="220">
        <v>43245.0</v>
      </c>
    </row>
    <row r="1311">
      <c r="A1311" s="217">
        <v>43245.72081712963</v>
      </c>
      <c r="B1311" s="218" t="s">
        <v>5092</v>
      </c>
      <c r="C1311" s="218" t="s">
        <v>6347</v>
      </c>
      <c r="D1311" s="219">
        <v>2.0</v>
      </c>
      <c r="E1311" s="218">
        <v>3990.0</v>
      </c>
      <c r="G1311" s="220">
        <v>43245.0</v>
      </c>
    </row>
    <row r="1312">
      <c r="A1312" s="217">
        <v>43245.72234638889</v>
      </c>
      <c r="B1312" s="218" t="s">
        <v>5092</v>
      </c>
      <c r="C1312" s="218" t="s">
        <v>2259</v>
      </c>
      <c r="D1312" s="219">
        <v>3.0</v>
      </c>
      <c r="E1312" s="218">
        <v>3990.0</v>
      </c>
      <c r="G1312" s="220">
        <v>43245.0</v>
      </c>
    </row>
    <row r="1313">
      <c r="A1313" s="217">
        <v>43245.722944560184</v>
      </c>
      <c r="B1313" s="218" t="s">
        <v>5092</v>
      </c>
      <c r="C1313" s="218" t="s">
        <v>6348</v>
      </c>
      <c r="D1313" s="219">
        <v>3.0</v>
      </c>
      <c r="E1313" s="218">
        <v>3990.0</v>
      </c>
      <c r="G1313" s="220">
        <v>43245.0</v>
      </c>
    </row>
    <row r="1314">
      <c r="A1314" s="217">
        <v>43245.728638506946</v>
      </c>
      <c r="B1314" s="218" t="s">
        <v>5092</v>
      </c>
      <c r="C1314" s="218" t="s">
        <v>6349</v>
      </c>
      <c r="D1314" s="219">
        <v>1.0</v>
      </c>
      <c r="E1314" s="218">
        <v>3200.0</v>
      </c>
      <c r="G1314" s="220">
        <v>43245.0</v>
      </c>
    </row>
    <row r="1315">
      <c r="A1315" s="217">
        <v>43245.72954866898</v>
      </c>
      <c r="B1315" s="218" t="s">
        <v>5092</v>
      </c>
      <c r="C1315" s="218" t="s">
        <v>6350</v>
      </c>
      <c r="D1315" s="219">
        <v>1.0</v>
      </c>
      <c r="E1315" s="218">
        <v>3790.0</v>
      </c>
      <c r="G1315" s="220">
        <v>43245.0</v>
      </c>
    </row>
    <row r="1316">
      <c r="A1316" s="217">
        <v>43245.73042883102</v>
      </c>
      <c r="B1316" s="218" t="s">
        <v>5092</v>
      </c>
      <c r="C1316" s="218" t="s">
        <v>6351</v>
      </c>
      <c r="D1316" s="219">
        <v>16.0</v>
      </c>
      <c r="E1316" s="218">
        <v>1000.0</v>
      </c>
      <c r="F1316" s="3" t="s">
        <v>5787</v>
      </c>
      <c r="G1316" s="220">
        <v>43245.0</v>
      </c>
    </row>
    <row r="1317">
      <c r="A1317" s="217">
        <v>43245.73129862269</v>
      </c>
      <c r="B1317" s="218" t="s">
        <v>5092</v>
      </c>
      <c r="C1317" s="218" t="s">
        <v>6352</v>
      </c>
      <c r="D1317" s="219">
        <v>1.0</v>
      </c>
      <c r="E1317" s="24"/>
      <c r="G1317" s="220">
        <v>43245.0</v>
      </c>
    </row>
    <row r="1318">
      <c r="A1318" s="217">
        <v>43245.73230875</v>
      </c>
      <c r="B1318" s="218" t="s">
        <v>5092</v>
      </c>
      <c r="C1318" s="218" t="s">
        <v>2097</v>
      </c>
      <c r="D1318" s="219">
        <v>1.0</v>
      </c>
      <c r="E1318" s="218">
        <v>4590.0</v>
      </c>
      <c r="G1318" s="220">
        <v>43245.0</v>
      </c>
    </row>
    <row r="1319">
      <c r="A1319" s="217">
        <v>43245.733866967596</v>
      </c>
      <c r="B1319" s="218" t="s">
        <v>5092</v>
      </c>
      <c r="C1319" s="218" t="s">
        <v>6353</v>
      </c>
      <c r="D1319" s="219">
        <v>1.0</v>
      </c>
      <c r="E1319" s="24"/>
      <c r="G1319" s="220">
        <v>43245.0</v>
      </c>
    </row>
    <row r="1320">
      <c r="A1320" s="217">
        <v>43245.7343459375</v>
      </c>
      <c r="B1320" s="218" t="s">
        <v>5092</v>
      </c>
      <c r="C1320" s="218" t="s">
        <v>2091</v>
      </c>
      <c r="D1320" s="219">
        <v>24.0</v>
      </c>
      <c r="E1320" s="218">
        <v>150.0</v>
      </c>
      <c r="F1320" s="3" t="s">
        <v>5833</v>
      </c>
      <c r="G1320" s="220">
        <v>43245.0</v>
      </c>
    </row>
    <row r="1321">
      <c r="A1321" s="217">
        <v>43246.41370787037</v>
      </c>
      <c r="B1321" s="218" t="s">
        <v>5092</v>
      </c>
      <c r="C1321" s="218" t="s">
        <v>6354</v>
      </c>
      <c r="D1321" s="219">
        <v>1.0</v>
      </c>
      <c r="E1321" s="218">
        <v>4590.0</v>
      </c>
      <c r="G1321" s="220">
        <v>43246.0</v>
      </c>
    </row>
    <row r="1322">
      <c r="A1322" s="217">
        <v>43246.416428310185</v>
      </c>
      <c r="B1322" s="218" t="s">
        <v>5092</v>
      </c>
      <c r="C1322" s="218" t="s">
        <v>6355</v>
      </c>
      <c r="D1322" s="219">
        <v>1.0</v>
      </c>
      <c r="E1322" s="24"/>
      <c r="G1322" s="220">
        <v>43246.0</v>
      </c>
    </row>
    <row r="1323">
      <c r="A1323" s="217">
        <v>43246.438363865745</v>
      </c>
      <c r="B1323" s="218" t="s">
        <v>5092</v>
      </c>
      <c r="C1323" s="218" t="s">
        <v>5391</v>
      </c>
      <c r="D1323" s="219">
        <v>2.0</v>
      </c>
      <c r="E1323" s="218">
        <v>9000.0</v>
      </c>
      <c r="G1323" s="220">
        <v>43245.0</v>
      </c>
    </row>
    <row r="1324">
      <c r="A1324" s="217">
        <v>43247.51391733796</v>
      </c>
      <c r="B1324" s="218" t="s">
        <v>5184</v>
      </c>
      <c r="C1324" s="218" t="s">
        <v>5789</v>
      </c>
      <c r="D1324" s="221">
        <v>1.0</v>
      </c>
      <c r="E1324" s="218">
        <v>400.0</v>
      </c>
      <c r="F1324" s="3" t="s">
        <v>5787</v>
      </c>
      <c r="G1324" s="220">
        <v>43245.0</v>
      </c>
    </row>
    <row r="1325">
      <c r="A1325" s="217">
        <v>43247.51526824074</v>
      </c>
      <c r="B1325" s="218" t="s">
        <v>5184</v>
      </c>
      <c r="C1325" s="218" t="s">
        <v>5976</v>
      </c>
      <c r="D1325" s="221">
        <v>1.0</v>
      </c>
      <c r="E1325" s="218">
        <v>400.0</v>
      </c>
      <c r="F1325" s="3" t="s">
        <v>5787</v>
      </c>
      <c r="G1325" s="220">
        <v>43245.0</v>
      </c>
    </row>
    <row r="1326">
      <c r="A1326" s="217">
        <v>43247.51625202547</v>
      </c>
      <c r="B1326" s="218" t="s">
        <v>5184</v>
      </c>
      <c r="C1326" s="218" t="s">
        <v>6001</v>
      </c>
      <c r="D1326" s="221">
        <v>1.0</v>
      </c>
      <c r="E1326" s="218">
        <v>500.0</v>
      </c>
      <c r="F1326" s="3" t="s">
        <v>5787</v>
      </c>
      <c r="G1326" s="220">
        <v>43245.0</v>
      </c>
    </row>
    <row r="1327">
      <c r="A1327" s="217">
        <v>43247.51729563657</v>
      </c>
      <c r="B1327" s="218" t="s">
        <v>5184</v>
      </c>
      <c r="C1327" s="218" t="s">
        <v>5804</v>
      </c>
      <c r="D1327" s="221">
        <v>1.0</v>
      </c>
      <c r="E1327" s="218">
        <v>300.0</v>
      </c>
      <c r="F1327" s="3" t="s">
        <v>5787</v>
      </c>
      <c r="G1327" s="220">
        <v>43245.0</v>
      </c>
    </row>
    <row r="1328">
      <c r="A1328" s="217">
        <v>43247.51797378472</v>
      </c>
      <c r="B1328" s="218" t="s">
        <v>5184</v>
      </c>
      <c r="C1328" s="218" t="s">
        <v>5818</v>
      </c>
      <c r="D1328" s="221">
        <v>1.0</v>
      </c>
      <c r="E1328" s="218">
        <v>300.0</v>
      </c>
      <c r="F1328" s="3" t="s">
        <v>5787</v>
      </c>
      <c r="G1328" s="220">
        <v>43245.0</v>
      </c>
    </row>
    <row r="1329">
      <c r="A1329" s="217">
        <v>43247.51872763889</v>
      </c>
      <c r="B1329" s="218" t="s">
        <v>5184</v>
      </c>
      <c r="C1329" s="218" t="s">
        <v>5818</v>
      </c>
      <c r="D1329" s="221">
        <v>1.0</v>
      </c>
      <c r="E1329" s="218">
        <v>300.0</v>
      </c>
      <c r="F1329" s="3" t="s">
        <v>5787</v>
      </c>
      <c r="G1329" s="220">
        <v>43245.0</v>
      </c>
    </row>
    <row r="1330">
      <c r="A1330" s="217">
        <v>43247.52066930555</v>
      </c>
      <c r="B1330" s="218" t="s">
        <v>5184</v>
      </c>
      <c r="C1330" s="218" t="s">
        <v>5845</v>
      </c>
      <c r="D1330" s="221">
        <v>1.0</v>
      </c>
      <c r="E1330" s="218">
        <v>500.0</v>
      </c>
      <c r="F1330" s="3" t="s">
        <v>5787</v>
      </c>
      <c r="G1330" s="220">
        <v>43245.0</v>
      </c>
    </row>
    <row r="1331">
      <c r="A1331" s="217">
        <v>43247.522527928246</v>
      </c>
      <c r="B1331" s="218" t="s">
        <v>5184</v>
      </c>
      <c r="C1331" s="218" t="s">
        <v>5976</v>
      </c>
      <c r="D1331" s="221">
        <v>1.0</v>
      </c>
      <c r="E1331" s="218">
        <v>400.0</v>
      </c>
      <c r="F1331" s="3" t="s">
        <v>5787</v>
      </c>
      <c r="G1331" s="220">
        <v>43245.0</v>
      </c>
    </row>
    <row r="1332">
      <c r="A1332" s="217">
        <v>43247.5237290625</v>
      </c>
      <c r="B1332" s="218" t="s">
        <v>5184</v>
      </c>
      <c r="C1332" s="218" t="s">
        <v>5786</v>
      </c>
      <c r="D1332" s="221">
        <v>1.0</v>
      </c>
      <c r="E1332" s="218">
        <v>800.0</v>
      </c>
      <c r="F1332" s="3" t="s">
        <v>5787</v>
      </c>
      <c r="G1332" s="220">
        <v>43246.0</v>
      </c>
    </row>
    <row r="1333">
      <c r="A1333" s="217">
        <v>43247.52448810185</v>
      </c>
      <c r="B1333" s="218" t="s">
        <v>5184</v>
      </c>
      <c r="C1333" s="218" t="s">
        <v>5789</v>
      </c>
      <c r="D1333" s="221">
        <v>1.0</v>
      </c>
      <c r="E1333" s="218">
        <v>400.0</v>
      </c>
      <c r="F1333" s="3" t="s">
        <v>5787</v>
      </c>
      <c r="G1333" s="220">
        <v>43245.0</v>
      </c>
    </row>
    <row r="1334">
      <c r="A1334" s="217">
        <v>43247.525600625</v>
      </c>
      <c r="B1334" s="218" t="s">
        <v>5184</v>
      </c>
      <c r="C1334" s="218" t="s">
        <v>5782</v>
      </c>
      <c r="D1334" s="221">
        <v>1.0</v>
      </c>
      <c r="E1334" s="218">
        <v>400.0</v>
      </c>
      <c r="F1334" s="3" t="s">
        <v>5787</v>
      </c>
      <c r="G1334" s="220">
        <v>43246.0</v>
      </c>
    </row>
    <row r="1335">
      <c r="A1335" s="217">
        <v>43247.52677511574</v>
      </c>
      <c r="B1335" s="218" t="s">
        <v>5184</v>
      </c>
      <c r="C1335" s="218" t="s">
        <v>5789</v>
      </c>
      <c r="D1335" s="221">
        <v>1.0</v>
      </c>
      <c r="E1335" s="218">
        <v>400.0</v>
      </c>
      <c r="F1335" s="3" t="s">
        <v>5787</v>
      </c>
      <c r="G1335" s="220">
        <v>43246.0</v>
      </c>
    </row>
    <row r="1336">
      <c r="A1336" s="217">
        <v>43247.527597430555</v>
      </c>
      <c r="B1336" s="218" t="s">
        <v>5184</v>
      </c>
      <c r="C1336" s="218" t="s">
        <v>5786</v>
      </c>
      <c r="D1336" s="221">
        <v>1.0</v>
      </c>
      <c r="E1336" s="218">
        <v>300.0</v>
      </c>
      <c r="F1336" s="3" t="s">
        <v>5787</v>
      </c>
      <c r="G1336" s="220">
        <v>43246.0</v>
      </c>
    </row>
    <row r="1337">
      <c r="A1337" s="217">
        <v>43247.528248726856</v>
      </c>
      <c r="B1337" s="218" t="s">
        <v>5184</v>
      </c>
      <c r="C1337" s="218" t="s">
        <v>5848</v>
      </c>
      <c r="D1337" s="221">
        <v>1.0</v>
      </c>
      <c r="E1337" s="218">
        <v>1000.0</v>
      </c>
      <c r="F1337" s="3" t="s">
        <v>5787</v>
      </c>
      <c r="G1337" s="220">
        <v>43246.0</v>
      </c>
    </row>
    <row r="1338">
      <c r="A1338" s="217">
        <v>43247.5303844213</v>
      </c>
      <c r="B1338" s="218" t="s">
        <v>5184</v>
      </c>
      <c r="C1338" s="218" t="s">
        <v>5789</v>
      </c>
      <c r="D1338" s="221">
        <v>1.0</v>
      </c>
      <c r="E1338" s="218">
        <v>400.0</v>
      </c>
      <c r="F1338" s="3" t="s">
        <v>5787</v>
      </c>
      <c r="G1338" s="220">
        <v>43246.0</v>
      </c>
    </row>
    <row r="1339">
      <c r="A1339" s="217">
        <v>43247.53500950232</v>
      </c>
      <c r="B1339" s="218" t="s">
        <v>5184</v>
      </c>
      <c r="C1339" s="218" t="s">
        <v>5417</v>
      </c>
      <c r="D1339" s="221">
        <v>1.0</v>
      </c>
      <c r="E1339" s="218">
        <v>3390.0</v>
      </c>
      <c r="G1339" s="220">
        <v>43245.0</v>
      </c>
    </row>
    <row r="1340">
      <c r="A1340" s="217">
        <v>43247.53629820602</v>
      </c>
      <c r="B1340" s="218" t="s">
        <v>5184</v>
      </c>
      <c r="C1340" s="218" t="s">
        <v>5193</v>
      </c>
      <c r="D1340" s="221">
        <v>1.0</v>
      </c>
      <c r="E1340" s="218">
        <v>6790.0</v>
      </c>
      <c r="F1340" s="3" t="s">
        <v>5212</v>
      </c>
      <c r="G1340" s="220">
        <v>43245.0</v>
      </c>
    </row>
    <row r="1341">
      <c r="A1341" s="217">
        <v>43247.537974942126</v>
      </c>
      <c r="B1341" s="218" t="s">
        <v>5184</v>
      </c>
      <c r="C1341" s="218" t="s">
        <v>4666</v>
      </c>
      <c r="D1341" s="221">
        <v>1.0</v>
      </c>
      <c r="E1341" s="218">
        <v>895.0</v>
      </c>
      <c r="F1341" s="3" t="s">
        <v>5293</v>
      </c>
      <c r="G1341" s="220">
        <v>43247.0</v>
      </c>
    </row>
    <row r="1342">
      <c r="A1342" s="217">
        <v>43247.54967010417</v>
      </c>
      <c r="B1342" s="218" t="s">
        <v>5184</v>
      </c>
      <c r="C1342" s="218" t="s">
        <v>5265</v>
      </c>
      <c r="D1342" s="221">
        <v>1.0</v>
      </c>
      <c r="E1342" s="218">
        <v>9000.0</v>
      </c>
      <c r="F1342" s="3" t="s">
        <v>5246</v>
      </c>
      <c r="G1342" s="220">
        <v>43245.0</v>
      </c>
    </row>
    <row r="1343">
      <c r="A1343" s="217">
        <v>43247.55247730324</v>
      </c>
      <c r="B1343" s="218" t="s">
        <v>5184</v>
      </c>
      <c r="C1343" s="218" t="s">
        <v>5249</v>
      </c>
      <c r="D1343" s="221">
        <v>1.0</v>
      </c>
      <c r="E1343" s="218">
        <v>10000.0</v>
      </c>
      <c r="F1343" s="3" t="s">
        <v>5246</v>
      </c>
      <c r="G1343" s="220">
        <v>43245.0</v>
      </c>
    </row>
    <row r="1344">
      <c r="A1344" s="217">
        <v>43247.553798368055</v>
      </c>
      <c r="B1344" s="218" t="s">
        <v>5184</v>
      </c>
      <c r="C1344" s="218" t="s">
        <v>5261</v>
      </c>
      <c r="D1344" s="221">
        <v>1.0</v>
      </c>
      <c r="E1344" s="218">
        <v>10500.0</v>
      </c>
      <c r="F1344" s="3" t="s">
        <v>5246</v>
      </c>
      <c r="G1344" s="220">
        <v>43246.0</v>
      </c>
    </row>
    <row r="1345">
      <c r="A1345" s="217">
        <v>43247.55559186343</v>
      </c>
      <c r="B1345" s="218" t="s">
        <v>5184</v>
      </c>
      <c r="C1345" s="218" t="s">
        <v>5272</v>
      </c>
      <c r="D1345" s="221">
        <v>1.0</v>
      </c>
      <c r="E1345" s="218">
        <v>8500.0</v>
      </c>
      <c r="F1345" s="3" t="s">
        <v>5246</v>
      </c>
      <c r="G1345" s="220">
        <v>43245.0</v>
      </c>
    </row>
    <row r="1346">
      <c r="A1346" s="217">
        <v>43247.56395876157</v>
      </c>
      <c r="B1346" s="218" t="s">
        <v>5184</v>
      </c>
      <c r="C1346" s="218" t="s">
        <v>5247</v>
      </c>
      <c r="D1346" s="221">
        <v>1.0</v>
      </c>
      <c r="E1346" s="218">
        <v>10500.0</v>
      </c>
      <c r="F1346" s="3" t="s">
        <v>5246</v>
      </c>
      <c r="G1346" s="220">
        <v>43245.0</v>
      </c>
    </row>
    <row r="1347">
      <c r="A1347" s="217">
        <v>43247.59554189815</v>
      </c>
      <c r="B1347" s="218" t="s">
        <v>5184</v>
      </c>
      <c r="C1347" s="218" t="s">
        <v>5275</v>
      </c>
      <c r="D1347" s="221">
        <v>1.0</v>
      </c>
      <c r="E1347" s="218">
        <v>10500.0</v>
      </c>
      <c r="F1347" s="3" t="s">
        <v>5246</v>
      </c>
      <c r="G1347" s="220">
        <v>43245.0</v>
      </c>
    </row>
    <row r="1348">
      <c r="A1348" s="217">
        <v>43247.59870104167</v>
      </c>
      <c r="B1348" s="218" t="s">
        <v>5184</v>
      </c>
      <c r="C1348" s="218" t="s">
        <v>4543</v>
      </c>
      <c r="D1348" s="221">
        <v>1.0</v>
      </c>
      <c r="E1348" s="218">
        <v>2150.0</v>
      </c>
      <c r="F1348" s="3" t="s">
        <v>5295</v>
      </c>
      <c r="G1348" s="220">
        <v>43246.0</v>
      </c>
    </row>
    <row r="1349">
      <c r="A1349" s="217">
        <v>43247.621797280095</v>
      </c>
      <c r="B1349" s="218" t="s">
        <v>5184</v>
      </c>
      <c r="C1349" s="218" t="s">
        <v>1925</v>
      </c>
      <c r="D1349" s="221">
        <v>-1.0</v>
      </c>
      <c r="E1349" s="218">
        <v>4790.0</v>
      </c>
      <c r="G1349" s="220">
        <v>43246.0</v>
      </c>
    </row>
    <row r="1350">
      <c r="A1350" s="217">
        <v>43247.62440075232</v>
      </c>
      <c r="B1350" s="218" t="s">
        <v>5184</v>
      </c>
      <c r="C1350" s="218" t="s">
        <v>5182</v>
      </c>
      <c r="D1350" s="221">
        <v>-1.0</v>
      </c>
      <c r="E1350" s="218">
        <v>4290.0</v>
      </c>
      <c r="G1350" s="220">
        <v>43246.0</v>
      </c>
    </row>
    <row r="1351">
      <c r="A1351" s="217">
        <v>43247.68583054398</v>
      </c>
      <c r="B1351" s="218" t="s">
        <v>5184</v>
      </c>
      <c r="C1351" s="218" t="s">
        <v>5280</v>
      </c>
      <c r="D1351" s="219">
        <v>1.0</v>
      </c>
      <c r="E1351" s="218">
        <v>7090.0</v>
      </c>
      <c r="F1351" s="3" t="s">
        <v>5279</v>
      </c>
      <c r="G1351" s="220">
        <v>43133.0</v>
      </c>
    </row>
    <row r="1352">
      <c r="A1352" s="217">
        <v>43247.69506728009</v>
      </c>
      <c r="B1352" s="218" t="s">
        <v>5184</v>
      </c>
      <c r="C1352" s="218" t="s">
        <v>5369</v>
      </c>
      <c r="D1352" s="219">
        <v>1.0</v>
      </c>
      <c r="E1352" s="218">
        <v>9000.0</v>
      </c>
      <c r="G1352" s="220">
        <v>43172.0</v>
      </c>
    </row>
    <row r="1353">
      <c r="A1353" s="217">
        <v>43247.70217149306</v>
      </c>
      <c r="B1353" s="218" t="s">
        <v>5184</v>
      </c>
      <c r="C1353" s="218" t="s">
        <v>5375</v>
      </c>
      <c r="D1353" s="219">
        <v>1.0</v>
      </c>
      <c r="E1353" s="218">
        <v>9000.0</v>
      </c>
      <c r="G1353" s="220">
        <v>43172.0</v>
      </c>
    </row>
    <row r="1354">
      <c r="A1354" s="217">
        <v>43247.71562190972</v>
      </c>
      <c r="B1354" s="218" t="s">
        <v>5184</v>
      </c>
      <c r="C1354" s="218" t="s">
        <v>2759</v>
      </c>
      <c r="D1354" s="219">
        <v>1.0</v>
      </c>
      <c r="E1354" s="218">
        <v>9000.0</v>
      </c>
      <c r="G1354" s="220">
        <v>43172.0</v>
      </c>
    </row>
    <row r="1355">
      <c r="A1355" s="217">
        <v>43248.41876502315</v>
      </c>
      <c r="B1355" s="218" t="s">
        <v>5092</v>
      </c>
      <c r="C1355" s="218" t="s">
        <v>6011</v>
      </c>
      <c r="D1355" s="219">
        <v>1.0</v>
      </c>
      <c r="E1355" s="218">
        <v>10990.0</v>
      </c>
      <c r="F1355" s="3" t="s">
        <v>5279</v>
      </c>
      <c r="G1355" s="220">
        <v>43174.0</v>
      </c>
    </row>
    <row r="1356">
      <c r="A1356" s="217">
        <v>43248.42360672454</v>
      </c>
      <c r="B1356" s="218" t="s">
        <v>5092</v>
      </c>
      <c r="C1356" s="218" t="s">
        <v>5944</v>
      </c>
      <c r="D1356" s="219">
        <v>1.0</v>
      </c>
      <c r="E1356" s="218">
        <v>11990.0</v>
      </c>
      <c r="F1356" s="3" t="s">
        <v>5279</v>
      </c>
      <c r="G1356" s="220">
        <v>43195.0</v>
      </c>
    </row>
    <row r="1357">
      <c r="A1357" s="217">
        <v>43248.434015</v>
      </c>
      <c r="B1357" s="218" t="s">
        <v>5184</v>
      </c>
      <c r="C1357" s="218" t="s">
        <v>1792</v>
      </c>
      <c r="D1357" s="219">
        <v>2.0</v>
      </c>
      <c r="E1357" s="218">
        <v>6990.0</v>
      </c>
      <c r="F1357" s="3" t="s">
        <v>5094</v>
      </c>
      <c r="G1357" s="220">
        <v>43133.0</v>
      </c>
    </row>
    <row r="1358">
      <c r="A1358" s="217">
        <v>43248.4360237963</v>
      </c>
      <c r="B1358" s="218" t="s">
        <v>5184</v>
      </c>
      <c r="C1358" s="218" t="s">
        <v>5098</v>
      </c>
      <c r="D1358" s="219">
        <v>1.0</v>
      </c>
      <c r="E1358" s="218">
        <v>7490.0</v>
      </c>
      <c r="F1358" s="3" t="s">
        <v>5094</v>
      </c>
      <c r="G1358" s="220">
        <v>43133.0</v>
      </c>
    </row>
    <row r="1359">
      <c r="A1359" s="217">
        <v>43248.43998983796</v>
      </c>
      <c r="B1359" s="218" t="s">
        <v>5184</v>
      </c>
      <c r="C1359" s="218" t="s">
        <v>1815</v>
      </c>
      <c r="D1359" s="219">
        <v>1.0</v>
      </c>
      <c r="E1359" s="218">
        <v>6490.0</v>
      </c>
      <c r="F1359" s="3" t="s">
        <v>5094</v>
      </c>
      <c r="G1359" s="220">
        <v>43174.0</v>
      </c>
    </row>
    <row r="1360">
      <c r="A1360" s="217">
        <v>43248.444617395835</v>
      </c>
      <c r="B1360" s="218" t="s">
        <v>5184</v>
      </c>
      <c r="C1360" s="218" t="s">
        <v>5106</v>
      </c>
      <c r="D1360" s="219">
        <v>1.0</v>
      </c>
      <c r="E1360" s="218">
        <v>6990.0</v>
      </c>
      <c r="F1360" s="3" t="s">
        <v>5105</v>
      </c>
      <c r="G1360" s="220">
        <v>43148.0</v>
      </c>
    </row>
    <row r="1361">
      <c r="A1361" s="217">
        <v>43248.44587739583</v>
      </c>
      <c r="B1361" s="218" t="s">
        <v>5184</v>
      </c>
      <c r="C1361" s="218" t="s">
        <v>1829</v>
      </c>
      <c r="D1361" s="219">
        <v>1.0</v>
      </c>
      <c r="E1361" s="218">
        <v>7990.0</v>
      </c>
      <c r="F1361" s="3" t="s">
        <v>5105</v>
      </c>
      <c r="G1361" s="220">
        <v>43151.0</v>
      </c>
    </row>
    <row r="1362">
      <c r="A1362" s="217">
        <v>43248.44745939814</v>
      </c>
      <c r="B1362" s="218" t="s">
        <v>5184</v>
      </c>
      <c r="C1362" s="218" t="s">
        <v>5109</v>
      </c>
      <c r="D1362" s="219">
        <v>1.0</v>
      </c>
      <c r="E1362" s="218">
        <v>5990.0</v>
      </c>
      <c r="F1362" s="3" t="s">
        <v>5105</v>
      </c>
      <c r="G1362" s="220">
        <v>43151.0</v>
      </c>
    </row>
    <row r="1363">
      <c r="A1363" s="217">
        <v>43248.44851570602</v>
      </c>
      <c r="B1363" s="218" t="s">
        <v>5184</v>
      </c>
      <c r="C1363" s="218" t="s">
        <v>1832</v>
      </c>
      <c r="D1363" s="219">
        <v>2.0</v>
      </c>
      <c r="E1363" s="218">
        <v>5990.0</v>
      </c>
      <c r="F1363" s="3" t="s">
        <v>5105</v>
      </c>
      <c r="G1363" s="220">
        <v>43146.0</v>
      </c>
    </row>
    <row r="1364">
      <c r="A1364" s="217">
        <v>43248.45372417824</v>
      </c>
      <c r="B1364" s="218" t="s">
        <v>5184</v>
      </c>
      <c r="C1364" s="218" t="s">
        <v>5114</v>
      </c>
      <c r="D1364" s="219">
        <v>1.0</v>
      </c>
      <c r="E1364" s="218">
        <v>9490.0</v>
      </c>
      <c r="F1364" s="3" t="s">
        <v>5119</v>
      </c>
      <c r="G1364" s="220">
        <v>43133.0</v>
      </c>
    </row>
    <row r="1365">
      <c r="A1365" s="217">
        <v>43248.45459224537</v>
      </c>
      <c r="B1365" s="218" t="s">
        <v>5184</v>
      </c>
      <c r="C1365" s="218" t="s">
        <v>1852</v>
      </c>
      <c r="D1365" s="219">
        <v>1.0</v>
      </c>
      <c r="E1365" s="218">
        <v>10390.0</v>
      </c>
      <c r="F1365" s="3" t="s">
        <v>5119</v>
      </c>
      <c r="G1365" s="220">
        <v>43151.0</v>
      </c>
    </row>
    <row r="1366">
      <c r="A1366" s="217">
        <v>43248.48084508102</v>
      </c>
      <c r="B1366" s="218" t="s">
        <v>5184</v>
      </c>
      <c r="C1366" s="218" t="s">
        <v>5120</v>
      </c>
      <c r="D1366" s="219">
        <v>1.0</v>
      </c>
      <c r="E1366" s="218">
        <v>7990.0</v>
      </c>
      <c r="F1366" s="3" t="s">
        <v>5119</v>
      </c>
      <c r="G1366" s="220">
        <v>43186.0</v>
      </c>
    </row>
    <row r="1367">
      <c r="A1367" s="217">
        <v>43248.487526006946</v>
      </c>
      <c r="B1367" s="218" t="s">
        <v>5184</v>
      </c>
      <c r="C1367" s="218" t="s">
        <v>5122</v>
      </c>
      <c r="D1367" s="219">
        <v>1.0</v>
      </c>
      <c r="E1367" s="218">
        <v>7990.0</v>
      </c>
      <c r="F1367" s="3" t="s">
        <v>5135</v>
      </c>
      <c r="G1367" s="220">
        <v>43186.0</v>
      </c>
    </row>
    <row r="1368">
      <c r="A1368" s="217">
        <v>43248.49968862269</v>
      </c>
      <c r="B1368" s="218" t="s">
        <v>5184</v>
      </c>
      <c r="C1368" s="218" t="s">
        <v>5132</v>
      </c>
      <c r="D1368" s="219">
        <v>1.0</v>
      </c>
      <c r="E1368" s="218">
        <v>5850.0</v>
      </c>
      <c r="F1368" s="3" t="s">
        <v>5135</v>
      </c>
      <c r="G1368" s="220">
        <v>43106.0</v>
      </c>
    </row>
    <row r="1369">
      <c r="A1369" s="217">
        <v>43248.50142793982</v>
      </c>
      <c r="B1369" s="218" t="s">
        <v>5184</v>
      </c>
      <c r="C1369" s="218" t="s">
        <v>5131</v>
      </c>
      <c r="D1369" s="219">
        <v>1.0</v>
      </c>
      <c r="E1369" s="218">
        <v>5990.0</v>
      </c>
      <c r="F1369" s="3" t="s">
        <v>5135</v>
      </c>
      <c r="G1369" s="220">
        <v>43189.0</v>
      </c>
    </row>
    <row r="1370">
      <c r="A1370" s="217">
        <v>43248.50418466435</v>
      </c>
      <c r="B1370" s="218" t="s">
        <v>5092</v>
      </c>
      <c r="C1370" s="218" t="s">
        <v>6022</v>
      </c>
      <c r="D1370" s="219">
        <v>1.0</v>
      </c>
      <c r="E1370" s="218">
        <v>6490.0</v>
      </c>
      <c r="F1370" s="3" t="s">
        <v>5135</v>
      </c>
      <c r="G1370" s="220">
        <v>43179.0</v>
      </c>
    </row>
    <row r="1371">
      <c r="A1371" s="217">
        <v>43248.51108994213</v>
      </c>
      <c r="B1371" s="218" t="s">
        <v>5184</v>
      </c>
      <c r="C1371" s="218" t="s">
        <v>5148</v>
      </c>
      <c r="D1371" s="219">
        <v>1.0</v>
      </c>
      <c r="E1371" s="218">
        <v>6990.0</v>
      </c>
      <c r="F1371" s="3" t="s">
        <v>5135</v>
      </c>
      <c r="G1371" s="220">
        <v>43087.0</v>
      </c>
    </row>
    <row r="1372">
      <c r="A1372" s="217">
        <v>43248.51474186343</v>
      </c>
      <c r="B1372" s="218" t="s">
        <v>5184</v>
      </c>
      <c r="C1372" s="218" t="s">
        <v>5160</v>
      </c>
      <c r="D1372" s="219">
        <v>1.0</v>
      </c>
      <c r="E1372" s="218">
        <v>6490.0</v>
      </c>
      <c r="F1372" s="3" t="s">
        <v>5158</v>
      </c>
      <c r="G1372" s="220">
        <v>43133.0</v>
      </c>
    </row>
    <row r="1373">
      <c r="A1373" s="217">
        <v>43248.51697324074</v>
      </c>
      <c r="B1373" s="218" t="s">
        <v>5184</v>
      </c>
      <c r="C1373" s="218" t="s">
        <v>5159</v>
      </c>
      <c r="D1373" s="219">
        <v>1.0</v>
      </c>
      <c r="E1373" s="218">
        <v>4490.0</v>
      </c>
      <c r="F1373" s="3" t="s">
        <v>5179</v>
      </c>
      <c r="G1373" s="220">
        <v>43158.0</v>
      </c>
    </row>
    <row r="1374">
      <c r="A1374" s="217">
        <v>43248.51783834491</v>
      </c>
      <c r="B1374" s="218" t="s">
        <v>5184</v>
      </c>
      <c r="C1374" s="218" t="s">
        <v>5159</v>
      </c>
      <c r="D1374" s="219">
        <v>1.0</v>
      </c>
      <c r="E1374" s="218">
        <v>4490.0</v>
      </c>
      <c r="F1374" s="3" t="s">
        <v>5179</v>
      </c>
      <c r="G1374" s="220">
        <v>43171.0</v>
      </c>
    </row>
    <row r="1375">
      <c r="A1375" s="217">
        <v>43248.51918008101</v>
      </c>
      <c r="B1375" s="218" t="s">
        <v>5184</v>
      </c>
      <c r="C1375" s="218" t="s">
        <v>5163</v>
      </c>
      <c r="D1375" s="219">
        <v>1.0</v>
      </c>
      <c r="E1375" s="218">
        <v>4400.0</v>
      </c>
      <c r="F1375" s="3" t="s">
        <v>5179</v>
      </c>
      <c r="G1375" s="220">
        <v>43164.0</v>
      </c>
    </row>
    <row r="1376">
      <c r="A1376" s="217">
        <v>43248.520457199076</v>
      </c>
      <c r="B1376" s="218" t="s">
        <v>5184</v>
      </c>
      <c r="C1376" s="218" t="s">
        <v>5175</v>
      </c>
      <c r="D1376" s="219">
        <v>1.0</v>
      </c>
      <c r="E1376" s="218">
        <v>10490.0</v>
      </c>
      <c r="F1376" s="3" t="s">
        <v>5179</v>
      </c>
      <c r="G1376" s="220">
        <v>43151.0</v>
      </c>
    </row>
    <row r="1377">
      <c r="A1377" s="217">
        <v>43248.523207349535</v>
      </c>
      <c r="B1377" s="218" t="s">
        <v>5184</v>
      </c>
      <c r="C1377" s="218" t="s">
        <v>5164</v>
      </c>
      <c r="D1377" s="219">
        <v>1.0</v>
      </c>
      <c r="E1377" s="218">
        <v>6990.0</v>
      </c>
      <c r="F1377" s="3" t="s">
        <v>5179</v>
      </c>
      <c r="G1377" s="220">
        <v>43141.0</v>
      </c>
    </row>
    <row r="1378">
      <c r="A1378" s="217">
        <v>43248.52443633102</v>
      </c>
      <c r="B1378" s="218" t="s">
        <v>5184</v>
      </c>
      <c r="C1378" s="218" t="s">
        <v>5170</v>
      </c>
      <c r="D1378" s="219">
        <v>3.0</v>
      </c>
      <c r="E1378" s="218">
        <v>4490.0</v>
      </c>
      <c r="F1378" s="3" t="s">
        <v>5179</v>
      </c>
      <c r="G1378" s="220">
        <v>43220.0</v>
      </c>
    </row>
    <row r="1379">
      <c r="A1379" s="217">
        <v>43248.5255668287</v>
      </c>
      <c r="B1379" s="218" t="s">
        <v>5184</v>
      </c>
      <c r="C1379" s="218" t="s">
        <v>5169</v>
      </c>
      <c r="D1379" s="219">
        <v>2.0</v>
      </c>
      <c r="E1379" s="218">
        <v>4490.0</v>
      </c>
      <c r="F1379" s="3" t="s">
        <v>5179</v>
      </c>
      <c r="G1379" s="220">
        <v>43151.0</v>
      </c>
    </row>
    <row r="1380">
      <c r="A1380" s="217">
        <v>43248.528392002314</v>
      </c>
      <c r="B1380" s="218" t="s">
        <v>5184</v>
      </c>
      <c r="C1380" s="218" t="s">
        <v>5178</v>
      </c>
      <c r="D1380" s="219">
        <v>2.0</v>
      </c>
      <c r="E1380" s="218">
        <v>4490.0</v>
      </c>
      <c r="F1380" s="3" t="s">
        <v>5179</v>
      </c>
      <c r="G1380" s="220">
        <v>43180.0</v>
      </c>
    </row>
    <row r="1381">
      <c r="A1381" s="217">
        <v>43248.53341496528</v>
      </c>
      <c r="B1381" s="218" t="s">
        <v>5184</v>
      </c>
      <c r="C1381" s="218" t="s">
        <v>1892</v>
      </c>
      <c r="D1381" s="219">
        <v>3.0</v>
      </c>
      <c r="E1381" s="218">
        <v>4990.0</v>
      </c>
      <c r="F1381" s="3" t="s">
        <v>5212</v>
      </c>
      <c r="G1381" s="220">
        <v>43151.0</v>
      </c>
    </row>
    <row r="1382">
      <c r="A1382" s="217">
        <v>43248.55165883102</v>
      </c>
      <c r="B1382" s="218" t="s">
        <v>5092</v>
      </c>
      <c r="C1382" s="218" t="s">
        <v>5193</v>
      </c>
      <c r="D1382" s="219">
        <v>1.0</v>
      </c>
      <c r="E1382" s="218">
        <v>3390.0</v>
      </c>
      <c r="F1382" s="3" t="s">
        <v>5179</v>
      </c>
      <c r="G1382" s="220">
        <v>43204.0</v>
      </c>
    </row>
    <row r="1383">
      <c r="A1383" s="217">
        <v>43248.55453767361</v>
      </c>
      <c r="B1383" s="218" t="s">
        <v>5184</v>
      </c>
      <c r="C1383" s="218" t="s">
        <v>5198</v>
      </c>
      <c r="D1383" s="219">
        <v>1.0</v>
      </c>
      <c r="E1383" s="218">
        <v>4290.0</v>
      </c>
      <c r="G1383" s="220">
        <v>43078.0</v>
      </c>
    </row>
    <row r="1384">
      <c r="A1384" s="217">
        <v>43248.56135148148</v>
      </c>
      <c r="B1384" s="218" t="s">
        <v>5184</v>
      </c>
      <c r="C1384" s="218" t="s">
        <v>1930</v>
      </c>
      <c r="D1384" s="219">
        <v>1.0</v>
      </c>
      <c r="E1384" s="218">
        <v>5490.0</v>
      </c>
      <c r="G1384" s="220">
        <v>43194.0</v>
      </c>
    </row>
    <row r="1385">
      <c r="A1385" s="217">
        <v>43248.56323141204</v>
      </c>
      <c r="B1385" s="218" t="s">
        <v>5184</v>
      </c>
      <c r="C1385" s="218" t="s">
        <v>5199</v>
      </c>
      <c r="D1385" s="219">
        <v>1.0</v>
      </c>
      <c r="E1385" s="218">
        <v>4790.0</v>
      </c>
      <c r="G1385" s="220">
        <v>43161.0</v>
      </c>
    </row>
    <row r="1386">
      <c r="A1386" s="217">
        <v>43248.58289174769</v>
      </c>
      <c r="B1386" s="218" t="s">
        <v>5184</v>
      </c>
      <c r="C1386" s="218" t="s">
        <v>5413</v>
      </c>
      <c r="D1386" s="219">
        <v>1.0</v>
      </c>
      <c r="E1386" s="218">
        <v>4790.0</v>
      </c>
      <c r="G1386" s="220">
        <v>43174.0</v>
      </c>
    </row>
    <row r="1387">
      <c r="A1387" s="217">
        <v>43248.58899399306</v>
      </c>
      <c r="B1387" s="218" t="s">
        <v>5184</v>
      </c>
      <c r="C1387" s="218" t="s">
        <v>5420</v>
      </c>
      <c r="D1387" s="219">
        <v>1.0</v>
      </c>
      <c r="E1387" s="218">
        <v>7290.0</v>
      </c>
      <c r="G1387" s="220"/>
    </row>
    <row r="1388">
      <c r="A1388" s="217">
        <v>43248.59303021991</v>
      </c>
      <c r="B1388" s="218" t="s">
        <v>5092</v>
      </c>
      <c r="C1388" s="218" t="s">
        <v>2047</v>
      </c>
      <c r="D1388" s="219">
        <v>1.0</v>
      </c>
      <c r="E1388" s="218">
        <v>7690.0</v>
      </c>
      <c r="G1388" s="220">
        <v>43144.0</v>
      </c>
    </row>
    <row r="1389">
      <c r="A1389" s="217">
        <v>43248.59442105324</v>
      </c>
      <c r="B1389" s="218" t="s">
        <v>5092</v>
      </c>
      <c r="C1389" s="218" t="s">
        <v>6012</v>
      </c>
      <c r="D1389" s="219">
        <v>1.0</v>
      </c>
      <c r="E1389" s="218">
        <v>6725.0</v>
      </c>
      <c r="G1389" s="220">
        <v>43144.0</v>
      </c>
    </row>
    <row r="1390">
      <c r="A1390" s="217">
        <v>43248.59549946759</v>
      </c>
      <c r="B1390" s="218" t="s">
        <v>5092</v>
      </c>
      <c r="C1390" s="218" t="s">
        <v>5974</v>
      </c>
      <c r="D1390" s="219">
        <v>1.0</v>
      </c>
      <c r="E1390" s="218">
        <v>8415.0</v>
      </c>
      <c r="G1390" s="220">
        <v>43144.0</v>
      </c>
    </row>
    <row r="1391">
      <c r="A1391" s="217">
        <v>43248.596921550925</v>
      </c>
      <c r="B1391" s="218" t="s">
        <v>5184</v>
      </c>
      <c r="C1391" s="218" t="s">
        <v>5348</v>
      </c>
      <c r="D1391" s="219">
        <v>1.0</v>
      </c>
      <c r="E1391" s="218">
        <v>8415.0</v>
      </c>
      <c r="G1391" s="220">
        <v>43183.0</v>
      </c>
    </row>
    <row r="1392">
      <c r="A1392" s="217">
        <v>43248.5980978125</v>
      </c>
      <c r="B1392" s="218" t="s">
        <v>5184</v>
      </c>
      <c r="C1392" s="218" t="s">
        <v>5360</v>
      </c>
      <c r="D1392" s="219">
        <v>1.0</v>
      </c>
      <c r="E1392" s="218">
        <v>8415.0</v>
      </c>
      <c r="G1392" s="220">
        <v>43183.0</v>
      </c>
    </row>
    <row r="1393">
      <c r="A1393" s="217">
        <v>43248.59943335648</v>
      </c>
      <c r="B1393" s="218" t="s">
        <v>5184</v>
      </c>
      <c r="C1393" s="218" t="s">
        <v>5351</v>
      </c>
      <c r="D1393" s="219">
        <v>1.0</v>
      </c>
      <c r="E1393" s="218">
        <v>8925.0</v>
      </c>
      <c r="G1393" s="220">
        <v>43183.0</v>
      </c>
    </row>
    <row r="1394">
      <c r="A1394" s="217">
        <v>43248.60774071759</v>
      </c>
      <c r="B1394" s="218" t="s">
        <v>5184</v>
      </c>
      <c r="C1394" s="218" t="s">
        <v>5359</v>
      </c>
      <c r="D1394" s="219">
        <v>1.0</v>
      </c>
      <c r="E1394" s="218">
        <v>8415.0</v>
      </c>
      <c r="G1394" s="220">
        <v>43183.0</v>
      </c>
    </row>
    <row r="1395">
      <c r="A1395" s="217">
        <v>43248.60893732639</v>
      </c>
      <c r="B1395" s="218" t="s">
        <v>5184</v>
      </c>
      <c r="C1395" s="218" t="s">
        <v>5349</v>
      </c>
      <c r="D1395" s="219">
        <v>1.0</v>
      </c>
      <c r="E1395" s="24"/>
      <c r="G1395" s="220">
        <v>43183.0</v>
      </c>
    </row>
    <row r="1396">
      <c r="A1396" s="217">
        <v>43248.61020228009</v>
      </c>
      <c r="B1396" s="218" t="s">
        <v>5184</v>
      </c>
      <c r="C1396" s="218" t="s">
        <v>5350</v>
      </c>
      <c r="D1396" s="219">
        <v>1.0</v>
      </c>
      <c r="E1396" s="24"/>
      <c r="G1396" s="220">
        <v>43183.0</v>
      </c>
    </row>
    <row r="1397">
      <c r="A1397" s="217">
        <v>43248.61124484954</v>
      </c>
      <c r="B1397" s="218" t="s">
        <v>5184</v>
      </c>
      <c r="C1397" s="218" t="s">
        <v>5346</v>
      </c>
      <c r="D1397" s="219">
        <v>1.0</v>
      </c>
      <c r="E1397" s="218">
        <v>8415.0</v>
      </c>
      <c r="G1397" s="220">
        <v>43183.0</v>
      </c>
    </row>
    <row r="1398">
      <c r="A1398" s="217">
        <v>43248.61222148148</v>
      </c>
      <c r="B1398" s="218" t="s">
        <v>5184</v>
      </c>
      <c r="C1398" s="218" t="s">
        <v>5356</v>
      </c>
      <c r="D1398" s="219">
        <v>1.0</v>
      </c>
      <c r="E1398" s="218">
        <v>8415.0</v>
      </c>
      <c r="G1398" s="220">
        <v>43133.0</v>
      </c>
    </row>
    <row r="1399">
      <c r="A1399" s="217">
        <v>43248.6136725463</v>
      </c>
      <c r="B1399" s="218" t="s">
        <v>5184</v>
      </c>
      <c r="C1399" s="218" t="s">
        <v>5361</v>
      </c>
      <c r="D1399" s="219">
        <v>1.0</v>
      </c>
      <c r="E1399" s="218">
        <v>5610.0</v>
      </c>
      <c r="G1399" s="220">
        <v>43185.0</v>
      </c>
    </row>
    <row r="1400">
      <c r="A1400" s="217">
        <v>43248.61815725695</v>
      </c>
      <c r="B1400" s="218" t="s">
        <v>5092</v>
      </c>
      <c r="C1400" s="218" t="s">
        <v>6066</v>
      </c>
      <c r="D1400" s="219">
        <v>1.0</v>
      </c>
      <c r="E1400" s="218">
        <v>1600.0</v>
      </c>
      <c r="G1400" s="220">
        <v>43180.0</v>
      </c>
    </row>
    <row r="1401">
      <c r="A1401" s="217">
        <v>43248.620618483794</v>
      </c>
      <c r="B1401" s="218" t="s">
        <v>5092</v>
      </c>
      <c r="C1401" s="218" t="s">
        <v>6070</v>
      </c>
      <c r="D1401" s="219">
        <v>1.0</v>
      </c>
      <c r="E1401" s="218">
        <v>1800.0</v>
      </c>
      <c r="F1401" s="3" t="s">
        <v>5625</v>
      </c>
      <c r="G1401" s="220">
        <v>43144.0</v>
      </c>
    </row>
    <row r="1402">
      <c r="A1402" s="217">
        <v>43248.630420381945</v>
      </c>
      <c r="B1402" s="218" t="s">
        <v>5184</v>
      </c>
      <c r="C1402" s="218" t="s">
        <v>5531</v>
      </c>
      <c r="D1402" s="219">
        <v>1.0</v>
      </c>
      <c r="E1402" s="218">
        <v>3290.0</v>
      </c>
      <c r="G1402" s="220">
        <v>43197.0</v>
      </c>
    </row>
    <row r="1403">
      <c r="A1403" s="217">
        <v>43248.63441759259</v>
      </c>
      <c r="B1403" s="218" t="s">
        <v>5184</v>
      </c>
      <c r="C1403" s="218" t="s">
        <v>2215</v>
      </c>
      <c r="D1403" s="219">
        <v>2.0</v>
      </c>
      <c r="E1403" s="218">
        <v>3790.0</v>
      </c>
      <c r="G1403" s="220">
        <v>43133.0</v>
      </c>
    </row>
    <row r="1404">
      <c r="A1404" s="217">
        <v>43248.65900326389</v>
      </c>
      <c r="B1404" s="218" t="s">
        <v>5092</v>
      </c>
      <c r="C1404" s="218" t="s">
        <v>5879</v>
      </c>
      <c r="D1404" s="219">
        <v>2.0</v>
      </c>
      <c r="E1404" s="218">
        <v>9000.0</v>
      </c>
      <c r="G1404" s="220">
        <v>43137.0</v>
      </c>
    </row>
    <row r="1405">
      <c r="A1405" s="217">
        <v>43248.66340071759</v>
      </c>
      <c r="B1405" s="218" t="s">
        <v>5184</v>
      </c>
      <c r="C1405" s="218" t="s">
        <v>4668</v>
      </c>
      <c r="D1405" s="219">
        <v>1.0</v>
      </c>
      <c r="E1405" s="218">
        <v>1895.0</v>
      </c>
      <c r="F1405" s="3" t="s">
        <v>5293</v>
      </c>
      <c r="G1405" s="220">
        <v>43193.0</v>
      </c>
    </row>
    <row r="1406">
      <c r="A1406" s="217">
        <v>43248.66486148148</v>
      </c>
      <c r="B1406" s="218" t="s">
        <v>5184</v>
      </c>
      <c r="C1406" s="218" t="s">
        <v>6381</v>
      </c>
      <c r="D1406" s="219">
        <v>1.0</v>
      </c>
      <c r="E1406" s="218">
        <v>850.0</v>
      </c>
      <c r="F1406" s="3" t="s">
        <v>5293</v>
      </c>
      <c r="G1406" s="220">
        <v>43146.0</v>
      </c>
    </row>
    <row r="1407">
      <c r="A1407" s="217">
        <v>43248.66706074074</v>
      </c>
      <c r="B1407" s="218" t="s">
        <v>5184</v>
      </c>
      <c r="C1407" s="218" t="s">
        <v>4642</v>
      </c>
      <c r="D1407" s="219">
        <v>1.0</v>
      </c>
      <c r="E1407" s="218">
        <v>1495.0</v>
      </c>
      <c r="F1407" s="3" t="s">
        <v>5293</v>
      </c>
      <c r="G1407" s="220">
        <v>43117.0</v>
      </c>
    </row>
    <row r="1408">
      <c r="A1408" s="217">
        <v>43248.668580625</v>
      </c>
      <c r="B1408" s="218" t="s">
        <v>5184</v>
      </c>
      <c r="C1408" s="218" t="s">
        <v>4638</v>
      </c>
      <c r="D1408" s="219">
        <v>1.0</v>
      </c>
      <c r="E1408" s="218">
        <v>1495.0</v>
      </c>
      <c r="F1408" s="3" t="s">
        <v>5293</v>
      </c>
      <c r="G1408" s="220">
        <v>43182.0</v>
      </c>
    </row>
    <row r="1409">
      <c r="A1409" s="217">
        <v>43248.66968478009</v>
      </c>
      <c r="B1409" s="218" t="s">
        <v>5184</v>
      </c>
      <c r="C1409" s="218" t="s">
        <v>4629</v>
      </c>
      <c r="D1409" s="219">
        <v>1.0</v>
      </c>
      <c r="E1409" s="218">
        <v>1295.0</v>
      </c>
      <c r="F1409" s="3" t="s">
        <v>5298</v>
      </c>
      <c r="G1409" s="220">
        <v>43182.0</v>
      </c>
    </row>
    <row r="1410">
      <c r="A1410" s="217">
        <v>43248.67597189815</v>
      </c>
      <c r="B1410" s="218" t="s">
        <v>5184</v>
      </c>
      <c r="C1410" s="218" t="s">
        <v>4549</v>
      </c>
      <c r="D1410" s="219">
        <v>1.0</v>
      </c>
      <c r="E1410" s="218">
        <v>1395.0</v>
      </c>
      <c r="F1410" s="3" t="s">
        <v>5298</v>
      </c>
      <c r="G1410" s="220">
        <v>43199.0</v>
      </c>
    </row>
    <row r="1411">
      <c r="A1411" s="217">
        <v>43248.67996193287</v>
      </c>
      <c r="B1411" s="218" t="s">
        <v>5092</v>
      </c>
      <c r="C1411" s="218" t="s">
        <v>4623</v>
      </c>
      <c r="D1411" s="219">
        <v>1.0</v>
      </c>
      <c r="E1411" s="218">
        <v>1495.0</v>
      </c>
      <c r="F1411" s="3" t="s">
        <v>5298</v>
      </c>
      <c r="G1411" s="220">
        <v>43111.0</v>
      </c>
    </row>
    <row r="1412">
      <c r="A1412" s="217">
        <v>43248.68158366898</v>
      </c>
      <c r="B1412" s="218" t="s">
        <v>5184</v>
      </c>
      <c r="C1412" s="218" t="s">
        <v>4618</v>
      </c>
      <c r="D1412" s="219">
        <v>1.0</v>
      </c>
      <c r="E1412" s="218">
        <v>1195.0</v>
      </c>
      <c r="F1412" s="3" t="s">
        <v>5298</v>
      </c>
      <c r="G1412" s="220">
        <v>43138.0</v>
      </c>
    </row>
    <row r="1413">
      <c r="A1413" s="217">
        <v>43248.68289679398</v>
      </c>
      <c r="B1413" s="218" t="s">
        <v>5184</v>
      </c>
      <c r="C1413" s="218" t="s">
        <v>4614</v>
      </c>
      <c r="D1413" s="219">
        <v>1.0</v>
      </c>
      <c r="E1413" s="218">
        <v>1195.0</v>
      </c>
      <c r="F1413" s="3" t="s">
        <v>5298</v>
      </c>
      <c r="G1413" s="220">
        <v>43173.0</v>
      </c>
    </row>
    <row r="1414">
      <c r="A1414" s="217">
        <v>43248.68964810185</v>
      </c>
      <c r="B1414" s="218" t="s">
        <v>5184</v>
      </c>
      <c r="C1414" s="218" t="s">
        <v>4651</v>
      </c>
      <c r="D1414" s="219">
        <v>1.0</v>
      </c>
      <c r="E1414" s="218">
        <v>850.0</v>
      </c>
      <c r="F1414" s="3" t="s">
        <v>5298</v>
      </c>
      <c r="G1414" s="220">
        <v>43146.0</v>
      </c>
    </row>
    <row r="1415">
      <c r="A1415" s="217">
        <v>43248.69887415509</v>
      </c>
      <c r="B1415" s="218" t="s">
        <v>5184</v>
      </c>
      <c r="C1415" s="218" t="s">
        <v>4539</v>
      </c>
      <c r="D1415" s="219">
        <v>1.0</v>
      </c>
      <c r="E1415" s="218">
        <v>2395.0</v>
      </c>
      <c r="F1415" s="3" t="s">
        <v>5298</v>
      </c>
      <c r="G1415" s="220">
        <v>43173.0</v>
      </c>
    </row>
    <row r="1416">
      <c r="A1416" s="217">
        <v>43248.71668760417</v>
      </c>
      <c r="B1416" s="218" t="s">
        <v>5184</v>
      </c>
      <c r="C1416" s="218" t="s">
        <v>4542</v>
      </c>
      <c r="D1416" s="219">
        <v>1.0</v>
      </c>
      <c r="E1416" s="218">
        <v>2395.0</v>
      </c>
      <c r="F1416" s="3" t="s">
        <v>5298</v>
      </c>
      <c r="G1416" s="220">
        <v>43152.0</v>
      </c>
    </row>
    <row r="1417">
      <c r="A1417" s="217">
        <v>43248.71888716435</v>
      </c>
      <c r="B1417" s="218" t="s">
        <v>5184</v>
      </c>
      <c r="C1417" s="218" t="s">
        <v>4602</v>
      </c>
      <c r="D1417" s="219">
        <v>1.0</v>
      </c>
      <c r="E1417" s="218">
        <v>995.0</v>
      </c>
      <c r="F1417" s="3" t="s">
        <v>5298</v>
      </c>
      <c r="G1417" s="220">
        <v>43133.0</v>
      </c>
    </row>
    <row r="1418">
      <c r="A1418" s="217">
        <v>43248.72075353009</v>
      </c>
      <c r="B1418" s="218" t="s">
        <v>5184</v>
      </c>
      <c r="C1418" s="218" t="s">
        <v>4600</v>
      </c>
      <c r="D1418" s="219">
        <v>1.0</v>
      </c>
      <c r="E1418" s="218">
        <v>1395.0</v>
      </c>
      <c r="F1418" s="3" t="s">
        <v>5298</v>
      </c>
      <c r="G1418" s="220">
        <v>43141.0</v>
      </c>
    </row>
    <row r="1419">
      <c r="A1419" s="217">
        <v>43248.722155717594</v>
      </c>
      <c r="B1419" s="218" t="s">
        <v>5184</v>
      </c>
      <c r="C1419" s="218" t="s">
        <v>4598</v>
      </c>
      <c r="D1419" s="219">
        <v>2.0</v>
      </c>
      <c r="E1419" s="218">
        <v>1395.0</v>
      </c>
      <c r="F1419" s="3" t="s">
        <v>5298</v>
      </c>
      <c r="G1419" s="220">
        <v>43207.0</v>
      </c>
    </row>
    <row r="1420">
      <c r="A1420" s="217">
        <v>43248.72628427083</v>
      </c>
      <c r="B1420" s="218" t="s">
        <v>5184</v>
      </c>
      <c r="C1420" s="218" t="s">
        <v>4591</v>
      </c>
      <c r="D1420" s="219">
        <v>1.0</v>
      </c>
      <c r="E1420" s="24"/>
      <c r="F1420" s="3" t="s">
        <v>5298</v>
      </c>
      <c r="G1420" s="220">
        <v>43134.0</v>
      </c>
    </row>
    <row r="1421">
      <c r="A1421" s="217">
        <v>43248.73169905093</v>
      </c>
      <c r="B1421" s="218" t="s">
        <v>5184</v>
      </c>
      <c r="C1421" s="218" t="s">
        <v>4587</v>
      </c>
      <c r="D1421" s="219">
        <v>1.0</v>
      </c>
      <c r="E1421" s="218">
        <v>1695.0</v>
      </c>
      <c r="F1421" s="3" t="s">
        <v>5298</v>
      </c>
      <c r="G1421" s="220">
        <v>43147.0</v>
      </c>
    </row>
    <row r="1422">
      <c r="A1422" s="217">
        <v>43248.732510127316</v>
      </c>
      <c r="B1422" s="218" t="s">
        <v>5184</v>
      </c>
      <c r="C1422" s="218" t="s">
        <v>4587</v>
      </c>
      <c r="D1422" s="219">
        <v>1.0</v>
      </c>
      <c r="E1422" s="218">
        <v>1695.0</v>
      </c>
      <c r="F1422" s="3" t="s">
        <v>5298</v>
      </c>
      <c r="G1422" s="220">
        <v>43199.0</v>
      </c>
    </row>
    <row r="1423">
      <c r="A1423" s="217">
        <v>43248.73403564814</v>
      </c>
      <c r="B1423" s="218" t="s">
        <v>5184</v>
      </c>
      <c r="C1423" s="218" t="s">
        <v>4585</v>
      </c>
      <c r="D1423" s="219">
        <v>1.0</v>
      </c>
      <c r="E1423" s="218">
        <v>1795.0</v>
      </c>
      <c r="F1423" s="3" t="s">
        <v>5298</v>
      </c>
      <c r="G1423" s="220">
        <v>43153.0</v>
      </c>
    </row>
    <row r="1424">
      <c r="A1424" s="217">
        <v>43249.47429777778</v>
      </c>
      <c r="B1424" s="218" t="s">
        <v>5184</v>
      </c>
      <c r="C1424" s="218" t="s">
        <v>4583</v>
      </c>
      <c r="D1424" s="219">
        <v>1.0</v>
      </c>
      <c r="E1424" s="218">
        <v>1795.0</v>
      </c>
      <c r="F1424" s="3" t="s">
        <v>5298</v>
      </c>
      <c r="G1424" s="220">
        <v>43156.0</v>
      </c>
    </row>
    <row r="1425">
      <c r="A1425" s="217">
        <v>43249.52248486111</v>
      </c>
      <c r="B1425" s="218" t="s">
        <v>5184</v>
      </c>
      <c r="C1425" s="218" t="s">
        <v>4577</v>
      </c>
      <c r="D1425" s="219">
        <v>1.0</v>
      </c>
      <c r="E1425" s="218">
        <v>950.0</v>
      </c>
      <c r="F1425" s="3" t="s">
        <v>5298</v>
      </c>
      <c r="G1425" s="220">
        <v>43117.0</v>
      </c>
    </row>
    <row r="1426">
      <c r="A1426" s="217">
        <v>43249.52354094907</v>
      </c>
      <c r="B1426" s="218" t="s">
        <v>5184</v>
      </c>
      <c r="C1426" s="218" t="s">
        <v>4577</v>
      </c>
      <c r="D1426" s="219">
        <v>1.0</v>
      </c>
      <c r="E1426" s="218">
        <v>950.0</v>
      </c>
      <c r="F1426" s="3" t="s">
        <v>5298</v>
      </c>
      <c r="G1426" s="220">
        <v>43143.0</v>
      </c>
    </row>
    <row r="1427">
      <c r="A1427" s="217">
        <v>43250.406353287035</v>
      </c>
      <c r="B1427" s="218" t="s">
        <v>5184</v>
      </c>
      <c r="C1427" s="218" t="s">
        <v>5406</v>
      </c>
      <c r="D1427" s="219">
        <v>1.0</v>
      </c>
      <c r="E1427" s="218">
        <v>4990.0</v>
      </c>
      <c r="G1427" s="220">
        <v>43138.0</v>
      </c>
    </row>
    <row r="1428">
      <c r="A1428" s="217">
        <v>43250.41238533564</v>
      </c>
      <c r="B1428" s="218" t="s">
        <v>5184</v>
      </c>
      <c r="C1428" s="218" t="s">
        <v>4564</v>
      </c>
      <c r="D1428" s="219">
        <v>1.0</v>
      </c>
      <c r="E1428" s="218">
        <v>1995.0</v>
      </c>
      <c r="F1428" s="3" t="s">
        <v>5295</v>
      </c>
      <c r="G1428" s="220">
        <v>43102.0</v>
      </c>
    </row>
    <row r="1429">
      <c r="A1429" s="217">
        <v>43250.41896292824</v>
      </c>
      <c r="B1429" s="218" t="s">
        <v>5092</v>
      </c>
      <c r="C1429" s="218" t="s">
        <v>4559</v>
      </c>
      <c r="D1429" s="219">
        <v>1.0</v>
      </c>
      <c r="E1429" s="218">
        <v>2150.0</v>
      </c>
      <c r="F1429" s="3" t="s">
        <v>5295</v>
      </c>
      <c r="G1429" s="220">
        <v>43116.0</v>
      </c>
    </row>
    <row r="1430">
      <c r="A1430" s="217">
        <v>43250.43030603009</v>
      </c>
      <c r="B1430" s="218" t="s">
        <v>5184</v>
      </c>
      <c r="C1430" s="218" t="s">
        <v>4554</v>
      </c>
      <c r="D1430" s="219">
        <v>1.0</v>
      </c>
      <c r="E1430" s="218">
        <v>2095.0</v>
      </c>
      <c r="G1430" s="220">
        <v>43134.0</v>
      </c>
    </row>
    <row r="1431">
      <c r="A1431" s="217">
        <v>43250.450100891205</v>
      </c>
      <c r="B1431" s="218" t="s">
        <v>5184</v>
      </c>
      <c r="C1431" s="218" t="s">
        <v>4551</v>
      </c>
      <c r="D1431" s="219">
        <v>2.0</v>
      </c>
      <c r="E1431" s="218">
        <v>2095.0</v>
      </c>
      <c r="F1431" s="3" t="s">
        <v>5295</v>
      </c>
      <c r="G1431" s="220">
        <v>43136.0</v>
      </c>
    </row>
    <row r="1432">
      <c r="A1432" s="217">
        <v>43250.462134699075</v>
      </c>
      <c r="B1432" s="218" t="s">
        <v>5092</v>
      </c>
      <c r="C1432" s="218" t="s">
        <v>4515</v>
      </c>
      <c r="D1432" s="219">
        <v>1.0</v>
      </c>
      <c r="E1432" s="218">
        <v>2150.0</v>
      </c>
      <c r="G1432" s="220">
        <v>43182.0</v>
      </c>
    </row>
    <row r="1433">
      <c r="A1433" s="217">
        <v>43250.46330634259</v>
      </c>
      <c r="B1433" s="218" t="s">
        <v>5184</v>
      </c>
      <c r="C1433" s="218" t="s">
        <v>4547</v>
      </c>
      <c r="D1433" s="219">
        <v>1.0</v>
      </c>
      <c r="E1433" s="218">
        <v>2150.0</v>
      </c>
      <c r="F1433" s="3" t="s">
        <v>5295</v>
      </c>
      <c r="G1433" s="220">
        <v>43136.0</v>
      </c>
    </row>
    <row r="1434">
      <c r="A1434" s="217">
        <v>43250.4655990162</v>
      </c>
      <c r="B1434" s="218" t="s">
        <v>5184</v>
      </c>
      <c r="C1434" s="218" t="s">
        <v>4515</v>
      </c>
      <c r="D1434" s="219">
        <v>1.0</v>
      </c>
      <c r="E1434" s="218">
        <v>2150.0</v>
      </c>
      <c r="F1434" s="3" t="s">
        <v>5295</v>
      </c>
      <c r="G1434" s="220">
        <v>43173.0</v>
      </c>
    </row>
    <row r="1435">
      <c r="A1435" s="217">
        <v>43250.46846109953</v>
      </c>
      <c r="B1435" s="218" t="s">
        <v>5184</v>
      </c>
      <c r="C1435" s="218" t="s">
        <v>4538</v>
      </c>
      <c r="D1435" s="219">
        <v>1.0</v>
      </c>
      <c r="E1435" s="218">
        <v>2150.0</v>
      </c>
      <c r="F1435" s="3" t="s">
        <v>5295</v>
      </c>
      <c r="G1435" s="220">
        <v>43132.0</v>
      </c>
    </row>
    <row r="1436">
      <c r="A1436" s="217">
        <v>43250.47190001157</v>
      </c>
      <c r="B1436" s="218" t="s">
        <v>5184</v>
      </c>
      <c r="C1436" s="218" t="s">
        <v>4538</v>
      </c>
      <c r="D1436" s="219">
        <v>1.0</v>
      </c>
      <c r="E1436" s="218">
        <v>2150.0</v>
      </c>
      <c r="F1436" s="3" t="s">
        <v>5295</v>
      </c>
      <c r="G1436" s="220">
        <v>43132.0</v>
      </c>
    </row>
    <row r="1437">
      <c r="A1437" s="217">
        <v>43250.513409583335</v>
      </c>
      <c r="B1437" s="218" t="s">
        <v>5184</v>
      </c>
      <c r="C1437" s="218" t="s">
        <v>4535</v>
      </c>
      <c r="D1437" s="219">
        <v>1.0</v>
      </c>
      <c r="E1437" s="218">
        <v>2495.0</v>
      </c>
      <c r="F1437" s="3" t="s">
        <v>5295</v>
      </c>
      <c r="G1437" s="220">
        <v>43120.0</v>
      </c>
    </row>
    <row r="1438">
      <c r="A1438" s="217">
        <v>43250.51443090278</v>
      </c>
      <c r="B1438" s="218" t="s">
        <v>5184</v>
      </c>
      <c r="C1438" s="218" t="s">
        <v>4524</v>
      </c>
      <c r="D1438" s="219">
        <v>1.0</v>
      </c>
      <c r="E1438" s="218">
        <v>1895.0</v>
      </c>
      <c r="F1438" s="3" t="s">
        <v>5295</v>
      </c>
      <c r="G1438" s="220">
        <v>43138.0</v>
      </c>
    </row>
    <row r="1439">
      <c r="A1439" s="217">
        <v>43250.51551320602</v>
      </c>
      <c r="B1439" s="218" t="s">
        <v>5184</v>
      </c>
      <c r="C1439" s="218" t="s">
        <v>4508</v>
      </c>
      <c r="D1439" s="219">
        <v>1.0</v>
      </c>
      <c r="E1439" s="218">
        <v>1995.0</v>
      </c>
      <c r="F1439" s="3" t="s">
        <v>5293</v>
      </c>
      <c r="G1439" s="220">
        <v>43180.0</v>
      </c>
    </row>
    <row r="1440">
      <c r="A1440" s="217">
        <v>43250.52949101852</v>
      </c>
      <c r="B1440" s="218" t="s">
        <v>5184</v>
      </c>
      <c r="C1440" s="218" t="s">
        <v>4516</v>
      </c>
      <c r="D1440" s="219">
        <v>1.0</v>
      </c>
      <c r="E1440" s="218">
        <v>1895.0</v>
      </c>
      <c r="F1440" s="3" t="s">
        <v>5293</v>
      </c>
      <c r="G1440" s="220">
        <v>43125.0</v>
      </c>
    </row>
    <row r="1441">
      <c r="A1441" s="217">
        <v>43250.53048918981</v>
      </c>
      <c r="B1441" s="218" t="s">
        <v>5184</v>
      </c>
      <c r="C1441" s="218" t="s">
        <v>4502</v>
      </c>
      <c r="D1441" s="219">
        <v>1.0</v>
      </c>
      <c r="E1441" s="218">
        <v>1850.0</v>
      </c>
      <c r="F1441" s="3" t="s">
        <v>5293</v>
      </c>
      <c r="G1441" s="220">
        <v>43227.0</v>
      </c>
    </row>
    <row r="1442">
      <c r="A1442" s="217">
        <v>43250.5320631713</v>
      </c>
      <c r="B1442" s="218" t="s">
        <v>5184</v>
      </c>
      <c r="C1442" s="218" t="s">
        <v>4500</v>
      </c>
      <c r="D1442" s="219">
        <v>2.0</v>
      </c>
      <c r="E1442" s="218">
        <v>1850.0</v>
      </c>
      <c r="F1442" s="3" t="s">
        <v>5293</v>
      </c>
      <c r="G1442" s="220">
        <v>43199.0</v>
      </c>
    </row>
    <row r="1443">
      <c r="A1443" s="217">
        <v>43250.53656248843</v>
      </c>
      <c r="B1443" s="218" t="s">
        <v>5184</v>
      </c>
      <c r="C1443" s="218" t="s">
        <v>5262</v>
      </c>
      <c r="D1443" s="219">
        <v>1.0</v>
      </c>
      <c r="E1443" s="218">
        <v>10500.0</v>
      </c>
      <c r="F1443" s="3" t="s">
        <v>5246</v>
      </c>
      <c r="G1443" s="220">
        <v>43125.0</v>
      </c>
    </row>
    <row r="1444">
      <c r="A1444" s="217">
        <v>43250.538316238424</v>
      </c>
      <c r="B1444" s="218" t="s">
        <v>5184</v>
      </c>
      <c r="C1444" s="218" t="s">
        <v>5263</v>
      </c>
      <c r="D1444" s="219">
        <v>1.0</v>
      </c>
      <c r="E1444" s="218">
        <v>10000.0</v>
      </c>
      <c r="F1444" s="3" t="s">
        <v>5246</v>
      </c>
      <c r="G1444" s="220">
        <v>43125.0</v>
      </c>
    </row>
    <row r="1445">
      <c r="A1445" s="217">
        <v>43250.53984652778</v>
      </c>
      <c r="B1445" s="218" t="s">
        <v>5184</v>
      </c>
      <c r="C1445" s="218" t="s">
        <v>5271</v>
      </c>
      <c r="D1445" s="219">
        <v>1.0</v>
      </c>
      <c r="E1445" s="218">
        <v>10000.0</v>
      </c>
      <c r="F1445" s="3" t="s">
        <v>5246</v>
      </c>
      <c r="G1445" s="220">
        <v>43125.0</v>
      </c>
    </row>
    <row r="1446">
      <c r="A1446" s="217">
        <v>43250.54254040509</v>
      </c>
      <c r="B1446" s="218" t="s">
        <v>5184</v>
      </c>
      <c r="C1446" s="218" t="s">
        <v>5273</v>
      </c>
      <c r="D1446" s="219">
        <v>1.0</v>
      </c>
      <c r="E1446" s="218">
        <v>8500.0</v>
      </c>
      <c r="F1446" s="3" t="s">
        <v>5246</v>
      </c>
      <c r="G1446" s="220">
        <v>43125.0</v>
      </c>
    </row>
    <row r="1447">
      <c r="A1447" s="217">
        <v>43250.54703665509</v>
      </c>
      <c r="B1447" s="218" t="s">
        <v>5184</v>
      </c>
      <c r="C1447" s="218" t="s">
        <v>5276</v>
      </c>
      <c r="D1447" s="219">
        <v>1.0</v>
      </c>
      <c r="E1447" s="218">
        <v>8500.0</v>
      </c>
      <c r="F1447" s="3" t="s">
        <v>5246</v>
      </c>
      <c r="G1447" s="220">
        <v>43125.0</v>
      </c>
    </row>
    <row r="1448">
      <c r="A1448" s="217">
        <v>43250.55464219907</v>
      </c>
      <c r="B1448" s="218" t="s">
        <v>5184</v>
      </c>
      <c r="C1448" s="218" t="s">
        <v>5245</v>
      </c>
      <c r="D1448" s="219">
        <v>1.0</v>
      </c>
      <c r="E1448" s="218">
        <v>10500.0</v>
      </c>
      <c r="F1448" s="3" t="s">
        <v>5246</v>
      </c>
      <c r="G1448" s="220">
        <v>43125.0</v>
      </c>
    </row>
    <row r="1449">
      <c r="A1449" s="217">
        <v>43250.560407337965</v>
      </c>
      <c r="B1449" s="218" t="s">
        <v>5184</v>
      </c>
      <c r="C1449" s="218" t="s">
        <v>5270</v>
      </c>
      <c r="D1449" s="219">
        <v>1.0</v>
      </c>
      <c r="E1449" s="218">
        <v>12500.0</v>
      </c>
      <c r="F1449" s="3" t="s">
        <v>5246</v>
      </c>
      <c r="G1449" s="220">
        <v>43125.0</v>
      </c>
    </row>
    <row r="1450">
      <c r="A1450" s="217">
        <v>43250.561968344904</v>
      </c>
      <c r="B1450" s="218" t="s">
        <v>5184</v>
      </c>
      <c r="C1450" s="218" t="s">
        <v>5258</v>
      </c>
      <c r="D1450" s="219">
        <v>1.0</v>
      </c>
      <c r="E1450" s="218">
        <v>11500.0</v>
      </c>
      <c r="F1450" s="3" t="s">
        <v>5246</v>
      </c>
      <c r="G1450" s="220">
        <v>43125.0</v>
      </c>
    </row>
    <row r="1451">
      <c r="A1451" s="217">
        <v>43250.56321616899</v>
      </c>
      <c r="B1451" s="218" t="s">
        <v>5184</v>
      </c>
      <c r="C1451" s="218" t="s">
        <v>5267</v>
      </c>
      <c r="D1451" s="219">
        <v>1.0</v>
      </c>
      <c r="E1451" s="218">
        <v>13000.0</v>
      </c>
      <c r="F1451" s="3" t="s">
        <v>5246</v>
      </c>
      <c r="G1451" s="220">
        <v>43125.0</v>
      </c>
    </row>
    <row r="1452">
      <c r="A1452" s="217">
        <v>43250.56442702546</v>
      </c>
      <c r="B1452" s="218" t="s">
        <v>5184</v>
      </c>
      <c r="C1452" s="218" t="s">
        <v>5250</v>
      </c>
      <c r="D1452" s="219">
        <v>1.0</v>
      </c>
      <c r="E1452" s="218">
        <v>8500.0</v>
      </c>
      <c r="F1452" s="3" t="s">
        <v>5246</v>
      </c>
      <c r="G1452" s="220">
        <v>43125.0</v>
      </c>
    </row>
    <row r="1453">
      <c r="A1453" s="217">
        <v>43250.56586127315</v>
      </c>
      <c r="B1453" s="218" t="s">
        <v>5184</v>
      </c>
      <c r="C1453" s="218" t="s">
        <v>5248</v>
      </c>
      <c r="D1453" s="219">
        <v>1.0</v>
      </c>
      <c r="E1453" s="218">
        <v>7500.0</v>
      </c>
      <c r="F1453" s="3" t="s">
        <v>5246</v>
      </c>
      <c r="G1453" s="220">
        <v>43125.0</v>
      </c>
    </row>
    <row r="1454">
      <c r="A1454" s="217">
        <v>43250.56827693287</v>
      </c>
      <c r="B1454" s="218" t="s">
        <v>5184</v>
      </c>
      <c r="C1454" s="218" t="s">
        <v>6383</v>
      </c>
      <c r="D1454" s="219">
        <v>1.0</v>
      </c>
      <c r="E1454" s="218">
        <v>11990.0</v>
      </c>
      <c r="F1454" s="3" t="s">
        <v>5246</v>
      </c>
      <c r="G1454" s="220">
        <v>43125.0</v>
      </c>
    </row>
    <row r="1455">
      <c r="A1455" s="217">
        <v>43250.56957341435</v>
      </c>
      <c r="B1455" s="218" t="s">
        <v>5184</v>
      </c>
      <c r="C1455" s="218" t="s">
        <v>5257</v>
      </c>
      <c r="D1455" s="219">
        <v>1.0</v>
      </c>
      <c r="E1455" s="218">
        <v>8500.0</v>
      </c>
      <c r="F1455" s="3" t="s">
        <v>5246</v>
      </c>
      <c r="G1455" s="220">
        <v>43125.0</v>
      </c>
    </row>
    <row r="1456">
      <c r="A1456" s="217">
        <v>43250.57204518518</v>
      </c>
      <c r="B1456" s="218" t="s">
        <v>5184</v>
      </c>
      <c r="C1456" s="218" t="s">
        <v>5264</v>
      </c>
      <c r="D1456" s="219">
        <v>1.0</v>
      </c>
      <c r="E1456" s="218">
        <v>12000.0</v>
      </c>
      <c r="F1456" s="3" t="s">
        <v>5246</v>
      </c>
      <c r="G1456" s="220">
        <v>43125.0</v>
      </c>
    </row>
    <row r="1457">
      <c r="A1457" s="217">
        <v>43250.610880277774</v>
      </c>
      <c r="B1457" s="218" t="s">
        <v>5184</v>
      </c>
      <c r="C1457" s="218" t="s">
        <v>5251</v>
      </c>
      <c r="D1457" s="219">
        <v>1.0</v>
      </c>
      <c r="E1457" s="218">
        <v>11900.0</v>
      </c>
      <c r="F1457" s="3" t="s">
        <v>5246</v>
      </c>
      <c r="G1457" s="220">
        <v>43125.0</v>
      </c>
    </row>
    <row r="1458">
      <c r="A1458" s="217">
        <v>43251.424775625</v>
      </c>
      <c r="B1458" s="218" t="s">
        <v>5184</v>
      </c>
      <c r="C1458" s="218" t="s">
        <v>5490</v>
      </c>
      <c r="D1458" s="219">
        <v>1.0</v>
      </c>
      <c r="E1458" s="218">
        <v>4990.0</v>
      </c>
      <c r="G1458" s="220">
        <v>43183.0</v>
      </c>
    </row>
    <row r="1459">
      <c r="A1459" s="217">
        <v>43251.45910436343</v>
      </c>
      <c r="B1459" s="218" t="s">
        <v>5184</v>
      </c>
      <c r="C1459" s="218" t="s">
        <v>2136</v>
      </c>
      <c r="D1459" s="219">
        <v>1.0</v>
      </c>
      <c r="E1459" s="218">
        <v>4990.0</v>
      </c>
      <c r="G1459" s="220">
        <v>43181.0</v>
      </c>
    </row>
    <row r="1460">
      <c r="A1460" s="217">
        <v>43251.48205077546</v>
      </c>
      <c r="B1460" s="218" t="s">
        <v>5184</v>
      </c>
      <c r="C1460" s="218" t="s">
        <v>2151</v>
      </c>
      <c r="D1460" s="219">
        <v>1.0</v>
      </c>
      <c r="E1460" s="218">
        <v>4990.0</v>
      </c>
      <c r="G1460" s="220">
        <v>43199.0</v>
      </c>
    </row>
    <row r="1461">
      <c r="A1461" s="217">
        <v>43251.50521081018</v>
      </c>
      <c r="B1461" s="218" t="s">
        <v>5184</v>
      </c>
      <c r="C1461" s="218" t="s">
        <v>5704</v>
      </c>
      <c r="D1461" s="219">
        <v>1.0</v>
      </c>
      <c r="E1461" s="218">
        <v>4590.0</v>
      </c>
      <c r="G1461" s="220">
        <v>43182.0</v>
      </c>
    </row>
    <row r="1462">
      <c r="A1462" s="217">
        <v>43251.78756107639</v>
      </c>
      <c r="B1462" s="218" t="s">
        <v>5092</v>
      </c>
      <c r="C1462" s="218" t="s">
        <v>6386</v>
      </c>
      <c r="D1462" s="219">
        <v>1.0</v>
      </c>
      <c r="E1462" s="218">
        <v>6490.0</v>
      </c>
      <c r="G1462" s="220">
        <v>43251.0</v>
      </c>
    </row>
    <row r="1463">
      <c r="A1463" s="217">
        <v>43251.78864196759</v>
      </c>
      <c r="B1463" s="218" t="s">
        <v>5092</v>
      </c>
      <c r="C1463" s="218" t="s">
        <v>6388</v>
      </c>
      <c r="D1463" s="219">
        <v>1.0</v>
      </c>
      <c r="E1463" s="218">
        <v>5290.0</v>
      </c>
      <c r="G1463" s="220">
        <v>43251.0</v>
      </c>
    </row>
    <row r="1464">
      <c r="A1464" s="217">
        <v>43251.79005416667</v>
      </c>
      <c r="B1464" s="218" t="s">
        <v>5092</v>
      </c>
      <c r="C1464" s="218" t="s">
        <v>6390</v>
      </c>
      <c r="D1464" s="219">
        <v>1.0</v>
      </c>
      <c r="E1464" s="218">
        <v>4790.0</v>
      </c>
      <c r="G1464" s="220">
        <v>43251.0</v>
      </c>
    </row>
    <row r="1465">
      <c r="A1465" s="217">
        <v>43251.79113809028</v>
      </c>
      <c r="B1465" s="218" t="s">
        <v>5092</v>
      </c>
      <c r="C1465" s="218" t="s">
        <v>5419</v>
      </c>
      <c r="D1465" s="219">
        <v>1.0</v>
      </c>
      <c r="E1465" s="218">
        <v>4790.0</v>
      </c>
      <c r="G1465" s="220">
        <v>43251.0</v>
      </c>
    </row>
    <row r="1466">
      <c r="A1466" s="217">
        <v>43251.7922080787</v>
      </c>
      <c r="B1466" s="218" t="s">
        <v>5092</v>
      </c>
      <c r="C1466" s="218" t="s">
        <v>6392</v>
      </c>
      <c r="D1466" s="219">
        <v>1.0</v>
      </c>
      <c r="E1466" s="218">
        <v>5990.0</v>
      </c>
      <c r="G1466" s="220">
        <v>43251.0</v>
      </c>
    </row>
    <row r="1467">
      <c r="A1467" s="217">
        <v>43258.65723327546</v>
      </c>
      <c r="B1467" s="218" t="s">
        <v>5184</v>
      </c>
      <c r="C1467" s="218" t="s">
        <v>5786</v>
      </c>
      <c r="D1467" s="219">
        <v>1.0</v>
      </c>
      <c r="E1467" s="218">
        <v>300.0</v>
      </c>
      <c r="F1467" s="3" t="s">
        <v>5787</v>
      </c>
      <c r="G1467" s="220">
        <v>43247.0</v>
      </c>
    </row>
    <row r="1468">
      <c r="A1468" s="217">
        <v>43258.657878171296</v>
      </c>
      <c r="B1468" s="218" t="s">
        <v>5184</v>
      </c>
      <c r="C1468" s="218" t="s">
        <v>5786</v>
      </c>
      <c r="D1468" s="219">
        <v>1.0</v>
      </c>
      <c r="E1468" s="218">
        <v>300.0</v>
      </c>
      <c r="F1468" s="3" t="s">
        <v>5787</v>
      </c>
      <c r="G1468" s="220">
        <v>43247.0</v>
      </c>
    </row>
    <row r="1469">
      <c r="A1469" s="217">
        <v>43258.658595138884</v>
      </c>
      <c r="B1469" s="218" t="s">
        <v>5184</v>
      </c>
      <c r="C1469" s="218" t="s">
        <v>5818</v>
      </c>
      <c r="D1469" s="219">
        <v>1.0</v>
      </c>
      <c r="E1469" s="218">
        <v>300.0</v>
      </c>
      <c r="F1469" s="3" t="s">
        <v>5787</v>
      </c>
      <c r="G1469" s="220">
        <v>43247.0</v>
      </c>
    </row>
    <row r="1470">
      <c r="A1470" s="217">
        <v>43258.660418831016</v>
      </c>
      <c r="B1470" s="218" t="s">
        <v>5184</v>
      </c>
      <c r="C1470" s="218" t="s">
        <v>5845</v>
      </c>
      <c r="D1470" s="219">
        <v>1.0</v>
      </c>
      <c r="E1470" s="218">
        <v>500.0</v>
      </c>
      <c r="F1470" s="3" t="s">
        <v>5787</v>
      </c>
      <c r="G1470" s="220">
        <v>43248.0</v>
      </c>
    </row>
    <row r="1471">
      <c r="A1471" s="217">
        <v>43258.66126065972</v>
      </c>
      <c r="B1471" s="218" t="s">
        <v>5184</v>
      </c>
      <c r="C1471" s="218" t="s">
        <v>6397</v>
      </c>
      <c r="D1471" s="219">
        <v>1.0</v>
      </c>
      <c r="E1471" s="218">
        <v>2100.0</v>
      </c>
      <c r="F1471" s="3" t="s">
        <v>5833</v>
      </c>
      <c r="G1471" s="220">
        <v>43249.0</v>
      </c>
    </row>
    <row r="1472">
      <c r="A1472" s="217">
        <v>43258.66221594907</v>
      </c>
      <c r="B1472" s="218" t="s">
        <v>5184</v>
      </c>
      <c r="C1472" s="218" t="s">
        <v>5786</v>
      </c>
      <c r="D1472" s="219">
        <v>1.0</v>
      </c>
      <c r="E1472" s="218">
        <v>300.0</v>
      </c>
      <c r="F1472" s="3" t="s">
        <v>5787</v>
      </c>
      <c r="G1472" s="220">
        <v>43249.0</v>
      </c>
    </row>
    <row r="1473">
      <c r="A1473" s="217">
        <v>43258.66309775463</v>
      </c>
      <c r="B1473" s="218" t="s">
        <v>5184</v>
      </c>
      <c r="C1473" s="218" t="s">
        <v>5818</v>
      </c>
      <c r="D1473" s="219">
        <v>1.0</v>
      </c>
      <c r="E1473" s="218">
        <v>300.0</v>
      </c>
      <c r="F1473" s="3" t="s">
        <v>5787</v>
      </c>
      <c r="G1473" s="220">
        <v>43249.0</v>
      </c>
    </row>
    <row r="1474">
      <c r="A1474" s="217">
        <v>43258.665028773146</v>
      </c>
      <c r="B1474" s="218" t="s">
        <v>5184</v>
      </c>
      <c r="C1474" s="218" t="s">
        <v>5782</v>
      </c>
      <c r="D1474" s="219">
        <v>1.0</v>
      </c>
      <c r="E1474" s="218">
        <v>400.0</v>
      </c>
      <c r="F1474" s="3" t="s">
        <v>5787</v>
      </c>
      <c r="G1474" s="220">
        <v>43249.0</v>
      </c>
    </row>
    <row r="1475">
      <c r="A1475" s="217">
        <v>43258.66588114583</v>
      </c>
      <c r="B1475" s="218" t="s">
        <v>5184</v>
      </c>
      <c r="C1475" s="218" t="s">
        <v>5786</v>
      </c>
      <c r="D1475" s="219">
        <v>1.0</v>
      </c>
      <c r="E1475" s="218">
        <v>300.0</v>
      </c>
      <c r="F1475" s="3" t="s">
        <v>5787</v>
      </c>
      <c r="G1475" s="220">
        <v>43249.0</v>
      </c>
    </row>
    <row r="1476">
      <c r="A1476" s="217">
        <v>43258.66686408565</v>
      </c>
      <c r="B1476" s="218" t="s">
        <v>5184</v>
      </c>
      <c r="C1476" s="218" t="s">
        <v>5786</v>
      </c>
      <c r="D1476" s="219">
        <v>1.0</v>
      </c>
      <c r="E1476" s="218">
        <v>300.0</v>
      </c>
      <c r="F1476" s="3" t="s">
        <v>5787</v>
      </c>
      <c r="G1476" s="220">
        <v>43251.0</v>
      </c>
    </row>
    <row r="1477">
      <c r="A1477" s="217">
        <v>43258.66764060185</v>
      </c>
      <c r="B1477" s="218" t="s">
        <v>5184</v>
      </c>
      <c r="C1477" s="218" t="s">
        <v>5804</v>
      </c>
      <c r="D1477" s="219">
        <v>1.0</v>
      </c>
      <c r="E1477" s="218">
        <v>300.0</v>
      </c>
      <c r="F1477" s="3" t="s">
        <v>5787</v>
      </c>
      <c r="G1477" s="220">
        <v>43251.0</v>
      </c>
    </row>
    <row r="1478">
      <c r="A1478" s="217">
        <v>43258.67847233797</v>
      </c>
      <c r="B1478" s="218" t="s">
        <v>5184</v>
      </c>
      <c r="C1478" s="218" t="s">
        <v>5166</v>
      </c>
      <c r="D1478" s="219">
        <v>1.0</v>
      </c>
      <c r="E1478" s="218">
        <v>7490.0</v>
      </c>
      <c r="F1478" s="3" t="s">
        <v>5212</v>
      </c>
      <c r="G1478" s="220">
        <v>43246.0</v>
      </c>
    </row>
    <row r="1479">
      <c r="A1479" s="217">
        <v>43258.67947758102</v>
      </c>
      <c r="B1479" s="218" t="s">
        <v>5184</v>
      </c>
      <c r="C1479" s="218" t="s">
        <v>6209</v>
      </c>
      <c r="D1479" s="219">
        <v>1.0</v>
      </c>
      <c r="E1479" s="218">
        <v>7490.0</v>
      </c>
      <c r="F1479" s="3" t="s">
        <v>5212</v>
      </c>
      <c r="G1479" s="220">
        <v>43246.0</v>
      </c>
    </row>
    <row r="1480">
      <c r="A1480" s="217">
        <v>43258.68160079861</v>
      </c>
      <c r="B1480" s="218" t="s">
        <v>5184</v>
      </c>
      <c r="C1480" s="218" t="s">
        <v>4543</v>
      </c>
      <c r="D1480" s="219">
        <v>1.0</v>
      </c>
      <c r="E1480" s="218">
        <v>2150.0</v>
      </c>
      <c r="F1480" s="3" t="s">
        <v>5295</v>
      </c>
      <c r="G1480" s="220">
        <v>43246.0</v>
      </c>
    </row>
    <row r="1481">
      <c r="A1481" s="217">
        <v>43258.68253986111</v>
      </c>
      <c r="B1481" s="218" t="s">
        <v>5184</v>
      </c>
      <c r="C1481" s="218" t="s">
        <v>4631</v>
      </c>
      <c r="D1481" s="219">
        <v>1.0</v>
      </c>
      <c r="E1481" s="218">
        <v>1295.0</v>
      </c>
      <c r="F1481" s="3" t="s">
        <v>5298</v>
      </c>
      <c r="G1481" s="220">
        <v>43248.0</v>
      </c>
    </row>
    <row r="1482">
      <c r="A1482" s="217">
        <v>43258.68986849537</v>
      </c>
      <c r="B1482" s="218" t="s">
        <v>5184</v>
      </c>
      <c r="C1482" s="218" t="s">
        <v>4574</v>
      </c>
      <c r="D1482" s="219">
        <v>1.0</v>
      </c>
      <c r="E1482" s="218">
        <v>1295.0</v>
      </c>
      <c r="F1482" s="3" t="s">
        <v>5298</v>
      </c>
      <c r="G1482" s="220">
        <v>43253.0</v>
      </c>
    </row>
    <row r="1483">
      <c r="A1483" s="217">
        <v>43258.69059918982</v>
      </c>
      <c r="B1483" s="218" t="s">
        <v>5184</v>
      </c>
      <c r="C1483" s="218" t="s">
        <v>5202</v>
      </c>
      <c r="D1483" s="219">
        <v>1.0</v>
      </c>
      <c r="E1483" s="218">
        <v>4790.0</v>
      </c>
      <c r="G1483" s="220">
        <v>43253.0</v>
      </c>
    </row>
    <row r="1484">
      <c r="A1484" s="217">
        <v>43258.69189864583</v>
      </c>
      <c r="B1484" s="218" t="s">
        <v>5184</v>
      </c>
      <c r="C1484" s="218" t="s">
        <v>6388</v>
      </c>
      <c r="D1484" s="219">
        <v>1.0</v>
      </c>
      <c r="E1484" s="24"/>
      <c r="G1484" s="220">
        <v>43254.0</v>
      </c>
    </row>
    <row r="1485">
      <c r="A1485" s="217">
        <v>43258.69287549768</v>
      </c>
      <c r="B1485" s="218" t="s">
        <v>5184</v>
      </c>
      <c r="C1485" s="218" t="s">
        <v>6408</v>
      </c>
      <c r="D1485" s="219">
        <v>1.0</v>
      </c>
      <c r="E1485" s="24"/>
      <c r="G1485" s="220">
        <v>43254.0</v>
      </c>
    </row>
    <row r="1486">
      <c r="A1486" s="217">
        <v>43258.69397836806</v>
      </c>
      <c r="B1486" s="218" t="s">
        <v>5184</v>
      </c>
      <c r="C1486" s="218" t="s">
        <v>6409</v>
      </c>
      <c r="D1486" s="219">
        <v>1.0</v>
      </c>
      <c r="E1486" s="24"/>
      <c r="G1486" s="220">
        <v>43254.0</v>
      </c>
    </row>
    <row r="1487">
      <c r="A1487" s="217">
        <v>43258.69492488426</v>
      </c>
      <c r="B1487" s="218" t="s">
        <v>5184</v>
      </c>
      <c r="C1487" s="218" t="s">
        <v>6410</v>
      </c>
      <c r="D1487" s="219">
        <v>1.0</v>
      </c>
      <c r="E1487" s="24"/>
      <c r="G1487" s="220">
        <v>43254.0</v>
      </c>
    </row>
    <row r="1488">
      <c r="A1488" s="217">
        <v>43258.69583498842</v>
      </c>
      <c r="B1488" s="218" t="s">
        <v>5184</v>
      </c>
      <c r="C1488" s="218" t="s">
        <v>6411</v>
      </c>
      <c r="D1488" s="219">
        <v>1.0</v>
      </c>
      <c r="E1488" s="24"/>
      <c r="G1488" s="220">
        <v>43254.0</v>
      </c>
    </row>
    <row r="1489">
      <c r="A1489" s="217">
        <v>43258.69692236111</v>
      </c>
      <c r="B1489" s="218" t="s">
        <v>5184</v>
      </c>
      <c r="C1489" s="218" t="s">
        <v>6412</v>
      </c>
      <c r="D1489" s="219">
        <v>1.0</v>
      </c>
      <c r="E1489" s="24"/>
      <c r="G1489" s="220">
        <v>43254.0</v>
      </c>
    </row>
    <row r="1490">
      <c r="A1490" s="217">
        <v>43258.6978758912</v>
      </c>
      <c r="B1490" s="218" t="s">
        <v>5184</v>
      </c>
      <c r="C1490" s="218" t="s">
        <v>6413</v>
      </c>
      <c r="D1490" s="219">
        <v>1.0</v>
      </c>
      <c r="E1490" s="24"/>
      <c r="G1490" s="220">
        <v>43254.0</v>
      </c>
    </row>
    <row r="1491">
      <c r="A1491" s="217">
        <v>43258.698693495375</v>
      </c>
      <c r="B1491" s="218" t="s">
        <v>5184</v>
      </c>
      <c r="C1491" s="218" t="s">
        <v>6414</v>
      </c>
      <c r="D1491" s="219">
        <v>1.0</v>
      </c>
      <c r="E1491" s="24"/>
      <c r="G1491" s="220">
        <v>43254.0</v>
      </c>
    </row>
    <row r="1492">
      <c r="A1492" s="217">
        <v>43258.70075939815</v>
      </c>
      <c r="B1492" s="218" t="s">
        <v>5184</v>
      </c>
      <c r="C1492" s="218" t="s">
        <v>5145</v>
      </c>
      <c r="D1492" s="219">
        <v>1.0</v>
      </c>
      <c r="E1492" s="218">
        <v>6990.0</v>
      </c>
      <c r="F1492" s="3" t="s">
        <v>5135</v>
      </c>
      <c r="G1492" s="220">
        <v>43252.0</v>
      </c>
    </row>
    <row r="1493">
      <c r="A1493" s="217">
        <v>43259.690767418986</v>
      </c>
      <c r="B1493" s="218" t="s">
        <v>5184</v>
      </c>
      <c r="C1493" s="218" t="s">
        <v>5845</v>
      </c>
      <c r="D1493" s="219">
        <v>1.0</v>
      </c>
      <c r="E1493" s="218">
        <v>500.0</v>
      </c>
      <c r="F1493" s="3" t="s">
        <v>5787</v>
      </c>
      <c r="G1493" s="220">
        <v>43252.0</v>
      </c>
    </row>
    <row r="1494">
      <c r="A1494" s="217">
        <v>43259.691916111115</v>
      </c>
      <c r="B1494" s="218" t="s">
        <v>5184</v>
      </c>
      <c r="C1494" s="218" t="s">
        <v>5786</v>
      </c>
      <c r="D1494" s="219">
        <v>1.0</v>
      </c>
      <c r="E1494" s="218">
        <v>300.0</v>
      </c>
      <c r="F1494" s="3" t="s">
        <v>5787</v>
      </c>
      <c r="G1494" s="220">
        <v>43252.0</v>
      </c>
    </row>
    <row r="1495">
      <c r="A1495" s="217">
        <v>43259.693770185186</v>
      </c>
      <c r="B1495" s="218" t="s">
        <v>5184</v>
      </c>
      <c r="C1495" s="218" t="s">
        <v>5786</v>
      </c>
      <c r="D1495" s="219">
        <v>1.0</v>
      </c>
      <c r="E1495" s="218">
        <v>300.0</v>
      </c>
      <c r="F1495" s="3" t="s">
        <v>5787</v>
      </c>
      <c r="G1495" s="220">
        <v>43252.0</v>
      </c>
    </row>
    <row r="1496">
      <c r="A1496" s="217">
        <v>43259.69485190972</v>
      </c>
      <c r="B1496" s="218" t="s">
        <v>5184</v>
      </c>
      <c r="C1496" s="218" t="s">
        <v>5789</v>
      </c>
      <c r="D1496" s="219">
        <v>1.0</v>
      </c>
      <c r="E1496" s="218">
        <v>400.0</v>
      </c>
      <c r="F1496" s="3" t="s">
        <v>5787</v>
      </c>
      <c r="G1496" s="220">
        <v>43253.0</v>
      </c>
    </row>
    <row r="1497">
      <c r="A1497" s="217">
        <v>43259.69554418982</v>
      </c>
      <c r="B1497" s="218" t="s">
        <v>5184</v>
      </c>
      <c r="C1497" s="218" t="s">
        <v>5786</v>
      </c>
      <c r="D1497" s="219">
        <v>1.0</v>
      </c>
      <c r="E1497" s="218">
        <v>300.0</v>
      </c>
      <c r="F1497" s="3" t="s">
        <v>5787</v>
      </c>
      <c r="G1497" s="220">
        <v>43253.0</v>
      </c>
    </row>
    <row r="1498">
      <c r="A1498" s="217">
        <v>43259.69713011574</v>
      </c>
      <c r="B1498" s="218" t="s">
        <v>5184</v>
      </c>
      <c r="C1498" s="218" t="s">
        <v>5786</v>
      </c>
      <c r="D1498" s="219">
        <v>1.0</v>
      </c>
      <c r="E1498" s="218">
        <v>300.0</v>
      </c>
      <c r="F1498" s="3" t="s">
        <v>5787</v>
      </c>
      <c r="G1498" s="220">
        <v>43255.0</v>
      </c>
    </row>
    <row r="1499">
      <c r="A1499" s="217">
        <v>43259.70060418981</v>
      </c>
      <c r="B1499" s="218" t="s">
        <v>5184</v>
      </c>
      <c r="C1499" s="218" t="s">
        <v>5789</v>
      </c>
      <c r="D1499" s="219">
        <v>1.0</v>
      </c>
      <c r="E1499" s="218">
        <v>400.0</v>
      </c>
      <c r="F1499" s="3" t="s">
        <v>5787</v>
      </c>
      <c r="G1499" s="220">
        <v>43255.0</v>
      </c>
    </row>
    <row r="1500">
      <c r="A1500" s="217">
        <v>43259.701361203704</v>
      </c>
      <c r="B1500" s="218" t="s">
        <v>5184</v>
      </c>
      <c r="C1500" s="218" t="s">
        <v>5789</v>
      </c>
      <c r="D1500" s="219">
        <v>1.0</v>
      </c>
      <c r="E1500" s="218">
        <v>400.0</v>
      </c>
      <c r="F1500" s="3" t="s">
        <v>5787</v>
      </c>
      <c r="G1500" s="220">
        <v>43255.0</v>
      </c>
    </row>
    <row r="1501">
      <c r="A1501" s="217">
        <v>43259.707463009254</v>
      </c>
      <c r="B1501" s="218" t="s">
        <v>5184</v>
      </c>
      <c r="C1501" s="218" t="s">
        <v>5789</v>
      </c>
      <c r="D1501" s="219">
        <v>1.0</v>
      </c>
      <c r="E1501" s="218">
        <v>400.0</v>
      </c>
      <c r="F1501" s="3" t="s">
        <v>5787</v>
      </c>
      <c r="G1501" s="220">
        <v>43256.0</v>
      </c>
    </row>
    <row r="1502">
      <c r="A1502" s="217">
        <v>43259.70944</v>
      </c>
      <c r="B1502" s="218" t="s">
        <v>5184</v>
      </c>
      <c r="C1502" s="218" t="s">
        <v>5786</v>
      </c>
      <c r="D1502" s="219">
        <v>1.0</v>
      </c>
      <c r="E1502" s="218">
        <v>300.0</v>
      </c>
      <c r="F1502" s="3" t="s">
        <v>5787</v>
      </c>
      <c r="G1502" s="220">
        <v>43256.0</v>
      </c>
    </row>
    <row r="1503">
      <c r="A1503" s="217">
        <v>43259.7106119213</v>
      </c>
      <c r="B1503" s="218" t="s">
        <v>5184</v>
      </c>
      <c r="C1503" s="218" t="s">
        <v>6422</v>
      </c>
      <c r="D1503" s="219">
        <v>1.0</v>
      </c>
      <c r="E1503" s="218">
        <v>2500.0</v>
      </c>
      <c r="F1503" s="3" t="s">
        <v>5833</v>
      </c>
      <c r="G1503" s="220">
        <v>43257.0</v>
      </c>
    </row>
    <row r="1504">
      <c r="A1504" s="217">
        <v>43259.71137127315</v>
      </c>
      <c r="B1504" s="218" t="s">
        <v>5184</v>
      </c>
      <c r="C1504" s="218" t="s">
        <v>5845</v>
      </c>
      <c r="D1504" s="219">
        <v>1.0</v>
      </c>
      <c r="E1504" s="218">
        <v>500.0</v>
      </c>
      <c r="F1504" s="3" t="s">
        <v>5787</v>
      </c>
      <c r="G1504" s="220">
        <v>43257.0</v>
      </c>
    </row>
    <row r="1505">
      <c r="A1505" s="217">
        <v>43259.71224204861</v>
      </c>
      <c r="B1505" s="218" t="s">
        <v>5184</v>
      </c>
      <c r="C1505" s="218" t="s">
        <v>5818</v>
      </c>
      <c r="D1505" s="219">
        <v>1.0</v>
      </c>
      <c r="E1505" s="218">
        <v>300.0</v>
      </c>
      <c r="F1505" s="3" t="s">
        <v>5787</v>
      </c>
      <c r="G1505" s="220">
        <v>43257.0</v>
      </c>
    </row>
    <row r="1506">
      <c r="A1506" s="217">
        <v>43259.71349219907</v>
      </c>
      <c r="B1506" s="218" t="s">
        <v>5184</v>
      </c>
      <c r="C1506" s="218" t="s">
        <v>5782</v>
      </c>
      <c r="D1506" s="219">
        <v>1.0</v>
      </c>
      <c r="E1506" s="218">
        <v>400.0</v>
      </c>
      <c r="F1506" s="3" t="s">
        <v>5787</v>
      </c>
      <c r="G1506" s="220">
        <v>43258.0</v>
      </c>
    </row>
    <row r="1507">
      <c r="A1507" s="217">
        <v>43259.71429521991</v>
      </c>
      <c r="B1507" s="218" t="s">
        <v>5184</v>
      </c>
      <c r="C1507" s="218" t="s">
        <v>5789</v>
      </c>
      <c r="D1507" s="219">
        <v>1.0</v>
      </c>
      <c r="E1507" s="218">
        <v>400.0</v>
      </c>
      <c r="F1507" s="3" t="s">
        <v>5787</v>
      </c>
      <c r="G1507" s="220">
        <v>43258.0</v>
      </c>
    </row>
    <row r="1508">
      <c r="A1508" s="217">
        <v>43259.71525429398</v>
      </c>
      <c r="B1508" s="218" t="s">
        <v>5184</v>
      </c>
      <c r="C1508" s="218" t="s">
        <v>5789</v>
      </c>
      <c r="D1508" s="219">
        <v>1.0</v>
      </c>
      <c r="E1508" s="218">
        <v>400.0</v>
      </c>
      <c r="F1508" s="3" t="s">
        <v>5787</v>
      </c>
      <c r="G1508" s="220">
        <v>43258.0</v>
      </c>
    </row>
    <row r="1509">
      <c r="A1509" s="217">
        <v>43263.59708248843</v>
      </c>
      <c r="B1509" s="218" t="s">
        <v>5184</v>
      </c>
      <c r="C1509" s="218" t="s">
        <v>6262</v>
      </c>
      <c r="D1509" s="219">
        <v>1.0</v>
      </c>
      <c r="E1509" s="218">
        <v>4290.0</v>
      </c>
      <c r="F1509" s="3" t="s">
        <v>5135</v>
      </c>
      <c r="G1509" s="220">
        <v>43255.0</v>
      </c>
    </row>
    <row r="1510">
      <c r="A1510" s="217">
        <v>43263.598519340274</v>
      </c>
      <c r="B1510" s="218" t="s">
        <v>5184</v>
      </c>
      <c r="C1510" s="218" t="s">
        <v>5222</v>
      </c>
      <c r="D1510" s="219">
        <v>1.0</v>
      </c>
      <c r="E1510" s="218">
        <v>13500.0</v>
      </c>
      <c r="F1510" s="3" t="s">
        <v>5212</v>
      </c>
      <c r="G1510" s="220">
        <v>43255.0</v>
      </c>
    </row>
    <row r="1511">
      <c r="A1511" s="217">
        <v>43263.60064059027</v>
      </c>
      <c r="B1511" s="218" t="s">
        <v>5184</v>
      </c>
      <c r="C1511" s="218" t="s">
        <v>6258</v>
      </c>
      <c r="D1511" s="219">
        <v>1.0</v>
      </c>
      <c r="E1511" s="24"/>
      <c r="F1511" s="3" t="s">
        <v>5135</v>
      </c>
      <c r="G1511" s="220">
        <v>43258.0</v>
      </c>
    </row>
    <row r="1512">
      <c r="A1512" s="217">
        <v>43263.602048761575</v>
      </c>
      <c r="B1512" s="218" t="s">
        <v>5184</v>
      </c>
      <c r="C1512" s="218" t="s">
        <v>6429</v>
      </c>
      <c r="D1512" s="219">
        <v>1.0</v>
      </c>
      <c r="E1512" s="218">
        <v>2550.0</v>
      </c>
      <c r="F1512" s="3" t="s">
        <v>5833</v>
      </c>
      <c r="G1512" s="220">
        <v>43258.0</v>
      </c>
    </row>
    <row r="1513">
      <c r="A1513" s="217">
        <v>43263.60342585648</v>
      </c>
      <c r="B1513" s="218" t="s">
        <v>5184</v>
      </c>
      <c r="C1513" s="218" t="s">
        <v>6430</v>
      </c>
      <c r="D1513" s="219">
        <v>1.0</v>
      </c>
      <c r="E1513" s="218">
        <v>2550.0</v>
      </c>
      <c r="F1513" s="3" t="s">
        <v>5833</v>
      </c>
      <c r="G1513" s="220">
        <v>43258.0</v>
      </c>
    </row>
    <row r="1514">
      <c r="A1514" s="217">
        <v>43263.60449769676</v>
      </c>
      <c r="B1514" s="218" t="s">
        <v>5184</v>
      </c>
      <c r="C1514" s="218" t="s">
        <v>6431</v>
      </c>
      <c r="D1514" s="219">
        <v>1.0</v>
      </c>
      <c r="E1514" s="218">
        <v>2590.0</v>
      </c>
      <c r="F1514" s="3" t="s">
        <v>5833</v>
      </c>
      <c r="G1514" s="220">
        <v>43258.0</v>
      </c>
    </row>
    <row r="1515">
      <c r="A1515" s="217">
        <v>43263.60546946759</v>
      </c>
      <c r="B1515" s="218" t="s">
        <v>5184</v>
      </c>
      <c r="C1515" s="218" t="s">
        <v>6432</v>
      </c>
      <c r="D1515" s="219">
        <v>1.0</v>
      </c>
      <c r="E1515" s="218">
        <v>2550.0</v>
      </c>
      <c r="F1515" s="3" t="s">
        <v>5833</v>
      </c>
      <c r="G1515" s="220">
        <v>43258.0</v>
      </c>
    </row>
    <row r="1516">
      <c r="A1516" s="217">
        <v>43263.60644577546</v>
      </c>
      <c r="B1516" s="218" t="s">
        <v>5184</v>
      </c>
      <c r="C1516" s="218" t="s">
        <v>6432</v>
      </c>
      <c r="D1516" s="219">
        <v>1.0</v>
      </c>
      <c r="E1516" s="218">
        <v>2550.0</v>
      </c>
      <c r="F1516" s="3" t="s">
        <v>5833</v>
      </c>
      <c r="G1516" s="220">
        <v>43258.0</v>
      </c>
    </row>
    <row r="1517">
      <c r="A1517" s="217">
        <v>43263.607899027775</v>
      </c>
      <c r="B1517" s="218" t="s">
        <v>5184</v>
      </c>
      <c r="C1517" s="218" t="s">
        <v>6431</v>
      </c>
      <c r="D1517" s="219">
        <v>1.0</v>
      </c>
      <c r="E1517" s="218">
        <v>2590.0</v>
      </c>
      <c r="F1517" s="3" t="s">
        <v>5833</v>
      </c>
      <c r="G1517" s="220">
        <v>43258.0</v>
      </c>
    </row>
    <row r="1518">
      <c r="A1518" s="217">
        <v>43263.60928950232</v>
      </c>
      <c r="B1518" s="218" t="s">
        <v>5184</v>
      </c>
      <c r="C1518" s="218" t="s">
        <v>6433</v>
      </c>
      <c r="D1518" s="219">
        <v>1.0</v>
      </c>
      <c r="E1518" s="218">
        <v>2390.0</v>
      </c>
      <c r="F1518" s="3" t="s">
        <v>5833</v>
      </c>
      <c r="G1518" s="220">
        <v>43258.0</v>
      </c>
    </row>
    <row r="1519">
      <c r="A1519" s="217">
        <v>43263.611695381944</v>
      </c>
      <c r="B1519" s="218" t="s">
        <v>5184</v>
      </c>
      <c r="C1519" s="218" t="s">
        <v>6434</v>
      </c>
      <c r="D1519" s="219">
        <v>1.0</v>
      </c>
      <c r="E1519" s="218">
        <v>2450.0</v>
      </c>
      <c r="F1519" s="3" t="s">
        <v>5833</v>
      </c>
      <c r="G1519" s="220">
        <v>43258.0</v>
      </c>
    </row>
    <row r="1520">
      <c r="A1520" s="217">
        <v>43263.61541042824</v>
      </c>
      <c r="B1520" s="218" t="s">
        <v>5184</v>
      </c>
      <c r="C1520" s="218" t="s">
        <v>6435</v>
      </c>
      <c r="D1520" s="219">
        <v>1.0</v>
      </c>
      <c r="E1520" s="218">
        <v>2750.0</v>
      </c>
      <c r="F1520" s="3" t="s">
        <v>5833</v>
      </c>
      <c r="G1520" s="220">
        <v>43258.0</v>
      </c>
    </row>
    <row r="1521">
      <c r="A1521" s="217">
        <v>43263.61638262731</v>
      </c>
      <c r="B1521" s="218" t="s">
        <v>5184</v>
      </c>
      <c r="C1521" s="218" t="s">
        <v>6436</v>
      </c>
      <c r="D1521" s="219">
        <v>1.0</v>
      </c>
      <c r="E1521" s="218">
        <v>2750.0</v>
      </c>
      <c r="F1521" s="3" t="s">
        <v>5833</v>
      </c>
      <c r="G1521" s="220">
        <v>43258.0</v>
      </c>
    </row>
    <row r="1522">
      <c r="A1522" s="217">
        <v>43263.61755445602</v>
      </c>
      <c r="B1522" s="218" t="s">
        <v>5184</v>
      </c>
      <c r="C1522" s="218" t="s">
        <v>6437</v>
      </c>
      <c r="D1522" s="219">
        <v>1.0</v>
      </c>
      <c r="E1522" s="218">
        <v>2590.0</v>
      </c>
      <c r="F1522" s="3" t="s">
        <v>5833</v>
      </c>
      <c r="G1522" s="220">
        <v>43258.0</v>
      </c>
    </row>
    <row r="1523">
      <c r="A1523" s="217">
        <v>43263.62320716435</v>
      </c>
      <c r="B1523" s="218" t="s">
        <v>5092</v>
      </c>
      <c r="C1523" s="218" t="s">
        <v>6438</v>
      </c>
      <c r="D1523" s="219">
        <v>1.0</v>
      </c>
      <c r="E1523" s="24"/>
      <c r="F1523" s="3" t="s">
        <v>5833</v>
      </c>
      <c r="G1523" s="220">
        <v>43255.0</v>
      </c>
    </row>
    <row r="1524">
      <c r="A1524" s="217">
        <v>43263.62394628472</v>
      </c>
      <c r="B1524" s="218" t="s">
        <v>5092</v>
      </c>
      <c r="C1524" s="218" t="s">
        <v>6440</v>
      </c>
      <c r="D1524" s="219">
        <v>1.0</v>
      </c>
      <c r="E1524" s="24"/>
      <c r="F1524" s="3" t="s">
        <v>5833</v>
      </c>
      <c r="G1524" s="220">
        <v>43255.0</v>
      </c>
    </row>
    <row r="1525">
      <c r="A1525" s="217">
        <v>43263.62475284722</v>
      </c>
      <c r="B1525" s="218" t="s">
        <v>5092</v>
      </c>
      <c r="C1525" s="218" t="s">
        <v>6442</v>
      </c>
      <c r="D1525" s="219">
        <v>1.0</v>
      </c>
      <c r="E1525" s="218">
        <v>2450.0</v>
      </c>
      <c r="F1525" s="3" t="s">
        <v>5833</v>
      </c>
      <c r="G1525" s="220">
        <v>43255.0</v>
      </c>
    </row>
    <row r="1526">
      <c r="A1526" s="217">
        <v>43263.6254434838</v>
      </c>
      <c r="B1526" s="218" t="s">
        <v>5092</v>
      </c>
      <c r="C1526" s="218" t="s">
        <v>6434</v>
      </c>
      <c r="D1526" s="219">
        <v>1.0</v>
      </c>
      <c r="E1526" s="218">
        <v>2450.0</v>
      </c>
      <c r="F1526" s="3" t="s">
        <v>5833</v>
      </c>
      <c r="G1526" s="220">
        <v>43255.0</v>
      </c>
    </row>
    <row r="1527">
      <c r="A1527" s="217">
        <v>43263.62629231482</v>
      </c>
      <c r="B1527" s="218" t="s">
        <v>5092</v>
      </c>
      <c r="C1527" s="218" t="s">
        <v>6431</v>
      </c>
      <c r="D1527" s="219">
        <v>1.0</v>
      </c>
      <c r="E1527" s="218">
        <v>2590.0</v>
      </c>
      <c r="F1527" s="3" t="s">
        <v>5833</v>
      </c>
      <c r="G1527" s="220">
        <v>43255.0</v>
      </c>
    </row>
    <row r="1528">
      <c r="A1528" s="217">
        <v>43263.62778795139</v>
      </c>
      <c r="B1528" s="218" t="s">
        <v>5092</v>
      </c>
      <c r="C1528" s="218" t="s">
        <v>6443</v>
      </c>
      <c r="D1528" s="219">
        <v>1.0</v>
      </c>
      <c r="E1528" s="218">
        <v>2590.0</v>
      </c>
      <c r="F1528" s="3" t="s">
        <v>5833</v>
      </c>
      <c r="G1528" s="220">
        <v>43255.0</v>
      </c>
    </row>
    <row r="1529">
      <c r="A1529" s="217">
        <v>43263.6284846875</v>
      </c>
      <c r="B1529" s="218" t="s">
        <v>5092</v>
      </c>
      <c r="C1529" s="218" t="s">
        <v>6432</v>
      </c>
      <c r="D1529" s="219">
        <v>1.0</v>
      </c>
      <c r="E1529" s="218">
        <v>2550.0</v>
      </c>
      <c r="F1529" s="3" t="s">
        <v>5833</v>
      </c>
      <c r="G1529" s="220">
        <v>43255.0</v>
      </c>
    </row>
    <row r="1530">
      <c r="A1530" s="217">
        <v>43263.63000913194</v>
      </c>
      <c r="B1530" s="218" t="s">
        <v>5092</v>
      </c>
      <c r="C1530" s="218" t="s">
        <v>6430</v>
      </c>
      <c r="D1530" s="219">
        <v>1.0</v>
      </c>
      <c r="E1530" s="24"/>
      <c r="F1530" s="3" t="s">
        <v>5833</v>
      </c>
      <c r="G1530" s="220">
        <v>43255.0</v>
      </c>
    </row>
    <row r="1531">
      <c r="A1531" s="217">
        <v>43263.63065298611</v>
      </c>
      <c r="B1531" s="218" t="s">
        <v>5092</v>
      </c>
      <c r="C1531" s="218" t="s">
        <v>6444</v>
      </c>
      <c r="D1531" s="219">
        <v>1.0</v>
      </c>
      <c r="E1531" s="24"/>
      <c r="F1531" s="3" t="s">
        <v>5833</v>
      </c>
      <c r="G1531" s="220">
        <v>43255.0</v>
      </c>
    </row>
    <row r="1532">
      <c r="A1532" s="217">
        <v>43263.631643263885</v>
      </c>
      <c r="B1532" s="218" t="s">
        <v>5092</v>
      </c>
      <c r="C1532" s="218" t="s">
        <v>6429</v>
      </c>
      <c r="D1532" s="219">
        <v>1.0</v>
      </c>
      <c r="E1532" s="24"/>
      <c r="F1532" s="3" t="s">
        <v>5833</v>
      </c>
      <c r="G1532" s="220">
        <v>43255.0</v>
      </c>
    </row>
    <row r="1533">
      <c r="A1533" s="217">
        <v>43263.63461009259</v>
      </c>
      <c r="B1533" s="218" t="s">
        <v>5092</v>
      </c>
      <c r="C1533" s="218" t="s">
        <v>6445</v>
      </c>
      <c r="D1533" s="219">
        <v>1.0</v>
      </c>
      <c r="E1533" s="24"/>
      <c r="F1533" s="3" t="s">
        <v>5833</v>
      </c>
      <c r="G1533" s="220">
        <v>43255.0</v>
      </c>
    </row>
    <row r="1534">
      <c r="A1534" s="217">
        <v>43263.635904016206</v>
      </c>
      <c r="B1534" s="218" t="s">
        <v>5092</v>
      </c>
      <c r="C1534" s="218" t="s">
        <v>6433</v>
      </c>
      <c r="D1534" s="219">
        <v>1.0</v>
      </c>
      <c r="E1534" s="24"/>
      <c r="F1534" s="3" t="s">
        <v>5833</v>
      </c>
      <c r="G1534" s="220">
        <v>43255.0</v>
      </c>
    </row>
    <row r="1535">
      <c r="A1535" s="217">
        <v>43263.6366303588</v>
      </c>
      <c r="B1535" s="218" t="s">
        <v>5092</v>
      </c>
      <c r="C1535" s="218" t="s">
        <v>6446</v>
      </c>
      <c r="D1535" s="219">
        <v>1.0</v>
      </c>
      <c r="E1535" s="24"/>
      <c r="F1535" s="3" t="s">
        <v>5833</v>
      </c>
      <c r="G1535" s="220">
        <v>43255.0</v>
      </c>
    </row>
    <row r="1536">
      <c r="A1536" s="217">
        <v>43263.639350833335</v>
      </c>
      <c r="B1536" s="218" t="s">
        <v>5092</v>
      </c>
      <c r="C1536" s="218" t="s">
        <v>6447</v>
      </c>
      <c r="D1536" s="219">
        <v>1.0</v>
      </c>
      <c r="E1536" s="24"/>
      <c r="F1536" s="3" t="s">
        <v>5833</v>
      </c>
      <c r="G1536" s="220">
        <v>43255.0</v>
      </c>
    </row>
    <row r="1537">
      <c r="A1537" s="217">
        <v>43263.64038802084</v>
      </c>
      <c r="B1537" s="218" t="s">
        <v>5092</v>
      </c>
      <c r="C1537" s="218" t="s">
        <v>6448</v>
      </c>
      <c r="D1537" s="219">
        <v>1.0</v>
      </c>
      <c r="E1537" s="24"/>
      <c r="F1537" s="3" t="s">
        <v>5833</v>
      </c>
      <c r="G1537" s="220">
        <v>43255.0</v>
      </c>
    </row>
    <row r="1538">
      <c r="A1538" s="217">
        <v>43263.6770305324</v>
      </c>
      <c r="B1538" s="218" t="s">
        <v>5092</v>
      </c>
      <c r="C1538" s="218" t="s">
        <v>6449</v>
      </c>
      <c r="D1538" s="219">
        <v>1.0</v>
      </c>
      <c r="E1538" s="24"/>
      <c r="F1538" s="3" t="s">
        <v>5833</v>
      </c>
      <c r="G1538" s="220">
        <v>43255.0</v>
      </c>
    </row>
    <row r="1539">
      <c r="A1539" s="217">
        <v>43263.678115497685</v>
      </c>
      <c r="B1539" s="218" t="s">
        <v>5092</v>
      </c>
      <c r="C1539" s="218" t="s">
        <v>6450</v>
      </c>
      <c r="D1539" s="219">
        <v>1.0</v>
      </c>
      <c r="E1539" s="24"/>
      <c r="F1539" s="3" t="s">
        <v>5833</v>
      </c>
      <c r="G1539" s="220">
        <v>43255.0</v>
      </c>
    </row>
    <row r="1540">
      <c r="A1540" s="217">
        <v>43263.67895436342</v>
      </c>
      <c r="B1540" s="218" t="s">
        <v>5092</v>
      </c>
      <c r="C1540" s="218" t="s">
        <v>6452</v>
      </c>
      <c r="D1540" s="219">
        <v>1.0</v>
      </c>
      <c r="E1540" s="24"/>
      <c r="F1540" s="3" t="s">
        <v>5833</v>
      </c>
      <c r="G1540" s="220">
        <v>43255.0</v>
      </c>
    </row>
    <row r="1541">
      <c r="A1541" s="217">
        <v>43263.680039259256</v>
      </c>
      <c r="B1541" s="218" t="s">
        <v>5092</v>
      </c>
      <c r="C1541" s="218" t="s">
        <v>6453</v>
      </c>
      <c r="D1541" s="219">
        <v>1.0</v>
      </c>
      <c r="E1541" s="24"/>
      <c r="F1541" s="3" t="s">
        <v>5833</v>
      </c>
      <c r="G1541" s="220">
        <v>43255.0</v>
      </c>
    </row>
    <row r="1542">
      <c r="A1542" s="217">
        <v>43263.680700219906</v>
      </c>
      <c r="B1542" s="218" t="s">
        <v>5092</v>
      </c>
      <c r="C1542" s="218" t="s">
        <v>6455</v>
      </c>
      <c r="D1542" s="219">
        <v>1.0</v>
      </c>
      <c r="E1542" s="24"/>
      <c r="F1542" s="3" t="s">
        <v>5833</v>
      </c>
      <c r="G1542" s="220">
        <v>43255.0</v>
      </c>
    </row>
    <row r="1543">
      <c r="A1543" s="217">
        <v>43263.681618449074</v>
      </c>
      <c r="B1543" s="218" t="s">
        <v>5092</v>
      </c>
      <c r="C1543" s="218" t="s">
        <v>6456</v>
      </c>
      <c r="D1543" s="219">
        <v>1.0</v>
      </c>
      <c r="E1543" s="24"/>
      <c r="F1543" s="3" t="s">
        <v>5833</v>
      </c>
      <c r="G1543" s="220">
        <v>43255.0</v>
      </c>
    </row>
    <row r="1544">
      <c r="A1544" s="217">
        <v>43263.682572881946</v>
      </c>
      <c r="B1544" s="218" t="s">
        <v>5092</v>
      </c>
      <c r="C1544" s="218" t="s">
        <v>6457</v>
      </c>
      <c r="D1544" s="219">
        <v>1.0</v>
      </c>
      <c r="E1544" s="24"/>
      <c r="F1544" s="3" t="s">
        <v>5833</v>
      </c>
      <c r="G1544" s="220">
        <v>43255.0</v>
      </c>
    </row>
    <row r="1545">
      <c r="A1545" s="217">
        <v>43263.68395237268</v>
      </c>
      <c r="B1545" s="218" t="s">
        <v>5092</v>
      </c>
      <c r="C1545" s="218" t="s">
        <v>1508</v>
      </c>
      <c r="D1545" s="219">
        <v>2.0</v>
      </c>
      <c r="E1545" s="24"/>
      <c r="F1545" s="3" t="s">
        <v>5833</v>
      </c>
      <c r="G1545" s="220">
        <v>43255.0</v>
      </c>
    </row>
    <row r="1546">
      <c r="A1546" s="217">
        <v>43263.68486347223</v>
      </c>
      <c r="B1546" s="218" t="s">
        <v>5092</v>
      </c>
      <c r="C1546" s="218" t="s">
        <v>6458</v>
      </c>
      <c r="D1546" s="219">
        <v>2.0</v>
      </c>
      <c r="E1546" s="24"/>
      <c r="F1546" s="3" t="s">
        <v>5833</v>
      </c>
      <c r="G1546" s="220">
        <v>43255.0</v>
      </c>
    </row>
    <row r="1547">
      <c r="A1547" s="217">
        <v>43263.68588631944</v>
      </c>
      <c r="B1547" s="218" t="s">
        <v>5092</v>
      </c>
      <c r="C1547" s="218" t="s">
        <v>6458</v>
      </c>
      <c r="D1547" s="219">
        <v>1.0</v>
      </c>
      <c r="E1547" s="24"/>
      <c r="F1547" s="3" t="s">
        <v>5833</v>
      </c>
      <c r="G1547" s="220">
        <v>43255.0</v>
      </c>
    </row>
    <row r="1548">
      <c r="A1548" s="217">
        <v>43263.68691650463</v>
      </c>
      <c r="B1548" s="218" t="s">
        <v>5092</v>
      </c>
      <c r="C1548" s="218" t="s">
        <v>6459</v>
      </c>
      <c r="D1548" s="219">
        <v>1.0</v>
      </c>
      <c r="E1548" s="24"/>
      <c r="F1548" s="3" t="s">
        <v>5833</v>
      </c>
      <c r="G1548" s="220">
        <v>43255.0</v>
      </c>
    </row>
    <row r="1549">
      <c r="A1549" s="217">
        <v>43263.69110340277</v>
      </c>
      <c r="B1549" s="218" t="s">
        <v>5092</v>
      </c>
      <c r="C1549" s="218" t="s">
        <v>6460</v>
      </c>
      <c r="D1549" s="219">
        <v>1.0</v>
      </c>
      <c r="E1549" s="24"/>
      <c r="F1549" s="3" t="s">
        <v>5833</v>
      </c>
      <c r="G1549" s="220">
        <v>43255.0</v>
      </c>
    </row>
    <row r="1550">
      <c r="A1550" s="217">
        <v>43263.69214493055</v>
      </c>
      <c r="B1550" s="218" t="s">
        <v>5092</v>
      </c>
      <c r="C1550" s="218" t="s">
        <v>6437</v>
      </c>
      <c r="D1550" s="219">
        <v>1.0</v>
      </c>
      <c r="E1550" s="24"/>
      <c r="F1550" s="3" t="s">
        <v>5833</v>
      </c>
      <c r="G1550" s="220">
        <v>43255.0</v>
      </c>
    </row>
    <row r="1551">
      <c r="A1551" s="217">
        <v>43263.69348873843</v>
      </c>
      <c r="B1551" s="218" t="s">
        <v>5092</v>
      </c>
      <c r="C1551" s="218" t="s">
        <v>6461</v>
      </c>
      <c r="D1551" s="219">
        <v>1.0</v>
      </c>
      <c r="E1551" s="24"/>
      <c r="F1551" s="3" t="s">
        <v>5833</v>
      </c>
      <c r="G1551" s="220">
        <v>43255.0</v>
      </c>
    </row>
    <row r="1552">
      <c r="A1552" s="217">
        <v>43263.7136228125</v>
      </c>
      <c r="B1552" s="218" t="s">
        <v>5092</v>
      </c>
      <c r="C1552" s="218" t="s">
        <v>6462</v>
      </c>
      <c r="D1552" s="219">
        <v>1.0</v>
      </c>
      <c r="E1552" s="24"/>
      <c r="F1552" s="3" t="s">
        <v>5833</v>
      </c>
      <c r="G1552" s="220">
        <v>43255.0</v>
      </c>
    </row>
    <row r="1553">
      <c r="A1553" s="217">
        <v>43263.71469453703</v>
      </c>
      <c r="B1553" s="218" t="s">
        <v>5092</v>
      </c>
      <c r="C1553" s="218" t="s">
        <v>6463</v>
      </c>
      <c r="D1553" s="219">
        <v>1.0</v>
      </c>
      <c r="E1553" s="24"/>
      <c r="F1553" s="3" t="s">
        <v>5833</v>
      </c>
      <c r="G1553" s="220">
        <v>43255.0</v>
      </c>
    </row>
    <row r="1554">
      <c r="A1554" s="217">
        <v>43263.71609101852</v>
      </c>
      <c r="B1554" s="218" t="s">
        <v>5092</v>
      </c>
      <c r="C1554" s="218" t="s">
        <v>6464</v>
      </c>
      <c r="D1554" s="219">
        <v>1.0</v>
      </c>
      <c r="E1554" s="24"/>
      <c r="F1554" s="3" t="s">
        <v>5833</v>
      </c>
      <c r="G1554" s="220">
        <v>43255.0</v>
      </c>
    </row>
    <row r="1555">
      <c r="A1555" s="217">
        <v>43263.71687898148</v>
      </c>
      <c r="B1555" s="218" t="s">
        <v>5092</v>
      </c>
      <c r="C1555" s="218" t="s">
        <v>6465</v>
      </c>
      <c r="D1555" s="219">
        <v>1.0</v>
      </c>
      <c r="E1555" s="24"/>
      <c r="F1555" s="3" t="s">
        <v>5833</v>
      </c>
      <c r="G1555" s="220">
        <v>43255.0</v>
      </c>
    </row>
    <row r="1556">
      <c r="A1556" s="217">
        <v>43263.72217138889</v>
      </c>
      <c r="B1556" s="218" t="s">
        <v>5092</v>
      </c>
      <c r="C1556" s="218" t="s">
        <v>6436</v>
      </c>
      <c r="D1556" s="219">
        <v>1.0</v>
      </c>
      <c r="E1556" s="24"/>
      <c r="F1556" s="3" t="s">
        <v>5833</v>
      </c>
      <c r="G1556" s="220">
        <v>43255.0</v>
      </c>
    </row>
    <row r="1557">
      <c r="A1557" s="217">
        <v>43263.72284459491</v>
      </c>
      <c r="B1557" s="218" t="s">
        <v>5092</v>
      </c>
      <c r="C1557" s="218" t="s">
        <v>6435</v>
      </c>
      <c r="D1557" s="219">
        <v>1.0</v>
      </c>
      <c r="E1557" s="24"/>
      <c r="F1557" s="3" t="s">
        <v>5833</v>
      </c>
      <c r="G1557" s="220">
        <v>43255.0</v>
      </c>
    </row>
    <row r="1558">
      <c r="A1558" s="217">
        <v>43263.73082672454</v>
      </c>
      <c r="B1558" s="218" t="s">
        <v>5092</v>
      </c>
      <c r="C1558" s="218" t="s">
        <v>6435</v>
      </c>
      <c r="D1558" s="219">
        <v>1.0</v>
      </c>
      <c r="E1558" s="24"/>
      <c r="F1558" s="3" t="s">
        <v>5833</v>
      </c>
      <c r="G1558" s="220">
        <v>43255.0</v>
      </c>
    </row>
    <row r="1559">
      <c r="A1559" s="217">
        <v>43263.7315627662</v>
      </c>
      <c r="B1559" s="218" t="s">
        <v>5092</v>
      </c>
      <c r="C1559" s="218" t="s">
        <v>6466</v>
      </c>
      <c r="D1559" s="219">
        <v>1.0</v>
      </c>
      <c r="E1559" s="24"/>
      <c r="F1559" s="3" t="s">
        <v>5833</v>
      </c>
      <c r="G1559" s="220">
        <v>43255.0</v>
      </c>
    </row>
    <row r="1560">
      <c r="A1560" s="217">
        <v>43263.73342564815</v>
      </c>
      <c r="B1560" s="218" t="s">
        <v>5092</v>
      </c>
      <c r="C1560" s="218" t="s">
        <v>6467</v>
      </c>
      <c r="D1560" s="219">
        <v>1.0</v>
      </c>
      <c r="E1560" s="24"/>
      <c r="F1560" s="3" t="s">
        <v>5833</v>
      </c>
      <c r="G1560" s="220">
        <v>43255.0</v>
      </c>
    </row>
    <row r="1561">
      <c r="A1561" s="217">
        <v>43263.73405503472</v>
      </c>
      <c r="B1561" s="218" t="s">
        <v>5092</v>
      </c>
      <c r="C1561" s="218" t="s">
        <v>6468</v>
      </c>
      <c r="D1561" s="219">
        <v>1.0</v>
      </c>
      <c r="E1561" s="24"/>
      <c r="F1561" s="3" t="s">
        <v>5833</v>
      </c>
      <c r="G1561" s="220">
        <v>43255.0</v>
      </c>
    </row>
    <row r="1562">
      <c r="A1562" s="217">
        <v>43263.73466607639</v>
      </c>
      <c r="B1562" s="218" t="s">
        <v>5092</v>
      </c>
      <c r="C1562" s="218" t="s">
        <v>6469</v>
      </c>
      <c r="D1562" s="219">
        <v>1.0</v>
      </c>
      <c r="E1562" s="24"/>
      <c r="F1562" s="3" t="s">
        <v>5833</v>
      </c>
      <c r="G1562" s="220">
        <v>43255.0</v>
      </c>
    </row>
    <row r="1563">
      <c r="A1563" s="217">
        <v>43264.400723252314</v>
      </c>
      <c r="B1563" s="218" t="s">
        <v>5092</v>
      </c>
      <c r="C1563" s="218" t="s">
        <v>6471</v>
      </c>
      <c r="D1563" s="219">
        <v>1.0</v>
      </c>
      <c r="E1563" s="24"/>
      <c r="F1563" s="3" t="s">
        <v>5833</v>
      </c>
      <c r="G1563" s="220">
        <v>43255.0</v>
      </c>
    </row>
    <row r="1564">
      <c r="A1564" s="217">
        <v>43264.40706266204</v>
      </c>
      <c r="B1564" s="218" t="s">
        <v>5092</v>
      </c>
      <c r="C1564" s="218" t="s">
        <v>1530</v>
      </c>
      <c r="D1564" s="219">
        <v>1.0</v>
      </c>
      <c r="E1564" s="24"/>
      <c r="F1564" s="3" t="s">
        <v>5833</v>
      </c>
      <c r="G1564" s="220">
        <v>43255.0</v>
      </c>
    </row>
    <row r="1565">
      <c r="A1565" s="217">
        <v>43264.40785804398</v>
      </c>
      <c r="B1565" s="218" t="s">
        <v>5092</v>
      </c>
      <c r="C1565" s="218" t="s">
        <v>6472</v>
      </c>
      <c r="D1565" s="219">
        <v>1.0</v>
      </c>
      <c r="E1565" s="24"/>
      <c r="F1565" s="3" t="s">
        <v>5833</v>
      </c>
      <c r="G1565" s="220">
        <v>43255.0</v>
      </c>
    </row>
    <row r="1566">
      <c r="A1566" s="217">
        <v>43264.40898936342</v>
      </c>
      <c r="B1566" s="218" t="s">
        <v>5092</v>
      </c>
      <c r="C1566" s="218" t="s">
        <v>1507</v>
      </c>
      <c r="D1566" s="219">
        <v>1.0</v>
      </c>
      <c r="E1566" s="24"/>
      <c r="F1566" s="3" t="s">
        <v>5833</v>
      </c>
      <c r="G1566" s="220">
        <v>43255.0</v>
      </c>
    </row>
    <row r="1567">
      <c r="A1567" s="217">
        <v>43264.41052784723</v>
      </c>
      <c r="B1567" s="218" t="s">
        <v>5092</v>
      </c>
      <c r="C1567" s="218" t="s">
        <v>6409</v>
      </c>
      <c r="D1567" s="219">
        <v>1.0</v>
      </c>
      <c r="E1567" s="24"/>
      <c r="F1567" s="3" t="s">
        <v>5833</v>
      </c>
      <c r="G1567" s="220">
        <v>43253.0</v>
      </c>
    </row>
    <row r="1568">
      <c r="A1568" s="217">
        <v>43264.41118434028</v>
      </c>
      <c r="B1568" s="218" t="s">
        <v>5092</v>
      </c>
      <c r="C1568" s="218" t="s">
        <v>6473</v>
      </c>
      <c r="D1568" s="219">
        <v>1.0</v>
      </c>
      <c r="E1568" s="24"/>
      <c r="F1568" s="3" t="s">
        <v>5833</v>
      </c>
      <c r="G1568" s="220">
        <v>43253.0</v>
      </c>
    </row>
    <row r="1569">
      <c r="A1569" s="217">
        <v>43264.41177415509</v>
      </c>
      <c r="B1569" s="218" t="s">
        <v>5092</v>
      </c>
      <c r="C1569" s="218" t="s">
        <v>6438</v>
      </c>
      <c r="D1569" s="219">
        <v>1.0</v>
      </c>
      <c r="E1569" s="24"/>
      <c r="F1569" s="3" t="s">
        <v>5833</v>
      </c>
      <c r="G1569" s="220">
        <v>43253.0</v>
      </c>
    </row>
    <row r="1570">
      <c r="A1570" s="217">
        <v>43264.41409013889</v>
      </c>
      <c r="B1570" s="218" t="s">
        <v>5092</v>
      </c>
      <c r="C1570" s="218" t="s">
        <v>6474</v>
      </c>
      <c r="D1570" s="219">
        <v>1.0</v>
      </c>
      <c r="E1570" s="24"/>
      <c r="F1570" s="3" t="s">
        <v>5833</v>
      </c>
      <c r="G1570" s="220">
        <v>43253.0</v>
      </c>
    </row>
    <row r="1571">
      <c r="A1571" s="217">
        <v>43264.41588438657</v>
      </c>
      <c r="B1571" s="218" t="s">
        <v>5092</v>
      </c>
      <c r="C1571" s="218" t="s">
        <v>6475</v>
      </c>
      <c r="D1571" s="219">
        <v>1.0</v>
      </c>
      <c r="E1571" s="24"/>
      <c r="F1571" s="3" t="s">
        <v>5833</v>
      </c>
      <c r="G1571" s="220">
        <v>43253.0</v>
      </c>
    </row>
    <row r="1572">
      <c r="A1572" s="217">
        <v>43264.418633506946</v>
      </c>
      <c r="B1572" s="218" t="s">
        <v>5092</v>
      </c>
      <c r="C1572" s="218" t="s">
        <v>6477</v>
      </c>
      <c r="D1572" s="219">
        <v>1.0</v>
      </c>
      <c r="E1572" s="24"/>
      <c r="F1572" s="3" t="s">
        <v>5833</v>
      </c>
      <c r="G1572" s="220">
        <v>43253.0</v>
      </c>
    </row>
    <row r="1573">
      <c r="A1573" s="217">
        <v>43264.41972150463</v>
      </c>
      <c r="B1573" s="218" t="s">
        <v>5092</v>
      </c>
      <c r="C1573" s="218" t="s">
        <v>6414</v>
      </c>
      <c r="D1573" s="219">
        <v>1.0</v>
      </c>
      <c r="E1573" s="24"/>
      <c r="F1573" s="3" t="s">
        <v>5833</v>
      </c>
      <c r="G1573" s="220">
        <v>43253.0</v>
      </c>
    </row>
    <row r="1574">
      <c r="A1574" s="217">
        <v>43264.442491064816</v>
      </c>
      <c r="B1574" s="218" t="s">
        <v>5092</v>
      </c>
      <c r="C1574" s="218" t="s">
        <v>6478</v>
      </c>
      <c r="D1574" s="219">
        <v>1.0</v>
      </c>
      <c r="E1574" s="24"/>
      <c r="F1574" s="3" t="s">
        <v>5833</v>
      </c>
      <c r="G1574" s="220">
        <v>43253.0</v>
      </c>
    </row>
    <row r="1575">
      <c r="A1575" s="217">
        <v>43264.443146053236</v>
      </c>
      <c r="B1575" s="218" t="s">
        <v>5092</v>
      </c>
      <c r="C1575" s="218" t="s">
        <v>6413</v>
      </c>
      <c r="D1575" s="219">
        <v>1.0</v>
      </c>
      <c r="E1575" s="24"/>
      <c r="F1575" s="3" t="s">
        <v>5833</v>
      </c>
      <c r="G1575" s="220">
        <v>43253.0</v>
      </c>
    </row>
    <row r="1576">
      <c r="A1576" s="217">
        <v>43264.443705972226</v>
      </c>
      <c r="B1576" s="218" t="s">
        <v>5092</v>
      </c>
      <c r="C1576" s="218" t="s">
        <v>6479</v>
      </c>
      <c r="D1576" s="219">
        <v>1.0</v>
      </c>
      <c r="E1576" s="24"/>
      <c r="F1576" s="3" t="s">
        <v>5833</v>
      </c>
      <c r="G1576" s="220">
        <v>43253.0</v>
      </c>
    </row>
    <row r="1577">
      <c r="A1577" s="217">
        <v>43264.44431146991</v>
      </c>
      <c r="B1577" s="218" t="s">
        <v>5092</v>
      </c>
      <c r="C1577" s="218" t="s">
        <v>6479</v>
      </c>
      <c r="D1577" s="219">
        <v>1.0</v>
      </c>
      <c r="E1577" s="24"/>
      <c r="F1577" s="3" t="s">
        <v>5833</v>
      </c>
      <c r="G1577" s="220">
        <v>43253.0</v>
      </c>
    </row>
    <row r="1578">
      <c r="A1578" s="217">
        <v>43264.445012303244</v>
      </c>
      <c r="B1578" s="218" t="s">
        <v>5092</v>
      </c>
      <c r="C1578" s="218" t="s">
        <v>6480</v>
      </c>
      <c r="D1578" s="219">
        <v>1.0</v>
      </c>
      <c r="E1578" s="24"/>
      <c r="F1578" s="3" t="s">
        <v>5833</v>
      </c>
      <c r="G1578" s="220">
        <v>43253.0</v>
      </c>
    </row>
    <row r="1579">
      <c r="A1579" s="217">
        <v>43264.445597048616</v>
      </c>
      <c r="B1579" s="218" t="s">
        <v>5092</v>
      </c>
      <c r="C1579" s="218" t="s">
        <v>6481</v>
      </c>
      <c r="D1579" s="219">
        <v>1.0</v>
      </c>
      <c r="E1579" s="24"/>
      <c r="F1579" s="3" t="s">
        <v>5833</v>
      </c>
      <c r="G1579" s="220">
        <v>43253.0</v>
      </c>
    </row>
    <row r="1580">
      <c r="A1580" s="217">
        <v>43264.44619747685</v>
      </c>
      <c r="B1580" s="218" t="s">
        <v>5092</v>
      </c>
      <c r="C1580" s="218" t="s">
        <v>6482</v>
      </c>
      <c r="D1580" s="219">
        <v>1.0</v>
      </c>
      <c r="E1580" s="24"/>
      <c r="F1580" s="3" t="s">
        <v>5833</v>
      </c>
      <c r="G1580" s="220">
        <v>43253.0</v>
      </c>
    </row>
    <row r="1581">
      <c r="A1581" s="217">
        <v>43264.447250150464</v>
      </c>
      <c r="B1581" s="218" t="s">
        <v>5092</v>
      </c>
      <c r="C1581" s="218" t="s">
        <v>6483</v>
      </c>
      <c r="D1581" s="219">
        <v>1.0</v>
      </c>
      <c r="E1581" s="24"/>
      <c r="F1581" s="3" t="s">
        <v>5833</v>
      </c>
      <c r="G1581" s="220">
        <v>43253.0</v>
      </c>
    </row>
    <row r="1582">
      <c r="A1582" s="217">
        <v>43264.44795423611</v>
      </c>
      <c r="B1582" s="218" t="s">
        <v>5092</v>
      </c>
      <c r="C1582" s="218" t="s">
        <v>6484</v>
      </c>
      <c r="D1582" s="219">
        <v>1.0</v>
      </c>
      <c r="E1582" s="24"/>
      <c r="F1582" s="3" t="s">
        <v>5833</v>
      </c>
      <c r="G1582" s="220">
        <v>43253.0</v>
      </c>
    </row>
    <row r="1583">
      <c r="A1583" s="217">
        <v>43264.44961909722</v>
      </c>
      <c r="B1583" s="218" t="s">
        <v>5092</v>
      </c>
      <c r="C1583" s="218" t="s">
        <v>6485</v>
      </c>
      <c r="D1583" s="219">
        <v>1.0</v>
      </c>
      <c r="E1583" s="24"/>
      <c r="F1583" s="3" t="s">
        <v>5833</v>
      </c>
      <c r="G1583" s="220">
        <v>43253.0</v>
      </c>
    </row>
    <row r="1584">
      <c r="A1584" s="217">
        <v>43264.45027931713</v>
      </c>
      <c r="B1584" s="218" t="s">
        <v>5092</v>
      </c>
      <c r="C1584" s="218" t="s">
        <v>6486</v>
      </c>
      <c r="D1584" s="219">
        <v>1.0</v>
      </c>
      <c r="E1584" s="24"/>
      <c r="F1584" s="3" t="s">
        <v>5833</v>
      </c>
      <c r="G1584" s="220">
        <v>43253.0</v>
      </c>
    </row>
    <row r="1585">
      <c r="A1585" s="217">
        <v>43264.451086319445</v>
      </c>
      <c r="B1585" s="218" t="s">
        <v>5092</v>
      </c>
      <c r="C1585" s="218" t="s">
        <v>6410</v>
      </c>
      <c r="D1585" s="219">
        <v>1.0</v>
      </c>
      <c r="E1585" s="24"/>
      <c r="F1585" s="3" t="s">
        <v>5833</v>
      </c>
      <c r="G1585" s="220">
        <v>43253.0</v>
      </c>
    </row>
    <row r="1586">
      <c r="A1586" s="217">
        <v>43264.469121041664</v>
      </c>
      <c r="B1586" s="218" t="s">
        <v>5092</v>
      </c>
      <c r="C1586" s="218" t="s">
        <v>6411</v>
      </c>
      <c r="D1586" s="219">
        <v>1.0</v>
      </c>
      <c r="E1586" s="24"/>
      <c r="F1586" s="3" t="s">
        <v>5833</v>
      </c>
      <c r="G1586" s="220">
        <v>43253.0</v>
      </c>
    </row>
    <row r="1587">
      <c r="A1587" s="217">
        <v>43264.47046855324</v>
      </c>
      <c r="B1587" s="218" t="s">
        <v>5092</v>
      </c>
      <c r="C1587" s="218" t="s">
        <v>6487</v>
      </c>
      <c r="D1587" s="219">
        <v>1.0</v>
      </c>
      <c r="E1587" s="218">
        <v>7190.0</v>
      </c>
      <c r="F1587" s="3" t="s">
        <v>5094</v>
      </c>
      <c r="G1587" s="220">
        <v>43253.0</v>
      </c>
    </row>
    <row r="1588">
      <c r="A1588" s="217">
        <v>43264.47128571759</v>
      </c>
      <c r="B1588" s="218" t="s">
        <v>5092</v>
      </c>
      <c r="C1588" s="218" t="s">
        <v>6489</v>
      </c>
      <c r="D1588" s="219">
        <v>1.0</v>
      </c>
      <c r="E1588" s="218">
        <v>7190.0</v>
      </c>
      <c r="F1588" s="3" t="s">
        <v>5094</v>
      </c>
      <c r="G1588" s="220">
        <v>43253.0</v>
      </c>
    </row>
    <row r="1589">
      <c r="A1589" s="217">
        <v>43264.493671435186</v>
      </c>
      <c r="B1589" s="218" t="s">
        <v>5092</v>
      </c>
      <c r="C1589" s="218" t="s">
        <v>6490</v>
      </c>
      <c r="D1589" s="219">
        <v>1.0</v>
      </c>
      <c r="E1589" s="218">
        <v>7190.0</v>
      </c>
      <c r="F1589" s="3" t="s">
        <v>5094</v>
      </c>
      <c r="G1589" s="220">
        <v>43253.0</v>
      </c>
    </row>
    <row r="1590">
      <c r="A1590" s="217">
        <v>43264.49502768519</v>
      </c>
      <c r="B1590" s="218" t="s">
        <v>5092</v>
      </c>
      <c r="C1590" s="218" t="s">
        <v>1799</v>
      </c>
      <c r="D1590" s="219">
        <v>1.0</v>
      </c>
      <c r="E1590" s="218">
        <v>7190.0</v>
      </c>
      <c r="F1590" s="3" t="s">
        <v>5833</v>
      </c>
      <c r="G1590" s="220">
        <v>43253.0</v>
      </c>
    </row>
    <row r="1591">
      <c r="A1591" s="217">
        <v>43264.495840069445</v>
      </c>
      <c r="B1591" s="218" t="s">
        <v>5092</v>
      </c>
      <c r="C1591" s="218" t="s">
        <v>6491</v>
      </c>
      <c r="D1591" s="219">
        <v>1.0</v>
      </c>
      <c r="E1591" s="218">
        <v>7190.0</v>
      </c>
      <c r="F1591" s="3" t="s">
        <v>5833</v>
      </c>
      <c r="G1591" s="220">
        <v>43253.0</v>
      </c>
    </row>
    <row r="1592">
      <c r="A1592" s="217">
        <v>43264.49671774305</v>
      </c>
      <c r="B1592" s="218" t="s">
        <v>5092</v>
      </c>
      <c r="C1592" s="218" t="s">
        <v>6492</v>
      </c>
      <c r="D1592" s="219">
        <v>1.0</v>
      </c>
      <c r="E1592" s="218">
        <v>6990.0</v>
      </c>
      <c r="F1592" s="3" t="s">
        <v>5833</v>
      </c>
      <c r="G1592" s="220">
        <v>43253.0</v>
      </c>
    </row>
    <row r="1593">
      <c r="A1593" s="217">
        <v>43264.497752511576</v>
      </c>
      <c r="B1593" s="218" t="s">
        <v>5092</v>
      </c>
      <c r="C1593" s="218" t="s">
        <v>5148</v>
      </c>
      <c r="D1593" s="219">
        <v>1.0</v>
      </c>
      <c r="E1593" s="218">
        <v>6490.0</v>
      </c>
      <c r="F1593" s="3" t="s">
        <v>5833</v>
      </c>
      <c r="G1593" s="220">
        <v>43253.0</v>
      </c>
    </row>
    <row r="1594">
      <c r="A1594" s="217">
        <v>43264.498691782406</v>
      </c>
      <c r="B1594" s="218" t="s">
        <v>5092</v>
      </c>
      <c r="C1594" s="218" t="s">
        <v>6493</v>
      </c>
      <c r="D1594" s="219">
        <v>1.0</v>
      </c>
      <c r="E1594" s="218">
        <v>5990.0</v>
      </c>
      <c r="F1594" s="3" t="s">
        <v>5833</v>
      </c>
      <c r="G1594" s="220">
        <v>43253.0</v>
      </c>
    </row>
    <row r="1595">
      <c r="A1595" s="217">
        <v>43264.49948626157</v>
      </c>
      <c r="B1595" s="218" t="s">
        <v>5092</v>
      </c>
      <c r="C1595" s="218" t="s">
        <v>6494</v>
      </c>
      <c r="D1595" s="219">
        <v>1.0</v>
      </c>
      <c r="E1595" s="218">
        <v>6490.0</v>
      </c>
      <c r="F1595" s="3" t="s">
        <v>5833</v>
      </c>
      <c r="G1595" s="220">
        <v>43253.0</v>
      </c>
    </row>
    <row r="1596">
      <c r="A1596" s="217">
        <v>43264.500295370366</v>
      </c>
      <c r="B1596" s="218" t="s">
        <v>5092</v>
      </c>
      <c r="C1596" s="218" t="s">
        <v>1876</v>
      </c>
      <c r="D1596" s="219">
        <v>1.0</v>
      </c>
      <c r="E1596" s="218">
        <v>6490.0</v>
      </c>
      <c r="F1596" s="3" t="s">
        <v>5833</v>
      </c>
      <c r="G1596" s="220">
        <v>43253.0</v>
      </c>
    </row>
    <row r="1597">
      <c r="A1597" s="217">
        <v>43264.50483425926</v>
      </c>
      <c r="B1597" s="218" t="s">
        <v>5092</v>
      </c>
      <c r="C1597" s="218" t="s">
        <v>6495</v>
      </c>
      <c r="D1597" s="219">
        <v>1.0</v>
      </c>
      <c r="E1597" s="218">
        <v>6490.0</v>
      </c>
      <c r="F1597" s="3" t="s">
        <v>5833</v>
      </c>
      <c r="G1597" s="220">
        <v>43253.0</v>
      </c>
    </row>
    <row r="1598">
      <c r="A1598" s="217">
        <v>43264.50565972222</v>
      </c>
      <c r="B1598" s="218" t="s">
        <v>5092</v>
      </c>
      <c r="C1598" s="218" t="s">
        <v>6496</v>
      </c>
      <c r="D1598" s="219">
        <v>1.0</v>
      </c>
      <c r="E1598" s="218">
        <v>6490.0</v>
      </c>
      <c r="F1598" s="3" t="s">
        <v>5833</v>
      </c>
      <c r="G1598" s="220">
        <v>43253.0</v>
      </c>
    </row>
    <row r="1599">
      <c r="A1599" s="217">
        <v>43264.50704268519</v>
      </c>
      <c r="B1599" s="218" t="s">
        <v>5092</v>
      </c>
      <c r="C1599" s="218" t="s">
        <v>6497</v>
      </c>
      <c r="D1599" s="219">
        <v>1.0</v>
      </c>
      <c r="E1599" s="218">
        <v>9500.0</v>
      </c>
      <c r="F1599" s="3" t="s">
        <v>5246</v>
      </c>
      <c r="G1599" s="220">
        <v>43253.0</v>
      </c>
    </row>
    <row r="1600">
      <c r="A1600" s="217">
        <v>43264.508423252315</v>
      </c>
      <c r="B1600" s="218" t="s">
        <v>5092</v>
      </c>
      <c r="C1600" s="218" t="s">
        <v>6499</v>
      </c>
      <c r="D1600" s="219">
        <v>1.0</v>
      </c>
      <c r="E1600" s="218">
        <v>9500.0</v>
      </c>
      <c r="F1600" s="3" t="s">
        <v>5246</v>
      </c>
      <c r="G1600" s="220">
        <v>43253.0</v>
      </c>
    </row>
    <row r="1601">
      <c r="A1601" s="217">
        <v>43264.5095771412</v>
      </c>
      <c r="B1601" s="218" t="s">
        <v>5092</v>
      </c>
      <c r="C1601" s="218" t="s">
        <v>6500</v>
      </c>
      <c r="D1601" s="219">
        <v>1.0</v>
      </c>
      <c r="E1601" s="218">
        <v>9500.0</v>
      </c>
      <c r="F1601" s="3" t="s">
        <v>5246</v>
      </c>
      <c r="G1601" s="220">
        <v>43253.0</v>
      </c>
    </row>
    <row r="1602">
      <c r="A1602" s="217">
        <v>43264.516000393516</v>
      </c>
      <c r="B1602" s="218" t="s">
        <v>5092</v>
      </c>
      <c r="C1602" s="218" t="s">
        <v>6501</v>
      </c>
      <c r="D1602" s="219">
        <v>1.0</v>
      </c>
      <c r="E1602" s="218">
        <v>11500.0</v>
      </c>
      <c r="F1602" s="3" t="s">
        <v>5833</v>
      </c>
      <c r="G1602" s="220">
        <v>43253.0</v>
      </c>
    </row>
    <row r="1603">
      <c r="A1603" s="217">
        <v>43264.51781210648</v>
      </c>
      <c r="B1603" s="218" t="s">
        <v>5092</v>
      </c>
      <c r="C1603" s="218" t="s">
        <v>6502</v>
      </c>
      <c r="D1603" s="219">
        <v>1.0</v>
      </c>
      <c r="E1603" s="218">
        <v>11500.0</v>
      </c>
      <c r="F1603" s="3" t="s">
        <v>5833</v>
      </c>
      <c r="G1603" s="220">
        <v>43253.0</v>
      </c>
    </row>
    <row r="1604">
      <c r="A1604" s="217">
        <v>43264.519418449076</v>
      </c>
      <c r="B1604" s="218" t="s">
        <v>5092</v>
      </c>
      <c r="C1604" s="218" t="s">
        <v>6503</v>
      </c>
      <c r="D1604" s="219">
        <v>1.0</v>
      </c>
      <c r="E1604" s="218">
        <v>11500.0</v>
      </c>
      <c r="F1604" s="3" t="s">
        <v>5246</v>
      </c>
      <c r="G1604" s="220">
        <v>43253.0</v>
      </c>
    </row>
    <row r="1605">
      <c r="A1605" s="217">
        <v>43264.52026266204</v>
      </c>
      <c r="B1605" s="218" t="s">
        <v>5092</v>
      </c>
      <c r="C1605" s="218" t="s">
        <v>6504</v>
      </c>
      <c r="D1605" s="219">
        <v>1.0</v>
      </c>
      <c r="E1605" s="218">
        <v>9500.0</v>
      </c>
      <c r="F1605" s="3" t="s">
        <v>5246</v>
      </c>
      <c r="G1605" s="220">
        <v>43253.0</v>
      </c>
    </row>
    <row r="1606">
      <c r="A1606" s="217">
        <v>43264.52163728009</v>
      </c>
      <c r="B1606" s="218" t="s">
        <v>5092</v>
      </c>
      <c r="C1606" s="218" t="s">
        <v>6505</v>
      </c>
      <c r="D1606" s="219">
        <v>2.0</v>
      </c>
      <c r="E1606" s="218">
        <v>9500.0</v>
      </c>
      <c r="F1606" s="3" t="s">
        <v>5246</v>
      </c>
      <c r="G1606" s="220">
        <v>43253.0</v>
      </c>
    </row>
    <row r="1607">
      <c r="A1607" s="217">
        <v>43264.52735634259</v>
      </c>
      <c r="B1607" s="218" t="s">
        <v>5092</v>
      </c>
      <c r="C1607" s="218" t="s">
        <v>6506</v>
      </c>
      <c r="D1607" s="219">
        <v>1.0</v>
      </c>
      <c r="E1607" s="218">
        <v>9500.0</v>
      </c>
      <c r="F1607" s="3" t="s">
        <v>5246</v>
      </c>
      <c r="G1607" s="220">
        <v>43253.0</v>
      </c>
    </row>
    <row r="1608">
      <c r="A1608" s="217">
        <v>43264.528534502315</v>
      </c>
      <c r="B1608" s="218" t="s">
        <v>5092</v>
      </c>
      <c r="C1608" s="218" t="s">
        <v>6507</v>
      </c>
      <c r="D1608" s="219">
        <v>1.0</v>
      </c>
      <c r="E1608" s="218">
        <v>10500.0</v>
      </c>
      <c r="F1608" s="3" t="s">
        <v>5246</v>
      </c>
      <c r="G1608" s="220">
        <v>43253.0</v>
      </c>
    </row>
    <row r="1609">
      <c r="A1609" s="217">
        <v>43264.53018078704</v>
      </c>
      <c r="B1609" s="218" t="s">
        <v>5092</v>
      </c>
      <c r="C1609" s="218" t="s">
        <v>6508</v>
      </c>
      <c r="D1609" s="219">
        <v>1.0</v>
      </c>
      <c r="E1609" s="218">
        <v>11500.0</v>
      </c>
      <c r="F1609" s="3" t="s">
        <v>5246</v>
      </c>
      <c r="G1609" s="220">
        <v>43253.0</v>
      </c>
    </row>
    <row r="1610">
      <c r="A1610" s="217">
        <v>43264.53125003472</v>
      </c>
      <c r="B1610" s="218" t="s">
        <v>5092</v>
      </c>
      <c r="C1610" s="218" t="s">
        <v>6509</v>
      </c>
      <c r="D1610" s="219">
        <v>1.0</v>
      </c>
      <c r="E1610" s="218">
        <v>9500.0</v>
      </c>
      <c r="F1610" s="3" t="s">
        <v>5246</v>
      </c>
      <c r="G1610" s="220">
        <v>43253.0</v>
      </c>
    </row>
    <row r="1611">
      <c r="A1611" s="217">
        <v>43264.53217148148</v>
      </c>
      <c r="B1611" s="218" t="s">
        <v>5092</v>
      </c>
      <c r="C1611" s="218" t="s">
        <v>6510</v>
      </c>
      <c r="D1611" s="219">
        <v>1.0</v>
      </c>
      <c r="E1611" s="218">
        <v>9500.0</v>
      </c>
      <c r="F1611" s="3" t="s">
        <v>5246</v>
      </c>
      <c r="G1611" s="220">
        <v>43253.0</v>
      </c>
    </row>
    <row r="1612">
      <c r="A1612" s="217">
        <v>43264.54470979166</v>
      </c>
      <c r="B1612" s="218" t="s">
        <v>5092</v>
      </c>
      <c r="C1612" s="218" t="s">
        <v>6511</v>
      </c>
      <c r="D1612" s="219">
        <v>1.0</v>
      </c>
      <c r="E1612" s="218">
        <v>11000.0</v>
      </c>
      <c r="F1612" s="3" t="s">
        <v>5246</v>
      </c>
      <c r="G1612" s="220">
        <v>43253.0</v>
      </c>
    </row>
    <row r="1613">
      <c r="A1613" s="217">
        <v>43264.545478368054</v>
      </c>
      <c r="B1613" s="218" t="s">
        <v>5092</v>
      </c>
      <c r="C1613" s="218" t="s">
        <v>6512</v>
      </c>
      <c r="D1613" s="219">
        <v>1.0</v>
      </c>
      <c r="E1613" s="218">
        <v>9000.0</v>
      </c>
      <c r="F1613" s="3" t="s">
        <v>5246</v>
      </c>
      <c r="G1613" s="220">
        <v>43253.0</v>
      </c>
    </row>
    <row r="1614">
      <c r="A1614" s="217">
        <v>43264.546246990736</v>
      </c>
      <c r="B1614" s="218" t="s">
        <v>5092</v>
      </c>
      <c r="C1614" s="218" t="s">
        <v>6513</v>
      </c>
      <c r="D1614" s="219">
        <v>1.0</v>
      </c>
      <c r="E1614" s="218">
        <v>9000.0</v>
      </c>
      <c r="F1614" s="3" t="s">
        <v>5246</v>
      </c>
      <c r="G1614" s="220">
        <v>43253.0</v>
      </c>
    </row>
    <row r="1615">
      <c r="A1615" s="217">
        <v>43264.54786586805</v>
      </c>
      <c r="B1615" s="218" t="s">
        <v>5092</v>
      </c>
      <c r="C1615" s="218" t="s">
        <v>6397</v>
      </c>
      <c r="D1615" s="219">
        <v>6.0</v>
      </c>
      <c r="E1615" s="218">
        <v>2100.0</v>
      </c>
      <c r="F1615" s="3" t="s">
        <v>5837</v>
      </c>
      <c r="G1615" s="220">
        <v>43258.0</v>
      </c>
    </row>
    <row r="1616">
      <c r="A1616" s="217">
        <v>43264.54848332176</v>
      </c>
      <c r="B1616" s="218" t="s">
        <v>5092</v>
      </c>
      <c r="C1616" s="218" t="s">
        <v>5836</v>
      </c>
      <c r="D1616" s="219">
        <v>3.0</v>
      </c>
      <c r="E1616" s="218">
        <v>2100.0</v>
      </c>
      <c r="F1616" s="3" t="s">
        <v>5833</v>
      </c>
      <c r="G1616" s="220">
        <v>43258.0</v>
      </c>
    </row>
    <row r="1617">
      <c r="A1617" s="217">
        <v>43264.54914747685</v>
      </c>
      <c r="B1617" s="218" t="s">
        <v>5092</v>
      </c>
      <c r="C1617" s="218" t="s">
        <v>6514</v>
      </c>
      <c r="D1617" s="219">
        <v>1.0</v>
      </c>
      <c r="E1617" s="218">
        <v>2100.0</v>
      </c>
      <c r="F1617" s="3" t="s">
        <v>5833</v>
      </c>
      <c r="G1617" s="220">
        <v>43258.0</v>
      </c>
    </row>
    <row r="1618">
      <c r="A1618" s="217">
        <v>43264.57514178241</v>
      </c>
      <c r="B1618" s="218" t="s">
        <v>5184</v>
      </c>
      <c r="C1618" s="218" t="s">
        <v>6495</v>
      </c>
      <c r="D1618" s="219">
        <v>1.0</v>
      </c>
      <c r="E1618" s="24"/>
      <c r="F1618" s="3" t="s">
        <v>5179</v>
      </c>
      <c r="G1618" s="220">
        <v>43259.0</v>
      </c>
    </row>
    <row r="1619">
      <c r="A1619" s="217">
        <v>43264.57617743056</v>
      </c>
      <c r="B1619" s="218" t="s">
        <v>5184</v>
      </c>
      <c r="C1619" s="218" t="s">
        <v>6257</v>
      </c>
      <c r="D1619" s="219">
        <v>1.0</v>
      </c>
      <c r="E1619" s="24"/>
      <c r="F1619" s="3" t="s">
        <v>5135</v>
      </c>
      <c r="G1619" s="220">
        <v>43259.0</v>
      </c>
    </row>
    <row r="1620">
      <c r="A1620" s="217">
        <v>43264.57706782407</v>
      </c>
      <c r="B1620" s="218" t="s">
        <v>5184</v>
      </c>
      <c r="C1620" s="218" t="s">
        <v>5148</v>
      </c>
      <c r="D1620" s="219">
        <v>1.0</v>
      </c>
      <c r="E1620" s="24"/>
      <c r="F1620" s="3" t="s">
        <v>5135</v>
      </c>
      <c r="G1620" s="220">
        <v>43259.0</v>
      </c>
    </row>
    <row r="1621">
      <c r="A1621" s="217">
        <v>43264.577879247685</v>
      </c>
      <c r="B1621" s="218" t="s">
        <v>5184</v>
      </c>
      <c r="C1621" s="218" t="s">
        <v>6453</v>
      </c>
      <c r="D1621" s="219">
        <v>1.0</v>
      </c>
      <c r="E1621" s="24"/>
      <c r="F1621" s="3" t="s">
        <v>5833</v>
      </c>
      <c r="G1621" s="220">
        <v>43259.0</v>
      </c>
    </row>
    <row r="1622">
      <c r="A1622" s="217">
        <v>43264.578927696755</v>
      </c>
      <c r="B1622" s="218" t="s">
        <v>5184</v>
      </c>
      <c r="C1622" s="218" t="s">
        <v>6468</v>
      </c>
      <c r="D1622" s="219">
        <v>1.0</v>
      </c>
      <c r="E1622" s="24"/>
      <c r="F1622" s="3" t="s">
        <v>5833</v>
      </c>
      <c r="G1622" s="220">
        <v>43259.0</v>
      </c>
    </row>
    <row r="1623">
      <c r="A1623" s="217">
        <v>43264.57982542824</v>
      </c>
      <c r="B1623" s="218" t="s">
        <v>5184</v>
      </c>
      <c r="C1623" s="218" t="s">
        <v>6467</v>
      </c>
      <c r="D1623" s="219">
        <v>1.0</v>
      </c>
      <c r="E1623" s="24"/>
      <c r="F1623" s="3" t="s">
        <v>5833</v>
      </c>
      <c r="G1623" s="220">
        <v>43259.0</v>
      </c>
    </row>
    <row r="1624">
      <c r="A1624" s="217">
        <v>43264.580678240745</v>
      </c>
      <c r="B1624" s="218" t="s">
        <v>5184</v>
      </c>
      <c r="C1624" s="218" t="s">
        <v>1507</v>
      </c>
      <c r="D1624" s="219">
        <v>1.0</v>
      </c>
      <c r="E1624" s="24"/>
      <c r="F1624" s="3" t="s">
        <v>5833</v>
      </c>
      <c r="G1624" s="220">
        <v>43259.0</v>
      </c>
    </row>
    <row r="1625">
      <c r="A1625" s="217">
        <v>43264.58145435185</v>
      </c>
      <c r="B1625" s="218" t="s">
        <v>5184</v>
      </c>
      <c r="C1625" s="218" t="s">
        <v>6471</v>
      </c>
      <c r="D1625" s="219">
        <v>1.0</v>
      </c>
      <c r="E1625" s="24"/>
      <c r="F1625" s="3" t="s">
        <v>5833</v>
      </c>
      <c r="G1625" s="220">
        <v>43259.0</v>
      </c>
    </row>
    <row r="1626">
      <c r="A1626" s="217">
        <v>43264.61004988426</v>
      </c>
      <c r="B1626" s="218" t="s">
        <v>5184</v>
      </c>
      <c r="C1626" s="218" t="s">
        <v>6489</v>
      </c>
      <c r="D1626" s="219">
        <v>1.0</v>
      </c>
      <c r="E1626" s="24"/>
      <c r="F1626" s="3" t="s">
        <v>5094</v>
      </c>
      <c r="G1626" s="220">
        <v>43260.0</v>
      </c>
    </row>
    <row r="1627">
      <c r="A1627" s="217">
        <v>43264.611130150464</v>
      </c>
      <c r="B1627" s="218" t="s">
        <v>5184</v>
      </c>
      <c r="C1627" s="218" t="s">
        <v>6264</v>
      </c>
      <c r="D1627" s="219">
        <v>1.0</v>
      </c>
      <c r="E1627" s="24"/>
      <c r="F1627" s="3" t="s">
        <v>5135</v>
      </c>
      <c r="G1627" s="220">
        <v>43260.0</v>
      </c>
    </row>
    <row r="1628">
      <c r="A1628" s="217">
        <v>43264.61219997685</v>
      </c>
      <c r="B1628" s="218" t="s">
        <v>5184</v>
      </c>
      <c r="C1628" s="218" t="s">
        <v>6461</v>
      </c>
      <c r="D1628" s="219">
        <v>1.0</v>
      </c>
      <c r="E1628" s="24"/>
      <c r="F1628" s="3" t="s">
        <v>5833</v>
      </c>
      <c r="G1628" s="220">
        <v>43260.0</v>
      </c>
    </row>
    <row r="1629">
      <c r="A1629" s="217">
        <v>43264.613028946755</v>
      </c>
      <c r="B1629" s="218" t="s">
        <v>5184</v>
      </c>
      <c r="C1629" s="218" t="s">
        <v>6450</v>
      </c>
      <c r="D1629" s="219">
        <v>1.0</v>
      </c>
      <c r="E1629" s="24"/>
      <c r="F1629" s="3" t="s">
        <v>5833</v>
      </c>
      <c r="G1629" s="220">
        <v>43260.0</v>
      </c>
    </row>
    <row r="1630">
      <c r="A1630" s="217">
        <v>43264.61431875</v>
      </c>
      <c r="B1630" s="218" t="s">
        <v>5184</v>
      </c>
      <c r="C1630" s="218" t="s">
        <v>6466</v>
      </c>
      <c r="D1630" s="219">
        <v>1.0</v>
      </c>
      <c r="E1630" s="24"/>
      <c r="F1630" s="3" t="s">
        <v>5833</v>
      </c>
      <c r="G1630" s="220">
        <v>43260.0</v>
      </c>
    </row>
    <row r="1631">
      <c r="A1631" s="217">
        <v>43264.61528648148</v>
      </c>
      <c r="B1631" s="218" t="s">
        <v>5184</v>
      </c>
      <c r="C1631" s="218" t="s">
        <v>6460</v>
      </c>
      <c r="D1631" s="219">
        <v>1.0</v>
      </c>
      <c r="E1631" s="24"/>
      <c r="F1631" s="3" t="s">
        <v>5833</v>
      </c>
      <c r="G1631" s="220">
        <v>43260.0</v>
      </c>
    </row>
    <row r="1632">
      <c r="A1632" s="217">
        <v>43264.616700439816</v>
      </c>
      <c r="B1632" s="218" t="s">
        <v>5184</v>
      </c>
      <c r="C1632" s="218" t="s">
        <v>6516</v>
      </c>
      <c r="D1632" s="219">
        <v>1.0</v>
      </c>
      <c r="E1632" s="24"/>
      <c r="F1632" s="3" t="s">
        <v>5135</v>
      </c>
      <c r="G1632" s="220">
        <v>43260.0</v>
      </c>
    </row>
    <row r="1633">
      <c r="A1633" s="217">
        <v>43264.617895648145</v>
      </c>
      <c r="B1633" s="218" t="s">
        <v>5184</v>
      </c>
      <c r="C1633" s="218" t="s">
        <v>6261</v>
      </c>
      <c r="D1633" s="219">
        <v>1.0</v>
      </c>
      <c r="E1633" s="24"/>
      <c r="F1633" s="3" t="s">
        <v>5135</v>
      </c>
      <c r="G1633" s="220">
        <v>43260.0</v>
      </c>
    </row>
    <row r="1634">
      <c r="A1634" s="217">
        <v>43264.61882621528</v>
      </c>
      <c r="B1634" s="218" t="s">
        <v>5184</v>
      </c>
      <c r="C1634" s="218" t="s">
        <v>6517</v>
      </c>
      <c r="D1634" s="219">
        <v>1.0</v>
      </c>
      <c r="E1634" s="24"/>
      <c r="G1634" s="220">
        <v>43260.0</v>
      </c>
    </row>
    <row r="1635" ht="17.25" customHeight="1">
      <c r="A1635" s="217">
        <v>43264.623861562504</v>
      </c>
      <c r="B1635" s="218" t="s">
        <v>5184</v>
      </c>
      <c r="C1635" s="218" t="s">
        <v>6464</v>
      </c>
      <c r="D1635" s="219">
        <v>1.0</v>
      </c>
      <c r="E1635" s="24"/>
      <c r="F1635" s="3" t="s">
        <v>5833</v>
      </c>
      <c r="G1635" s="220">
        <v>43262.0</v>
      </c>
    </row>
    <row r="1636">
      <c r="A1636" s="217">
        <v>43264.62475700231</v>
      </c>
      <c r="B1636" s="218" t="s">
        <v>5184</v>
      </c>
      <c r="C1636" s="218" t="s">
        <v>6518</v>
      </c>
      <c r="D1636" s="219">
        <v>1.0</v>
      </c>
      <c r="E1636" s="24"/>
      <c r="F1636" s="3" t="s">
        <v>5833</v>
      </c>
      <c r="G1636" s="220">
        <v>43262.0</v>
      </c>
    </row>
    <row r="1637">
      <c r="A1637" s="217">
        <v>43264.62786018518</v>
      </c>
      <c r="B1637" s="218" t="s">
        <v>5184</v>
      </c>
      <c r="C1637" s="218" t="s">
        <v>1530</v>
      </c>
      <c r="D1637" s="219">
        <v>1.0</v>
      </c>
      <c r="E1637" s="24"/>
      <c r="F1637" s="3" t="s">
        <v>5833</v>
      </c>
      <c r="G1637" s="220">
        <v>43262.0</v>
      </c>
    </row>
    <row r="1638">
      <c r="A1638" s="217">
        <v>43264.628818784724</v>
      </c>
      <c r="B1638" s="218" t="s">
        <v>5184</v>
      </c>
      <c r="C1638" s="218" t="s">
        <v>6469</v>
      </c>
      <c r="D1638" s="219">
        <v>1.0</v>
      </c>
      <c r="E1638" s="24"/>
      <c r="F1638" s="3" t="s">
        <v>5833</v>
      </c>
      <c r="G1638" s="220">
        <v>43262.0</v>
      </c>
    </row>
    <row r="1639">
      <c r="A1639" s="217">
        <v>43264.62967653935</v>
      </c>
      <c r="B1639" s="218" t="s">
        <v>5184</v>
      </c>
      <c r="C1639" s="218" t="s">
        <v>6472</v>
      </c>
      <c r="D1639" s="219">
        <v>1.0</v>
      </c>
      <c r="E1639" s="24"/>
      <c r="F1639" s="3" t="s">
        <v>5833</v>
      </c>
      <c r="G1639" s="220">
        <v>43262.0</v>
      </c>
    </row>
    <row r="1640">
      <c r="A1640" s="217">
        <v>43264.630558136574</v>
      </c>
      <c r="B1640" s="218" t="s">
        <v>5184</v>
      </c>
      <c r="C1640" s="218" t="s">
        <v>6519</v>
      </c>
      <c r="D1640" s="219">
        <v>1.0</v>
      </c>
      <c r="E1640" s="24"/>
      <c r="F1640" s="3" t="s">
        <v>5833</v>
      </c>
      <c r="G1640" s="220">
        <v>43262.0</v>
      </c>
    </row>
    <row r="1641">
      <c r="A1641" s="217">
        <v>43264.63143721065</v>
      </c>
      <c r="B1641" s="218" t="s">
        <v>5184</v>
      </c>
      <c r="C1641" s="218" t="s">
        <v>6465</v>
      </c>
      <c r="D1641" s="219">
        <v>1.0</v>
      </c>
      <c r="E1641" s="24"/>
      <c r="F1641" s="3" t="s">
        <v>5833</v>
      </c>
      <c r="G1641" s="220">
        <v>43262.0</v>
      </c>
    </row>
    <row r="1642">
      <c r="A1642" s="217">
        <v>43264.63262300926</v>
      </c>
      <c r="B1642" s="218" t="s">
        <v>5184</v>
      </c>
      <c r="C1642" s="218" t="s">
        <v>1508</v>
      </c>
      <c r="D1642" s="219">
        <v>2.0</v>
      </c>
      <c r="E1642" s="24"/>
      <c r="F1642" s="3" t="s">
        <v>5833</v>
      </c>
      <c r="G1642" s="220">
        <v>43262.0</v>
      </c>
    </row>
    <row r="1643">
      <c r="A1643" s="217">
        <v>43264.63373425926</v>
      </c>
      <c r="B1643" s="218" t="s">
        <v>5184</v>
      </c>
      <c r="C1643" s="218" t="s">
        <v>6442</v>
      </c>
      <c r="D1643" s="219">
        <v>1.0</v>
      </c>
      <c r="E1643" s="24"/>
      <c r="F1643" s="3" t="s">
        <v>5833</v>
      </c>
      <c r="G1643" s="220">
        <v>43262.0</v>
      </c>
    </row>
    <row r="1644">
      <c r="A1644" s="217">
        <v>43264.63454728009</v>
      </c>
      <c r="B1644" s="218" t="s">
        <v>5184</v>
      </c>
      <c r="C1644" s="218" t="s">
        <v>6456</v>
      </c>
      <c r="D1644" s="219">
        <v>1.0</v>
      </c>
      <c r="E1644" s="24"/>
      <c r="F1644" s="3" t="s">
        <v>5833</v>
      </c>
      <c r="G1644" s="220">
        <v>43262.0</v>
      </c>
    </row>
    <row r="1645">
      <c r="A1645" s="217">
        <v>43264.63557208334</v>
      </c>
      <c r="B1645" s="218" t="s">
        <v>5184</v>
      </c>
      <c r="C1645" s="218" t="s">
        <v>6447</v>
      </c>
      <c r="D1645" s="219">
        <v>1.0</v>
      </c>
      <c r="E1645" s="24"/>
      <c r="F1645" s="3" t="s">
        <v>5833</v>
      </c>
      <c r="G1645" s="220">
        <v>43262.0</v>
      </c>
    </row>
    <row r="1646">
      <c r="A1646" s="217">
        <v>43264.636355821756</v>
      </c>
      <c r="B1646" s="218" t="s">
        <v>5184</v>
      </c>
      <c r="C1646" s="218" t="s">
        <v>6448</v>
      </c>
      <c r="D1646" s="219">
        <v>1.0</v>
      </c>
      <c r="E1646" s="24"/>
      <c r="F1646" s="3" t="s">
        <v>5833</v>
      </c>
      <c r="G1646" s="220">
        <v>43262.0</v>
      </c>
    </row>
    <row r="1647">
      <c r="A1647" s="217">
        <v>43264.638061018515</v>
      </c>
      <c r="B1647" s="218" t="s">
        <v>5184</v>
      </c>
      <c r="C1647" s="218" t="s">
        <v>6458</v>
      </c>
      <c r="D1647" s="219">
        <v>1.0</v>
      </c>
      <c r="E1647" s="24"/>
      <c r="F1647" s="3" t="s">
        <v>5833</v>
      </c>
      <c r="G1647" s="220">
        <v>43262.0</v>
      </c>
    </row>
    <row r="1648">
      <c r="A1648" s="217">
        <v>43264.63890935185</v>
      </c>
      <c r="B1648" s="218" t="s">
        <v>5184</v>
      </c>
      <c r="C1648" s="218" t="s">
        <v>6449</v>
      </c>
      <c r="D1648" s="219">
        <v>1.0</v>
      </c>
      <c r="E1648" s="24"/>
      <c r="F1648" s="3" t="s">
        <v>5833</v>
      </c>
      <c r="G1648" s="220">
        <v>43262.0</v>
      </c>
    </row>
    <row r="1649">
      <c r="A1649" s="217">
        <v>43264.639630370366</v>
      </c>
      <c r="B1649" s="218" t="s">
        <v>5184</v>
      </c>
      <c r="C1649" s="218" t="s">
        <v>6462</v>
      </c>
      <c r="D1649" s="219">
        <v>1.0</v>
      </c>
      <c r="E1649" s="24"/>
      <c r="F1649" s="3" t="s">
        <v>5833</v>
      </c>
      <c r="G1649" s="220">
        <v>43262.0</v>
      </c>
    </row>
    <row r="1650">
      <c r="A1650" s="217">
        <v>43264.64076243056</v>
      </c>
      <c r="B1650" s="218" t="s">
        <v>5184</v>
      </c>
      <c r="C1650" s="218" t="s">
        <v>6452</v>
      </c>
      <c r="D1650" s="219">
        <v>1.0</v>
      </c>
      <c r="E1650" s="24"/>
      <c r="F1650" s="3" t="s">
        <v>5833</v>
      </c>
      <c r="G1650" s="220">
        <v>43262.0</v>
      </c>
    </row>
    <row r="1651">
      <c r="A1651" s="217">
        <v>43264.655369733795</v>
      </c>
      <c r="B1651" s="218" t="s">
        <v>5184</v>
      </c>
      <c r="C1651" s="218" t="s">
        <v>1915</v>
      </c>
      <c r="D1651" s="219">
        <v>1.0</v>
      </c>
      <c r="E1651" s="24"/>
      <c r="G1651" s="220">
        <v>43253.0</v>
      </c>
    </row>
    <row r="1652">
      <c r="A1652" s="217">
        <v>43264.65870436342</v>
      </c>
      <c r="B1652" s="218" t="s">
        <v>5184</v>
      </c>
      <c r="C1652" s="218" t="s">
        <v>4574</v>
      </c>
      <c r="D1652" s="219">
        <v>1.0</v>
      </c>
      <c r="E1652" s="24"/>
      <c r="F1652" s="3" t="s">
        <v>5298</v>
      </c>
      <c r="G1652" s="220">
        <v>43261.0</v>
      </c>
    </row>
    <row r="1653">
      <c r="A1653" s="217">
        <v>43264.660717997685</v>
      </c>
      <c r="B1653" s="218" t="s">
        <v>5184</v>
      </c>
      <c r="C1653" s="218" t="s">
        <v>1926</v>
      </c>
      <c r="D1653" s="219">
        <v>1.0</v>
      </c>
      <c r="E1653" s="218">
        <v>4290.0</v>
      </c>
      <c r="G1653" s="220">
        <v>43261.0</v>
      </c>
    </row>
    <row r="1654">
      <c r="A1654" s="217">
        <v>43264.66371601852</v>
      </c>
      <c r="B1654" s="218" t="s">
        <v>5184</v>
      </c>
      <c r="C1654" s="218" t="s">
        <v>1915</v>
      </c>
      <c r="D1654" s="219">
        <v>1.0</v>
      </c>
      <c r="E1654" s="24"/>
      <c r="G1654" s="220">
        <v>43261.0</v>
      </c>
    </row>
    <row r="1655">
      <c r="A1655" s="217">
        <v>43264.665654375</v>
      </c>
      <c r="B1655" s="218" t="s">
        <v>5184</v>
      </c>
      <c r="C1655" s="218" t="s">
        <v>1915</v>
      </c>
      <c r="D1655" s="219">
        <v>1.0</v>
      </c>
      <c r="E1655" s="24"/>
      <c r="G1655" s="220">
        <v>43261.0</v>
      </c>
    </row>
    <row r="1656">
      <c r="A1656" s="217">
        <v>43264.6683644213</v>
      </c>
      <c r="B1656" s="218" t="s">
        <v>5184</v>
      </c>
      <c r="C1656" s="218" t="s">
        <v>5639</v>
      </c>
      <c r="D1656" s="219">
        <v>1.0</v>
      </c>
      <c r="E1656" s="24"/>
      <c r="F1656" s="3" t="s">
        <v>5833</v>
      </c>
      <c r="G1656" s="220">
        <v>43263.0</v>
      </c>
    </row>
    <row r="1657">
      <c r="A1657" s="217">
        <v>43264.66915728009</v>
      </c>
      <c r="B1657" s="218" t="s">
        <v>5184</v>
      </c>
      <c r="C1657" s="218" t="s">
        <v>5635</v>
      </c>
      <c r="D1657" s="219">
        <v>1.0</v>
      </c>
      <c r="E1657" s="24"/>
      <c r="F1657" s="3" t="s">
        <v>5833</v>
      </c>
      <c r="G1657" s="220">
        <v>43263.0</v>
      </c>
    </row>
    <row r="1658">
      <c r="A1658" s="217">
        <v>43264.669884849536</v>
      </c>
      <c r="B1658" s="218" t="s">
        <v>5184</v>
      </c>
      <c r="C1658" s="218" t="s">
        <v>5643</v>
      </c>
      <c r="D1658" s="219">
        <v>1.0</v>
      </c>
      <c r="E1658" s="24"/>
      <c r="G1658" s="220">
        <v>43263.0</v>
      </c>
    </row>
    <row r="1659">
      <c r="A1659" s="217">
        <v>43264.67719771991</v>
      </c>
      <c r="B1659" s="218" t="s">
        <v>5184</v>
      </c>
      <c r="C1659" s="218" t="s">
        <v>6536</v>
      </c>
      <c r="D1659" s="219">
        <v>1.0</v>
      </c>
      <c r="E1659" s="24"/>
      <c r="G1659" s="220">
        <v>43263.0</v>
      </c>
    </row>
    <row r="1660">
      <c r="A1660" s="217">
        <v>43264.678204791664</v>
      </c>
      <c r="B1660" s="218" t="s">
        <v>5184</v>
      </c>
      <c r="C1660" s="218" t="s">
        <v>5638</v>
      </c>
      <c r="D1660" s="219">
        <v>1.0</v>
      </c>
      <c r="E1660" s="24"/>
      <c r="G1660" s="220">
        <v>43263.0</v>
      </c>
    </row>
    <row r="1661">
      <c r="A1661" s="217">
        <v>43264.67905736111</v>
      </c>
      <c r="B1661" s="218" t="s">
        <v>5184</v>
      </c>
      <c r="C1661" s="218" t="s">
        <v>6458</v>
      </c>
      <c r="D1661" s="219">
        <v>1.0</v>
      </c>
      <c r="E1661" s="24"/>
      <c r="F1661" s="3" t="s">
        <v>5833</v>
      </c>
      <c r="G1661" s="220">
        <v>43263.0</v>
      </c>
    </row>
    <row r="1662">
      <c r="A1662" s="217">
        <v>43264.679904502314</v>
      </c>
      <c r="B1662" s="218" t="s">
        <v>5184</v>
      </c>
      <c r="C1662" s="218" t="s">
        <v>6444</v>
      </c>
      <c r="D1662" s="219">
        <v>1.0</v>
      </c>
      <c r="E1662" s="24"/>
      <c r="F1662" s="3" t="s">
        <v>5833</v>
      </c>
      <c r="G1662" s="220">
        <v>43263.0</v>
      </c>
    </row>
    <row r="1663">
      <c r="A1663" s="217">
        <v>43264.68084346065</v>
      </c>
      <c r="B1663" s="218" t="s">
        <v>5184</v>
      </c>
      <c r="C1663" s="218" t="s">
        <v>6457</v>
      </c>
      <c r="D1663" s="219">
        <v>1.0</v>
      </c>
      <c r="E1663" s="24"/>
      <c r="F1663" s="3" t="s">
        <v>5833</v>
      </c>
      <c r="G1663" s="220">
        <v>43263.0</v>
      </c>
    </row>
    <row r="1664">
      <c r="A1664" s="217">
        <v>43264.68271298611</v>
      </c>
      <c r="B1664" s="218" t="s">
        <v>5184</v>
      </c>
      <c r="C1664" s="218" t="s">
        <v>6446</v>
      </c>
      <c r="D1664" s="219">
        <v>1.0</v>
      </c>
      <c r="E1664" s="24"/>
      <c r="F1664" s="3" t="s">
        <v>5833</v>
      </c>
      <c r="G1664" s="220">
        <v>43263.0</v>
      </c>
    </row>
    <row r="1665">
      <c r="A1665" s="217">
        <v>43264.68338366898</v>
      </c>
      <c r="B1665" s="218" t="s">
        <v>5184</v>
      </c>
      <c r="C1665" s="218" t="s">
        <v>6452</v>
      </c>
      <c r="D1665" s="219">
        <v>1.0</v>
      </c>
      <c r="E1665" s="24"/>
      <c r="F1665" s="3" t="s">
        <v>5833</v>
      </c>
      <c r="G1665" s="220">
        <v>43263.0</v>
      </c>
    </row>
    <row r="1666">
      <c r="A1666" s="217">
        <v>43264.68418834491</v>
      </c>
      <c r="B1666" s="218" t="s">
        <v>5184</v>
      </c>
      <c r="C1666" s="218" t="s">
        <v>6455</v>
      </c>
      <c r="D1666" s="219">
        <v>1.0</v>
      </c>
      <c r="E1666" s="24"/>
      <c r="F1666" s="3" t="s">
        <v>5833</v>
      </c>
      <c r="G1666" s="220">
        <v>43263.0</v>
      </c>
    </row>
    <row r="1667">
      <c r="A1667" s="217">
        <v>43264.685571608796</v>
      </c>
      <c r="B1667" s="218" t="s">
        <v>5184</v>
      </c>
      <c r="C1667" s="218" t="s">
        <v>6519</v>
      </c>
      <c r="D1667" s="219">
        <v>1.0</v>
      </c>
      <c r="E1667" s="24"/>
      <c r="F1667" s="3" t="s">
        <v>5833</v>
      </c>
      <c r="G1667" s="220">
        <v>43263.0</v>
      </c>
    </row>
    <row r="1668">
      <c r="A1668" s="217">
        <v>43264.69348244213</v>
      </c>
      <c r="B1668" s="218" t="s">
        <v>5184</v>
      </c>
      <c r="C1668" s="218" t="s">
        <v>5789</v>
      </c>
      <c r="D1668" s="219">
        <v>1.0</v>
      </c>
      <c r="E1668" s="218">
        <v>400.0</v>
      </c>
      <c r="F1668" s="3" t="s">
        <v>5787</v>
      </c>
      <c r="G1668" s="220">
        <v>43260.0</v>
      </c>
    </row>
    <row r="1669">
      <c r="A1669" s="217">
        <v>43264.694317256944</v>
      </c>
      <c r="B1669" s="218" t="s">
        <v>5184</v>
      </c>
      <c r="C1669" s="218" t="s">
        <v>5845</v>
      </c>
      <c r="D1669" s="219">
        <v>1.0</v>
      </c>
      <c r="E1669" s="218">
        <v>500.0</v>
      </c>
      <c r="F1669" s="3" t="s">
        <v>5787</v>
      </c>
      <c r="G1669" s="220">
        <v>43260.0</v>
      </c>
    </row>
    <row r="1670">
      <c r="A1670" s="217">
        <v>43264.694993564815</v>
      </c>
      <c r="B1670" s="218" t="s">
        <v>5184</v>
      </c>
      <c r="C1670" s="218" t="s">
        <v>5786</v>
      </c>
      <c r="D1670" s="219">
        <v>1.0</v>
      </c>
      <c r="E1670" s="218">
        <v>300.0</v>
      </c>
      <c r="F1670" s="3" t="s">
        <v>5787</v>
      </c>
      <c r="G1670" s="220">
        <v>43260.0</v>
      </c>
    </row>
    <row r="1671">
      <c r="A1671" s="217">
        <v>43264.69601827546</v>
      </c>
      <c r="B1671" s="218" t="s">
        <v>5184</v>
      </c>
      <c r="C1671" s="218" t="s">
        <v>5789</v>
      </c>
      <c r="D1671" s="219">
        <v>1.0</v>
      </c>
      <c r="E1671" s="218">
        <v>400.0</v>
      </c>
      <c r="F1671" s="3" t="s">
        <v>5787</v>
      </c>
      <c r="G1671" s="220">
        <v>43260.0</v>
      </c>
    </row>
    <row r="1672">
      <c r="A1672" s="217">
        <v>43264.696908750004</v>
      </c>
      <c r="B1672" s="218" t="s">
        <v>5184</v>
      </c>
      <c r="C1672" s="218" t="s">
        <v>5818</v>
      </c>
      <c r="D1672" s="219">
        <v>1.0</v>
      </c>
      <c r="E1672" s="218">
        <v>300.0</v>
      </c>
      <c r="F1672" s="3" t="s">
        <v>5787</v>
      </c>
      <c r="G1672" s="220">
        <v>43260.0</v>
      </c>
    </row>
    <row r="1673">
      <c r="A1673" s="217">
        <v>43264.69765840277</v>
      </c>
      <c r="B1673" s="218" t="s">
        <v>5184</v>
      </c>
      <c r="C1673" s="218" t="s">
        <v>6542</v>
      </c>
      <c r="D1673" s="219">
        <v>1.0</v>
      </c>
      <c r="E1673" s="24"/>
      <c r="F1673" s="3" t="s">
        <v>5787</v>
      </c>
      <c r="G1673" s="220">
        <v>43260.0</v>
      </c>
    </row>
    <row r="1674">
      <c r="A1674" s="217">
        <v>43264.69822040509</v>
      </c>
      <c r="B1674" s="218" t="s">
        <v>5184</v>
      </c>
      <c r="C1674" s="218" t="s">
        <v>1608</v>
      </c>
      <c r="D1674" s="219">
        <v>1.0</v>
      </c>
      <c r="E1674" s="24"/>
      <c r="G1674" s="220">
        <v>43260.0</v>
      </c>
    </row>
    <row r="1675">
      <c r="A1675" s="217">
        <v>43264.69975434028</v>
      </c>
      <c r="B1675" s="218" t="s">
        <v>5184</v>
      </c>
      <c r="C1675" s="218" t="s">
        <v>5789</v>
      </c>
      <c r="D1675" s="219">
        <v>1.0</v>
      </c>
      <c r="E1675" s="218">
        <v>400.0</v>
      </c>
      <c r="F1675" s="3" t="s">
        <v>5787</v>
      </c>
      <c r="G1675" s="220">
        <v>43260.0</v>
      </c>
    </row>
    <row r="1676">
      <c r="A1676" s="217">
        <v>43264.7003480787</v>
      </c>
      <c r="B1676" s="218" t="s">
        <v>5184</v>
      </c>
      <c r="C1676" s="218" t="s">
        <v>5845</v>
      </c>
      <c r="D1676" s="219">
        <v>1.0</v>
      </c>
      <c r="E1676" s="218">
        <v>500.0</v>
      </c>
      <c r="F1676" s="3" t="s">
        <v>5787</v>
      </c>
      <c r="G1676" s="220">
        <v>43260.0</v>
      </c>
    </row>
    <row r="1677">
      <c r="A1677" s="217">
        <v>43264.70101635417</v>
      </c>
      <c r="B1677" s="218" t="s">
        <v>5184</v>
      </c>
      <c r="C1677" s="218" t="s">
        <v>5782</v>
      </c>
      <c r="D1677" s="219">
        <v>1.0</v>
      </c>
      <c r="E1677" s="218">
        <v>400.0</v>
      </c>
      <c r="F1677" s="3" t="s">
        <v>5787</v>
      </c>
      <c r="G1677" s="220">
        <v>43261.0</v>
      </c>
    </row>
    <row r="1678">
      <c r="A1678" s="217">
        <v>43264.70177346065</v>
      </c>
      <c r="B1678" s="218" t="s">
        <v>5184</v>
      </c>
      <c r="C1678" s="218" t="s">
        <v>6001</v>
      </c>
      <c r="D1678" s="219">
        <v>1.0</v>
      </c>
      <c r="E1678" s="218">
        <v>500.0</v>
      </c>
      <c r="F1678" s="3" t="s">
        <v>5787</v>
      </c>
      <c r="G1678" s="220">
        <v>43262.0</v>
      </c>
    </row>
    <row r="1679">
      <c r="A1679" s="217">
        <v>43264.70251880787</v>
      </c>
      <c r="B1679" s="218" t="s">
        <v>5184</v>
      </c>
      <c r="C1679" s="218" t="s">
        <v>5789</v>
      </c>
      <c r="D1679" s="219">
        <v>1.0</v>
      </c>
      <c r="E1679" s="218">
        <v>400.0</v>
      </c>
      <c r="F1679" s="3" t="s">
        <v>5787</v>
      </c>
      <c r="G1679" s="220">
        <v>43262.0</v>
      </c>
    </row>
    <row r="1680">
      <c r="A1680" s="217">
        <v>43264.70334177083</v>
      </c>
      <c r="B1680" s="218" t="s">
        <v>5184</v>
      </c>
      <c r="C1680" s="218" t="s">
        <v>6001</v>
      </c>
      <c r="D1680" s="219">
        <v>1.0</v>
      </c>
      <c r="E1680" s="218">
        <v>500.0</v>
      </c>
      <c r="F1680" s="3" t="s">
        <v>5787</v>
      </c>
      <c r="G1680" s="220">
        <v>43262.0</v>
      </c>
    </row>
    <row r="1681">
      <c r="A1681" s="217">
        <v>43264.70397934028</v>
      </c>
      <c r="B1681" s="218" t="s">
        <v>5184</v>
      </c>
      <c r="C1681" s="218" t="s">
        <v>6548</v>
      </c>
      <c r="D1681" s="219">
        <v>1.0</v>
      </c>
      <c r="E1681" s="218">
        <v>1800.0</v>
      </c>
      <c r="F1681" s="3" t="s">
        <v>5833</v>
      </c>
      <c r="G1681" s="220">
        <v>43262.0</v>
      </c>
    </row>
    <row r="1682">
      <c r="A1682" s="217">
        <v>43264.704645335645</v>
      </c>
      <c r="B1682" s="218" t="s">
        <v>5184</v>
      </c>
      <c r="C1682" s="218" t="s">
        <v>6001</v>
      </c>
      <c r="D1682" s="219">
        <v>1.0</v>
      </c>
      <c r="E1682" s="218">
        <v>500.0</v>
      </c>
      <c r="F1682" s="3" t="s">
        <v>5787</v>
      </c>
      <c r="G1682" s="220">
        <v>43263.0</v>
      </c>
    </row>
    <row r="1683">
      <c r="A1683" s="217">
        <v>43264.70628982639</v>
      </c>
      <c r="B1683" s="218" t="s">
        <v>5184</v>
      </c>
      <c r="C1683" s="218" t="s">
        <v>6493</v>
      </c>
      <c r="D1683" s="219">
        <v>1.0</v>
      </c>
      <c r="E1683" s="24"/>
      <c r="F1683" s="3" t="s">
        <v>5135</v>
      </c>
      <c r="G1683" s="220">
        <v>43264.0</v>
      </c>
    </row>
    <row r="1684">
      <c r="A1684" s="217">
        <v>43264.70745015046</v>
      </c>
      <c r="B1684" s="218" t="s">
        <v>5184</v>
      </c>
      <c r="C1684" s="218" t="s">
        <v>1473</v>
      </c>
      <c r="D1684" s="219">
        <v>1.0</v>
      </c>
      <c r="E1684" s="24"/>
      <c r="G1684" s="220">
        <v>43264.0</v>
      </c>
    </row>
    <row r="1685">
      <c r="A1685" s="217">
        <v>43264.70949122685</v>
      </c>
      <c r="B1685" s="218" t="s">
        <v>5184</v>
      </c>
      <c r="C1685" s="218" t="s">
        <v>6551</v>
      </c>
      <c r="D1685" s="219">
        <v>1.0</v>
      </c>
      <c r="E1685" s="24"/>
      <c r="F1685" s="3" t="s">
        <v>5833</v>
      </c>
      <c r="G1685" s="220">
        <v>43263.0</v>
      </c>
    </row>
    <row r="1686">
      <c r="A1686" s="217">
        <v>43265.41890525463</v>
      </c>
      <c r="B1686" s="218" t="s">
        <v>5092</v>
      </c>
      <c r="C1686" s="218" t="s">
        <v>2043</v>
      </c>
      <c r="D1686" s="219">
        <v>1.0</v>
      </c>
      <c r="E1686" s="24"/>
      <c r="G1686" s="220">
        <v>43236.0</v>
      </c>
    </row>
    <row r="1687">
      <c r="A1687" s="217">
        <v>43265.433054375</v>
      </c>
      <c r="B1687" s="218" t="s">
        <v>5092</v>
      </c>
      <c r="C1687" s="218" t="s">
        <v>6553</v>
      </c>
      <c r="D1687" s="219">
        <v>1.0</v>
      </c>
      <c r="E1687" s="24"/>
      <c r="G1687" s="220">
        <v>43236.0</v>
      </c>
    </row>
    <row r="1688">
      <c r="A1688" s="217">
        <v>43265.433971377315</v>
      </c>
      <c r="B1688" s="218" t="s">
        <v>5092</v>
      </c>
      <c r="C1688" s="218" t="s">
        <v>6554</v>
      </c>
      <c r="D1688" s="219">
        <v>1.0</v>
      </c>
      <c r="E1688" s="24"/>
      <c r="G1688" s="220">
        <v>43236.0</v>
      </c>
    </row>
    <row r="1689">
      <c r="A1689" s="217">
        <v>43265.43480271991</v>
      </c>
      <c r="B1689" s="218" t="s">
        <v>5092</v>
      </c>
      <c r="C1689" s="218" t="s">
        <v>6555</v>
      </c>
      <c r="D1689" s="219">
        <v>1.0</v>
      </c>
      <c r="E1689" s="24"/>
      <c r="G1689" s="220">
        <v>43236.0</v>
      </c>
    </row>
    <row r="1690">
      <c r="A1690" s="217">
        <v>43265.43569319445</v>
      </c>
      <c r="B1690" s="218" t="s">
        <v>5092</v>
      </c>
      <c r="C1690" s="218" t="s">
        <v>6556</v>
      </c>
      <c r="D1690" s="219">
        <v>1.0</v>
      </c>
      <c r="E1690" s="24"/>
      <c r="G1690" s="220">
        <v>43236.0</v>
      </c>
    </row>
    <row r="1691">
      <c r="A1691" s="217">
        <v>43265.43639662037</v>
      </c>
      <c r="B1691" s="218" t="s">
        <v>5092</v>
      </c>
      <c r="C1691" s="218" t="s">
        <v>6557</v>
      </c>
      <c r="D1691" s="219">
        <v>1.0</v>
      </c>
      <c r="E1691" s="24"/>
      <c r="G1691" s="220">
        <v>43236.0</v>
      </c>
    </row>
    <row r="1692">
      <c r="A1692" s="217">
        <v>43265.43709057871</v>
      </c>
      <c r="B1692" s="218" t="s">
        <v>5092</v>
      </c>
      <c r="C1692" s="218" t="s">
        <v>6558</v>
      </c>
      <c r="D1692" s="219">
        <v>1.0</v>
      </c>
      <c r="E1692" s="24"/>
      <c r="G1692" s="220">
        <v>43236.0</v>
      </c>
    </row>
    <row r="1693">
      <c r="A1693" s="217">
        <v>43265.43779679398</v>
      </c>
      <c r="B1693" s="218" t="s">
        <v>5092</v>
      </c>
      <c r="C1693" s="218" t="s">
        <v>6559</v>
      </c>
      <c r="D1693" s="219">
        <v>1.0</v>
      </c>
      <c r="E1693" s="24"/>
      <c r="G1693" s="220">
        <v>43236.0</v>
      </c>
    </row>
    <row r="1694">
      <c r="A1694" s="217">
        <v>43265.43867422454</v>
      </c>
      <c r="B1694" s="218" t="s">
        <v>5092</v>
      </c>
      <c r="C1694" s="218" t="s">
        <v>6560</v>
      </c>
      <c r="D1694" s="219">
        <v>1.0</v>
      </c>
      <c r="E1694" s="24"/>
      <c r="G1694" s="220">
        <v>43236.0</v>
      </c>
    </row>
    <row r="1695">
      <c r="A1695" s="217">
        <v>43265.44038733796</v>
      </c>
      <c r="B1695" s="218" t="s">
        <v>5092</v>
      </c>
      <c r="C1695" s="218" t="s">
        <v>6561</v>
      </c>
      <c r="D1695" s="219">
        <v>1.0</v>
      </c>
      <c r="E1695" s="24"/>
      <c r="G1695" s="220">
        <v>43236.0</v>
      </c>
    </row>
    <row r="1696">
      <c r="A1696" s="217">
        <v>43265.441013993055</v>
      </c>
      <c r="B1696" s="218" t="s">
        <v>5092</v>
      </c>
      <c r="C1696" s="218" t="s">
        <v>6562</v>
      </c>
      <c r="D1696" s="219">
        <v>1.0</v>
      </c>
      <c r="E1696" s="24"/>
      <c r="G1696" s="220">
        <v>43236.0</v>
      </c>
    </row>
    <row r="1697">
      <c r="A1697" s="217">
        <v>43265.44188763889</v>
      </c>
      <c r="B1697" s="218" t="s">
        <v>5092</v>
      </c>
      <c r="C1697" s="218" t="s">
        <v>6563</v>
      </c>
      <c r="D1697" s="219">
        <v>1.0</v>
      </c>
      <c r="E1697" s="24"/>
      <c r="G1697" s="220">
        <v>43236.0</v>
      </c>
    </row>
    <row r="1698">
      <c r="A1698" s="217">
        <v>43265.44290184027</v>
      </c>
      <c r="B1698" s="218" t="s">
        <v>5092</v>
      </c>
      <c r="C1698" s="218" t="s">
        <v>6564</v>
      </c>
      <c r="D1698" s="219">
        <v>1.0</v>
      </c>
      <c r="E1698" s="24"/>
      <c r="G1698" s="220">
        <v>43236.0</v>
      </c>
    </row>
    <row r="1699">
      <c r="A1699" s="217">
        <v>43265.44394625</v>
      </c>
      <c r="B1699" s="218" t="s">
        <v>5092</v>
      </c>
      <c r="C1699" s="218" t="s">
        <v>6565</v>
      </c>
      <c r="D1699" s="219">
        <v>1.0</v>
      </c>
      <c r="E1699" s="24"/>
      <c r="G1699" s="220">
        <v>43236.0</v>
      </c>
    </row>
    <row r="1700">
      <c r="A1700" s="217">
        <v>43265.44514876157</v>
      </c>
      <c r="B1700" s="218" t="s">
        <v>5092</v>
      </c>
      <c r="C1700" s="218" t="s">
        <v>6566</v>
      </c>
      <c r="D1700" s="219">
        <v>1.0</v>
      </c>
      <c r="E1700" s="24"/>
      <c r="G1700" s="220">
        <v>43236.0</v>
      </c>
    </row>
    <row r="1701">
      <c r="A1701" s="217">
        <v>43265.446782893516</v>
      </c>
      <c r="B1701" s="218" t="s">
        <v>5092</v>
      </c>
      <c r="C1701" s="218" t="s">
        <v>6567</v>
      </c>
      <c r="D1701" s="219">
        <v>1.0</v>
      </c>
      <c r="E1701" s="24"/>
      <c r="G1701" s="220">
        <v>43236.0</v>
      </c>
    </row>
    <row r="1702">
      <c r="A1702" s="217">
        <v>43265.44745421296</v>
      </c>
      <c r="B1702" s="218" t="s">
        <v>5092</v>
      </c>
      <c r="C1702" s="218" t="s">
        <v>6568</v>
      </c>
      <c r="D1702" s="219">
        <v>1.0</v>
      </c>
      <c r="E1702" s="24"/>
      <c r="G1702" s="220">
        <v>43236.0</v>
      </c>
    </row>
    <row r="1703">
      <c r="A1703" s="217">
        <v>43265.448505011576</v>
      </c>
      <c r="B1703" s="218" t="s">
        <v>5092</v>
      </c>
      <c r="C1703" s="218" t="s">
        <v>6569</v>
      </c>
      <c r="D1703" s="219">
        <v>1.0</v>
      </c>
      <c r="E1703" s="24"/>
      <c r="G1703" s="220">
        <v>43236.0</v>
      </c>
    </row>
    <row r="1704">
      <c r="A1704" s="217">
        <v>43265.449542511575</v>
      </c>
      <c r="B1704" s="218" t="s">
        <v>5092</v>
      </c>
      <c r="C1704" s="218" t="s">
        <v>6570</v>
      </c>
      <c r="D1704" s="219">
        <v>1.0</v>
      </c>
      <c r="E1704" s="24"/>
      <c r="G1704" s="220">
        <v>43236.0</v>
      </c>
    </row>
    <row r="1705">
      <c r="A1705" s="217">
        <v>43265.45021872685</v>
      </c>
      <c r="B1705" s="218" t="s">
        <v>5092</v>
      </c>
      <c r="C1705" s="218" t="s">
        <v>6571</v>
      </c>
      <c r="D1705" s="219">
        <v>1.0</v>
      </c>
      <c r="E1705" s="24"/>
      <c r="G1705" s="220">
        <v>43236.0</v>
      </c>
    </row>
    <row r="1706">
      <c r="A1706" s="217">
        <v>43265.45716116898</v>
      </c>
      <c r="B1706" s="218" t="s">
        <v>5092</v>
      </c>
      <c r="C1706" s="218" t="s">
        <v>6572</v>
      </c>
      <c r="D1706" s="219">
        <v>1.0</v>
      </c>
      <c r="E1706" s="24"/>
      <c r="G1706" s="220">
        <v>43236.0</v>
      </c>
    </row>
    <row r="1707">
      <c r="A1707" s="217">
        <v>43265.458241631946</v>
      </c>
      <c r="B1707" s="218" t="s">
        <v>5092</v>
      </c>
      <c r="C1707" s="218" t="s">
        <v>6573</v>
      </c>
      <c r="D1707" s="219">
        <v>1.0</v>
      </c>
      <c r="E1707" s="24"/>
      <c r="G1707" s="220">
        <v>43236.0</v>
      </c>
    </row>
    <row r="1708">
      <c r="A1708" s="217">
        <v>43265.46050701389</v>
      </c>
      <c r="B1708" s="218" t="s">
        <v>5092</v>
      </c>
      <c r="C1708" s="218" t="s">
        <v>6574</v>
      </c>
      <c r="D1708" s="219">
        <v>1.0</v>
      </c>
      <c r="E1708" s="24"/>
      <c r="G1708" s="220">
        <v>43236.0</v>
      </c>
    </row>
    <row r="1709">
      <c r="A1709" s="217">
        <v>43265.46148622685</v>
      </c>
      <c r="B1709" s="218" t="s">
        <v>5092</v>
      </c>
      <c r="C1709" s="218" t="s">
        <v>6575</v>
      </c>
      <c r="D1709" s="219">
        <v>1.0</v>
      </c>
      <c r="E1709" s="24"/>
      <c r="G1709" s="220">
        <v>43236.0</v>
      </c>
    </row>
    <row r="1710">
      <c r="A1710" s="217">
        <v>43265.46391653935</v>
      </c>
      <c r="B1710" s="218" t="s">
        <v>5092</v>
      </c>
      <c r="C1710" s="218" t="s">
        <v>6576</v>
      </c>
      <c r="D1710" s="219">
        <v>1.0</v>
      </c>
      <c r="E1710" s="24"/>
      <c r="G1710" s="220">
        <v>43236.0</v>
      </c>
    </row>
    <row r="1711">
      <c r="A1711" s="217">
        <v>43265.4679878125</v>
      </c>
      <c r="B1711" s="218" t="s">
        <v>5092</v>
      </c>
      <c r="C1711" s="218" t="s">
        <v>6577</v>
      </c>
      <c r="D1711" s="219">
        <v>1.0</v>
      </c>
      <c r="E1711" s="24"/>
      <c r="G1711" s="220">
        <v>43236.0</v>
      </c>
    </row>
    <row r="1712">
      <c r="A1712" s="217">
        <v>43265.46980842593</v>
      </c>
      <c r="B1712" s="218" t="s">
        <v>5092</v>
      </c>
      <c r="C1712" s="218" t="s">
        <v>6578</v>
      </c>
      <c r="D1712" s="219">
        <v>1.0</v>
      </c>
      <c r="E1712" s="24"/>
      <c r="G1712" s="220">
        <v>43236.0</v>
      </c>
    </row>
    <row r="1713">
      <c r="A1713" s="217">
        <v>43265.47062928241</v>
      </c>
      <c r="B1713" s="218" t="s">
        <v>5092</v>
      </c>
      <c r="C1713" s="218" t="s">
        <v>6579</v>
      </c>
      <c r="D1713" s="219">
        <v>1.0</v>
      </c>
      <c r="E1713" s="24"/>
      <c r="G1713" s="220">
        <v>43236.0</v>
      </c>
    </row>
    <row r="1714">
      <c r="A1714" s="217">
        <v>43265.471431956015</v>
      </c>
      <c r="B1714" s="218" t="s">
        <v>5092</v>
      </c>
      <c r="C1714" s="218" t="s">
        <v>6580</v>
      </c>
      <c r="D1714" s="219">
        <v>1.0</v>
      </c>
      <c r="E1714" s="24"/>
      <c r="G1714" s="220">
        <v>43236.0</v>
      </c>
    </row>
    <row r="1715">
      <c r="A1715" s="217">
        <v>43265.47230570602</v>
      </c>
      <c r="B1715" s="218" t="s">
        <v>5092</v>
      </c>
      <c r="C1715" s="218" t="s">
        <v>6581</v>
      </c>
      <c r="D1715" s="219">
        <v>1.0</v>
      </c>
      <c r="E1715" s="24"/>
      <c r="G1715" s="220">
        <v>43236.0</v>
      </c>
    </row>
    <row r="1716">
      <c r="A1716" s="217">
        <v>43265.473117002315</v>
      </c>
      <c r="B1716" s="218" t="s">
        <v>5092</v>
      </c>
      <c r="C1716" s="218" t="s">
        <v>6582</v>
      </c>
      <c r="D1716" s="219">
        <v>1.0</v>
      </c>
      <c r="E1716" s="24"/>
      <c r="G1716" s="220">
        <v>43236.0</v>
      </c>
    </row>
    <row r="1717">
      <c r="A1717" s="217">
        <v>43265.473775011575</v>
      </c>
      <c r="B1717" s="218" t="s">
        <v>5092</v>
      </c>
      <c r="C1717" s="218" t="s">
        <v>6583</v>
      </c>
      <c r="D1717" s="219">
        <v>1.0</v>
      </c>
      <c r="E1717" s="24"/>
      <c r="G1717" s="220">
        <v>43236.0</v>
      </c>
    </row>
    <row r="1718">
      <c r="A1718" s="217">
        <v>43265.47463416666</v>
      </c>
      <c r="B1718" s="218" t="s">
        <v>5092</v>
      </c>
      <c r="C1718" s="218" t="s">
        <v>6584</v>
      </c>
      <c r="D1718" s="219">
        <v>1.0</v>
      </c>
      <c r="E1718" s="24"/>
      <c r="G1718" s="220">
        <v>43236.0</v>
      </c>
    </row>
    <row r="1719">
      <c r="A1719" s="217">
        <v>43265.47552717593</v>
      </c>
      <c r="B1719" s="218" t="s">
        <v>5092</v>
      </c>
      <c r="C1719" s="218" t="s">
        <v>6585</v>
      </c>
      <c r="D1719" s="219">
        <v>1.0</v>
      </c>
      <c r="E1719" s="24"/>
      <c r="G1719" s="220">
        <v>43236.0</v>
      </c>
    </row>
    <row r="1720">
      <c r="A1720" s="217">
        <v>43265.47623101852</v>
      </c>
      <c r="B1720" s="218" t="s">
        <v>5092</v>
      </c>
      <c r="C1720" s="218" t="s">
        <v>6586</v>
      </c>
      <c r="D1720" s="219">
        <v>1.0</v>
      </c>
      <c r="E1720" s="24"/>
      <c r="G1720" s="220">
        <v>43236.0</v>
      </c>
    </row>
    <row r="1721">
      <c r="A1721" s="217">
        <v>43270.75485600694</v>
      </c>
      <c r="B1721" s="218" t="s">
        <v>5092</v>
      </c>
      <c r="C1721" s="218" t="s">
        <v>1228</v>
      </c>
      <c r="D1721" s="219">
        <v>1.0</v>
      </c>
      <c r="E1721" s="218">
        <v>9500.0</v>
      </c>
      <c r="F1721" s="3" t="s">
        <v>6587</v>
      </c>
      <c r="G1721" s="220">
        <v>43270.0</v>
      </c>
    </row>
    <row r="1722">
      <c r="A1722" s="217">
        <v>43270.756114375</v>
      </c>
      <c r="B1722" s="218" t="s">
        <v>5092</v>
      </c>
      <c r="C1722" s="218" t="s">
        <v>6589</v>
      </c>
      <c r="D1722" s="219">
        <v>1.0</v>
      </c>
      <c r="E1722" s="218">
        <v>9500.0</v>
      </c>
      <c r="F1722" s="3" t="s">
        <v>6587</v>
      </c>
      <c r="G1722" s="220">
        <v>43270.0</v>
      </c>
    </row>
    <row r="1723">
      <c r="A1723" s="217">
        <v>43270.759035254625</v>
      </c>
      <c r="B1723" s="218" t="s">
        <v>5092</v>
      </c>
      <c r="C1723" s="218" t="s">
        <v>6591</v>
      </c>
      <c r="D1723" s="219">
        <v>1.0</v>
      </c>
      <c r="E1723" s="218">
        <v>6490.0</v>
      </c>
      <c r="F1723" s="3" t="s">
        <v>5094</v>
      </c>
      <c r="G1723" s="220">
        <v>43270.0</v>
      </c>
    </row>
    <row r="1724">
      <c r="A1724" s="217">
        <v>43273.45502530092</v>
      </c>
      <c r="B1724" s="218" t="s">
        <v>5092</v>
      </c>
      <c r="C1724" s="218" t="s">
        <v>5160</v>
      </c>
      <c r="D1724" s="219">
        <v>1.0</v>
      </c>
      <c r="E1724" s="218">
        <v>6990.0</v>
      </c>
      <c r="G1724" s="220">
        <v>43270.0</v>
      </c>
    </row>
    <row r="1725">
      <c r="A1725" s="217">
        <v>43273.47935204861</v>
      </c>
      <c r="B1725" s="218" t="s">
        <v>5184</v>
      </c>
      <c r="C1725" s="218" t="s">
        <v>6593</v>
      </c>
      <c r="D1725" s="219">
        <v>1.0</v>
      </c>
      <c r="E1725" s="218">
        <v>3990.0</v>
      </c>
      <c r="G1725" s="220">
        <v>43266.0</v>
      </c>
    </row>
    <row r="1726">
      <c r="A1726" s="217">
        <v>43273.48033103009</v>
      </c>
      <c r="B1726" s="218" t="s">
        <v>5184</v>
      </c>
      <c r="C1726" s="218" t="s">
        <v>5147</v>
      </c>
      <c r="D1726" s="219">
        <v>1.0</v>
      </c>
      <c r="E1726" s="218">
        <v>7990.0</v>
      </c>
      <c r="F1726" s="3" t="s">
        <v>5158</v>
      </c>
      <c r="G1726" s="220">
        <v>43266.0</v>
      </c>
    </row>
    <row r="1727">
      <c r="A1727" s="217">
        <v>43273.48132314815</v>
      </c>
      <c r="B1727" s="218" t="s">
        <v>5184</v>
      </c>
      <c r="C1727" s="218" t="s">
        <v>4505</v>
      </c>
      <c r="D1727" s="219">
        <v>1.0</v>
      </c>
      <c r="E1727" s="218">
        <v>1850.0</v>
      </c>
      <c r="F1727" s="3" t="s">
        <v>5293</v>
      </c>
      <c r="G1727" s="220">
        <v>43269.0</v>
      </c>
    </row>
    <row r="1728">
      <c r="A1728" s="217">
        <v>43273.482165636575</v>
      </c>
      <c r="B1728" s="218" t="s">
        <v>5184</v>
      </c>
      <c r="C1728" s="218" t="s">
        <v>5109</v>
      </c>
      <c r="D1728" s="219">
        <v>1.0</v>
      </c>
      <c r="E1728" s="218">
        <v>5990.0</v>
      </c>
      <c r="F1728" s="3" t="s">
        <v>5105</v>
      </c>
      <c r="G1728" s="220">
        <v>43269.0</v>
      </c>
    </row>
    <row r="1729">
      <c r="A1729" s="217">
        <v>43273.49892290509</v>
      </c>
      <c r="B1729" s="218" t="s">
        <v>5184</v>
      </c>
      <c r="C1729" s="218" t="s">
        <v>4649</v>
      </c>
      <c r="D1729" s="219">
        <v>1.0</v>
      </c>
      <c r="E1729" s="218">
        <v>950.0</v>
      </c>
      <c r="F1729" s="3" t="s">
        <v>5295</v>
      </c>
      <c r="G1729" s="220">
        <v>43265.0</v>
      </c>
    </row>
    <row r="1730">
      <c r="A1730" s="217">
        <v>43273.50088024305</v>
      </c>
      <c r="B1730" s="218" t="s">
        <v>5184</v>
      </c>
      <c r="C1730" s="218" t="s">
        <v>5651</v>
      </c>
      <c r="D1730" s="219">
        <v>1.0</v>
      </c>
      <c r="E1730" s="218">
        <v>2950.0</v>
      </c>
      <c r="G1730" s="220">
        <v>43270.0</v>
      </c>
    </row>
    <row r="1731">
      <c r="A1731" s="217">
        <v>43273.503977858796</v>
      </c>
      <c r="B1731" s="218" t="s">
        <v>5184</v>
      </c>
      <c r="C1731" s="218" t="s">
        <v>6211</v>
      </c>
      <c r="D1731" s="219">
        <v>1.0</v>
      </c>
      <c r="E1731" s="218">
        <v>7290.0</v>
      </c>
      <c r="G1731" s="220">
        <v>43270.0</v>
      </c>
    </row>
    <row r="1732">
      <c r="A1732" s="217">
        <v>43273.506759282405</v>
      </c>
      <c r="B1732" s="218" t="s">
        <v>5184</v>
      </c>
      <c r="C1732" s="218" t="s">
        <v>4520</v>
      </c>
      <c r="D1732" s="219">
        <v>1.0</v>
      </c>
      <c r="E1732" s="218">
        <v>2390.0</v>
      </c>
      <c r="F1732" s="3" t="s">
        <v>5293</v>
      </c>
      <c r="G1732" s="220">
        <v>43272.0</v>
      </c>
    </row>
    <row r="1733">
      <c r="A1733" s="217">
        <v>43273.51004476852</v>
      </c>
      <c r="B1733" s="218" t="s">
        <v>2322</v>
      </c>
      <c r="C1733" s="218" t="s">
        <v>1915</v>
      </c>
      <c r="D1733" s="219">
        <v>1.0</v>
      </c>
      <c r="E1733" s="218">
        <v>3390.0</v>
      </c>
      <c r="G1733" s="220">
        <v>43273.0</v>
      </c>
    </row>
    <row r="1734">
      <c r="A1734" s="217">
        <v>43273.51258217593</v>
      </c>
      <c r="B1734" s="218" t="s">
        <v>5184</v>
      </c>
      <c r="C1734" s="218" t="s">
        <v>1915</v>
      </c>
      <c r="D1734" s="219">
        <v>1.0</v>
      </c>
      <c r="E1734" s="218">
        <v>3390.0</v>
      </c>
      <c r="G1734" s="220">
        <v>43273.0</v>
      </c>
    </row>
    <row r="1735">
      <c r="A1735" s="217">
        <v>43273.51461966435</v>
      </c>
      <c r="B1735" s="218" t="s">
        <v>5184</v>
      </c>
      <c r="C1735" s="218" t="s">
        <v>5789</v>
      </c>
      <c r="D1735" s="219">
        <v>1.0</v>
      </c>
      <c r="E1735" s="218">
        <v>400.0</v>
      </c>
      <c r="F1735" s="3" t="s">
        <v>5787</v>
      </c>
      <c r="G1735" s="220">
        <v>43264.0</v>
      </c>
    </row>
    <row r="1736">
      <c r="A1736" s="217">
        <v>43273.51542954861</v>
      </c>
      <c r="B1736" s="218" t="s">
        <v>5184</v>
      </c>
      <c r="C1736" s="218" t="s">
        <v>5789</v>
      </c>
      <c r="D1736" s="219">
        <v>1.0</v>
      </c>
      <c r="E1736" s="218">
        <v>400.0</v>
      </c>
      <c r="F1736" s="3" t="s">
        <v>5787</v>
      </c>
      <c r="G1736" s="220">
        <v>43264.0</v>
      </c>
    </row>
    <row r="1737">
      <c r="A1737" s="217">
        <v>43273.516078009256</v>
      </c>
      <c r="B1737" s="218" t="s">
        <v>5184</v>
      </c>
      <c r="C1737" s="218" t="s">
        <v>5786</v>
      </c>
      <c r="D1737" s="219">
        <v>1.0</v>
      </c>
      <c r="E1737" s="218">
        <v>300.0</v>
      </c>
      <c r="F1737" s="3" t="s">
        <v>5787</v>
      </c>
      <c r="G1737" s="220">
        <v>43264.0</v>
      </c>
    </row>
    <row r="1738">
      <c r="A1738" s="217">
        <v>43273.5171496875</v>
      </c>
      <c r="B1738" s="218" t="s">
        <v>5184</v>
      </c>
      <c r="C1738" s="218" t="s">
        <v>5786</v>
      </c>
      <c r="D1738" s="219">
        <v>1.0</v>
      </c>
      <c r="E1738" s="218">
        <v>300.0</v>
      </c>
      <c r="F1738" s="3" t="s">
        <v>5787</v>
      </c>
      <c r="G1738" s="220">
        <v>43264.0</v>
      </c>
    </row>
    <row r="1739">
      <c r="A1739" s="217">
        <v>43273.517837210646</v>
      </c>
      <c r="B1739" s="218" t="s">
        <v>5184</v>
      </c>
      <c r="C1739" s="218" t="s">
        <v>5782</v>
      </c>
      <c r="D1739" s="219">
        <v>1.0</v>
      </c>
      <c r="E1739" s="218">
        <v>400.0</v>
      </c>
      <c r="F1739" s="3" t="s">
        <v>5787</v>
      </c>
      <c r="G1739" s="220">
        <v>43264.0</v>
      </c>
    </row>
    <row r="1740">
      <c r="A1740" s="217">
        <v>43273.51885790509</v>
      </c>
      <c r="B1740" s="218" t="s">
        <v>5184</v>
      </c>
      <c r="C1740" s="218" t="s">
        <v>5789</v>
      </c>
      <c r="D1740" s="219">
        <v>1.0</v>
      </c>
      <c r="E1740" s="218">
        <v>400.0</v>
      </c>
      <c r="F1740" s="3" t="s">
        <v>5787</v>
      </c>
      <c r="G1740" s="220">
        <v>43264.0</v>
      </c>
    </row>
    <row r="1741">
      <c r="A1741" s="217">
        <v>43273.519785763885</v>
      </c>
      <c r="B1741" s="218" t="s">
        <v>5184</v>
      </c>
      <c r="C1741" s="218" t="s">
        <v>5786</v>
      </c>
      <c r="D1741" s="219">
        <v>1.0</v>
      </c>
      <c r="E1741" s="218">
        <v>300.0</v>
      </c>
      <c r="F1741" s="3" t="s">
        <v>5787</v>
      </c>
      <c r="G1741" s="220">
        <v>43265.0</v>
      </c>
    </row>
    <row r="1742">
      <c r="A1742" s="217">
        <v>43273.5206146875</v>
      </c>
      <c r="B1742" s="218" t="s">
        <v>5184</v>
      </c>
      <c r="C1742" s="218" t="s">
        <v>5845</v>
      </c>
      <c r="D1742" s="219">
        <v>1.0</v>
      </c>
      <c r="E1742" s="218">
        <v>500.0</v>
      </c>
      <c r="F1742" s="3" t="s">
        <v>5787</v>
      </c>
      <c r="G1742" s="220">
        <v>43265.0</v>
      </c>
    </row>
    <row r="1743">
      <c r="A1743" s="217">
        <v>43273.52975987269</v>
      </c>
      <c r="B1743" s="218" t="s">
        <v>5184</v>
      </c>
      <c r="C1743" s="218" t="s">
        <v>5848</v>
      </c>
      <c r="D1743" s="219">
        <v>1.0</v>
      </c>
      <c r="E1743" s="218">
        <v>1000.0</v>
      </c>
      <c r="F1743" s="3" t="s">
        <v>5787</v>
      </c>
      <c r="G1743" s="220">
        <v>43265.0</v>
      </c>
    </row>
    <row r="1744">
      <c r="A1744" s="217">
        <v>43273.53070321759</v>
      </c>
      <c r="B1744" s="218" t="s">
        <v>5184</v>
      </c>
      <c r="C1744" s="218" t="s">
        <v>6001</v>
      </c>
      <c r="D1744" s="219">
        <v>1.0</v>
      </c>
      <c r="E1744" s="218">
        <v>500.0</v>
      </c>
      <c r="F1744" s="3" t="s">
        <v>5787</v>
      </c>
      <c r="G1744" s="220">
        <v>43266.0</v>
      </c>
    </row>
    <row r="1745">
      <c r="A1745" s="217">
        <v>43273.531684166664</v>
      </c>
      <c r="B1745" s="218" t="s">
        <v>5184</v>
      </c>
      <c r="C1745" s="218" t="s">
        <v>6351</v>
      </c>
      <c r="D1745" s="219">
        <v>1.0</v>
      </c>
      <c r="E1745" s="218">
        <v>1000.0</v>
      </c>
      <c r="F1745" s="3" t="s">
        <v>5787</v>
      </c>
      <c r="G1745" s="220">
        <v>43267.0</v>
      </c>
    </row>
    <row r="1746">
      <c r="A1746" s="217">
        <v>43273.53308548611</v>
      </c>
      <c r="B1746" s="218" t="s">
        <v>5184</v>
      </c>
      <c r="C1746" s="218" t="s">
        <v>5786</v>
      </c>
      <c r="D1746" s="219">
        <v>1.0</v>
      </c>
      <c r="E1746" s="218">
        <v>300.0</v>
      </c>
      <c r="F1746" s="3" t="s">
        <v>5787</v>
      </c>
      <c r="G1746" s="220">
        <v>43267.0</v>
      </c>
    </row>
    <row r="1747">
      <c r="A1747" s="217">
        <v>43273.535933217594</v>
      </c>
      <c r="B1747" s="218" t="s">
        <v>5184</v>
      </c>
      <c r="C1747" s="218" t="s">
        <v>6001</v>
      </c>
      <c r="D1747" s="219">
        <v>1.0</v>
      </c>
      <c r="E1747" s="218">
        <v>500.0</v>
      </c>
      <c r="F1747" s="3" t="s">
        <v>5787</v>
      </c>
      <c r="G1747" s="220">
        <v>43269.0</v>
      </c>
    </row>
    <row r="1748">
      <c r="A1748" s="217">
        <v>43273.53659053241</v>
      </c>
      <c r="B1748" s="218" t="s">
        <v>5184</v>
      </c>
      <c r="C1748" s="218" t="s">
        <v>6001</v>
      </c>
      <c r="D1748" s="219">
        <v>1.0</v>
      </c>
      <c r="E1748" s="218">
        <v>500.0</v>
      </c>
      <c r="F1748" s="3" t="s">
        <v>5787</v>
      </c>
      <c r="G1748" s="220">
        <v>43269.0</v>
      </c>
    </row>
    <row r="1749">
      <c r="A1749" s="217">
        <v>43273.537735034726</v>
      </c>
      <c r="B1749" s="218" t="s">
        <v>5184</v>
      </c>
      <c r="C1749" s="218" t="s">
        <v>5845</v>
      </c>
      <c r="D1749" s="219">
        <v>1.0</v>
      </c>
      <c r="E1749" s="218">
        <v>500.0</v>
      </c>
      <c r="F1749" s="3" t="s">
        <v>5787</v>
      </c>
      <c r="G1749" s="220">
        <v>43270.0</v>
      </c>
    </row>
    <row r="1750">
      <c r="A1750" s="217">
        <v>43273.54128295139</v>
      </c>
      <c r="B1750" s="218" t="s">
        <v>5184</v>
      </c>
      <c r="C1750" s="218" t="s">
        <v>5804</v>
      </c>
      <c r="D1750" s="219">
        <v>1.0</v>
      </c>
      <c r="E1750" s="218">
        <v>300.0</v>
      </c>
      <c r="F1750" s="3" t="s">
        <v>5787</v>
      </c>
      <c r="G1750" s="220">
        <v>43270.0</v>
      </c>
    </row>
    <row r="1751">
      <c r="A1751" s="217">
        <v>43273.542066643524</v>
      </c>
      <c r="B1751" s="218" t="s">
        <v>5184</v>
      </c>
      <c r="C1751" s="218" t="s">
        <v>6001</v>
      </c>
      <c r="D1751" s="219">
        <v>1.0</v>
      </c>
      <c r="E1751" s="218">
        <v>500.0</v>
      </c>
      <c r="F1751" s="3" t="s">
        <v>5787</v>
      </c>
      <c r="G1751" s="220">
        <v>43271.0</v>
      </c>
    </row>
    <row r="1752">
      <c r="A1752" s="217">
        <v>43273.544134317126</v>
      </c>
      <c r="B1752" s="218" t="s">
        <v>5184</v>
      </c>
      <c r="C1752" s="218" t="s">
        <v>5782</v>
      </c>
      <c r="D1752" s="219">
        <v>1.0</v>
      </c>
      <c r="E1752" s="218">
        <v>400.0</v>
      </c>
      <c r="F1752" s="3" t="s">
        <v>5787</v>
      </c>
      <c r="G1752" s="220">
        <v>43272.0</v>
      </c>
    </row>
    <row r="1753">
      <c r="A1753" s="217">
        <v>43274.56723556713</v>
      </c>
      <c r="B1753" s="218" t="s">
        <v>5184</v>
      </c>
      <c r="C1753" s="218" t="s">
        <v>4633</v>
      </c>
      <c r="D1753" s="219">
        <v>1.0</v>
      </c>
      <c r="E1753" s="218">
        <v>1495.0</v>
      </c>
      <c r="F1753" s="3" t="s">
        <v>5298</v>
      </c>
      <c r="G1753" s="220">
        <v>43270.0</v>
      </c>
    </row>
    <row r="1754">
      <c r="A1754" s="217">
        <v>43274.568619756945</v>
      </c>
      <c r="B1754" s="218" t="s">
        <v>5184</v>
      </c>
      <c r="C1754" s="218" t="s">
        <v>6626</v>
      </c>
      <c r="D1754" s="219">
        <v>1.0</v>
      </c>
      <c r="E1754" s="218">
        <v>3290.0</v>
      </c>
      <c r="G1754" s="220">
        <v>43270.0</v>
      </c>
    </row>
    <row r="1755">
      <c r="A1755" s="217">
        <v>43274.56957298611</v>
      </c>
      <c r="B1755" s="218" t="s">
        <v>5184</v>
      </c>
      <c r="C1755" s="218" t="s">
        <v>5122</v>
      </c>
      <c r="D1755" s="219">
        <v>1.0</v>
      </c>
      <c r="E1755" s="218">
        <v>6990.0</v>
      </c>
      <c r="F1755" s="3" t="s">
        <v>5135</v>
      </c>
      <c r="G1755" s="220">
        <v>43271.0</v>
      </c>
    </row>
    <row r="1756">
      <c r="A1756" s="217">
        <v>43274.57027260416</v>
      </c>
      <c r="B1756" s="218" t="s">
        <v>5184</v>
      </c>
      <c r="C1756" s="218" t="s">
        <v>1466</v>
      </c>
      <c r="D1756" s="219">
        <v>1.0</v>
      </c>
      <c r="E1756" s="218">
        <v>1800.0</v>
      </c>
      <c r="F1756" s="3" t="s">
        <v>5625</v>
      </c>
      <c r="G1756" s="220">
        <v>43271.0</v>
      </c>
    </row>
    <row r="1757">
      <c r="A1757" s="217">
        <v>43274.57092861111</v>
      </c>
      <c r="B1757" s="218" t="s">
        <v>5184</v>
      </c>
      <c r="C1757" s="218" t="s">
        <v>5615</v>
      </c>
      <c r="D1757" s="219">
        <v>1.0</v>
      </c>
      <c r="E1757" s="218">
        <v>1800.0</v>
      </c>
      <c r="F1757" s="3" t="s">
        <v>5625</v>
      </c>
      <c r="G1757" s="220">
        <v>43271.0</v>
      </c>
    </row>
    <row r="1758">
      <c r="A1758" s="217">
        <v>43274.571857187504</v>
      </c>
      <c r="B1758" s="218" t="s">
        <v>5184</v>
      </c>
      <c r="C1758" s="218" t="s">
        <v>4616</v>
      </c>
      <c r="D1758" s="219">
        <v>1.0</v>
      </c>
      <c r="E1758" s="218">
        <v>1350.0</v>
      </c>
      <c r="F1758" s="3" t="s">
        <v>5298</v>
      </c>
      <c r="G1758" s="220">
        <v>43272.0</v>
      </c>
    </row>
    <row r="1759">
      <c r="A1759" s="217">
        <v>43274.57284555555</v>
      </c>
      <c r="B1759" s="218" t="s">
        <v>5184</v>
      </c>
      <c r="C1759" s="218" t="s">
        <v>6492</v>
      </c>
      <c r="D1759" s="219">
        <v>1.0</v>
      </c>
      <c r="E1759" s="218">
        <v>6990.0</v>
      </c>
      <c r="F1759" s="3" t="s">
        <v>5135</v>
      </c>
      <c r="G1759" s="220">
        <v>43272.0</v>
      </c>
    </row>
    <row r="1760">
      <c r="A1760" s="217">
        <v>43274.57372479167</v>
      </c>
      <c r="B1760" s="218" t="s">
        <v>5184</v>
      </c>
      <c r="C1760" s="218" t="s">
        <v>6491</v>
      </c>
      <c r="D1760" s="219">
        <v>1.0</v>
      </c>
      <c r="E1760" s="218">
        <v>7190.0</v>
      </c>
      <c r="F1760" s="3" t="s">
        <v>5094</v>
      </c>
      <c r="G1760" s="220">
        <v>43273.0</v>
      </c>
    </row>
    <row r="1761">
      <c r="A1761" s="217">
        <v>43274.57471407407</v>
      </c>
      <c r="B1761" s="218" t="s">
        <v>5184</v>
      </c>
      <c r="C1761" s="218" t="s">
        <v>5169</v>
      </c>
      <c r="D1761" s="219">
        <v>1.0</v>
      </c>
      <c r="E1761" s="218">
        <v>4490.0</v>
      </c>
      <c r="F1761" s="3" t="s">
        <v>5158</v>
      </c>
      <c r="G1761" s="220">
        <v>43273.0</v>
      </c>
    </row>
    <row r="1762">
      <c r="A1762" s="217">
        <v>43274.576341527776</v>
      </c>
      <c r="B1762" s="218" t="s">
        <v>5184</v>
      </c>
      <c r="C1762" s="218" t="s">
        <v>5118</v>
      </c>
      <c r="D1762" s="219">
        <v>1.0</v>
      </c>
      <c r="E1762" s="218">
        <v>6990.0</v>
      </c>
      <c r="F1762" s="3" t="s">
        <v>5135</v>
      </c>
      <c r="G1762" s="220">
        <v>43273.0</v>
      </c>
    </row>
    <row r="1763">
      <c r="A1763" s="217">
        <v>43274.5772808912</v>
      </c>
      <c r="B1763" s="218" t="s">
        <v>5184</v>
      </c>
      <c r="C1763" s="218" t="s">
        <v>4511</v>
      </c>
      <c r="D1763" s="219">
        <v>1.0</v>
      </c>
      <c r="E1763" s="218">
        <v>2450.0</v>
      </c>
      <c r="F1763" s="3" t="s">
        <v>5293</v>
      </c>
      <c r="G1763" s="220">
        <v>43274.0</v>
      </c>
    </row>
    <row r="1764">
      <c r="A1764" s="217">
        <v>43274.57832555556</v>
      </c>
      <c r="B1764" s="218" t="s">
        <v>5184</v>
      </c>
      <c r="C1764" s="218" t="s">
        <v>5235</v>
      </c>
      <c r="D1764" s="219">
        <v>1.0</v>
      </c>
      <c r="E1764" s="218">
        <v>14500.0</v>
      </c>
      <c r="F1764" s="3" t="s">
        <v>5212</v>
      </c>
      <c r="G1764" s="220">
        <v>43274.0</v>
      </c>
    </row>
    <row r="1765">
      <c r="A1765" s="217">
        <v>43274.59181381944</v>
      </c>
      <c r="B1765" s="218" t="s">
        <v>5184</v>
      </c>
      <c r="C1765" s="218" t="s">
        <v>6001</v>
      </c>
      <c r="D1765" s="219">
        <v>1.0</v>
      </c>
      <c r="E1765" s="218">
        <v>500.0</v>
      </c>
      <c r="F1765" s="3" t="s">
        <v>5787</v>
      </c>
      <c r="G1765" s="220">
        <v>43272.0</v>
      </c>
    </row>
    <row r="1766">
      <c r="A1766" s="217">
        <v>43274.59279850694</v>
      </c>
      <c r="B1766" s="218" t="s">
        <v>5184</v>
      </c>
      <c r="C1766" s="218" t="s">
        <v>5804</v>
      </c>
      <c r="D1766" s="219">
        <v>1.0</v>
      </c>
      <c r="E1766" s="218">
        <v>300.0</v>
      </c>
      <c r="F1766" s="3" t="s">
        <v>5787</v>
      </c>
      <c r="G1766" s="220">
        <v>43273.0</v>
      </c>
    </row>
    <row r="1767">
      <c r="A1767" s="217">
        <v>43274.59345581019</v>
      </c>
      <c r="B1767" s="218" t="s">
        <v>5184</v>
      </c>
      <c r="C1767" s="218" t="s">
        <v>5845</v>
      </c>
      <c r="D1767" s="219">
        <v>1.0</v>
      </c>
      <c r="E1767" s="218">
        <v>500.0</v>
      </c>
      <c r="F1767" s="3" t="s">
        <v>5787</v>
      </c>
      <c r="G1767" s="220">
        <v>43273.0</v>
      </c>
    </row>
    <row r="1768">
      <c r="A1768" s="217">
        <v>43274.716309166666</v>
      </c>
      <c r="B1768" s="218" t="s">
        <v>5184</v>
      </c>
      <c r="C1768" s="218" t="s">
        <v>5804</v>
      </c>
      <c r="D1768" s="219">
        <v>1.0</v>
      </c>
      <c r="E1768" s="218">
        <v>300.0</v>
      </c>
      <c r="F1768" s="3" t="s">
        <v>5787</v>
      </c>
      <c r="G1768" s="220">
        <v>43274.0</v>
      </c>
    </row>
    <row r="1769">
      <c r="A1769" s="217">
        <v>43274.7169562037</v>
      </c>
      <c r="B1769" s="218" t="s">
        <v>5184</v>
      </c>
      <c r="C1769" s="218" t="s">
        <v>5789</v>
      </c>
      <c r="D1769" s="219">
        <v>1.0</v>
      </c>
      <c r="E1769" s="218">
        <v>400.0</v>
      </c>
      <c r="F1769" s="3" t="s">
        <v>5787</v>
      </c>
      <c r="G1769" s="220">
        <v>43274.0</v>
      </c>
    </row>
    <row r="1770">
      <c r="A1770" s="217">
        <v>43274.71841983796</v>
      </c>
      <c r="B1770" s="218" t="s">
        <v>5184</v>
      </c>
      <c r="C1770" s="218" t="s">
        <v>5818</v>
      </c>
      <c r="D1770" s="219">
        <v>1.0</v>
      </c>
      <c r="E1770" s="218">
        <v>300.0</v>
      </c>
      <c r="F1770" s="3" t="s">
        <v>5787</v>
      </c>
      <c r="G1770" s="220">
        <v>43274.0</v>
      </c>
    </row>
    <row r="1771">
      <c r="A1771" s="217">
        <v>43274.71915863426</v>
      </c>
      <c r="B1771" s="218" t="s">
        <v>5184</v>
      </c>
      <c r="C1771" s="218" t="s">
        <v>5786</v>
      </c>
      <c r="D1771" s="219">
        <v>1.0</v>
      </c>
      <c r="E1771" s="218">
        <v>300.0</v>
      </c>
      <c r="F1771" s="3" t="s">
        <v>5787</v>
      </c>
      <c r="G1771" s="220">
        <v>43274.0</v>
      </c>
    </row>
    <row r="1772">
      <c r="A1772" s="217">
        <v>43274.72456548611</v>
      </c>
      <c r="B1772" s="218" t="s">
        <v>5184</v>
      </c>
      <c r="C1772" s="218" t="s">
        <v>5160</v>
      </c>
      <c r="D1772" s="219">
        <v>1.0</v>
      </c>
      <c r="E1772" s="218">
        <v>6990.0</v>
      </c>
      <c r="F1772" s="3" t="s">
        <v>5158</v>
      </c>
      <c r="G1772" s="220">
        <v>43271.0</v>
      </c>
    </row>
    <row r="1773">
      <c r="A1773" s="217">
        <v>43274.725848692135</v>
      </c>
      <c r="B1773" s="218" t="s">
        <v>5184</v>
      </c>
      <c r="C1773" s="218" t="s">
        <v>6591</v>
      </c>
      <c r="D1773" s="219">
        <v>1.0</v>
      </c>
      <c r="E1773" s="218">
        <v>6490.0</v>
      </c>
      <c r="F1773" s="3" t="s">
        <v>5179</v>
      </c>
      <c r="G1773" s="220">
        <v>43271.0</v>
      </c>
    </row>
    <row r="1774">
      <c r="A1774" s="217">
        <v>43274.727519039356</v>
      </c>
      <c r="B1774" s="218" t="s">
        <v>5184</v>
      </c>
      <c r="C1774" s="218" t="s">
        <v>6322</v>
      </c>
      <c r="D1774" s="219">
        <v>1.0</v>
      </c>
      <c r="E1774" s="218">
        <v>4790.0</v>
      </c>
      <c r="G1774" s="220">
        <v>43274.0</v>
      </c>
    </row>
    <row r="1775">
      <c r="A1775" s="217">
        <v>43275.433935787034</v>
      </c>
      <c r="B1775" s="218" t="s">
        <v>5092</v>
      </c>
      <c r="C1775" s="218" t="s">
        <v>5786</v>
      </c>
      <c r="D1775" s="219">
        <v>86.0</v>
      </c>
      <c r="E1775" s="218">
        <v>300.0</v>
      </c>
      <c r="G1775" s="220">
        <v>43274.0</v>
      </c>
    </row>
    <row r="1776">
      <c r="A1776" s="217">
        <v>43275.435476099534</v>
      </c>
      <c r="B1776" s="218" t="s">
        <v>5184</v>
      </c>
      <c r="C1776" s="218" t="s">
        <v>6255</v>
      </c>
      <c r="D1776" s="219">
        <v>1.0</v>
      </c>
      <c r="E1776" s="218">
        <v>7490.0</v>
      </c>
      <c r="F1776" s="3" t="s">
        <v>5135</v>
      </c>
      <c r="G1776" s="220">
        <v>43275.0</v>
      </c>
    </row>
    <row r="1777">
      <c r="A1777" s="217">
        <v>43275.496706087964</v>
      </c>
      <c r="B1777" s="218" t="s">
        <v>5184</v>
      </c>
      <c r="C1777" s="218" t="s">
        <v>4660</v>
      </c>
      <c r="D1777" s="219">
        <v>1.0</v>
      </c>
      <c r="E1777" s="218">
        <v>850.0</v>
      </c>
      <c r="G1777" s="220">
        <v>43275.0</v>
      </c>
    </row>
    <row r="1778">
      <c r="A1778" s="217">
        <v>43279.60467609954</v>
      </c>
      <c r="B1778" s="218" t="s">
        <v>5092</v>
      </c>
      <c r="C1778" s="218" t="s">
        <v>6636</v>
      </c>
      <c r="D1778" s="219">
        <v>1.0</v>
      </c>
      <c r="E1778" s="218">
        <v>7190.0</v>
      </c>
      <c r="F1778" s="3" t="s">
        <v>5094</v>
      </c>
      <c r="G1778" s="220">
        <v>43279.0</v>
      </c>
    </row>
    <row r="1779">
      <c r="A1779" s="217">
        <v>43279.60537348379</v>
      </c>
      <c r="B1779" s="218" t="s">
        <v>5092</v>
      </c>
      <c r="C1779" s="218" t="s">
        <v>6638</v>
      </c>
      <c r="D1779" s="219">
        <v>1.0</v>
      </c>
      <c r="E1779" s="218">
        <v>7690.0</v>
      </c>
      <c r="G1779" s="220">
        <v>43279.0</v>
      </c>
    </row>
    <row r="1780">
      <c r="A1780" s="217">
        <v>43279.60612752315</v>
      </c>
      <c r="B1780" s="218" t="s">
        <v>5092</v>
      </c>
      <c r="C1780" s="218" t="s">
        <v>6639</v>
      </c>
      <c r="D1780" s="219">
        <v>1.0</v>
      </c>
      <c r="E1780" s="218">
        <v>8190.0</v>
      </c>
      <c r="G1780" s="220">
        <v>43279.0</v>
      </c>
    </row>
    <row r="1781">
      <c r="A1781" s="217">
        <v>43279.606978310185</v>
      </c>
      <c r="B1781" s="218" t="s">
        <v>5092</v>
      </c>
      <c r="C1781" s="218" t="s">
        <v>6640</v>
      </c>
      <c r="D1781" s="219">
        <v>1.0</v>
      </c>
      <c r="E1781" s="218">
        <v>7690.0</v>
      </c>
      <c r="G1781" s="220">
        <v>43278.0</v>
      </c>
    </row>
    <row r="1782">
      <c r="A1782" s="217">
        <v>43279.607581226854</v>
      </c>
      <c r="B1782" s="218" t="s">
        <v>5092</v>
      </c>
      <c r="C1782" s="218" t="s">
        <v>6641</v>
      </c>
      <c r="D1782" s="219">
        <v>1.0</v>
      </c>
      <c r="E1782" s="218">
        <v>7690.0</v>
      </c>
      <c r="G1782" s="220">
        <v>43279.0</v>
      </c>
    </row>
    <row r="1783">
      <c r="A1783" s="217">
        <v>43279.60843969908</v>
      </c>
      <c r="B1783" s="218" t="s">
        <v>5092</v>
      </c>
      <c r="C1783" s="218" t="s">
        <v>1807</v>
      </c>
      <c r="D1783" s="219">
        <v>1.0</v>
      </c>
      <c r="E1783" s="218">
        <v>8290.0</v>
      </c>
      <c r="G1783" s="220">
        <v>43279.0</v>
      </c>
    </row>
    <row r="1784">
      <c r="A1784" s="217">
        <v>43279.609239722224</v>
      </c>
      <c r="B1784" s="218" t="s">
        <v>5092</v>
      </c>
      <c r="C1784" s="218" t="s">
        <v>6183</v>
      </c>
      <c r="D1784" s="219">
        <v>1.0</v>
      </c>
      <c r="E1784" s="218">
        <v>8690.0</v>
      </c>
      <c r="G1784" s="220">
        <v>43279.0</v>
      </c>
    </row>
    <row r="1785">
      <c r="A1785" s="217">
        <v>43279.60995009259</v>
      </c>
      <c r="B1785" s="218" t="s">
        <v>5092</v>
      </c>
      <c r="C1785" s="218" t="s">
        <v>6183</v>
      </c>
      <c r="D1785" s="219">
        <v>1.0</v>
      </c>
      <c r="E1785" s="218">
        <v>8690.0</v>
      </c>
      <c r="G1785" s="220">
        <v>43279.0</v>
      </c>
    </row>
    <row r="1786">
      <c r="A1786" s="217">
        <v>43279.610486805555</v>
      </c>
      <c r="B1786" s="218" t="s">
        <v>5092</v>
      </c>
      <c r="C1786" s="218" t="s">
        <v>6642</v>
      </c>
      <c r="D1786" s="219">
        <v>1.0</v>
      </c>
      <c r="E1786" s="218">
        <v>8690.0</v>
      </c>
      <c r="G1786" s="220">
        <v>43279.0</v>
      </c>
    </row>
    <row r="1787">
      <c r="A1787" s="217">
        <v>43279.611558599536</v>
      </c>
      <c r="B1787" s="218" t="s">
        <v>5092</v>
      </c>
      <c r="C1787" s="218" t="s">
        <v>1859</v>
      </c>
      <c r="D1787" s="219">
        <v>1.0</v>
      </c>
      <c r="E1787" s="218">
        <v>8190.0</v>
      </c>
      <c r="G1787" s="220">
        <v>43279.0</v>
      </c>
    </row>
    <row r="1788">
      <c r="A1788" s="217">
        <v>43279.61272070602</v>
      </c>
      <c r="B1788" s="218" t="s">
        <v>5092</v>
      </c>
      <c r="C1788" s="218" t="s">
        <v>1813</v>
      </c>
      <c r="D1788" s="219">
        <v>2.0</v>
      </c>
      <c r="E1788" s="218">
        <v>6490.0</v>
      </c>
      <c r="G1788" s="220">
        <v>43279.0</v>
      </c>
    </row>
    <row r="1789">
      <c r="A1789" s="217">
        <v>43279.61356430556</v>
      </c>
      <c r="B1789" s="218" t="s">
        <v>5092</v>
      </c>
      <c r="C1789" s="218" t="s">
        <v>1815</v>
      </c>
      <c r="D1789" s="219">
        <v>2.0</v>
      </c>
      <c r="E1789" s="218">
        <v>6490.0</v>
      </c>
      <c r="G1789" s="220">
        <v>43279.0</v>
      </c>
    </row>
    <row r="1790">
      <c r="A1790" s="217">
        <v>43279.61429002315</v>
      </c>
      <c r="B1790" s="218" t="s">
        <v>5092</v>
      </c>
      <c r="C1790" s="218" t="s">
        <v>6643</v>
      </c>
      <c r="D1790" s="219">
        <v>1.0</v>
      </c>
      <c r="E1790" s="218">
        <v>7490.0</v>
      </c>
      <c r="G1790" s="220">
        <v>43279.0</v>
      </c>
    </row>
    <row r="1791">
      <c r="A1791" s="217">
        <v>43279.61494717593</v>
      </c>
      <c r="B1791" s="218" t="s">
        <v>5092</v>
      </c>
      <c r="C1791" s="218" t="s">
        <v>6644</v>
      </c>
      <c r="D1791" s="219">
        <v>1.0</v>
      </c>
      <c r="E1791" s="218">
        <v>6490.0</v>
      </c>
      <c r="G1791" s="220">
        <v>43279.0</v>
      </c>
    </row>
    <row r="1792">
      <c r="A1792" s="217">
        <v>43279.61545513889</v>
      </c>
      <c r="B1792" s="218" t="s">
        <v>5092</v>
      </c>
      <c r="C1792" s="218" t="s">
        <v>6645</v>
      </c>
      <c r="D1792" s="219">
        <v>2.0</v>
      </c>
      <c r="E1792" s="218">
        <v>7490.0</v>
      </c>
      <c r="G1792" s="220">
        <v>43279.0</v>
      </c>
    </row>
    <row r="1793">
      <c r="A1793" s="217">
        <v>43279.61624217592</v>
      </c>
      <c r="B1793" s="218" t="s">
        <v>5092</v>
      </c>
      <c r="C1793" s="218" t="s">
        <v>6185</v>
      </c>
      <c r="D1793" s="219">
        <v>4.0</v>
      </c>
      <c r="E1793" s="218">
        <v>5990.0</v>
      </c>
      <c r="G1793" s="220">
        <v>43279.0</v>
      </c>
    </row>
    <row r="1794">
      <c r="A1794" s="217">
        <v>43279.61680232639</v>
      </c>
      <c r="B1794" s="218" t="s">
        <v>5092</v>
      </c>
      <c r="C1794" s="218" t="s">
        <v>5132</v>
      </c>
      <c r="D1794" s="219">
        <v>3.0</v>
      </c>
      <c r="E1794" s="218">
        <v>5990.0</v>
      </c>
      <c r="G1794" s="220">
        <v>43279.0</v>
      </c>
    </row>
    <row r="1795">
      <c r="A1795" s="217">
        <v>43279.61740826389</v>
      </c>
      <c r="B1795" s="218" t="s">
        <v>5092</v>
      </c>
      <c r="C1795" s="218" t="s">
        <v>1822</v>
      </c>
      <c r="D1795" s="219">
        <v>1.0</v>
      </c>
      <c r="E1795" s="218">
        <v>6490.0</v>
      </c>
      <c r="G1795" s="220">
        <v>43279.0</v>
      </c>
    </row>
    <row r="1796">
      <c r="A1796" s="217">
        <v>43279.61806104166</v>
      </c>
      <c r="B1796" s="218" t="s">
        <v>5092</v>
      </c>
      <c r="C1796" s="218" t="s">
        <v>1838</v>
      </c>
      <c r="D1796" s="219">
        <v>1.0</v>
      </c>
      <c r="E1796" s="218">
        <v>5990.0</v>
      </c>
      <c r="G1796" s="220">
        <v>43279.0</v>
      </c>
    </row>
    <row r="1797">
      <c r="A1797" s="217">
        <v>43279.61863025463</v>
      </c>
      <c r="B1797" s="218" t="s">
        <v>5092</v>
      </c>
      <c r="C1797" s="218" t="s">
        <v>5113</v>
      </c>
      <c r="D1797" s="219">
        <v>1.0</v>
      </c>
      <c r="E1797" s="218">
        <v>5990.0</v>
      </c>
      <c r="G1797" s="220">
        <v>43279.0</v>
      </c>
    </row>
    <row r="1798">
      <c r="A1798" s="217">
        <v>43279.619122916665</v>
      </c>
      <c r="B1798" s="218" t="s">
        <v>5092</v>
      </c>
      <c r="C1798" s="218" t="s">
        <v>6646</v>
      </c>
      <c r="D1798" s="219">
        <v>1.0</v>
      </c>
      <c r="E1798" s="218">
        <v>5990.0</v>
      </c>
      <c r="G1798" s="220">
        <v>43279.0</v>
      </c>
    </row>
    <row r="1799">
      <c r="A1799" s="217">
        <v>43279.61970108796</v>
      </c>
      <c r="B1799" s="218" t="s">
        <v>5092</v>
      </c>
      <c r="C1799" s="218" t="s">
        <v>1863</v>
      </c>
      <c r="D1799" s="219">
        <v>1.0</v>
      </c>
      <c r="E1799" s="218">
        <v>6990.0</v>
      </c>
      <c r="G1799" s="220">
        <v>43279.0</v>
      </c>
    </row>
    <row r="1800">
      <c r="A1800" s="217">
        <v>43279.62019667824</v>
      </c>
      <c r="B1800" s="218" t="s">
        <v>5092</v>
      </c>
      <c r="C1800" s="218" t="s">
        <v>5102</v>
      </c>
      <c r="D1800" s="219">
        <v>1.0</v>
      </c>
      <c r="E1800" s="218">
        <v>6490.0</v>
      </c>
      <c r="G1800" s="220">
        <v>43279.0</v>
      </c>
    </row>
    <row r="1801">
      <c r="A1801" s="217">
        <v>43279.62091238426</v>
      </c>
      <c r="B1801" s="218" t="s">
        <v>5092</v>
      </c>
      <c r="C1801" s="218" t="s">
        <v>5103</v>
      </c>
      <c r="D1801" s="219">
        <v>1.0</v>
      </c>
      <c r="E1801" s="218">
        <v>7490.0</v>
      </c>
      <c r="G1801" s="220">
        <v>43279.0</v>
      </c>
    </row>
    <row r="1802">
      <c r="A1802" s="217">
        <v>43279.621464780095</v>
      </c>
      <c r="B1802" s="218" t="s">
        <v>5092</v>
      </c>
      <c r="C1802" s="218" t="s">
        <v>1839</v>
      </c>
      <c r="D1802" s="219">
        <v>1.0</v>
      </c>
      <c r="E1802" s="218">
        <v>6490.0</v>
      </c>
      <c r="G1802" s="220">
        <v>43279.0</v>
      </c>
    </row>
    <row r="1803">
      <c r="A1803" s="217">
        <v>43279.62218348379</v>
      </c>
      <c r="B1803" s="218" t="s">
        <v>5092</v>
      </c>
      <c r="C1803" s="218" t="s">
        <v>1824</v>
      </c>
      <c r="D1803" s="219">
        <v>2.0</v>
      </c>
      <c r="E1803" s="218">
        <v>6490.0</v>
      </c>
      <c r="G1803" s="220">
        <v>43279.0</v>
      </c>
    </row>
    <row r="1804">
      <c r="A1804" s="217">
        <v>43279.62318797453</v>
      </c>
      <c r="B1804" s="218" t="s">
        <v>5092</v>
      </c>
      <c r="C1804" s="218" t="s">
        <v>1822</v>
      </c>
      <c r="D1804" s="219">
        <v>2.0</v>
      </c>
      <c r="E1804" s="218">
        <v>6490.0</v>
      </c>
      <c r="G1804" s="220">
        <v>43279.0</v>
      </c>
    </row>
    <row r="1805">
      <c r="A1805" s="217">
        <v>43279.62470019676</v>
      </c>
      <c r="B1805" s="218" t="s">
        <v>5092</v>
      </c>
      <c r="C1805" s="218" t="s">
        <v>1848</v>
      </c>
      <c r="D1805" s="219">
        <v>2.0</v>
      </c>
      <c r="E1805" s="218">
        <v>6990.0</v>
      </c>
      <c r="G1805" s="220">
        <v>43279.0</v>
      </c>
    </row>
    <row r="1806">
      <c r="A1806" s="217">
        <v>43279.62537739583</v>
      </c>
      <c r="B1806" s="218" t="s">
        <v>5092</v>
      </c>
      <c r="C1806" s="218" t="s">
        <v>1846</v>
      </c>
      <c r="D1806" s="219">
        <v>1.0</v>
      </c>
      <c r="E1806" s="218">
        <v>6990.0</v>
      </c>
      <c r="G1806" s="220">
        <v>43279.0</v>
      </c>
    </row>
    <row r="1807">
      <c r="A1807" s="217">
        <v>43279.6270677662</v>
      </c>
      <c r="B1807" s="218" t="s">
        <v>5092</v>
      </c>
      <c r="C1807" s="218" t="s">
        <v>1854</v>
      </c>
      <c r="D1807" s="219">
        <v>1.0</v>
      </c>
      <c r="E1807" s="218">
        <v>6490.0</v>
      </c>
      <c r="G1807" s="220">
        <v>43279.0</v>
      </c>
    </row>
    <row r="1808">
      <c r="A1808" s="217">
        <v>43279.627901562504</v>
      </c>
      <c r="B1808" s="218" t="s">
        <v>5092</v>
      </c>
      <c r="C1808" s="218" t="s">
        <v>1829</v>
      </c>
      <c r="D1808" s="219">
        <v>2.0</v>
      </c>
      <c r="E1808" s="218">
        <v>7490.0</v>
      </c>
      <c r="G1808" s="220">
        <v>43279.0</v>
      </c>
    </row>
    <row r="1809">
      <c r="A1809" s="217">
        <v>43279.62848738426</v>
      </c>
      <c r="B1809" s="218" t="s">
        <v>5092</v>
      </c>
      <c r="C1809" s="218" t="s">
        <v>1828</v>
      </c>
      <c r="D1809" s="219">
        <v>2.0</v>
      </c>
      <c r="E1809" s="218">
        <v>7490.0</v>
      </c>
      <c r="G1809" s="220">
        <v>43279.0</v>
      </c>
    </row>
    <row r="1810">
      <c r="A1810" s="217">
        <v>43279.62902143519</v>
      </c>
      <c r="B1810" s="218" t="s">
        <v>5092</v>
      </c>
      <c r="C1810" s="218" t="s">
        <v>5114</v>
      </c>
      <c r="D1810" s="219">
        <v>2.0</v>
      </c>
      <c r="E1810" s="218">
        <v>7990.0</v>
      </c>
      <c r="G1810" s="220">
        <v>43279.0</v>
      </c>
    </row>
    <row r="1811">
      <c r="A1811" s="217">
        <v>43279.629575300925</v>
      </c>
      <c r="B1811" s="218" t="s">
        <v>5092</v>
      </c>
      <c r="C1811" s="218" t="s">
        <v>5114</v>
      </c>
      <c r="D1811" s="219">
        <v>2.0</v>
      </c>
      <c r="E1811" s="218">
        <v>7990.0</v>
      </c>
      <c r="G1811" s="220">
        <v>43279.0</v>
      </c>
    </row>
    <row r="1812">
      <c r="A1812" s="217">
        <v>43279.63016917824</v>
      </c>
      <c r="B1812" s="218" t="s">
        <v>5092</v>
      </c>
      <c r="C1812" s="218" t="s">
        <v>1843</v>
      </c>
      <c r="D1812" s="219">
        <v>1.0</v>
      </c>
      <c r="E1812" s="218">
        <v>6490.0</v>
      </c>
      <c r="G1812" s="220">
        <v>43279.0</v>
      </c>
    </row>
    <row r="1813">
      <c r="A1813" s="217">
        <v>43279.63136128472</v>
      </c>
      <c r="B1813" s="218" t="s">
        <v>5092</v>
      </c>
      <c r="C1813" s="218" t="s">
        <v>5112</v>
      </c>
      <c r="D1813" s="219">
        <v>1.0</v>
      </c>
      <c r="E1813" s="218">
        <v>6490.0</v>
      </c>
      <c r="G1813" s="220">
        <v>43279.0</v>
      </c>
    </row>
    <row r="1814">
      <c r="A1814" s="217">
        <v>43279.63186255787</v>
      </c>
      <c r="B1814" s="218" t="s">
        <v>5092</v>
      </c>
      <c r="C1814" s="218" t="s">
        <v>1821</v>
      </c>
      <c r="D1814" s="219">
        <v>1.0</v>
      </c>
      <c r="E1814" s="218">
        <v>6990.0</v>
      </c>
      <c r="G1814" s="220">
        <v>43279.0</v>
      </c>
    </row>
    <row r="1815">
      <c r="A1815" s="217">
        <v>43279.63250196759</v>
      </c>
      <c r="B1815" s="218" t="s">
        <v>5092</v>
      </c>
      <c r="C1815" s="218" t="s">
        <v>5122</v>
      </c>
      <c r="D1815" s="219">
        <v>1.0</v>
      </c>
      <c r="E1815" s="218">
        <v>6490.0</v>
      </c>
      <c r="G1815" s="220">
        <v>43279.0</v>
      </c>
    </row>
    <row r="1816">
      <c r="A1816" s="217">
        <v>43279.63304847223</v>
      </c>
      <c r="B1816" s="218" t="s">
        <v>5092</v>
      </c>
      <c r="C1816" s="218" t="s">
        <v>6647</v>
      </c>
      <c r="D1816" s="219">
        <v>1.0</v>
      </c>
      <c r="E1816" s="218">
        <v>6490.0</v>
      </c>
      <c r="G1816" s="220">
        <v>43279.0</v>
      </c>
    </row>
    <row r="1817">
      <c r="A1817" s="217">
        <v>43279.6336378125</v>
      </c>
      <c r="B1817" s="218" t="s">
        <v>5092</v>
      </c>
      <c r="C1817" s="218" t="s">
        <v>6647</v>
      </c>
      <c r="D1817" s="219">
        <v>1.0</v>
      </c>
      <c r="E1817" s="218">
        <v>6490.0</v>
      </c>
      <c r="G1817" s="220">
        <v>43279.0</v>
      </c>
    </row>
    <row r="1818">
      <c r="A1818" s="217">
        <v>43279.634260555555</v>
      </c>
      <c r="B1818" s="218" t="s">
        <v>5092</v>
      </c>
      <c r="C1818" s="218" t="s">
        <v>6648</v>
      </c>
      <c r="D1818" s="219">
        <v>1.0</v>
      </c>
      <c r="E1818" s="218">
        <v>6490.0</v>
      </c>
      <c r="G1818" s="220">
        <v>43279.0</v>
      </c>
    </row>
    <row r="1819">
      <c r="A1819" s="217">
        <v>43279.63566413194</v>
      </c>
      <c r="B1819" s="218" t="s">
        <v>5092</v>
      </c>
      <c r="C1819" s="218" t="s">
        <v>1835</v>
      </c>
      <c r="D1819" s="219">
        <v>1.0</v>
      </c>
      <c r="E1819" s="218">
        <v>7490.0</v>
      </c>
      <c r="G1819" s="220">
        <v>43279.0</v>
      </c>
    </row>
    <row r="1820">
      <c r="A1820" s="217">
        <v>43279.63711671296</v>
      </c>
      <c r="B1820" s="218" t="s">
        <v>5092</v>
      </c>
      <c r="C1820" s="218" t="s">
        <v>1851</v>
      </c>
      <c r="D1820" s="219">
        <v>1.0</v>
      </c>
      <c r="E1820" s="218">
        <v>7490.0</v>
      </c>
      <c r="G1820" s="220">
        <v>43279.0</v>
      </c>
    </row>
    <row r="1821">
      <c r="A1821" s="217">
        <v>43279.63826369213</v>
      </c>
      <c r="B1821" s="218" t="s">
        <v>5092</v>
      </c>
      <c r="C1821" s="218" t="s">
        <v>6649</v>
      </c>
      <c r="D1821" s="219">
        <v>1.0</v>
      </c>
      <c r="E1821" s="218">
        <v>7490.0</v>
      </c>
      <c r="G1821" s="220">
        <v>43279.0</v>
      </c>
    </row>
    <row r="1822">
      <c r="A1822" s="217">
        <v>43279.63904199074</v>
      </c>
      <c r="B1822" s="218" t="s">
        <v>5092</v>
      </c>
      <c r="C1822" s="218" t="s">
        <v>6651</v>
      </c>
      <c r="D1822" s="219">
        <v>1.0</v>
      </c>
      <c r="E1822" s="218">
        <v>7490.0</v>
      </c>
      <c r="G1822" s="220">
        <v>43279.0</v>
      </c>
    </row>
    <row r="1823">
      <c r="A1823" s="217">
        <v>43279.63984108796</v>
      </c>
      <c r="B1823" s="218" t="s">
        <v>5092</v>
      </c>
      <c r="C1823" s="218" t="s">
        <v>1811</v>
      </c>
      <c r="D1823" s="219">
        <v>1.0</v>
      </c>
      <c r="E1823" s="218">
        <v>6490.0</v>
      </c>
      <c r="G1823" s="220">
        <v>43279.0</v>
      </c>
    </row>
    <row r="1824">
      <c r="A1824" s="217">
        <v>43279.64032961805</v>
      </c>
      <c r="B1824" s="218" t="s">
        <v>5092</v>
      </c>
      <c r="C1824" s="218" t="s">
        <v>1840</v>
      </c>
      <c r="D1824" s="219">
        <v>1.0</v>
      </c>
      <c r="E1824" s="218">
        <v>6490.0</v>
      </c>
      <c r="G1824" s="220">
        <v>43279.0</v>
      </c>
    </row>
    <row r="1825">
      <c r="A1825" s="217">
        <v>43279.64096056713</v>
      </c>
      <c r="B1825" s="218" t="s">
        <v>5092</v>
      </c>
      <c r="C1825" s="218" t="s">
        <v>5106</v>
      </c>
      <c r="D1825" s="219">
        <v>1.0</v>
      </c>
      <c r="E1825" s="218">
        <v>6490.0</v>
      </c>
      <c r="G1825" s="220">
        <v>43279.0</v>
      </c>
    </row>
    <row r="1826">
      <c r="A1826" s="217">
        <v>43279.64164552084</v>
      </c>
      <c r="B1826" s="218" t="s">
        <v>5092</v>
      </c>
      <c r="C1826" s="218" t="s">
        <v>6652</v>
      </c>
      <c r="D1826" s="219">
        <v>1.0</v>
      </c>
      <c r="E1826" s="218">
        <v>6490.0</v>
      </c>
      <c r="G1826" s="220">
        <v>43279.0</v>
      </c>
    </row>
    <row r="1827">
      <c r="A1827" s="217">
        <v>43279.64250715278</v>
      </c>
      <c r="B1827" s="218" t="s">
        <v>5092</v>
      </c>
      <c r="C1827" s="218" t="s">
        <v>6653</v>
      </c>
      <c r="D1827" s="219">
        <v>1.0</v>
      </c>
      <c r="E1827" s="218">
        <v>6490.0</v>
      </c>
      <c r="G1827" s="220">
        <v>43279.0</v>
      </c>
    </row>
    <row r="1828">
      <c r="A1828" s="217">
        <v>43279.64299861111</v>
      </c>
      <c r="B1828" s="218" t="s">
        <v>5092</v>
      </c>
      <c r="C1828" s="218" t="s">
        <v>1808</v>
      </c>
      <c r="D1828" s="219">
        <v>1.0</v>
      </c>
      <c r="E1828" s="218">
        <v>5990.0</v>
      </c>
      <c r="G1828" s="220">
        <v>43279.0</v>
      </c>
    </row>
    <row r="1829">
      <c r="A1829" s="217">
        <v>43279.64350152778</v>
      </c>
      <c r="B1829" s="218" t="s">
        <v>5092</v>
      </c>
      <c r="C1829" s="218" t="s">
        <v>1857</v>
      </c>
      <c r="D1829" s="219">
        <v>2.0</v>
      </c>
      <c r="E1829" s="218">
        <v>5990.0</v>
      </c>
      <c r="G1829" s="220">
        <v>43279.0</v>
      </c>
    </row>
    <row r="1830">
      <c r="A1830" s="217">
        <v>43279.64407642361</v>
      </c>
      <c r="B1830" s="218" t="s">
        <v>5092</v>
      </c>
      <c r="C1830" s="218" t="s">
        <v>5121</v>
      </c>
      <c r="D1830" s="219">
        <v>2.0</v>
      </c>
      <c r="E1830" s="218">
        <v>5990.0</v>
      </c>
      <c r="G1830" s="220">
        <v>43279.0</v>
      </c>
    </row>
    <row r="1831">
      <c r="A1831" s="217">
        <v>43279.64456586806</v>
      </c>
      <c r="B1831" s="218" t="s">
        <v>5092</v>
      </c>
      <c r="C1831" s="218" t="s">
        <v>6654</v>
      </c>
      <c r="D1831" s="219">
        <v>4.0</v>
      </c>
      <c r="E1831" s="218">
        <v>5390.0</v>
      </c>
      <c r="G1831" s="220">
        <v>43279.0</v>
      </c>
    </row>
    <row r="1832">
      <c r="A1832" s="217">
        <v>43279.6456142824</v>
      </c>
      <c r="B1832" s="218" t="s">
        <v>5092</v>
      </c>
      <c r="C1832" s="218" t="s">
        <v>6388</v>
      </c>
      <c r="D1832" s="219">
        <v>2.0</v>
      </c>
      <c r="E1832" s="218">
        <v>5290.0</v>
      </c>
      <c r="G1832" s="220">
        <v>43279.0</v>
      </c>
    </row>
    <row r="1833">
      <c r="A1833" s="217">
        <v>43279.646308634256</v>
      </c>
      <c r="B1833" s="218" t="s">
        <v>5092</v>
      </c>
      <c r="C1833" s="218" t="s">
        <v>6655</v>
      </c>
      <c r="D1833" s="219">
        <v>2.0</v>
      </c>
      <c r="E1833" s="218">
        <v>5290.0</v>
      </c>
      <c r="G1833" s="220">
        <v>43279.0</v>
      </c>
    </row>
    <row r="1834">
      <c r="A1834" s="217">
        <v>43279.65089390046</v>
      </c>
      <c r="B1834" s="218" t="s">
        <v>5092</v>
      </c>
      <c r="C1834" s="218" t="s">
        <v>6656</v>
      </c>
      <c r="D1834" s="219">
        <v>2.0</v>
      </c>
      <c r="E1834" s="218">
        <v>5290.0</v>
      </c>
      <c r="G1834" s="220">
        <v>43279.0</v>
      </c>
    </row>
    <row r="1835">
      <c r="A1835" s="217">
        <v>43279.65494890047</v>
      </c>
      <c r="B1835" s="218" t="s">
        <v>5092</v>
      </c>
      <c r="C1835" s="218" t="s">
        <v>6657</v>
      </c>
      <c r="D1835" s="219">
        <v>1.0</v>
      </c>
      <c r="E1835" s="218">
        <v>5990.0</v>
      </c>
      <c r="G1835" s="220">
        <v>43279.0</v>
      </c>
    </row>
    <row r="1836">
      <c r="A1836" s="217">
        <v>43279.655637303236</v>
      </c>
      <c r="B1836" s="218" t="s">
        <v>5092</v>
      </c>
      <c r="C1836" s="218" t="s">
        <v>6658</v>
      </c>
      <c r="D1836" s="219">
        <v>1.0</v>
      </c>
      <c r="E1836" s="218">
        <v>4390.0</v>
      </c>
      <c r="G1836" s="220">
        <v>43279.0</v>
      </c>
    </row>
    <row r="1837">
      <c r="A1837" s="217">
        <v>43279.656189270834</v>
      </c>
      <c r="B1837" s="218" t="s">
        <v>5092</v>
      </c>
      <c r="C1837" s="218" t="s">
        <v>6659</v>
      </c>
      <c r="D1837" s="219">
        <v>1.0</v>
      </c>
      <c r="E1837" s="218">
        <v>4390.0</v>
      </c>
      <c r="G1837" s="220">
        <v>43279.0</v>
      </c>
    </row>
    <row r="1838">
      <c r="A1838" s="217">
        <v>43279.656790416666</v>
      </c>
      <c r="B1838" s="218" t="s">
        <v>5092</v>
      </c>
      <c r="C1838" s="218" t="s">
        <v>6660</v>
      </c>
      <c r="D1838" s="219">
        <v>1.0</v>
      </c>
      <c r="E1838" s="218">
        <v>4390.0</v>
      </c>
      <c r="G1838" s="220">
        <v>43279.0</v>
      </c>
    </row>
    <row r="1839">
      <c r="A1839" s="217">
        <v>43279.65755495371</v>
      </c>
      <c r="B1839" s="218" t="s">
        <v>5092</v>
      </c>
      <c r="C1839" s="218" t="s">
        <v>6661</v>
      </c>
      <c r="D1839" s="219">
        <v>2.0</v>
      </c>
      <c r="E1839" s="218">
        <v>4290.0</v>
      </c>
      <c r="G1839" s="220">
        <v>43279.0</v>
      </c>
    </row>
    <row r="1840">
      <c r="A1840" s="217">
        <v>43279.65819828704</v>
      </c>
      <c r="B1840" s="218" t="s">
        <v>5092</v>
      </c>
      <c r="C1840" s="218" t="s">
        <v>6262</v>
      </c>
      <c r="D1840" s="219">
        <v>1.0</v>
      </c>
      <c r="E1840" s="218">
        <v>4290.0</v>
      </c>
      <c r="G1840" s="220">
        <v>43279.0</v>
      </c>
    </row>
    <row r="1841">
      <c r="A1841" s="217">
        <v>43279.65888548611</v>
      </c>
      <c r="B1841" s="218" t="s">
        <v>5092</v>
      </c>
      <c r="C1841" s="218" t="s">
        <v>1868</v>
      </c>
      <c r="D1841" s="219">
        <v>2.0</v>
      </c>
      <c r="E1841" s="218">
        <v>5990.0</v>
      </c>
      <c r="G1841" s="220">
        <v>43279.0</v>
      </c>
    </row>
    <row r="1842">
      <c r="A1842" s="217">
        <v>43279.65946385417</v>
      </c>
      <c r="B1842" s="218" t="s">
        <v>5092</v>
      </c>
      <c r="C1842" s="218" t="s">
        <v>6662</v>
      </c>
      <c r="D1842" s="219">
        <v>2.0</v>
      </c>
      <c r="E1842" s="218">
        <v>7490.0</v>
      </c>
      <c r="G1842" s="220">
        <v>43279.0</v>
      </c>
    </row>
    <row r="1843">
      <c r="A1843" s="217">
        <v>43279.6602937037</v>
      </c>
      <c r="B1843" s="218" t="s">
        <v>5092</v>
      </c>
      <c r="C1843" s="218" t="s">
        <v>6663</v>
      </c>
      <c r="D1843" s="219">
        <v>2.0</v>
      </c>
      <c r="E1843" s="218">
        <v>4890.0</v>
      </c>
      <c r="G1843" s="220">
        <v>43279.0</v>
      </c>
    </row>
    <row r="1844">
      <c r="A1844" s="217">
        <v>43279.66216361111</v>
      </c>
      <c r="B1844" s="218" t="s">
        <v>5092</v>
      </c>
      <c r="C1844" s="218" t="s">
        <v>6664</v>
      </c>
      <c r="D1844" s="219">
        <v>2.0</v>
      </c>
      <c r="E1844" s="218">
        <v>4890.0</v>
      </c>
      <c r="G1844" s="220">
        <v>43279.0</v>
      </c>
    </row>
    <row r="1845">
      <c r="A1845" s="217">
        <v>43279.66278254629</v>
      </c>
      <c r="B1845" s="218" t="s">
        <v>5092</v>
      </c>
      <c r="C1845" s="218" t="s">
        <v>6665</v>
      </c>
      <c r="D1845" s="219">
        <v>1.0</v>
      </c>
      <c r="E1845" s="218">
        <v>6390.0</v>
      </c>
      <c r="G1845" s="220">
        <v>43279.0</v>
      </c>
    </row>
    <row r="1846">
      <c r="A1846" s="217">
        <v>43279.663874606485</v>
      </c>
      <c r="B1846" s="218" t="s">
        <v>5092</v>
      </c>
      <c r="C1846" s="218" t="s">
        <v>1877</v>
      </c>
      <c r="D1846" s="219">
        <v>1.0</v>
      </c>
      <c r="E1846" s="218">
        <v>6890.0</v>
      </c>
      <c r="G1846" s="220">
        <v>43279.0</v>
      </c>
    </row>
    <row r="1847">
      <c r="A1847" s="217">
        <v>43279.66449222222</v>
      </c>
      <c r="B1847" s="218" t="s">
        <v>5092</v>
      </c>
      <c r="C1847" s="218" t="s">
        <v>1878</v>
      </c>
      <c r="D1847" s="219">
        <v>1.0</v>
      </c>
      <c r="E1847" s="218">
        <v>8290.0</v>
      </c>
      <c r="G1847" s="220">
        <v>43279.0</v>
      </c>
    </row>
    <row r="1848">
      <c r="A1848" s="217">
        <v>43279.66505972222</v>
      </c>
      <c r="B1848" s="218" t="s">
        <v>5092</v>
      </c>
      <c r="C1848" s="218" t="s">
        <v>6666</v>
      </c>
      <c r="D1848" s="219">
        <v>1.0</v>
      </c>
      <c r="E1848" s="218">
        <v>8790.0</v>
      </c>
      <c r="G1848" s="220">
        <v>43279.0</v>
      </c>
    </row>
    <row r="1849">
      <c r="A1849" s="217">
        <v>43279.6657815162</v>
      </c>
      <c r="B1849" s="218" t="s">
        <v>5092</v>
      </c>
      <c r="C1849" s="218" t="s">
        <v>6667</v>
      </c>
      <c r="D1849" s="219">
        <v>1.0</v>
      </c>
      <c r="E1849" s="218">
        <v>8290.0</v>
      </c>
      <c r="G1849" s="220">
        <v>43279.0</v>
      </c>
    </row>
    <row r="1850">
      <c r="A1850" s="217">
        <v>43279.66647752315</v>
      </c>
      <c r="B1850" s="218" t="s">
        <v>5092</v>
      </c>
      <c r="C1850" s="218" t="s">
        <v>6668</v>
      </c>
      <c r="D1850" s="219">
        <v>1.0</v>
      </c>
      <c r="E1850" s="218">
        <v>8790.0</v>
      </c>
      <c r="G1850" s="220">
        <v>43279.0</v>
      </c>
    </row>
    <row r="1851">
      <c r="A1851" s="217">
        <v>43279.66740849537</v>
      </c>
      <c r="B1851" s="218" t="s">
        <v>5092</v>
      </c>
      <c r="C1851" s="218" t="s">
        <v>6669</v>
      </c>
      <c r="D1851" s="219">
        <v>1.0</v>
      </c>
      <c r="E1851" s="218">
        <v>8790.0</v>
      </c>
      <c r="G1851" s="220">
        <v>43279.0</v>
      </c>
    </row>
    <row r="1852">
      <c r="A1852" s="217">
        <v>43279.66832415509</v>
      </c>
      <c r="B1852" s="218" t="s">
        <v>5092</v>
      </c>
      <c r="C1852" s="218" t="s">
        <v>1880</v>
      </c>
      <c r="D1852" s="219">
        <v>1.0</v>
      </c>
      <c r="E1852" s="218">
        <v>7690.0</v>
      </c>
      <c r="G1852" s="220">
        <v>43279.0</v>
      </c>
    </row>
    <row r="1853">
      <c r="A1853" s="217">
        <v>43279.66886174769</v>
      </c>
      <c r="B1853" s="218" t="s">
        <v>5092</v>
      </c>
      <c r="C1853" s="218" t="s">
        <v>6670</v>
      </c>
      <c r="D1853" s="219">
        <v>1.0</v>
      </c>
      <c r="E1853" s="218">
        <v>7690.0</v>
      </c>
      <c r="G1853" s="220">
        <v>43279.0</v>
      </c>
    </row>
    <row r="1854">
      <c r="A1854" s="217">
        <v>43279.66951190973</v>
      </c>
      <c r="B1854" s="218" t="s">
        <v>5092</v>
      </c>
      <c r="C1854" s="218" t="s">
        <v>6671</v>
      </c>
      <c r="D1854" s="219">
        <v>1.0</v>
      </c>
      <c r="E1854" s="218">
        <v>6490.0</v>
      </c>
      <c r="G1854" s="220">
        <v>43279.0</v>
      </c>
    </row>
    <row r="1855">
      <c r="A1855" s="217">
        <v>43279.67021038194</v>
      </c>
      <c r="B1855" s="218" t="s">
        <v>5092</v>
      </c>
      <c r="C1855" s="218" t="s">
        <v>6672</v>
      </c>
      <c r="D1855" s="219">
        <v>1.0</v>
      </c>
      <c r="E1855" s="218">
        <v>6490.0</v>
      </c>
      <c r="G1855" s="220">
        <v>43279.0</v>
      </c>
    </row>
    <row r="1856">
      <c r="A1856" s="217">
        <v>43279.67075643518</v>
      </c>
      <c r="B1856" s="218" t="s">
        <v>5092</v>
      </c>
      <c r="C1856" s="218" t="s">
        <v>6673</v>
      </c>
      <c r="D1856" s="219">
        <v>1.0</v>
      </c>
      <c r="E1856" s="218">
        <v>6490.0</v>
      </c>
      <c r="G1856" s="220">
        <v>43279.0</v>
      </c>
    </row>
    <row r="1857">
      <c r="A1857" s="217">
        <v>43279.67170421296</v>
      </c>
      <c r="B1857" s="218" t="s">
        <v>5092</v>
      </c>
      <c r="C1857" s="218" t="s">
        <v>6674</v>
      </c>
      <c r="D1857" s="219">
        <v>1.0</v>
      </c>
      <c r="E1857" s="218">
        <v>6490.0</v>
      </c>
      <c r="G1857" s="220">
        <v>43279.0</v>
      </c>
    </row>
    <row r="1858">
      <c r="A1858" s="217">
        <v>43279.67229383102</v>
      </c>
      <c r="B1858" s="218" t="s">
        <v>5092</v>
      </c>
      <c r="C1858" s="218" t="s">
        <v>6675</v>
      </c>
      <c r="D1858" s="219">
        <v>1.0</v>
      </c>
      <c r="E1858" s="218">
        <v>7990.0</v>
      </c>
      <c r="G1858" s="220">
        <v>43279.0</v>
      </c>
    </row>
    <row r="1859">
      <c r="A1859" s="217">
        <v>43279.673670648146</v>
      </c>
      <c r="B1859" s="218" t="s">
        <v>5092</v>
      </c>
      <c r="C1859" s="218" t="s">
        <v>6676</v>
      </c>
      <c r="D1859" s="219">
        <v>1.0</v>
      </c>
      <c r="E1859" s="218">
        <v>5890.0</v>
      </c>
      <c r="G1859" s="220">
        <v>43279.0</v>
      </c>
    </row>
    <row r="1860">
      <c r="A1860" s="217">
        <v>43279.674180173606</v>
      </c>
      <c r="B1860" s="218" t="s">
        <v>5092</v>
      </c>
      <c r="C1860" s="218" t="s">
        <v>5163</v>
      </c>
      <c r="D1860" s="219">
        <v>1.0</v>
      </c>
      <c r="E1860" s="218">
        <v>4890.0</v>
      </c>
      <c r="G1860" s="220">
        <v>43279.0</v>
      </c>
    </row>
    <row r="1861">
      <c r="A1861" s="217">
        <v>43279.67484921296</v>
      </c>
      <c r="B1861" s="218" t="s">
        <v>5092</v>
      </c>
      <c r="C1861" s="218" t="s">
        <v>6677</v>
      </c>
      <c r="D1861" s="219">
        <v>1.0</v>
      </c>
      <c r="E1861" s="218">
        <v>10190.0</v>
      </c>
      <c r="G1861" s="220">
        <v>43279.0</v>
      </c>
    </row>
    <row r="1862">
      <c r="A1862" s="217">
        <v>43279.67568591435</v>
      </c>
      <c r="B1862" s="218" t="s">
        <v>5092</v>
      </c>
      <c r="C1862" s="218" t="s">
        <v>5174</v>
      </c>
      <c r="D1862" s="219">
        <v>1.0</v>
      </c>
      <c r="E1862" s="218">
        <v>4890.0</v>
      </c>
      <c r="G1862" s="220">
        <v>43279.0</v>
      </c>
    </row>
    <row r="1863">
      <c r="A1863" s="217">
        <v>43279.676397233794</v>
      </c>
      <c r="B1863" s="218" t="s">
        <v>5092</v>
      </c>
      <c r="C1863" s="218" t="s">
        <v>5169</v>
      </c>
      <c r="D1863" s="219">
        <v>1.0</v>
      </c>
      <c r="E1863" s="218">
        <v>4890.0</v>
      </c>
      <c r="G1863" s="220">
        <v>43279.0</v>
      </c>
    </row>
    <row r="1864">
      <c r="A1864" s="217">
        <v>43279.678081516206</v>
      </c>
      <c r="B1864" s="218" t="s">
        <v>5092</v>
      </c>
      <c r="C1864" s="218" t="s">
        <v>5177</v>
      </c>
      <c r="D1864" s="219">
        <v>1.0</v>
      </c>
      <c r="E1864" s="218">
        <v>5890.0</v>
      </c>
      <c r="G1864" s="220">
        <v>43279.0</v>
      </c>
    </row>
    <row r="1865">
      <c r="A1865" s="217">
        <v>43279.67942630787</v>
      </c>
      <c r="B1865" s="218" t="s">
        <v>5092</v>
      </c>
      <c r="C1865" s="218" t="s">
        <v>6678</v>
      </c>
      <c r="D1865" s="219">
        <v>2.0</v>
      </c>
      <c r="E1865" s="218">
        <v>4890.0</v>
      </c>
      <c r="G1865" s="220">
        <v>43279.0</v>
      </c>
    </row>
    <row r="1866">
      <c r="A1866" s="217">
        <v>43279.68000466435</v>
      </c>
      <c r="B1866" s="218" t="s">
        <v>5092</v>
      </c>
      <c r="C1866" s="218" t="s">
        <v>1887</v>
      </c>
      <c r="D1866" s="219">
        <v>2.0</v>
      </c>
      <c r="E1866" s="218">
        <v>4890.0</v>
      </c>
      <c r="G1866" s="220">
        <v>43279.0</v>
      </c>
    </row>
    <row r="1867">
      <c r="A1867" s="217">
        <v>43279.68051993055</v>
      </c>
      <c r="B1867" s="218" t="s">
        <v>5092</v>
      </c>
      <c r="C1867" s="218" t="s">
        <v>6679</v>
      </c>
      <c r="D1867" s="219">
        <v>1.0</v>
      </c>
      <c r="E1867" s="218">
        <v>10790.0</v>
      </c>
      <c r="G1867" s="220">
        <v>43279.0</v>
      </c>
    </row>
    <row r="1868">
      <c r="A1868" s="217">
        <v>43279.68092665509</v>
      </c>
      <c r="B1868" s="218" t="s">
        <v>5092</v>
      </c>
      <c r="C1868" s="218" t="s">
        <v>6680</v>
      </c>
      <c r="D1868" s="219">
        <v>1.0</v>
      </c>
      <c r="E1868" s="218">
        <v>4890.0</v>
      </c>
      <c r="G1868" s="220">
        <v>43279.0</v>
      </c>
    </row>
    <row r="1869">
      <c r="A1869" s="217">
        <v>43279.681743796296</v>
      </c>
      <c r="B1869" s="218" t="s">
        <v>5092</v>
      </c>
      <c r="C1869" s="218" t="s">
        <v>6681</v>
      </c>
      <c r="D1869" s="219">
        <v>1.0</v>
      </c>
      <c r="E1869" s="218">
        <v>4890.0</v>
      </c>
      <c r="G1869" s="220">
        <v>43279.0</v>
      </c>
    </row>
    <row r="1870">
      <c r="A1870" s="217">
        <v>43279.683028784726</v>
      </c>
      <c r="B1870" s="218" t="s">
        <v>5092</v>
      </c>
      <c r="C1870" s="218" t="s">
        <v>1889</v>
      </c>
      <c r="D1870" s="219">
        <v>1.0</v>
      </c>
      <c r="E1870" s="218">
        <v>6490.0</v>
      </c>
      <c r="G1870" s="220">
        <v>43279.0</v>
      </c>
    </row>
    <row r="1871">
      <c r="A1871" s="217">
        <v>43279.683573518516</v>
      </c>
      <c r="B1871" s="218" t="s">
        <v>5092</v>
      </c>
      <c r="C1871" s="218" t="s">
        <v>6682</v>
      </c>
      <c r="D1871" s="219">
        <v>1.0</v>
      </c>
      <c r="E1871" s="218">
        <v>5890.0</v>
      </c>
      <c r="G1871" s="220">
        <v>43279.0</v>
      </c>
    </row>
    <row r="1872">
      <c r="A1872" s="217">
        <v>43279.684121909726</v>
      </c>
      <c r="B1872" s="218" t="s">
        <v>5092</v>
      </c>
      <c r="C1872" s="218" t="s">
        <v>6683</v>
      </c>
      <c r="D1872" s="219">
        <v>1.0</v>
      </c>
      <c r="E1872" s="218">
        <v>4390.0</v>
      </c>
      <c r="G1872" s="220">
        <v>43279.0</v>
      </c>
    </row>
    <row r="1873">
      <c r="A1873" s="217">
        <v>43280.42897228009</v>
      </c>
      <c r="B1873" s="218" t="s">
        <v>5184</v>
      </c>
      <c r="C1873" s="218" t="s">
        <v>5412</v>
      </c>
      <c r="D1873" s="219">
        <v>1.0</v>
      </c>
      <c r="E1873" s="218">
        <v>4990.0</v>
      </c>
      <c r="G1873" s="220">
        <v>43278.0</v>
      </c>
    </row>
    <row r="1874">
      <c r="A1874" s="217">
        <v>43280.43022083333</v>
      </c>
      <c r="B1874" s="218" t="s">
        <v>5184</v>
      </c>
      <c r="C1874" s="218" t="s">
        <v>5883</v>
      </c>
      <c r="D1874" s="219">
        <v>1.0</v>
      </c>
      <c r="E1874" s="218">
        <v>6990.0</v>
      </c>
      <c r="G1874" s="220">
        <v>43279.0</v>
      </c>
    </row>
    <row r="1875">
      <c r="A1875" s="217">
        <v>43280.43344652778</v>
      </c>
      <c r="B1875" s="218" t="s">
        <v>5184</v>
      </c>
      <c r="C1875" s="218" t="s">
        <v>6341</v>
      </c>
      <c r="D1875" s="219">
        <v>1.0</v>
      </c>
      <c r="E1875" s="218">
        <v>3490.0</v>
      </c>
      <c r="G1875" s="220">
        <v>43279.0</v>
      </c>
    </row>
    <row r="1876">
      <c r="A1876" s="217">
        <v>43280.43468658565</v>
      </c>
      <c r="B1876" s="218" t="s">
        <v>5184</v>
      </c>
      <c r="C1876" s="218" t="s">
        <v>5482</v>
      </c>
      <c r="D1876" s="219">
        <v>1.0</v>
      </c>
      <c r="E1876" s="218">
        <v>3990.0</v>
      </c>
      <c r="G1876" s="220">
        <v>43279.0</v>
      </c>
    </row>
    <row r="1877">
      <c r="A1877" s="217">
        <v>43280.44269141204</v>
      </c>
      <c r="B1877" s="218" t="s">
        <v>5184</v>
      </c>
      <c r="C1877" s="218" t="s">
        <v>5169</v>
      </c>
      <c r="D1877" s="219">
        <v>1.0</v>
      </c>
      <c r="E1877" s="218">
        <v>4890.0</v>
      </c>
      <c r="G1877" s="220">
        <v>43278.0</v>
      </c>
    </row>
    <row r="1878">
      <c r="A1878" s="217">
        <v>43280.451976076394</v>
      </c>
      <c r="B1878" s="218" t="s">
        <v>5184</v>
      </c>
      <c r="C1878" s="218" t="s">
        <v>6656</v>
      </c>
      <c r="D1878" s="219">
        <v>1.0</v>
      </c>
      <c r="E1878" s="218">
        <v>5290.0</v>
      </c>
      <c r="G1878" s="220">
        <v>43278.0</v>
      </c>
    </row>
    <row r="1879">
      <c r="A1879" s="217">
        <v>43280.467412673606</v>
      </c>
      <c r="B1879" s="218" t="s">
        <v>5184</v>
      </c>
      <c r="C1879" s="218" t="s">
        <v>6654</v>
      </c>
      <c r="D1879" s="219">
        <v>1.0</v>
      </c>
      <c r="E1879" s="218">
        <v>5390.0</v>
      </c>
      <c r="G1879" s="220">
        <v>43278.0</v>
      </c>
    </row>
    <row r="1880">
      <c r="A1880" s="217">
        <v>43280.47134185185</v>
      </c>
      <c r="B1880" s="218" t="s">
        <v>5184</v>
      </c>
      <c r="C1880" s="218" t="s">
        <v>1838</v>
      </c>
      <c r="D1880" s="219">
        <v>1.0</v>
      </c>
      <c r="E1880" s="218">
        <v>5990.0</v>
      </c>
      <c r="G1880" s="220">
        <v>43278.0</v>
      </c>
    </row>
    <row r="1881">
      <c r="A1881" s="217">
        <v>43280.47377674768</v>
      </c>
      <c r="B1881" s="218" t="s">
        <v>5184</v>
      </c>
      <c r="C1881" s="218" t="s">
        <v>1868</v>
      </c>
      <c r="D1881" s="219">
        <v>1.0</v>
      </c>
      <c r="E1881" s="218">
        <v>5990.0</v>
      </c>
      <c r="G1881" s="220">
        <v>43278.0</v>
      </c>
    </row>
    <row r="1882">
      <c r="A1882" s="217">
        <v>43280.47520163194</v>
      </c>
      <c r="B1882" s="218" t="s">
        <v>5184</v>
      </c>
      <c r="C1882" s="218" t="s">
        <v>5121</v>
      </c>
      <c r="D1882" s="219">
        <v>1.0</v>
      </c>
      <c r="E1882" s="218">
        <v>5990.0</v>
      </c>
      <c r="G1882" s="220">
        <v>43278.0</v>
      </c>
    </row>
    <row r="1883">
      <c r="A1883" s="217">
        <v>43280.47619528935</v>
      </c>
      <c r="B1883" s="218" t="s">
        <v>5184</v>
      </c>
      <c r="C1883" s="218" t="s">
        <v>6653</v>
      </c>
      <c r="D1883" s="219">
        <v>1.0</v>
      </c>
      <c r="E1883" s="218">
        <v>6490.0</v>
      </c>
      <c r="G1883" s="220">
        <v>43278.0</v>
      </c>
    </row>
    <row r="1884">
      <c r="A1884" s="217">
        <v>43280.520832002316</v>
      </c>
      <c r="B1884" s="218" t="s">
        <v>5184</v>
      </c>
      <c r="C1884" s="218" t="s">
        <v>5194</v>
      </c>
      <c r="D1884" s="219">
        <v>1.0</v>
      </c>
      <c r="E1884" s="218">
        <v>4290.0</v>
      </c>
      <c r="G1884" s="220">
        <v>43279.0</v>
      </c>
    </row>
    <row r="1885">
      <c r="A1885" s="217">
        <v>43280.521645879635</v>
      </c>
      <c r="B1885" s="218" t="s">
        <v>5184</v>
      </c>
      <c r="C1885" s="218" t="s">
        <v>4500</v>
      </c>
      <c r="D1885" s="219">
        <v>1.0</v>
      </c>
      <c r="E1885" s="218">
        <v>1850.0</v>
      </c>
      <c r="F1885" s="3" t="s">
        <v>5295</v>
      </c>
      <c r="G1885" s="220">
        <v>43279.0</v>
      </c>
    </row>
    <row r="1886">
      <c r="A1886" s="217">
        <v>43280.52568042824</v>
      </c>
      <c r="B1886" s="218" t="s">
        <v>5184</v>
      </c>
      <c r="C1886" s="218" t="s">
        <v>6685</v>
      </c>
      <c r="D1886" s="219">
        <v>1.0</v>
      </c>
      <c r="E1886" s="218">
        <v>1800.0</v>
      </c>
      <c r="G1886" s="220">
        <v>43279.0</v>
      </c>
    </row>
    <row r="1887">
      <c r="A1887" s="217">
        <v>43280.5287666088</v>
      </c>
      <c r="B1887" s="218" t="s">
        <v>5184</v>
      </c>
      <c r="C1887" s="218" t="s">
        <v>5114</v>
      </c>
      <c r="D1887" s="219">
        <v>2.0</v>
      </c>
      <c r="E1887" s="218">
        <v>7990.0</v>
      </c>
      <c r="G1887" s="220">
        <v>43280.0</v>
      </c>
    </row>
    <row r="1888">
      <c r="A1888" s="217">
        <v>43280.53071303241</v>
      </c>
      <c r="B1888" s="218" t="s">
        <v>5184</v>
      </c>
      <c r="C1888" s="218" t="s">
        <v>6183</v>
      </c>
      <c r="D1888" s="219">
        <v>1.0</v>
      </c>
      <c r="E1888" s="218">
        <v>8690.0</v>
      </c>
      <c r="G1888" s="220">
        <v>43280.0</v>
      </c>
    </row>
    <row r="1889">
      <c r="A1889" s="217">
        <v>43280.531938368054</v>
      </c>
      <c r="B1889" s="218" t="s">
        <v>5184</v>
      </c>
      <c r="C1889" s="218" t="s">
        <v>6183</v>
      </c>
      <c r="D1889" s="219">
        <v>1.0</v>
      </c>
      <c r="E1889" s="218">
        <v>8690.0</v>
      </c>
      <c r="G1889" s="220">
        <v>43280.0</v>
      </c>
    </row>
    <row r="1890">
      <c r="A1890" s="217">
        <v>43280.53292195602</v>
      </c>
      <c r="B1890" s="218" t="s">
        <v>5184</v>
      </c>
      <c r="C1890" s="218" t="s">
        <v>6644</v>
      </c>
      <c r="D1890" s="219">
        <v>1.0</v>
      </c>
      <c r="E1890" s="218">
        <v>6490.0</v>
      </c>
      <c r="G1890" s="220">
        <v>43280.0</v>
      </c>
    </row>
    <row r="1891">
      <c r="A1891" s="217">
        <v>43280.533966180556</v>
      </c>
      <c r="B1891" s="218" t="s">
        <v>5184</v>
      </c>
      <c r="C1891" s="218" t="s">
        <v>1857</v>
      </c>
      <c r="D1891" s="219">
        <v>1.0</v>
      </c>
      <c r="E1891" s="218">
        <v>5990.0</v>
      </c>
      <c r="G1891" s="220">
        <v>43280.0</v>
      </c>
    </row>
    <row r="1892">
      <c r="A1892" s="217">
        <v>43280.53723440973</v>
      </c>
      <c r="B1892" s="218" t="s">
        <v>5184</v>
      </c>
      <c r="C1892" s="218" t="s">
        <v>1835</v>
      </c>
      <c r="D1892" s="219">
        <v>1.0</v>
      </c>
      <c r="E1892" s="218">
        <v>7490.0</v>
      </c>
      <c r="G1892" s="220">
        <v>43280.0</v>
      </c>
    </row>
    <row r="1893">
      <c r="A1893" s="217">
        <v>43280.538227233796</v>
      </c>
      <c r="B1893" s="218" t="s">
        <v>5184</v>
      </c>
      <c r="C1893" s="218" t="s">
        <v>1821</v>
      </c>
      <c r="D1893" s="219">
        <v>1.0</v>
      </c>
      <c r="E1893" s="218">
        <v>6990.0</v>
      </c>
      <c r="G1893" s="220">
        <v>43280.0</v>
      </c>
    </row>
    <row r="1894">
      <c r="A1894" s="217">
        <v>43280.54477167824</v>
      </c>
      <c r="B1894" s="218" t="s">
        <v>5092</v>
      </c>
      <c r="C1894" s="218" t="s">
        <v>4594</v>
      </c>
      <c r="D1894" s="219">
        <v>1.0</v>
      </c>
      <c r="E1894" s="218">
        <v>995.0</v>
      </c>
      <c r="F1894" s="3" t="s">
        <v>5298</v>
      </c>
      <c r="G1894" s="220">
        <v>43273.0</v>
      </c>
    </row>
    <row r="1895">
      <c r="A1895" s="217">
        <v>43280.54538848379</v>
      </c>
      <c r="B1895" s="218" t="s">
        <v>5092</v>
      </c>
      <c r="C1895" s="218" t="s">
        <v>4532</v>
      </c>
      <c r="D1895" s="219">
        <v>1.0</v>
      </c>
      <c r="E1895" s="218">
        <v>1295.0</v>
      </c>
      <c r="F1895" s="3" t="s">
        <v>5298</v>
      </c>
      <c r="G1895" s="220">
        <v>43273.0</v>
      </c>
    </row>
    <row r="1896">
      <c r="A1896" s="217">
        <v>43280.54620888889</v>
      </c>
      <c r="B1896" s="218" t="s">
        <v>5092</v>
      </c>
      <c r="C1896" s="218" t="s">
        <v>4660</v>
      </c>
      <c r="D1896" s="219">
        <v>1.0</v>
      </c>
      <c r="E1896" s="218">
        <v>850.0</v>
      </c>
      <c r="F1896" s="3" t="s">
        <v>5295</v>
      </c>
      <c r="G1896" s="220">
        <v>43273.0</v>
      </c>
    </row>
    <row r="1897">
      <c r="A1897" s="217">
        <v>43280.54707195602</v>
      </c>
      <c r="B1897" s="218" t="s">
        <v>5092</v>
      </c>
      <c r="C1897" s="218" t="s">
        <v>4550</v>
      </c>
      <c r="D1897" s="219">
        <v>1.0</v>
      </c>
      <c r="E1897" s="218">
        <v>2450.0</v>
      </c>
      <c r="F1897" s="3" t="s">
        <v>5298</v>
      </c>
      <c r="G1897" s="220">
        <v>43273.0</v>
      </c>
    </row>
    <row r="1898">
      <c r="A1898" s="217">
        <v>43280.547741689814</v>
      </c>
      <c r="B1898" s="218" t="s">
        <v>5092</v>
      </c>
      <c r="C1898" s="218" t="s">
        <v>4542</v>
      </c>
      <c r="D1898" s="219">
        <v>1.0</v>
      </c>
      <c r="E1898" s="218">
        <v>2395.0</v>
      </c>
      <c r="F1898" s="3" t="s">
        <v>5298</v>
      </c>
      <c r="G1898" s="220">
        <v>43273.0</v>
      </c>
    </row>
    <row r="1899">
      <c r="A1899" s="217">
        <v>43280.549529791664</v>
      </c>
      <c r="B1899" s="218" t="s">
        <v>5092</v>
      </c>
      <c r="C1899" s="218" t="s">
        <v>4638</v>
      </c>
      <c r="D1899" s="219">
        <v>1.0</v>
      </c>
      <c r="E1899" s="218">
        <v>1495.0</v>
      </c>
      <c r="F1899" s="3" t="s">
        <v>5298</v>
      </c>
      <c r="G1899" s="220">
        <v>43273.0</v>
      </c>
    </row>
    <row r="1900">
      <c r="A1900" s="217">
        <v>43280.550246099534</v>
      </c>
      <c r="B1900" s="218" t="s">
        <v>5092</v>
      </c>
      <c r="C1900" s="218" t="s">
        <v>4610</v>
      </c>
      <c r="D1900" s="219">
        <v>1.0</v>
      </c>
      <c r="E1900" s="218">
        <v>895.0</v>
      </c>
      <c r="F1900" s="3" t="s">
        <v>5298</v>
      </c>
      <c r="G1900" s="220">
        <v>43273.0</v>
      </c>
    </row>
    <row r="1901">
      <c r="A1901" s="217">
        <v>43280.55098159722</v>
      </c>
      <c r="B1901" s="218" t="s">
        <v>5092</v>
      </c>
      <c r="C1901" s="218" t="s">
        <v>4655</v>
      </c>
      <c r="D1901" s="219">
        <v>1.0</v>
      </c>
      <c r="E1901" s="218">
        <v>950.0</v>
      </c>
      <c r="F1901" s="3" t="s">
        <v>5295</v>
      </c>
      <c r="G1901" s="220">
        <v>43273.0</v>
      </c>
    </row>
    <row r="1902">
      <c r="A1902" s="217">
        <v>43280.555607002316</v>
      </c>
      <c r="B1902" s="218" t="s">
        <v>2322</v>
      </c>
      <c r="C1902" s="218" t="s">
        <v>1915</v>
      </c>
      <c r="D1902" s="219">
        <v>1.0</v>
      </c>
      <c r="E1902" s="218">
        <v>3390.0</v>
      </c>
      <c r="G1902" s="220">
        <v>43274.0</v>
      </c>
    </row>
    <row r="1903">
      <c r="A1903" s="217">
        <v>43280.55852953704</v>
      </c>
      <c r="B1903" s="218" t="s">
        <v>5184</v>
      </c>
      <c r="C1903" s="218" t="s">
        <v>4655</v>
      </c>
      <c r="D1903" s="219">
        <v>1.0</v>
      </c>
      <c r="E1903" s="218">
        <v>950.0</v>
      </c>
      <c r="G1903" s="220">
        <v>43276.0</v>
      </c>
    </row>
    <row r="1904">
      <c r="A1904" s="217">
        <v>43280.56026024306</v>
      </c>
      <c r="B1904" s="218" t="s">
        <v>5184</v>
      </c>
      <c r="C1904" s="218" t="s">
        <v>5418</v>
      </c>
      <c r="D1904" s="219">
        <v>1.0</v>
      </c>
      <c r="E1904" s="218">
        <v>7290.0</v>
      </c>
      <c r="G1904" s="220">
        <v>43278.0</v>
      </c>
    </row>
    <row r="1905">
      <c r="A1905" s="217">
        <v>43280.561490555556</v>
      </c>
      <c r="B1905" s="218" t="s">
        <v>5092</v>
      </c>
      <c r="C1905" s="218" t="s">
        <v>6696</v>
      </c>
      <c r="D1905" s="219">
        <v>1.0</v>
      </c>
      <c r="E1905" s="218">
        <v>10500.0</v>
      </c>
      <c r="G1905" s="220">
        <v>43280.0</v>
      </c>
    </row>
    <row r="1906">
      <c r="A1906" s="217">
        <v>43280.562419050926</v>
      </c>
      <c r="B1906" s="218" t="s">
        <v>5092</v>
      </c>
      <c r="C1906" s="218" t="s">
        <v>6698</v>
      </c>
      <c r="D1906" s="219">
        <v>1.0</v>
      </c>
      <c r="E1906" s="218">
        <v>11500.0</v>
      </c>
      <c r="G1906" s="220">
        <v>43280.0</v>
      </c>
    </row>
    <row r="1907">
      <c r="A1907" s="217">
        <v>43281.41358655093</v>
      </c>
      <c r="B1907" s="218" t="s">
        <v>5184</v>
      </c>
      <c r="C1907" s="218" t="s">
        <v>6636</v>
      </c>
      <c r="D1907" s="219">
        <v>1.0</v>
      </c>
      <c r="E1907" s="218">
        <v>7190.0</v>
      </c>
      <c r="F1907" s="3" t="s">
        <v>5094</v>
      </c>
      <c r="G1907" s="220">
        <v>43281.0</v>
      </c>
    </row>
    <row r="1908">
      <c r="A1908" s="217">
        <v>43281.414881226854</v>
      </c>
      <c r="B1908" s="218" t="s">
        <v>5184</v>
      </c>
      <c r="C1908" s="218" t="s">
        <v>6487</v>
      </c>
      <c r="D1908" s="219">
        <v>1.0</v>
      </c>
      <c r="E1908" s="218">
        <v>6990.0</v>
      </c>
      <c r="F1908" s="3" t="s">
        <v>5094</v>
      </c>
      <c r="G1908" s="220">
        <v>43281.0</v>
      </c>
    </row>
    <row r="1909">
      <c r="A1909" s="217">
        <v>43281.416912326385</v>
      </c>
      <c r="B1909" s="218" t="s">
        <v>5184</v>
      </c>
      <c r="C1909" s="218" t="s">
        <v>1799</v>
      </c>
      <c r="D1909" s="219">
        <v>1.0</v>
      </c>
      <c r="E1909" s="218">
        <v>7190.0</v>
      </c>
      <c r="F1909" s="3" t="s">
        <v>5094</v>
      </c>
      <c r="G1909" s="220">
        <v>43281.0</v>
      </c>
    </row>
    <row r="1910">
      <c r="A1910" s="217">
        <v>43281.42335737268</v>
      </c>
      <c r="B1910" s="218" t="s">
        <v>5184</v>
      </c>
      <c r="C1910" s="218" t="s">
        <v>6639</v>
      </c>
      <c r="D1910" s="219">
        <v>1.0</v>
      </c>
      <c r="E1910" s="218">
        <v>8190.0</v>
      </c>
      <c r="F1910" s="3" t="s">
        <v>5094</v>
      </c>
      <c r="G1910" s="220">
        <v>43281.0</v>
      </c>
    </row>
    <row r="1911">
      <c r="A1911" s="217">
        <v>43281.43180535879</v>
      </c>
      <c r="B1911" s="218" t="s">
        <v>5184</v>
      </c>
      <c r="C1911" s="218" t="s">
        <v>1838</v>
      </c>
      <c r="D1911" s="219">
        <v>1.0</v>
      </c>
      <c r="E1911" s="218">
        <v>5990.0</v>
      </c>
      <c r="F1911" s="3" t="s">
        <v>5094</v>
      </c>
      <c r="G1911" s="220">
        <v>43281.0</v>
      </c>
    </row>
    <row r="1912">
      <c r="A1912" s="217">
        <v>43281.436534305554</v>
      </c>
      <c r="B1912" s="218" t="s">
        <v>5184</v>
      </c>
      <c r="C1912" s="218" t="s">
        <v>6671</v>
      </c>
      <c r="D1912" s="219">
        <v>1.0</v>
      </c>
      <c r="E1912" s="218">
        <v>6490.0</v>
      </c>
      <c r="G1912" s="220">
        <v>43281.0</v>
      </c>
    </row>
    <row r="1913">
      <c r="A1913" s="217">
        <v>43281.43781148148</v>
      </c>
      <c r="B1913" s="218" t="s">
        <v>5184</v>
      </c>
      <c r="C1913" s="218" t="s">
        <v>1822</v>
      </c>
      <c r="D1913" s="219">
        <v>1.0</v>
      </c>
      <c r="E1913" s="218">
        <v>6490.0</v>
      </c>
      <c r="G1913" s="220">
        <v>43281.0</v>
      </c>
    </row>
    <row r="1914">
      <c r="A1914" s="217">
        <v>43281.438727754634</v>
      </c>
      <c r="B1914" s="218" t="s">
        <v>5184</v>
      </c>
      <c r="C1914" s="218" t="s">
        <v>1824</v>
      </c>
      <c r="D1914" s="219">
        <v>1.0</v>
      </c>
      <c r="E1914" s="218">
        <v>6490.0</v>
      </c>
      <c r="G1914" s="220">
        <v>43281.0</v>
      </c>
    </row>
    <row r="1915">
      <c r="A1915" s="217">
        <v>43281.4396840625</v>
      </c>
      <c r="B1915" s="218" t="s">
        <v>5184</v>
      </c>
      <c r="C1915" s="218" t="s">
        <v>5106</v>
      </c>
      <c r="D1915" s="219">
        <v>1.0</v>
      </c>
      <c r="E1915" s="218">
        <v>6490.0</v>
      </c>
      <c r="G1915" s="220">
        <v>43281.0</v>
      </c>
    </row>
    <row r="1916">
      <c r="A1916" s="217">
        <v>43281.54898525463</v>
      </c>
      <c r="B1916" s="218" t="s">
        <v>2322</v>
      </c>
      <c r="C1916" s="218" t="s">
        <v>1926</v>
      </c>
      <c r="D1916" s="219">
        <v>1.0</v>
      </c>
      <c r="E1916" s="218">
        <v>4290.0</v>
      </c>
      <c r="G1916" s="220">
        <v>43280.0</v>
      </c>
    </row>
    <row r="1917">
      <c r="A1917" s="217">
        <v>43281.55683671296</v>
      </c>
      <c r="B1917" s="218" t="s">
        <v>5184</v>
      </c>
      <c r="C1917" s="218" t="s">
        <v>5786</v>
      </c>
      <c r="D1917" s="219">
        <v>1.0</v>
      </c>
      <c r="E1917" s="218">
        <v>300.0</v>
      </c>
      <c r="F1917" s="3" t="s">
        <v>5787</v>
      </c>
      <c r="G1917" s="220">
        <v>43275.0</v>
      </c>
    </row>
    <row r="1918">
      <c r="A1918" s="217">
        <v>43281.55779719907</v>
      </c>
      <c r="B1918" s="218" t="s">
        <v>5184</v>
      </c>
      <c r="C1918" s="218" t="s">
        <v>5804</v>
      </c>
      <c r="D1918" s="219">
        <v>1.0</v>
      </c>
      <c r="E1918" s="218">
        <v>300.0</v>
      </c>
      <c r="F1918" s="3" t="s">
        <v>5787</v>
      </c>
      <c r="G1918" s="220">
        <v>43275.0</v>
      </c>
    </row>
    <row r="1919">
      <c r="A1919" s="217">
        <v>43281.55924671296</v>
      </c>
      <c r="B1919" s="218" t="s">
        <v>5184</v>
      </c>
      <c r="C1919" s="218" t="s">
        <v>5845</v>
      </c>
      <c r="D1919" s="219">
        <v>1.0</v>
      </c>
      <c r="E1919" s="218">
        <v>500.0</v>
      </c>
      <c r="F1919" s="3" t="s">
        <v>5787</v>
      </c>
      <c r="G1919" s="220">
        <v>43276.0</v>
      </c>
    </row>
    <row r="1920">
      <c r="A1920" s="217">
        <v>43281.559943761575</v>
      </c>
      <c r="B1920" s="218" t="s">
        <v>5184</v>
      </c>
      <c r="C1920" s="218" t="s">
        <v>6001</v>
      </c>
      <c r="D1920" s="219">
        <v>1.0</v>
      </c>
      <c r="E1920" s="218">
        <v>500.0</v>
      </c>
      <c r="F1920" s="3" t="s">
        <v>5787</v>
      </c>
      <c r="G1920" s="220">
        <v>43276.0</v>
      </c>
    </row>
    <row r="1921">
      <c r="A1921" s="217">
        <v>43281.56061888889</v>
      </c>
      <c r="B1921" s="218" t="s">
        <v>5184</v>
      </c>
      <c r="C1921" s="218" t="s">
        <v>5786</v>
      </c>
      <c r="D1921" s="219">
        <v>1.0</v>
      </c>
      <c r="E1921" s="218">
        <v>300.0</v>
      </c>
      <c r="F1921" s="3" t="s">
        <v>5787</v>
      </c>
      <c r="G1921" s="220">
        <v>43276.0</v>
      </c>
    </row>
    <row r="1922">
      <c r="A1922" s="217">
        <v>43281.56114866898</v>
      </c>
      <c r="B1922" s="218" t="s">
        <v>5184</v>
      </c>
      <c r="C1922" s="218" t="s">
        <v>5789</v>
      </c>
      <c r="D1922" s="219">
        <v>1.0</v>
      </c>
      <c r="E1922" s="218">
        <v>400.0</v>
      </c>
      <c r="F1922" s="3" t="s">
        <v>5787</v>
      </c>
      <c r="G1922" s="220">
        <v>43276.0</v>
      </c>
    </row>
    <row r="1923">
      <c r="A1923" s="217">
        <v>43281.56186944444</v>
      </c>
      <c r="B1923" s="218" t="s">
        <v>5184</v>
      </c>
      <c r="C1923" s="218" t="s">
        <v>5804</v>
      </c>
      <c r="D1923" s="219">
        <v>1.0</v>
      </c>
      <c r="E1923" s="218">
        <v>400.0</v>
      </c>
      <c r="F1923" s="3" t="s">
        <v>5787</v>
      </c>
      <c r="G1923" s="220">
        <v>43276.0</v>
      </c>
    </row>
    <row r="1924">
      <c r="A1924" s="217">
        <v>43281.562544872686</v>
      </c>
      <c r="B1924" s="218" t="s">
        <v>5184</v>
      </c>
      <c r="C1924" s="218" t="s">
        <v>5818</v>
      </c>
      <c r="D1924" s="219">
        <v>1.0</v>
      </c>
      <c r="E1924" s="218">
        <v>300.0</v>
      </c>
      <c r="F1924" s="3" t="s">
        <v>5787</v>
      </c>
      <c r="G1924" s="220">
        <v>43277.0</v>
      </c>
    </row>
    <row r="1925">
      <c r="A1925" s="217">
        <v>43281.56326407407</v>
      </c>
      <c r="B1925" s="218" t="s">
        <v>5184</v>
      </c>
      <c r="C1925" s="218" t="s">
        <v>5789</v>
      </c>
      <c r="D1925" s="219">
        <v>1.0</v>
      </c>
      <c r="E1925" s="218">
        <v>400.0</v>
      </c>
      <c r="F1925" s="3" t="s">
        <v>5787</v>
      </c>
      <c r="G1925" s="220">
        <v>43277.0</v>
      </c>
    </row>
    <row r="1926">
      <c r="A1926" s="217">
        <v>43281.56393907407</v>
      </c>
      <c r="B1926" s="218" t="s">
        <v>5184</v>
      </c>
      <c r="C1926" s="218" t="s">
        <v>5782</v>
      </c>
      <c r="D1926" s="219">
        <v>1.0</v>
      </c>
      <c r="E1926" s="218">
        <v>400.0</v>
      </c>
      <c r="F1926" s="3" t="s">
        <v>5787</v>
      </c>
      <c r="G1926" s="220">
        <v>43277.0</v>
      </c>
    </row>
    <row r="1927">
      <c r="A1927" s="217">
        <v>43281.564736458335</v>
      </c>
      <c r="B1927" s="218" t="s">
        <v>5184</v>
      </c>
      <c r="C1927" s="218" t="s">
        <v>5804</v>
      </c>
      <c r="D1927" s="219">
        <v>1.0</v>
      </c>
      <c r="E1927" s="218">
        <v>300.0</v>
      </c>
      <c r="F1927" s="3" t="s">
        <v>5787</v>
      </c>
      <c r="G1927" s="220">
        <v>43277.0</v>
      </c>
    </row>
    <row r="1928">
      <c r="A1928" s="217">
        <v>43281.68260371528</v>
      </c>
      <c r="B1928" s="218" t="s">
        <v>5184</v>
      </c>
      <c r="C1928" s="218" t="s">
        <v>6117</v>
      </c>
      <c r="D1928" s="219">
        <v>1.0</v>
      </c>
      <c r="E1928" s="218">
        <v>1000.0</v>
      </c>
      <c r="F1928" s="3" t="s">
        <v>5787</v>
      </c>
      <c r="G1928" s="220">
        <v>43280.0</v>
      </c>
    </row>
    <row r="1929">
      <c r="A1929" s="217">
        <v>43281.68375726852</v>
      </c>
      <c r="B1929" s="218" t="s">
        <v>5184</v>
      </c>
      <c r="C1929" s="218" t="s">
        <v>5845</v>
      </c>
      <c r="D1929" s="219">
        <v>1.0</v>
      </c>
      <c r="E1929" s="218">
        <v>500.0</v>
      </c>
      <c r="F1929" s="3" t="s">
        <v>5787</v>
      </c>
      <c r="G1929" s="220">
        <v>43280.0</v>
      </c>
    </row>
    <row r="1930">
      <c r="A1930" s="217">
        <v>43281.70556065972</v>
      </c>
      <c r="B1930" s="218" t="s">
        <v>5092</v>
      </c>
      <c r="C1930" s="218" t="s">
        <v>6712</v>
      </c>
      <c r="D1930" s="219">
        <v>1.0</v>
      </c>
      <c r="E1930" s="218">
        <v>3390.0</v>
      </c>
      <c r="G1930" s="220">
        <v>43281.0</v>
      </c>
    </row>
    <row r="1931">
      <c r="A1931" s="217">
        <v>43281.70608939815</v>
      </c>
      <c r="B1931" s="218" t="s">
        <v>5092</v>
      </c>
      <c r="C1931" s="218" t="s">
        <v>6342</v>
      </c>
      <c r="D1931" s="219">
        <v>1.0</v>
      </c>
      <c r="E1931" s="218">
        <v>3890.0</v>
      </c>
      <c r="G1931" s="220">
        <v>43281.0</v>
      </c>
    </row>
    <row r="1932">
      <c r="A1932" s="217">
        <v>43281.706898715274</v>
      </c>
      <c r="B1932" s="218" t="s">
        <v>5092</v>
      </c>
      <c r="C1932" s="218" t="s">
        <v>6714</v>
      </c>
      <c r="D1932" s="219">
        <v>1.0</v>
      </c>
      <c r="E1932" s="218">
        <v>3690.0</v>
      </c>
      <c r="G1932" s="220">
        <v>43281.0</v>
      </c>
    </row>
    <row r="1933">
      <c r="A1933" s="217">
        <v>43281.707515891205</v>
      </c>
      <c r="B1933" s="218" t="s">
        <v>5092</v>
      </c>
      <c r="C1933" s="218" t="s">
        <v>6715</v>
      </c>
      <c r="D1933" s="219">
        <v>1.0</v>
      </c>
      <c r="E1933" s="218">
        <v>3390.0</v>
      </c>
      <c r="G1933" s="220">
        <v>43281.0</v>
      </c>
    </row>
    <row r="1934">
      <c r="A1934" s="217">
        <v>43281.708138368056</v>
      </c>
      <c r="B1934" s="218" t="s">
        <v>5092</v>
      </c>
      <c r="C1934" s="218" t="s">
        <v>6339</v>
      </c>
      <c r="D1934" s="219">
        <v>2.0</v>
      </c>
      <c r="E1934" s="218">
        <v>3690.0</v>
      </c>
      <c r="G1934" s="220">
        <v>43281.0</v>
      </c>
    </row>
    <row r="1935">
      <c r="A1935" s="217">
        <v>43281.70894351852</v>
      </c>
      <c r="B1935" s="218" t="s">
        <v>5092</v>
      </c>
      <c r="C1935" s="218" t="s">
        <v>6716</v>
      </c>
      <c r="D1935" s="219">
        <v>1.0</v>
      </c>
      <c r="E1935" s="218">
        <v>4690.0</v>
      </c>
      <c r="G1935" s="220">
        <v>43281.0</v>
      </c>
    </row>
    <row r="1936">
      <c r="A1936" s="217">
        <v>43281.709522453704</v>
      </c>
      <c r="B1936" s="218" t="s">
        <v>5092</v>
      </c>
      <c r="C1936" s="218" t="s">
        <v>2104</v>
      </c>
      <c r="D1936" s="219">
        <v>1.0</v>
      </c>
      <c r="E1936" s="218">
        <v>4590.0</v>
      </c>
      <c r="G1936" s="220">
        <v>43281.0</v>
      </c>
    </row>
    <row r="1937">
      <c r="A1937" s="217">
        <v>43281.710264016205</v>
      </c>
      <c r="B1937" s="218" t="s">
        <v>5092</v>
      </c>
      <c r="C1937" s="218" t="s">
        <v>6178</v>
      </c>
      <c r="D1937" s="219">
        <v>1.0</v>
      </c>
      <c r="E1937" s="218">
        <v>3690.0</v>
      </c>
      <c r="G1937" s="220">
        <v>43281.0</v>
      </c>
    </row>
    <row r="1938">
      <c r="A1938" s="217">
        <v>43281.71266671296</v>
      </c>
      <c r="B1938" s="218" t="s">
        <v>5092</v>
      </c>
      <c r="C1938" s="218" t="s">
        <v>6717</v>
      </c>
      <c r="D1938" s="219">
        <v>1.0</v>
      </c>
      <c r="E1938" s="218">
        <v>3890.0</v>
      </c>
      <c r="G1938" s="220">
        <v>43281.0</v>
      </c>
    </row>
    <row r="1939">
      <c r="A1939" s="217">
        <v>43281.71611496528</v>
      </c>
      <c r="B1939" s="218" t="s">
        <v>5092</v>
      </c>
      <c r="C1939" s="218" t="s">
        <v>2178</v>
      </c>
      <c r="D1939" s="219">
        <v>1.0</v>
      </c>
      <c r="E1939" s="218">
        <v>3190.0</v>
      </c>
      <c r="G1939" s="220">
        <v>43281.0</v>
      </c>
    </row>
    <row r="1940">
      <c r="A1940" s="217">
        <v>43281.72106681713</v>
      </c>
      <c r="B1940" s="218" t="s">
        <v>5092</v>
      </c>
      <c r="C1940" s="218" t="s">
        <v>2255</v>
      </c>
      <c r="D1940" s="219">
        <v>1.0</v>
      </c>
      <c r="E1940" s="218">
        <v>4790.0</v>
      </c>
      <c r="G1940" s="220">
        <v>43281.0</v>
      </c>
    </row>
    <row r="1941">
      <c r="A1941" s="217">
        <v>43281.721600324076</v>
      </c>
      <c r="B1941" s="218" t="s">
        <v>5092</v>
      </c>
      <c r="C1941" s="218" t="s">
        <v>6717</v>
      </c>
      <c r="D1941" s="219">
        <v>1.0</v>
      </c>
      <c r="E1941" s="218">
        <v>3890.0</v>
      </c>
      <c r="G1941" s="220">
        <v>43281.0</v>
      </c>
    </row>
    <row r="1942">
      <c r="A1942" s="217">
        <v>43281.72235311342</v>
      </c>
      <c r="B1942" s="218" t="s">
        <v>5092</v>
      </c>
      <c r="C1942" s="218" t="s">
        <v>6177</v>
      </c>
      <c r="D1942" s="219">
        <v>1.0</v>
      </c>
      <c r="E1942" s="218">
        <v>3690.0</v>
      </c>
      <c r="G1942" s="220">
        <v>43281.0</v>
      </c>
    </row>
    <row r="1943">
      <c r="A1943" s="217">
        <v>43281.72299258102</v>
      </c>
      <c r="B1943" s="218" t="s">
        <v>5092</v>
      </c>
      <c r="C1943" s="218" t="s">
        <v>2261</v>
      </c>
      <c r="D1943" s="219">
        <v>1.0</v>
      </c>
      <c r="E1943" s="218">
        <v>3990.0</v>
      </c>
      <c r="G1943" s="220">
        <v>43281.0</v>
      </c>
    </row>
    <row r="1944">
      <c r="A1944" s="217">
        <v>43281.723648576386</v>
      </c>
      <c r="B1944" s="218" t="s">
        <v>5092</v>
      </c>
      <c r="C1944" s="218" t="s">
        <v>6718</v>
      </c>
      <c r="D1944" s="219">
        <v>1.0</v>
      </c>
      <c r="E1944" s="218">
        <v>3290.0</v>
      </c>
      <c r="G1944" s="220">
        <v>43281.0</v>
      </c>
    </row>
    <row r="1945">
      <c r="A1945" s="217">
        <v>43281.724318113425</v>
      </c>
      <c r="B1945" s="218" t="s">
        <v>5092</v>
      </c>
      <c r="C1945" s="218" t="s">
        <v>6719</v>
      </c>
      <c r="D1945" s="219">
        <v>1.0</v>
      </c>
      <c r="E1945" s="218">
        <v>3990.0</v>
      </c>
      <c r="G1945" s="220">
        <v>43281.0</v>
      </c>
    </row>
    <row r="1946">
      <c r="A1946" s="217">
        <v>43281.7249996875</v>
      </c>
      <c r="B1946" s="218" t="s">
        <v>5092</v>
      </c>
      <c r="C1946" s="218" t="s">
        <v>2265</v>
      </c>
      <c r="D1946" s="219">
        <v>1.0</v>
      </c>
      <c r="E1946" s="218">
        <v>5590.0</v>
      </c>
      <c r="G1946" s="220">
        <v>43281.0</v>
      </c>
    </row>
    <row r="1947">
      <c r="A1947" s="217">
        <v>43281.725820312495</v>
      </c>
      <c r="B1947" s="218" t="s">
        <v>5092</v>
      </c>
      <c r="C1947" s="218" t="s">
        <v>5487</v>
      </c>
      <c r="D1947" s="219">
        <v>1.0</v>
      </c>
      <c r="E1947" s="218">
        <v>3990.0</v>
      </c>
      <c r="G1947" s="220">
        <v>43281.0</v>
      </c>
    </row>
    <row r="1948">
      <c r="A1948" s="217">
        <v>43281.72648353009</v>
      </c>
      <c r="B1948" s="218" t="s">
        <v>5092</v>
      </c>
      <c r="C1948" s="218" t="s">
        <v>6720</v>
      </c>
      <c r="D1948" s="219">
        <v>1.0</v>
      </c>
      <c r="E1948" s="218">
        <v>3290.0</v>
      </c>
      <c r="G1948" s="220">
        <v>43281.0</v>
      </c>
    </row>
    <row r="1949">
      <c r="A1949" s="217">
        <v>43281.72719109953</v>
      </c>
      <c r="B1949" s="218" t="s">
        <v>5092</v>
      </c>
      <c r="C1949" s="218" t="s">
        <v>5489</v>
      </c>
      <c r="D1949" s="219">
        <v>1.0</v>
      </c>
      <c r="E1949" s="218">
        <v>3290.0</v>
      </c>
      <c r="G1949" s="220">
        <v>43281.0</v>
      </c>
    </row>
    <row r="1950">
      <c r="A1950" s="217">
        <v>43281.72781848379</v>
      </c>
      <c r="B1950" s="218" t="s">
        <v>5092</v>
      </c>
      <c r="C1950" s="218" t="s">
        <v>6720</v>
      </c>
      <c r="D1950" s="219">
        <v>1.0</v>
      </c>
      <c r="E1950" s="218">
        <v>3290.0</v>
      </c>
      <c r="G1950" s="220">
        <v>43281.0</v>
      </c>
    </row>
    <row r="1951">
      <c r="A1951" s="217">
        <v>43288.633364837966</v>
      </c>
      <c r="B1951" s="218" t="s">
        <v>5184</v>
      </c>
      <c r="C1951" s="218" t="s">
        <v>4502</v>
      </c>
      <c r="D1951" s="219">
        <v>1.0</v>
      </c>
      <c r="E1951" s="218">
        <v>1850.0</v>
      </c>
      <c r="F1951" s="3" t="s">
        <v>5295</v>
      </c>
      <c r="G1951" s="220">
        <v>43283.0</v>
      </c>
    </row>
    <row r="1952">
      <c r="A1952" s="217">
        <v>43288.641650694444</v>
      </c>
      <c r="B1952" s="218" t="s">
        <v>5184</v>
      </c>
      <c r="C1952" s="218" t="s">
        <v>1915</v>
      </c>
      <c r="D1952" s="219">
        <v>1.0</v>
      </c>
      <c r="E1952" s="218">
        <v>3390.0</v>
      </c>
      <c r="G1952" s="220">
        <v>43283.0</v>
      </c>
    </row>
    <row r="1953">
      <c r="A1953" s="217">
        <v>43288.64311333333</v>
      </c>
      <c r="B1953" s="218" t="s">
        <v>2322</v>
      </c>
      <c r="C1953" s="218" t="s">
        <v>4660</v>
      </c>
      <c r="D1953" s="219">
        <v>1.0</v>
      </c>
      <c r="E1953" s="218">
        <v>850.0</v>
      </c>
      <c r="F1953" s="3" t="s">
        <v>5295</v>
      </c>
      <c r="G1953" s="220">
        <v>43285.0</v>
      </c>
    </row>
    <row r="1954">
      <c r="A1954" s="217">
        <v>43288.64953267361</v>
      </c>
      <c r="B1954" s="218" t="s">
        <v>2322</v>
      </c>
      <c r="C1954" s="218" t="s">
        <v>5651</v>
      </c>
      <c r="D1954" s="219">
        <v>1.0</v>
      </c>
      <c r="E1954" s="218">
        <v>2950.0</v>
      </c>
      <c r="G1954" s="220">
        <v>43285.0</v>
      </c>
    </row>
    <row r="1955">
      <c r="A1955" s="217">
        <v>43288.652382002314</v>
      </c>
      <c r="B1955" s="218" t="s">
        <v>5184</v>
      </c>
      <c r="C1955" s="218" t="s">
        <v>4660</v>
      </c>
      <c r="D1955" s="219">
        <v>1.0</v>
      </c>
      <c r="E1955" s="218">
        <v>850.0</v>
      </c>
      <c r="F1955" s="3" t="s">
        <v>5295</v>
      </c>
      <c r="G1955" s="220">
        <v>43288.0</v>
      </c>
    </row>
    <row r="1956">
      <c r="A1956" s="217">
        <v>43288.656972638884</v>
      </c>
      <c r="B1956" s="218" t="s">
        <v>5184</v>
      </c>
      <c r="C1956" s="218" t="s">
        <v>5845</v>
      </c>
      <c r="D1956" s="219">
        <v>1.0</v>
      </c>
      <c r="E1956" s="218">
        <v>500.0</v>
      </c>
      <c r="F1956" s="3" t="s">
        <v>5787</v>
      </c>
      <c r="G1956" s="220">
        <v>43281.0</v>
      </c>
    </row>
    <row r="1957">
      <c r="A1957" s="217">
        <v>43288.6581316088</v>
      </c>
      <c r="B1957" s="218" t="s">
        <v>5184</v>
      </c>
      <c r="C1957" s="218" t="s">
        <v>5804</v>
      </c>
      <c r="D1957" s="219">
        <v>1.0</v>
      </c>
      <c r="E1957" s="218">
        <v>300.0</v>
      </c>
      <c r="F1957" s="3" t="s">
        <v>5787</v>
      </c>
      <c r="G1957" s="220">
        <v>43281.0</v>
      </c>
    </row>
    <row r="1958">
      <c r="A1958" s="217">
        <v>43288.65897638889</v>
      </c>
      <c r="B1958" s="218" t="s">
        <v>5184</v>
      </c>
      <c r="C1958" s="218" t="s">
        <v>5789</v>
      </c>
      <c r="D1958" s="219">
        <v>1.0</v>
      </c>
      <c r="E1958" s="218">
        <v>400.0</v>
      </c>
      <c r="F1958" s="3" t="s">
        <v>5787</v>
      </c>
      <c r="G1958" s="220">
        <v>43281.0</v>
      </c>
    </row>
    <row r="1959">
      <c r="A1959" s="217">
        <v>43288.66077101852</v>
      </c>
      <c r="B1959" s="218" t="s">
        <v>5184</v>
      </c>
      <c r="C1959" s="218" t="s">
        <v>5845</v>
      </c>
      <c r="D1959" s="219">
        <v>1.0</v>
      </c>
      <c r="E1959" s="218">
        <v>500.0</v>
      </c>
      <c r="F1959" s="3" t="s">
        <v>5787</v>
      </c>
      <c r="G1959" s="220">
        <v>43282.0</v>
      </c>
    </row>
    <row r="1960">
      <c r="A1960" s="217">
        <v>43288.66166778935</v>
      </c>
      <c r="B1960" s="218" t="s">
        <v>5184</v>
      </c>
      <c r="C1960" s="218" t="s">
        <v>5782</v>
      </c>
      <c r="D1960" s="219">
        <v>1.0</v>
      </c>
      <c r="E1960" s="218">
        <v>400.0</v>
      </c>
      <c r="F1960" s="3" t="s">
        <v>5787</v>
      </c>
      <c r="G1960" s="220">
        <v>43282.0</v>
      </c>
    </row>
    <row r="1961">
      <c r="A1961" s="217">
        <v>43288.66240855324</v>
      </c>
      <c r="B1961" s="218" t="s">
        <v>5184</v>
      </c>
      <c r="C1961" s="218" t="s">
        <v>5818</v>
      </c>
      <c r="D1961" s="219">
        <v>1.0</v>
      </c>
      <c r="E1961" s="218">
        <v>300.0</v>
      </c>
      <c r="F1961" s="3" t="s">
        <v>5787</v>
      </c>
      <c r="G1961" s="220">
        <v>43282.0</v>
      </c>
    </row>
    <row r="1962">
      <c r="A1962" s="217">
        <v>43288.66351875</v>
      </c>
      <c r="B1962" s="218" t="s">
        <v>5184</v>
      </c>
      <c r="C1962" s="218" t="s">
        <v>5839</v>
      </c>
      <c r="D1962" s="219">
        <v>1.0</v>
      </c>
      <c r="E1962" s="218">
        <v>1800.0</v>
      </c>
      <c r="F1962" s="3" t="s">
        <v>5837</v>
      </c>
      <c r="G1962" s="220">
        <v>43283.0</v>
      </c>
    </row>
    <row r="1963">
      <c r="A1963" s="217">
        <v>43288.66790210648</v>
      </c>
      <c r="B1963" s="218" t="s">
        <v>5184</v>
      </c>
      <c r="C1963" s="218" t="s">
        <v>5845</v>
      </c>
      <c r="D1963" s="219">
        <v>1.0</v>
      </c>
      <c r="E1963" s="218">
        <v>500.0</v>
      </c>
      <c r="F1963" s="3" t="s">
        <v>5787</v>
      </c>
      <c r="G1963" s="220">
        <v>43283.0</v>
      </c>
    </row>
    <row r="1964">
      <c r="A1964" s="217">
        <v>43288.668743518516</v>
      </c>
      <c r="B1964" s="218" t="s">
        <v>5184</v>
      </c>
      <c r="C1964" s="218" t="s">
        <v>6001</v>
      </c>
      <c r="D1964" s="219">
        <v>1.0</v>
      </c>
      <c r="E1964" s="218">
        <v>500.0</v>
      </c>
      <c r="F1964" s="3" t="s">
        <v>5787</v>
      </c>
      <c r="G1964" s="220">
        <v>43283.0</v>
      </c>
    </row>
    <row r="1965">
      <c r="A1965" s="217">
        <v>43288.67006747685</v>
      </c>
      <c r="B1965" s="218" t="s">
        <v>5184</v>
      </c>
      <c r="C1965" s="218" t="s">
        <v>5845</v>
      </c>
      <c r="D1965" s="219">
        <v>1.0</v>
      </c>
      <c r="E1965" s="218">
        <v>500.0</v>
      </c>
      <c r="F1965" s="3" t="s">
        <v>5787</v>
      </c>
      <c r="G1965" s="220">
        <v>43283.0</v>
      </c>
    </row>
    <row r="1966">
      <c r="A1966" s="217">
        <v>43288.670746504635</v>
      </c>
      <c r="B1966" s="218" t="s">
        <v>5184</v>
      </c>
      <c r="C1966" s="218" t="s">
        <v>6001</v>
      </c>
      <c r="D1966" s="219">
        <v>1.0</v>
      </c>
      <c r="E1966" s="218">
        <v>400.0</v>
      </c>
      <c r="F1966" s="3" t="s">
        <v>5787</v>
      </c>
      <c r="G1966" s="220">
        <v>43283.0</v>
      </c>
    </row>
    <row r="1967">
      <c r="A1967" s="217">
        <v>43288.67933885417</v>
      </c>
      <c r="B1967" s="218" t="s">
        <v>5184</v>
      </c>
      <c r="C1967" s="218" t="s">
        <v>5976</v>
      </c>
      <c r="D1967" s="219">
        <v>1.0</v>
      </c>
      <c r="E1967" s="218">
        <v>400.0</v>
      </c>
      <c r="F1967" s="3" t="s">
        <v>5787</v>
      </c>
      <c r="G1967" s="220">
        <v>43284.0</v>
      </c>
    </row>
    <row r="1968">
      <c r="A1968" s="217">
        <v>43288.68152347222</v>
      </c>
      <c r="B1968" s="218" t="s">
        <v>5184</v>
      </c>
      <c r="C1968" s="218" t="s">
        <v>6001</v>
      </c>
      <c r="D1968" s="219">
        <v>1.0</v>
      </c>
      <c r="E1968" s="218">
        <v>500.0</v>
      </c>
      <c r="F1968" s="3" t="s">
        <v>5787</v>
      </c>
      <c r="G1968" s="220">
        <v>43284.0</v>
      </c>
    </row>
    <row r="1969">
      <c r="A1969" s="217">
        <v>43288.68279128472</v>
      </c>
      <c r="B1969" s="218" t="s">
        <v>5184</v>
      </c>
      <c r="C1969" s="218" t="s">
        <v>5786</v>
      </c>
      <c r="D1969" s="219">
        <v>1.0</v>
      </c>
      <c r="E1969" s="218">
        <v>300.0</v>
      </c>
      <c r="F1969" s="3" t="s">
        <v>5787</v>
      </c>
      <c r="G1969" s="220">
        <v>43285.0</v>
      </c>
    </row>
    <row r="1970">
      <c r="A1970" s="217">
        <v>43288.68391851852</v>
      </c>
      <c r="B1970" s="218" t="s">
        <v>5184</v>
      </c>
      <c r="C1970" s="218" t="s">
        <v>5818</v>
      </c>
      <c r="D1970" s="219">
        <v>1.0</v>
      </c>
      <c r="E1970" s="218">
        <v>300.0</v>
      </c>
      <c r="F1970" s="3" t="s">
        <v>5787</v>
      </c>
      <c r="G1970" s="220">
        <v>43286.0</v>
      </c>
    </row>
    <row r="1971">
      <c r="A1971" s="217">
        <v>43288.68474653935</v>
      </c>
      <c r="B1971" s="218" t="s">
        <v>5184</v>
      </c>
      <c r="C1971" s="218" t="s">
        <v>5782</v>
      </c>
      <c r="D1971" s="219">
        <v>1.0</v>
      </c>
      <c r="E1971" s="218">
        <v>400.0</v>
      </c>
      <c r="F1971" s="3" t="s">
        <v>5787</v>
      </c>
      <c r="G1971" s="220">
        <v>43286.0</v>
      </c>
    </row>
    <row r="1972">
      <c r="A1972" s="217">
        <v>43288.68556696759</v>
      </c>
      <c r="B1972" s="218" t="s">
        <v>5184</v>
      </c>
      <c r="C1972" s="218" t="s">
        <v>5845</v>
      </c>
      <c r="D1972" s="219">
        <v>1.0</v>
      </c>
      <c r="E1972" s="218">
        <v>500.0</v>
      </c>
      <c r="F1972" s="3" t="s">
        <v>5787</v>
      </c>
      <c r="G1972" s="220">
        <v>43286.0</v>
      </c>
    </row>
    <row r="1973">
      <c r="A1973" s="217">
        <v>43288.68652854167</v>
      </c>
      <c r="B1973" s="218" t="s">
        <v>5184</v>
      </c>
      <c r="C1973" s="218" t="s">
        <v>5786</v>
      </c>
      <c r="D1973" s="219">
        <v>1.0</v>
      </c>
      <c r="E1973" s="218">
        <v>300.0</v>
      </c>
      <c r="F1973" s="3" t="s">
        <v>5787</v>
      </c>
      <c r="G1973" s="220">
        <v>43286.0</v>
      </c>
    </row>
    <row r="1974">
      <c r="A1974" s="217">
        <v>43288.68780399306</v>
      </c>
      <c r="B1974" s="218" t="s">
        <v>5184</v>
      </c>
      <c r="C1974" s="218" t="s">
        <v>6001</v>
      </c>
      <c r="D1974" s="219">
        <v>1.0</v>
      </c>
      <c r="E1974" s="218">
        <v>500.0</v>
      </c>
      <c r="F1974" s="3" t="s">
        <v>5787</v>
      </c>
      <c r="G1974" s="220">
        <v>43286.0</v>
      </c>
    </row>
    <row r="1975">
      <c r="A1975" s="217">
        <v>43288.689036076394</v>
      </c>
      <c r="B1975" s="218" t="s">
        <v>5184</v>
      </c>
      <c r="C1975" s="218" t="s">
        <v>6714</v>
      </c>
      <c r="D1975" s="219">
        <v>1.0</v>
      </c>
      <c r="E1975" s="218">
        <v>3690.0</v>
      </c>
      <c r="G1975" s="220">
        <v>43286.0</v>
      </c>
    </row>
    <row r="1976">
      <c r="A1976" s="217">
        <v>43288.69183134259</v>
      </c>
      <c r="B1976" s="218" t="s">
        <v>5184</v>
      </c>
      <c r="C1976" s="218" t="s">
        <v>5848</v>
      </c>
      <c r="D1976" s="219">
        <v>1.0</v>
      </c>
      <c r="E1976" s="218">
        <v>1000.0</v>
      </c>
      <c r="F1976" s="3" t="s">
        <v>5787</v>
      </c>
      <c r="G1976" s="220">
        <v>43287.0</v>
      </c>
    </row>
    <row r="1977">
      <c r="A1977" s="217">
        <v>43288.69365951389</v>
      </c>
      <c r="B1977" s="218" t="s">
        <v>5184</v>
      </c>
      <c r="C1977" s="218" t="s">
        <v>5845</v>
      </c>
      <c r="D1977" s="219">
        <v>1.0</v>
      </c>
      <c r="E1977" s="218">
        <v>500.0</v>
      </c>
      <c r="F1977" s="3" t="s">
        <v>5787</v>
      </c>
      <c r="G1977" s="220">
        <v>43287.0</v>
      </c>
    </row>
    <row r="1978">
      <c r="A1978" s="217">
        <v>43288.69479789352</v>
      </c>
      <c r="B1978" s="218" t="s">
        <v>5184</v>
      </c>
      <c r="C1978" s="218" t="s">
        <v>5789</v>
      </c>
      <c r="D1978" s="219">
        <v>1.0</v>
      </c>
      <c r="E1978" s="218">
        <v>400.0</v>
      </c>
      <c r="F1978" s="3" t="s">
        <v>5787</v>
      </c>
      <c r="G1978" s="220">
        <v>43287.0</v>
      </c>
    </row>
    <row r="1979">
      <c r="A1979" s="217">
        <v>43288.69786581019</v>
      </c>
      <c r="B1979" s="218" t="s">
        <v>5184</v>
      </c>
      <c r="C1979" s="218" t="s">
        <v>5786</v>
      </c>
      <c r="D1979" s="219">
        <v>1.0</v>
      </c>
      <c r="E1979" s="218">
        <v>300.0</v>
      </c>
      <c r="F1979" s="3" t="s">
        <v>5787</v>
      </c>
      <c r="G1979" s="220">
        <v>43287.0</v>
      </c>
    </row>
    <row r="1980">
      <c r="A1980" s="217">
        <v>43288.69914902777</v>
      </c>
      <c r="B1980" s="218" t="s">
        <v>5184</v>
      </c>
      <c r="C1980" s="218" t="s">
        <v>5786</v>
      </c>
      <c r="D1980" s="219">
        <v>1.0</v>
      </c>
      <c r="E1980" s="218">
        <v>300.0</v>
      </c>
      <c r="F1980" s="3" t="s">
        <v>5787</v>
      </c>
      <c r="G1980" s="220">
        <v>43287.0</v>
      </c>
    </row>
    <row r="1981">
      <c r="A1981" s="217">
        <v>43288.70214122685</v>
      </c>
      <c r="B1981" s="218" t="s">
        <v>5184</v>
      </c>
      <c r="C1981" s="218" t="s">
        <v>5782</v>
      </c>
      <c r="D1981" s="219">
        <v>1.0</v>
      </c>
      <c r="E1981" s="218">
        <v>400.0</v>
      </c>
      <c r="F1981" s="3" t="s">
        <v>5787</v>
      </c>
      <c r="G1981" s="220">
        <v>43288.0</v>
      </c>
    </row>
    <row r="1982">
      <c r="A1982" s="217">
        <v>43288.703326874995</v>
      </c>
      <c r="B1982" s="218" t="s">
        <v>5184</v>
      </c>
      <c r="C1982" s="218" t="s">
        <v>1235</v>
      </c>
      <c r="D1982" s="219">
        <v>1.0</v>
      </c>
      <c r="E1982" s="218">
        <v>600.0</v>
      </c>
      <c r="F1982" s="3" t="s">
        <v>5787</v>
      </c>
      <c r="G1982" s="220">
        <v>43288.0</v>
      </c>
    </row>
    <row r="1983">
      <c r="A1983" s="217">
        <v>43288.7046036574</v>
      </c>
      <c r="B1983" s="218" t="s">
        <v>5184</v>
      </c>
      <c r="C1983" s="218" t="s">
        <v>6001</v>
      </c>
      <c r="D1983" s="219">
        <v>1.0</v>
      </c>
      <c r="E1983" s="218">
        <v>500.0</v>
      </c>
      <c r="F1983" s="3" t="s">
        <v>5787</v>
      </c>
      <c r="G1983" s="220">
        <v>43288.0</v>
      </c>
    </row>
    <row r="1984">
      <c r="A1984" s="217">
        <v>43288.71802510417</v>
      </c>
      <c r="B1984" s="218" t="s">
        <v>5092</v>
      </c>
      <c r="C1984" s="218" t="s">
        <v>6762</v>
      </c>
      <c r="D1984" s="219">
        <v>339.0</v>
      </c>
      <c r="E1984" s="218">
        <v>2400.0</v>
      </c>
      <c r="F1984" s="3" t="s">
        <v>5833</v>
      </c>
      <c r="G1984" s="220">
        <v>43281.0</v>
      </c>
    </row>
    <row r="1985">
      <c r="A1985" s="217">
        <v>43288.749438865736</v>
      </c>
      <c r="B1985" s="218" t="s">
        <v>5184</v>
      </c>
      <c r="C1985" s="218" t="s">
        <v>6762</v>
      </c>
      <c r="D1985" s="219">
        <v>223.0</v>
      </c>
      <c r="E1985" s="218">
        <v>2400.0</v>
      </c>
      <c r="F1985" s="3" t="s">
        <v>5833</v>
      </c>
      <c r="G1985" s="220">
        <v>43287.0</v>
      </c>
    </row>
    <row r="1986">
      <c r="A1986" s="217">
        <v>43289.43758903936</v>
      </c>
      <c r="B1986" s="218" t="s">
        <v>5184</v>
      </c>
      <c r="C1986" s="218" t="s">
        <v>6762</v>
      </c>
      <c r="D1986" s="219">
        <v>21.0</v>
      </c>
      <c r="E1986" s="218">
        <v>2400.0</v>
      </c>
      <c r="G1986" s="220">
        <v>43288.0</v>
      </c>
    </row>
    <row r="1987">
      <c r="A1987" s="217">
        <v>43289.44656115741</v>
      </c>
      <c r="B1987" s="218" t="s">
        <v>5092</v>
      </c>
      <c r="C1987" s="218" t="s">
        <v>1908</v>
      </c>
      <c r="D1987" s="219">
        <v>1.0</v>
      </c>
      <c r="E1987" s="218">
        <v>5090.0</v>
      </c>
      <c r="G1987" s="220">
        <v>43288.0</v>
      </c>
    </row>
    <row r="1988">
      <c r="A1988" s="217">
        <v>43289.447146342594</v>
      </c>
      <c r="B1988" s="218" t="s">
        <v>5092</v>
      </c>
      <c r="C1988" s="218" t="s">
        <v>6765</v>
      </c>
      <c r="D1988" s="219">
        <v>1.0</v>
      </c>
      <c r="E1988" s="218">
        <v>5090.0</v>
      </c>
      <c r="G1988" s="220">
        <v>43288.0</v>
      </c>
    </row>
    <row r="1989">
      <c r="A1989" s="217">
        <v>43289.44787532407</v>
      </c>
      <c r="B1989" s="218" t="s">
        <v>5092</v>
      </c>
      <c r="C1989" s="218" t="s">
        <v>6766</v>
      </c>
      <c r="D1989" s="219">
        <v>1.0</v>
      </c>
      <c r="E1989" s="218">
        <v>5090.0</v>
      </c>
      <c r="G1989" s="220">
        <v>43288.0</v>
      </c>
    </row>
    <row r="1990">
      <c r="A1990" s="217">
        <v>43289.44953760417</v>
      </c>
      <c r="B1990" s="218" t="s">
        <v>5092</v>
      </c>
      <c r="C1990" s="218" t="s">
        <v>1912</v>
      </c>
      <c r="D1990" s="219">
        <v>1.0</v>
      </c>
      <c r="E1990" s="218">
        <v>5090.0</v>
      </c>
      <c r="G1990" s="220">
        <v>43288.0</v>
      </c>
    </row>
    <row r="1991">
      <c r="A1991" s="217">
        <v>43289.450483252316</v>
      </c>
      <c r="B1991" s="218" t="s">
        <v>5092</v>
      </c>
      <c r="C1991" s="218" t="s">
        <v>1911</v>
      </c>
      <c r="D1991" s="219">
        <v>1.0</v>
      </c>
      <c r="E1991" s="218">
        <v>5090.0</v>
      </c>
      <c r="G1991" s="220">
        <v>43288.0</v>
      </c>
    </row>
    <row r="1992">
      <c r="A1992" s="217">
        <v>43289.45152901621</v>
      </c>
      <c r="B1992" s="218" t="s">
        <v>5092</v>
      </c>
      <c r="C1992" s="218" t="s">
        <v>6767</v>
      </c>
      <c r="D1992" s="219">
        <v>1.0</v>
      </c>
      <c r="E1992" s="218">
        <v>4990.0</v>
      </c>
      <c r="G1992" s="220">
        <v>43288.0</v>
      </c>
    </row>
    <row r="1993">
      <c r="A1993" s="217">
        <v>43289.452345972226</v>
      </c>
      <c r="B1993" s="218" t="s">
        <v>5092</v>
      </c>
      <c r="C1993" s="218" t="s">
        <v>6768</v>
      </c>
      <c r="D1993" s="219">
        <v>1.0</v>
      </c>
      <c r="E1993" s="218">
        <v>4990.0</v>
      </c>
      <c r="G1993" s="220">
        <v>43288.0</v>
      </c>
    </row>
    <row r="1994">
      <c r="A1994" s="217">
        <v>43289.453198773146</v>
      </c>
      <c r="B1994" s="218" t="s">
        <v>5092</v>
      </c>
      <c r="C1994" s="218" t="s">
        <v>5193</v>
      </c>
      <c r="D1994" s="219">
        <v>5.0</v>
      </c>
      <c r="E1994" s="218">
        <v>3390.0</v>
      </c>
      <c r="G1994" s="220">
        <v>43288.0</v>
      </c>
    </row>
    <row r="1995">
      <c r="A1995" s="217">
        <v>43289.45397744213</v>
      </c>
      <c r="B1995" s="218" t="s">
        <v>5092</v>
      </c>
      <c r="C1995" s="218" t="s">
        <v>1919</v>
      </c>
      <c r="D1995" s="219">
        <v>1.0</v>
      </c>
      <c r="E1995" s="218">
        <v>3990.0</v>
      </c>
      <c r="G1995" s="220">
        <v>43288.0</v>
      </c>
    </row>
    <row r="1996">
      <c r="A1996" s="217">
        <v>43289.45487582176</v>
      </c>
      <c r="B1996" s="218" t="s">
        <v>5092</v>
      </c>
      <c r="C1996" s="218" t="s">
        <v>1918</v>
      </c>
      <c r="D1996" s="219">
        <v>1.0</v>
      </c>
      <c r="E1996" s="218">
        <v>3990.0</v>
      </c>
      <c r="G1996" s="220">
        <v>43288.0</v>
      </c>
    </row>
    <row r="1997">
      <c r="A1997" s="217">
        <v>43289.45571461806</v>
      </c>
      <c r="B1997" s="218" t="s">
        <v>5092</v>
      </c>
      <c r="C1997" s="218" t="s">
        <v>6769</v>
      </c>
      <c r="D1997" s="219">
        <v>1.0</v>
      </c>
      <c r="E1997" s="218">
        <v>3990.0</v>
      </c>
      <c r="G1997" s="220">
        <v>43288.0</v>
      </c>
    </row>
    <row r="1998">
      <c r="A1998" s="217">
        <v>43289.45882434028</v>
      </c>
      <c r="B1998" s="218" t="s">
        <v>5092</v>
      </c>
      <c r="C1998" s="218" t="s">
        <v>6770</v>
      </c>
      <c r="D1998" s="219">
        <v>1.0</v>
      </c>
      <c r="E1998" s="218">
        <v>4290.0</v>
      </c>
      <c r="G1998" s="220">
        <v>43288.0</v>
      </c>
    </row>
    <row r="1999">
      <c r="A1999" s="217">
        <v>43289.45969481481</v>
      </c>
      <c r="B1999" s="218" t="s">
        <v>5092</v>
      </c>
      <c r="C1999" s="218" t="s">
        <v>1922</v>
      </c>
      <c r="D1999" s="219">
        <v>1.0</v>
      </c>
      <c r="E1999" s="218">
        <v>3990.0</v>
      </c>
      <c r="G1999" s="220">
        <v>43288.0</v>
      </c>
    </row>
    <row r="2000">
      <c r="A2000" s="217">
        <v>43289.470264895834</v>
      </c>
      <c r="B2000" s="218" t="s">
        <v>5092</v>
      </c>
      <c r="C2000" s="218" t="s">
        <v>6771</v>
      </c>
      <c r="D2000" s="219">
        <v>1.0</v>
      </c>
      <c r="E2000" s="218">
        <v>3990.0</v>
      </c>
      <c r="G2000" s="220">
        <v>43288.0</v>
      </c>
    </row>
    <row r="2001">
      <c r="A2001" s="217">
        <v>43289.47196909723</v>
      </c>
      <c r="B2001" s="218" t="s">
        <v>5092</v>
      </c>
      <c r="C2001" s="218" t="s">
        <v>6772</v>
      </c>
      <c r="D2001" s="219">
        <v>1.0</v>
      </c>
      <c r="E2001" s="218">
        <v>4290.0</v>
      </c>
      <c r="G2001" s="220">
        <v>43288.0</v>
      </c>
    </row>
    <row r="2002">
      <c r="A2002" s="217">
        <v>43289.473114444445</v>
      </c>
      <c r="B2002" s="218" t="s">
        <v>5092</v>
      </c>
      <c r="C2002" s="218" t="s">
        <v>6773</v>
      </c>
      <c r="D2002" s="219">
        <v>1.0</v>
      </c>
      <c r="E2002" s="218">
        <v>4290.0</v>
      </c>
      <c r="G2002" s="220">
        <v>43288.0</v>
      </c>
    </row>
    <row r="2003">
      <c r="A2003" s="217">
        <v>43289.47394299768</v>
      </c>
      <c r="B2003" s="218" t="s">
        <v>5092</v>
      </c>
      <c r="C2003" s="218" t="s">
        <v>6774</v>
      </c>
      <c r="D2003" s="219">
        <v>1.0</v>
      </c>
      <c r="E2003" s="218">
        <v>4290.0</v>
      </c>
      <c r="G2003" s="220">
        <v>43288.0</v>
      </c>
    </row>
    <row r="2004">
      <c r="A2004" s="217">
        <v>43289.47487767361</v>
      </c>
      <c r="B2004" s="218" t="s">
        <v>5092</v>
      </c>
      <c r="C2004" s="218" t="s">
        <v>6775</v>
      </c>
      <c r="D2004" s="219">
        <v>1.0</v>
      </c>
      <c r="E2004" s="218">
        <v>4290.0</v>
      </c>
      <c r="G2004" s="220">
        <v>43288.0</v>
      </c>
    </row>
    <row r="2005">
      <c r="A2005" s="217">
        <v>43289.476100266205</v>
      </c>
      <c r="B2005" s="218" t="s">
        <v>5092</v>
      </c>
      <c r="C2005" s="218" t="s">
        <v>1926</v>
      </c>
      <c r="D2005" s="219">
        <v>1.0</v>
      </c>
      <c r="E2005" s="218">
        <v>4290.0</v>
      </c>
      <c r="G2005" s="220">
        <v>43288.0</v>
      </c>
    </row>
    <row r="2006">
      <c r="A2006" s="217">
        <v>43289.47680171297</v>
      </c>
      <c r="B2006" s="218" t="s">
        <v>5092</v>
      </c>
      <c r="C2006" s="218" t="s">
        <v>1946</v>
      </c>
      <c r="D2006" s="219">
        <v>1.0</v>
      </c>
      <c r="E2006" s="218">
        <v>4790.0</v>
      </c>
      <c r="G2006" s="220">
        <v>43288.0</v>
      </c>
    </row>
    <row r="2007">
      <c r="A2007" s="217">
        <v>43289.47804819445</v>
      </c>
      <c r="B2007" s="218" t="s">
        <v>5092</v>
      </c>
      <c r="C2007" s="218" t="s">
        <v>1949</v>
      </c>
      <c r="D2007" s="219">
        <v>1.0</v>
      </c>
      <c r="E2007" s="218">
        <v>4790.0</v>
      </c>
      <c r="G2007" s="220">
        <v>43288.0</v>
      </c>
    </row>
    <row r="2008">
      <c r="A2008" s="217">
        <v>43289.47893319445</v>
      </c>
      <c r="B2008" s="218" t="s">
        <v>5092</v>
      </c>
      <c r="C2008" s="218" t="s">
        <v>6776</v>
      </c>
      <c r="D2008" s="219">
        <v>1.0</v>
      </c>
      <c r="E2008" s="218">
        <v>4290.0</v>
      </c>
      <c r="G2008" s="220">
        <v>43288.0</v>
      </c>
    </row>
    <row r="2009">
      <c r="A2009" s="217">
        <v>43289.47972292824</v>
      </c>
      <c r="B2009" s="218" t="s">
        <v>5092</v>
      </c>
      <c r="C2009" s="218" t="s">
        <v>6777</v>
      </c>
      <c r="D2009" s="219">
        <v>1.0</v>
      </c>
      <c r="E2009" s="218">
        <v>4290.0</v>
      </c>
      <c r="G2009" s="220">
        <v>43288.0</v>
      </c>
    </row>
    <row r="2010">
      <c r="A2010" s="217">
        <v>43289.48035640046</v>
      </c>
      <c r="B2010" s="218" t="s">
        <v>5092</v>
      </c>
      <c r="C2010" s="218" t="s">
        <v>1951</v>
      </c>
      <c r="D2010" s="219">
        <v>1.0</v>
      </c>
      <c r="E2010" s="218">
        <v>4290.0</v>
      </c>
      <c r="G2010" s="220">
        <v>43288.0</v>
      </c>
    </row>
    <row r="2011">
      <c r="A2011" s="217">
        <v>43289.48126398148</v>
      </c>
      <c r="B2011" s="218" t="s">
        <v>5092</v>
      </c>
      <c r="C2011" s="218" t="s">
        <v>4498</v>
      </c>
      <c r="D2011" s="219">
        <v>1.0</v>
      </c>
      <c r="E2011" s="218">
        <v>4290.0</v>
      </c>
      <c r="G2011" s="220">
        <v>43288.0</v>
      </c>
    </row>
    <row r="2012">
      <c r="A2012" s="217">
        <v>43289.48186730324</v>
      </c>
      <c r="B2012" s="218" t="s">
        <v>5092</v>
      </c>
      <c r="C2012" s="218" t="s">
        <v>6778</v>
      </c>
      <c r="D2012" s="219">
        <v>1.0</v>
      </c>
      <c r="E2012" s="218">
        <v>4290.0</v>
      </c>
      <c r="G2012" s="220">
        <v>43288.0</v>
      </c>
    </row>
    <row r="2013">
      <c r="A2013" s="217">
        <v>43290.58076615741</v>
      </c>
      <c r="B2013" s="218" t="s">
        <v>5184</v>
      </c>
      <c r="C2013" s="218" t="s">
        <v>6779</v>
      </c>
      <c r="D2013" s="219">
        <v>1.0</v>
      </c>
      <c r="E2013" s="218">
        <v>8415.0</v>
      </c>
      <c r="G2013" s="220">
        <v>43183.0</v>
      </c>
    </row>
    <row r="2014">
      <c r="A2014" s="217">
        <v>43290.59366190972</v>
      </c>
      <c r="B2014" s="218" t="s">
        <v>5092</v>
      </c>
      <c r="C2014" s="218" t="s">
        <v>6780</v>
      </c>
      <c r="D2014" s="219">
        <v>1.0</v>
      </c>
      <c r="E2014" s="218">
        <v>1800.0</v>
      </c>
      <c r="F2014" s="3" t="s">
        <v>5787</v>
      </c>
      <c r="G2014" s="220">
        <v>43290.0</v>
      </c>
    </row>
    <row r="2015">
      <c r="A2015" s="217">
        <v>43290.594518564816</v>
      </c>
      <c r="B2015" s="218" t="s">
        <v>5092</v>
      </c>
      <c r="C2015" s="218" t="s">
        <v>6781</v>
      </c>
      <c r="D2015" s="219">
        <v>1.0</v>
      </c>
      <c r="E2015" s="218">
        <v>1800.0</v>
      </c>
      <c r="F2015" s="3" t="s">
        <v>5787</v>
      </c>
      <c r="G2015" s="220">
        <v>43290.0</v>
      </c>
    </row>
    <row r="2016">
      <c r="A2016" s="217">
        <v>43290.59564225694</v>
      </c>
      <c r="B2016" s="218" t="s">
        <v>5092</v>
      </c>
      <c r="C2016" s="218" t="s">
        <v>6782</v>
      </c>
      <c r="D2016" s="219">
        <v>1.0</v>
      </c>
      <c r="E2016" s="218">
        <v>1800.0</v>
      </c>
      <c r="F2016" s="3" t="s">
        <v>5787</v>
      </c>
      <c r="G2016" s="220">
        <v>43290.0</v>
      </c>
    </row>
    <row r="2017">
      <c r="A2017" s="217">
        <v>43296.57109965278</v>
      </c>
      <c r="B2017" s="218" t="s">
        <v>5184</v>
      </c>
      <c r="C2017" s="218" t="s">
        <v>6001</v>
      </c>
      <c r="D2017" s="219">
        <v>1.0</v>
      </c>
      <c r="E2017" s="218">
        <v>500.0</v>
      </c>
      <c r="F2017" s="3" t="s">
        <v>5787</v>
      </c>
      <c r="G2017" s="220">
        <v>43287.0</v>
      </c>
    </row>
    <row r="2018">
      <c r="A2018" s="217">
        <v>43296.57298107639</v>
      </c>
      <c r="B2018" s="218" t="s">
        <v>5184</v>
      </c>
      <c r="C2018" s="218" t="s">
        <v>5818</v>
      </c>
      <c r="D2018" s="219">
        <v>1.0</v>
      </c>
      <c r="E2018" s="218">
        <v>300.0</v>
      </c>
      <c r="F2018" s="3" t="s">
        <v>5787</v>
      </c>
      <c r="G2018" s="220">
        <v>43288.0</v>
      </c>
    </row>
    <row r="2019">
      <c r="A2019" s="217">
        <v>43296.57453827546</v>
      </c>
      <c r="B2019" s="218" t="s">
        <v>5184</v>
      </c>
      <c r="C2019" s="218" t="s">
        <v>5786</v>
      </c>
      <c r="D2019" s="219">
        <v>1.0</v>
      </c>
      <c r="E2019" s="218">
        <v>300.0</v>
      </c>
      <c r="G2019" s="220">
        <v>43288.0</v>
      </c>
    </row>
    <row r="2020">
      <c r="A2020" s="217">
        <v>43296.57527724537</v>
      </c>
      <c r="B2020" s="218" t="s">
        <v>5184</v>
      </c>
      <c r="C2020" s="218" t="s">
        <v>6001</v>
      </c>
      <c r="D2020" s="219">
        <v>1.0</v>
      </c>
      <c r="E2020" s="218">
        <v>500.0</v>
      </c>
      <c r="F2020" s="3" t="s">
        <v>5787</v>
      </c>
      <c r="G2020" s="220">
        <v>43288.0</v>
      </c>
    </row>
    <row r="2021">
      <c r="A2021" s="217">
        <v>43296.576066724534</v>
      </c>
      <c r="B2021" s="218" t="s">
        <v>5184</v>
      </c>
      <c r="C2021" s="218" t="s">
        <v>5782</v>
      </c>
      <c r="D2021" s="219">
        <v>1.0</v>
      </c>
      <c r="E2021" s="218">
        <v>400.0</v>
      </c>
      <c r="F2021" s="3" t="s">
        <v>5787</v>
      </c>
      <c r="G2021" s="220">
        <v>43288.0</v>
      </c>
    </row>
    <row r="2022">
      <c r="A2022" s="217">
        <v>43296.58047480324</v>
      </c>
      <c r="B2022" s="218" t="s">
        <v>5184</v>
      </c>
      <c r="C2022" s="218" t="s">
        <v>5976</v>
      </c>
      <c r="D2022" s="219">
        <v>1.0</v>
      </c>
      <c r="E2022" s="218">
        <v>400.0</v>
      </c>
      <c r="F2022" s="3" t="s">
        <v>5787</v>
      </c>
      <c r="G2022" s="220">
        <v>43289.0</v>
      </c>
    </row>
    <row r="2023">
      <c r="A2023" s="217">
        <v>43296.58325340278</v>
      </c>
      <c r="B2023" s="218" t="s">
        <v>5184</v>
      </c>
      <c r="C2023" s="218" t="s">
        <v>5976</v>
      </c>
      <c r="D2023" s="219">
        <v>1.0</v>
      </c>
      <c r="E2023" s="218">
        <v>500.0</v>
      </c>
      <c r="F2023" s="3" t="s">
        <v>5787</v>
      </c>
      <c r="G2023" s="220">
        <v>43289.0</v>
      </c>
    </row>
    <row r="2024">
      <c r="A2024" s="217">
        <v>43296.58405076389</v>
      </c>
      <c r="B2024" s="218" t="s">
        <v>5184</v>
      </c>
      <c r="C2024" s="218" t="s">
        <v>6038</v>
      </c>
      <c r="D2024" s="219">
        <v>1.0</v>
      </c>
      <c r="E2024" s="218">
        <v>200.0</v>
      </c>
      <c r="G2024" s="220">
        <v>43289.0</v>
      </c>
    </row>
    <row r="2025">
      <c r="A2025" s="217">
        <v>43296.5845968287</v>
      </c>
      <c r="B2025" s="218" t="s">
        <v>5184</v>
      </c>
      <c r="C2025" s="218" t="s">
        <v>6053</v>
      </c>
      <c r="D2025" s="219">
        <v>1.0</v>
      </c>
      <c r="E2025" s="218">
        <v>300.0</v>
      </c>
      <c r="G2025" s="220">
        <v>43289.0</v>
      </c>
    </row>
    <row r="2026">
      <c r="A2026" s="217">
        <v>43296.58737366898</v>
      </c>
      <c r="B2026" s="218" t="s">
        <v>5184</v>
      </c>
      <c r="C2026" s="218" t="s">
        <v>1789</v>
      </c>
      <c r="D2026" s="219">
        <v>1.0</v>
      </c>
      <c r="E2026" s="218">
        <v>800.0</v>
      </c>
      <c r="F2026" s="3" t="s">
        <v>5787</v>
      </c>
      <c r="G2026" s="220">
        <v>43290.0</v>
      </c>
    </row>
    <row r="2027">
      <c r="A2027" s="217">
        <v>43296.59370189815</v>
      </c>
      <c r="B2027" s="218" t="s">
        <v>5184</v>
      </c>
      <c r="C2027" s="218" t="s">
        <v>5786</v>
      </c>
      <c r="D2027" s="219">
        <v>1.0</v>
      </c>
      <c r="E2027" s="218">
        <v>300.0</v>
      </c>
      <c r="F2027" s="3" t="s">
        <v>5787</v>
      </c>
      <c r="G2027" s="220">
        <v>43290.0</v>
      </c>
    </row>
    <row r="2028">
      <c r="A2028" s="217">
        <v>43296.59566584491</v>
      </c>
      <c r="B2028" s="218" t="s">
        <v>5184</v>
      </c>
      <c r="C2028" s="218" t="s">
        <v>6001</v>
      </c>
      <c r="D2028" s="219">
        <v>1.0</v>
      </c>
      <c r="E2028" s="218">
        <v>500.0</v>
      </c>
      <c r="F2028" s="3" t="s">
        <v>5787</v>
      </c>
      <c r="G2028" s="220">
        <v>43290.0</v>
      </c>
    </row>
    <row r="2029">
      <c r="A2029" s="217">
        <v>43296.600048078704</v>
      </c>
      <c r="B2029" s="218" t="s">
        <v>5184</v>
      </c>
      <c r="C2029" s="218" t="s">
        <v>5845</v>
      </c>
      <c r="D2029" s="219">
        <v>1.0</v>
      </c>
      <c r="E2029" s="218">
        <v>500.0</v>
      </c>
      <c r="F2029" s="3" t="s">
        <v>5787</v>
      </c>
      <c r="G2029" s="220">
        <v>43291.0</v>
      </c>
    </row>
    <row r="2030">
      <c r="A2030" s="217">
        <v>43296.60102378472</v>
      </c>
      <c r="B2030" s="218" t="s">
        <v>5184</v>
      </c>
      <c r="C2030" s="218" t="s">
        <v>6001</v>
      </c>
      <c r="D2030" s="219">
        <v>1.0</v>
      </c>
      <c r="E2030" s="218">
        <v>500.0</v>
      </c>
      <c r="F2030" s="3" t="s">
        <v>5787</v>
      </c>
      <c r="G2030" s="220">
        <v>43291.0</v>
      </c>
    </row>
    <row r="2031">
      <c r="A2031" s="217">
        <v>43296.60190958333</v>
      </c>
      <c r="B2031" s="218" t="s">
        <v>5184</v>
      </c>
      <c r="C2031" s="218" t="s">
        <v>6001</v>
      </c>
      <c r="D2031" s="219">
        <v>1.0</v>
      </c>
      <c r="E2031" s="218">
        <v>500.0</v>
      </c>
      <c r="F2031" s="3" t="s">
        <v>5787</v>
      </c>
      <c r="G2031" s="220">
        <v>43291.0</v>
      </c>
    </row>
    <row r="2032">
      <c r="A2032" s="217">
        <v>43296.60285438657</v>
      </c>
      <c r="B2032" s="218" t="s">
        <v>5184</v>
      </c>
      <c r="C2032" s="218" t="s">
        <v>6001</v>
      </c>
      <c r="D2032" s="219">
        <v>1.0</v>
      </c>
      <c r="E2032" s="218">
        <v>500.0</v>
      </c>
      <c r="F2032" s="3" t="s">
        <v>5787</v>
      </c>
      <c r="G2032" s="220">
        <v>43292.0</v>
      </c>
    </row>
    <row r="2033">
      <c r="A2033" s="217">
        <v>43296.60362314815</v>
      </c>
      <c r="B2033" s="218" t="s">
        <v>5184</v>
      </c>
      <c r="C2033" s="218" t="s">
        <v>6001</v>
      </c>
      <c r="D2033" s="219">
        <v>1.0</v>
      </c>
      <c r="E2033" s="218">
        <v>500.0</v>
      </c>
      <c r="F2033" s="3" t="s">
        <v>5787</v>
      </c>
      <c r="G2033" s="220">
        <v>43292.0</v>
      </c>
    </row>
    <row r="2034">
      <c r="A2034" s="217">
        <v>43296.60437001157</v>
      </c>
      <c r="B2034" s="218" t="s">
        <v>5184</v>
      </c>
      <c r="C2034" s="218" t="s">
        <v>5789</v>
      </c>
      <c r="D2034" s="219">
        <v>1.0</v>
      </c>
      <c r="E2034" s="218">
        <v>400.0</v>
      </c>
      <c r="F2034" s="3" t="s">
        <v>5787</v>
      </c>
      <c r="G2034" s="220">
        <v>43292.0</v>
      </c>
    </row>
    <row r="2035">
      <c r="A2035" s="217">
        <v>43296.605331122686</v>
      </c>
      <c r="B2035" s="218" t="s">
        <v>5184</v>
      </c>
      <c r="C2035" s="218" t="s">
        <v>6038</v>
      </c>
      <c r="D2035" s="219">
        <v>1.0</v>
      </c>
      <c r="E2035" s="218">
        <v>200.0</v>
      </c>
      <c r="G2035" s="220">
        <v>43292.0</v>
      </c>
    </row>
    <row r="2036">
      <c r="A2036" s="217">
        <v>43296.60599056713</v>
      </c>
      <c r="B2036" s="218" t="s">
        <v>5184</v>
      </c>
      <c r="C2036" s="218" t="s">
        <v>6001</v>
      </c>
      <c r="D2036" s="219">
        <v>1.0</v>
      </c>
      <c r="E2036" s="218">
        <v>500.0</v>
      </c>
      <c r="F2036" s="3" t="s">
        <v>5787</v>
      </c>
      <c r="G2036" s="220">
        <v>43292.0</v>
      </c>
    </row>
    <row r="2037">
      <c r="A2037" s="217">
        <v>43296.617720381946</v>
      </c>
      <c r="B2037" s="218" t="s">
        <v>5184</v>
      </c>
      <c r="C2037" s="218" t="s">
        <v>5786</v>
      </c>
      <c r="D2037" s="219">
        <v>1.0</v>
      </c>
      <c r="E2037" s="218">
        <v>300.0</v>
      </c>
      <c r="F2037" s="3" t="s">
        <v>5787</v>
      </c>
      <c r="G2037" s="220">
        <v>43293.0</v>
      </c>
    </row>
    <row r="2038">
      <c r="A2038" s="217">
        <v>43296.618547453705</v>
      </c>
      <c r="B2038" s="218" t="s">
        <v>5184</v>
      </c>
      <c r="C2038" s="218" t="s">
        <v>5782</v>
      </c>
      <c r="D2038" s="219">
        <v>1.0</v>
      </c>
      <c r="E2038" s="218">
        <v>400.0</v>
      </c>
      <c r="F2038" s="3" t="s">
        <v>5787</v>
      </c>
      <c r="G2038" s="220">
        <v>43293.0</v>
      </c>
    </row>
    <row r="2039">
      <c r="A2039" s="217">
        <v>43296.61924337963</v>
      </c>
      <c r="B2039" s="218" t="s">
        <v>5184</v>
      </c>
      <c r="C2039" s="218" t="s">
        <v>6001</v>
      </c>
      <c r="D2039" s="219">
        <v>1.0</v>
      </c>
      <c r="E2039" s="218">
        <v>500.0</v>
      </c>
      <c r="F2039" s="3" t="s">
        <v>5787</v>
      </c>
      <c r="G2039" s="220">
        <v>43293.0</v>
      </c>
    </row>
    <row r="2040">
      <c r="A2040" s="217">
        <v>43296.61985256945</v>
      </c>
      <c r="B2040" s="218" t="s">
        <v>5184</v>
      </c>
      <c r="C2040" s="218" t="s">
        <v>5845</v>
      </c>
      <c r="D2040" s="219">
        <v>1.0</v>
      </c>
      <c r="E2040" s="218">
        <v>500.0</v>
      </c>
      <c r="F2040" s="3" t="s">
        <v>5787</v>
      </c>
      <c r="G2040" s="220">
        <v>43293.0</v>
      </c>
    </row>
    <row r="2041">
      <c r="A2041" s="217">
        <v>43296.62163380787</v>
      </c>
      <c r="B2041" s="218" t="s">
        <v>5184</v>
      </c>
      <c r="C2041" s="218" t="s">
        <v>6001</v>
      </c>
      <c r="D2041" s="219">
        <v>1.0</v>
      </c>
      <c r="E2041" s="218">
        <v>500.0</v>
      </c>
      <c r="F2041" s="3" t="s">
        <v>5787</v>
      </c>
      <c r="G2041" s="220">
        <v>43294.0</v>
      </c>
    </row>
    <row r="2042">
      <c r="A2042" s="217">
        <v>43296.62218039352</v>
      </c>
      <c r="B2042" s="218" t="s">
        <v>5184</v>
      </c>
      <c r="C2042" s="218" t="s">
        <v>284</v>
      </c>
      <c r="D2042" s="219">
        <v>1.0</v>
      </c>
      <c r="E2042" s="218">
        <v>400.0</v>
      </c>
      <c r="G2042" s="220">
        <v>43294.0</v>
      </c>
    </row>
    <row r="2043">
      <c r="A2043" s="217">
        <v>43296.62261476852</v>
      </c>
      <c r="B2043" s="218" t="s">
        <v>5184</v>
      </c>
      <c r="C2043" s="218" t="s">
        <v>284</v>
      </c>
      <c r="D2043" s="219">
        <v>1.0</v>
      </c>
      <c r="E2043" s="218">
        <v>400.0</v>
      </c>
      <c r="G2043" s="220">
        <v>43294.0</v>
      </c>
    </row>
    <row r="2044">
      <c r="A2044" s="217">
        <v>43296.62328034722</v>
      </c>
      <c r="B2044" s="218" t="s">
        <v>5184</v>
      </c>
      <c r="C2044" s="218" t="s">
        <v>5782</v>
      </c>
      <c r="D2044" s="219">
        <v>1.0</v>
      </c>
      <c r="E2044" s="218">
        <v>400.0</v>
      </c>
      <c r="F2044" s="3" t="s">
        <v>5787</v>
      </c>
      <c r="G2044" s="220">
        <v>43294.0</v>
      </c>
    </row>
    <row r="2045">
      <c r="A2045" s="217">
        <v>43296.624875995374</v>
      </c>
      <c r="B2045" s="218" t="s">
        <v>5184</v>
      </c>
      <c r="C2045" s="218" t="s">
        <v>5786</v>
      </c>
      <c r="D2045" s="219">
        <v>1.0</v>
      </c>
      <c r="E2045" s="218">
        <v>300.0</v>
      </c>
      <c r="F2045" s="3" t="s">
        <v>5787</v>
      </c>
      <c r="G2045" s="220">
        <v>43295.0</v>
      </c>
    </row>
    <row r="2046">
      <c r="A2046" s="217">
        <v>43296.62553892361</v>
      </c>
      <c r="B2046" s="218" t="s">
        <v>5184</v>
      </c>
      <c r="C2046" s="218" t="s">
        <v>5786</v>
      </c>
      <c r="D2046" s="219">
        <v>1.0</v>
      </c>
      <c r="E2046" s="218">
        <v>300.0</v>
      </c>
      <c r="F2046" s="3" t="s">
        <v>5787</v>
      </c>
      <c r="G2046" s="220">
        <v>43295.0</v>
      </c>
    </row>
    <row r="2047">
      <c r="A2047" s="217">
        <v>43296.62636001158</v>
      </c>
      <c r="B2047" s="218" t="s">
        <v>5184</v>
      </c>
      <c r="C2047" s="218" t="s">
        <v>5786</v>
      </c>
      <c r="D2047" s="219">
        <v>1.0</v>
      </c>
      <c r="E2047" s="218">
        <v>300.0</v>
      </c>
      <c r="F2047" s="3" t="s">
        <v>5787</v>
      </c>
      <c r="G2047" s="220">
        <v>43295.0</v>
      </c>
    </row>
    <row r="2048">
      <c r="A2048" s="217">
        <v>43296.62952407407</v>
      </c>
      <c r="B2048" s="218" t="s">
        <v>5184</v>
      </c>
      <c r="C2048" s="218" t="s">
        <v>5845</v>
      </c>
      <c r="D2048" s="219">
        <v>1.0</v>
      </c>
      <c r="E2048" s="218">
        <v>500.0</v>
      </c>
      <c r="F2048" s="3" t="s">
        <v>5787</v>
      </c>
      <c r="G2048" s="220">
        <v>43295.0</v>
      </c>
    </row>
    <row r="2049">
      <c r="A2049" s="217">
        <v>43296.63009111111</v>
      </c>
      <c r="B2049" s="218" t="s">
        <v>5184</v>
      </c>
      <c r="C2049" s="218" t="s">
        <v>5786</v>
      </c>
      <c r="D2049" s="219">
        <v>1.0</v>
      </c>
      <c r="E2049" s="218">
        <v>300.0</v>
      </c>
      <c r="F2049" s="3" t="s">
        <v>5787</v>
      </c>
      <c r="G2049" s="220">
        <v>43295.0</v>
      </c>
    </row>
    <row r="2050">
      <c r="A2050" s="217">
        <v>43296.63086856481</v>
      </c>
      <c r="B2050" s="218" t="s">
        <v>5184</v>
      </c>
      <c r="C2050" s="218" t="s">
        <v>6001</v>
      </c>
      <c r="D2050" s="219">
        <v>1.0</v>
      </c>
      <c r="E2050" s="218">
        <v>500.0</v>
      </c>
      <c r="F2050" s="3" t="s">
        <v>5787</v>
      </c>
      <c r="G2050" s="220">
        <v>43295.0</v>
      </c>
    </row>
    <row r="2051">
      <c r="A2051" s="217">
        <v>43296.63190891204</v>
      </c>
      <c r="B2051" s="218" t="s">
        <v>5184</v>
      </c>
      <c r="C2051" s="218" t="s">
        <v>6036</v>
      </c>
      <c r="D2051" s="219">
        <v>1.0</v>
      </c>
      <c r="E2051" s="218">
        <v>400.0</v>
      </c>
      <c r="G2051" s="220">
        <v>43295.0</v>
      </c>
    </row>
    <row r="2052">
      <c r="A2052" s="217">
        <v>43296.63242642361</v>
      </c>
      <c r="B2052" s="218" t="s">
        <v>5184</v>
      </c>
      <c r="C2052" s="218" t="s">
        <v>6053</v>
      </c>
      <c r="D2052" s="219">
        <v>1.0</v>
      </c>
      <c r="E2052" s="218">
        <v>300.0</v>
      </c>
      <c r="G2052" s="220">
        <v>43295.0</v>
      </c>
    </row>
    <row r="2053">
      <c r="A2053" s="217">
        <v>43296.63305604167</v>
      </c>
      <c r="B2053" s="218" t="s">
        <v>5184</v>
      </c>
      <c r="C2053" s="218" t="s">
        <v>5782</v>
      </c>
      <c r="D2053" s="219">
        <v>1.0</v>
      </c>
      <c r="E2053" s="218">
        <v>400.0</v>
      </c>
      <c r="G2053" s="220">
        <v>43295.0</v>
      </c>
    </row>
    <row r="2054">
      <c r="A2054" s="217">
        <v>43296.63347980324</v>
      </c>
      <c r="B2054" s="218" t="s">
        <v>5184</v>
      </c>
      <c r="C2054" s="218" t="s">
        <v>5818</v>
      </c>
      <c r="D2054" s="219">
        <v>1.0</v>
      </c>
      <c r="E2054" s="218">
        <v>300.0</v>
      </c>
      <c r="G2054" s="220">
        <v>43295.0</v>
      </c>
    </row>
    <row r="2055">
      <c r="A2055" s="217">
        <v>43296.63425556713</v>
      </c>
      <c r="B2055" s="218" t="s">
        <v>5184</v>
      </c>
      <c r="C2055" s="218" t="s">
        <v>5818</v>
      </c>
      <c r="D2055" s="219">
        <v>1.0</v>
      </c>
      <c r="E2055" s="218">
        <v>300.0</v>
      </c>
      <c r="F2055" s="3" t="s">
        <v>5787</v>
      </c>
      <c r="G2055" s="220">
        <v>43295.0</v>
      </c>
    </row>
    <row r="2056">
      <c r="A2056" s="217">
        <v>43296.63490697916</v>
      </c>
      <c r="B2056" s="218" t="s">
        <v>5184</v>
      </c>
      <c r="C2056" s="218" t="s">
        <v>6053</v>
      </c>
      <c r="D2056" s="219">
        <v>1.0</v>
      </c>
      <c r="E2056" s="218">
        <v>300.0</v>
      </c>
      <c r="G2056" s="220">
        <v>43295.0</v>
      </c>
    </row>
    <row r="2057">
      <c r="A2057" s="217">
        <v>43296.63562134259</v>
      </c>
      <c r="B2057" s="218" t="s">
        <v>5184</v>
      </c>
      <c r="C2057" s="218" t="s">
        <v>5786</v>
      </c>
      <c r="D2057" s="219">
        <v>1.0</v>
      </c>
      <c r="E2057" s="218">
        <v>300.0</v>
      </c>
      <c r="F2057" s="3" t="s">
        <v>5787</v>
      </c>
      <c r="G2057" s="220">
        <v>43295.0</v>
      </c>
    </row>
    <row r="2058">
      <c r="A2058" s="217">
        <v>43296.636169097226</v>
      </c>
      <c r="B2058" s="218" t="s">
        <v>5184</v>
      </c>
      <c r="C2058" s="218" t="s">
        <v>284</v>
      </c>
      <c r="D2058" s="219">
        <v>1.0</v>
      </c>
      <c r="E2058" s="218">
        <v>400.0</v>
      </c>
      <c r="G2058" s="220">
        <v>43295.0</v>
      </c>
    </row>
    <row r="2059">
      <c r="A2059" s="217">
        <v>43296.63736746528</v>
      </c>
      <c r="B2059" s="218" t="s">
        <v>5184</v>
      </c>
      <c r="C2059" s="218" t="s">
        <v>5786</v>
      </c>
      <c r="D2059" s="219">
        <v>1.0</v>
      </c>
      <c r="E2059" s="218">
        <v>300.0</v>
      </c>
      <c r="F2059" s="3" t="s">
        <v>5787</v>
      </c>
      <c r="G2059" s="220">
        <v>43295.0</v>
      </c>
    </row>
    <row r="2060">
      <c r="A2060" s="217">
        <v>43296.64574050926</v>
      </c>
      <c r="B2060" s="218" t="s">
        <v>5184</v>
      </c>
      <c r="C2060" s="218" t="s">
        <v>6762</v>
      </c>
      <c r="D2060" s="219">
        <v>82.0</v>
      </c>
      <c r="E2060" s="218">
        <v>2400.0</v>
      </c>
      <c r="G2060" s="220">
        <v>43292.0</v>
      </c>
    </row>
    <row r="2061">
      <c r="A2061" s="217">
        <v>43296.721611030094</v>
      </c>
      <c r="B2061" s="218" t="s">
        <v>2322</v>
      </c>
      <c r="C2061" s="218" t="s">
        <v>4655</v>
      </c>
      <c r="D2061" s="219">
        <v>1.0</v>
      </c>
      <c r="E2061" s="218">
        <v>950.0</v>
      </c>
      <c r="F2061" s="3" t="s">
        <v>5293</v>
      </c>
      <c r="G2061" s="220">
        <v>43293.0</v>
      </c>
    </row>
    <row r="2062">
      <c r="A2062" s="217">
        <v>43296.72446516204</v>
      </c>
      <c r="B2062" s="218" t="s">
        <v>5184</v>
      </c>
      <c r="C2062" s="218" t="s">
        <v>6343</v>
      </c>
      <c r="D2062" s="219">
        <v>1.0</v>
      </c>
      <c r="E2062" s="218">
        <v>3790.0</v>
      </c>
      <c r="G2062" s="220">
        <v>43292.0</v>
      </c>
    </row>
    <row r="2063">
      <c r="A2063" s="217">
        <v>43296.72803694445</v>
      </c>
      <c r="B2063" s="218" t="s">
        <v>5184</v>
      </c>
      <c r="C2063" s="218" t="s">
        <v>5193</v>
      </c>
      <c r="D2063" s="219">
        <v>1.0</v>
      </c>
      <c r="E2063" s="218">
        <v>3390.0</v>
      </c>
      <c r="G2063" s="220">
        <v>43290.0</v>
      </c>
    </row>
    <row r="2064">
      <c r="A2064" s="217">
        <v>43296.730377037034</v>
      </c>
      <c r="B2064" s="218" t="s">
        <v>2322</v>
      </c>
      <c r="C2064" s="218" t="s">
        <v>4520</v>
      </c>
      <c r="D2064" s="219">
        <v>1.0</v>
      </c>
      <c r="E2064" s="218">
        <v>2450.0</v>
      </c>
      <c r="G2064" s="220">
        <v>43292.0</v>
      </c>
    </row>
    <row r="2065">
      <c r="A2065" s="217">
        <v>43296.73254445602</v>
      </c>
      <c r="B2065" s="218" t="s">
        <v>5184</v>
      </c>
      <c r="C2065" s="218" t="s">
        <v>5375</v>
      </c>
      <c r="D2065" s="219">
        <v>1.0</v>
      </c>
      <c r="E2065" s="218">
        <v>9000.0</v>
      </c>
      <c r="G2065" s="220">
        <v>43290.0</v>
      </c>
    </row>
    <row r="2066">
      <c r="A2066" s="217">
        <v>43296.73563476852</v>
      </c>
      <c r="B2066" s="218" t="s">
        <v>5184</v>
      </c>
      <c r="C2066" s="218" t="s">
        <v>4520</v>
      </c>
      <c r="D2066" s="219">
        <v>1.0</v>
      </c>
      <c r="E2066" s="218">
        <v>2450.0</v>
      </c>
      <c r="F2066" s="3" t="s">
        <v>5295</v>
      </c>
      <c r="G2066" s="220">
        <v>43290.0</v>
      </c>
    </row>
    <row r="2067">
      <c r="A2067" s="217">
        <v>43298.49083292824</v>
      </c>
      <c r="B2067" s="218" t="s">
        <v>5184</v>
      </c>
      <c r="C2067" s="218" t="s">
        <v>5482</v>
      </c>
      <c r="D2067" s="219">
        <v>1.0</v>
      </c>
      <c r="E2067" s="218">
        <v>3990.0</v>
      </c>
      <c r="G2067" s="220">
        <v>43283.0</v>
      </c>
    </row>
    <row r="2068">
      <c r="A2068" s="217">
        <v>43298.49233188658</v>
      </c>
      <c r="B2068" s="218" t="s">
        <v>5184</v>
      </c>
      <c r="C2068" s="218" t="s">
        <v>6654</v>
      </c>
      <c r="D2068" s="219">
        <v>2.0</v>
      </c>
      <c r="E2068" s="218">
        <v>5390.0</v>
      </c>
      <c r="G2068" s="220">
        <v>43283.0</v>
      </c>
    </row>
    <row r="2069">
      <c r="A2069" s="217">
        <v>43298.49745760417</v>
      </c>
      <c r="B2069" s="218" t="s">
        <v>5184</v>
      </c>
      <c r="C2069" s="218" t="s">
        <v>6341</v>
      </c>
      <c r="D2069" s="219">
        <v>1.0</v>
      </c>
      <c r="E2069" s="218">
        <v>3490.0</v>
      </c>
      <c r="G2069" s="220">
        <v>43285.0</v>
      </c>
    </row>
    <row r="2070">
      <c r="A2070" s="217">
        <v>43298.498854722224</v>
      </c>
      <c r="B2070" s="218" t="s">
        <v>5184</v>
      </c>
      <c r="C2070" s="218" t="s">
        <v>5482</v>
      </c>
      <c r="D2070" s="219">
        <v>1.0</v>
      </c>
      <c r="E2070" s="218">
        <v>3490.0</v>
      </c>
      <c r="G2070" s="220">
        <v>43286.0</v>
      </c>
    </row>
    <row r="2071">
      <c r="A2071" s="217">
        <v>43298.500229375</v>
      </c>
      <c r="B2071" s="218" t="s">
        <v>5184</v>
      </c>
      <c r="C2071" s="218" t="s">
        <v>6834</v>
      </c>
      <c r="D2071" s="219">
        <v>1.0</v>
      </c>
      <c r="E2071" s="218">
        <v>6990.0</v>
      </c>
      <c r="G2071" s="220">
        <v>43286.0</v>
      </c>
    </row>
    <row r="2072">
      <c r="A2072" s="217">
        <v>43298.50157603009</v>
      </c>
      <c r="B2072" s="218" t="s">
        <v>5184</v>
      </c>
      <c r="C2072" s="218" t="s">
        <v>5460</v>
      </c>
      <c r="D2072" s="219">
        <v>1.0</v>
      </c>
      <c r="E2072" s="218">
        <v>4290.0</v>
      </c>
      <c r="G2072" s="220">
        <v>43286.0</v>
      </c>
    </row>
    <row r="2073">
      <c r="A2073" s="217">
        <v>43298.50255994213</v>
      </c>
      <c r="B2073" s="218" t="s">
        <v>5184</v>
      </c>
      <c r="C2073" s="218" t="s">
        <v>5355</v>
      </c>
      <c r="D2073" s="219">
        <v>1.0</v>
      </c>
      <c r="E2073" s="218">
        <v>8925.0</v>
      </c>
      <c r="G2073" s="220">
        <v>43287.0</v>
      </c>
    </row>
    <row r="2074">
      <c r="A2074" s="217">
        <v>43298.503363055555</v>
      </c>
      <c r="B2074" s="218" t="s">
        <v>5184</v>
      </c>
      <c r="C2074" s="218" t="s">
        <v>1828</v>
      </c>
      <c r="D2074" s="219">
        <v>1.0</v>
      </c>
      <c r="E2074" s="218">
        <v>7490.0</v>
      </c>
      <c r="G2074" s="220">
        <v>43287.0</v>
      </c>
    </row>
    <row r="2075">
      <c r="A2075" s="217">
        <v>43298.504381562496</v>
      </c>
      <c r="B2075" s="218" t="s">
        <v>5184</v>
      </c>
      <c r="C2075" s="218" t="s">
        <v>5163</v>
      </c>
      <c r="D2075" s="219">
        <v>1.0</v>
      </c>
      <c r="E2075" s="218">
        <v>4890.0</v>
      </c>
      <c r="G2075" s="220">
        <v>43288.0</v>
      </c>
    </row>
    <row r="2076">
      <c r="A2076" s="217">
        <v>43298.51176671297</v>
      </c>
      <c r="B2076" s="218" t="s">
        <v>5184</v>
      </c>
      <c r="C2076" s="218" t="s">
        <v>6659</v>
      </c>
      <c r="D2076" s="219">
        <v>1.0</v>
      </c>
      <c r="E2076" s="24"/>
      <c r="G2076" s="220">
        <v>43288.0</v>
      </c>
    </row>
    <row r="2077">
      <c r="A2077" s="217">
        <v>43298.51500100695</v>
      </c>
      <c r="B2077" s="218" t="s">
        <v>5184</v>
      </c>
      <c r="C2077" s="218" t="s">
        <v>6144</v>
      </c>
      <c r="D2077" s="219">
        <v>1.0</v>
      </c>
      <c r="E2077" s="218">
        <v>1800.0</v>
      </c>
      <c r="G2077" s="220">
        <v>43286.0</v>
      </c>
    </row>
    <row r="2078">
      <c r="A2078" s="217">
        <v>43298.528241527776</v>
      </c>
      <c r="B2078" s="218" t="s">
        <v>5184</v>
      </c>
      <c r="C2078" s="218" t="s">
        <v>6388</v>
      </c>
      <c r="D2078" s="219">
        <v>1.0</v>
      </c>
      <c r="E2078" s="24"/>
      <c r="G2078" s="220">
        <v>43291.0</v>
      </c>
    </row>
    <row r="2079">
      <c r="A2079" s="217">
        <v>43298.52918582176</v>
      </c>
      <c r="B2079" s="218" t="s">
        <v>5184</v>
      </c>
      <c r="C2079" s="218" t="s">
        <v>6836</v>
      </c>
      <c r="D2079" s="219">
        <v>1.0</v>
      </c>
      <c r="E2079" s="24"/>
      <c r="G2079" s="220">
        <v>43291.0</v>
      </c>
    </row>
    <row r="2080">
      <c r="A2080" s="217">
        <v>43298.52994467593</v>
      </c>
      <c r="B2080" s="218" t="s">
        <v>5184</v>
      </c>
      <c r="C2080" s="218" t="s">
        <v>6262</v>
      </c>
      <c r="D2080" s="219">
        <v>1.0</v>
      </c>
      <c r="E2080" s="24"/>
      <c r="G2080" s="220">
        <v>43291.0</v>
      </c>
    </row>
    <row r="2081">
      <c r="A2081" s="217">
        <v>43298.530912372684</v>
      </c>
      <c r="B2081" s="218" t="s">
        <v>5184</v>
      </c>
      <c r="C2081" s="218" t="s">
        <v>6837</v>
      </c>
      <c r="D2081" s="219">
        <v>1.0</v>
      </c>
      <c r="E2081" s="24"/>
      <c r="G2081" s="220">
        <v>43290.0</v>
      </c>
    </row>
    <row r="2082">
      <c r="A2082" s="217">
        <v>43298.53187472222</v>
      </c>
      <c r="B2082" s="218" t="s">
        <v>5184</v>
      </c>
      <c r="C2082" s="218" t="s">
        <v>4504</v>
      </c>
      <c r="D2082" s="219">
        <v>1.0</v>
      </c>
      <c r="E2082" s="24"/>
      <c r="G2082" s="220">
        <v>43290.0</v>
      </c>
    </row>
    <row r="2083">
      <c r="A2083" s="217">
        <v>43298.53384638889</v>
      </c>
      <c r="B2083" s="218" t="s">
        <v>5184</v>
      </c>
      <c r="C2083" s="218" t="s">
        <v>5599</v>
      </c>
      <c r="D2083" s="219">
        <v>1.0</v>
      </c>
      <c r="E2083" s="218">
        <v>1800.0</v>
      </c>
      <c r="G2083" s="220">
        <v>43292.0</v>
      </c>
    </row>
    <row r="2084">
      <c r="A2084" s="217">
        <v>43298.538552094906</v>
      </c>
      <c r="B2084" s="218" t="s">
        <v>5184</v>
      </c>
      <c r="C2084" s="218" t="s">
        <v>5178</v>
      </c>
      <c r="D2084" s="219">
        <v>1.0</v>
      </c>
      <c r="E2084" s="24"/>
      <c r="G2084" s="220">
        <v>43293.0</v>
      </c>
    </row>
    <row r="2085">
      <c r="A2085" s="217">
        <v>43298.543624212965</v>
      </c>
      <c r="B2085" s="218" t="s">
        <v>5184</v>
      </c>
      <c r="C2085" s="218" t="s">
        <v>6282</v>
      </c>
      <c r="D2085" s="219">
        <v>1.0</v>
      </c>
      <c r="E2085" s="218">
        <v>1800.0</v>
      </c>
      <c r="G2085" s="220">
        <v>43293.0</v>
      </c>
    </row>
    <row r="2086">
      <c r="A2086" s="217">
        <v>43298.54484482639</v>
      </c>
      <c r="B2086" s="218" t="s">
        <v>5184</v>
      </c>
      <c r="C2086" s="218" t="s">
        <v>5433</v>
      </c>
      <c r="D2086" s="219">
        <v>1.0</v>
      </c>
      <c r="E2086" s="24"/>
      <c r="G2086" s="220">
        <v>43294.0</v>
      </c>
    </row>
    <row r="2087">
      <c r="A2087" s="217">
        <v>43298.546137199075</v>
      </c>
      <c r="B2087" s="218" t="s">
        <v>5184</v>
      </c>
      <c r="C2087" s="218" t="s">
        <v>1839</v>
      </c>
      <c r="D2087" s="219">
        <v>1.0</v>
      </c>
      <c r="E2087" s="24"/>
      <c r="G2087" s="220">
        <v>43294.0</v>
      </c>
    </row>
    <row r="2088">
      <c r="A2088" s="217">
        <v>43298.54738590278</v>
      </c>
      <c r="B2088" s="218" t="s">
        <v>5184</v>
      </c>
      <c r="C2088" s="218" t="s">
        <v>6651</v>
      </c>
      <c r="D2088" s="219">
        <v>1.0</v>
      </c>
      <c r="E2088" s="24"/>
      <c r="G2088" s="220">
        <v>43294.0</v>
      </c>
    </row>
    <row r="2089">
      <c r="A2089" s="217">
        <v>43298.54821119213</v>
      </c>
      <c r="B2089" s="218" t="s">
        <v>5184</v>
      </c>
      <c r="C2089" s="218" t="s">
        <v>6660</v>
      </c>
      <c r="D2089" s="219">
        <v>1.0</v>
      </c>
      <c r="E2089" s="24"/>
      <c r="G2089" s="220">
        <v>43294.0</v>
      </c>
    </row>
    <row r="2090">
      <c r="A2090" s="217">
        <v>43298.54920386574</v>
      </c>
      <c r="B2090" s="218" t="s">
        <v>5184</v>
      </c>
      <c r="C2090" s="218" t="s">
        <v>6658</v>
      </c>
      <c r="D2090" s="219">
        <v>1.0</v>
      </c>
      <c r="E2090" s="24"/>
      <c r="G2090" s="220">
        <v>43294.0</v>
      </c>
    </row>
    <row r="2091">
      <c r="A2091" s="217">
        <v>43298.551018171296</v>
      </c>
      <c r="B2091" s="218" t="s">
        <v>5184</v>
      </c>
      <c r="C2091" s="218" t="s">
        <v>6661</v>
      </c>
      <c r="D2091" s="219">
        <v>1.0</v>
      </c>
      <c r="E2091" s="24"/>
      <c r="G2091" s="220">
        <v>43294.0</v>
      </c>
    </row>
    <row r="2092">
      <c r="A2092" s="217">
        <v>43298.57079696759</v>
      </c>
      <c r="B2092" s="218" t="s">
        <v>5184</v>
      </c>
      <c r="C2092" s="218" t="s">
        <v>6662</v>
      </c>
      <c r="D2092" s="219">
        <v>1.0</v>
      </c>
      <c r="E2092" s="24"/>
      <c r="G2092" s="220">
        <v>43288.0</v>
      </c>
    </row>
    <row r="2093">
      <c r="A2093" s="217">
        <v>43298.57235335648</v>
      </c>
      <c r="B2093" s="218" t="s">
        <v>5184</v>
      </c>
      <c r="C2093" s="218" t="s">
        <v>1867</v>
      </c>
      <c r="D2093" s="219">
        <v>1.0</v>
      </c>
      <c r="E2093" s="24"/>
      <c r="G2093" s="220">
        <v>43294.0</v>
      </c>
    </row>
    <row r="2094">
      <c r="A2094" s="217">
        <v>43298.57308333334</v>
      </c>
      <c r="B2094" s="218" t="s">
        <v>5184</v>
      </c>
      <c r="C2094" s="218" t="s">
        <v>6662</v>
      </c>
      <c r="D2094" s="219">
        <v>1.0</v>
      </c>
      <c r="E2094" s="24"/>
      <c r="G2094" s="220">
        <v>43294.0</v>
      </c>
    </row>
    <row r="2095">
      <c r="A2095" s="217">
        <v>43298.57392403935</v>
      </c>
      <c r="B2095" s="218" t="s">
        <v>5184</v>
      </c>
      <c r="C2095" s="218" t="s">
        <v>6146</v>
      </c>
      <c r="D2095" s="219">
        <v>1.0</v>
      </c>
      <c r="E2095" s="218">
        <v>1800.0</v>
      </c>
      <c r="G2095" s="220">
        <v>43294.0</v>
      </c>
    </row>
    <row r="2096">
      <c r="A2096" s="217">
        <v>43298.57478549768</v>
      </c>
      <c r="B2096" s="218" t="s">
        <v>5092</v>
      </c>
      <c r="C2096" s="218" t="s">
        <v>6838</v>
      </c>
      <c r="D2096" s="219">
        <v>1.0</v>
      </c>
      <c r="E2096" s="218">
        <v>5090.0</v>
      </c>
      <c r="G2096" s="220">
        <v>43298.0</v>
      </c>
    </row>
    <row r="2097">
      <c r="A2097" s="217">
        <v>43298.601918252316</v>
      </c>
      <c r="B2097" s="218" t="s">
        <v>5184</v>
      </c>
      <c r="C2097" s="218" t="s">
        <v>5365</v>
      </c>
      <c r="D2097" s="219">
        <v>1.0</v>
      </c>
      <c r="E2097" s="24"/>
      <c r="G2097" s="220">
        <v>43291.0</v>
      </c>
    </row>
    <row r="2098">
      <c r="A2098" s="217">
        <v>43298.602668368054</v>
      </c>
      <c r="B2098" s="218" t="s">
        <v>5184</v>
      </c>
      <c r="C2098" s="218" t="s">
        <v>2755</v>
      </c>
      <c r="D2098" s="219">
        <v>1.0</v>
      </c>
      <c r="E2098" s="24"/>
      <c r="G2098" s="220">
        <v>43291.0</v>
      </c>
    </row>
    <row r="2099">
      <c r="A2099" s="217">
        <v>43298.60344085648</v>
      </c>
      <c r="B2099" s="218" t="s">
        <v>5184</v>
      </c>
      <c r="C2099" s="218" t="s">
        <v>2756</v>
      </c>
      <c r="D2099" s="219">
        <v>1.0</v>
      </c>
      <c r="E2099" s="24"/>
      <c r="G2099" s="220">
        <v>43291.0</v>
      </c>
    </row>
    <row r="2100">
      <c r="A2100" s="217">
        <v>43298.60419405093</v>
      </c>
      <c r="B2100" s="218" t="s">
        <v>5184</v>
      </c>
      <c r="C2100" s="218" t="s">
        <v>5374</v>
      </c>
      <c r="D2100" s="219">
        <v>1.0</v>
      </c>
      <c r="E2100" s="24"/>
      <c r="G2100" s="220">
        <v>43291.0</v>
      </c>
    </row>
    <row r="2101">
      <c r="A2101" s="217">
        <v>43298.605974363425</v>
      </c>
      <c r="B2101" s="218" t="s">
        <v>5184</v>
      </c>
      <c r="C2101" s="218" t="s">
        <v>6840</v>
      </c>
      <c r="D2101" s="219">
        <v>1.0</v>
      </c>
      <c r="E2101" s="24"/>
      <c r="G2101" s="220">
        <v>43291.0</v>
      </c>
    </row>
    <row r="2102">
      <c r="A2102" s="217">
        <v>43298.60676322917</v>
      </c>
      <c r="B2102" s="218" t="s">
        <v>5184</v>
      </c>
      <c r="C2102" s="218" t="s">
        <v>5369</v>
      </c>
      <c r="D2102" s="219">
        <v>1.0</v>
      </c>
      <c r="E2102" s="24"/>
      <c r="G2102" s="220">
        <v>43291.0</v>
      </c>
    </row>
    <row r="2103">
      <c r="A2103" s="217">
        <v>43298.60772042824</v>
      </c>
      <c r="B2103" s="218" t="s">
        <v>5184</v>
      </c>
      <c r="C2103" s="218" t="s">
        <v>6841</v>
      </c>
      <c r="D2103" s="219">
        <v>1.0</v>
      </c>
      <c r="E2103" s="24"/>
      <c r="G2103" s="220">
        <v>43291.0</v>
      </c>
    </row>
    <row r="2104">
      <c r="A2104" s="217">
        <v>43298.61798201389</v>
      </c>
      <c r="B2104" s="218" t="s">
        <v>5184</v>
      </c>
      <c r="C2104" s="218" t="s">
        <v>1035</v>
      </c>
      <c r="D2104" s="219">
        <v>1.0</v>
      </c>
      <c r="E2104" s="24"/>
      <c r="G2104" s="220">
        <v>43291.0</v>
      </c>
    </row>
    <row r="2105">
      <c r="A2105" s="217">
        <v>43298.61888247685</v>
      </c>
      <c r="B2105" s="218" t="s">
        <v>5184</v>
      </c>
      <c r="C2105" s="218" t="s">
        <v>5370</v>
      </c>
      <c r="D2105" s="219">
        <v>1.0</v>
      </c>
      <c r="E2105" s="24"/>
      <c r="G2105" s="220">
        <v>43291.0</v>
      </c>
    </row>
    <row r="2106">
      <c r="A2106" s="217">
        <v>43298.61957083333</v>
      </c>
      <c r="B2106" s="218" t="s">
        <v>5184</v>
      </c>
      <c r="C2106" s="218" t="s">
        <v>6842</v>
      </c>
      <c r="D2106" s="219">
        <v>1.0</v>
      </c>
      <c r="E2106" s="24"/>
      <c r="G2106" s="220">
        <v>43291.0</v>
      </c>
    </row>
    <row r="2107">
      <c r="A2107" s="217">
        <v>43298.62035449074</v>
      </c>
      <c r="B2107" s="218" t="s">
        <v>5184</v>
      </c>
      <c r="C2107" s="218" t="s">
        <v>5376</v>
      </c>
      <c r="D2107" s="219">
        <v>1.0</v>
      </c>
      <c r="E2107" s="24"/>
      <c r="G2107" s="220">
        <v>43291.0</v>
      </c>
    </row>
    <row r="2108">
      <c r="A2108" s="217">
        <v>43298.621944328705</v>
      </c>
      <c r="B2108" s="218" t="s">
        <v>5184</v>
      </c>
      <c r="C2108" s="218" t="s">
        <v>6843</v>
      </c>
      <c r="D2108" s="219">
        <v>1.0</v>
      </c>
      <c r="E2108" s="24"/>
      <c r="G2108" s="220">
        <v>43291.0</v>
      </c>
    </row>
    <row r="2109">
      <c r="A2109" s="217">
        <v>43298.62266020833</v>
      </c>
      <c r="B2109" s="218" t="s">
        <v>5184</v>
      </c>
      <c r="C2109" s="218" t="s">
        <v>5371</v>
      </c>
      <c r="D2109" s="219">
        <v>1.0</v>
      </c>
      <c r="E2109" s="24"/>
      <c r="G2109" s="220">
        <v>43291.0</v>
      </c>
    </row>
    <row r="2110">
      <c r="A2110" s="217">
        <v>43299.582521874996</v>
      </c>
      <c r="B2110" s="218" t="s">
        <v>5184</v>
      </c>
      <c r="C2110" s="218" t="s">
        <v>6655</v>
      </c>
      <c r="D2110" s="219">
        <v>1.0</v>
      </c>
      <c r="E2110" s="24"/>
      <c r="G2110" s="220">
        <v>43298.0</v>
      </c>
    </row>
    <row r="2111">
      <c r="A2111" s="217">
        <v>43299.58332123843</v>
      </c>
      <c r="B2111" s="218" t="s">
        <v>5184</v>
      </c>
      <c r="C2111" s="218" t="s">
        <v>1865</v>
      </c>
      <c r="D2111" s="219">
        <v>1.0</v>
      </c>
      <c r="E2111" s="24"/>
      <c r="G2111" s="220">
        <v>43298.0</v>
      </c>
    </row>
    <row r="2112">
      <c r="A2112" s="217">
        <v>43299.584298194444</v>
      </c>
      <c r="B2112" s="218" t="s">
        <v>5184</v>
      </c>
      <c r="C2112" s="218" t="s">
        <v>6190</v>
      </c>
      <c r="D2112" s="219">
        <v>1.0</v>
      </c>
      <c r="E2112" s="24"/>
      <c r="G2112" s="220">
        <v>43299.0</v>
      </c>
    </row>
    <row r="2113">
      <c r="A2113" s="217">
        <v>43299.58540008102</v>
      </c>
      <c r="B2113" s="218" t="s">
        <v>5184</v>
      </c>
      <c r="C2113" s="218" t="s">
        <v>1887</v>
      </c>
      <c r="D2113" s="219">
        <v>2.0</v>
      </c>
      <c r="E2113" s="24"/>
      <c r="G2113" s="220">
        <v>43298.0</v>
      </c>
    </row>
    <row r="2114">
      <c r="A2114" s="217">
        <v>43299.58667280093</v>
      </c>
      <c r="B2114" s="218" t="s">
        <v>5184</v>
      </c>
      <c r="C2114" s="218" t="s">
        <v>1306</v>
      </c>
      <c r="D2114" s="219">
        <v>1.0</v>
      </c>
      <c r="E2114" s="218">
        <v>1800.0</v>
      </c>
      <c r="F2114" s="3" t="s">
        <v>5787</v>
      </c>
      <c r="G2114" s="220">
        <v>43298.0</v>
      </c>
    </row>
    <row r="2115">
      <c r="A2115" s="217">
        <v>43299.587583333334</v>
      </c>
      <c r="B2115" s="218" t="s">
        <v>5184</v>
      </c>
      <c r="C2115" s="218" t="s">
        <v>5566</v>
      </c>
      <c r="D2115" s="219">
        <v>1.0</v>
      </c>
      <c r="E2115" s="218">
        <v>1800.0</v>
      </c>
      <c r="F2115" s="3" t="s">
        <v>5787</v>
      </c>
      <c r="G2115" s="220">
        <v>43298.0</v>
      </c>
    </row>
    <row r="2116">
      <c r="A2116" s="217">
        <v>43299.58876142361</v>
      </c>
      <c r="B2116" s="218" t="s">
        <v>5184</v>
      </c>
      <c r="C2116" s="218" t="s">
        <v>5550</v>
      </c>
      <c r="D2116" s="219">
        <v>1.0</v>
      </c>
      <c r="E2116" s="218">
        <v>1800.0</v>
      </c>
      <c r="F2116" s="3" t="s">
        <v>5787</v>
      </c>
      <c r="G2116" s="220">
        <v>43298.0</v>
      </c>
    </row>
    <row r="2117">
      <c r="A2117" s="217">
        <v>43299.6264283912</v>
      </c>
      <c r="B2117" s="218" t="s">
        <v>5184</v>
      </c>
      <c r="C2117" s="218" t="s">
        <v>1813</v>
      </c>
      <c r="D2117" s="219">
        <v>1.0</v>
      </c>
      <c r="E2117" s="24"/>
      <c r="G2117" s="220">
        <v>43299.0</v>
      </c>
    </row>
    <row r="2118">
      <c r="A2118" s="217">
        <v>43299.63846353009</v>
      </c>
      <c r="B2118" s="218" t="s">
        <v>5184</v>
      </c>
      <c r="C2118" s="218" t="s">
        <v>1808</v>
      </c>
      <c r="D2118" s="219">
        <v>1.0</v>
      </c>
      <c r="E2118" s="24"/>
      <c r="G2118" s="220">
        <v>43299.0</v>
      </c>
    </row>
    <row r="2119">
      <c r="A2119" s="217">
        <v>43299.63933517361</v>
      </c>
      <c r="B2119" s="218" t="s">
        <v>5184</v>
      </c>
      <c r="C2119" s="218" t="s">
        <v>1840</v>
      </c>
      <c r="D2119" s="219">
        <v>1.0</v>
      </c>
      <c r="E2119" s="24"/>
      <c r="G2119" s="220">
        <v>43299.0</v>
      </c>
    </row>
    <row r="2120">
      <c r="A2120" s="217">
        <v>43299.64021773148</v>
      </c>
      <c r="B2120" s="218" t="s">
        <v>5184</v>
      </c>
      <c r="C2120" s="218" t="s">
        <v>1857</v>
      </c>
      <c r="D2120" s="219">
        <v>1.0</v>
      </c>
      <c r="E2120" s="24"/>
      <c r="G2120" s="220">
        <v>43299.0</v>
      </c>
    </row>
    <row r="2121">
      <c r="A2121" s="217">
        <v>43299.6411282176</v>
      </c>
      <c r="B2121" s="218" t="s">
        <v>5184</v>
      </c>
      <c r="C2121" s="218" t="s">
        <v>6185</v>
      </c>
      <c r="D2121" s="219">
        <v>1.0</v>
      </c>
      <c r="E2121" s="218">
        <v>5490.0</v>
      </c>
      <c r="G2121" s="220">
        <v>43299.0</v>
      </c>
    </row>
    <row r="2122">
      <c r="A2122" s="217">
        <v>43300.4293671412</v>
      </c>
      <c r="B2122" s="218" t="s">
        <v>5184</v>
      </c>
      <c r="C2122" s="218" t="s">
        <v>5475</v>
      </c>
      <c r="D2122" s="219">
        <v>1.0</v>
      </c>
      <c r="E2122" s="24"/>
      <c r="G2122" s="220">
        <v>43300.0</v>
      </c>
    </row>
    <row r="2123">
      <c r="A2123" s="217">
        <v>43300.74002434028</v>
      </c>
      <c r="B2123" s="218" t="s">
        <v>5184</v>
      </c>
      <c r="C2123" s="218" t="s">
        <v>5440</v>
      </c>
      <c r="D2123" s="219">
        <v>1.0</v>
      </c>
      <c r="E2123" s="24"/>
      <c r="G2123" s="220">
        <v>43300.0</v>
      </c>
    </row>
    <row r="2124">
      <c r="A2124" s="217">
        <v>43300.74073554398</v>
      </c>
      <c r="B2124" s="218" t="s">
        <v>5184</v>
      </c>
      <c r="C2124" s="218" t="s">
        <v>6846</v>
      </c>
      <c r="D2124" s="219">
        <v>1.0</v>
      </c>
      <c r="E2124" s="24"/>
      <c r="G2124" s="220">
        <v>43300.0</v>
      </c>
    </row>
    <row r="2125">
      <c r="A2125" s="217">
        <v>43300.74144729167</v>
      </c>
      <c r="B2125" s="218" t="s">
        <v>5184</v>
      </c>
      <c r="C2125" s="218" t="s">
        <v>6647</v>
      </c>
      <c r="D2125" s="219">
        <v>1.0</v>
      </c>
      <c r="E2125" s="24"/>
      <c r="G2125" s="220">
        <v>43300.0</v>
      </c>
    </row>
    <row r="2126">
      <c r="A2126" s="217">
        <v>43301.566571504634</v>
      </c>
      <c r="B2126" s="218" t="s">
        <v>5184</v>
      </c>
      <c r="C2126" s="218" t="s">
        <v>5621</v>
      </c>
      <c r="D2126" s="219">
        <v>1.0</v>
      </c>
      <c r="E2126" s="218">
        <v>1800.0</v>
      </c>
      <c r="G2126" s="220">
        <v>43296.0</v>
      </c>
    </row>
    <row r="2127">
      <c r="A2127" s="217">
        <v>43301.56733619213</v>
      </c>
      <c r="B2127" s="218" t="s">
        <v>5184</v>
      </c>
      <c r="C2127" s="218" t="s">
        <v>6848</v>
      </c>
      <c r="D2127" s="219">
        <v>1.0</v>
      </c>
      <c r="E2127" s="218">
        <v>1800.0</v>
      </c>
      <c r="G2127" s="220">
        <v>43297.0</v>
      </c>
    </row>
    <row r="2128">
      <c r="A2128" s="217">
        <v>43301.57342579861</v>
      </c>
      <c r="B2128" s="218" t="s">
        <v>5184</v>
      </c>
      <c r="C2128" s="218" t="s">
        <v>5782</v>
      </c>
      <c r="D2128" s="219">
        <v>1.0</v>
      </c>
      <c r="E2128" s="218">
        <v>400.0</v>
      </c>
      <c r="F2128" s="3" t="s">
        <v>5787</v>
      </c>
      <c r="G2128" s="220">
        <v>43297.0</v>
      </c>
    </row>
    <row r="2129">
      <c r="A2129" s="217">
        <v>43301.578634571764</v>
      </c>
      <c r="B2129" s="218" t="s">
        <v>5184</v>
      </c>
      <c r="C2129" s="218" t="s">
        <v>5845</v>
      </c>
      <c r="D2129" s="219">
        <v>1.0</v>
      </c>
      <c r="E2129" s="218">
        <v>500.0</v>
      </c>
      <c r="G2129" s="220">
        <v>43298.0</v>
      </c>
    </row>
    <row r="2130">
      <c r="A2130" s="217">
        <v>43301.57973841435</v>
      </c>
      <c r="B2130" s="218" t="s">
        <v>5184</v>
      </c>
      <c r="C2130" s="218" t="s">
        <v>6001</v>
      </c>
      <c r="D2130" s="219">
        <v>1.0</v>
      </c>
      <c r="E2130" s="218">
        <v>500.0</v>
      </c>
      <c r="G2130" s="220">
        <v>43298.0</v>
      </c>
    </row>
    <row r="2131">
      <c r="A2131" s="217">
        <v>43301.582957997685</v>
      </c>
      <c r="B2131" s="218" t="s">
        <v>5184</v>
      </c>
      <c r="C2131" s="218" t="s">
        <v>5845</v>
      </c>
      <c r="D2131" s="219">
        <v>1.0</v>
      </c>
      <c r="E2131" s="218">
        <v>500.0</v>
      </c>
      <c r="G2131" s="220">
        <v>43299.0</v>
      </c>
    </row>
    <row r="2132">
      <c r="A2132" s="217">
        <v>43301.58518155092</v>
      </c>
      <c r="B2132" s="218" t="s">
        <v>5184</v>
      </c>
      <c r="C2132" s="218" t="s">
        <v>284</v>
      </c>
      <c r="D2132" s="219">
        <v>1.0</v>
      </c>
      <c r="E2132" s="218">
        <v>400.0</v>
      </c>
      <c r="G2132" s="220">
        <v>43299.0</v>
      </c>
    </row>
    <row r="2133">
      <c r="A2133" s="217">
        <v>43301.58634300926</v>
      </c>
      <c r="B2133" s="218" t="s">
        <v>5184</v>
      </c>
      <c r="C2133" s="218" t="s">
        <v>5786</v>
      </c>
      <c r="D2133" s="219">
        <v>1.0</v>
      </c>
      <c r="E2133" s="218">
        <v>300.0</v>
      </c>
      <c r="G2133" s="220">
        <v>43299.0</v>
      </c>
    </row>
    <row r="2134">
      <c r="A2134" s="217">
        <v>43301.58821356481</v>
      </c>
      <c r="B2134" s="218" t="s">
        <v>5184</v>
      </c>
      <c r="C2134" s="218" t="s">
        <v>5976</v>
      </c>
      <c r="D2134" s="219">
        <v>1.0</v>
      </c>
      <c r="E2134" s="218">
        <v>500.0</v>
      </c>
      <c r="F2134" s="3" t="s">
        <v>5787</v>
      </c>
      <c r="G2134" s="220">
        <v>43299.0</v>
      </c>
    </row>
    <row r="2135">
      <c r="A2135" s="217">
        <v>43301.58929549769</v>
      </c>
      <c r="B2135" s="218" t="s">
        <v>5184</v>
      </c>
      <c r="C2135" s="218" t="s">
        <v>5804</v>
      </c>
      <c r="D2135" s="219">
        <v>1.0</v>
      </c>
      <c r="E2135" s="218">
        <v>300.0</v>
      </c>
      <c r="F2135" s="3" t="s">
        <v>5787</v>
      </c>
      <c r="G2135" s="220">
        <v>43299.0</v>
      </c>
    </row>
    <row r="2136">
      <c r="A2136" s="217">
        <v>43301.59072006945</v>
      </c>
      <c r="B2136" s="218" t="s">
        <v>5184</v>
      </c>
      <c r="C2136" s="218" t="s">
        <v>5804</v>
      </c>
      <c r="D2136" s="219">
        <v>1.0</v>
      </c>
      <c r="E2136" s="218">
        <v>300.0</v>
      </c>
      <c r="G2136" s="220">
        <v>43299.0</v>
      </c>
    </row>
    <row r="2137">
      <c r="A2137" s="217">
        <v>43301.59264783565</v>
      </c>
      <c r="B2137" s="218" t="s">
        <v>5184</v>
      </c>
      <c r="C2137" s="218" t="s">
        <v>6304</v>
      </c>
      <c r="D2137" s="219">
        <v>1.0</v>
      </c>
      <c r="E2137" s="218">
        <v>1000.0</v>
      </c>
      <c r="F2137" s="3" t="s">
        <v>5937</v>
      </c>
      <c r="G2137" s="220">
        <v>43299.0</v>
      </c>
    </row>
    <row r="2138">
      <c r="A2138" s="217">
        <v>43303.432275960644</v>
      </c>
      <c r="B2138" s="218" t="s">
        <v>5184</v>
      </c>
      <c r="C2138" s="218" t="s">
        <v>5845</v>
      </c>
      <c r="D2138" s="219">
        <v>1.0</v>
      </c>
      <c r="E2138" s="218">
        <v>500.0</v>
      </c>
      <c r="F2138" s="3" t="s">
        <v>5787</v>
      </c>
      <c r="G2138" s="220">
        <v>43300.0</v>
      </c>
    </row>
    <row r="2139">
      <c r="A2139" s="217">
        <v>43303.43399178241</v>
      </c>
      <c r="B2139" s="218" t="s">
        <v>5184</v>
      </c>
      <c r="C2139" s="218" t="s">
        <v>6351</v>
      </c>
      <c r="D2139" s="219">
        <v>1.0</v>
      </c>
      <c r="E2139" s="218">
        <v>1000.0</v>
      </c>
      <c r="F2139" s="3" t="s">
        <v>5787</v>
      </c>
      <c r="G2139" s="220">
        <v>43300.0</v>
      </c>
    </row>
    <row r="2140">
      <c r="A2140" s="217">
        <v>43303.43460364583</v>
      </c>
      <c r="B2140" s="218" t="s">
        <v>5184</v>
      </c>
      <c r="C2140" s="218" t="s">
        <v>6001</v>
      </c>
      <c r="D2140" s="219">
        <v>1.0</v>
      </c>
      <c r="E2140" s="218">
        <v>500.0</v>
      </c>
      <c r="F2140" s="3" t="s">
        <v>5787</v>
      </c>
      <c r="G2140" s="220">
        <v>43300.0</v>
      </c>
    </row>
    <row r="2141">
      <c r="A2141" s="217">
        <v>43303.43517442129</v>
      </c>
      <c r="B2141" s="218" t="s">
        <v>5184</v>
      </c>
      <c r="C2141" s="218" t="s">
        <v>5789</v>
      </c>
      <c r="D2141" s="219">
        <v>1.0</v>
      </c>
      <c r="E2141" s="218">
        <v>400.0</v>
      </c>
      <c r="F2141" s="3" t="s">
        <v>5787</v>
      </c>
      <c r="G2141" s="220">
        <v>43300.0</v>
      </c>
    </row>
    <row r="2142">
      <c r="A2142" s="217">
        <v>43303.435727372686</v>
      </c>
      <c r="B2142" s="218" t="s">
        <v>5184</v>
      </c>
      <c r="C2142" s="218" t="s">
        <v>5786</v>
      </c>
      <c r="D2142" s="219">
        <v>1.0</v>
      </c>
      <c r="E2142" s="218">
        <v>300.0</v>
      </c>
      <c r="F2142" s="3" t="s">
        <v>5787</v>
      </c>
      <c r="G2142" s="220">
        <v>43300.0</v>
      </c>
    </row>
    <row r="2143">
      <c r="A2143" s="217">
        <v>43303.43622</v>
      </c>
      <c r="B2143" s="218" t="s">
        <v>5184</v>
      </c>
      <c r="C2143" s="218" t="s">
        <v>284</v>
      </c>
      <c r="D2143" s="219">
        <v>1.0</v>
      </c>
      <c r="E2143" s="218">
        <v>400.0</v>
      </c>
      <c r="F2143" s="3" t="s">
        <v>5787</v>
      </c>
      <c r="G2143" s="220">
        <v>43300.0</v>
      </c>
    </row>
    <row r="2144">
      <c r="A2144" s="217">
        <v>43303.436773298614</v>
      </c>
      <c r="B2144" s="218" t="s">
        <v>5184</v>
      </c>
      <c r="C2144" s="218" t="s">
        <v>6053</v>
      </c>
      <c r="D2144" s="219">
        <v>1.0</v>
      </c>
      <c r="E2144" s="218">
        <v>300.0</v>
      </c>
      <c r="G2144" s="220">
        <v>43300.0</v>
      </c>
    </row>
    <row r="2145">
      <c r="A2145" s="217">
        <v>43303.437743125</v>
      </c>
      <c r="B2145" s="218" t="s">
        <v>5184</v>
      </c>
      <c r="C2145" s="218" t="s">
        <v>6053</v>
      </c>
      <c r="D2145" s="219">
        <v>1.0</v>
      </c>
      <c r="E2145" s="218">
        <v>300.0</v>
      </c>
      <c r="F2145" s="3" t="s">
        <v>5787</v>
      </c>
      <c r="G2145" s="220">
        <v>43300.0</v>
      </c>
    </row>
    <row r="2146">
      <c r="A2146" s="217">
        <v>43303.43852643519</v>
      </c>
      <c r="B2146" s="218" t="s">
        <v>5184</v>
      </c>
      <c r="C2146" s="218" t="s">
        <v>5786</v>
      </c>
      <c r="D2146" s="219">
        <v>1.0</v>
      </c>
      <c r="E2146" s="218">
        <v>300.0</v>
      </c>
      <c r="F2146" s="3" t="s">
        <v>5787</v>
      </c>
      <c r="G2146" s="220">
        <v>43301.0</v>
      </c>
    </row>
    <row r="2147">
      <c r="A2147" s="217">
        <v>43303.439488275464</v>
      </c>
      <c r="B2147" s="218" t="s">
        <v>5184</v>
      </c>
      <c r="C2147" s="218" t="s">
        <v>5804</v>
      </c>
      <c r="D2147" s="219">
        <v>1.0</v>
      </c>
      <c r="E2147" s="218">
        <v>300.0</v>
      </c>
      <c r="F2147" s="3" t="s">
        <v>5787</v>
      </c>
      <c r="G2147" s="220">
        <v>43302.0</v>
      </c>
    </row>
    <row r="2148">
      <c r="A2148" s="217">
        <v>43303.44005725694</v>
      </c>
      <c r="B2148" s="218" t="s">
        <v>5184</v>
      </c>
      <c r="C2148" s="218" t="s">
        <v>6001</v>
      </c>
      <c r="D2148" s="219">
        <v>1.0</v>
      </c>
      <c r="E2148" s="218">
        <v>500.0</v>
      </c>
      <c r="F2148" s="3" t="s">
        <v>5787</v>
      </c>
      <c r="G2148" s="220">
        <v>43302.0</v>
      </c>
    </row>
    <row r="2149">
      <c r="A2149" s="217">
        <v>43303.487602546295</v>
      </c>
      <c r="B2149" s="218" t="s">
        <v>5184</v>
      </c>
      <c r="C2149" s="218" t="s">
        <v>6866</v>
      </c>
      <c r="D2149" s="219">
        <v>1.0</v>
      </c>
      <c r="E2149" s="218">
        <v>3490.0</v>
      </c>
      <c r="G2149" s="220">
        <v>43303.0</v>
      </c>
    </row>
    <row r="2150">
      <c r="A2150" s="217">
        <v>43303.55100290509</v>
      </c>
      <c r="B2150" s="218" t="s">
        <v>5184</v>
      </c>
      <c r="C2150" s="218" t="s">
        <v>6304</v>
      </c>
      <c r="D2150" s="219">
        <v>1.0</v>
      </c>
      <c r="E2150" s="218">
        <v>1000.0</v>
      </c>
      <c r="F2150" s="3" t="s">
        <v>5787</v>
      </c>
      <c r="G2150" s="220">
        <v>43303.0</v>
      </c>
    </row>
    <row r="2151">
      <c r="A2151" s="217">
        <v>43304.60561151621</v>
      </c>
      <c r="B2151" s="218" t="s">
        <v>5184</v>
      </c>
      <c r="C2151" s="218" t="s">
        <v>5112</v>
      </c>
      <c r="D2151" s="219">
        <v>1.0</v>
      </c>
      <c r="E2151" s="218">
        <v>6990.0</v>
      </c>
      <c r="G2151" s="220">
        <v>43300.0</v>
      </c>
    </row>
    <row r="2152">
      <c r="A2152" s="217">
        <v>43304.6069130324</v>
      </c>
      <c r="B2152" s="218" t="s">
        <v>5184</v>
      </c>
      <c r="C2152" s="218" t="s">
        <v>5150</v>
      </c>
      <c r="D2152" s="219">
        <v>1.0</v>
      </c>
      <c r="E2152" s="218">
        <v>7990.0</v>
      </c>
      <c r="G2152" s="220">
        <v>43300.0</v>
      </c>
    </row>
    <row r="2153">
      <c r="A2153" s="217">
        <v>43304.607759375</v>
      </c>
      <c r="B2153" s="218" t="s">
        <v>5184</v>
      </c>
      <c r="C2153" s="218" t="s">
        <v>5549</v>
      </c>
      <c r="D2153" s="219">
        <v>1.0</v>
      </c>
      <c r="E2153" s="218">
        <v>1800.0</v>
      </c>
      <c r="F2153" s="3" t="s">
        <v>5787</v>
      </c>
      <c r="G2153" s="220">
        <v>43300.0</v>
      </c>
    </row>
    <row r="2154">
      <c r="A2154" s="217">
        <v>43304.610052233795</v>
      </c>
      <c r="B2154" s="218" t="s">
        <v>5184</v>
      </c>
      <c r="C2154" s="218" t="s">
        <v>1807</v>
      </c>
      <c r="D2154" s="219">
        <v>1.0</v>
      </c>
      <c r="E2154" s="218">
        <v>7990.0</v>
      </c>
      <c r="G2154" s="220">
        <v>43301.0</v>
      </c>
    </row>
    <row r="2155">
      <c r="A2155" s="217">
        <v>43304.610836875</v>
      </c>
      <c r="B2155" s="218" t="s">
        <v>5184</v>
      </c>
      <c r="C2155" s="218" t="s">
        <v>6490</v>
      </c>
      <c r="D2155" s="219">
        <v>1.0</v>
      </c>
      <c r="E2155" s="218">
        <v>6990.0</v>
      </c>
      <c r="F2155" s="3" t="s">
        <v>5094</v>
      </c>
      <c r="G2155" s="220">
        <v>43301.0</v>
      </c>
    </row>
    <row r="2156">
      <c r="A2156" s="217">
        <v>43304.611648148144</v>
      </c>
      <c r="B2156" s="218" t="s">
        <v>5184</v>
      </c>
      <c r="C2156" s="218" t="s">
        <v>6182</v>
      </c>
      <c r="D2156" s="219">
        <v>1.0</v>
      </c>
      <c r="E2156" s="218">
        <v>5990.0</v>
      </c>
      <c r="G2156" s="220">
        <v>43301.0</v>
      </c>
    </row>
    <row r="2157">
      <c r="A2157" s="217">
        <v>43304.61245043982</v>
      </c>
      <c r="B2157" s="218" t="s">
        <v>5184</v>
      </c>
      <c r="C2157" s="218" t="s">
        <v>6193</v>
      </c>
      <c r="D2157" s="219">
        <v>1.0</v>
      </c>
      <c r="E2157" s="218">
        <v>6290.0</v>
      </c>
      <c r="G2157" s="220">
        <v>43301.0</v>
      </c>
    </row>
    <row r="2158">
      <c r="A2158" s="217">
        <v>43304.613987951394</v>
      </c>
      <c r="B2158" s="218" t="s">
        <v>5184</v>
      </c>
      <c r="C2158" s="218" t="s">
        <v>1786</v>
      </c>
      <c r="D2158" s="219">
        <v>1.0</v>
      </c>
      <c r="E2158" s="24"/>
      <c r="G2158" s="220">
        <v>43301.0</v>
      </c>
    </row>
    <row r="2159">
      <c r="A2159" s="217">
        <v>43304.61516165509</v>
      </c>
      <c r="B2159" s="218" t="s">
        <v>5184</v>
      </c>
      <c r="C2159" s="218" t="s">
        <v>5209</v>
      </c>
      <c r="D2159" s="219">
        <v>1.0</v>
      </c>
      <c r="E2159" s="24"/>
      <c r="G2159" s="220">
        <v>43301.0</v>
      </c>
    </row>
    <row r="2160">
      <c r="A2160" s="217">
        <v>43304.61605872685</v>
      </c>
      <c r="B2160" s="218" t="s">
        <v>5184</v>
      </c>
      <c r="C2160" s="218" t="s">
        <v>1791</v>
      </c>
      <c r="D2160" s="219">
        <v>1.0</v>
      </c>
      <c r="E2160" s="24"/>
      <c r="G2160" s="220">
        <v>43301.0</v>
      </c>
    </row>
    <row r="2161">
      <c r="A2161" s="217">
        <v>43304.61707815972</v>
      </c>
      <c r="B2161" s="218" t="s">
        <v>5184</v>
      </c>
      <c r="C2161" s="218" t="s">
        <v>5210</v>
      </c>
      <c r="D2161" s="219">
        <v>1.0</v>
      </c>
      <c r="E2161" s="24"/>
      <c r="G2161" s="220">
        <v>43301.0</v>
      </c>
    </row>
    <row r="2162">
      <c r="A2162" s="217">
        <v>43304.6177785301</v>
      </c>
      <c r="B2162" s="218" t="s">
        <v>5184</v>
      </c>
      <c r="C2162" s="218" t="s">
        <v>5206</v>
      </c>
      <c r="D2162" s="219">
        <v>1.0</v>
      </c>
      <c r="E2162" s="24"/>
      <c r="G2162" s="220">
        <v>43301.0</v>
      </c>
    </row>
    <row r="2163">
      <c r="A2163" s="217">
        <v>43304.619499189816</v>
      </c>
      <c r="B2163" s="218" t="s">
        <v>5184</v>
      </c>
      <c r="C2163" s="218" t="s">
        <v>1309</v>
      </c>
      <c r="D2163" s="219">
        <v>1.0</v>
      </c>
      <c r="E2163" s="218">
        <v>1800.0</v>
      </c>
      <c r="F2163" s="3" t="s">
        <v>5787</v>
      </c>
      <c r="G2163" s="220">
        <v>43301.0</v>
      </c>
    </row>
    <row r="2164">
      <c r="A2164" s="217">
        <v>43304.62136638889</v>
      </c>
      <c r="B2164" s="218" t="s">
        <v>5184</v>
      </c>
      <c r="C2164" s="218" t="s">
        <v>6871</v>
      </c>
      <c r="D2164" s="219">
        <v>1.0</v>
      </c>
      <c r="E2164" s="218">
        <v>9790.0</v>
      </c>
      <c r="G2164" s="220">
        <v>43301.0</v>
      </c>
    </row>
    <row r="2165">
      <c r="A2165" s="217">
        <v>43304.62701203703</v>
      </c>
      <c r="B2165" s="218" t="s">
        <v>5184</v>
      </c>
      <c r="C2165" s="218" t="s">
        <v>1677</v>
      </c>
      <c r="D2165" s="219">
        <v>1.0</v>
      </c>
      <c r="E2165" s="218">
        <v>2700.0</v>
      </c>
      <c r="G2165" s="220">
        <v>43301.0</v>
      </c>
    </row>
    <row r="2166">
      <c r="A2166" s="217">
        <v>43304.62783053241</v>
      </c>
      <c r="B2166" s="218" t="s">
        <v>5184</v>
      </c>
      <c r="C2166" s="218" t="s">
        <v>6172</v>
      </c>
      <c r="D2166" s="219">
        <v>1.0</v>
      </c>
      <c r="E2166" s="218">
        <v>2930.0</v>
      </c>
      <c r="G2166" s="220">
        <v>43301.0</v>
      </c>
    </row>
    <row r="2167">
      <c r="A2167" s="217">
        <v>43304.628724282404</v>
      </c>
      <c r="B2167" s="218" t="s">
        <v>5184</v>
      </c>
      <c r="C2167" s="218" t="s">
        <v>1681</v>
      </c>
      <c r="D2167" s="219">
        <v>1.0</v>
      </c>
      <c r="E2167" s="218">
        <v>2450.0</v>
      </c>
      <c r="G2167" s="220">
        <v>43301.0</v>
      </c>
    </row>
    <row r="2168">
      <c r="A2168" s="217">
        <v>43304.63028734954</v>
      </c>
      <c r="B2168" s="218" t="s">
        <v>5184</v>
      </c>
      <c r="C2168" s="218" t="s">
        <v>1683</v>
      </c>
      <c r="D2168" s="219">
        <v>1.0</v>
      </c>
      <c r="E2168" s="218">
        <v>3050.0</v>
      </c>
      <c r="G2168" s="220">
        <v>43301.0</v>
      </c>
    </row>
    <row r="2169">
      <c r="A2169" s="217">
        <v>43304.63504988426</v>
      </c>
      <c r="B2169" s="218" t="s">
        <v>5184</v>
      </c>
      <c r="C2169" s="218" t="s">
        <v>1672</v>
      </c>
      <c r="D2169" s="219">
        <v>1.0</v>
      </c>
      <c r="E2169" s="218">
        <v>2590.0</v>
      </c>
      <c r="G2169" s="220">
        <v>43301.0</v>
      </c>
    </row>
    <row r="2170">
      <c r="A2170" s="217">
        <v>43304.63569039352</v>
      </c>
      <c r="B2170" s="218" t="s">
        <v>5184</v>
      </c>
      <c r="C2170" s="218" t="s">
        <v>1679</v>
      </c>
      <c r="D2170" s="219">
        <v>1.0</v>
      </c>
      <c r="E2170" s="218">
        <v>2590.0</v>
      </c>
      <c r="G2170" s="220">
        <v>43301.0</v>
      </c>
    </row>
    <row r="2171">
      <c r="A2171" s="217">
        <v>43304.643901261574</v>
      </c>
      <c r="B2171" s="218" t="s">
        <v>5092</v>
      </c>
      <c r="C2171" s="218" t="s">
        <v>1675</v>
      </c>
      <c r="D2171" s="219">
        <v>1.0</v>
      </c>
      <c r="E2171" s="218">
        <v>2590.0</v>
      </c>
      <c r="G2171" s="220">
        <v>43301.0</v>
      </c>
    </row>
    <row r="2172">
      <c r="A2172" s="217">
        <v>43306.63679185185</v>
      </c>
      <c r="B2172" s="218" t="s">
        <v>5184</v>
      </c>
      <c r="C2172" s="218" t="s">
        <v>1915</v>
      </c>
      <c r="D2172" s="219">
        <v>1.0</v>
      </c>
      <c r="E2172" s="218">
        <v>3390.0</v>
      </c>
      <c r="G2172" s="220">
        <v>43305.0</v>
      </c>
    </row>
    <row r="2173">
      <c r="A2173" s="217">
        <v>43306.64473197916</v>
      </c>
      <c r="B2173" s="218" t="s">
        <v>5184</v>
      </c>
      <c r="C2173" s="218" t="s">
        <v>1918</v>
      </c>
      <c r="D2173" s="219">
        <v>1.0</v>
      </c>
      <c r="E2173" s="218">
        <v>3990.0</v>
      </c>
      <c r="G2173" s="220">
        <v>43303.0</v>
      </c>
    </row>
    <row r="2174">
      <c r="A2174" s="217">
        <v>43306.6469143287</v>
      </c>
      <c r="B2174" s="218" t="s">
        <v>5184</v>
      </c>
      <c r="C2174" s="218" t="s">
        <v>1908</v>
      </c>
      <c r="D2174" s="219">
        <v>1.0</v>
      </c>
      <c r="E2174" s="24"/>
      <c r="G2174" s="220">
        <v>43304.0</v>
      </c>
    </row>
    <row r="2175">
      <c r="A2175" s="217">
        <v>43306.649744236114</v>
      </c>
      <c r="B2175" s="218" t="s">
        <v>5184</v>
      </c>
      <c r="C2175" s="218" t="s">
        <v>6838</v>
      </c>
      <c r="D2175" s="219">
        <v>1.0</v>
      </c>
      <c r="E2175" s="24"/>
      <c r="G2175" s="220">
        <v>43306.0</v>
      </c>
    </row>
    <row r="2176">
      <c r="A2176" s="217">
        <v>43307.598345844905</v>
      </c>
      <c r="B2176" s="218" t="s">
        <v>5092</v>
      </c>
      <c r="C2176" s="218" t="s">
        <v>724</v>
      </c>
      <c r="D2176" s="219">
        <v>2.0</v>
      </c>
      <c r="E2176" s="24"/>
      <c r="G2176" s="220">
        <v>43307.0</v>
      </c>
    </row>
    <row r="2177">
      <c r="A2177" s="217">
        <v>43307.59895719908</v>
      </c>
      <c r="B2177" s="218" t="s">
        <v>5092</v>
      </c>
      <c r="C2177" s="218" t="s">
        <v>5664</v>
      </c>
      <c r="D2177" s="219">
        <v>2.0</v>
      </c>
      <c r="E2177" s="24"/>
      <c r="G2177" s="220">
        <v>43307.0</v>
      </c>
    </row>
    <row r="2178">
      <c r="A2178" s="217">
        <v>43307.59956333334</v>
      </c>
      <c r="B2178" s="218" t="s">
        <v>5092</v>
      </c>
      <c r="C2178" s="218" t="s">
        <v>1380</v>
      </c>
      <c r="D2178" s="219">
        <v>2.0</v>
      </c>
      <c r="E2178" s="24"/>
      <c r="G2178" s="220">
        <v>43307.0</v>
      </c>
    </row>
    <row r="2179">
      <c r="A2179" s="217">
        <v>43307.600154722226</v>
      </c>
      <c r="B2179" s="218" t="s">
        <v>5092</v>
      </c>
      <c r="C2179" s="218" t="s">
        <v>1382</v>
      </c>
      <c r="D2179" s="219">
        <v>1.0</v>
      </c>
      <c r="E2179" s="24"/>
      <c r="G2179" s="220">
        <v>43307.0</v>
      </c>
    </row>
    <row r="2180">
      <c r="A2180" s="217">
        <v>43307.60150715278</v>
      </c>
      <c r="B2180" s="218" t="s">
        <v>5092</v>
      </c>
      <c r="C2180" s="218" t="s">
        <v>5872</v>
      </c>
      <c r="D2180" s="219">
        <v>2.0</v>
      </c>
      <c r="E2180" s="24"/>
      <c r="G2180" s="220">
        <v>43307.0</v>
      </c>
    </row>
    <row r="2181">
      <c r="A2181" s="217">
        <v>43307.60722909722</v>
      </c>
      <c r="B2181" s="218" t="s">
        <v>5092</v>
      </c>
      <c r="C2181" s="218" t="s">
        <v>6885</v>
      </c>
      <c r="D2181" s="219">
        <v>2.0</v>
      </c>
      <c r="E2181" s="24"/>
      <c r="G2181" s="220">
        <v>43307.0</v>
      </c>
    </row>
    <row r="2182">
      <c r="A2182" s="217">
        <v>43307.60788947917</v>
      </c>
      <c r="B2182" s="218" t="s">
        <v>5092</v>
      </c>
      <c r="C2182" s="218" t="s">
        <v>6886</v>
      </c>
      <c r="D2182" s="219">
        <v>2.0</v>
      </c>
      <c r="E2182" s="24"/>
      <c r="G2182" s="220">
        <v>43307.0</v>
      </c>
    </row>
    <row r="2183">
      <c r="A2183" s="217">
        <v>43307.610149375</v>
      </c>
      <c r="B2183" s="218" t="s">
        <v>5092</v>
      </c>
      <c r="C2183" s="218" t="s">
        <v>6887</v>
      </c>
      <c r="D2183" s="219">
        <v>2.0</v>
      </c>
      <c r="E2183" s="24"/>
      <c r="G2183" s="220">
        <v>43307.0</v>
      </c>
    </row>
    <row r="2184">
      <c r="A2184" s="217">
        <v>43307.61143533565</v>
      </c>
      <c r="B2184" s="218" t="s">
        <v>5092</v>
      </c>
      <c r="C2184" s="218" t="s">
        <v>6888</v>
      </c>
      <c r="D2184" s="219">
        <v>2.0</v>
      </c>
      <c r="E2184" s="24"/>
      <c r="G2184" s="220">
        <v>43307.0</v>
      </c>
    </row>
    <row r="2185">
      <c r="A2185" s="217">
        <v>43307.61204768519</v>
      </c>
      <c r="B2185" s="218" t="s">
        <v>5092</v>
      </c>
      <c r="C2185" s="218" t="s">
        <v>715</v>
      </c>
      <c r="D2185" s="219">
        <v>1.0</v>
      </c>
      <c r="E2185" s="24"/>
      <c r="G2185" s="220">
        <v>43307.0</v>
      </c>
    </row>
    <row r="2186">
      <c r="A2186" s="217">
        <v>43307.612732442125</v>
      </c>
      <c r="B2186" s="218" t="s">
        <v>5092</v>
      </c>
      <c r="C2186" s="218" t="s">
        <v>6889</v>
      </c>
      <c r="D2186" s="219">
        <v>1.0</v>
      </c>
      <c r="E2186" s="24"/>
      <c r="G2186" s="220">
        <v>43307.0</v>
      </c>
    </row>
    <row r="2187">
      <c r="A2187" s="217">
        <v>43307.61353581019</v>
      </c>
      <c r="B2187" s="218" t="s">
        <v>5092</v>
      </c>
      <c r="C2187" s="218" t="s">
        <v>719</v>
      </c>
      <c r="D2187" s="219">
        <v>2.0</v>
      </c>
      <c r="E2187" s="24"/>
      <c r="G2187" s="220">
        <v>43307.0</v>
      </c>
    </row>
    <row r="2188">
      <c r="A2188" s="217">
        <v>43307.614499456016</v>
      </c>
      <c r="B2188" s="218" t="s">
        <v>5092</v>
      </c>
      <c r="C2188" s="218" t="s">
        <v>6890</v>
      </c>
      <c r="D2188" s="219">
        <v>2.0</v>
      </c>
      <c r="E2188" s="24"/>
      <c r="G2188" s="220">
        <v>43307.0</v>
      </c>
    </row>
    <row r="2189">
      <c r="A2189" s="217">
        <v>43307.615487627314</v>
      </c>
      <c r="B2189" s="218" t="s">
        <v>5092</v>
      </c>
      <c r="C2189" s="218" t="s">
        <v>6891</v>
      </c>
      <c r="D2189" s="219">
        <v>1.0</v>
      </c>
      <c r="E2189" s="24"/>
      <c r="G2189" s="220">
        <v>43307.0</v>
      </c>
    </row>
    <row r="2190">
      <c r="A2190" s="217">
        <v>43307.61709675926</v>
      </c>
      <c r="B2190" s="218" t="s">
        <v>5092</v>
      </c>
      <c r="C2190" s="218" t="s">
        <v>6892</v>
      </c>
      <c r="D2190" s="219">
        <v>1.0</v>
      </c>
      <c r="E2190" s="24"/>
      <c r="G2190" s="220">
        <v>43307.0</v>
      </c>
    </row>
    <row r="2191">
      <c r="A2191" s="217">
        <v>43307.61832675926</v>
      </c>
      <c r="B2191" s="218" t="s">
        <v>5092</v>
      </c>
      <c r="C2191" s="218" t="s">
        <v>6893</v>
      </c>
      <c r="D2191" s="219">
        <v>1.0</v>
      </c>
      <c r="E2191" s="24"/>
      <c r="G2191" s="220">
        <v>43307.0</v>
      </c>
    </row>
    <row r="2192">
      <c r="A2192" s="217">
        <v>43307.61914061343</v>
      </c>
      <c r="B2192" s="218" t="s">
        <v>5092</v>
      </c>
      <c r="C2192" s="218" t="s">
        <v>6894</v>
      </c>
      <c r="D2192" s="219">
        <v>2.0</v>
      </c>
      <c r="E2192" s="24"/>
      <c r="G2192" s="220">
        <v>43307.0</v>
      </c>
    </row>
    <row r="2193">
      <c r="A2193" s="217">
        <v>43307.61989545139</v>
      </c>
      <c r="B2193" s="218" t="s">
        <v>5092</v>
      </c>
      <c r="C2193" s="218" t="s">
        <v>6895</v>
      </c>
      <c r="D2193" s="219">
        <v>2.0</v>
      </c>
      <c r="E2193" s="24"/>
      <c r="G2193" s="220">
        <v>43307.0</v>
      </c>
    </row>
    <row r="2194">
      <c r="A2194" s="217">
        <v>43307.631711967595</v>
      </c>
      <c r="B2194" s="218" t="s">
        <v>5092</v>
      </c>
      <c r="C2194" s="218" t="s">
        <v>1389</v>
      </c>
      <c r="D2194" s="219">
        <v>2.0</v>
      </c>
      <c r="E2194" s="24"/>
      <c r="G2194" s="220">
        <v>43307.0</v>
      </c>
    </row>
    <row r="2195">
      <c r="A2195" s="217">
        <v>43307.63234328704</v>
      </c>
      <c r="B2195" s="218" t="s">
        <v>5092</v>
      </c>
      <c r="C2195" s="218" t="s">
        <v>6896</v>
      </c>
      <c r="D2195" s="219">
        <v>2.0</v>
      </c>
      <c r="E2195" s="24"/>
      <c r="G2195" s="220">
        <v>43307.0</v>
      </c>
    </row>
    <row r="2196">
      <c r="A2196" s="217">
        <v>43307.63436998843</v>
      </c>
      <c r="B2196" s="218" t="s">
        <v>5092</v>
      </c>
      <c r="C2196" s="218" t="s">
        <v>6897</v>
      </c>
      <c r="D2196" s="219">
        <v>2.0</v>
      </c>
      <c r="E2196" s="24"/>
      <c r="G2196" s="220">
        <v>43307.0</v>
      </c>
    </row>
    <row r="2197">
      <c r="A2197" s="217">
        <v>43307.63491790509</v>
      </c>
      <c r="B2197" s="218" t="s">
        <v>5092</v>
      </c>
      <c r="C2197" s="218" t="s">
        <v>5868</v>
      </c>
      <c r="D2197" s="219">
        <v>2.0</v>
      </c>
      <c r="E2197" s="24"/>
      <c r="G2197" s="220">
        <v>43307.0</v>
      </c>
    </row>
    <row r="2198">
      <c r="A2198" s="217">
        <v>43307.635486354164</v>
      </c>
      <c r="B2198" s="218" t="s">
        <v>5092</v>
      </c>
      <c r="C2198" s="218" t="s">
        <v>1411</v>
      </c>
      <c r="D2198" s="219">
        <v>2.0</v>
      </c>
      <c r="E2198" s="24"/>
      <c r="G2198" s="220">
        <v>43307.0</v>
      </c>
    </row>
    <row r="2199">
      <c r="A2199" s="217">
        <v>43307.63800245371</v>
      </c>
      <c r="B2199" s="218" t="s">
        <v>5092</v>
      </c>
      <c r="C2199" s="218" t="s">
        <v>6899</v>
      </c>
      <c r="D2199" s="219">
        <v>2.0</v>
      </c>
      <c r="E2199" s="24"/>
      <c r="G2199" s="220">
        <v>43307.0</v>
      </c>
    </row>
    <row r="2200">
      <c r="A2200" s="217">
        <v>43307.63875126158</v>
      </c>
      <c r="B2200" s="218" t="s">
        <v>5092</v>
      </c>
      <c r="C2200" s="218" t="s">
        <v>727</v>
      </c>
      <c r="D2200" s="219">
        <v>2.0</v>
      </c>
      <c r="E2200" s="24"/>
      <c r="G2200" s="220">
        <v>43307.0</v>
      </c>
    </row>
    <row r="2201">
      <c r="A2201" s="217">
        <v>43307.63938306713</v>
      </c>
      <c r="B2201" s="218" t="s">
        <v>5092</v>
      </c>
      <c r="C2201" s="218" t="s">
        <v>6900</v>
      </c>
      <c r="D2201" s="219">
        <v>2.0</v>
      </c>
      <c r="E2201" s="24"/>
      <c r="G2201" s="220">
        <v>43307.0</v>
      </c>
    </row>
    <row r="2202">
      <c r="A2202" s="217">
        <v>43307.6399525</v>
      </c>
      <c r="B2202" s="218" t="s">
        <v>5092</v>
      </c>
      <c r="C2202" s="218" t="s">
        <v>6901</v>
      </c>
      <c r="D2202" s="219">
        <v>2.0</v>
      </c>
      <c r="E2202" s="24"/>
      <c r="G2202" s="220">
        <v>43307.0</v>
      </c>
    </row>
    <row r="2203">
      <c r="A2203" s="217">
        <v>43307.64073280092</v>
      </c>
      <c r="B2203" s="218" t="s">
        <v>5092</v>
      </c>
      <c r="C2203" s="218" t="s">
        <v>1384</v>
      </c>
      <c r="D2203" s="219">
        <v>2.0</v>
      </c>
      <c r="E2203" s="24"/>
      <c r="G2203" s="220">
        <v>43307.0</v>
      </c>
    </row>
    <row r="2204">
      <c r="A2204" s="217">
        <v>43307.641263136575</v>
      </c>
      <c r="B2204" s="218" t="s">
        <v>5092</v>
      </c>
      <c r="C2204" s="218" t="s">
        <v>6902</v>
      </c>
      <c r="D2204" s="219">
        <v>2.0</v>
      </c>
      <c r="E2204" s="24"/>
      <c r="G2204" s="220">
        <v>43307.0</v>
      </c>
    </row>
    <row r="2205">
      <c r="A2205" s="217">
        <v>43307.641961030095</v>
      </c>
      <c r="B2205" s="218" t="s">
        <v>5092</v>
      </c>
      <c r="C2205" s="218" t="s">
        <v>6903</v>
      </c>
      <c r="D2205" s="219">
        <v>2.0</v>
      </c>
      <c r="E2205" s="24"/>
      <c r="G2205" s="220">
        <v>43307.0</v>
      </c>
    </row>
    <row r="2206">
      <c r="A2206" s="217">
        <v>43307.64325059028</v>
      </c>
      <c r="B2206" s="218" t="s">
        <v>5092</v>
      </c>
      <c r="C2206" s="218" t="s">
        <v>5662</v>
      </c>
      <c r="D2206" s="219">
        <v>1.0</v>
      </c>
      <c r="E2206" s="24"/>
      <c r="G2206" s="220">
        <v>43307.0</v>
      </c>
    </row>
    <row r="2207">
      <c r="A2207" s="217">
        <v>43307.644102453705</v>
      </c>
      <c r="B2207" s="218" t="s">
        <v>5092</v>
      </c>
      <c r="C2207" s="218" t="s">
        <v>6904</v>
      </c>
      <c r="D2207" s="219">
        <v>2.0</v>
      </c>
      <c r="E2207" s="24"/>
      <c r="G2207" s="220">
        <v>43307.0</v>
      </c>
    </row>
    <row r="2208">
      <c r="A2208" s="217">
        <v>43307.645577557865</v>
      </c>
      <c r="B2208" s="218" t="s">
        <v>5092</v>
      </c>
      <c r="C2208" s="218" t="s">
        <v>6905</v>
      </c>
      <c r="D2208" s="219">
        <v>2.0</v>
      </c>
      <c r="E2208" s="24"/>
      <c r="G2208" s="220">
        <v>43307.0</v>
      </c>
    </row>
    <row r="2209">
      <c r="A2209" s="217">
        <v>43307.646782662036</v>
      </c>
      <c r="B2209" s="218" t="s">
        <v>5092</v>
      </c>
      <c r="C2209" s="218" t="s">
        <v>6906</v>
      </c>
      <c r="D2209" s="219">
        <v>2.0</v>
      </c>
      <c r="E2209" s="24"/>
      <c r="G2209" s="220">
        <v>43307.0</v>
      </c>
    </row>
    <row r="2210">
      <c r="A2210" s="217">
        <v>43307.656881284725</v>
      </c>
      <c r="B2210" s="218" t="s">
        <v>5092</v>
      </c>
      <c r="C2210" s="218" t="s">
        <v>6907</v>
      </c>
      <c r="D2210" s="219">
        <v>2.0</v>
      </c>
      <c r="E2210" s="24"/>
      <c r="G2210" s="220">
        <v>43307.0</v>
      </c>
    </row>
    <row r="2211">
      <c r="A2211" s="217">
        <v>43307.68706273148</v>
      </c>
      <c r="B2211" s="218" t="s">
        <v>5092</v>
      </c>
      <c r="C2211" s="218" t="s">
        <v>1338</v>
      </c>
      <c r="D2211" s="219">
        <v>2.0</v>
      </c>
      <c r="E2211" s="24"/>
      <c r="G2211" s="220">
        <v>43307.0</v>
      </c>
    </row>
    <row r="2212">
      <c r="A2212" s="217">
        <v>43307.68777568287</v>
      </c>
      <c r="B2212" s="218" t="s">
        <v>5092</v>
      </c>
      <c r="C2212" s="218" t="s">
        <v>6908</v>
      </c>
      <c r="D2212" s="219">
        <v>2.0</v>
      </c>
      <c r="E2212" s="24"/>
      <c r="G2212" s="220">
        <v>43307.0</v>
      </c>
    </row>
    <row r="2213">
      <c r="A2213" s="217">
        <v>43307.68881386574</v>
      </c>
      <c r="B2213" s="218" t="s">
        <v>5092</v>
      </c>
      <c r="C2213" s="218" t="s">
        <v>6909</v>
      </c>
      <c r="D2213" s="219">
        <v>2.0</v>
      </c>
      <c r="E2213" s="24"/>
      <c r="G2213" s="220">
        <v>43307.0</v>
      </c>
    </row>
    <row r="2214">
      <c r="A2214" s="217">
        <v>43307.68961585648</v>
      </c>
      <c r="B2214" s="218" t="s">
        <v>5092</v>
      </c>
      <c r="C2214" s="218" t="s">
        <v>6910</v>
      </c>
      <c r="D2214" s="219">
        <v>2.0</v>
      </c>
      <c r="E2214" s="24"/>
      <c r="G2214" s="220">
        <v>43307.0</v>
      </c>
    </row>
    <row r="2215">
      <c r="A2215" s="217">
        <v>43307.69026474537</v>
      </c>
      <c r="B2215" s="218" t="s">
        <v>5092</v>
      </c>
      <c r="C2215" s="218" t="s">
        <v>6911</v>
      </c>
      <c r="D2215" s="219">
        <v>2.0</v>
      </c>
      <c r="E2215" s="24"/>
      <c r="G2215" s="220">
        <v>43307.0</v>
      </c>
    </row>
    <row r="2216">
      <c r="A2216" s="217">
        <v>43307.69100944445</v>
      </c>
      <c r="B2216" s="218" t="s">
        <v>5092</v>
      </c>
      <c r="C2216" s="218" t="s">
        <v>6912</v>
      </c>
      <c r="D2216" s="219">
        <v>2.0</v>
      </c>
      <c r="E2216" s="24"/>
      <c r="G2216" s="220">
        <v>43307.0</v>
      </c>
    </row>
    <row r="2217">
      <c r="A2217" s="217">
        <v>43307.692104340276</v>
      </c>
      <c r="B2217" s="218" t="s">
        <v>5092</v>
      </c>
      <c r="C2217" s="218" t="s">
        <v>6913</v>
      </c>
      <c r="D2217" s="219">
        <v>2.0</v>
      </c>
      <c r="E2217" s="24"/>
      <c r="G2217" s="220">
        <v>43307.0</v>
      </c>
    </row>
    <row r="2218">
      <c r="A2218" s="217">
        <v>43307.69274358796</v>
      </c>
      <c r="B2218" s="218" t="s">
        <v>5092</v>
      </c>
      <c r="C2218" s="218" t="s">
        <v>6914</v>
      </c>
      <c r="D2218" s="219">
        <v>2.0</v>
      </c>
      <c r="E2218" s="24"/>
      <c r="G2218" s="220">
        <v>43307.0</v>
      </c>
    </row>
    <row r="2219">
      <c r="A2219" s="217">
        <v>43307.6968219213</v>
      </c>
      <c r="B2219" s="218" t="s">
        <v>5092</v>
      </c>
      <c r="C2219" s="218" t="s">
        <v>6915</v>
      </c>
      <c r="D2219" s="219">
        <v>2.0</v>
      </c>
      <c r="E2219" s="24"/>
      <c r="G2219" s="220">
        <v>43307.0</v>
      </c>
    </row>
    <row r="2220">
      <c r="A2220" s="217">
        <v>43307.6976125</v>
      </c>
      <c r="B2220" s="218" t="s">
        <v>5092</v>
      </c>
      <c r="C2220" s="218" t="s">
        <v>6916</v>
      </c>
      <c r="D2220" s="219">
        <v>2.0</v>
      </c>
      <c r="E2220" s="24"/>
      <c r="G2220" s="220">
        <v>43307.0</v>
      </c>
    </row>
    <row r="2221">
      <c r="A2221" s="217">
        <v>43307.698343344906</v>
      </c>
      <c r="B2221" s="218" t="s">
        <v>5092</v>
      </c>
      <c r="C2221" s="218" t="s">
        <v>6917</v>
      </c>
      <c r="D2221" s="219">
        <v>2.0</v>
      </c>
      <c r="E2221" s="24"/>
      <c r="G2221" s="220">
        <v>43307.0</v>
      </c>
    </row>
    <row r="2222">
      <c r="A2222" s="217">
        <v>43307.69888953704</v>
      </c>
      <c r="B2222" s="218" t="s">
        <v>5092</v>
      </c>
      <c r="C2222" s="218" t="s">
        <v>6918</v>
      </c>
      <c r="D2222" s="219">
        <v>1.0</v>
      </c>
      <c r="E2222" s="24"/>
      <c r="G2222" s="220">
        <v>43307.0</v>
      </c>
    </row>
    <row r="2223">
      <c r="A2223" s="217">
        <v>43307.69948747686</v>
      </c>
      <c r="B2223" s="218" t="s">
        <v>5092</v>
      </c>
      <c r="C2223" s="218" t="s">
        <v>6919</v>
      </c>
      <c r="D2223" s="219">
        <v>2.0</v>
      </c>
      <c r="E2223" s="24"/>
      <c r="G2223" s="220">
        <v>43307.0</v>
      </c>
    </row>
    <row r="2224">
      <c r="A2224" s="217">
        <v>43307.70010853009</v>
      </c>
      <c r="B2224" s="218" t="s">
        <v>5092</v>
      </c>
      <c r="C2224" s="218" t="s">
        <v>718</v>
      </c>
      <c r="D2224" s="219">
        <v>2.0</v>
      </c>
      <c r="E2224" s="24"/>
      <c r="G2224" s="220">
        <v>43307.0</v>
      </c>
    </row>
    <row r="2225">
      <c r="A2225" s="217">
        <v>43307.70066693287</v>
      </c>
      <c r="B2225" s="218" t="s">
        <v>5092</v>
      </c>
      <c r="C2225" s="218" t="s">
        <v>1470</v>
      </c>
      <c r="D2225" s="219">
        <v>2.0</v>
      </c>
      <c r="E2225" s="24"/>
      <c r="G2225" s="220">
        <v>43307.0</v>
      </c>
    </row>
    <row r="2226">
      <c r="A2226" s="217">
        <v>43307.70128787037</v>
      </c>
      <c r="B2226" s="218" t="s">
        <v>5092</v>
      </c>
      <c r="C2226" s="218" t="s">
        <v>6920</v>
      </c>
      <c r="D2226" s="219">
        <v>2.0</v>
      </c>
      <c r="E2226" s="24"/>
      <c r="G2226" s="220">
        <v>43307.0</v>
      </c>
    </row>
    <row r="2227">
      <c r="A2227" s="217">
        <v>43307.70285673611</v>
      </c>
      <c r="B2227" s="218" t="s">
        <v>5092</v>
      </c>
      <c r="C2227" s="218" t="s">
        <v>6921</v>
      </c>
      <c r="D2227" s="219">
        <v>2.0</v>
      </c>
      <c r="E2227" s="24"/>
      <c r="G2227" s="220">
        <v>43307.0</v>
      </c>
    </row>
    <row r="2228">
      <c r="A2228" s="217">
        <v>43308.5905637963</v>
      </c>
      <c r="B2228" s="218" t="s">
        <v>5184</v>
      </c>
      <c r="C2228" s="218" t="s">
        <v>5804</v>
      </c>
      <c r="D2228" s="219">
        <v>1.0</v>
      </c>
      <c r="E2228" s="218">
        <v>300.0</v>
      </c>
      <c r="F2228" s="3" t="s">
        <v>5787</v>
      </c>
      <c r="G2228" s="220">
        <v>43302.0</v>
      </c>
    </row>
    <row r="2229">
      <c r="A2229" s="217">
        <v>43308.59155842593</v>
      </c>
      <c r="B2229" s="218" t="s">
        <v>5184</v>
      </c>
      <c r="C2229" s="218" t="s">
        <v>6001</v>
      </c>
      <c r="D2229" s="219">
        <v>1.0</v>
      </c>
      <c r="E2229" s="218">
        <v>500.0</v>
      </c>
      <c r="F2229" s="3" t="s">
        <v>5787</v>
      </c>
      <c r="G2229" s="220">
        <v>43304.0</v>
      </c>
    </row>
    <row r="2230">
      <c r="A2230" s="217">
        <v>43308.59223519676</v>
      </c>
      <c r="B2230" s="218" t="s">
        <v>5184</v>
      </c>
      <c r="C2230" s="218" t="s">
        <v>6230</v>
      </c>
      <c r="D2230" s="219">
        <v>1.0</v>
      </c>
      <c r="E2230" s="218">
        <v>300.0</v>
      </c>
      <c r="G2230" s="220">
        <v>43304.0</v>
      </c>
    </row>
    <row r="2231">
      <c r="A2231" s="217">
        <v>43308.59290483796</v>
      </c>
      <c r="B2231" s="218" t="s">
        <v>5184</v>
      </c>
      <c r="C2231" s="218" t="s">
        <v>1789</v>
      </c>
      <c r="D2231" s="219">
        <v>1.0</v>
      </c>
      <c r="E2231" s="218">
        <v>800.0</v>
      </c>
      <c r="F2231" s="3" t="s">
        <v>5787</v>
      </c>
      <c r="G2231" s="220">
        <v>43304.0</v>
      </c>
    </row>
    <row r="2232">
      <c r="A2232" s="217">
        <v>43308.59369980324</v>
      </c>
      <c r="B2232" s="218" t="s">
        <v>5184</v>
      </c>
      <c r="C2232" s="218" t="s">
        <v>5804</v>
      </c>
      <c r="D2232" s="219">
        <v>1.0</v>
      </c>
      <c r="E2232" s="218">
        <v>300.0</v>
      </c>
      <c r="F2232" s="3" t="s">
        <v>5787</v>
      </c>
      <c r="G2232" s="220">
        <v>43304.0</v>
      </c>
    </row>
    <row r="2233">
      <c r="A2233" s="217">
        <v>43308.59466891203</v>
      </c>
      <c r="B2233" s="218" t="s">
        <v>5184</v>
      </c>
      <c r="C2233" s="218" t="s">
        <v>6001</v>
      </c>
      <c r="D2233" s="219">
        <v>1.0</v>
      </c>
      <c r="E2233" s="218">
        <v>300.0</v>
      </c>
      <c r="G2233" s="220">
        <v>43304.0</v>
      </c>
    </row>
    <row r="2234">
      <c r="A2234" s="217">
        <v>43308.59553476852</v>
      </c>
      <c r="B2234" s="218" t="s">
        <v>5184</v>
      </c>
      <c r="C2234" s="218" t="s">
        <v>5782</v>
      </c>
      <c r="D2234" s="219">
        <v>1.0</v>
      </c>
      <c r="E2234" s="218">
        <v>250.0</v>
      </c>
      <c r="F2234" s="3" t="s">
        <v>5787</v>
      </c>
      <c r="G2234" s="220">
        <v>43304.0</v>
      </c>
    </row>
    <row r="2235">
      <c r="A2235" s="217">
        <v>43308.5960825</v>
      </c>
      <c r="B2235" s="218" t="s">
        <v>5184</v>
      </c>
      <c r="C2235" s="218" t="s">
        <v>5845</v>
      </c>
      <c r="D2235" s="219">
        <v>1.0</v>
      </c>
      <c r="E2235" s="218">
        <v>250.0</v>
      </c>
      <c r="G2235" s="220">
        <v>43304.0</v>
      </c>
    </row>
    <row r="2236">
      <c r="A2236" s="217">
        <v>43308.59693528935</v>
      </c>
      <c r="B2236" s="218" t="s">
        <v>5184</v>
      </c>
      <c r="C2236" s="218" t="s">
        <v>5838</v>
      </c>
      <c r="D2236" s="219">
        <v>1.0</v>
      </c>
      <c r="E2236" s="218">
        <v>1800.0</v>
      </c>
      <c r="F2236" s="3" t="s">
        <v>5787</v>
      </c>
      <c r="G2236" s="220">
        <v>43305.0</v>
      </c>
    </row>
    <row r="2237">
      <c r="A2237" s="217">
        <v>43308.59768148148</v>
      </c>
      <c r="B2237" s="218" t="s">
        <v>5184</v>
      </c>
      <c r="C2237" s="218" t="s">
        <v>6001</v>
      </c>
      <c r="D2237" s="219">
        <v>1.0</v>
      </c>
      <c r="E2237" s="218">
        <v>500.0</v>
      </c>
      <c r="F2237" s="3" t="s">
        <v>5787</v>
      </c>
      <c r="G2237" s="220">
        <v>43305.0</v>
      </c>
    </row>
    <row r="2238">
      <c r="A2238" s="217">
        <v>43308.60026515047</v>
      </c>
      <c r="B2238" s="218" t="s">
        <v>5184</v>
      </c>
      <c r="C2238" s="218" t="s">
        <v>6038</v>
      </c>
      <c r="D2238" s="219">
        <v>1.0</v>
      </c>
      <c r="E2238" s="218">
        <v>300.0</v>
      </c>
      <c r="G2238" s="220">
        <v>43305.0</v>
      </c>
    </row>
    <row r="2239">
      <c r="A2239" s="217">
        <v>43308.60099576389</v>
      </c>
      <c r="B2239" s="218" t="s">
        <v>5184</v>
      </c>
      <c r="C2239" s="218" t="s">
        <v>6001</v>
      </c>
      <c r="D2239" s="219">
        <v>1.0</v>
      </c>
      <c r="E2239" s="218">
        <v>300.0</v>
      </c>
      <c r="F2239" s="3" t="s">
        <v>5787</v>
      </c>
      <c r="G2239" s="220">
        <v>43305.0</v>
      </c>
    </row>
    <row r="2240">
      <c r="A2240" s="217">
        <v>43308.60209446759</v>
      </c>
      <c r="B2240" s="218" t="s">
        <v>5184</v>
      </c>
      <c r="C2240" s="218" t="s">
        <v>6230</v>
      </c>
      <c r="D2240" s="219">
        <v>1.0</v>
      </c>
      <c r="E2240" s="218">
        <v>400.0</v>
      </c>
      <c r="G2240" s="220">
        <v>43306.0</v>
      </c>
    </row>
    <row r="2241">
      <c r="A2241" s="217">
        <v>43308.60542452546</v>
      </c>
      <c r="B2241" s="218" t="s">
        <v>5184</v>
      </c>
      <c r="C2241" s="218" t="s">
        <v>6230</v>
      </c>
      <c r="D2241" s="219">
        <v>1.0</v>
      </c>
      <c r="E2241" s="218">
        <v>400.0</v>
      </c>
      <c r="G2241" s="220">
        <v>43307.0</v>
      </c>
    </row>
    <row r="2242">
      <c r="A2242" s="217">
        <v>43308.606135925926</v>
      </c>
      <c r="B2242" s="218" t="s">
        <v>5184</v>
      </c>
      <c r="C2242" s="218" t="s">
        <v>5804</v>
      </c>
      <c r="D2242" s="219">
        <v>1.0</v>
      </c>
      <c r="E2242" s="218">
        <v>250.0</v>
      </c>
      <c r="F2242" s="3" t="s">
        <v>5787</v>
      </c>
      <c r="G2242" s="220">
        <v>43307.0</v>
      </c>
    </row>
    <row r="2243">
      <c r="A2243" s="217">
        <v>43308.62616337963</v>
      </c>
      <c r="B2243" s="218" t="s">
        <v>5184</v>
      </c>
      <c r="C2243" s="218" t="s">
        <v>6934</v>
      </c>
      <c r="D2243" s="219">
        <v>1.0</v>
      </c>
      <c r="E2243" s="218">
        <v>6490.0</v>
      </c>
      <c r="F2243" s="3" t="s">
        <v>5279</v>
      </c>
      <c r="G2243" s="220">
        <v>43304.0</v>
      </c>
    </row>
    <row r="2244">
      <c r="A2244" s="217">
        <v>43308.62783140046</v>
      </c>
      <c r="B2244" s="218" t="s">
        <v>5184</v>
      </c>
      <c r="C2244" s="218" t="s">
        <v>5452</v>
      </c>
      <c r="D2244" s="219">
        <v>1.0</v>
      </c>
      <c r="E2244" s="218">
        <v>4990.0</v>
      </c>
      <c r="G2244" s="220">
        <v>43304.0</v>
      </c>
    </row>
    <row r="2245">
      <c r="A2245" s="217">
        <v>43308.62915883102</v>
      </c>
      <c r="B2245" s="218" t="s">
        <v>5184</v>
      </c>
      <c r="C2245" s="218" t="s">
        <v>2101</v>
      </c>
      <c r="D2245" s="219">
        <v>1.0</v>
      </c>
      <c r="E2245" s="218">
        <v>3990.0</v>
      </c>
      <c r="G2245" s="220">
        <v>43304.0</v>
      </c>
    </row>
    <row r="2246">
      <c r="A2246" s="217">
        <v>43308.63000082176</v>
      </c>
      <c r="B2246" s="218" t="s">
        <v>5184</v>
      </c>
      <c r="C2246" s="218" t="s">
        <v>6388</v>
      </c>
      <c r="D2246" s="219">
        <v>1.0</v>
      </c>
      <c r="E2246" s="218">
        <v>5290.0</v>
      </c>
      <c r="G2246" s="220">
        <v>43304.0</v>
      </c>
    </row>
    <row r="2247">
      <c r="A2247" s="217">
        <v>43308.63090712963</v>
      </c>
      <c r="B2247" s="218" t="s">
        <v>5184</v>
      </c>
      <c r="C2247" s="218" t="s">
        <v>5440</v>
      </c>
      <c r="D2247" s="219">
        <v>1.0</v>
      </c>
      <c r="E2247" s="218">
        <v>3790.0</v>
      </c>
      <c r="G2247" s="220">
        <v>43304.0</v>
      </c>
    </row>
    <row r="2248">
      <c r="A2248" s="217">
        <v>43308.63201197916</v>
      </c>
      <c r="B2248" s="218" t="s">
        <v>5184</v>
      </c>
      <c r="C2248" s="218" t="s">
        <v>6765</v>
      </c>
      <c r="D2248" s="219">
        <v>1.0</v>
      </c>
      <c r="E2248" s="218">
        <v>5090.0</v>
      </c>
      <c r="G2248" s="220">
        <v>43305.0</v>
      </c>
    </row>
    <row r="2249">
      <c r="A2249" s="217">
        <v>43308.6329978125</v>
      </c>
      <c r="B2249" s="218" t="s">
        <v>5184</v>
      </c>
      <c r="C2249" s="218" t="s">
        <v>2089</v>
      </c>
      <c r="D2249" s="219">
        <v>1.0</v>
      </c>
      <c r="E2249" s="218">
        <v>13500.0</v>
      </c>
      <c r="F2249" s="3" t="s">
        <v>5212</v>
      </c>
      <c r="G2249" s="220">
        <v>43305.0</v>
      </c>
    </row>
    <row r="2250">
      <c r="A2250" s="217">
        <v>43308.633858078705</v>
      </c>
      <c r="B2250" s="218" t="s">
        <v>5184</v>
      </c>
      <c r="C2250" s="218" t="s">
        <v>5193</v>
      </c>
      <c r="D2250" s="219">
        <v>1.0</v>
      </c>
      <c r="E2250" s="218">
        <v>3390.0</v>
      </c>
      <c r="G2250" s="220">
        <v>43306.0</v>
      </c>
    </row>
    <row r="2251">
      <c r="A2251" s="217">
        <v>43308.63467422454</v>
      </c>
      <c r="B2251" s="218" t="s">
        <v>5184</v>
      </c>
      <c r="C2251" s="218" t="s">
        <v>6774</v>
      </c>
      <c r="D2251" s="219">
        <v>1.0</v>
      </c>
      <c r="E2251" s="218">
        <v>4290.0</v>
      </c>
      <c r="G2251" s="220">
        <v>43306.0</v>
      </c>
    </row>
    <row r="2252">
      <c r="A2252" s="217">
        <v>43308.63578512731</v>
      </c>
      <c r="B2252" s="218" t="s">
        <v>5184</v>
      </c>
      <c r="C2252" s="218" t="s">
        <v>6775</v>
      </c>
      <c r="D2252" s="219">
        <v>1.0</v>
      </c>
      <c r="E2252" s="218">
        <v>4290.0</v>
      </c>
      <c r="G2252" s="220">
        <v>43306.0</v>
      </c>
    </row>
    <row r="2253">
      <c r="A2253" s="217">
        <v>43308.64993568287</v>
      </c>
      <c r="B2253" s="218" t="s">
        <v>5184</v>
      </c>
      <c r="C2253" s="218" t="s">
        <v>5189</v>
      </c>
      <c r="D2253" s="219">
        <v>2.0</v>
      </c>
      <c r="E2253" s="218">
        <v>6990.0</v>
      </c>
      <c r="F2253" s="3" t="s">
        <v>5212</v>
      </c>
      <c r="G2253" s="220">
        <v>43307.0</v>
      </c>
    </row>
    <row r="2254">
      <c r="A2254" s="217">
        <v>43308.65222914352</v>
      </c>
      <c r="B2254" s="218" t="s">
        <v>5184</v>
      </c>
      <c r="C2254" s="218" t="s">
        <v>5187</v>
      </c>
      <c r="D2254" s="219">
        <v>1.0</v>
      </c>
      <c r="E2254" s="218">
        <v>8990.0</v>
      </c>
      <c r="G2254" s="220">
        <v>43307.0</v>
      </c>
    </row>
    <row r="2255">
      <c r="A2255" s="217">
        <v>43308.65347534722</v>
      </c>
      <c r="B2255" s="218" t="s">
        <v>5184</v>
      </c>
      <c r="C2255" s="218" t="s">
        <v>6682</v>
      </c>
      <c r="D2255" s="219">
        <v>1.0</v>
      </c>
      <c r="E2255" s="218">
        <v>5890.0</v>
      </c>
      <c r="G2255" s="220">
        <v>43307.0</v>
      </c>
    </row>
    <row r="2256">
      <c r="A2256" s="217">
        <v>43308.68762471065</v>
      </c>
      <c r="B2256" s="218" t="s">
        <v>5184</v>
      </c>
      <c r="C2256" s="218" t="s">
        <v>5563</v>
      </c>
      <c r="D2256" s="219">
        <v>1.0</v>
      </c>
      <c r="E2256" s="218">
        <v>1800.0</v>
      </c>
      <c r="F2256" s="3" t="s">
        <v>5787</v>
      </c>
      <c r="G2256" s="220">
        <v>43307.0</v>
      </c>
    </row>
    <row r="2257">
      <c r="A2257" s="217">
        <v>43316.69621765046</v>
      </c>
      <c r="B2257" s="218" t="s">
        <v>5184</v>
      </c>
      <c r="C2257" s="218" t="s">
        <v>5477</v>
      </c>
      <c r="D2257" s="219">
        <v>1.0</v>
      </c>
      <c r="E2257" s="218">
        <v>3290.0</v>
      </c>
      <c r="G2257" s="220">
        <v>43313.0</v>
      </c>
    </row>
    <row r="2258">
      <c r="A2258" s="217">
        <v>43316.70137440972</v>
      </c>
      <c r="B2258" s="218" t="s">
        <v>5184</v>
      </c>
      <c r="C2258" s="218" t="s">
        <v>6350</v>
      </c>
      <c r="D2258" s="219">
        <v>1.0</v>
      </c>
      <c r="E2258" s="24"/>
      <c r="G2258" s="220">
        <v>43314.0</v>
      </c>
    </row>
    <row r="2259">
      <c r="A2259" s="217">
        <v>43316.702903287034</v>
      </c>
      <c r="B2259" s="218" t="s">
        <v>2322</v>
      </c>
      <c r="C2259" s="218" t="s">
        <v>1915</v>
      </c>
      <c r="D2259" s="219">
        <v>1.0</v>
      </c>
      <c r="E2259" s="218">
        <v>4490.0</v>
      </c>
      <c r="G2259" s="220">
        <v>43315.0</v>
      </c>
    </row>
    <row r="2260">
      <c r="A2260" s="217">
        <v>43316.70886290509</v>
      </c>
      <c r="B2260" s="218" t="s">
        <v>5184</v>
      </c>
      <c r="C2260" s="218" t="s">
        <v>6941</v>
      </c>
      <c r="D2260" s="219">
        <v>1.0</v>
      </c>
      <c r="E2260" s="218">
        <v>5590.0</v>
      </c>
      <c r="G2260" s="220">
        <v>43314.0</v>
      </c>
    </row>
    <row r="2261">
      <c r="A2261" s="217">
        <v>43316.70969346065</v>
      </c>
      <c r="B2261" s="218" t="s">
        <v>5184</v>
      </c>
      <c r="C2261" s="218" t="s">
        <v>6942</v>
      </c>
      <c r="D2261" s="219">
        <v>1.0</v>
      </c>
      <c r="E2261" s="24"/>
      <c r="G2261" s="220">
        <v>43314.0</v>
      </c>
    </row>
    <row r="2262">
      <c r="A2262" s="217">
        <v>43316.71060114584</v>
      </c>
      <c r="B2262" s="218" t="s">
        <v>5184</v>
      </c>
      <c r="C2262" s="218" t="s">
        <v>6943</v>
      </c>
      <c r="D2262" s="219">
        <v>1.0</v>
      </c>
      <c r="E2262" s="218">
        <v>6190.0</v>
      </c>
      <c r="G2262" s="220">
        <v>43314.0</v>
      </c>
    </row>
    <row r="2263">
      <c r="A2263" s="217">
        <v>43316.711883807875</v>
      </c>
      <c r="B2263" s="218" t="s">
        <v>5184</v>
      </c>
      <c r="C2263" s="218" t="s">
        <v>6944</v>
      </c>
      <c r="D2263" s="219">
        <v>1.0</v>
      </c>
      <c r="E2263" s="218">
        <v>5590.0</v>
      </c>
      <c r="G2263" s="220">
        <v>43314.0</v>
      </c>
    </row>
    <row r="2264">
      <c r="A2264" s="217">
        <v>43316.71266680556</v>
      </c>
      <c r="B2264" s="218" t="s">
        <v>5184</v>
      </c>
      <c r="C2264" s="218" t="s">
        <v>5578</v>
      </c>
      <c r="D2264" s="219">
        <v>1.0</v>
      </c>
      <c r="E2264" s="218">
        <v>1800.0</v>
      </c>
      <c r="G2264" s="220">
        <v>43314.0</v>
      </c>
    </row>
    <row r="2265">
      <c r="A2265" s="217">
        <v>43316.71341603009</v>
      </c>
      <c r="B2265" s="218" t="s">
        <v>5184</v>
      </c>
      <c r="C2265" s="218" t="s">
        <v>6945</v>
      </c>
      <c r="D2265" s="219">
        <v>1.0</v>
      </c>
      <c r="E2265" s="218">
        <v>5790.0</v>
      </c>
      <c r="G2265" s="220">
        <v>43314.0</v>
      </c>
    </row>
    <row r="2266">
      <c r="A2266" s="217">
        <v>43316.71418105324</v>
      </c>
      <c r="B2266" s="218" t="s">
        <v>5184</v>
      </c>
      <c r="C2266" s="218" t="s">
        <v>6946</v>
      </c>
      <c r="D2266" s="219">
        <v>1.0</v>
      </c>
      <c r="E2266" s="218">
        <v>6390.0</v>
      </c>
      <c r="G2266" s="220">
        <v>43314.0</v>
      </c>
    </row>
    <row r="2267">
      <c r="A2267" s="217">
        <v>43316.75402172454</v>
      </c>
      <c r="B2267" s="218" t="s">
        <v>5184</v>
      </c>
      <c r="C2267" s="218" t="s">
        <v>707</v>
      </c>
      <c r="D2267" s="219">
        <v>1.0</v>
      </c>
      <c r="E2267" s="24"/>
      <c r="G2267" s="220">
        <v>43315.0</v>
      </c>
    </row>
    <row r="2268">
      <c r="A2268" s="217">
        <v>43316.7568084375</v>
      </c>
      <c r="B2268" s="218" t="s">
        <v>5184</v>
      </c>
      <c r="C2268" s="218" t="s">
        <v>2135</v>
      </c>
      <c r="D2268" s="219">
        <v>2.0</v>
      </c>
      <c r="E2268" s="218">
        <v>4290.0</v>
      </c>
      <c r="G2268" s="220">
        <v>43315.0</v>
      </c>
    </row>
    <row r="2269">
      <c r="A2269" s="217">
        <v>43317.524581562495</v>
      </c>
      <c r="B2269" s="218" t="s">
        <v>5184</v>
      </c>
      <c r="C2269" s="218" t="s">
        <v>5354</v>
      </c>
      <c r="D2269" s="219">
        <v>1.0</v>
      </c>
      <c r="E2269" s="218">
        <v>9565.0</v>
      </c>
      <c r="G2269" s="220">
        <v>43315.0</v>
      </c>
    </row>
    <row r="2270">
      <c r="A2270" s="217">
        <v>43317.525362430555</v>
      </c>
      <c r="B2270" s="218" t="s">
        <v>5184</v>
      </c>
      <c r="C2270" s="218" t="s">
        <v>708</v>
      </c>
      <c r="D2270" s="219">
        <v>1.0</v>
      </c>
      <c r="E2270" s="218">
        <v>1800.0</v>
      </c>
      <c r="F2270" s="3" t="s">
        <v>5787</v>
      </c>
      <c r="G2270" s="220">
        <v>43315.0</v>
      </c>
    </row>
    <row r="2271">
      <c r="A2271" s="217">
        <v>43317.53901865741</v>
      </c>
      <c r="B2271" s="218" t="s">
        <v>5184</v>
      </c>
      <c r="C2271" s="218" t="s">
        <v>6304</v>
      </c>
      <c r="D2271" s="219">
        <v>1.0</v>
      </c>
      <c r="E2271" s="218">
        <v>1000.0</v>
      </c>
      <c r="F2271" s="3" t="s">
        <v>5787</v>
      </c>
      <c r="G2271" s="220">
        <v>43308.0</v>
      </c>
    </row>
    <row r="2272">
      <c r="A2272" s="217">
        <v>43317.53963121527</v>
      </c>
      <c r="B2272" s="218" t="s">
        <v>5184</v>
      </c>
      <c r="C2272" s="218" t="s">
        <v>5786</v>
      </c>
      <c r="D2272" s="219">
        <v>1.0</v>
      </c>
      <c r="E2272" s="218">
        <v>300.0</v>
      </c>
      <c r="F2272" s="3" t="s">
        <v>5787</v>
      </c>
      <c r="G2272" s="220">
        <v>43308.0</v>
      </c>
    </row>
    <row r="2273">
      <c r="A2273" s="217">
        <v>43317.5415159375</v>
      </c>
      <c r="B2273" s="218" t="s">
        <v>5184</v>
      </c>
      <c r="C2273" s="218" t="s">
        <v>6053</v>
      </c>
      <c r="D2273" s="219">
        <v>1.0</v>
      </c>
      <c r="E2273" s="218">
        <v>300.0</v>
      </c>
      <c r="G2273" s="220">
        <v>43308.0</v>
      </c>
    </row>
    <row r="2274">
      <c r="A2274" s="217">
        <v>43317.54308307871</v>
      </c>
      <c r="B2274" s="218" t="s">
        <v>5184</v>
      </c>
      <c r="C2274" s="218" t="s">
        <v>5786</v>
      </c>
      <c r="D2274" s="219">
        <v>1.0</v>
      </c>
      <c r="E2274" s="218">
        <v>300.0</v>
      </c>
      <c r="G2274" s="220">
        <v>43309.0</v>
      </c>
    </row>
    <row r="2275">
      <c r="A2275" s="217">
        <v>43317.54406925926</v>
      </c>
      <c r="B2275" s="218" t="s">
        <v>5184</v>
      </c>
      <c r="C2275" s="218" t="s">
        <v>5786</v>
      </c>
      <c r="D2275" s="219">
        <v>1.0</v>
      </c>
      <c r="E2275" s="218">
        <v>400.0</v>
      </c>
      <c r="F2275" s="3" t="s">
        <v>5787</v>
      </c>
      <c r="G2275" s="220">
        <v>43309.0</v>
      </c>
    </row>
    <row r="2276">
      <c r="A2276" s="217">
        <v>43317.54479020833</v>
      </c>
      <c r="B2276" s="218" t="s">
        <v>5184</v>
      </c>
      <c r="C2276" s="218" t="s">
        <v>6053</v>
      </c>
      <c r="D2276" s="219">
        <v>1.0</v>
      </c>
      <c r="E2276" s="218">
        <v>300.0</v>
      </c>
      <c r="G2276" s="220">
        <v>43309.0</v>
      </c>
    </row>
    <row r="2277">
      <c r="A2277" s="217">
        <v>43317.545429756945</v>
      </c>
      <c r="B2277" s="218" t="s">
        <v>5184</v>
      </c>
      <c r="C2277" s="218" t="s">
        <v>6053</v>
      </c>
      <c r="D2277" s="219">
        <v>1.0</v>
      </c>
      <c r="E2277" s="218">
        <v>300.0</v>
      </c>
      <c r="G2277" s="220">
        <v>43309.0</v>
      </c>
    </row>
    <row r="2278">
      <c r="A2278" s="217">
        <v>43317.5471450926</v>
      </c>
      <c r="B2278" s="218" t="s">
        <v>5184</v>
      </c>
      <c r="C2278" s="218" t="s">
        <v>6001</v>
      </c>
      <c r="D2278" s="219">
        <v>1.0</v>
      </c>
      <c r="E2278" s="218">
        <v>500.0</v>
      </c>
      <c r="G2278" s="220">
        <v>43310.0</v>
      </c>
    </row>
    <row r="2279">
      <c r="A2279" s="217">
        <v>43317.55553532408</v>
      </c>
      <c r="B2279" s="218" t="s">
        <v>5184</v>
      </c>
      <c r="C2279" s="218" t="s">
        <v>5845</v>
      </c>
      <c r="D2279" s="219">
        <v>1.0</v>
      </c>
      <c r="E2279" s="218">
        <v>500.0</v>
      </c>
      <c r="F2279" s="3" t="s">
        <v>5787</v>
      </c>
      <c r="G2279" s="220">
        <v>43310.0</v>
      </c>
    </row>
    <row r="2280">
      <c r="A2280" s="217">
        <v>43317.55633723379</v>
      </c>
      <c r="B2280" s="218" t="s">
        <v>5184</v>
      </c>
      <c r="C2280" s="218" t="s">
        <v>5782</v>
      </c>
      <c r="D2280" s="219">
        <v>1.0</v>
      </c>
      <c r="E2280" s="218">
        <v>400.0</v>
      </c>
      <c r="F2280" s="3" t="s">
        <v>5787</v>
      </c>
      <c r="G2280" s="220">
        <v>43310.0</v>
      </c>
    </row>
    <row r="2281">
      <c r="A2281" s="217">
        <v>43317.55716232639</v>
      </c>
      <c r="B2281" s="218" t="s">
        <v>5184</v>
      </c>
      <c r="C2281" s="218" t="s">
        <v>5804</v>
      </c>
      <c r="D2281" s="219">
        <v>1.0</v>
      </c>
      <c r="E2281" s="218">
        <v>300.0</v>
      </c>
      <c r="F2281" s="3" t="s">
        <v>5787</v>
      </c>
      <c r="G2281" s="220">
        <v>43310.0</v>
      </c>
    </row>
    <row r="2282">
      <c r="A2282" s="217">
        <v>43317.55897922454</v>
      </c>
      <c r="B2282" s="218" t="s">
        <v>5184</v>
      </c>
      <c r="C2282" s="218" t="s">
        <v>5848</v>
      </c>
      <c r="D2282" s="219">
        <v>1.0</v>
      </c>
      <c r="E2282" s="218">
        <v>1000.0</v>
      </c>
      <c r="F2282" s="3" t="s">
        <v>5787</v>
      </c>
      <c r="G2282" s="220">
        <v>43311.0</v>
      </c>
    </row>
    <row r="2283">
      <c r="A2283" s="217">
        <v>43317.55992853009</v>
      </c>
      <c r="B2283" s="218" t="s">
        <v>5184</v>
      </c>
      <c r="C2283" s="218" t="s">
        <v>5786</v>
      </c>
      <c r="D2283" s="219">
        <v>1.0</v>
      </c>
      <c r="E2283" s="218">
        <v>300.0</v>
      </c>
      <c r="G2283" s="220">
        <v>43311.0</v>
      </c>
    </row>
    <row r="2284">
      <c r="A2284" s="217">
        <v>43317.56091233796</v>
      </c>
      <c r="B2284" s="218" t="s">
        <v>5184</v>
      </c>
      <c r="C2284" s="218" t="s">
        <v>5818</v>
      </c>
      <c r="D2284" s="219">
        <v>1.0</v>
      </c>
      <c r="E2284" s="218">
        <v>300.0</v>
      </c>
      <c r="F2284" s="3" t="s">
        <v>5787</v>
      </c>
      <c r="G2284" s="220">
        <v>43311.0</v>
      </c>
    </row>
    <row r="2285">
      <c r="A2285" s="217">
        <v>43317.56164871527</v>
      </c>
      <c r="B2285" s="218" t="s">
        <v>5184</v>
      </c>
      <c r="C2285" s="218" t="s">
        <v>6036</v>
      </c>
      <c r="D2285" s="219">
        <v>1.0</v>
      </c>
      <c r="E2285" s="218">
        <v>300.0</v>
      </c>
      <c r="G2285" s="220">
        <v>43311.0</v>
      </c>
    </row>
    <row r="2286">
      <c r="A2286" s="217">
        <v>43317.56231123843</v>
      </c>
      <c r="B2286" s="218" t="s">
        <v>5184</v>
      </c>
      <c r="C2286" s="218" t="s">
        <v>6053</v>
      </c>
      <c r="D2286" s="219">
        <v>1.0</v>
      </c>
      <c r="E2286" s="218">
        <v>300.0</v>
      </c>
      <c r="G2286" s="220">
        <v>43311.0</v>
      </c>
    </row>
    <row r="2287">
      <c r="A2287" s="217">
        <v>43317.56288849537</v>
      </c>
      <c r="B2287" s="218" t="s">
        <v>5184</v>
      </c>
      <c r="C2287" s="218" t="s">
        <v>6053</v>
      </c>
      <c r="D2287" s="219">
        <v>1.0</v>
      </c>
      <c r="E2287" s="218">
        <v>300.0</v>
      </c>
      <c r="G2287" s="220">
        <v>43311.0</v>
      </c>
    </row>
    <row r="2288">
      <c r="A2288" s="217">
        <v>43317.56359978009</v>
      </c>
      <c r="B2288" s="218" t="s">
        <v>5184</v>
      </c>
      <c r="C2288" s="218" t="s">
        <v>6053</v>
      </c>
      <c r="D2288" s="219">
        <v>1.0</v>
      </c>
      <c r="E2288" s="218">
        <v>300.0</v>
      </c>
      <c r="G2288" s="220">
        <v>43311.0</v>
      </c>
    </row>
    <row r="2289">
      <c r="A2289" s="217">
        <v>43317.56427415509</v>
      </c>
      <c r="B2289" s="218" t="s">
        <v>5184</v>
      </c>
      <c r="C2289" s="218" t="s">
        <v>6053</v>
      </c>
      <c r="D2289" s="219">
        <v>1.0</v>
      </c>
      <c r="E2289" s="218">
        <v>300.0</v>
      </c>
      <c r="G2289" s="220">
        <v>43311.0</v>
      </c>
    </row>
    <row r="2290">
      <c r="A2290" s="217">
        <v>43317.56543094908</v>
      </c>
      <c r="B2290" s="218" t="s">
        <v>5184</v>
      </c>
      <c r="C2290" s="218" t="s">
        <v>5786</v>
      </c>
      <c r="D2290" s="219">
        <v>1.0</v>
      </c>
      <c r="E2290" s="218">
        <v>300.0</v>
      </c>
      <c r="F2290" s="3" t="s">
        <v>5787</v>
      </c>
      <c r="G2290" s="220">
        <v>43311.0</v>
      </c>
    </row>
    <row r="2291">
      <c r="A2291" s="217">
        <v>43317.56657928241</v>
      </c>
      <c r="B2291" s="218" t="s">
        <v>5184</v>
      </c>
      <c r="C2291" s="218" t="s">
        <v>5976</v>
      </c>
      <c r="D2291" s="219">
        <v>1.0</v>
      </c>
      <c r="E2291" s="218">
        <v>400.0</v>
      </c>
      <c r="F2291" s="3" t="s">
        <v>5787</v>
      </c>
      <c r="G2291" s="220">
        <v>43311.0</v>
      </c>
    </row>
    <row r="2292">
      <c r="A2292" s="217">
        <v>43317.56831923611</v>
      </c>
      <c r="B2292" s="218" t="s">
        <v>5184</v>
      </c>
      <c r="C2292" s="218" t="s">
        <v>5976</v>
      </c>
      <c r="D2292" s="219">
        <v>1.0</v>
      </c>
      <c r="E2292" s="218">
        <v>400.0</v>
      </c>
      <c r="G2292" s="220">
        <v>43312.0</v>
      </c>
    </row>
    <row r="2293">
      <c r="A2293" s="217">
        <v>43317.569380347224</v>
      </c>
      <c r="B2293" s="218" t="s">
        <v>5184</v>
      </c>
      <c r="C2293" s="218" t="s">
        <v>5786</v>
      </c>
      <c r="D2293" s="219">
        <v>1.0</v>
      </c>
      <c r="E2293" s="218">
        <v>400.0</v>
      </c>
      <c r="G2293" s="220">
        <v>43312.0</v>
      </c>
    </row>
    <row r="2294">
      <c r="A2294" s="217">
        <v>43317.67259771991</v>
      </c>
      <c r="B2294" s="218" t="s">
        <v>5184</v>
      </c>
      <c r="C2294" s="218" t="s">
        <v>5818</v>
      </c>
      <c r="D2294" s="219">
        <v>1.0</v>
      </c>
      <c r="E2294" s="218">
        <v>300.0</v>
      </c>
      <c r="G2294" s="220">
        <v>43343.0</v>
      </c>
    </row>
    <row r="2295">
      <c r="A2295" s="217">
        <v>43319.43001109954</v>
      </c>
      <c r="B2295" s="218" t="s">
        <v>5184</v>
      </c>
      <c r="C2295" s="218" t="s">
        <v>5786</v>
      </c>
      <c r="D2295" s="219">
        <v>1.0</v>
      </c>
      <c r="E2295" s="218">
        <v>300.0</v>
      </c>
      <c r="G2295" s="220">
        <v>43312.0</v>
      </c>
    </row>
    <row r="2296">
      <c r="A2296" s="217">
        <v>43319.43068348379</v>
      </c>
      <c r="B2296" s="218" t="s">
        <v>5184</v>
      </c>
      <c r="C2296" s="218" t="s">
        <v>5818</v>
      </c>
      <c r="D2296" s="219">
        <v>1.0</v>
      </c>
      <c r="E2296" s="218">
        <v>400.0</v>
      </c>
      <c r="G2296" s="220">
        <v>43312.0</v>
      </c>
    </row>
    <row r="2297">
      <c r="A2297" s="217">
        <v>43319.43208623843</v>
      </c>
      <c r="B2297" s="218" t="s">
        <v>5184</v>
      </c>
      <c r="C2297" s="218" t="s">
        <v>5786</v>
      </c>
      <c r="D2297" s="219">
        <v>1.0</v>
      </c>
      <c r="E2297" s="218">
        <v>300.0</v>
      </c>
      <c r="G2297" s="220">
        <v>43312.0</v>
      </c>
    </row>
    <row r="2298">
      <c r="A2298" s="217">
        <v>43319.43268427083</v>
      </c>
      <c r="B2298" s="218" t="s">
        <v>5184</v>
      </c>
      <c r="C2298" s="218" t="s">
        <v>6053</v>
      </c>
      <c r="D2298" s="219">
        <v>1.0</v>
      </c>
      <c r="E2298" s="218">
        <v>300.0</v>
      </c>
      <c r="G2298" s="220">
        <v>43312.0</v>
      </c>
    </row>
    <row r="2299">
      <c r="A2299" s="217">
        <v>43319.435797812504</v>
      </c>
      <c r="B2299" s="218" t="s">
        <v>5184</v>
      </c>
      <c r="C2299" s="218" t="s">
        <v>6970</v>
      </c>
      <c r="D2299" s="219">
        <v>1.0</v>
      </c>
      <c r="E2299" s="218">
        <v>1000.0</v>
      </c>
      <c r="F2299" s="3" t="s">
        <v>5937</v>
      </c>
      <c r="G2299" s="220">
        <v>43313.0</v>
      </c>
    </row>
    <row r="2300">
      <c r="A2300" s="217">
        <v>43319.43775344908</v>
      </c>
      <c r="B2300" s="218" t="s">
        <v>5184</v>
      </c>
      <c r="C2300" s="218" t="s">
        <v>5976</v>
      </c>
      <c r="D2300" s="219">
        <v>1.0</v>
      </c>
      <c r="E2300" s="218">
        <v>400.0</v>
      </c>
      <c r="F2300" s="3" t="s">
        <v>5787</v>
      </c>
      <c r="G2300" s="220">
        <v>43314.0</v>
      </c>
    </row>
    <row r="2301">
      <c r="A2301" s="217">
        <v>43319.43852711805</v>
      </c>
      <c r="B2301" s="218" t="s">
        <v>5184</v>
      </c>
      <c r="C2301" s="218" t="s">
        <v>5786</v>
      </c>
      <c r="D2301" s="219">
        <v>1.0</v>
      </c>
      <c r="E2301" s="218">
        <v>400.0</v>
      </c>
      <c r="F2301" s="3" t="s">
        <v>5787</v>
      </c>
      <c r="G2301" s="220">
        <v>43314.0</v>
      </c>
    </row>
    <row r="2302">
      <c r="A2302" s="217">
        <v>43319.439214479164</v>
      </c>
      <c r="B2302" s="218" t="s">
        <v>5184</v>
      </c>
      <c r="C2302" s="218" t="s">
        <v>6036</v>
      </c>
      <c r="D2302" s="219">
        <v>1.0</v>
      </c>
      <c r="E2302" s="218">
        <v>300.0</v>
      </c>
      <c r="G2302" s="220">
        <v>43314.0</v>
      </c>
    </row>
    <row r="2303">
      <c r="A2303" s="217">
        <v>43319.43988476852</v>
      </c>
      <c r="B2303" s="218" t="s">
        <v>5184</v>
      </c>
      <c r="C2303" s="218" t="s">
        <v>6053</v>
      </c>
      <c r="D2303" s="219">
        <v>1.0</v>
      </c>
      <c r="E2303" s="218">
        <v>300.0</v>
      </c>
      <c r="G2303" s="220">
        <v>43314.0</v>
      </c>
    </row>
    <row r="2304">
      <c r="A2304" s="217">
        <v>43319.4429280787</v>
      </c>
      <c r="B2304" s="218" t="s">
        <v>5184</v>
      </c>
      <c r="C2304" s="218" t="s">
        <v>5818</v>
      </c>
      <c r="D2304" s="219">
        <v>1.0</v>
      </c>
      <c r="E2304" s="218">
        <v>300.0</v>
      </c>
      <c r="F2304" s="3" t="s">
        <v>5787</v>
      </c>
      <c r="G2304" s="220">
        <v>43315.0</v>
      </c>
    </row>
    <row r="2305">
      <c r="A2305" s="217">
        <v>43319.459109386575</v>
      </c>
      <c r="B2305" s="218" t="s">
        <v>5184</v>
      </c>
      <c r="C2305" s="218" t="s">
        <v>5818</v>
      </c>
      <c r="D2305" s="219">
        <v>1.0</v>
      </c>
      <c r="E2305" s="218">
        <v>300.0</v>
      </c>
      <c r="F2305" s="3" t="s">
        <v>5787</v>
      </c>
      <c r="G2305" s="220">
        <v>43315.0</v>
      </c>
    </row>
    <row r="2306">
      <c r="A2306" s="217">
        <v>43319.46687423611</v>
      </c>
      <c r="B2306" s="218" t="s">
        <v>5184</v>
      </c>
      <c r="C2306" s="218" t="s">
        <v>5804</v>
      </c>
      <c r="D2306" s="219">
        <v>1.0</v>
      </c>
      <c r="E2306" s="218">
        <v>300.0</v>
      </c>
      <c r="F2306" s="3" t="s">
        <v>5787</v>
      </c>
      <c r="G2306" s="220">
        <v>43315.0</v>
      </c>
    </row>
    <row r="2307">
      <c r="A2307" s="217">
        <v>43319.46785703704</v>
      </c>
      <c r="B2307" s="218" t="s">
        <v>5184</v>
      </c>
      <c r="C2307" s="218" t="s">
        <v>6001</v>
      </c>
      <c r="D2307" s="219">
        <v>1.0</v>
      </c>
      <c r="E2307" s="218">
        <v>400.0</v>
      </c>
      <c r="F2307" s="3" t="s">
        <v>5787</v>
      </c>
      <c r="G2307" s="220">
        <v>43315.0</v>
      </c>
    </row>
    <row r="2308">
      <c r="A2308" s="217">
        <v>43319.468847638884</v>
      </c>
      <c r="B2308" s="218" t="s">
        <v>5184</v>
      </c>
      <c r="C2308" s="218" t="s">
        <v>6975</v>
      </c>
      <c r="D2308" s="219">
        <v>1.0</v>
      </c>
      <c r="E2308" s="218">
        <v>250.0</v>
      </c>
      <c r="G2308" s="220">
        <v>43315.0</v>
      </c>
    </row>
    <row r="2309">
      <c r="A2309" s="217">
        <v>43319.47004256945</v>
      </c>
      <c r="B2309" s="218" t="s">
        <v>5184</v>
      </c>
      <c r="C2309" s="218" t="s">
        <v>6001</v>
      </c>
      <c r="D2309" s="219">
        <v>1.0</v>
      </c>
      <c r="E2309" s="218">
        <v>500.0</v>
      </c>
      <c r="F2309" s="3" t="s">
        <v>5787</v>
      </c>
      <c r="G2309" s="220">
        <v>43315.0</v>
      </c>
    </row>
    <row r="2310">
      <c r="A2310" s="217">
        <v>43319.4708133449</v>
      </c>
      <c r="B2310" s="218" t="s">
        <v>5184</v>
      </c>
      <c r="C2310" s="218" t="s">
        <v>6036</v>
      </c>
      <c r="D2310" s="219">
        <v>1.0</v>
      </c>
      <c r="E2310" s="218">
        <v>300.0</v>
      </c>
      <c r="G2310" s="220">
        <v>43315.0</v>
      </c>
    </row>
    <row r="2311">
      <c r="A2311" s="217">
        <v>43319.47203967592</v>
      </c>
      <c r="B2311" s="218" t="s">
        <v>5184</v>
      </c>
      <c r="C2311" s="218" t="s">
        <v>5786</v>
      </c>
      <c r="D2311" s="219">
        <v>1.0</v>
      </c>
      <c r="E2311" s="218">
        <v>300.0</v>
      </c>
      <c r="F2311" s="3" t="s">
        <v>5787</v>
      </c>
      <c r="G2311" s="220">
        <v>43315.0</v>
      </c>
    </row>
    <row r="2312">
      <c r="A2312" s="217">
        <v>43319.47311358796</v>
      </c>
      <c r="B2312" s="218" t="s">
        <v>5184</v>
      </c>
      <c r="C2312" s="218" t="s">
        <v>5818</v>
      </c>
      <c r="D2312" s="219">
        <v>1.0</v>
      </c>
      <c r="E2312" s="218">
        <v>300.0</v>
      </c>
      <c r="F2312" s="3" t="s">
        <v>5787</v>
      </c>
      <c r="G2312" s="220">
        <v>43316.0</v>
      </c>
    </row>
    <row r="2313">
      <c r="A2313" s="217">
        <v>43319.47506712963</v>
      </c>
      <c r="B2313" s="218" t="s">
        <v>5184</v>
      </c>
      <c r="C2313" s="218" t="s">
        <v>5786</v>
      </c>
      <c r="D2313" s="219">
        <v>1.0</v>
      </c>
      <c r="E2313" s="218">
        <v>300.0</v>
      </c>
      <c r="F2313" s="3" t="s">
        <v>5787</v>
      </c>
      <c r="G2313" s="220">
        <v>43316.0</v>
      </c>
    </row>
    <row r="2314">
      <c r="A2314" s="217">
        <v>43319.47575408565</v>
      </c>
      <c r="B2314" s="218" t="s">
        <v>5184</v>
      </c>
      <c r="C2314" s="218" t="s">
        <v>2545</v>
      </c>
      <c r="D2314" s="219">
        <v>1.0</v>
      </c>
      <c r="E2314" s="218">
        <v>200.0</v>
      </c>
      <c r="G2314" s="220">
        <v>43316.0</v>
      </c>
    </row>
    <row r="2315">
      <c r="A2315" s="217">
        <v>43319.476635983796</v>
      </c>
      <c r="B2315" s="218" t="s">
        <v>5184</v>
      </c>
      <c r="C2315" s="218" t="s">
        <v>2545</v>
      </c>
      <c r="D2315" s="219">
        <v>1.0</v>
      </c>
      <c r="E2315" s="218">
        <v>200.0</v>
      </c>
      <c r="G2315" s="220">
        <v>43316.0</v>
      </c>
    </row>
    <row r="2316">
      <c r="A2316" s="217">
        <v>43319.47736127315</v>
      </c>
      <c r="B2316" s="218" t="s">
        <v>5184</v>
      </c>
      <c r="C2316" s="218" t="s">
        <v>5786</v>
      </c>
      <c r="D2316" s="219">
        <v>1.0</v>
      </c>
      <c r="E2316" s="218">
        <v>300.0</v>
      </c>
      <c r="F2316" s="3" t="s">
        <v>5787</v>
      </c>
      <c r="G2316" s="220">
        <v>43316.0</v>
      </c>
    </row>
    <row r="2317">
      <c r="A2317" s="217">
        <v>43319.47891457176</v>
      </c>
      <c r="B2317" s="218" t="s">
        <v>5184</v>
      </c>
      <c r="C2317" s="218" t="s">
        <v>5804</v>
      </c>
      <c r="D2317" s="219">
        <v>1.0</v>
      </c>
      <c r="E2317" s="218">
        <v>400.0</v>
      </c>
      <c r="F2317" s="3" t="s">
        <v>5787</v>
      </c>
      <c r="G2317" s="220">
        <v>43316.0</v>
      </c>
    </row>
    <row r="2318">
      <c r="A2318" s="217">
        <v>43319.479741250005</v>
      </c>
      <c r="B2318" s="218" t="s">
        <v>5184</v>
      </c>
      <c r="C2318" s="218" t="s">
        <v>6001</v>
      </c>
      <c r="D2318" s="219">
        <v>1.0</v>
      </c>
      <c r="E2318" s="218">
        <v>500.0</v>
      </c>
      <c r="F2318" s="3" t="s">
        <v>5937</v>
      </c>
      <c r="G2318" s="220">
        <v>43316.0</v>
      </c>
    </row>
    <row r="2319">
      <c r="A2319" s="217">
        <v>43319.4816752662</v>
      </c>
      <c r="B2319" s="218" t="s">
        <v>5184</v>
      </c>
      <c r="C2319" s="218" t="s">
        <v>6117</v>
      </c>
      <c r="D2319" s="219">
        <v>1.0</v>
      </c>
      <c r="E2319" s="218">
        <v>1000.0</v>
      </c>
      <c r="F2319" s="3" t="s">
        <v>5787</v>
      </c>
      <c r="G2319" s="220">
        <v>43316.0</v>
      </c>
    </row>
    <row r="2320">
      <c r="A2320" s="217">
        <v>43319.4824469213</v>
      </c>
      <c r="B2320" s="218" t="s">
        <v>5184</v>
      </c>
      <c r="C2320" s="218" t="s">
        <v>5786</v>
      </c>
      <c r="D2320" s="219">
        <v>1.0</v>
      </c>
      <c r="E2320" s="218">
        <v>400.0</v>
      </c>
      <c r="G2320" s="220">
        <v>43316.0</v>
      </c>
    </row>
    <row r="2321">
      <c r="A2321" s="217">
        <v>43319.48819172454</v>
      </c>
      <c r="B2321" s="218" t="s">
        <v>5184</v>
      </c>
      <c r="C2321" s="218" t="s">
        <v>6987</v>
      </c>
      <c r="D2321" s="219">
        <v>1.0</v>
      </c>
      <c r="E2321" s="218">
        <v>300.0</v>
      </c>
      <c r="G2321" s="220">
        <v>43316.0</v>
      </c>
    </row>
    <row r="2322">
      <c r="A2322" s="217">
        <v>43319.488931678236</v>
      </c>
      <c r="B2322" s="218" t="s">
        <v>5184</v>
      </c>
      <c r="C2322" s="218" t="s">
        <v>5845</v>
      </c>
      <c r="D2322" s="219">
        <v>1.0</v>
      </c>
      <c r="E2322" s="218">
        <v>500.0</v>
      </c>
      <c r="F2322" s="3" t="s">
        <v>5787</v>
      </c>
      <c r="G2322" s="220">
        <v>43316.0</v>
      </c>
    </row>
    <row r="2323">
      <c r="A2323" s="217">
        <v>43319.489861724534</v>
      </c>
      <c r="B2323" s="218" t="s">
        <v>5184</v>
      </c>
      <c r="C2323" s="218" t="s">
        <v>6053</v>
      </c>
      <c r="D2323" s="219">
        <v>1.0</v>
      </c>
      <c r="E2323" s="218">
        <v>300.0</v>
      </c>
      <c r="G2323" s="220">
        <v>43316.0</v>
      </c>
    </row>
    <row r="2324">
      <c r="A2324" s="217">
        <v>43319.490693368054</v>
      </c>
      <c r="B2324" s="218" t="s">
        <v>5184</v>
      </c>
      <c r="C2324" s="218" t="s">
        <v>284</v>
      </c>
      <c r="D2324" s="219">
        <v>1.0</v>
      </c>
      <c r="E2324" s="218">
        <v>400.0</v>
      </c>
      <c r="F2324" s="3" t="s">
        <v>5787</v>
      </c>
      <c r="G2324" s="220">
        <v>43316.0</v>
      </c>
    </row>
    <row r="2325">
      <c r="A2325" s="217">
        <v>43319.49157479167</v>
      </c>
      <c r="B2325" s="218" t="s">
        <v>5184</v>
      </c>
      <c r="C2325" s="218" t="s">
        <v>6991</v>
      </c>
      <c r="D2325" s="219">
        <v>2.0</v>
      </c>
      <c r="E2325" s="218">
        <v>2400.0</v>
      </c>
      <c r="G2325" s="220">
        <v>43316.0</v>
      </c>
    </row>
    <row r="2326">
      <c r="A2326" s="217">
        <v>43319.49212621528</v>
      </c>
      <c r="B2326" s="218" t="s">
        <v>5184</v>
      </c>
      <c r="C2326" s="218" t="s">
        <v>5818</v>
      </c>
      <c r="D2326" s="219">
        <v>1.0</v>
      </c>
      <c r="E2326" s="218">
        <v>300.0</v>
      </c>
      <c r="F2326" s="3" t="s">
        <v>5787</v>
      </c>
      <c r="G2326" s="220">
        <v>43316.0</v>
      </c>
    </row>
    <row r="2327">
      <c r="A2327" s="217">
        <v>43325.50325834491</v>
      </c>
      <c r="B2327" s="218" t="s">
        <v>5184</v>
      </c>
      <c r="C2327" s="218" t="s">
        <v>5483</v>
      </c>
      <c r="D2327" s="219">
        <v>1.0</v>
      </c>
      <c r="E2327" s="218">
        <v>3490.0</v>
      </c>
      <c r="G2327" s="220">
        <v>43322.0</v>
      </c>
    </row>
    <row r="2328">
      <c r="A2328" s="217">
        <v>43325.50406452546</v>
      </c>
      <c r="B2328" s="218" t="s">
        <v>5184</v>
      </c>
      <c r="C2328" s="218" t="s">
        <v>6315</v>
      </c>
      <c r="D2328" s="219">
        <v>1.0</v>
      </c>
      <c r="E2328" s="218">
        <v>3990.0</v>
      </c>
      <c r="G2328" s="220">
        <v>43322.0</v>
      </c>
    </row>
    <row r="2329">
      <c r="A2329" s="217">
        <v>43325.50470045139</v>
      </c>
      <c r="B2329" s="218" t="s">
        <v>5184</v>
      </c>
      <c r="C2329" s="218" t="s">
        <v>5415</v>
      </c>
      <c r="D2329" s="219">
        <v>1.0</v>
      </c>
      <c r="E2329" s="218">
        <v>4990.0</v>
      </c>
      <c r="G2329" s="220">
        <v>43322.0</v>
      </c>
    </row>
    <row r="2330">
      <c r="A2330" s="217">
        <v>43325.50529758102</v>
      </c>
      <c r="B2330" s="218" t="s">
        <v>5184</v>
      </c>
      <c r="C2330" s="218" t="s">
        <v>6994</v>
      </c>
      <c r="D2330" s="219">
        <v>1.0</v>
      </c>
      <c r="E2330" s="218">
        <v>1800.0</v>
      </c>
      <c r="G2330" s="220">
        <v>43322.0</v>
      </c>
    </row>
    <row r="2331">
      <c r="A2331" s="217">
        <v>43325.5060446875</v>
      </c>
      <c r="B2331" s="218" t="s">
        <v>5184</v>
      </c>
      <c r="C2331" s="218" t="s">
        <v>6185</v>
      </c>
      <c r="D2331" s="219">
        <v>1.0</v>
      </c>
      <c r="E2331" s="218">
        <v>5490.0</v>
      </c>
      <c r="G2331" s="220">
        <v>43323.0</v>
      </c>
    </row>
    <row r="2332">
      <c r="A2332" s="217">
        <v>43325.506855381944</v>
      </c>
      <c r="B2332" s="218" t="s">
        <v>5184</v>
      </c>
      <c r="C2332" s="218" t="s">
        <v>1725</v>
      </c>
      <c r="D2332" s="219">
        <v>1.0</v>
      </c>
      <c r="E2332" s="218">
        <v>8790.0</v>
      </c>
      <c r="G2332" s="220">
        <v>43325.0</v>
      </c>
    </row>
    <row r="2333">
      <c r="A2333" s="217">
        <v>43325.507468888885</v>
      </c>
      <c r="B2333" s="218" t="s">
        <v>5184</v>
      </c>
      <c r="C2333" s="218" t="s">
        <v>1727</v>
      </c>
      <c r="D2333" s="219">
        <v>1.0</v>
      </c>
      <c r="E2333" s="218">
        <v>8790.0</v>
      </c>
      <c r="G2333" s="220">
        <v>43325.0</v>
      </c>
    </row>
    <row r="2334">
      <c r="A2334" s="217">
        <v>43325.508818449074</v>
      </c>
      <c r="B2334" s="218" t="s">
        <v>5184</v>
      </c>
      <c r="C2334" s="218" t="s">
        <v>6185</v>
      </c>
      <c r="D2334" s="219">
        <v>1.0</v>
      </c>
      <c r="E2334" s="218">
        <v>5490.0</v>
      </c>
      <c r="G2334" s="220">
        <v>43325.0</v>
      </c>
    </row>
    <row r="2335">
      <c r="A2335" s="217">
        <v>43325.51379486111</v>
      </c>
      <c r="B2335" s="218" t="s">
        <v>2322</v>
      </c>
      <c r="C2335" s="218" t="s">
        <v>5375</v>
      </c>
      <c r="D2335" s="219">
        <v>1.0</v>
      </c>
      <c r="E2335" s="218">
        <v>9000.0</v>
      </c>
      <c r="G2335" s="220">
        <v>43322.0</v>
      </c>
    </row>
    <row r="2336">
      <c r="A2336" s="217">
        <v>43325.515099375</v>
      </c>
      <c r="B2336" s="218" t="s">
        <v>2322</v>
      </c>
      <c r="C2336" s="218" t="s">
        <v>6838</v>
      </c>
      <c r="D2336" s="219">
        <v>1.0</v>
      </c>
      <c r="E2336" s="218">
        <v>4790.0</v>
      </c>
      <c r="G2336" s="220">
        <v>43322.0</v>
      </c>
    </row>
    <row r="2337">
      <c r="A2337" s="217">
        <v>43325.516393564816</v>
      </c>
      <c r="B2337" s="218" t="s">
        <v>2322</v>
      </c>
      <c r="C2337" s="218" t="s">
        <v>1908</v>
      </c>
      <c r="D2337" s="219">
        <v>1.0</v>
      </c>
      <c r="E2337" s="218">
        <v>5090.0</v>
      </c>
      <c r="G2337" s="220">
        <v>43322.0</v>
      </c>
    </row>
    <row r="2338">
      <c r="A2338" s="217">
        <v>43325.51778297454</v>
      </c>
      <c r="B2338" s="218" t="s">
        <v>2322</v>
      </c>
      <c r="C2338" s="218" t="s">
        <v>1918</v>
      </c>
      <c r="D2338" s="219">
        <v>1.0</v>
      </c>
      <c r="E2338" s="218">
        <v>3990.0</v>
      </c>
      <c r="G2338" s="220">
        <v>43322.0</v>
      </c>
    </row>
    <row r="2339">
      <c r="A2339" s="217">
        <v>43325.51914643518</v>
      </c>
      <c r="B2339" s="218" t="s">
        <v>5184</v>
      </c>
      <c r="C2339" s="218" t="s">
        <v>4510</v>
      </c>
      <c r="D2339" s="219">
        <v>1.0</v>
      </c>
      <c r="E2339" s="218">
        <v>1950.0</v>
      </c>
      <c r="G2339" s="220">
        <v>43316.0</v>
      </c>
    </row>
    <row r="2340">
      <c r="A2340" s="217">
        <v>43325.5205560301</v>
      </c>
      <c r="B2340" s="218" t="s">
        <v>5184</v>
      </c>
      <c r="C2340" s="218" t="s">
        <v>5196</v>
      </c>
      <c r="D2340" s="219">
        <v>1.0</v>
      </c>
      <c r="E2340" s="218">
        <v>4290.0</v>
      </c>
      <c r="G2340" s="220">
        <v>43320.0</v>
      </c>
    </row>
    <row r="2341">
      <c r="A2341" s="217">
        <v>43325.52220600694</v>
      </c>
      <c r="B2341" s="218" t="s">
        <v>5184</v>
      </c>
      <c r="C2341" s="218" t="s">
        <v>4532</v>
      </c>
      <c r="D2341" s="219">
        <v>1.0</v>
      </c>
      <c r="E2341" s="218">
        <v>1295.0</v>
      </c>
      <c r="G2341" s="220">
        <v>43323.0</v>
      </c>
    </row>
    <row r="2342">
      <c r="A2342" s="217">
        <v>43325.525901493056</v>
      </c>
      <c r="B2342" s="218" t="s">
        <v>5184</v>
      </c>
      <c r="C2342" s="218" t="s">
        <v>6120</v>
      </c>
      <c r="D2342" s="219">
        <v>2.0</v>
      </c>
      <c r="E2342" s="218">
        <v>300.0</v>
      </c>
      <c r="G2342" s="220">
        <v>43316.0</v>
      </c>
    </row>
    <row r="2343">
      <c r="A2343" s="217">
        <v>43325.52644003472</v>
      </c>
      <c r="B2343" s="218" t="s">
        <v>5184</v>
      </c>
      <c r="C2343" s="218" t="s">
        <v>6001</v>
      </c>
      <c r="D2343" s="219">
        <v>1.0</v>
      </c>
      <c r="E2343" s="218">
        <v>500.0</v>
      </c>
      <c r="G2343" s="220">
        <v>43316.0</v>
      </c>
    </row>
    <row r="2344">
      <c r="A2344" s="217">
        <v>43325.530068576394</v>
      </c>
      <c r="B2344" s="218" t="s">
        <v>5184</v>
      </c>
      <c r="C2344" s="218" t="s">
        <v>7002</v>
      </c>
      <c r="D2344" s="219">
        <v>1.0</v>
      </c>
      <c r="E2344" s="218">
        <v>200.0</v>
      </c>
      <c r="G2344" s="220">
        <v>43317.0</v>
      </c>
    </row>
    <row r="2345">
      <c r="A2345" s="217">
        <v>43325.53060778935</v>
      </c>
      <c r="B2345" s="218" t="s">
        <v>5184</v>
      </c>
      <c r="C2345" s="218" t="s">
        <v>6001</v>
      </c>
      <c r="D2345" s="219">
        <v>1.0</v>
      </c>
      <c r="E2345" s="218">
        <v>500.0</v>
      </c>
      <c r="G2345" s="220">
        <v>43317.0</v>
      </c>
    </row>
    <row r="2346">
      <c r="A2346" s="217">
        <v>43325.53133224537</v>
      </c>
      <c r="B2346" s="218" t="s">
        <v>5184</v>
      </c>
      <c r="C2346" s="218" t="s">
        <v>6975</v>
      </c>
      <c r="D2346" s="219">
        <v>1.0</v>
      </c>
      <c r="E2346" s="218">
        <v>1400.0</v>
      </c>
      <c r="G2346" s="220">
        <v>43318.0</v>
      </c>
    </row>
    <row r="2347">
      <c r="A2347" s="217">
        <v>43325.53196190972</v>
      </c>
      <c r="B2347" s="218" t="s">
        <v>5184</v>
      </c>
      <c r="C2347" s="218" t="s">
        <v>6001</v>
      </c>
      <c r="D2347" s="219">
        <v>1.0</v>
      </c>
      <c r="E2347" s="218">
        <v>400.0</v>
      </c>
      <c r="G2347" s="220">
        <v>43318.0</v>
      </c>
    </row>
    <row r="2348">
      <c r="A2348" s="217">
        <v>43325.532540451386</v>
      </c>
      <c r="B2348" s="218" t="s">
        <v>5184</v>
      </c>
      <c r="C2348" s="218" t="s">
        <v>5845</v>
      </c>
      <c r="D2348" s="219">
        <v>1.0</v>
      </c>
      <c r="E2348" s="218">
        <v>500.0</v>
      </c>
      <c r="G2348" s="220">
        <v>43318.0</v>
      </c>
    </row>
    <row r="2349">
      <c r="A2349" s="217">
        <v>43325.53297907407</v>
      </c>
      <c r="B2349" s="218" t="s">
        <v>5184</v>
      </c>
      <c r="C2349" s="218" t="s">
        <v>6053</v>
      </c>
      <c r="D2349" s="219">
        <v>1.0</v>
      </c>
      <c r="E2349" s="218">
        <v>300.0</v>
      </c>
      <c r="G2349" s="220">
        <v>43318.0</v>
      </c>
    </row>
    <row r="2350">
      <c r="A2350" s="217">
        <v>43325.53335810185</v>
      </c>
      <c r="B2350" s="218" t="s">
        <v>5184</v>
      </c>
      <c r="C2350" s="218" t="s">
        <v>6053</v>
      </c>
      <c r="D2350" s="219">
        <v>1.0</v>
      </c>
      <c r="E2350" s="218">
        <v>300.0</v>
      </c>
      <c r="G2350" s="220">
        <v>43318.0</v>
      </c>
    </row>
    <row r="2351">
      <c r="A2351" s="217">
        <v>43325.533998645835</v>
      </c>
      <c r="B2351" s="218" t="s">
        <v>5184</v>
      </c>
      <c r="C2351" s="218" t="s">
        <v>6001</v>
      </c>
      <c r="D2351" s="219">
        <v>1.0</v>
      </c>
      <c r="E2351" s="218">
        <v>400.0</v>
      </c>
      <c r="G2351" s="220">
        <v>43318.0</v>
      </c>
    </row>
    <row r="2352">
      <c r="A2352" s="217">
        <v>43325.53467809028</v>
      </c>
      <c r="B2352" s="218" t="s">
        <v>5184</v>
      </c>
      <c r="C2352" s="218" t="s">
        <v>7007</v>
      </c>
      <c r="D2352" s="219">
        <v>1.0</v>
      </c>
      <c r="E2352" s="218">
        <v>2000.0</v>
      </c>
      <c r="G2352" s="220">
        <v>43319.0</v>
      </c>
    </row>
    <row r="2353">
      <c r="A2353" s="217">
        <v>43325.53594957176</v>
      </c>
      <c r="B2353" s="218" t="s">
        <v>5184</v>
      </c>
      <c r="C2353" s="218" t="s">
        <v>6975</v>
      </c>
      <c r="D2353" s="219">
        <v>1.0</v>
      </c>
      <c r="E2353" s="218">
        <v>1400.0</v>
      </c>
      <c r="G2353" s="220">
        <v>43319.0</v>
      </c>
    </row>
    <row r="2354">
      <c r="A2354" s="217">
        <v>43325.53657265047</v>
      </c>
      <c r="B2354" s="218" t="s">
        <v>5184</v>
      </c>
      <c r="C2354" s="218" t="s">
        <v>5786</v>
      </c>
      <c r="D2354" s="219">
        <v>1.0</v>
      </c>
      <c r="E2354" s="218">
        <v>300.0</v>
      </c>
      <c r="G2354" s="220">
        <v>43319.0</v>
      </c>
    </row>
    <row r="2355">
      <c r="A2355" s="217">
        <v>43325.53784510416</v>
      </c>
      <c r="B2355" s="218" t="s">
        <v>5184</v>
      </c>
      <c r="C2355" s="218" t="s">
        <v>5786</v>
      </c>
      <c r="D2355" s="219">
        <v>1.0</v>
      </c>
      <c r="E2355" s="218">
        <v>400.0</v>
      </c>
      <c r="G2355" s="220">
        <v>43320.0</v>
      </c>
    </row>
    <row r="2356">
      <c r="A2356" s="217">
        <v>43325.53845392361</v>
      </c>
      <c r="B2356" s="218" t="s">
        <v>5184</v>
      </c>
      <c r="C2356" s="218" t="s">
        <v>5786</v>
      </c>
      <c r="D2356" s="219">
        <v>1.0</v>
      </c>
      <c r="E2356" s="218">
        <v>300.0</v>
      </c>
      <c r="G2356" s="220">
        <v>43320.0</v>
      </c>
    </row>
    <row r="2357">
      <c r="A2357" s="217">
        <v>43325.539547719905</v>
      </c>
      <c r="B2357" s="218" t="s">
        <v>5184</v>
      </c>
      <c r="C2357" s="218" t="s">
        <v>6001</v>
      </c>
      <c r="D2357" s="219">
        <v>1.0</v>
      </c>
      <c r="E2357" s="218">
        <v>400.0</v>
      </c>
      <c r="G2357" s="220">
        <v>43320.0</v>
      </c>
    </row>
    <row r="2358">
      <c r="A2358" s="217">
        <v>43325.541441504625</v>
      </c>
      <c r="B2358" s="218" t="s">
        <v>5184</v>
      </c>
      <c r="C2358" s="218" t="s">
        <v>5786</v>
      </c>
      <c r="D2358" s="219">
        <v>1.0</v>
      </c>
      <c r="E2358" s="218">
        <v>300.0</v>
      </c>
      <c r="G2358" s="220">
        <v>43321.0</v>
      </c>
    </row>
    <row r="2359">
      <c r="A2359" s="217">
        <v>43325.54209476852</v>
      </c>
      <c r="B2359" s="218" t="s">
        <v>5184</v>
      </c>
      <c r="C2359" s="218" t="s">
        <v>5786</v>
      </c>
      <c r="D2359" s="219">
        <v>1.0</v>
      </c>
      <c r="E2359" s="218">
        <v>300.0</v>
      </c>
      <c r="G2359" s="220">
        <v>43321.0</v>
      </c>
    </row>
    <row r="2360">
      <c r="A2360" s="217">
        <v>43325.54288625</v>
      </c>
      <c r="B2360" s="218" t="s">
        <v>5184</v>
      </c>
      <c r="C2360" s="218" t="s">
        <v>5786</v>
      </c>
      <c r="D2360" s="219">
        <v>1.0</v>
      </c>
      <c r="E2360" s="218">
        <v>300.0</v>
      </c>
      <c r="G2360" s="220">
        <v>43321.0</v>
      </c>
    </row>
    <row r="2361">
      <c r="A2361" s="217">
        <v>43325.543476226856</v>
      </c>
      <c r="B2361" s="218" t="s">
        <v>5184</v>
      </c>
      <c r="C2361" s="218" t="s">
        <v>5804</v>
      </c>
      <c r="D2361" s="219">
        <v>1.0</v>
      </c>
      <c r="E2361" s="218">
        <v>300.0</v>
      </c>
      <c r="G2361" s="220">
        <v>43322.0</v>
      </c>
    </row>
    <row r="2362">
      <c r="A2362" s="217">
        <v>43325.54416261574</v>
      </c>
      <c r="B2362" s="218" t="s">
        <v>5184</v>
      </c>
      <c r="C2362" s="218" t="s">
        <v>5786</v>
      </c>
      <c r="D2362" s="219">
        <v>1.0</v>
      </c>
      <c r="E2362" s="218">
        <v>300.0</v>
      </c>
      <c r="G2362" s="220">
        <v>43322.0</v>
      </c>
    </row>
    <row r="2363">
      <c r="A2363" s="217">
        <v>43325.54524890047</v>
      </c>
      <c r="B2363" s="218" t="s">
        <v>5184</v>
      </c>
      <c r="C2363" s="218" t="s">
        <v>5845</v>
      </c>
      <c r="D2363" s="219">
        <v>1.0</v>
      </c>
      <c r="E2363" s="218">
        <v>500.0</v>
      </c>
      <c r="G2363" s="220">
        <v>43322.0</v>
      </c>
    </row>
    <row r="2364">
      <c r="A2364" s="235">
        <v>43325.5453125</v>
      </c>
      <c r="B2364" s="218" t="s">
        <v>5184</v>
      </c>
      <c r="C2364" s="218" t="s">
        <v>5838</v>
      </c>
      <c r="D2364" s="219">
        <v>1.0</v>
      </c>
      <c r="E2364" s="218">
        <v>2100.0</v>
      </c>
      <c r="G2364" s="220">
        <v>43320.0</v>
      </c>
    </row>
    <row r="2365">
      <c r="A2365" s="217">
        <v>43334.452285</v>
      </c>
      <c r="B2365" s="218" t="s">
        <v>5184</v>
      </c>
      <c r="C2365" s="218" t="s">
        <v>6089</v>
      </c>
      <c r="D2365" s="219">
        <v>1.0</v>
      </c>
      <c r="E2365" s="218">
        <v>1000.0</v>
      </c>
      <c r="G2365" s="220">
        <v>43320.0</v>
      </c>
    </row>
    <row r="2366">
      <c r="A2366" s="217">
        <v>43330.666394618056</v>
      </c>
      <c r="B2366" s="218" t="s">
        <v>5184</v>
      </c>
      <c r="C2366" s="218" t="s">
        <v>5786</v>
      </c>
      <c r="D2366" s="219">
        <v>1.0</v>
      </c>
      <c r="E2366" s="218">
        <v>300.0</v>
      </c>
      <c r="G2366" s="220">
        <v>43323.0</v>
      </c>
    </row>
    <row r="2367">
      <c r="A2367" s="217">
        <v>43330.667606828705</v>
      </c>
      <c r="B2367" s="218" t="s">
        <v>5184</v>
      </c>
      <c r="C2367" s="218" t="s">
        <v>5789</v>
      </c>
      <c r="D2367" s="219">
        <v>1.0</v>
      </c>
      <c r="E2367" s="218">
        <v>400.0</v>
      </c>
      <c r="G2367" s="220">
        <v>43323.0</v>
      </c>
    </row>
    <row r="2368">
      <c r="A2368" s="217">
        <v>43330.66819657407</v>
      </c>
      <c r="B2368" s="218" t="s">
        <v>5184</v>
      </c>
      <c r="C2368" s="218" t="s">
        <v>5786</v>
      </c>
      <c r="D2368" s="219">
        <v>1.0</v>
      </c>
      <c r="E2368" s="218">
        <v>300.0</v>
      </c>
      <c r="G2368" s="220">
        <v>43323.0</v>
      </c>
    </row>
    <row r="2369">
      <c r="A2369" s="217">
        <v>43330.668838564816</v>
      </c>
      <c r="B2369" s="218" t="s">
        <v>5184</v>
      </c>
      <c r="C2369" s="218" t="s">
        <v>5804</v>
      </c>
      <c r="D2369" s="219">
        <v>1.0</v>
      </c>
      <c r="E2369" s="218">
        <v>300.0</v>
      </c>
      <c r="G2369" s="220">
        <v>43323.0</v>
      </c>
    </row>
    <row r="2370">
      <c r="A2370" s="217">
        <v>43330.6746147338</v>
      </c>
      <c r="B2370" s="218" t="s">
        <v>5184</v>
      </c>
      <c r="C2370" s="218" t="s">
        <v>5782</v>
      </c>
      <c r="D2370" s="219">
        <v>1.0</v>
      </c>
      <c r="E2370" s="218">
        <v>300.0</v>
      </c>
      <c r="G2370" s="220">
        <v>43323.0</v>
      </c>
    </row>
    <row r="2371">
      <c r="A2371" s="217">
        <v>43330.67522425926</v>
      </c>
      <c r="B2371" s="218" t="s">
        <v>5184</v>
      </c>
      <c r="C2371" s="218" t="s">
        <v>6053</v>
      </c>
      <c r="D2371" s="219">
        <v>1.0</v>
      </c>
      <c r="E2371" s="218">
        <v>300.0</v>
      </c>
      <c r="G2371" s="220">
        <v>43323.0</v>
      </c>
    </row>
    <row r="2372">
      <c r="A2372" s="217">
        <v>43330.67589890046</v>
      </c>
      <c r="B2372" s="218" t="s">
        <v>5184</v>
      </c>
      <c r="C2372" s="218" t="s">
        <v>5789</v>
      </c>
      <c r="D2372" s="219">
        <v>1.0</v>
      </c>
      <c r="E2372" s="218">
        <v>400.0</v>
      </c>
      <c r="G2372" s="220">
        <v>43323.0</v>
      </c>
    </row>
    <row r="2373">
      <c r="A2373" s="217">
        <v>43330.67678609954</v>
      </c>
      <c r="B2373" s="218" t="s">
        <v>5184</v>
      </c>
      <c r="C2373" s="218" t="s">
        <v>6001</v>
      </c>
      <c r="D2373" s="219">
        <v>1.0</v>
      </c>
      <c r="E2373" s="218">
        <v>500.0</v>
      </c>
      <c r="G2373" s="220">
        <v>43323.0</v>
      </c>
    </row>
    <row r="2374">
      <c r="A2374" s="217">
        <v>43330.67768125</v>
      </c>
      <c r="B2374" s="218" t="s">
        <v>5184</v>
      </c>
      <c r="C2374" s="218" t="s">
        <v>284</v>
      </c>
      <c r="D2374" s="219">
        <v>1.0</v>
      </c>
      <c r="E2374" s="218">
        <v>400.0</v>
      </c>
      <c r="G2374" s="220">
        <v>43323.0</v>
      </c>
    </row>
    <row r="2375">
      <c r="A2375" s="217">
        <v>43330.67934771991</v>
      </c>
      <c r="B2375" s="218" t="s">
        <v>5184</v>
      </c>
      <c r="C2375" s="218" t="s">
        <v>5789</v>
      </c>
      <c r="D2375" s="219">
        <v>1.0</v>
      </c>
      <c r="E2375" s="218">
        <v>300.0</v>
      </c>
      <c r="G2375" s="220">
        <v>43325.0</v>
      </c>
    </row>
    <row r="2376">
      <c r="A2376" s="217">
        <v>43330.68062269676</v>
      </c>
      <c r="B2376" s="218" t="s">
        <v>5184</v>
      </c>
      <c r="C2376" s="218" t="s">
        <v>6038</v>
      </c>
      <c r="D2376" s="219">
        <v>1.0</v>
      </c>
      <c r="E2376" s="218">
        <v>400.0</v>
      </c>
      <c r="G2376" s="220">
        <v>43325.0</v>
      </c>
    </row>
    <row r="2377">
      <c r="A2377" s="217">
        <v>43330.68132523148</v>
      </c>
      <c r="B2377" s="218" t="s">
        <v>5184</v>
      </c>
      <c r="C2377" s="218" t="s">
        <v>6001</v>
      </c>
      <c r="D2377" s="219">
        <v>1.0</v>
      </c>
      <c r="E2377" s="218">
        <v>400.0</v>
      </c>
      <c r="G2377" s="220">
        <v>43325.0</v>
      </c>
    </row>
    <row r="2378">
      <c r="A2378" s="217">
        <v>43330.681879375</v>
      </c>
      <c r="B2378" s="218" t="s">
        <v>5184</v>
      </c>
      <c r="C2378" s="218" t="s">
        <v>5789</v>
      </c>
      <c r="D2378" s="219">
        <v>1.0</v>
      </c>
      <c r="E2378" s="218">
        <v>400.0</v>
      </c>
      <c r="G2378" s="220">
        <v>43325.0</v>
      </c>
    </row>
    <row r="2379">
      <c r="A2379" s="217">
        <v>43330.682524606484</v>
      </c>
      <c r="B2379" s="218" t="s">
        <v>5184</v>
      </c>
      <c r="C2379" s="218" t="s">
        <v>6038</v>
      </c>
      <c r="D2379" s="219">
        <v>1.0</v>
      </c>
      <c r="E2379" s="218">
        <v>400.0</v>
      </c>
      <c r="G2379" s="220">
        <v>43326.0</v>
      </c>
    </row>
    <row r="2380">
      <c r="A2380" s="217">
        <v>43330.68472456018</v>
      </c>
      <c r="B2380" s="218" t="s">
        <v>5184</v>
      </c>
      <c r="C2380" s="218" t="s">
        <v>6230</v>
      </c>
      <c r="D2380" s="219">
        <v>1.0</v>
      </c>
      <c r="E2380" s="218">
        <v>500.0</v>
      </c>
      <c r="G2380" s="220">
        <v>43326.0</v>
      </c>
    </row>
    <row r="2381">
      <c r="A2381" s="217">
        <v>43330.68533958333</v>
      </c>
      <c r="B2381" s="218" t="s">
        <v>5184</v>
      </c>
      <c r="C2381" s="218" t="s">
        <v>5818</v>
      </c>
      <c r="D2381" s="219">
        <v>1.0</v>
      </c>
      <c r="E2381" s="218">
        <v>300.0</v>
      </c>
      <c r="G2381" s="220">
        <v>43327.0</v>
      </c>
    </row>
    <row r="2382">
      <c r="A2382" s="217">
        <v>43330.68681431713</v>
      </c>
      <c r="B2382" s="218" t="s">
        <v>5184</v>
      </c>
      <c r="C2382" s="218" t="s">
        <v>5976</v>
      </c>
      <c r="D2382" s="219">
        <v>1.0</v>
      </c>
      <c r="E2382" s="218">
        <v>500.0</v>
      </c>
      <c r="G2382" s="220">
        <v>43327.0</v>
      </c>
    </row>
    <row r="2383">
      <c r="A2383" s="217">
        <v>43330.68757731481</v>
      </c>
      <c r="B2383" s="218" t="s">
        <v>5184</v>
      </c>
      <c r="C2383" s="218" t="s">
        <v>6001</v>
      </c>
      <c r="D2383" s="219">
        <v>1.0</v>
      </c>
      <c r="E2383" s="218">
        <v>500.0</v>
      </c>
      <c r="G2383" s="220">
        <v>43327.0</v>
      </c>
    </row>
    <row r="2384">
      <c r="A2384" s="217">
        <v>43330.68904423611</v>
      </c>
      <c r="B2384" s="218" t="s">
        <v>5184</v>
      </c>
      <c r="C2384" s="218" t="s">
        <v>6001</v>
      </c>
      <c r="D2384" s="219">
        <v>1.0</v>
      </c>
      <c r="E2384" s="218">
        <v>500.0</v>
      </c>
      <c r="G2384" s="220">
        <v>43328.0</v>
      </c>
    </row>
    <row r="2385">
      <c r="A2385" s="217">
        <v>43330.6898418287</v>
      </c>
      <c r="B2385" s="218" t="s">
        <v>5184</v>
      </c>
      <c r="C2385" s="218" t="s">
        <v>6001</v>
      </c>
      <c r="D2385" s="219">
        <v>1.0</v>
      </c>
      <c r="E2385" s="218">
        <v>500.0</v>
      </c>
      <c r="G2385" s="220">
        <v>43328.0</v>
      </c>
    </row>
    <row r="2386">
      <c r="A2386" s="217">
        <v>43330.70802334491</v>
      </c>
      <c r="B2386" s="218" t="s">
        <v>5184</v>
      </c>
      <c r="C2386" s="218" t="s">
        <v>5782</v>
      </c>
      <c r="D2386" s="219">
        <v>1.0</v>
      </c>
      <c r="E2386" s="218">
        <v>400.0</v>
      </c>
      <c r="G2386" s="220">
        <v>43328.0</v>
      </c>
    </row>
    <row r="2387">
      <c r="A2387" s="217">
        <v>43330.708791111116</v>
      </c>
      <c r="B2387" s="218" t="s">
        <v>5184</v>
      </c>
      <c r="C2387" s="218" t="s">
        <v>6001</v>
      </c>
      <c r="D2387" s="219">
        <v>1.0</v>
      </c>
      <c r="E2387" s="218">
        <v>400.0</v>
      </c>
      <c r="G2387" s="220">
        <v>43328.0</v>
      </c>
    </row>
    <row r="2388">
      <c r="A2388" s="217">
        <v>43330.709427905094</v>
      </c>
      <c r="B2388" s="218" t="s">
        <v>5184</v>
      </c>
      <c r="C2388" s="218" t="s">
        <v>5782</v>
      </c>
      <c r="D2388" s="219">
        <v>1.0</v>
      </c>
      <c r="E2388" s="218">
        <v>300.0</v>
      </c>
      <c r="F2388" s="3" t="s">
        <v>5787</v>
      </c>
      <c r="G2388" s="220">
        <v>43329.0</v>
      </c>
    </row>
    <row r="2389">
      <c r="A2389" s="217">
        <v>43330.70997181713</v>
      </c>
      <c r="B2389" s="218" t="s">
        <v>5184</v>
      </c>
      <c r="C2389" s="218" t="s">
        <v>6038</v>
      </c>
      <c r="D2389" s="219">
        <v>1.0</v>
      </c>
      <c r="E2389" s="218">
        <v>400.0</v>
      </c>
      <c r="G2389" s="220">
        <v>43329.0</v>
      </c>
    </row>
    <row r="2390">
      <c r="A2390" s="217">
        <v>43330.72943928241</v>
      </c>
      <c r="B2390" s="218" t="s">
        <v>5184</v>
      </c>
      <c r="C2390" s="218" t="s">
        <v>6001</v>
      </c>
      <c r="D2390" s="219">
        <v>1.0</v>
      </c>
      <c r="E2390" s="218">
        <v>400.0</v>
      </c>
      <c r="F2390" s="3" t="s">
        <v>5787</v>
      </c>
      <c r="G2390" s="220">
        <v>43329.0</v>
      </c>
    </row>
    <row r="2391">
      <c r="A2391" s="217">
        <v>43330.73206597222</v>
      </c>
      <c r="B2391" s="218" t="s">
        <v>2322</v>
      </c>
      <c r="C2391" s="218" t="s">
        <v>6324</v>
      </c>
      <c r="D2391" s="219">
        <v>1.0</v>
      </c>
      <c r="E2391" s="218">
        <v>3490.0</v>
      </c>
      <c r="G2391" s="220">
        <v>43326.0</v>
      </c>
    </row>
    <row r="2392">
      <c r="A2392" s="217">
        <v>43330.73342590278</v>
      </c>
      <c r="B2392" s="218" t="s">
        <v>2322</v>
      </c>
      <c r="C2392" s="218" t="s">
        <v>5477</v>
      </c>
      <c r="D2392" s="219">
        <v>1.0</v>
      </c>
      <c r="E2392" s="218">
        <v>3290.0</v>
      </c>
      <c r="G2392" s="220">
        <v>43328.0</v>
      </c>
    </row>
    <row r="2393">
      <c r="A2393" s="217">
        <v>43330.73506769676</v>
      </c>
      <c r="B2393" s="218" t="s">
        <v>5184</v>
      </c>
      <c r="C2393" s="218" t="s">
        <v>4610</v>
      </c>
      <c r="D2393" s="219">
        <v>1.0</v>
      </c>
      <c r="E2393" s="218">
        <v>850.0</v>
      </c>
      <c r="G2393" s="220">
        <v>43327.0</v>
      </c>
    </row>
    <row r="2394">
      <c r="A2394" s="217">
        <v>43330.73637028935</v>
      </c>
      <c r="B2394" s="218" t="s">
        <v>5184</v>
      </c>
      <c r="C2394" s="218" t="s">
        <v>4638</v>
      </c>
      <c r="D2394" s="219">
        <v>1.0</v>
      </c>
      <c r="E2394" s="218">
        <v>1495.0</v>
      </c>
      <c r="G2394" s="220">
        <v>43330.0</v>
      </c>
    </row>
    <row r="2395">
      <c r="A2395" s="217">
        <v>43330.740313229166</v>
      </c>
      <c r="B2395" s="218" t="s">
        <v>5184</v>
      </c>
      <c r="C2395" s="218" t="s">
        <v>6300</v>
      </c>
      <c r="D2395" s="219">
        <v>1.0</v>
      </c>
      <c r="E2395" s="218">
        <v>8990.0</v>
      </c>
      <c r="G2395" s="220">
        <v>43326.0</v>
      </c>
    </row>
    <row r="2396">
      <c r="A2396" s="217">
        <v>43330.74214960648</v>
      </c>
      <c r="B2396" s="218" t="s">
        <v>5184</v>
      </c>
      <c r="C2396" s="218" t="s">
        <v>6185</v>
      </c>
      <c r="D2396" s="219">
        <v>2.0</v>
      </c>
      <c r="E2396" s="218">
        <v>5490.0</v>
      </c>
      <c r="G2396" s="220">
        <v>43326.0</v>
      </c>
    </row>
    <row r="2397">
      <c r="A2397" s="217">
        <v>43330.75631577546</v>
      </c>
      <c r="B2397" s="218" t="s">
        <v>5184</v>
      </c>
      <c r="C2397" s="218" t="s">
        <v>6772</v>
      </c>
      <c r="D2397" s="219">
        <v>1.0</v>
      </c>
      <c r="E2397" s="218">
        <v>4290.0</v>
      </c>
      <c r="G2397" s="220">
        <v>43329.0</v>
      </c>
    </row>
    <row r="2398">
      <c r="A2398" s="217">
        <v>43330.75827019676</v>
      </c>
      <c r="B2398" s="218" t="s">
        <v>5184</v>
      </c>
      <c r="C2398" s="218" t="s">
        <v>5283</v>
      </c>
      <c r="D2398" s="219">
        <v>1.0</v>
      </c>
      <c r="E2398" s="218">
        <v>6990.0</v>
      </c>
      <c r="G2398" s="220">
        <v>43329.0</v>
      </c>
    </row>
    <row r="2399">
      <c r="A2399" s="217">
        <v>43330.76054530093</v>
      </c>
      <c r="B2399" s="218" t="s">
        <v>5184</v>
      </c>
      <c r="C2399" s="218" t="s">
        <v>6289</v>
      </c>
      <c r="D2399" s="219">
        <v>1.0</v>
      </c>
      <c r="E2399" s="218">
        <v>10990.0</v>
      </c>
      <c r="G2399" s="220">
        <v>43329.0</v>
      </c>
    </row>
    <row r="2400">
      <c r="A2400" s="217">
        <v>43331.42146429398</v>
      </c>
      <c r="B2400" s="218" t="s">
        <v>5184</v>
      </c>
      <c r="C2400" s="218" t="s">
        <v>6293</v>
      </c>
      <c r="D2400" s="219">
        <v>1.0</v>
      </c>
      <c r="E2400" s="218">
        <v>7690.0</v>
      </c>
      <c r="G2400" s="220">
        <v>43329.0</v>
      </c>
    </row>
    <row r="2401">
      <c r="A2401" s="217">
        <v>43331.42285587963</v>
      </c>
      <c r="B2401" s="218" t="s">
        <v>5184</v>
      </c>
      <c r="C2401" s="218" t="s">
        <v>6294</v>
      </c>
      <c r="D2401" s="219">
        <v>1.0</v>
      </c>
      <c r="E2401" s="218">
        <v>8290.0</v>
      </c>
      <c r="G2401" s="220">
        <v>43330.0</v>
      </c>
    </row>
    <row r="2402">
      <c r="A2402" s="217">
        <v>43331.423624953706</v>
      </c>
      <c r="B2402" s="218" t="s">
        <v>5184</v>
      </c>
      <c r="C2402" s="218" t="s">
        <v>6290</v>
      </c>
      <c r="D2402" s="219">
        <v>1.0</v>
      </c>
      <c r="E2402" s="218">
        <v>6690.0</v>
      </c>
      <c r="G2402" s="220">
        <v>43330.0</v>
      </c>
    </row>
    <row r="2403">
      <c r="A2403" s="217">
        <v>43331.42450309028</v>
      </c>
      <c r="B2403" s="218" t="s">
        <v>5184</v>
      </c>
      <c r="C2403" s="218" t="s">
        <v>5237</v>
      </c>
      <c r="D2403" s="219">
        <v>1.0</v>
      </c>
      <c r="E2403" s="218">
        <v>15500.0</v>
      </c>
      <c r="G2403" s="220">
        <v>43330.0</v>
      </c>
    </row>
    <row r="2404">
      <c r="A2404" s="217">
        <v>43331.44681515046</v>
      </c>
      <c r="B2404" s="218" t="s">
        <v>5184</v>
      </c>
      <c r="C2404" s="234" t="s">
        <v>7002</v>
      </c>
      <c r="D2404" s="219">
        <v>1.0</v>
      </c>
      <c r="E2404" s="218">
        <v>300.0</v>
      </c>
      <c r="G2404" s="220">
        <v>43329.0</v>
      </c>
    </row>
    <row r="2405">
      <c r="A2405" s="217">
        <v>43331.44818416667</v>
      </c>
      <c r="B2405" s="218" t="s">
        <v>5184</v>
      </c>
      <c r="C2405" s="234" t="s">
        <v>6053</v>
      </c>
      <c r="D2405" s="219">
        <v>1.0</v>
      </c>
      <c r="E2405" s="218">
        <v>300.0</v>
      </c>
      <c r="G2405" s="220">
        <v>43329.0</v>
      </c>
    </row>
    <row r="2406">
      <c r="A2406" s="217">
        <v>43331.45108460648</v>
      </c>
      <c r="B2406" s="218" t="s">
        <v>5184</v>
      </c>
      <c r="C2406" s="234" t="s">
        <v>5624</v>
      </c>
      <c r="D2406" s="219">
        <v>1.0</v>
      </c>
      <c r="E2406" s="218">
        <v>1800.0</v>
      </c>
      <c r="F2406" s="3" t="s">
        <v>5787</v>
      </c>
      <c r="G2406" s="220">
        <v>43330.0</v>
      </c>
    </row>
    <row r="2407">
      <c r="A2407" s="217">
        <v>43331.45253675926</v>
      </c>
      <c r="B2407" s="218" t="s">
        <v>5184</v>
      </c>
      <c r="C2407" s="218" t="s">
        <v>6001</v>
      </c>
      <c r="D2407" s="219">
        <v>1.0</v>
      </c>
      <c r="E2407" s="218">
        <v>500.0</v>
      </c>
      <c r="G2407" s="220">
        <v>43330.0</v>
      </c>
    </row>
    <row r="2408">
      <c r="A2408" s="217">
        <v>43331.45323032407</v>
      </c>
      <c r="B2408" s="218" t="s">
        <v>5184</v>
      </c>
      <c r="C2408" s="218" t="s">
        <v>5782</v>
      </c>
      <c r="D2408" s="219">
        <v>1.0</v>
      </c>
      <c r="E2408" s="218">
        <v>400.0</v>
      </c>
      <c r="G2408" s="220">
        <v>43330.0</v>
      </c>
    </row>
    <row r="2409">
      <c r="A2409" s="217">
        <v>43331.453751458335</v>
      </c>
      <c r="B2409" s="218" t="s">
        <v>5184</v>
      </c>
      <c r="C2409" s="218" t="s">
        <v>5786</v>
      </c>
      <c r="D2409" s="219">
        <v>1.0</v>
      </c>
      <c r="E2409" s="218">
        <v>300.0</v>
      </c>
      <c r="G2409" s="220">
        <v>43330.0</v>
      </c>
    </row>
    <row r="2410">
      <c r="A2410" s="217">
        <v>43331.454513993056</v>
      </c>
      <c r="B2410" s="218" t="s">
        <v>5184</v>
      </c>
      <c r="C2410" s="218" t="s">
        <v>5786</v>
      </c>
      <c r="D2410" s="219">
        <v>1.0</v>
      </c>
      <c r="E2410" s="218">
        <v>300.0</v>
      </c>
      <c r="G2410" s="220">
        <v>43330.0</v>
      </c>
    </row>
    <row r="2411">
      <c r="A2411" s="217">
        <v>43331.455340914355</v>
      </c>
      <c r="B2411" s="218" t="s">
        <v>5184</v>
      </c>
      <c r="C2411" s="218" t="s">
        <v>5804</v>
      </c>
      <c r="D2411" s="219">
        <v>1.0</v>
      </c>
      <c r="E2411" s="218">
        <v>300.0</v>
      </c>
      <c r="G2411" s="220">
        <v>43330.0</v>
      </c>
    </row>
    <row r="2412">
      <c r="A2412" s="217">
        <v>43331.45592806713</v>
      </c>
      <c r="B2412" s="218" t="s">
        <v>5184</v>
      </c>
      <c r="C2412" s="218" t="s">
        <v>5789</v>
      </c>
      <c r="D2412" s="219">
        <v>1.0</v>
      </c>
      <c r="E2412" s="218">
        <v>400.0</v>
      </c>
      <c r="G2412" s="220">
        <v>43330.0</v>
      </c>
    </row>
    <row r="2413">
      <c r="A2413" s="217">
        <v>43331.45658924768</v>
      </c>
      <c r="B2413" s="218" t="s">
        <v>5184</v>
      </c>
      <c r="C2413" s="218" t="s">
        <v>5786</v>
      </c>
      <c r="D2413" s="219">
        <v>1.0</v>
      </c>
      <c r="E2413" s="218">
        <v>300.0</v>
      </c>
      <c r="F2413" s="3" t="s">
        <v>5787</v>
      </c>
      <c r="G2413" s="220">
        <v>43330.0</v>
      </c>
    </row>
    <row r="2414">
      <c r="A2414" s="217">
        <v>43331.50960990741</v>
      </c>
      <c r="B2414" s="218" t="s">
        <v>5092</v>
      </c>
      <c r="C2414" s="218" t="s">
        <v>7055</v>
      </c>
      <c r="D2414" s="219">
        <v>1.0</v>
      </c>
      <c r="E2414" s="218">
        <v>3990.0</v>
      </c>
      <c r="G2414" s="220">
        <v>43331.0</v>
      </c>
    </row>
    <row r="2415">
      <c r="A2415" s="217">
        <v>43331.51024015046</v>
      </c>
      <c r="B2415" s="218" t="s">
        <v>5092</v>
      </c>
      <c r="C2415" s="218" t="s">
        <v>7057</v>
      </c>
      <c r="D2415" s="219">
        <v>1.0</v>
      </c>
      <c r="E2415" s="218">
        <v>5090.0</v>
      </c>
      <c r="G2415" s="220">
        <v>43331.0</v>
      </c>
    </row>
    <row r="2416">
      <c r="A2416" s="217">
        <v>43331.511235046295</v>
      </c>
      <c r="B2416" s="218" t="s">
        <v>5092</v>
      </c>
      <c r="C2416" s="218" t="s">
        <v>7058</v>
      </c>
      <c r="D2416" s="219">
        <v>1.0</v>
      </c>
      <c r="E2416" s="218">
        <v>5090.0</v>
      </c>
      <c r="G2416" s="220">
        <v>43331.0</v>
      </c>
    </row>
    <row r="2417">
      <c r="A2417" s="217">
        <v>43331.51197199074</v>
      </c>
      <c r="B2417" s="218" t="s">
        <v>5092</v>
      </c>
      <c r="C2417" s="218" t="s">
        <v>6177</v>
      </c>
      <c r="D2417" s="219">
        <v>1.0</v>
      </c>
      <c r="E2417" s="218">
        <v>3690.0</v>
      </c>
      <c r="G2417" s="220">
        <v>43331.0</v>
      </c>
    </row>
    <row r="2418">
      <c r="A2418" s="217">
        <v>43331.51270918982</v>
      </c>
      <c r="B2418" s="218" t="s">
        <v>5092</v>
      </c>
      <c r="C2418" s="218" t="s">
        <v>2210</v>
      </c>
      <c r="D2418" s="219">
        <v>1.0</v>
      </c>
      <c r="E2418" s="218">
        <v>3890.0</v>
      </c>
      <c r="G2418" s="220">
        <v>43331.0</v>
      </c>
    </row>
    <row r="2419">
      <c r="A2419" s="217">
        <v>43334.42503407407</v>
      </c>
      <c r="B2419" s="218" t="s">
        <v>5184</v>
      </c>
      <c r="C2419" s="218" t="s">
        <v>5806</v>
      </c>
      <c r="D2419" s="219">
        <v>1.0</v>
      </c>
      <c r="E2419" s="218">
        <v>300.0</v>
      </c>
      <c r="F2419" s="3" t="s">
        <v>5787</v>
      </c>
      <c r="G2419" s="220">
        <v>43331.0</v>
      </c>
    </row>
    <row r="2420">
      <c r="A2420" s="217">
        <v>43334.42762103009</v>
      </c>
      <c r="B2420" s="218" t="s">
        <v>5184</v>
      </c>
      <c r="C2420" s="218" t="s">
        <v>5806</v>
      </c>
      <c r="D2420" s="219">
        <v>1.0</v>
      </c>
      <c r="E2420" s="218">
        <v>300.0</v>
      </c>
      <c r="F2420" s="3" t="s">
        <v>5787</v>
      </c>
      <c r="G2420" s="220">
        <v>43331.0</v>
      </c>
    </row>
    <row r="2421">
      <c r="A2421" s="217">
        <v>43334.428925995366</v>
      </c>
      <c r="B2421" s="218" t="s">
        <v>5184</v>
      </c>
      <c r="C2421" s="218" t="s">
        <v>5782</v>
      </c>
      <c r="D2421" s="219">
        <v>1.0</v>
      </c>
      <c r="E2421" s="218">
        <v>400.0</v>
      </c>
      <c r="G2421" s="220">
        <v>43331.0</v>
      </c>
    </row>
    <row r="2422">
      <c r="A2422" s="217">
        <v>43334.43055689815</v>
      </c>
      <c r="B2422" s="218" t="s">
        <v>5184</v>
      </c>
      <c r="C2422" s="218" t="s">
        <v>5782</v>
      </c>
      <c r="D2422" s="219">
        <v>1.0</v>
      </c>
      <c r="E2422" s="218">
        <v>400.0</v>
      </c>
      <c r="F2422" s="3" t="s">
        <v>5787</v>
      </c>
      <c r="G2422" s="220">
        <v>43331.0</v>
      </c>
    </row>
    <row r="2423">
      <c r="A2423" s="217">
        <v>43334.431085868055</v>
      </c>
      <c r="B2423" s="218" t="s">
        <v>5184</v>
      </c>
      <c r="C2423" s="218" t="s">
        <v>6053</v>
      </c>
      <c r="D2423" s="219">
        <v>1.0</v>
      </c>
      <c r="E2423" s="218">
        <v>300.0</v>
      </c>
      <c r="G2423" s="220">
        <v>43331.0</v>
      </c>
    </row>
    <row r="2424">
      <c r="A2424" s="217">
        <v>43334.43246811343</v>
      </c>
      <c r="B2424" s="218" t="s">
        <v>5184</v>
      </c>
      <c r="C2424" s="218" t="s">
        <v>5845</v>
      </c>
      <c r="D2424" s="219">
        <v>1.0</v>
      </c>
      <c r="E2424" s="218">
        <v>500.0</v>
      </c>
      <c r="G2424" s="220">
        <v>43332.0</v>
      </c>
    </row>
    <row r="2425">
      <c r="A2425" s="217">
        <v>43334.433167800926</v>
      </c>
      <c r="B2425" s="218" t="s">
        <v>5184</v>
      </c>
      <c r="C2425" s="218" t="s">
        <v>6053</v>
      </c>
      <c r="D2425" s="219">
        <v>1.0</v>
      </c>
      <c r="E2425" s="218">
        <v>300.0</v>
      </c>
      <c r="F2425" s="3" t="s">
        <v>5787</v>
      </c>
      <c r="G2425" s="220">
        <v>43332.0</v>
      </c>
    </row>
    <row r="2426">
      <c r="A2426" s="217">
        <v>43334.433907604165</v>
      </c>
      <c r="B2426" s="218" t="s">
        <v>5184</v>
      </c>
      <c r="C2426" s="218" t="s">
        <v>5806</v>
      </c>
      <c r="D2426" s="219">
        <v>1.0</v>
      </c>
      <c r="E2426" s="218">
        <v>300.0</v>
      </c>
      <c r="F2426" s="3" t="s">
        <v>5787</v>
      </c>
      <c r="G2426" s="220">
        <v>43332.0</v>
      </c>
    </row>
    <row r="2427">
      <c r="A2427" s="217">
        <v>43334.43458799769</v>
      </c>
      <c r="B2427" s="218" t="s">
        <v>5184</v>
      </c>
      <c r="C2427" s="218" t="s">
        <v>6053</v>
      </c>
      <c r="D2427" s="219">
        <v>1.0</v>
      </c>
      <c r="E2427" s="218">
        <v>300.0</v>
      </c>
      <c r="G2427" s="220">
        <v>43332.0</v>
      </c>
    </row>
    <row r="2428">
      <c r="A2428" s="217">
        <v>43334.435395555556</v>
      </c>
      <c r="B2428" s="218" t="s">
        <v>5184</v>
      </c>
      <c r="C2428" s="218" t="s">
        <v>6053</v>
      </c>
      <c r="D2428" s="219">
        <v>1.0</v>
      </c>
      <c r="E2428" s="218">
        <v>300.0</v>
      </c>
      <c r="G2428" s="220">
        <v>43332.0</v>
      </c>
    </row>
    <row r="2429">
      <c r="A2429" s="217">
        <v>43334.436185451385</v>
      </c>
      <c r="B2429" s="218" t="s">
        <v>5184</v>
      </c>
      <c r="C2429" s="218" t="s">
        <v>5806</v>
      </c>
      <c r="D2429" s="219">
        <v>1.0</v>
      </c>
      <c r="E2429" s="218">
        <v>400.0</v>
      </c>
      <c r="F2429" s="3" t="s">
        <v>5787</v>
      </c>
      <c r="G2429" s="220">
        <v>43332.0</v>
      </c>
    </row>
    <row r="2430">
      <c r="A2430" s="217">
        <v>43334.43779711805</v>
      </c>
      <c r="B2430" s="218" t="s">
        <v>5184</v>
      </c>
      <c r="C2430" s="218" t="s">
        <v>6108</v>
      </c>
      <c r="D2430" s="219">
        <v>1.0</v>
      </c>
      <c r="E2430" s="218">
        <v>1800.0</v>
      </c>
      <c r="F2430" s="3" t="s">
        <v>5787</v>
      </c>
      <c r="G2430" s="220">
        <v>43333.0</v>
      </c>
    </row>
    <row r="2431">
      <c r="A2431" s="217">
        <v>43334.440836967595</v>
      </c>
      <c r="B2431" s="218" t="s">
        <v>5184</v>
      </c>
      <c r="C2431" s="218" t="s">
        <v>5370</v>
      </c>
      <c r="D2431" s="219">
        <v>1.0</v>
      </c>
      <c r="E2431" s="218">
        <v>9000.0</v>
      </c>
      <c r="F2431" s="3" t="s">
        <v>5787</v>
      </c>
      <c r="G2431" s="220">
        <v>43333.0</v>
      </c>
    </row>
    <row r="2432">
      <c r="A2432" s="217">
        <v>43334.44154355324</v>
      </c>
      <c r="B2432" s="218" t="s">
        <v>5184</v>
      </c>
      <c r="C2432" s="218" t="s">
        <v>5394</v>
      </c>
      <c r="D2432" s="219">
        <v>1.0</v>
      </c>
      <c r="E2432" s="218">
        <v>9000.0</v>
      </c>
      <c r="G2432" s="220">
        <v>43333.0</v>
      </c>
    </row>
    <row r="2433">
      <c r="A2433" s="217">
        <v>43334.443892337964</v>
      </c>
      <c r="B2433" s="218" t="s">
        <v>5184</v>
      </c>
      <c r="C2433" s="218" t="s">
        <v>4655</v>
      </c>
      <c r="D2433" s="219">
        <v>1.0</v>
      </c>
      <c r="E2433" s="218">
        <v>940.0</v>
      </c>
      <c r="F2433" s="3" t="s">
        <v>5295</v>
      </c>
      <c r="G2433" s="220">
        <v>43333.0</v>
      </c>
    </row>
    <row r="2434">
      <c r="A2434" s="217">
        <v>43334.4456899537</v>
      </c>
      <c r="B2434" s="218" t="s">
        <v>5184</v>
      </c>
      <c r="C2434" s="218" t="s">
        <v>6155</v>
      </c>
      <c r="D2434" s="219">
        <v>1.0</v>
      </c>
      <c r="E2434" s="218">
        <v>2500.0</v>
      </c>
      <c r="F2434" s="3" t="s">
        <v>5833</v>
      </c>
      <c r="G2434" s="220">
        <v>43333.0</v>
      </c>
    </row>
    <row r="2435">
      <c r="A2435" s="217">
        <v>43336.52478699074</v>
      </c>
      <c r="B2435" s="218" t="s">
        <v>5184</v>
      </c>
      <c r="C2435" s="218" t="s">
        <v>4513</v>
      </c>
      <c r="D2435" s="219">
        <v>1.0</v>
      </c>
      <c r="E2435" s="218">
        <v>1995.0</v>
      </c>
      <c r="F2435" s="3" t="s">
        <v>5295</v>
      </c>
      <c r="G2435" s="220">
        <v>43335.0</v>
      </c>
    </row>
    <row r="2436">
      <c r="A2436" s="217">
        <v>43336.5287315162</v>
      </c>
      <c r="B2436" s="218" t="s">
        <v>5184</v>
      </c>
      <c r="C2436" s="218" t="s">
        <v>1035</v>
      </c>
      <c r="D2436" s="219">
        <v>1.0</v>
      </c>
      <c r="E2436" s="218">
        <v>9000.0</v>
      </c>
      <c r="G2436" s="220">
        <v>43335.0</v>
      </c>
    </row>
    <row r="2437">
      <c r="A2437" s="217">
        <v>43337.66093275463</v>
      </c>
      <c r="B2437" s="218" t="s">
        <v>5184</v>
      </c>
      <c r="C2437" s="218" t="s">
        <v>5782</v>
      </c>
      <c r="D2437" s="219">
        <v>1.0</v>
      </c>
      <c r="E2437" s="218">
        <v>400.0</v>
      </c>
      <c r="G2437" s="220">
        <v>43333.0</v>
      </c>
    </row>
    <row r="2438">
      <c r="A2438" s="217">
        <v>43337.661781041665</v>
      </c>
      <c r="B2438" s="218" t="s">
        <v>5184</v>
      </c>
      <c r="C2438" s="218" t="s">
        <v>5782</v>
      </c>
      <c r="D2438" s="219">
        <v>1.0</v>
      </c>
      <c r="E2438" s="218">
        <v>400.0</v>
      </c>
      <c r="F2438" s="3" t="s">
        <v>5787</v>
      </c>
      <c r="G2438" s="220">
        <v>43335.0</v>
      </c>
    </row>
    <row r="2439">
      <c r="A2439" s="217">
        <v>43337.66233520833</v>
      </c>
      <c r="B2439" s="218" t="s">
        <v>5184</v>
      </c>
      <c r="C2439" s="218" t="s">
        <v>5782</v>
      </c>
      <c r="D2439" s="219">
        <v>1.0</v>
      </c>
      <c r="E2439" s="218">
        <v>400.0</v>
      </c>
      <c r="G2439" s="220">
        <v>43335.0</v>
      </c>
    </row>
    <row r="2440">
      <c r="A2440" s="217">
        <v>43337.662931643514</v>
      </c>
      <c r="B2440" s="218" t="s">
        <v>5184</v>
      </c>
      <c r="C2440" s="218" t="s">
        <v>5782</v>
      </c>
      <c r="D2440" s="219">
        <v>1.0</v>
      </c>
      <c r="E2440" s="218">
        <v>400.0</v>
      </c>
      <c r="G2440" s="220">
        <v>43335.0</v>
      </c>
    </row>
    <row r="2441">
      <c r="A2441" s="217">
        <v>43337.663436296294</v>
      </c>
      <c r="B2441" s="218" t="s">
        <v>5184</v>
      </c>
      <c r="C2441" s="218" t="s">
        <v>5806</v>
      </c>
      <c r="D2441" s="219">
        <v>1.0</v>
      </c>
      <c r="E2441" s="218">
        <v>400.0</v>
      </c>
      <c r="G2441" s="220">
        <v>43335.0</v>
      </c>
    </row>
    <row r="2442">
      <c r="A2442" s="217">
        <v>43337.66408512731</v>
      </c>
      <c r="B2442" s="218" t="s">
        <v>5184</v>
      </c>
      <c r="C2442" s="218" t="s">
        <v>5818</v>
      </c>
      <c r="D2442" s="219">
        <v>1.0</v>
      </c>
      <c r="E2442" s="218">
        <v>300.0</v>
      </c>
      <c r="F2442" s="3" t="s">
        <v>5787</v>
      </c>
      <c r="G2442" s="220">
        <v>43335.0</v>
      </c>
    </row>
    <row r="2443">
      <c r="A2443" s="217">
        <v>43337.6647663426</v>
      </c>
      <c r="B2443" s="218" t="s">
        <v>5184</v>
      </c>
      <c r="C2443" s="218" t="s">
        <v>5845</v>
      </c>
      <c r="D2443" s="219">
        <v>1.0</v>
      </c>
      <c r="E2443" s="218">
        <v>700.0</v>
      </c>
      <c r="F2443" s="3" t="s">
        <v>5787</v>
      </c>
      <c r="G2443" s="220">
        <v>43336.0</v>
      </c>
    </row>
    <row r="2444">
      <c r="A2444" s="217">
        <v>43337.6653384838</v>
      </c>
      <c r="B2444" s="218" t="s">
        <v>5184</v>
      </c>
      <c r="C2444" s="218" t="s">
        <v>5845</v>
      </c>
      <c r="D2444" s="219">
        <v>1.0</v>
      </c>
      <c r="E2444" s="218">
        <v>500.0</v>
      </c>
      <c r="F2444" s="3" t="s">
        <v>5787</v>
      </c>
      <c r="G2444" s="220">
        <v>43336.0</v>
      </c>
    </row>
    <row r="2445">
      <c r="A2445" s="217">
        <v>43337.66634246528</v>
      </c>
      <c r="B2445" s="218" t="s">
        <v>2322</v>
      </c>
      <c r="C2445" s="218" t="s">
        <v>5523</v>
      </c>
      <c r="D2445" s="219">
        <v>1.0</v>
      </c>
      <c r="E2445" s="24"/>
      <c r="G2445" s="220">
        <v>43337.0</v>
      </c>
    </row>
    <row r="2446">
      <c r="A2446" s="217">
        <v>43337.66725967593</v>
      </c>
      <c r="B2446" s="218" t="s">
        <v>2322</v>
      </c>
      <c r="C2446" s="218" t="s">
        <v>1922</v>
      </c>
      <c r="D2446" s="219">
        <v>1.0</v>
      </c>
      <c r="E2446" s="24"/>
      <c r="G2446" s="220">
        <v>43337.0</v>
      </c>
    </row>
    <row r="2447">
      <c r="A2447" s="217">
        <v>43348.58247765046</v>
      </c>
      <c r="B2447" s="218" t="s">
        <v>5184</v>
      </c>
      <c r="C2447" s="218" t="s">
        <v>7083</v>
      </c>
      <c r="D2447" s="219">
        <v>1.0</v>
      </c>
      <c r="E2447" s="218">
        <v>9000.0</v>
      </c>
      <c r="G2447" s="220">
        <v>43333.0</v>
      </c>
    </row>
    <row r="2448">
      <c r="A2448" s="217">
        <v>43348.583314710646</v>
      </c>
      <c r="B2448" s="218" t="s">
        <v>5184</v>
      </c>
      <c r="C2448" s="218" t="s">
        <v>5394</v>
      </c>
      <c r="D2448" s="219">
        <v>1.0</v>
      </c>
      <c r="E2448" s="218">
        <v>9000.0</v>
      </c>
      <c r="G2448" s="220">
        <v>43333.0</v>
      </c>
    </row>
    <row r="2449">
      <c r="A2449" s="217">
        <v>43348.58896392361</v>
      </c>
      <c r="B2449" s="218" t="s">
        <v>5184</v>
      </c>
      <c r="C2449" s="218" t="s">
        <v>5806</v>
      </c>
      <c r="D2449" s="219">
        <v>1.0</v>
      </c>
      <c r="E2449" s="218">
        <v>500.0</v>
      </c>
      <c r="F2449" s="3" t="s">
        <v>5787</v>
      </c>
      <c r="G2449" s="220">
        <v>43368.0</v>
      </c>
    </row>
    <row r="2450">
      <c r="A2450" s="217">
        <v>43348.589557604166</v>
      </c>
      <c r="B2450" s="218" t="s">
        <v>5184</v>
      </c>
      <c r="C2450" s="218" t="s">
        <v>6038</v>
      </c>
      <c r="D2450" s="219">
        <v>1.0</v>
      </c>
      <c r="E2450" s="218">
        <v>400.0</v>
      </c>
      <c r="G2450" s="220">
        <v>43337.0</v>
      </c>
    </row>
    <row r="2451">
      <c r="A2451" s="217">
        <v>43348.590185196765</v>
      </c>
      <c r="B2451" s="218" t="s">
        <v>5184</v>
      </c>
      <c r="C2451" s="218" t="s">
        <v>5806</v>
      </c>
      <c r="D2451" s="219">
        <v>1.0</v>
      </c>
      <c r="E2451" s="218">
        <v>500.0</v>
      </c>
      <c r="F2451" s="3" t="s">
        <v>5787</v>
      </c>
      <c r="G2451" s="220">
        <v>43337.0</v>
      </c>
    </row>
    <row r="2452">
      <c r="A2452" s="217">
        <v>43348.59132158565</v>
      </c>
      <c r="B2452" s="218" t="s">
        <v>5184</v>
      </c>
      <c r="C2452" s="218" t="s">
        <v>7084</v>
      </c>
      <c r="D2452" s="219">
        <v>1.0</v>
      </c>
      <c r="E2452" s="218">
        <v>500.0</v>
      </c>
      <c r="G2452" s="220">
        <v>43338.0</v>
      </c>
    </row>
    <row r="2453">
      <c r="A2453" s="217">
        <v>43348.59230528935</v>
      </c>
      <c r="B2453" s="218" t="s">
        <v>5184</v>
      </c>
      <c r="C2453" s="218" t="s">
        <v>5782</v>
      </c>
      <c r="D2453" s="219">
        <v>1.0</v>
      </c>
      <c r="E2453" s="218">
        <v>400.0</v>
      </c>
      <c r="F2453" s="3" t="s">
        <v>5787</v>
      </c>
      <c r="G2453" s="220">
        <v>43339.0</v>
      </c>
    </row>
    <row r="2454">
      <c r="A2454" s="217">
        <v>43348.59323246528</v>
      </c>
      <c r="B2454" s="218" t="s">
        <v>5184</v>
      </c>
      <c r="C2454" s="218" t="s">
        <v>5806</v>
      </c>
      <c r="D2454" s="219">
        <v>1.0</v>
      </c>
      <c r="E2454" s="218">
        <v>400.0</v>
      </c>
      <c r="F2454" s="3" t="s">
        <v>5787</v>
      </c>
      <c r="G2454" s="220">
        <v>43339.0</v>
      </c>
    </row>
    <row r="2455">
      <c r="A2455" s="217">
        <v>43348.593699652774</v>
      </c>
      <c r="B2455" s="218" t="s">
        <v>5184</v>
      </c>
      <c r="C2455" s="218" t="s">
        <v>6053</v>
      </c>
      <c r="D2455" s="219">
        <v>1.0</v>
      </c>
      <c r="E2455" s="218">
        <v>300.0</v>
      </c>
      <c r="G2455" s="220">
        <v>43339.0</v>
      </c>
    </row>
    <row r="2456">
      <c r="A2456" s="217">
        <v>43348.594732627316</v>
      </c>
      <c r="B2456" s="218" t="s">
        <v>5184</v>
      </c>
      <c r="C2456" s="218" t="s">
        <v>5804</v>
      </c>
      <c r="D2456" s="219">
        <v>1.0</v>
      </c>
      <c r="E2456" s="218">
        <v>300.0</v>
      </c>
      <c r="F2456" s="3" t="s">
        <v>5787</v>
      </c>
      <c r="G2456" s="220">
        <v>43340.0</v>
      </c>
    </row>
    <row r="2457">
      <c r="A2457" s="217">
        <v>43348.5952219676</v>
      </c>
      <c r="B2457" s="218" t="s">
        <v>5184</v>
      </c>
      <c r="C2457" s="218" t="s">
        <v>5782</v>
      </c>
      <c r="D2457" s="219">
        <v>1.0</v>
      </c>
      <c r="E2457" s="218">
        <v>300.0</v>
      </c>
      <c r="G2457" s="220">
        <v>43340.0</v>
      </c>
    </row>
    <row r="2458">
      <c r="A2458" s="217">
        <v>43348.59578553241</v>
      </c>
      <c r="B2458" s="218" t="s">
        <v>5184</v>
      </c>
      <c r="C2458" s="218" t="s">
        <v>5848</v>
      </c>
      <c r="D2458" s="219">
        <v>1.0</v>
      </c>
      <c r="E2458" s="218">
        <v>1000.0</v>
      </c>
      <c r="G2458" s="220">
        <v>43340.0</v>
      </c>
    </row>
    <row r="2459">
      <c r="A2459" s="217">
        <v>43348.5964396412</v>
      </c>
      <c r="B2459" s="218" t="s">
        <v>5184</v>
      </c>
      <c r="C2459" s="218" t="s">
        <v>5806</v>
      </c>
      <c r="D2459" s="219">
        <v>1.0</v>
      </c>
      <c r="E2459" s="218">
        <v>400.0</v>
      </c>
      <c r="F2459" s="3" t="s">
        <v>5787</v>
      </c>
      <c r="G2459" s="220">
        <v>43341.0</v>
      </c>
    </row>
    <row r="2460">
      <c r="A2460" s="217">
        <v>43348.59694754629</v>
      </c>
      <c r="B2460" s="218" t="s">
        <v>5184</v>
      </c>
      <c r="C2460" s="218" t="s">
        <v>6053</v>
      </c>
      <c r="D2460" s="219">
        <v>1.0</v>
      </c>
      <c r="E2460" s="218">
        <v>300.0</v>
      </c>
      <c r="G2460" s="220">
        <v>43342.0</v>
      </c>
    </row>
    <row r="2461">
      <c r="A2461" s="217">
        <v>43348.59778780093</v>
      </c>
      <c r="B2461" s="218" t="s">
        <v>5184</v>
      </c>
      <c r="C2461" s="218" t="s">
        <v>5845</v>
      </c>
      <c r="D2461" s="219">
        <v>1.0</v>
      </c>
      <c r="E2461" s="218">
        <v>500.0</v>
      </c>
      <c r="F2461" s="3" t="s">
        <v>5787</v>
      </c>
      <c r="G2461" s="220">
        <v>43342.0</v>
      </c>
    </row>
    <row r="2462">
      <c r="A2462" s="217">
        <v>43348.5985424074</v>
      </c>
      <c r="B2462" s="218" t="s">
        <v>5184</v>
      </c>
      <c r="C2462" s="218" t="s">
        <v>5782</v>
      </c>
      <c r="D2462" s="219">
        <v>1.0</v>
      </c>
      <c r="E2462" s="218">
        <v>300.0</v>
      </c>
      <c r="F2462" s="3" t="s">
        <v>5787</v>
      </c>
      <c r="G2462" s="220">
        <v>43342.0</v>
      </c>
    </row>
    <row r="2463">
      <c r="A2463" s="217">
        <v>43348.599220868055</v>
      </c>
      <c r="B2463" s="218" t="s">
        <v>5184</v>
      </c>
      <c r="C2463" s="218" t="s">
        <v>5782</v>
      </c>
      <c r="D2463" s="219">
        <v>1.0</v>
      </c>
      <c r="E2463" s="218">
        <v>300.0</v>
      </c>
      <c r="F2463" s="3" t="s">
        <v>5787</v>
      </c>
      <c r="G2463" s="220">
        <v>43343.0</v>
      </c>
    </row>
    <row r="2464">
      <c r="A2464" s="217">
        <v>43348.60027063657</v>
      </c>
      <c r="B2464" s="218" t="s">
        <v>5184</v>
      </c>
      <c r="C2464" s="218" t="s">
        <v>5806</v>
      </c>
      <c r="D2464" s="219">
        <v>1.0</v>
      </c>
      <c r="E2464" s="218">
        <v>400.0</v>
      </c>
      <c r="F2464" s="3" t="s">
        <v>5787</v>
      </c>
      <c r="G2464" s="220">
        <v>43343.0</v>
      </c>
    </row>
    <row r="2465">
      <c r="A2465" s="217">
        <v>43348.601046909724</v>
      </c>
      <c r="B2465" s="218" t="s">
        <v>5184</v>
      </c>
      <c r="C2465" s="218" t="s">
        <v>5806</v>
      </c>
      <c r="D2465" s="219">
        <v>1.0</v>
      </c>
      <c r="E2465" s="218">
        <v>400.0</v>
      </c>
      <c r="F2465" s="3" t="s">
        <v>5787</v>
      </c>
      <c r="G2465" s="220">
        <v>43343.0</v>
      </c>
    </row>
    <row r="2466">
      <c r="A2466" s="217">
        <v>43348.60194425926</v>
      </c>
      <c r="B2466" s="218" t="s">
        <v>5184</v>
      </c>
      <c r="C2466" s="218" t="s">
        <v>5804</v>
      </c>
      <c r="D2466" s="219">
        <v>1.0</v>
      </c>
      <c r="E2466" s="218">
        <v>300.0</v>
      </c>
      <c r="F2466" s="3" t="s">
        <v>5787</v>
      </c>
      <c r="G2466" s="220">
        <v>43343.0</v>
      </c>
    </row>
    <row r="2467">
      <c r="A2467" s="217">
        <v>43348.60293155092</v>
      </c>
      <c r="B2467" s="218" t="s">
        <v>5184</v>
      </c>
      <c r="C2467" s="218" t="s">
        <v>5806</v>
      </c>
      <c r="D2467" s="219">
        <v>1.0</v>
      </c>
      <c r="E2467" s="218">
        <v>400.0</v>
      </c>
      <c r="F2467" s="3" t="s">
        <v>5787</v>
      </c>
      <c r="G2467" s="220">
        <v>43343.0</v>
      </c>
    </row>
    <row r="2468">
      <c r="A2468" s="217">
        <v>43348.60341311342</v>
      </c>
      <c r="B2468" s="218" t="s">
        <v>5184</v>
      </c>
      <c r="C2468" s="218" t="s">
        <v>6053</v>
      </c>
      <c r="D2468" s="219">
        <v>1.0</v>
      </c>
      <c r="E2468" s="218">
        <v>300.0</v>
      </c>
      <c r="F2468" s="3" t="s">
        <v>5787</v>
      </c>
      <c r="G2468" s="220">
        <v>43343.0</v>
      </c>
    </row>
    <row r="2469">
      <c r="A2469" s="217">
        <v>43348.605315023146</v>
      </c>
      <c r="B2469" s="218" t="s">
        <v>5184</v>
      </c>
      <c r="C2469" s="218" t="s">
        <v>6196</v>
      </c>
      <c r="D2469" s="219">
        <v>1.0</v>
      </c>
      <c r="E2469" s="24"/>
      <c r="G2469" s="220">
        <v>43342.0</v>
      </c>
    </row>
    <row r="2470">
      <c r="A2470" s="217">
        <v>43348.606245462965</v>
      </c>
      <c r="B2470" s="218" t="s">
        <v>5184</v>
      </c>
      <c r="C2470" s="218" t="s">
        <v>6652</v>
      </c>
      <c r="D2470" s="219">
        <v>1.0</v>
      </c>
      <c r="E2470" s="24"/>
      <c r="G2470" s="220">
        <v>43342.0</v>
      </c>
    </row>
    <row r="2471">
      <c r="A2471" s="217">
        <v>43348.606967569445</v>
      </c>
      <c r="B2471" s="218" t="s">
        <v>5184</v>
      </c>
      <c r="C2471" s="218" t="s">
        <v>1461</v>
      </c>
      <c r="D2471" s="219">
        <v>1.0</v>
      </c>
      <c r="E2471" s="218">
        <v>1800.0</v>
      </c>
      <c r="G2471" s="220">
        <v>43342.0</v>
      </c>
    </row>
    <row r="2472">
      <c r="A2472" s="217">
        <v>43348.60831630787</v>
      </c>
      <c r="B2472" s="218" t="s">
        <v>5184</v>
      </c>
      <c r="C2472" s="218" t="s">
        <v>6194</v>
      </c>
      <c r="D2472" s="219">
        <v>1.0</v>
      </c>
      <c r="E2472" s="24"/>
      <c r="G2472" s="220">
        <v>43342.0</v>
      </c>
    </row>
    <row r="2473">
      <c r="A2473" s="217">
        <v>43348.60917487269</v>
      </c>
      <c r="B2473" s="218" t="s">
        <v>5184</v>
      </c>
      <c r="C2473" s="218" t="s">
        <v>1851</v>
      </c>
      <c r="D2473" s="219">
        <v>1.0</v>
      </c>
      <c r="E2473" s="24"/>
      <c r="G2473" s="220">
        <v>43342.0</v>
      </c>
    </row>
    <row r="2474">
      <c r="A2474" s="217">
        <v>43348.609941145834</v>
      </c>
      <c r="B2474" s="218" t="s">
        <v>5184</v>
      </c>
      <c r="C2474" s="218" t="s">
        <v>6183</v>
      </c>
      <c r="D2474" s="219">
        <v>1.0</v>
      </c>
      <c r="E2474" s="24"/>
      <c r="G2474" s="220">
        <v>43342.0</v>
      </c>
    </row>
    <row r="2475">
      <c r="A2475" s="217">
        <v>43348.61060759259</v>
      </c>
      <c r="B2475" s="218" t="s">
        <v>5184</v>
      </c>
      <c r="C2475" s="218" t="s">
        <v>6206</v>
      </c>
      <c r="D2475" s="219">
        <v>1.0</v>
      </c>
      <c r="E2475" s="24"/>
      <c r="G2475" s="220">
        <v>43342.0</v>
      </c>
    </row>
    <row r="2476">
      <c r="A2476" s="217">
        <v>43348.61141146991</v>
      </c>
      <c r="B2476" s="218" t="s">
        <v>5184</v>
      </c>
      <c r="C2476" s="218" t="s">
        <v>6204</v>
      </c>
      <c r="D2476" s="219">
        <v>1.0</v>
      </c>
      <c r="E2476" s="24"/>
      <c r="G2476" s="220">
        <v>43342.0</v>
      </c>
    </row>
    <row r="2477">
      <c r="A2477" s="217">
        <v>43350.679513634255</v>
      </c>
      <c r="B2477" s="218" t="s">
        <v>5184</v>
      </c>
      <c r="C2477" s="218" t="s">
        <v>6195</v>
      </c>
      <c r="D2477" s="219">
        <v>1.0</v>
      </c>
      <c r="E2477" s="24"/>
      <c r="G2477" s="220">
        <v>43342.0</v>
      </c>
    </row>
    <row r="2478">
      <c r="A2478" s="217">
        <v>43350.68027142361</v>
      </c>
      <c r="B2478" s="218" t="s">
        <v>5184</v>
      </c>
      <c r="C2478" s="218" t="s">
        <v>1885</v>
      </c>
      <c r="D2478" s="219">
        <v>1.0</v>
      </c>
      <c r="E2478" s="24"/>
      <c r="G2478" s="220">
        <v>43342.0</v>
      </c>
    </row>
    <row r="2479">
      <c r="A2479" s="217">
        <v>43350.68129623843</v>
      </c>
      <c r="B2479" s="218" t="s">
        <v>5184</v>
      </c>
      <c r="C2479" s="218" t="s">
        <v>1883</v>
      </c>
      <c r="D2479" s="219">
        <v>1.0</v>
      </c>
      <c r="E2479" s="24"/>
      <c r="G2479" s="220">
        <v>43342.0</v>
      </c>
    </row>
    <row r="2480">
      <c r="A2480" s="217">
        <v>43350.68262237268</v>
      </c>
      <c r="B2480" s="218" t="s">
        <v>5184</v>
      </c>
      <c r="C2480" s="218" t="s">
        <v>6199</v>
      </c>
      <c r="D2480" s="219">
        <v>1.0</v>
      </c>
      <c r="E2480" s="24"/>
      <c r="G2480" s="220">
        <v>43342.0</v>
      </c>
    </row>
    <row r="2481">
      <c r="A2481" s="217">
        <v>43350.68348394676</v>
      </c>
      <c r="B2481" s="218" t="s">
        <v>5184</v>
      </c>
      <c r="C2481" s="218" t="s">
        <v>6198</v>
      </c>
      <c r="D2481" s="219">
        <v>1.0</v>
      </c>
      <c r="E2481" s="24"/>
      <c r="G2481" s="220">
        <v>43342.0</v>
      </c>
    </row>
    <row r="2482">
      <c r="A2482" s="217">
        <v>43350.684672152776</v>
      </c>
      <c r="B2482" s="218" t="s">
        <v>5184</v>
      </c>
      <c r="C2482" s="218" t="s">
        <v>6208</v>
      </c>
      <c r="D2482" s="219">
        <v>1.0</v>
      </c>
      <c r="E2482" s="24"/>
      <c r="G2482" s="220">
        <v>43342.0</v>
      </c>
    </row>
    <row r="2483">
      <c r="A2483" s="217">
        <v>43350.685921701384</v>
      </c>
      <c r="B2483" s="218" t="s">
        <v>5184</v>
      </c>
      <c r="C2483" s="218" t="s">
        <v>6207</v>
      </c>
      <c r="D2483" s="219">
        <v>1.0</v>
      </c>
      <c r="E2483" s="24"/>
      <c r="G2483" s="220">
        <v>43342.0</v>
      </c>
    </row>
    <row r="2484">
      <c r="A2484" s="217">
        <v>43350.68739951389</v>
      </c>
      <c r="B2484" s="218" t="s">
        <v>5184</v>
      </c>
      <c r="C2484" s="218" t="s">
        <v>7096</v>
      </c>
      <c r="D2484" s="219">
        <v>1.0</v>
      </c>
      <c r="E2484" s="24"/>
      <c r="G2484" s="220">
        <v>43342.0</v>
      </c>
    </row>
    <row r="2485">
      <c r="A2485" s="217">
        <v>43350.688050428245</v>
      </c>
      <c r="B2485" s="218" t="s">
        <v>5184</v>
      </c>
      <c r="C2485" s="218" t="s">
        <v>6288</v>
      </c>
      <c r="D2485" s="219">
        <v>1.0</v>
      </c>
      <c r="E2485" s="24"/>
      <c r="G2485" s="220">
        <v>43342.0</v>
      </c>
    </row>
    <row r="2486">
      <c r="A2486" s="217">
        <v>43350.68877842593</v>
      </c>
      <c r="B2486" s="218" t="s">
        <v>5184</v>
      </c>
      <c r="C2486" s="218" t="s">
        <v>6286</v>
      </c>
      <c r="D2486" s="219">
        <v>1.0</v>
      </c>
      <c r="E2486" s="24"/>
      <c r="G2486" s="220">
        <v>43342.0</v>
      </c>
    </row>
    <row r="2487">
      <c r="A2487" s="217">
        <v>43350.689459444446</v>
      </c>
      <c r="B2487" s="218" t="s">
        <v>5184</v>
      </c>
      <c r="C2487" s="218" t="s">
        <v>5537</v>
      </c>
      <c r="D2487" s="219">
        <v>1.0</v>
      </c>
      <c r="E2487" s="24"/>
      <c r="G2487" s="220">
        <v>43342.0</v>
      </c>
    </row>
    <row r="2488">
      <c r="A2488" s="217">
        <v>43350.69019013889</v>
      </c>
      <c r="B2488" s="218" t="s">
        <v>5184</v>
      </c>
      <c r="C2488" s="218" t="s">
        <v>1461</v>
      </c>
      <c r="D2488" s="219">
        <v>1.0</v>
      </c>
      <c r="E2488" s="218">
        <v>1800.0</v>
      </c>
      <c r="G2488" s="220">
        <v>43342.0</v>
      </c>
    </row>
    <row r="2489">
      <c r="A2489" s="217">
        <v>43350.69085734954</v>
      </c>
      <c r="B2489" s="218" t="s">
        <v>5184</v>
      </c>
      <c r="C2489" s="218" t="s">
        <v>6652</v>
      </c>
      <c r="D2489" s="219">
        <v>1.0</v>
      </c>
      <c r="E2489" s="24"/>
      <c r="G2489" s="220">
        <v>43344.0</v>
      </c>
    </row>
    <row r="2490">
      <c r="A2490" s="217">
        <v>43350.69156032408</v>
      </c>
      <c r="B2490" s="218" t="s">
        <v>5184</v>
      </c>
      <c r="C2490" s="218" t="s">
        <v>6177</v>
      </c>
      <c r="D2490" s="219">
        <v>1.0</v>
      </c>
      <c r="E2490" s="24"/>
      <c r="G2490" s="220">
        <v>43344.0</v>
      </c>
    </row>
    <row r="2491">
      <c r="A2491" s="217">
        <v>43350.69225107639</v>
      </c>
      <c r="B2491" s="218" t="s">
        <v>5184</v>
      </c>
      <c r="C2491" s="218" t="s">
        <v>6184</v>
      </c>
      <c r="D2491" s="219">
        <v>1.0</v>
      </c>
      <c r="E2491" s="24"/>
      <c r="G2491" s="220">
        <v>43344.0</v>
      </c>
    </row>
    <row r="2492">
      <c r="A2492" s="217">
        <v>43350.693312800926</v>
      </c>
      <c r="B2492" s="218" t="s">
        <v>5184</v>
      </c>
      <c r="C2492" s="218" t="s">
        <v>1859</v>
      </c>
      <c r="D2492" s="219">
        <v>1.0</v>
      </c>
      <c r="E2492" s="24"/>
      <c r="G2492" s="220">
        <v>43344.0</v>
      </c>
    </row>
    <row r="2493">
      <c r="A2493" s="217">
        <v>43350.69417138889</v>
      </c>
      <c r="B2493" s="218" t="s">
        <v>5184</v>
      </c>
      <c r="C2493" s="218" t="s">
        <v>1857</v>
      </c>
      <c r="D2493" s="219">
        <v>1.0</v>
      </c>
      <c r="E2493" s="24"/>
      <c r="G2493" s="220">
        <v>43344.0</v>
      </c>
    </row>
    <row r="2494">
      <c r="A2494" s="217">
        <v>43350.69471260416</v>
      </c>
      <c r="B2494" s="218" t="s">
        <v>5184</v>
      </c>
      <c r="C2494" s="218" t="s">
        <v>5125</v>
      </c>
      <c r="D2494" s="219">
        <v>1.0</v>
      </c>
      <c r="E2494" s="24"/>
      <c r="G2494" s="220">
        <v>43344.0</v>
      </c>
    </row>
    <row r="2495">
      <c r="A2495" s="217">
        <v>43350.695412615736</v>
      </c>
      <c r="B2495" s="218" t="s">
        <v>5184</v>
      </c>
      <c r="C2495" s="218" t="s">
        <v>1856</v>
      </c>
      <c r="D2495" s="219">
        <v>1.0</v>
      </c>
      <c r="E2495" s="24"/>
      <c r="G2495" s="220">
        <v>43344.0</v>
      </c>
    </row>
    <row r="2496">
      <c r="A2496" s="217">
        <v>43350.69609413194</v>
      </c>
      <c r="B2496" s="218" t="s">
        <v>5184</v>
      </c>
      <c r="C2496" s="218" t="s">
        <v>6254</v>
      </c>
      <c r="D2496" s="219">
        <v>1.0</v>
      </c>
      <c r="E2496" s="24"/>
      <c r="G2496" s="220">
        <v>43344.0</v>
      </c>
    </row>
    <row r="2497">
      <c r="A2497" s="217">
        <v>43350.696717812505</v>
      </c>
      <c r="B2497" s="218" t="s">
        <v>5184</v>
      </c>
      <c r="C2497" s="218" t="s">
        <v>1828</v>
      </c>
      <c r="D2497" s="219">
        <v>1.0</v>
      </c>
      <c r="E2497" s="24"/>
      <c r="G2497" s="220">
        <v>43344.0</v>
      </c>
    </row>
    <row r="2498">
      <c r="A2498" s="217">
        <v>43350.697701689816</v>
      </c>
      <c r="B2498" s="218" t="s">
        <v>5184</v>
      </c>
      <c r="C2498" s="218" t="s">
        <v>6643</v>
      </c>
      <c r="D2498" s="219">
        <v>1.0</v>
      </c>
      <c r="E2498" s="24"/>
      <c r="G2498" s="220">
        <v>43344.0</v>
      </c>
    </row>
    <row r="2499">
      <c r="A2499" s="217">
        <v>43350.69829909722</v>
      </c>
      <c r="B2499" s="218" t="s">
        <v>5184</v>
      </c>
      <c r="C2499" s="218" t="s">
        <v>6642</v>
      </c>
      <c r="D2499" s="219">
        <v>1.0</v>
      </c>
      <c r="E2499" s="24"/>
      <c r="G2499" s="220">
        <v>43344.0</v>
      </c>
    </row>
    <row r="2500">
      <c r="A2500" s="217">
        <v>43350.69895092593</v>
      </c>
      <c r="B2500" s="218" t="s">
        <v>5184</v>
      </c>
      <c r="C2500" s="218" t="s">
        <v>1854</v>
      </c>
      <c r="D2500" s="219">
        <v>1.0</v>
      </c>
      <c r="E2500" s="24"/>
      <c r="G2500" s="220">
        <v>43344.0</v>
      </c>
    </row>
    <row r="2501">
      <c r="A2501" s="217">
        <v>43350.699646469904</v>
      </c>
      <c r="B2501" s="218" t="s">
        <v>5184</v>
      </c>
      <c r="C2501" s="218" t="s">
        <v>1848</v>
      </c>
      <c r="D2501" s="219">
        <v>1.0</v>
      </c>
      <c r="E2501" s="24"/>
      <c r="G2501" s="220">
        <v>43344.0</v>
      </c>
    </row>
    <row r="2502">
      <c r="A2502" s="217">
        <v>43350.70025109954</v>
      </c>
      <c r="B2502" s="218" t="s">
        <v>5184</v>
      </c>
      <c r="C2502" s="218" t="s">
        <v>1846</v>
      </c>
      <c r="D2502" s="219">
        <v>1.0</v>
      </c>
      <c r="E2502" s="24"/>
      <c r="G2502" s="220">
        <v>43344.0</v>
      </c>
    </row>
    <row r="2503">
      <c r="A2503" s="217">
        <v>43350.70101253472</v>
      </c>
      <c r="B2503" s="218" t="s">
        <v>5184</v>
      </c>
      <c r="C2503" s="218" t="s">
        <v>5121</v>
      </c>
      <c r="D2503" s="219">
        <v>1.0</v>
      </c>
      <c r="E2503" s="24"/>
      <c r="G2503" s="220">
        <v>43344.0</v>
      </c>
    </row>
    <row r="2504">
      <c r="A2504" s="217">
        <v>43350.70168171296</v>
      </c>
      <c r="B2504" s="218" t="s">
        <v>5184</v>
      </c>
      <c r="C2504" s="218" t="s">
        <v>5129</v>
      </c>
      <c r="D2504" s="219">
        <v>2.0</v>
      </c>
      <c r="E2504" s="24"/>
      <c r="G2504" s="220">
        <v>43344.0</v>
      </c>
    </row>
    <row r="2505">
      <c r="A2505" s="217">
        <v>43350.70255854167</v>
      </c>
      <c r="B2505" s="218" t="s">
        <v>5184</v>
      </c>
      <c r="C2505" s="218" t="s">
        <v>6656</v>
      </c>
      <c r="D2505" s="219">
        <v>1.0</v>
      </c>
      <c r="E2505" s="24"/>
      <c r="G2505" s="220">
        <v>43344.0</v>
      </c>
    </row>
    <row r="2506">
      <c r="A2506" s="217">
        <v>43350.70313850694</v>
      </c>
      <c r="B2506" s="218" t="s">
        <v>5184</v>
      </c>
      <c r="C2506" s="218" t="s">
        <v>7097</v>
      </c>
      <c r="D2506" s="219">
        <v>1.0</v>
      </c>
      <c r="E2506" s="24"/>
      <c r="G2506" s="220">
        <v>43344.0</v>
      </c>
    </row>
    <row r="2507">
      <c r="A2507" s="217">
        <v>43350.703713124996</v>
      </c>
      <c r="B2507" s="218" t="s">
        <v>5184</v>
      </c>
      <c r="C2507" s="218" t="s">
        <v>6354</v>
      </c>
      <c r="D2507" s="219">
        <v>1.0</v>
      </c>
      <c r="E2507" s="24"/>
      <c r="G2507" s="220">
        <v>43344.0</v>
      </c>
    </row>
    <row r="2508">
      <c r="A2508" s="217">
        <v>43350.70429792824</v>
      </c>
      <c r="B2508" s="218" t="s">
        <v>5184</v>
      </c>
      <c r="C2508" s="218" t="s">
        <v>5102</v>
      </c>
      <c r="D2508" s="219">
        <v>1.0</v>
      </c>
      <c r="E2508" s="24"/>
      <c r="G2508" s="220">
        <v>43344.0</v>
      </c>
    </row>
    <row r="2509">
      <c r="A2509" s="217">
        <v>43350.70494826389</v>
      </c>
      <c r="B2509" s="218" t="s">
        <v>5184</v>
      </c>
      <c r="C2509" s="218" t="s">
        <v>5103</v>
      </c>
      <c r="D2509" s="219">
        <v>2.0</v>
      </c>
      <c r="E2509" s="24"/>
      <c r="G2509" s="220">
        <v>43344.0</v>
      </c>
    </row>
    <row r="2510">
      <c r="A2510" s="217">
        <v>43350.70567704861</v>
      </c>
      <c r="B2510" s="218" t="s">
        <v>5184</v>
      </c>
      <c r="C2510" s="218" t="s">
        <v>6648</v>
      </c>
      <c r="D2510" s="219">
        <v>1.0</v>
      </c>
      <c r="E2510" s="24"/>
      <c r="G2510" s="220">
        <v>43344.0</v>
      </c>
    </row>
    <row r="2511">
      <c r="A2511" s="217">
        <v>43350.706446550925</v>
      </c>
      <c r="B2511" s="218" t="s">
        <v>5184</v>
      </c>
      <c r="C2511" s="218" t="s">
        <v>1843</v>
      </c>
      <c r="D2511" s="219">
        <v>1.0</v>
      </c>
      <c r="E2511" s="24"/>
      <c r="G2511" s="220">
        <v>43344.0</v>
      </c>
    </row>
    <row r="2512">
      <c r="A2512" s="217">
        <v>43350.70717807871</v>
      </c>
      <c r="B2512" s="218" t="s">
        <v>5184</v>
      </c>
      <c r="C2512" s="218" t="s">
        <v>1839</v>
      </c>
      <c r="D2512" s="219">
        <v>1.0</v>
      </c>
      <c r="E2512" s="24"/>
      <c r="G2512" s="220">
        <v>43344.0</v>
      </c>
    </row>
    <row r="2513">
      <c r="A2513" s="217">
        <v>43350.707987974536</v>
      </c>
      <c r="B2513" s="218" t="s">
        <v>5184</v>
      </c>
      <c r="C2513" s="218" t="s">
        <v>1813</v>
      </c>
      <c r="D2513" s="219">
        <v>2.0</v>
      </c>
      <c r="E2513" s="24"/>
      <c r="G2513" s="220">
        <v>43344.0</v>
      </c>
    </row>
    <row r="2514">
      <c r="A2514" s="217">
        <v>43350.70876674769</v>
      </c>
      <c r="B2514" s="218" t="s">
        <v>5184</v>
      </c>
      <c r="C2514" s="218" t="s">
        <v>2185</v>
      </c>
      <c r="D2514" s="219">
        <v>1.0</v>
      </c>
      <c r="E2514" s="24"/>
      <c r="G2514" s="220">
        <v>43344.0</v>
      </c>
    </row>
    <row r="2515">
      <c r="A2515" s="217">
        <v>43350.70939013889</v>
      </c>
      <c r="B2515" s="218" t="s">
        <v>5184</v>
      </c>
      <c r="C2515" s="218" t="s">
        <v>5381</v>
      </c>
      <c r="D2515" s="219">
        <v>1.0</v>
      </c>
      <c r="E2515" s="24"/>
      <c r="G2515" s="220">
        <v>43344.0</v>
      </c>
    </row>
    <row r="2516">
      <c r="A2516" s="217">
        <v>43350.71018552083</v>
      </c>
      <c r="B2516" s="218" t="s">
        <v>5184</v>
      </c>
      <c r="C2516" s="218" t="s">
        <v>2763</v>
      </c>
      <c r="D2516" s="219">
        <v>1.0</v>
      </c>
      <c r="E2516" s="24"/>
      <c r="G2516" s="220">
        <v>43344.0</v>
      </c>
    </row>
    <row r="2517">
      <c r="A2517" s="217">
        <v>43350.71090478009</v>
      </c>
      <c r="B2517" s="218" t="s">
        <v>5184</v>
      </c>
      <c r="C2517" s="218" t="s">
        <v>1294</v>
      </c>
      <c r="D2517" s="219">
        <v>1.0</v>
      </c>
      <c r="E2517" s="24"/>
      <c r="G2517" s="220">
        <v>43344.0</v>
      </c>
    </row>
    <row r="2518">
      <c r="A2518" s="217">
        <v>43350.712052511575</v>
      </c>
      <c r="B2518" s="218" t="s">
        <v>5184</v>
      </c>
      <c r="C2518" s="218" t="s">
        <v>6184</v>
      </c>
      <c r="D2518" s="219">
        <v>1.0</v>
      </c>
      <c r="E2518" s="24"/>
      <c r="G2518" s="220">
        <v>43344.0</v>
      </c>
    </row>
    <row r="2519">
      <c r="A2519" s="217">
        <v>43350.72805896991</v>
      </c>
      <c r="B2519" s="218" t="s">
        <v>5184</v>
      </c>
      <c r="C2519" s="218" t="s">
        <v>1859</v>
      </c>
      <c r="D2519" s="219">
        <v>1.0</v>
      </c>
      <c r="E2519" s="24"/>
      <c r="G2519" s="220">
        <v>43344.0</v>
      </c>
    </row>
    <row r="2520">
      <c r="A2520" s="217">
        <v>43350.72871163195</v>
      </c>
      <c r="B2520" s="218" t="s">
        <v>5184</v>
      </c>
      <c r="C2520" s="218" t="s">
        <v>1857</v>
      </c>
      <c r="D2520" s="219">
        <v>1.0</v>
      </c>
      <c r="E2520" s="24"/>
      <c r="G2520" s="220">
        <v>43344.0</v>
      </c>
    </row>
    <row r="2521">
      <c r="A2521" s="217">
        <v>43350.72925318287</v>
      </c>
      <c r="B2521" s="218" t="s">
        <v>5184</v>
      </c>
      <c r="C2521" s="218" t="s">
        <v>5125</v>
      </c>
      <c r="D2521" s="219">
        <v>1.0</v>
      </c>
      <c r="E2521" s="24"/>
      <c r="G2521" s="220">
        <v>43344.0</v>
      </c>
    </row>
    <row r="2522">
      <c r="A2522" s="217">
        <v>43350.729934560186</v>
      </c>
      <c r="B2522" s="218" t="s">
        <v>5184</v>
      </c>
      <c r="C2522" s="218" t="s">
        <v>5121</v>
      </c>
      <c r="D2522" s="219">
        <v>1.0</v>
      </c>
      <c r="E2522" s="24"/>
      <c r="G2522" s="220">
        <v>43344.0</v>
      </c>
    </row>
    <row r="2523">
      <c r="A2523" s="217">
        <v>43350.731506516204</v>
      </c>
      <c r="B2523" s="218" t="s">
        <v>5184</v>
      </c>
      <c r="C2523" s="218" t="s">
        <v>7098</v>
      </c>
      <c r="D2523" s="219">
        <v>1.0</v>
      </c>
      <c r="E2523" s="24"/>
      <c r="G2523" s="220">
        <v>43344.0</v>
      </c>
    </row>
    <row r="2524">
      <c r="A2524" s="217">
        <v>43350.73207920139</v>
      </c>
      <c r="B2524" s="218" t="s">
        <v>5184</v>
      </c>
      <c r="C2524" s="218" t="s">
        <v>5132</v>
      </c>
      <c r="D2524" s="219">
        <v>2.0</v>
      </c>
      <c r="E2524" s="24"/>
      <c r="G2524" s="220">
        <v>43344.0</v>
      </c>
    </row>
    <row r="2525">
      <c r="A2525" s="217">
        <v>43350.732793159725</v>
      </c>
      <c r="B2525" s="218" t="s">
        <v>5184</v>
      </c>
      <c r="C2525" s="218" t="s">
        <v>6496</v>
      </c>
      <c r="D2525" s="219">
        <v>1.0</v>
      </c>
      <c r="E2525" s="24"/>
      <c r="G2525" s="220">
        <v>43344.0</v>
      </c>
    </row>
    <row r="2526">
      <c r="A2526" s="217">
        <v>43350.73376274305</v>
      </c>
      <c r="B2526" s="218" t="s">
        <v>5184</v>
      </c>
      <c r="C2526" s="218" t="s">
        <v>6662</v>
      </c>
      <c r="D2526" s="219">
        <v>1.0</v>
      </c>
      <c r="E2526" s="24"/>
      <c r="G2526" s="220">
        <v>43344.0</v>
      </c>
    </row>
    <row r="2527">
      <c r="A2527" s="217">
        <v>43350.734502824074</v>
      </c>
      <c r="B2527" s="218" t="s">
        <v>5184</v>
      </c>
      <c r="C2527" s="218" t="s">
        <v>6494</v>
      </c>
      <c r="D2527" s="219">
        <v>1.0</v>
      </c>
      <c r="E2527" s="24"/>
      <c r="G2527" s="220">
        <v>43344.0</v>
      </c>
    </row>
    <row r="2528">
      <c r="A2528" s="217">
        <v>43350.735328333336</v>
      </c>
      <c r="B2528" s="218" t="s">
        <v>5184</v>
      </c>
      <c r="C2528" s="218" t="s">
        <v>5162</v>
      </c>
      <c r="D2528" s="219">
        <v>1.0</v>
      </c>
      <c r="E2528" s="24"/>
      <c r="G2528" s="220">
        <v>43344.0</v>
      </c>
    </row>
    <row r="2529">
      <c r="A2529" s="217">
        <v>43350.73604193287</v>
      </c>
      <c r="B2529" s="218" t="s">
        <v>5184</v>
      </c>
      <c r="C2529" s="218" t="s">
        <v>5172</v>
      </c>
      <c r="D2529" s="219">
        <v>1.0</v>
      </c>
      <c r="E2529" s="24"/>
      <c r="G2529" s="220">
        <v>43344.0</v>
      </c>
    </row>
    <row r="2530">
      <c r="A2530" s="217">
        <v>43350.73684099537</v>
      </c>
      <c r="B2530" s="218" t="s">
        <v>5184</v>
      </c>
      <c r="C2530" s="218" t="s">
        <v>1878</v>
      </c>
      <c r="D2530" s="219">
        <v>1.0</v>
      </c>
      <c r="E2530" s="24"/>
      <c r="G2530" s="220">
        <v>43344.0</v>
      </c>
    </row>
    <row r="2531">
      <c r="A2531" s="217">
        <v>43350.73770467592</v>
      </c>
      <c r="B2531" s="218" t="s">
        <v>5184</v>
      </c>
      <c r="C2531" s="218" t="s">
        <v>5157</v>
      </c>
      <c r="D2531" s="219">
        <v>1.0</v>
      </c>
      <c r="E2531" s="24"/>
      <c r="G2531" s="220">
        <v>43344.0</v>
      </c>
    </row>
    <row r="2532">
      <c r="A2532" s="217">
        <v>43350.7387069213</v>
      </c>
      <c r="B2532" s="218" t="s">
        <v>5184</v>
      </c>
      <c r="C2532" s="218" t="s">
        <v>5352</v>
      </c>
      <c r="D2532" s="219">
        <v>1.0</v>
      </c>
      <c r="E2532" s="24"/>
      <c r="G2532" s="220">
        <v>43344.0</v>
      </c>
    </row>
    <row r="2533">
      <c r="A2533" s="217">
        <v>43350.73965491898</v>
      </c>
      <c r="B2533" s="218" t="s">
        <v>5184</v>
      </c>
      <c r="C2533" s="218" t="s">
        <v>5350</v>
      </c>
      <c r="D2533" s="219">
        <v>1.0</v>
      </c>
      <c r="E2533" s="24"/>
      <c r="G2533" s="220">
        <v>43344.0</v>
      </c>
    </row>
    <row r="2534">
      <c r="A2534" s="217">
        <v>43350.740517592596</v>
      </c>
      <c r="B2534" s="218" t="s">
        <v>5184</v>
      </c>
      <c r="C2534" s="218" t="s">
        <v>2061</v>
      </c>
      <c r="D2534" s="219">
        <v>1.0</v>
      </c>
      <c r="E2534" s="24"/>
      <c r="G2534" s="220">
        <v>43344.0</v>
      </c>
    </row>
    <row r="2535">
      <c r="A2535" s="217">
        <v>43350.74101699074</v>
      </c>
      <c r="B2535" s="218" t="s">
        <v>5184</v>
      </c>
      <c r="C2535" s="218" t="s">
        <v>5364</v>
      </c>
      <c r="D2535" s="219">
        <v>1.0</v>
      </c>
      <c r="E2535" s="24"/>
      <c r="G2535" s="220">
        <v>43344.0</v>
      </c>
    </row>
    <row r="2536">
      <c r="A2536" s="217">
        <v>43350.741577141205</v>
      </c>
      <c r="B2536" s="218" t="s">
        <v>5184</v>
      </c>
      <c r="C2536" s="218" t="s">
        <v>5391</v>
      </c>
      <c r="D2536" s="219">
        <v>2.0</v>
      </c>
      <c r="E2536" s="24"/>
      <c r="G2536" s="220">
        <v>43344.0</v>
      </c>
    </row>
    <row r="2537">
      <c r="A2537" s="217">
        <v>43350.74233476852</v>
      </c>
      <c r="B2537" s="218" t="s">
        <v>5184</v>
      </c>
      <c r="C2537" s="218" t="s">
        <v>5366</v>
      </c>
      <c r="D2537" s="219">
        <v>1.0</v>
      </c>
      <c r="E2537" s="24"/>
      <c r="G2537" s="220">
        <v>43344.0</v>
      </c>
    </row>
    <row r="2538">
      <c r="A2538" s="217">
        <v>43350.74283320602</v>
      </c>
      <c r="B2538" s="218" t="s">
        <v>5184</v>
      </c>
      <c r="C2538" s="218" t="s">
        <v>6843</v>
      </c>
      <c r="D2538" s="219">
        <v>1.0</v>
      </c>
      <c r="E2538" s="24"/>
      <c r="G2538" s="220">
        <v>43344.0</v>
      </c>
    </row>
    <row r="2539">
      <c r="A2539" s="217">
        <v>43350.74518611111</v>
      </c>
      <c r="B2539" s="218" t="s">
        <v>5184</v>
      </c>
      <c r="C2539" s="218" t="s">
        <v>5390</v>
      </c>
      <c r="D2539" s="219">
        <v>1.0</v>
      </c>
      <c r="E2539" s="24"/>
      <c r="G2539" s="220">
        <v>43344.0</v>
      </c>
    </row>
    <row r="2540">
      <c r="A2540" s="217">
        <v>43350.74679366898</v>
      </c>
      <c r="B2540" s="218" t="s">
        <v>5184</v>
      </c>
      <c r="C2540" s="218" t="s">
        <v>5395</v>
      </c>
      <c r="D2540" s="219">
        <v>1.0</v>
      </c>
      <c r="E2540" s="24"/>
      <c r="G2540" s="220">
        <v>43344.0</v>
      </c>
    </row>
    <row r="2541">
      <c r="A2541" s="217">
        <v>43350.74729222222</v>
      </c>
      <c r="B2541" s="218" t="s">
        <v>5184</v>
      </c>
      <c r="C2541" s="218" t="s">
        <v>5368</v>
      </c>
      <c r="D2541" s="219">
        <v>1.0</v>
      </c>
      <c r="E2541" s="24"/>
      <c r="G2541" s="220">
        <v>43344.0</v>
      </c>
    </row>
    <row r="2542">
      <c r="A2542" s="217">
        <v>43350.74843173611</v>
      </c>
      <c r="B2542" s="218" t="s">
        <v>5184</v>
      </c>
      <c r="C2542" s="218" t="s">
        <v>5493</v>
      </c>
      <c r="D2542" s="219">
        <v>2.0</v>
      </c>
      <c r="E2542" s="24"/>
      <c r="G2542" s="220">
        <v>43344.0</v>
      </c>
    </row>
    <row r="2543">
      <c r="A2543" s="217">
        <v>43350.751640937495</v>
      </c>
      <c r="B2543" s="218" t="s">
        <v>5184</v>
      </c>
      <c r="C2543" s="218" t="s">
        <v>6314</v>
      </c>
      <c r="D2543" s="219">
        <v>1.0</v>
      </c>
      <c r="E2543" s="24"/>
      <c r="G2543" s="220">
        <v>43344.0</v>
      </c>
    </row>
    <row r="2544">
      <c r="A2544" s="217">
        <v>43351.46780708333</v>
      </c>
      <c r="B2544" s="218" t="s">
        <v>5184</v>
      </c>
      <c r="C2544" s="218" t="s">
        <v>2146</v>
      </c>
      <c r="D2544" s="219">
        <v>1.0</v>
      </c>
      <c r="E2544" s="24"/>
      <c r="G2544" s="220">
        <v>43344.0</v>
      </c>
    </row>
    <row r="2545">
      <c r="A2545" s="217">
        <v>43351.4683627662</v>
      </c>
      <c r="B2545" s="218" t="s">
        <v>5184</v>
      </c>
      <c r="C2545" s="218" t="s">
        <v>2108</v>
      </c>
      <c r="D2545" s="219">
        <v>1.0</v>
      </c>
      <c r="E2545" s="24"/>
      <c r="G2545" s="220">
        <v>43344.0</v>
      </c>
    </row>
    <row r="2546">
      <c r="A2546" s="217">
        <v>43351.46901869213</v>
      </c>
      <c r="B2546" s="218" t="s">
        <v>5184</v>
      </c>
      <c r="C2546" s="218" t="s">
        <v>5496</v>
      </c>
      <c r="D2546" s="219">
        <v>1.0</v>
      </c>
      <c r="E2546" s="24"/>
      <c r="G2546" s="220">
        <v>43344.0</v>
      </c>
    </row>
    <row r="2547">
      <c r="A2547" s="217">
        <v>43351.46940792824</v>
      </c>
      <c r="B2547" s="218" t="s">
        <v>5184</v>
      </c>
      <c r="C2547" s="218" t="s">
        <v>6716</v>
      </c>
      <c r="D2547" s="219">
        <v>1.0</v>
      </c>
      <c r="E2547" s="24"/>
      <c r="G2547" s="220">
        <v>43344.0</v>
      </c>
    </row>
    <row r="2548">
      <c r="A2548" s="217">
        <v>43351.469944490746</v>
      </c>
      <c r="B2548" s="218" t="s">
        <v>5184</v>
      </c>
      <c r="C2548" s="218" t="s">
        <v>2157</v>
      </c>
      <c r="D2548" s="219">
        <v>1.0</v>
      </c>
      <c r="E2548" s="24"/>
      <c r="G2548" s="220">
        <v>43344.0</v>
      </c>
    </row>
    <row r="2549">
      <c r="A2549" s="217">
        <v>43351.47041645834</v>
      </c>
      <c r="B2549" s="218" t="s">
        <v>5184</v>
      </c>
      <c r="C2549" s="218" t="s">
        <v>6319</v>
      </c>
      <c r="D2549" s="219">
        <v>3.0</v>
      </c>
      <c r="E2549" s="24"/>
      <c r="G2549" s="220">
        <v>43344.0</v>
      </c>
    </row>
    <row r="2550">
      <c r="A2550" s="217">
        <v>43351.47091768519</v>
      </c>
      <c r="B2550" s="218" t="s">
        <v>5184</v>
      </c>
      <c r="C2550" s="218" t="s">
        <v>2173</v>
      </c>
      <c r="D2550" s="219">
        <v>3.0</v>
      </c>
      <c r="E2550" s="24"/>
      <c r="G2550" s="220">
        <v>43344.0</v>
      </c>
    </row>
    <row r="2551">
      <c r="A2551" s="217">
        <v>43351.47132711805</v>
      </c>
      <c r="B2551" s="218" t="s">
        <v>5184</v>
      </c>
      <c r="C2551" s="218" t="s">
        <v>5516</v>
      </c>
      <c r="D2551" s="219">
        <v>2.0</v>
      </c>
      <c r="E2551" s="24"/>
      <c r="G2551" s="220">
        <v>43344.0</v>
      </c>
    </row>
    <row r="2552">
      <c r="A2552" s="217">
        <v>43351.47173939815</v>
      </c>
      <c r="B2552" s="218" t="s">
        <v>5184</v>
      </c>
      <c r="C2552" s="218" t="s">
        <v>2187</v>
      </c>
      <c r="D2552" s="219">
        <v>1.0</v>
      </c>
      <c r="E2552" s="24"/>
      <c r="G2552" s="220">
        <v>43344.0</v>
      </c>
    </row>
    <row r="2553">
      <c r="A2553" s="217">
        <v>43351.47221850694</v>
      </c>
      <c r="B2553" s="218" t="s">
        <v>5184</v>
      </c>
      <c r="C2553" s="218" t="s">
        <v>6339</v>
      </c>
      <c r="D2553" s="219">
        <v>4.0</v>
      </c>
      <c r="E2553" s="24"/>
      <c r="G2553" s="220">
        <v>43344.0</v>
      </c>
    </row>
    <row r="2554">
      <c r="A2554" s="217">
        <v>43351.47268449074</v>
      </c>
      <c r="B2554" s="218" t="s">
        <v>5184</v>
      </c>
      <c r="C2554" s="218" t="s">
        <v>2129</v>
      </c>
      <c r="D2554" s="219">
        <v>1.0</v>
      </c>
      <c r="E2554" s="24"/>
      <c r="G2554" s="220">
        <v>43344.0</v>
      </c>
    </row>
    <row r="2555">
      <c r="A2555" s="217">
        <v>43351.473184560185</v>
      </c>
      <c r="B2555" s="218" t="s">
        <v>5184</v>
      </c>
      <c r="C2555" s="218" t="s">
        <v>5514</v>
      </c>
      <c r="D2555" s="219">
        <v>1.0</v>
      </c>
      <c r="E2555" s="24"/>
      <c r="G2555" s="220">
        <v>43344.0</v>
      </c>
    </row>
    <row r="2556">
      <c r="A2556" s="217">
        <v>43351.47379746528</v>
      </c>
      <c r="B2556" s="218" t="s">
        <v>5184</v>
      </c>
      <c r="C2556" s="218" t="s">
        <v>5285</v>
      </c>
      <c r="D2556" s="219">
        <v>1.0</v>
      </c>
      <c r="E2556" s="24"/>
      <c r="G2556" s="220">
        <v>43344.0</v>
      </c>
    </row>
    <row r="2557">
      <c r="A2557" s="217">
        <v>43351.474228217594</v>
      </c>
      <c r="B2557" s="218" t="s">
        <v>5184</v>
      </c>
      <c r="C2557" s="218" t="s">
        <v>5288</v>
      </c>
      <c r="D2557" s="219">
        <v>1.0</v>
      </c>
      <c r="E2557" s="24"/>
      <c r="G2557" s="220">
        <v>43344.0</v>
      </c>
    </row>
    <row r="2558">
      <c r="A2558" s="217">
        <v>43351.476001585645</v>
      </c>
      <c r="B2558" s="218" t="s">
        <v>5184</v>
      </c>
      <c r="C2558" s="218" t="s">
        <v>7099</v>
      </c>
      <c r="D2558" s="219">
        <v>1.0</v>
      </c>
      <c r="E2558" s="24"/>
      <c r="G2558" s="220">
        <v>43344.0</v>
      </c>
    </row>
    <row r="2559">
      <c r="A2559" s="217">
        <v>43351.47725851852</v>
      </c>
      <c r="B2559" s="218" t="s">
        <v>5184</v>
      </c>
      <c r="C2559" s="218" t="s">
        <v>4523</v>
      </c>
      <c r="D2559" s="219">
        <v>1.0</v>
      </c>
      <c r="E2559" s="24"/>
      <c r="G2559" s="220">
        <v>43344.0</v>
      </c>
    </row>
    <row r="2560">
      <c r="A2560" s="217">
        <v>43351.47796743056</v>
      </c>
      <c r="B2560" s="218" t="s">
        <v>5184</v>
      </c>
      <c r="C2560" s="218" t="s">
        <v>4502</v>
      </c>
      <c r="D2560" s="219">
        <v>1.0</v>
      </c>
      <c r="E2560" s="24"/>
      <c r="G2560" s="220">
        <v>43344.0</v>
      </c>
    </row>
    <row r="2561">
      <c r="A2561" s="217">
        <v>43351.47842835648</v>
      </c>
      <c r="B2561" s="218" t="s">
        <v>5184</v>
      </c>
      <c r="C2561" s="218" t="s">
        <v>4539</v>
      </c>
      <c r="D2561" s="219">
        <v>1.0</v>
      </c>
      <c r="E2561" s="24"/>
      <c r="G2561" s="220">
        <v>43344.0</v>
      </c>
    </row>
    <row r="2562">
      <c r="A2562" s="217">
        <v>43351.47886292824</v>
      </c>
      <c r="B2562" s="218" t="s">
        <v>5184</v>
      </c>
      <c r="C2562" s="218" t="s">
        <v>4532</v>
      </c>
      <c r="D2562" s="219">
        <v>2.0</v>
      </c>
      <c r="E2562" s="24"/>
      <c r="G2562" s="220">
        <v>43344.0</v>
      </c>
    </row>
    <row r="2563">
      <c r="A2563" s="217">
        <v>43351.47926582176</v>
      </c>
      <c r="B2563" s="218" t="s">
        <v>5184</v>
      </c>
      <c r="C2563" s="218" t="s">
        <v>4594</v>
      </c>
      <c r="D2563" s="219">
        <v>1.0</v>
      </c>
      <c r="E2563" s="24"/>
      <c r="G2563" s="220">
        <v>43344.0</v>
      </c>
    </row>
    <row r="2564">
      <c r="A2564" s="217">
        <v>43351.47986613426</v>
      </c>
      <c r="B2564" s="218" t="s">
        <v>5184</v>
      </c>
      <c r="C2564" s="218" t="s">
        <v>4534</v>
      </c>
      <c r="D2564" s="219">
        <v>1.0</v>
      </c>
      <c r="E2564" s="24"/>
      <c r="G2564" s="220">
        <v>43344.0</v>
      </c>
    </row>
    <row r="2565">
      <c r="A2565" s="217">
        <v>43351.48030217593</v>
      </c>
      <c r="B2565" s="218" t="s">
        <v>5184</v>
      </c>
      <c r="C2565" s="218" t="s">
        <v>4537</v>
      </c>
      <c r="D2565" s="219">
        <v>1.0</v>
      </c>
      <c r="E2565" s="24"/>
      <c r="G2565" s="220">
        <v>43344.0</v>
      </c>
    </row>
    <row r="2566">
      <c r="A2566" s="217">
        <v>43351.48080134259</v>
      </c>
      <c r="B2566" s="218" t="s">
        <v>5184</v>
      </c>
      <c r="C2566" s="218" t="s">
        <v>4529</v>
      </c>
      <c r="D2566" s="219">
        <v>1.0</v>
      </c>
      <c r="E2566" s="24"/>
      <c r="G2566" s="220">
        <v>43344.0</v>
      </c>
    </row>
    <row r="2567">
      <c r="A2567" s="217">
        <v>43351.48124123843</v>
      </c>
      <c r="B2567" s="218" t="s">
        <v>5184</v>
      </c>
      <c r="C2567" s="218" t="s">
        <v>4546</v>
      </c>
      <c r="D2567" s="219">
        <v>1.0</v>
      </c>
      <c r="E2567" s="24"/>
      <c r="G2567" s="220">
        <v>43344.0</v>
      </c>
    </row>
    <row r="2568">
      <c r="A2568" s="217">
        <v>43351.481686307874</v>
      </c>
      <c r="B2568" s="218" t="s">
        <v>5184</v>
      </c>
      <c r="C2568" s="218" t="s">
        <v>4549</v>
      </c>
      <c r="D2568" s="219">
        <v>1.0</v>
      </c>
      <c r="E2568" s="24"/>
      <c r="G2568" s="220">
        <v>43344.0</v>
      </c>
    </row>
    <row r="2569">
      <c r="A2569" s="217">
        <v>43351.482484305554</v>
      </c>
      <c r="B2569" s="218" t="s">
        <v>5184</v>
      </c>
      <c r="C2569" s="218" t="s">
        <v>4550</v>
      </c>
      <c r="D2569" s="219">
        <v>2.0</v>
      </c>
      <c r="E2569" s="24"/>
      <c r="G2569" s="220">
        <v>43344.0</v>
      </c>
    </row>
    <row r="2570">
      <c r="A2570" s="217">
        <v>43351.48395844907</v>
      </c>
      <c r="B2570" s="218" t="s">
        <v>5184</v>
      </c>
      <c r="C2570" s="218" t="s">
        <v>2165</v>
      </c>
      <c r="D2570" s="219">
        <v>1.0</v>
      </c>
      <c r="E2570" s="24"/>
      <c r="G2570" s="220">
        <v>43344.0</v>
      </c>
    </row>
    <row r="2571">
      <c r="A2571" s="217">
        <v>43351.48437990741</v>
      </c>
      <c r="B2571" s="218" t="s">
        <v>5184</v>
      </c>
      <c r="C2571" s="218" t="s">
        <v>5704</v>
      </c>
      <c r="D2571" s="219">
        <v>1.0</v>
      </c>
      <c r="E2571" s="24"/>
      <c r="G2571" s="220">
        <v>43344.0</v>
      </c>
    </row>
    <row r="2572">
      <c r="A2572" s="217">
        <v>43351.48476665509</v>
      </c>
      <c r="B2572" s="218" t="s">
        <v>5184</v>
      </c>
      <c r="C2572" s="218" t="s">
        <v>5472</v>
      </c>
      <c r="D2572" s="219">
        <v>1.0</v>
      </c>
      <c r="E2572" s="24"/>
      <c r="G2572" s="220">
        <v>43344.0</v>
      </c>
    </row>
    <row r="2573">
      <c r="A2573" s="217">
        <v>43351.485183530094</v>
      </c>
      <c r="B2573" s="218" t="s">
        <v>5184</v>
      </c>
      <c r="C2573" s="218" t="s">
        <v>6141</v>
      </c>
      <c r="D2573" s="219">
        <v>1.0</v>
      </c>
      <c r="E2573" s="24"/>
      <c r="G2573" s="220">
        <v>43344.0</v>
      </c>
    </row>
    <row r="2574">
      <c r="A2574" s="217">
        <v>43351.48562607639</v>
      </c>
      <c r="B2574" s="218" t="s">
        <v>5184</v>
      </c>
      <c r="C2574" s="218" t="s">
        <v>6334</v>
      </c>
      <c r="D2574" s="219">
        <v>1.0</v>
      </c>
      <c r="E2574" s="24"/>
      <c r="G2574" s="220">
        <v>43344.0</v>
      </c>
    </row>
    <row r="2575">
      <c r="A2575" s="217">
        <v>43351.486087048615</v>
      </c>
      <c r="B2575" s="218" t="s">
        <v>5184</v>
      </c>
      <c r="C2575" s="218" t="s">
        <v>2193</v>
      </c>
      <c r="D2575" s="219">
        <v>1.0</v>
      </c>
      <c r="E2575" s="24"/>
      <c r="G2575" s="220">
        <v>43344.0</v>
      </c>
    </row>
    <row r="2576">
      <c r="A2576" s="217">
        <v>43351.486482858796</v>
      </c>
      <c r="B2576" s="218" t="s">
        <v>5184</v>
      </c>
      <c r="C2576" s="218" t="s">
        <v>5451</v>
      </c>
      <c r="D2576" s="219">
        <v>1.0</v>
      </c>
      <c r="E2576" s="24"/>
      <c r="G2576" s="220">
        <v>43344.0</v>
      </c>
    </row>
    <row r="2577">
      <c r="A2577" s="217">
        <v>43351.48688258102</v>
      </c>
      <c r="B2577" s="218" t="s">
        <v>5184</v>
      </c>
      <c r="C2577" s="218" t="s">
        <v>2134</v>
      </c>
      <c r="D2577" s="219">
        <v>1.0</v>
      </c>
      <c r="E2577" s="24"/>
      <c r="G2577" s="220">
        <v>43344.0</v>
      </c>
    </row>
    <row r="2578">
      <c r="A2578" s="217">
        <v>43351.487372222226</v>
      </c>
      <c r="B2578" s="218" t="s">
        <v>5184</v>
      </c>
      <c r="C2578" s="218" t="s">
        <v>7100</v>
      </c>
      <c r="D2578" s="219">
        <v>1.0</v>
      </c>
      <c r="E2578" s="24"/>
      <c r="G2578" s="220">
        <v>43344.0</v>
      </c>
    </row>
    <row r="2579">
      <c r="A2579" s="217">
        <v>43351.5088346875</v>
      </c>
      <c r="B2579" s="218" t="s">
        <v>5184</v>
      </c>
      <c r="C2579" s="218" t="s">
        <v>7101</v>
      </c>
      <c r="D2579" s="219">
        <v>1.0</v>
      </c>
      <c r="E2579" s="24"/>
      <c r="G2579" s="220">
        <v>43344.0</v>
      </c>
    </row>
    <row r="2580">
      <c r="A2580" s="217">
        <v>43351.509224849535</v>
      </c>
      <c r="B2580" s="218" t="s">
        <v>5184</v>
      </c>
      <c r="C2580" s="218" t="s">
        <v>5460</v>
      </c>
      <c r="D2580" s="219">
        <v>1.0</v>
      </c>
      <c r="E2580" s="24"/>
      <c r="G2580" s="220">
        <v>43344.0</v>
      </c>
    </row>
    <row r="2581">
      <c r="A2581" s="217">
        <v>43351.5096743287</v>
      </c>
      <c r="B2581" s="218" t="s">
        <v>5184</v>
      </c>
      <c r="C2581" s="218" t="s">
        <v>2117</v>
      </c>
      <c r="D2581" s="219">
        <v>2.0</v>
      </c>
      <c r="E2581" s="24"/>
      <c r="G2581" s="220">
        <v>43344.0</v>
      </c>
    </row>
    <row r="2582">
      <c r="A2582" s="217">
        <v>43351.510142280094</v>
      </c>
      <c r="B2582" s="218" t="s">
        <v>5184</v>
      </c>
      <c r="C2582" s="218" t="s">
        <v>5492</v>
      </c>
      <c r="D2582" s="219">
        <v>1.0</v>
      </c>
      <c r="E2582" s="24"/>
      <c r="G2582" s="220">
        <v>43344.0</v>
      </c>
    </row>
    <row r="2583">
      <c r="A2583" s="217">
        <v>43351.510828715276</v>
      </c>
      <c r="B2583" s="218" t="s">
        <v>5184</v>
      </c>
      <c r="C2583" s="218" t="s">
        <v>5438</v>
      </c>
      <c r="D2583" s="219">
        <v>1.0</v>
      </c>
      <c r="E2583" s="24"/>
      <c r="G2583" s="220">
        <v>43344.0</v>
      </c>
    </row>
    <row r="2584">
      <c r="A2584" s="217">
        <v>43351.51327523148</v>
      </c>
      <c r="B2584" s="218" t="s">
        <v>5184</v>
      </c>
      <c r="C2584" s="218" t="s">
        <v>2157</v>
      </c>
      <c r="D2584" s="219">
        <v>1.0</v>
      </c>
      <c r="E2584" s="24"/>
      <c r="G2584" s="220">
        <v>43344.0</v>
      </c>
    </row>
    <row r="2585">
      <c r="A2585" s="217">
        <v>43351.513775995365</v>
      </c>
      <c r="B2585" s="218" t="s">
        <v>5184</v>
      </c>
      <c r="C2585" s="218" t="s">
        <v>5496</v>
      </c>
      <c r="D2585" s="219">
        <v>1.0</v>
      </c>
      <c r="E2585" s="24"/>
      <c r="G2585" s="220">
        <v>43344.0</v>
      </c>
    </row>
    <row r="2586">
      <c r="A2586" s="217">
        <v>43351.514550300926</v>
      </c>
      <c r="B2586" s="218" t="s">
        <v>5184</v>
      </c>
      <c r="C2586" s="218" t="s">
        <v>6331</v>
      </c>
      <c r="D2586" s="219">
        <v>5.0</v>
      </c>
      <c r="E2586" s="24"/>
      <c r="G2586" s="220">
        <v>43344.0</v>
      </c>
    </row>
    <row r="2587">
      <c r="A2587" s="217">
        <v>43351.51504773148</v>
      </c>
      <c r="B2587" s="218" t="s">
        <v>5184</v>
      </c>
      <c r="C2587" s="218" t="s">
        <v>2104</v>
      </c>
      <c r="D2587" s="219">
        <v>1.0</v>
      </c>
      <c r="E2587" s="24"/>
      <c r="G2587" s="220">
        <v>43344.0</v>
      </c>
    </row>
    <row r="2588">
      <c r="A2588" s="217">
        <v>43351.515512337966</v>
      </c>
      <c r="B2588" s="218" t="s">
        <v>5184</v>
      </c>
      <c r="C2588" s="218" t="s">
        <v>6392</v>
      </c>
      <c r="D2588" s="219">
        <v>1.0</v>
      </c>
      <c r="E2588" s="24"/>
      <c r="G2588" s="220">
        <v>43345.0</v>
      </c>
    </row>
    <row r="2589">
      <c r="A2589" s="217">
        <v>43351.51598260416</v>
      </c>
      <c r="B2589" s="218" t="s">
        <v>5184</v>
      </c>
      <c r="C2589" s="218" t="s">
        <v>6770</v>
      </c>
      <c r="D2589" s="219">
        <v>1.0</v>
      </c>
      <c r="E2589" s="24"/>
      <c r="G2589" s="220">
        <v>43345.0</v>
      </c>
    </row>
    <row r="2590">
      <c r="A2590" s="217">
        <v>43351.51658368055</v>
      </c>
      <c r="B2590" s="218" t="s">
        <v>5184</v>
      </c>
      <c r="C2590" s="218" t="s">
        <v>5513</v>
      </c>
      <c r="D2590" s="219">
        <v>1.0</v>
      </c>
      <c r="E2590" s="24"/>
      <c r="G2590" s="220">
        <v>43345.0</v>
      </c>
    </row>
    <row r="2591">
      <c r="A2591" s="217">
        <v>43351.51719006944</v>
      </c>
      <c r="B2591" s="218" t="s">
        <v>5184</v>
      </c>
      <c r="C2591" s="218" t="s">
        <v>2217</v>
      </c>
      <c r="D2591" s="219">
        <v>1.0</v>
      </c>
      <c r="E2591" s="24"/>
      <c r="G2591" s="220">
        <v>43345.0</v>
      </c>
    </row>
    <row r="2592">
      <c r="A2592" s="217">
        <v>43351.51766987269</v>
      </c>
      <c r="B2592" s="218" t="s">
        <v>5184</v>
      </c>
      <c r="C2592" s="218" t="s">
        <v>7102</v>
      </c>
      <c r="D2592" s="219">
        <v>1.0</v>
      </c>
      <c r="E2592" s="24"/>
      <c r="G2592" s="220">
        <v>43345.0</v>
      </c>
    </row>
    <row r="2593">
      <c r="A2593" s="217">
        <v>43351.518107118056</v>
      </c>
      <c r="B2593" s="218" t="s">
        <v>5184</v>
      </c>
      <c r="C2593" s="218" t="s">
        <v>7103</v>
      </c>
      <c r="D2593" s="219">
        <v>1.0</v>
      </c>
      <c r="E2593" s="24"/>
      <c r="G2593" s="220">
        <v>43345.0</v>
      </c>
    </row>
    <row r="2594">
      <c r="A2594" s="217">
        <v>43351.51860045139</v>
      </c>
      <c r="B2594" s="218" t="s">
        <v>5184</v>
      </c>
      <c r="C2594" s="218" t="s">
        <v>5531</v>
      </c>
      <c r="D2594" s="219">
        <v>1.0</v>
      </c>
      <c r="E2594" s="24"/>
      <c r="G2594" s="220">
        <v>43345.0</v>
      </c>
    </row>
    <row r="2595">
      <c r="A2595" s="217">
        <v>43351.5191770949</v>
      </c>
      <c r="B2595" s="218" t="s">
        <v>5184</v>
      </c>
      <c r="C2595" s="218" t="s">
        <v>7104</v>
      </c>
      <c r="D2595" s="219">
        <v>1.0</v>
      </c>
      <c r="E2595" s="24"/>
      <c r="G2595" s="220">
        <v>43345.0</v>
      </c>
    </row>
    <row r="2596">
      <c r="A2596" s="217">
        <v>43351.520337106485</v>
      </c>
      <c r="B2596" s="218" t="s">
        <v>5184</v>
      </c>
      <c r="C2596" s="218" t="s">
        <v>5528</v>
      </c>
      <c r="D2596" s="219">
        <v>1.0</v>
      </c>
      <c r="E2596" s="24"/>
      <c r="G2596" s="220">
        <v>43345.0</v>
      </c>
    </row>
    <row r="2597">
      <c r="A2597" s="217">
        <v>43351.52220885416</v>
      </c>
      <c r="B2597" s="218" t="s">
        <v>5184</v>
      </c>
      <c r="C2597" s="218" t="s">
        <v>6339</v>
      </c>
      <c r="D2597" s="219">
        <v>1.0</v>
      </c>
      <c r="E2597" s="24"/>
      <c r="G2597" s="220">
        <v>43345.0</v>
      </c>
    </row>
    <row r="2598">
      <c r="A2598" s="217">
        <v>43351.52260848379</v>
      </c>
      <c r="B2598" s="218" t="s">
        <v>5184</v>
      </c>
      <c r="C2598" s="218" t="s">
        <v>6177</v>
      </c>
      <c r="D2598" s="219">
        <v>1.0</v>
      </c>
      <c r="E2598" s="24"/>
      <c r="G2598" s="220">
        <v>43345.0</v>
      </c>
    </row>
    <row r="2599">
      <c r="A2599" s="217">
        <v>43351.523055439815</v>
      </c>
      <c r="B2599" s="218" t="s">
        <v>5184</v>
      </c>
      <c r="C2599" s="218" t="s">
        <v>6390</v>
      </c>
      <c r="D2599" s="219">
        <v>1.0</v>
      </c>
      <c r="E2599" s="24"/>
      <c r="G2599" s="220">
        <v>43345.0</v>
      </c>
    </row>
    <row r="2600">
      <c r="A2600" s="217">
        <v>43351.523463819445</v>
      </c>
      <c r="B2600" s="218" t="s">
        <v>5184</v>
      </c>
      <c r="C2600" s="218" t="s">
        <v>5419</v>
      </c>
      <c r="D2600" s="219">
        <v>1.0</v>
      </c>
      <c r="E2600" s="24"/>
      <c r="G2600" s="220">
        <v>43345.0</v>
      </c>
    </row>
    <row r="2601">
      <c r="A2601" s="217">
        <v>43351.52393362268</v>
      </c>
      <c r="B2601" s="218" t="s">
        <v>5184</v>
      </c>
      <c r="C2601" s="218" t="s">
        <v>5411</v>
      </c>
      <c r="D2601" s="219">
        <v>1.0</v>
      </c>
      <c r="E2601" s="24"/>
      <c r="G2601" s="220">
        <v>43345.0</v>
      </c>
    </row>
    <row r="2602">
      <c r="A2602" s="217">
        <v>43351.52448450231</v>
      </c>
      <c r="B2602" s="218" t="s">
        <v>5184</v>
      </c>
      <c r="C2602" s="218" t="s">
        <v>6773</v>
      </c>
      <c r="D2602" s="219">
        <v>1.0</v>
      </c>
      <c r="E2602" s="24"/>
      <c r="G2602" s="220">
        <v>43345.0</v>
      </c>
    </row>
    <row r="2603">
      <c r="A2603" s="217">
        <v>43351.524874780094</v>
      </c>
      <c r="B2603" s="218" t="s">
        <v>5184</v>
      </c>
      <c r="C2603" s="218" t="s">
        <v>5380</v>
      </c>
      <c r="D2603" s="219">
        <v>1.0</v>
      </c>
      <c r="E2603" s="24"/>
      <c r="G2603" s="220">
        <v>43345.0</v>
      </c>
    </row>
    <row r="2604">
      <c r="A2604" s="217">
        <v>43351.52536289352</v>
      </c>
      <c r="B2604" s="218" t="s">
        <v>5184</v>
      </c>
      <c r="C2604" s="218" t="s">
        <v>5382</v>
      </c>
      <c r="D2604" s="219">
        <v>1.0</v>
      </c>
      <c r="E2604" s="24"/>
      <c r="G2604" s="220">
        <v>43345.0</v>
      </c>
    </row>
    <row r="2605">
      <c r="A2605" s="217">
        <v>43351.52579364584</v>
      </c>
      <c r="B2605" s="218" t="s">
        <v>5184</v>
      </c>
      <c r="C2605" s="218" t="s">
        <v>710</v>
      </c>
      <c r="D2605" s="219">
        <v>1.0</v>
      </c>
      <c r="E2605" s="24"/>
      <c r="G2605" s="220">
        <v>43345.0</v>
      </c>
    </row>
    <row r="2606">
      <c r="A2606" s="217">
        <v>43351.52619548611</v>
      </c>
      <c r="B2606" s="218" t="s">
        <v>5184</v>
      </c>
      <c r="C2606" s="218" t="s">
        <v>6908</v>
      </c>
      <c r="D2606" s="219">
        <v>1.0</v>
      </c>
      <c r="E2606" s="24"/>
      <c r="G2606" s="220">
        <v>43345.0</v>
      </c>
    </row>
    <row r="2607">
      <c r="A2607" s="217">
        <v>43351.52660459491</v>
      </c>
      <c r="B2607" s="218" t="s">
        <v>5184</v>
      </c>
      <c r="C2607" s="218" t="s">
        <v>5872</v>
      </c>
      <c r="D2607" s="219">
        <v>1.0</v>
      </c>
      <c r="E2607" s="24"/>
      <c r="G2607" s="220">
        <v>43345.0</v>
      </c>
    </row>
    <row r="2608">
      <c r="A2608" s="217">
        <v>43351.52700199074</v>
      </c>
      <c r="B2608" s="218" t="s">
        <v>5184</v>
      </c>
      <c r="C2608" s="218" t="s">
        <v>5872</v>
      </c>
      <c r="D2608" s="219">
        <v>1.0</v>
      </c>
      <c r="E2608" s="24"/>
      <c r="G2608" s="220">
        <v>43345.0</v>
      </c>
    </row>
    <row r="2609">
      <c r="A2609" s="217">
        <v>43351.52745819444</v>
      </c>
      <c r="B2609" s="218" t="s">
        <v>5184</v>
      </c>
      <c r="C2609" s="218" t="s">
        <v>6916</v>
      </c>
      <c r="D2609" s="219">
        <v>1.0</v>
      </c>
      <c r="E2609" s="24"/>
      <c r="G2609" s="220">
        <v>43345.0</v>
      </c>
    </row>
    <row r="2610">
      <c r="A2610" s="217">
        <v>43351.527861145834</v>
      </c>
      <c r="B2610" s="218" t="s">
        <v>5184</v>
      </c>
      <c r="C2610" s="218" t="s">
        <v>6915</v>
      </c>
      <c r="D2610" s="219">
        <v>1.0</v>
      </c>
      <c r="E2610" s="24"/>
      <c r="G2610" s="220">
        <v>43345.0</v>
      </c>
    </row>
    <row r="2611">
      <c r="A2611" s="217">
        <v>43351.52912663194</v>
      </c>
      <c r="B2611" s="218" t="s">
        <v>5184</v>
      </c>
      <c r="C2611" s="218" t="s">
        <v>6892</v>
      </c>
      <c r="D2611" s="219">
        <v>1.0</v>
      </c>
      <c r="E2611" s="24"/>
      <c r="G2611" s="220">
        <v>43345.0</v>
      </c>
    </row>
    <row r="2612">
      <c r="A2612" s="217">
        <v>43351.529482743055</v>
      </c>
      <c r="B2612" s="218" t="s">
        <v>5184</v>
      </c>
      <c r="C2612" s="218" t="s">
        <v>6910</v>
      </c>
      <c r="D2612" s="219">
        <v>1.0</v>
      </c>
      <c r="E2612" s="24"/>
      <c r="G2612" s="220">
        <v>43345.0</v>
      </c>
    </row>
    <row r="2613">
      <c r="A2613" s="217">
        <v>43351.5298850463</v>
      </c>
      <c r="B2613" s="218" t="s">
        <v>5184</v>
      </c>
      <c r="C2613" s="218" t="s">
        <v>6888</v>
      </c>
      <c r="D2613" s="219">
        <v>1.0</v>
      </c>
      <c r="E2613" s="24"/>
      <c r="G2613" s="220">
        <v>43345.0</v>
      </c>
    </row>
    <row r="2614">
      <c r="A2614" s="217">
        <v>43351.530431736115</v>
      </c>
      <c r="B2614" s="218" t="s">
        <v>5184</v>
      </c>
      <c r="C2614" s="218" t="s">
        <v>1470</v>
      </c>
      <c r="D2614" s="219">
        <v>1.0</v>
      </c>
      <c r="E2614" s="24"/>
      <c r="G2614" s="220">
        <v>43345.0</v>
      </c>
    </row>
    <row r="2615">
      <c r="A2615" s="217">
        <v>43351.530820706015</v>
      </c>
      <c r="B2615" s="218" t="s">
        <v>5184</v>
      </c>
      <c r="C2615" s="218" t="s">
        <v>6897</v>
      </c>
      <c r="D2615" s="219">
        <v>1.0</v>
      </c>
      <c r="E2615" s="24"/>
      <c r="G2615" s="220">
        <v>43345.0</v>
      </c>
    </row>
    <row r="2616">
      <c r="A2616" s="217">
        <v>43351.53127451389</v>
      </c>
      <c r="B2616" s="218" t="s">
        <v>5184</v>
      </c>
      <c r="C2616" s="218" t="s">
        <v>1389</v>
      </c>
      <c r="D2616" s="219">
        <v>1.0</v>
      </c>
      <c r="E2616" s="24"/>
      <c r="G2616" s="220">
        <v>43345.0</v>
      </c>
    </row>
    <row r="2617">
      <c r="A2617" s="217">
        <v>43351.53164170139</v>
      </c>
      <c r="B2617" s="218" t="s">
        <v>5184</v>
      </c>
      <c r="C2617" s="218" t="s">
        <v>6921</v>
      </c>
      <c r="D2617" s="219">
        <v>1.0</v>
      </c>
      <c r="E2617" s="24"/>
      <c r="G2617" s="220">
        <v>43345.0</v>
      </c>
    </row>
    <row r="2618">
      <c r="A2618" s="217">
        <v>43351.53200025463</v>
      </c>
      <c r="B2618" s="218" t="s">
        <v>5184</v>
      </c>
      <c r="C2618" s="218" t="s">
        <v>1380</v>
      </c>
      <c r="D2618" s="219">
        <v>1.0</v>
      </c>
      <c r="E2618" s="24"/>
      <c r="G2618" s="220">
        <v>43345.0</v>
      </c>
    </row>
    <row r="2619">
      <c r="A2619" s="217">
        <v>43351.53238505787</v>
      </c>
      <c r="B2619" s="218" t="s">
        <v>5184</v>
      </c>
      <c r="C2619" s="218" t="s">
        <v>6886</v>
      </c>
      <c r="D2619" s="219">
        <v>1.0</v>
      </c>
      <c r="E2619" s="24"/>
      <c r="G2619" s="220">
        <v>43345.0</v>
      </c>
    </row>
    <row r="2620">
      <c r="A2620" s="217">
        <v>43351.53359096065</v>
      </c>
      <c r="B2620" s="218" t="s">
        <v>5184</v>
      </c>
      <c r="C2620" s="218" t="s">
        <v>6902</v>
      </c>
      <c r="D2620" s="219">
        <v>1.0</v>
      </c>
      <c r="E2620" s="24"/>
      <c r="G2620" s="220">
        <v>43345.0</v>
      </c>
    </row>
    <row r="2621">
      <c r="A2621" s="217">
        <v>43351.53413039352</v>
      </c>
      <c r="B2621" s="218" t="s">
        <v>5184</v>
      </c>
      <c r="C2621" s="218" t="s">
        <v>1382</v>
      </c>
      <c r="D2621" s="219">
        <v>1.0</v>
      </c>
      <c r="E2621" s="24"/>
      <c r="G2621" s="220">
        <v>43345.0</v>
      </c>
    </row>
    <row r="2622">
      <c r="A2622" s="217">
        <v>43351.534491909726</v>
      </c>
      <c r="B2622" s="218" t="s">
        <v>5184</v>
      </c>
      <c r="C2622" s="218" t="s">
        <v>727</v>
      </c>
      <c r="D2622" s="219">
        <v>1.0</v>
      </c>
      <c r="E2622" s="24"/>
      <c r="G2622" s="220">
        <v>43345.0</v>
      </c>
    </row>
    <row r="2623">
      <c r="A2623" s="217">
        <v>43351.53521263889</v>
      </c>
      <c r="B2623" s="218" t="s">
        <v>5184</v>
      </c>
      <c r="C2623" s="218" t="s">
        <v>6901</v>
      </c>
      <c r="D2623" s="219">
        <v>1.0</v>
      </c>
      <c r="E2623" s="24"/>
      <c r="G2623" s="220">
        <v>43345.0</v>
      </c>
    </row>
    <row r="2624">
      <c r="A2624" s="217">
        <v>43351.535743182874</v>
      </c>
      <c r="B2624" s="218" t="s">
        <v>5184</v>
      </c>
      <c r="C2624" s="218" t="s">
        <v>6911</v>
      </c>
      <c r="D2624" s="219">
        <v>1.0</v>
      </c>
      <c r="E2624" s="24"/>
      <c r="G2624" s="220">
        <v>43345.0</v>
      </c>
    </row>
    <row r="2625">
      <c r="A2625" s="217">
        <v>43351.53645664352</v>
      </c>
      <c r="B2625" s="218" t="s">
        <v>5184</v>
      </c>
      <c r="C2625" s="218" t="s">
        <v>6909</v>
      </c>
      <c r="D2625" s="219">
        <v>1.0</v>
      </c>
      <c r="E2625" s="24"/>
      <c r="G2625" s="220">
        <v>43345.0</v>
      </c>
    </row>
    <row r="2626">
      <c r="A2626" s="217">
        <v>43351.536884710644</v>
      </c>
      <c r="B2626" s="218" t="s">
        <v>5184</v>
      </c>
      <c r="C2626" s="218" t="s">
        <v>6894</v>
      </c>
      <c r="D2626" s="219">
        <v>1.0</v>
      </c>
      <c r="E2626" s="24"/>
      <c r="G2626" s="220">
        <v>43345.0</v>
      </c>
    </row>
    <row r="2627">
      <c r="A2627" s="217">
        <v>43351.537286493054</v>
      </c>
      <c r="B2627" s="218" t="s">
        <v>5184</v>
      </c>
      <c r="C2627" s="218" t="s">
        <v>6885</v>
      </c>
      <c r="D2627" s="219">
        <v>1.0</v>
      </c>
      <c r="E2627" s="24"/>
      <c r="G2627" s="220">
        <v>43345.0</v>
      </c>
    </row>
    <row r="2628">
      <c r="A2628" s="217">
        <v>43351.53783140046</v>
      </c>
      <c r="B2628" s="218" t="s">
        <v>5184</v>
      </c>
      <c r="C2628" s="218" t="s">
        <v>6905</v>
      </c>
      <c r="D2628" s="219">
        <v>1.0</v>
      </c>
      <c r="E2628" s="24"/>
      <c r="G2628" s="220">
        <v>43345.0</v>
      </c>
    </row>
    <row r="2629">
      <c r="A2629" s="217">
        <v>43351.538592233795</v>
      </c>
      <c r="B2629" s="218" t="s">
        <v>5184</v>
      </c>
      <c r="C2629" s="218" t="s">
        <v>724</v>
      </c>
      <c r="D2629" s="219">
        <v>1.0</v>
      </c>
      <c r="E2629" s="24"/>
      <c r="G2629" s="220">
        <v>43345.0</v>
      </c>
    </row>
    <row r="2630">
      <c r="A2630" s="217">
        <v>43351.53896179398</v>
      </c>
      <c r="B2630" s="218" t="s">
        <v>5184</v>
      </c>
      <c r="C2630" s="218" t="s">
        <v>6899</v>
      </c>
      <c r="D2630" s="219">
        <v>1.0</v>
      </c>
      <c r="E2630" s="24"/>
      <c r="G2630" s="220">
        <v>43345.0</v>
      </c>
    </row>
    <row r="2631">
      <c r="A2631" s="217">
        <v>43351.539450219905</v>
      </c>
      <c r="B2631" s="218" t="s">
        <v>5184</v>
      </c>
      <c r="C2631" s="218" t="s">
        <v>6920</v>
      </c>
      <c r="D2631" s="219">
        <v>1.0</v>
      </c>
      <c r="E2631" s="24"/>
      <c r="G2631" s="220">
        <v>43345.0</v>
      </c>
    </row>
    <row r="2632">
      <c r="A2632" s="217">
        <v>43351.53981292824</v>
      </c>
      <c r="B2632" s="218" t="s">
        <v>5184</v>
      </c>
      <c r="C2632" s="218" t="s">
        <v>6896</v>
      </c>
      <c r="D2632" s="219">
        <v>1.0</v>
      </c>
      <c r="E2632" s="24"/>
      <c r="G2632" s="220">
        <v>43345.0</v>
      </c>
    </row>
    <row r="2633">
      <c r="A2633" s="217">
        <v>43351.540222407406</v>
      </c>
      <c r="B2633" s="218" t="s">
        <v>5184</v>
      </c>
      <c r="C2633" s="218" t="s">
        <v>1411</v>
      </c>
      <c r="D2633" s="219">
        <v>1.0</v>
      </c>
      <c r="E2633" s="24"/>
      <c r="G2633" s="220">
        <v>43345.0</v>
      </c>
    </row>
    <row r="2634">
      <c r="A2634" s="217">
        <v>43351.54064392361</v>
      </c>
      <c r="B2634" s="218" t="s">
        <v>5184</v>
      </c>
      <c r="C2634" s="218" t="s">
        <v>5286</v>
      </c>
      <c r="D2634" s="219">
        <v>1.0</v>
      </c>
      <c r="E2634" s="24"/>
      <c r="G2634" s="220">
        <v>43345.0</v>
      </c>
    </row>
    <row r="2635">
      <c r="A2635" s="217">
        <v>43351.54111740741</v>
      </c>
      <c r="B2635" s="218" t="s">
        <v>5184</v>
      </c>
      <c r="C2635" s="218" t="s">
        <v>6327</v>
      </c>
      <c r="D2635" s="219">
        <v>1.0</v>
      </c>
      <c r="E2635" s="24"/>
      <c r="G2635" s="220">
        <v>43345.0</v>
      </c>
    </row>
    <row r="2636">
      <c r="A2636" s="217">
        <v>43351.54161755787</v>
      </c>
      <c r="B2636" s="218" t="s">
        <v>5184</v>
      </c>
      <c r="C2636" s="218" t="s">
        <v>5205</v>
      </c>
      <c r="D2636" s="219">
        <v>1.0</v>
      </c>
      <c r="E2636" s="24"/>
      <c r="G2636" s="220">
        <v>43345.0</v>
      </c>
    </row>
    <row r="2637">
      <c r="A2637" s="217">
        <v>43351.54214438658</v>
      </c>
      <c r="B2637" s="218" t="s">
        <v>5184</v>
      </c>
      <c r="C2637" s="218" t="s">
        <v>5416</v>
      </c>
      <c r="D2637" s="219">
        <v>1.0</v>
      </c>
      <c r="E2637" s="24"/>
      <c r="G2637" s="220">
        <v>43345.0</v>
      </c>
    </row>
    <row r="2638">
      <c r="A2638" s="217">
        <v>43351.54256436342</v>
      </c>
      <c r="B2638" s="218" t="s">
        <v>5184</v>
      </c>
      <c r="C2638" s="218" t="s">
        <v>5557</v>
      </c>
      <c r="D2638" s="219">
        <v>1.0</v>
      </c>
      <c r="E2638" s="24"/>
      <c r="G2638" s="220">
        <v>43345.0</v>
      </c>
    </row>
    <row r="2639">
      <c r="A2639" s="217">
        <v>43351.54298564815</v>
      </c>
      <c r="B2639" s="218" t="s">
        <v>5184</v>
      </c>
      <c r="C2639" s="218" t="s">
        <v>5601</v>
      </c>
      <c r="D2639" s="219">
        <v>1.0</v>
      </c>
      <c r="E2639" s="24"/>
      <c r="G2639" s="220">
        <v>43345.0</v>
      </c>
    </row>
    <row r="2640">
      <c r="A2640" s="217">
        <v>43351.54350798611</v>
      </c>
      <c r="B2640" s="218" t="s">
        <v>5184</v>
      </c>
      <c r="C2640" s="218" t="s">
        <v>5601</v>
      </c>
      <c r="D2640" s="219">
        <v>1.0</v>
      </c>
      <c r="E2640" s="24"/>
      <c r="G2640" s="220">
        <v>43345.0</v>
      </c>
    </row>
    <row r="2641">
      <c r="A2641" s="217">
        <v>43351.543906377316</v>
      </c>
      <c r="B2641" s="218" t="s">
        <v>5184</v>
      </c>
      <c r="C2641" s="218" t="s">
        <v>5591</v>
      </c>
      <c r="D2641" s="219">
        <v>1.0</v>
      </c>
      <c r="E2641" s="24"/>
      <c r="G2641" s="220">
        <v>43345.0</v>
      </c>
    </row>
    <row r="2642">
      <c r="A2642" s="217">
        <v>43351.54432394676</v>
      </c>
      <c r="B2642" s="218" t="s">
        <v>5184</v>
      </c>
      <c r="C2642" s="218" t="s">
        <v>1465</v>
      </c>
      <c r="D2642" s="219">
        <v>1.0</v>
      </c>
      <c r="E2642" s="24"/>
      <c r="G2642" s="220">
        <v>43345.0</v>
      </c>
    </row>
    <row r="2643">
      <c r="A2643" s="217">
        <v>43351.546653310186</v>
      </c>
      <c r="B2643" s="218" t="s">
        <v>5184</v>
      </c>
      <c r="C2643" s="218" t="s">
        <v>1290</v>
      </c>
      <c r="D2643" s="219">
        <v>1.0</v>
      </c>
      <c r="E2643" s="24"/>
      <c r="G2643" s="220">
        <v>43345.0</v>
      </c>
    </row>
    <row r="2644">
      <c r="A2644" s="217">
        <v>43351.54701375</v>
      </c>
      <c r="B2644" s="218" t="s">
        <v>5184</v>
      </c>
      <c r="C2644" s="218" t="s">
        <v>5584</v>
      </c>
      <c r="D2644" s="219">
        <v>1.0</v>
      </c>
      <c r="E2644" s="24"/>
      <c r="G2644" s="220">
        <v>43345.0</v>
      </c>
    </row>
    <row r="2645">
      <c r="A2645" s="217">
        <v>43351.54738024306</v>
      </c>
      <c r="B2645" s="218" t="s">
        <v>5184</v>
      </c>
      <c r="C2645" s="218" t="s">
        <v>5868</v>
      </c>
      <c r="D2645" s="219">
        <v>1.0</v>
      </c>
      <c r="E2645" s="24"/>
      <c r="G2645" s="220">
        <v>43345.0</v>
      </c>
    </row>
    <row r="2646">
      <c r="A2646" s="217">
        <v>43351.54781581019</v>
      </c>
      <c r="B2646" s="218" t="s">
        <v>5184</v>
      </c>
      <c r="C2646" s="218" t="s">
        <v>5586</v>
      </c>
      <c r="D2646" s="219">
        <v>1.0</v>
      </c>
      <c r="E2646" s="24"/>
      <c r="G2646" s="220">
        <v>43345.0</v>
      </c>
    </row>
    <row r="2647">
      <c r="A2647" s="217">
        <v>43351.548447407404</v>
      </c>
      <c r="B2647" s="218" t="s">
        <v>5184</v>
      </c>
      <c r="C2647" s="218" t="s">
        <v>5590</v>
      </c>
      <c r="D2647" s="219">
        <v>1.0</v>
      </c>
      <c r="E2647" s="24"/>
      <c r="G2647" s="220">
        <v>43345.0</v>
      </c>
    </row>
    <row r="2648">
      <c r="A2648" s="217">
        <v>43351.5498771412</v>
      </c>
      <c r="B2648" s="218" t="s">
        <v>5184</v>
      </c>
      <c r="C2648" s="218" t="s">
        <v>5596</v>
      </c>
      <c r="D2648" s="219">
        <v>1.0</v>
      </c>
      <c r="E2648" s="24"/>
      <c r="G2648" s="220">
        <v>43345.0</v>
      </c>
    </row>
    <row r="2649">
      <c r="A2649" s="217">
        <v>43351.55054913195</v>
      </c>
      <c r="B2649" s="218" t="s">
        <v>5184</v>
      </c>
      <c r="C2649" s="218" t="s">
        <v>6147</v>
      </c>
      <c r="D2649" s="219">
        <v>1.0</v>
      </c>
      <c r="E2649" s="24"/>
      <c r="G2649" s="220">
        <v>43345.0</v>
      </c>
    </row>
    <row r="2650">
      <c r="A2650" s="217">
        <v>43351.55102271991</v>
      </c>
      <c r="B2650" s="218" t="s">
        <v>5184</v>
      </c>
      <c r="C2650" s="218" t="s">
        <v>5592</v>
      </c>
      <c r="D2650" s="219">
        <v>1.0</v>
      </c>
      <c r="E2650" s="24"/>
      <c r="G2650" s="220">
        <v>43345.0</v>
      </c>
    </row>
    <row r="2651">
      <c r="A2651" s="217">
        <v>43351.55138510416</v>
      </c>
      <c r="B2651" s="218" t="s">
        <v>5184</v>
      </c>
      <c r="C2651" s="218" t="s">
        <v>1298</v>
      </c>
      <c r="D2651" s="219">
        <v>1.0</v>
      </c>
      <c r="E2651" s="24"/>
      <c r="G2651" s="220">
        <v>43345.0</v>
      </c>
    </row>
    <row r="2652">
      <c r="A2652" s="217">
        <v>43351.55179795139</v>
      </c>
      <c r="B2652" s="218" t="s">
        <v>5184</v>
      </c>
      <c r="C2652" s="218" t="s">
        <v>1292</v>
      </c>
      <c r="D2652" s="219">
        <v>1.0</v>
      </c>
      <c r="E2652" s="24"/>
      <c r="G2652" s="220">
        <v>43345.0</v>
      </c>
    </row>
    <row r="2653">
      <c r="A2653" s="217">
        <v>43351.552222928236</v>
      </c>
      <c r="B2653" s="218" t="s">
        <v>5184</v>
      </c>
      <c r="C2653" s="218" t="s">
        <v>5556</v>
      </c>
      <c r="D2653" s="219">
        <v>1.0</v>
      </c>
      <c r="E2653" s="24"/>
      <c r="G2653" s="220">
        <v>43345.0</v>
      </c>
    </row>
    <row r="2654">
      <c r="A2654" s="217">
        <v>43351.55256755787</v>
      </c>
      <c r="B2654" s="218" t="s">
        <v>5184</v>
      </c>
      <c r="C2654" s="218" t="s">
        <v>5567</v>
      </c>
      <c r="D2654" s="219">
        <v>1.0</v>
      </c>
      <c r="E2654" s="24"/>
      <c r="G2654" s="220">
        <v>43345.0</v>
      </c>
    </row>
    <row r="2655">
      <c r="A2655" s="217">
        <v>43351.552949895835</v>
      </c>
      <c r="B2655" s="218" t="s">
        <v>5184</v>
      </c>
      <c r="C2655" s="218" t="s">
        <v>711</v>
      </c>
      <c r="D2655" s="219">
        <v>1.0</v>
      </c>
      <c r="E2655" s="24"/>
      <c r="G2655" s="220">
        <v>43345.0</v>
      </c>
    </row>
    <row r="2656">
      <c r="A2656" s="217">
        <v>43351.553421226854</v>
      </c>
      <c r="B2656" s="218" t="s">
        <v>5184</v>
      </c>
      <c r="C2656" s="218" t="s">
        <v>5564</v>
      </c>
      <c r="D2656" s="219">
        <v>1.0</v>
      </c>
      <c r="E2656" s="24"/>
      <c r="G2656" s="220">
        <v>43345.0</v>
      </c>
    </row>
    <row r="2657">
      <c r="A2657" s="217">
        <v>43351.55381778935</v>
      </c>
      <c r="B2657" s="218" t="s">
        <v>5184</v>
      </c>
      <c r="C2657" s="218" t="s">
        <v>5560</v>
      </c>
      <c r="D2657" s="219">
        <v>1.0</v>
      </c>
      <c r="E2657" s="24"/>
      <c r="G2657" s="220">
        <v>43345.0</v>
      </c>
    </row>
    <row r="2658">
      <c r="A2658" s="217">
        <v>43351.55420165509</v>
      </c>
      <c r="B2658" s="218" t="s">
        <v>5184</v>
      </c>
      <c r="C2658" s="218" t="s">
        <v>6345</v>
      </c>
      <c r="D2658" s="219">
        <v>1.0</v>
      </c>
      <c r="E2658" s="24"/>
      <c r="G2658" s="220">
        <v>43349.0</v>
      </c>
    </row>
    <row r="2659">
      <c r="A2659" s="217">
        <v>43351.554599016206</v>
      </c>
      <c r="B2659" s="218" t="s">
        <v>5184</v>
      </c>
      <c r="C2659" s="218" t="s">
        <v>1811</v>
      </c>
      <c r="D2659" s="219">
        <v>1.0</v>
      </c>
      <c r="E2659" s="24"/>
      <c r="G2659" s="220">
        <v>43349.0</v>
      </c>
    </row>
    <row r="2660">
      <c r="A2660" s="217">
        <v>43351.554964097224</v>
      </c>
      <c r="B2660" s="218" t="s">
        <v>5184</v>
      </c>
      <c r="C2660" s="218" t="s">
        <v>6715</v>
      </c>
      <c r="D2660" s="219">
        <v>1.0</v>
      </c>
      <c r="E2660" s="24"/>
      <c r="G2660" s="220">
        <v>43349.0</v>
      </c>
    </row>
    <row r="2661">
      <c r="A2661" s="217">
        <v>43351.55537421296</v>
      </c>
      <c r="B2661" s="218" t="s">
        <v>5184</v>
      </c>
      <c r="C2661" s="218" t="s">
        <v>2215</v>
      </c>
      <c r="D2661" s="219">
        <v>1.0</v>
      </c>
      <c r="E2661" s="24"/>
      <c r="G2661" s="220">
        <v>43349.0</v>
      </c>
    </row>
    <row r="2662">
      <c r="A2662" s="217">
        <v>43351.5557897338</v>
      </c>
      <c r="B2662" s="218" t="s">
        <v>5184</v>
      </c>
      <c r="C2662" s="218" t="s">
        <v>6177</v>
      </c>
      <c r="D2662" s="219">
        <v>1.0</v>
      </c>
      <c r="E2662" s="24"/>
      <c r="G2662" s="220">
        <v>43349.0</v>
      </c>
    </row>
    <row r="2663">
      <c r="A2663" s="217">
        <v>43351.55940474537</v>
      </c>
      <c r="B2663" s="218" t="s">
        <v>5184</v>
      </c>
      <c r="C2663" s="218" t="s">
        <v>6332</v>
      </c>
      <c r="D2663" s="219">
        <v>1.0</v>
      </c>
      <c r="E2663" s="24"/>
      <c r="G2663" s="220">
        <v>43349.0</v>
      </c>
    </row>
    <row r="2664">
      <c r="A2664" s="217">
        <v>43351.56848298611</v>
      </c>
      <c r="B2664" s="218" t="s">
        <v>5184</v>
      </c>
      <c r="C2664" s="218" t="s">
        <v>7105</v>
      </c>
      <c r="D2664" s="219">
        <v>1.0</v>
      </c>
      <c r="E2664" s="24"/>
      <c r="G2664" s="220">
        <v>43349.0</v>
      </c>
    </row>
    <row r="2665">
      <c r="A2665" s="217">
        <v>43351.56894049769</v>
      </c>
      <c r="B2665" s="218" t="s">
        <v>5184</v>
      </c>
      <c r="C2665" s="218" t="s">
        <v>2214</v>
      </c>
      <c r="D2665" s="219">
        <v>1.0</v>
      </c>
      <c r="E2665" s="24"/>
      <c r="G2665" s="220">
        <v>43349.0</v>
      </c>
    </row>
    <row r="2666">
      <c r="A2666" s="217">
        <v>43351.569396921295</v>
      </c>
      <c r="B2666" s="218" t="s">
        <v>5184</v>
      </c>
      <c r="C2666" s="218" t="s">
        <v>2255</v>
      </c>
      <c r="D2666" s="219">
        <v>1.0</v>
      </c>
      <c r="E2666" s="24"/>
      <c r="G2666" s="220">
        <v>43349.0</v>
      </c>
    </row>
    <row r="2667">
      <c r="A2667" s="217">
        <v>43351.56979173611</v>
      </c>
      <c r="B2667" s="218" t="s">
        <v>5184</v>
      </c>
      <c r="C2667" s="218" t="s">
        <v>2109</v>
      </c>
      <c r="D2667" s="219">
        <v>1.0</v>
      </c>
      <c r="E2667" s="24"/>
      <c r="G2667" s="220">
        <v>43349.0</v>
      </c>
    </row>
    <row r="2668">
      <c r="A2668" s="217">
        <v>43351.570236643514</v>
      </c>
      <c r="B2668" s="218" t="s">
        <v>5184</v>
      </c>
      <c r="C2668" s="218" t="s">
        <v>2220</v>
      </c>
      <c r="D2668" s="219">
        <v>1.0</v>
      </c>
      <c r="E2668" s="24"/>
      <c r="G2668" s="220">
        <v>43349.0</v>
      </c>
    </row>
    <row r="2669">
      <c r="A2669" s="217">
        <v>43351.57068550926</v>
      </c>
      <c r="B2669" s="218" t="s">
        <v>5184</v>
      </c>
      <c r="C2669" s="218" t="s">
        <v>2218</v>
      </c>
      <c r="D2669" s="219">
        <v>1.0</v>
      </c>
      <c r="E2669" s="24"/>
      <c r="G2669" s="220">
        <v>43349.0</v>
      </c>
    </row>
    <row r="2670">
      <c r="A2670" s="217">
        <v>43351.57107947917</v>
      </c>
      <c r="B2670" s="218" t="s">
        <v>5184</v>
      </c>
      <c r="C2670" s="218" t="s">
        <v>1854</v>
      </c>
      <c r="D2670" s="219">
        <v>1.0</v>
      </c>
      <c r="E2670" s="24"/>
      <c r="G2670" s="220">
        <v>43349.0</v>
      </c>
    </row>
    <row r="2671">
      <c r="A2671" s="217">
        <v>43351.57141241898</v>
      </c>
      <c r="B2671" s="218" t="s">
        <v>5184</v>
      </c>
      <c r="C2671" s="218" t="s">
        <v>7106</v>
      </c>
      <c r="D2671" s="219">
        <v>1.0</v>
      </c>
      <c r="E2671" s="24"/>
      <c r="G2671" s="220">
        <v>43349.0</v>
      </c>
    </row>
    <row r="2672">
      <c r="A2672" s="217">
        <v>43351.571788333335</v>
      </c>
      <c r="B2672" s="218" t="s">
        <v>5184</v>
      </c>
      <c r="C2672" s="218" t="s">
        <v>2218</v>
      </c>
      <c r="D2672" s="219">
        <v>1.0</v>
      </c>
      <c r="E2672" s="24"/>
      <c r="G2672" s="220">
        <v>43349.0</v>
      </c>
    </row>
    <row r="2673">
      <c r="A2673" s="217">
        <v>43351.57217049769</v>
      </c>
      <c r="B2673" s="218" t="s">
        <v>5184</v>
      </c>
      <c r="C2673" s="218" t="s">
        <v>2220</v>
      </c>
      <c r="D2673" s="219">
        <v>1.0</v>
      </c>
      <c r="E2673" s="24"/>
      <c r="G2673" s="220">
        <v>43349.0</v>
      </c>
    </row>
    <row r="2674">
      <c r="A2674" s="217">
        <v>43352.55391934028</v>
      </c>
      <c r="B2674" s="218" t="s">
        <v>5184</v>
      </c>
      <c r="C2674" s="218" t="s">
        <v>7107</v>
      </c>
      <c r="D2674" s="219">
        <v>1.0</v>
      </c>
      <c r="E2674" s="24"/>
      <c r="G2674" s="220">
        <v>43344.0</v>
      </c>
    </row>
    <row r="2675">
      <c r="A2675" s="217">
        <v>43352.555791631945</v>
      </c>
      <c r="B2675" s="218" t="s">
        <v>5184</v>
      </c>
      <c r="C2675" s="218" t="s">
        <v>5976</v>
      </c>
      <c r="D2675" s="219">
        <v>1.0</v>
      </c>
      <c r="E2675" s="218">
        <v>400.0</v>
      </c>
      <c r="G2675" s="220">
        <v>43344.0</v>
      </c>
    </row>
    <row r="2676">
      <c r="A2676" s="217">
        <v>43352.557288888886</v>
      </c>
      <c r="B2676" s="218" t="s">
        <v>5184</v>
      </c>
      <c r="C2676" s="218" t="s">
        <v>5782</v>
      </c>
      <c r="D2676" s="219">
        <v>1.0</v>
      </c>
      <c r="E2676" s="218">
        <v>400.0</v>
      </c>
      <c r="G2676" s="220">
        <v>43344.0</v>
      </c>
    </row>
    <row r="2677">
      <c r="A2677" s="217">
        <v>43352.5579975</v>
      </c>
      <c r="B2677" s="218" t="s">
        <v>5184</v>
      </c>
      <c r="C2677" s="218" t="s">
        <v>5806</v>
      </c>
      <c r="D2677" s="219">
        <v>1.0</v>
      </c>
      <c r="E2677" s="218">
        <v>400.0</v>
      </c>
      <c r="G2677" s="220">
        <v>43344.0</v>
      </c>
    </row>
    <row r="2678">
      <c r="A2678" s="217">
        <v>43352.55917835648</v>
      </c>
      <c r="B2678" s="218" t="s">
        <v>5184</v>
      </c>
      <c r="C2678" s="218" t="s">
        <v>5804</v>
      </c>
      <c r="D2678" s="219">
        <v>1.0</v>
      </c>
      <c r="E2678" s="218">
        <v>300.0</v>
      </c>
      <c r="G2678" s="220">
        <v>43344.0</v>
      </c>
    </row>
    <row r="2679">
      <c r="A2679" s="217">
        <v>43352.56013027778</v>
      </c>
      <c r="B2679" s="218" t="s">
        <v>5184</v>
      </c>
      <c r="C2679" s="218" t="s">
        <v>6053</v>
      </c>
      <c r="D2679" s="219">
        <v>1.0</v>
      </c>
      <c r="E2679" s="218">
        <v>300.0</v>
      </c>
      <c r="G2679" s="220">
        <v>43344.0</v>
      </c>
    </row>
    <row r="2680">
      <c r="A2680" s="217">
        <v>43352.56078046296</v>
      </c>
      <c r="B2680" s="218" t="s">
        <v>5184</v>
      </c>
      <c r="C2680" s="218" t="s">
        <v>6038</v>
      </c>
      <c r="D2680" s="219">
        <v>1.0</v>
      </c>
      <c r="E2680" s="218">
        <v>400.0</v>
      </c>
      <c r="G2680" s="220">
        <v>43344.0</v>
      </c>
    </row>
    <row r="2681">
      <c r="A2681" s="217">
        <v>43352.56141231481</v>
      </c>
      <c r="B2681" s="218" t="s">
        <v>5184</v>
      </c>
      <c r="C2681" s="218" t="s">
        <v>5806</v>
      </c>
      <c r="D2681" s="219">
        <v>1.0</v>
      </c>
      <c r="E2681" s="218">
        <v>500.0</v>
      </c>
      <c r="G2681" s="220">
        <v>43344.0</v>
      </c>
    </row>
    <row r="2682">
      <c r="A2682" s="217">
        <v>43352.56225873843</v>
      </c>
      <c r="B2682" s="218" t="s">
        <v>5184</v>
      </c>
      <c r="C2682" s="218" t="s">
        <v>7002</v>
      </c>
      <c r="D2682" s="219">
        <v>1.0</v>
      </c>
      <c r="E2682" s="218">
        <v>450.0</v>
      </c>
      <c r="G2682" s="220">
        <v>43344.0</v>
      </c>
    </row>
    <row r="2683">
      <c r="A2683" s="217">
        <v>43352.56291850694</v>
      </c>
      <c r="B2683" s="218" t="s">
        <v>5184</v>
      </c>
      <c r="C2683" s="218" t="s">
        <v>5786</v>
      </c>
      <c r="D2683" s="219">
        <v>1.0</v>
      </c>
      <c r="E2683" s="218">
        <v>300.0</v>
      </c>
      <c r="G2683" s="220">
        <v>43345.0</v>
      </c>
    </row>
    <row r="2684">
      <c r="A2684" s="217">
        <v>43352.563446932865</v>
      </c>
      <c r="B2684" s="218" t="s">
        <v>5184</v>
      </c>
      <c r="C2684" s="218" t="s">
        <v>6001</v>
      </c>
      <c r="D2684" s="219">
        <v>1.0</v>
      </c>
      <c r="E2684" s="218">
        <v>500.0</v>
      </c>
      <c r="G2684" s="220">
        <v>43345.0</v>
      </c>
    </row>
    <row r="2685">
      <c r="A2685" s="217">
        <v>43352.564042962964</v>
      </c>
      <c r="B2685" s="218" t="s">
        <v>5184</v>
      </c>
      <c r="C2685" s="218" t="s">
        <v>5806</v>
      </c>
      <c r="D2685" s="219">
        <v>1.0</v>
      </c>
      <c r="E2685" s="218">
        <v>500.0</v>
      </c>
      <c r="G2685" s="220">
        <v>43346.0</v>
      </c>
    </row>
    <row r="2686">
      <c r="A2686" s="217">
        <v>43352.56453988426</v>
      </c>
      <c r="B2686" s="218" t="s">
        <v>5184</v>
      </c>
      <c r="C2686" s="218" t="s">
        <v>7002</v>
      </c>
      <c r="D2686" s="219">
        <v>1.0</v>
      </c>
      <c r="E2686" s="218">
        <v>800.0</v>
      </c>
      <c r="G2686" s="220">
        <v>43346.0</v>
      </c>
    </row>
    <row r="2687">
      <c r="A2687" s="217">
        <v>43352.565186168984</v>
      </c>
      <c r="B2687" s="218" t="s">
        <v>5184</v>
      </c>
      <c r="C2687" s="218" t="s">
        <v>5782</v>
      </c>
      <c r="D2687" s="219">
        <v>1.0</v>
      </c>
      <c r="E2687" s="218">
        <v>400.0</v>
      </c>
      <c r="G2687" s="220">
        <v>43346.0</v>
      </c>
    </row>
    <row r="2688">
      <c r="A2688" s="217">
        <v>43352.56584231481</v>
      </c>
      <c r="B2688" s="218" t="s">
        <v>5184</v>
      </c>
      <c r="C2688" s="218" t="s">
        <v>5782</v>
      </c>
      <c r="D2688" s="219">
        <v>1.0</v>
      </c>
      <c r="E2688" s="218">
        <v>400.0</v>
      </c>
      <c r="G2688" s="220">
        <v>43346.0</v>
      </c>
    </row>
    <row r="2689">
      <c r="A2689" s="217">
        <v>43352.56625895834</v>
      </c>
      <c r="B2689" s="218" t="s">
        <v>5184</v>
      </c>
      <c r="C2689" s="218" t="s">
        <v>6053</v>
      </c>
      <c r="D2689" s="219">
        <v>1.0</v>
      </c>
      <c r="E2689" s="218">
        <v>300.0</v>
      </c>
      <c r="G2689" s="220">
        <v>43346.0</v>
      </c>
    </row>
    <row r="2690">
      <c r="A2690" s="217">
        <v>43352.56731252315</v>
      </c>
      <c r="B2690" s="218" t="s">
        <v>5184</v>
      </c>
      <c r="C2690" s="218" t="s">
        <v>5806</v>
      </c>
      <c r="D2690" s="219">
        <v>1.0</v>
      </c>
      <c r="E2690" s="218">
        <v>400.0</v>
      </c>
      <c r="F2690" s="3" t="s">
        <v>5787</v>
      </c>
      <c r="G2690" s="220">
        <v>43346.0</v>
      </c>
    </row>
    <row r="2691">
      <c r="A2691" s="217">
        <v>43352.56982773148</v>
      </c>
      <c r="B2691" s="218" t="s">
        <v>5184</v>
      </c>
      <c r="C2691" s="218" t="s">
        <v>5782</v>
      </c>
      <c r="D2691" s="219">
        <v>1.0</v>
      </c>
      <c r="E2691" s="218">
        <v>400.0</v>
      </c>
      <c r="G2691" s="220">
        <v>43346.0</v>
      </c>
    </row>
    <row r="2692">
      <c r="A2692" s="217">
        <v>43352.57225539352</v>
      </c>
      <c r="B2692" s="218" t="s">
        <v>5184</v>
      </c>
      <c r="C2692" s="218" t="s">
        <v>5782</v>
      </c>
      <c r="D2692" s="219">
        <v>1.0</v>
      </c>
      <c r="E2692" s="218">
        <v>400.0</v>
      </c>
      <c r="G2692" s="220">
        <v>43346.0</v>
      </c>
    </row>
    <row r="2693">
      <c r="A2693" s="217">
        <v>43352.572979247685</v>
      </c>
      <c r="B2693" s="218" t="s">
        <v>5184</v>
      </c>
      <c r="C2693" s="218" t="s">
        <v>5782</v>
      </c>
      <c r="D2693" s="219">
        <v>1.0</v>
      </c>
      <c r="E2693" s="218">
        <v>400.0</v>
      </c>
      <c r="F2693" s="3" t="s">
        <v>5787</v>
      </c>
      <c r="G2693" s="220">
        <v>43346.0</v>
      </c>
    </row>
    <row r="2694">
      <c r="A2694" s="217">
        <v>43352.57413634259</v>
      </c>
      <c r="B2694" s="218" t="s">
        <v>5184</v>
      </c>
      <c r="C2694" s="218" t="s">
        <v>6053</v>
      </c>
      <c r="D2694" s="219">
        <v>1.0</v>
      </c>
      <c r="E2694" s="218">
        <v>300.0</v>
      </c>
      <c r="G2694" s="220">
        <v>43347.0</v>
      </c>
    </row>
    <row r="2695">
      <c r="A2695" s="217">
        <v>43358.38665606482</v>
      </c>
      <c r="B2695" s="218" t="s">
        <v>5184</v>
      </c>
      <c r="C2695" s="218" t="s">
        <v>5845</v>
      </c>
      <c r="D2695" s="219">
        <v>1.0</v>
      </c>
      <c r="E2695" s="218">
        <v>500.0</v>
      </c>
      <c r="F2695" s="3" t="s">
        <v>5787</v>
      </c>
      <c r="G2695" s="220">
        <v>43348.0</v>
      </c>
    </row>
    <row r="2696">
      <c r="A2696" s="217">
        <v>43358.38740723379</v>
      </c>
      <c r="B2696" s="218" t="s">
        <v>5184</v>
      </c>
      <c r="C2696" s="218" t="s">
        <v>5806</v>
      </c>
      <c r="D2696" s="219">
        <v>1.0</v>
      </c>
      <c r="E2696" s="218">
        <v>500.0</v>
      </c>
      <c r="G2696" s="220">
        <v>43348.0</v>
      </c>
    </row>
    <row r="2697">
      <c r="A2697" s="217">
        <v>43358.38804092593</v>
      </c>
      <c r="B2697" s="218" t="s">
        <v>5184</v>
      </c>
      <c r="C2697" s="218" t="s">
        <v>5976</v>
      </c>
      <c r="D2697" s="219">
        <v>1.0</v>
      </c>
      <c r="E2697" s="218">
        <v>400.0</v>
      </c>
      <c r="G2697" s="220">
        <v>43348.0</v>
      </c>
    </row>
    <row r="2698">
      <c r="A2698" s="217">
        <v>43358.38977016204</v>
      </c>
      <c r="B2698" s="218" t="s">
        <v>5184</v>
      </c>
      <c r="C2698" s="218" t="s">
        <v>5845</v>
      </c>
      <c r="D2698" s="219">
        <v>1.0</v>
      </c>
      <c r="E2698" s="218">
        <v>500.0</v>
      </c>
      <c r="G2698" s="220">
        <v>43349.0</v>
      </c>
    </row>
    <row r="2699">
      <c r="A2699" s="217">
        <v>43358.39086561343</v>
      </c>
      <c r="B2699" s="218" t="s">
        <v>5184</v>
      </c>
      <c r="C2699" s="218" t="s">
        <v>5806</v>
      </c>
      <c r="D2699" s="219">
        <v>1.0</v>
      </c>
      <c r="E2699" s="218">
        <v>400.0</v>
      </c>
      <c r="F2699" s="3" t="s">
        <v>5787</v>
      </c>
      <c r="G2699" s="220">
        <v>43349.0</v>
      </c>
    </row>
    <row r="2700">
      <c r="A2700" s="217">
        <v>43358.394744363424</v>
      </c>
      <c r="B2700" s="218" t="s">
        <v>5184</v>
      </c>
      <c r="C2700" s="218" t="s">
        <v>5806</v>
      </c>
      <c r="D2700" s="219">
        <v>1.0</v>
      </c>
      <c r="E2700" s="218">
        <v>300.0</v>
      </c>
      <c r="F2700" s="3" t="s">
        <v>5787</v>
      </c>
      <c r="G2700" s="220">
        <v>43349.0</v>
      </c>
    </row>
    <row r="2701">
      <c r="A2701" s="217">
        <v>43358.39560671296</v>
      </c>
      <c r="B2701" s="218" t="s">
        <v>5184</v>
      </c>
      <c r="C2701" s="218" t="s">
        <v>5818</v>
      </c>
      <c r="D2701" s="219">
        <v>1.0</v>
      </c>
      <c r="E2701" s="218">
        <v>300.0</v>
      </c>
      <c r="F2701" s="3" t="s">
        <v>5787</v>
      </c>
      <c r="G2701" s="220">
        <v>43349.0</v>
      </c>
    </row>
    <row r="2702">
      <c r="A2702" s="217">
        <v>43358.39623590278</v>
      </c>
      <c r="B2702" s="218" t="s">
        <v>5184</v>
      </c>
      <c r="C2702" s="218" t="s">
        <v>6038</v>
      </c>
      <c r="D2702" s="219">
        <v>1.0</v>
      </c>
      <c r="E2702" s="218">
        <v>400.0</v>
      </c>
      <c r="G2702" s="220">
        <v>43349.0</v>
      </c>
    </row>
    <row r="2703">
      <c r="A2703" s="217">
        <v>43358.39900563657</v>
      </c>
      <c r="B2703" s="218" t="s">
        <v>5184</v>
      </c>
      <c r="C2703" s="218" t="s">
        <v>5782</v>
      </c>
      <c r="D2703" s="219">
        <v>1.0</v>
      </c>
      <c r="E2703" s="218">
        <v>400.0</v>
      </c>
      <c r="F2703" s="3" t="s">
        <v>5787</v>
      </c>
      <c r="G2703" s="220">
        <v>43350.0</v>
      </c>
    </row>
    <row r="2704">
      <c r="A2704" s="217">
        <v>43358.40068857639</v>
      </c>
      <c r="B2704" s="218" t="s">
        <v>5184</v>
      </c>
      <c r="C2704" s="218" t="s">
        <v>5806</v>
      </c>
      <c r="D2704" s="219">
        <v>1.0</v>
      </c>
      <c r="E2704" s="218">
        <v>400.0</v>
      </c>
      <c r="G2704" s="220">
        <v>43350.0</v>
      </c>
    </row>
    <row r="2705">
      <c r="A2705" s="217">
        <v>43358.40146597222</v>
      </c>
      <c r="B2705" s="218" t="s">
        <v>5184</v>
      </c>
      <c r="C2705" s="218" t="s">
        <v>5806</v>
      </c>
      <c r="D2705" s="219">
        <v>1.0</v>
      </c>
      <c r="E2705" s="218">
        <v>500.0</v>
      </c>
      <c r="F2705" s="3" t="s">
        <v>5787</v>
      </c>
      <c r="G2705" s="220">
        <v>43350.0</v>
      </c>
    </row>
    <row r="2706">
      <c r="A2706" s="217">
        <v>43358.401892696755</v>
      </c>
      <c r="B2706" s="218" t="s">
        <v>5184</v>
      </c>
      <c r="C2706" s="218" t="s">
        <v>2545</v>
      </c>
      <c r="D2706" s="219">
        <v>1.0</v>
      </c>
      <c r="E2706" s="218">
        <v>300.0</v>
      </c>
      <c r="G2706" s="220">
        <v>43350.0</v>
      </c>
    </row>
    <row r="2707">
      <c r="A2707" s="217">
        <v>43358.40365050926</v>
      </c>
      <c r="B2707" s="218" t="s">
        <v>5184</v>
      </c>
      <c r="C2707" s="218" t="s">
        <v>5804</v>
      </c>
      <c r="D2707" s="219">
        <v>1.0</v>
      </c>
      <c r="E2707" s="218">
        <v>300.0</v>
      </c>
      <c r="F2707" s="3" t="s">
        <v>5787</v>
      </c>
      <c r="G2707" s="220">
        <v>43350.0</v>
      </c>
    </row>
    <row r="2708">
      <c r="A2708" s="217">
        <v>43358.404426863424</v>
      </c>
      <c r="B2708" s="218" t="s">
        <v>5184</v>
      </c>
      <c r="C2708" s="218" t="s">
        <v>5782</v>
      </c>
      <c r="D2708" s="219">
        <v>1.0</v>
      </c>
      <c r="E2708" s="218">
        <v>400.0</v>
      </c>
      <c r="F2708" s="3" t="s">
        <v>5787</v>
      </c>
      <c r="G2708" s="220">
        <v>43351.0</v>
      </c>
    </row>
    <row r="2709">
      <c r="A2709" s="217">
        <v>43358.40535149306</v>
      </c>
      <c r="B2709" s="218" t="s">
        <v>5184</v>
      </c>
      <c r="C2709" s="218" t="s">
        <v>5806</v>
      </c>
      <c r="D2709" s="219">
        <v>1.0</v>
      </c>
      <c r="E2709" s="218">
        <v>300.0</v>
      </c>
      <c r="F2709" s="3" t="s">
        <v>5787</v>
      </c>
      <c r="G2709" s="220">
        <v>43353.0</v>
      </c>
    </row>
    <row r="2710">
      <c r="A2710" s="217">
        <v>43358.40617498843</v>
      </c>
      <c r="B2710" s="218" t="s">
        <v>5184</v>
      </c>
      <c r="C2710" s="218" t="s">
        <v>5806</v>
      </c>
      <c r="D2710" s="219">
        <v>1.0</v>
      </c>
      <c r="E2710" s="218">
        <v>400.0</v>
      </c>
      <c r="F2710" s="3" t="s">
        <v>5787</v>
      </c>
      <c r="G2710" s="220">
        <v>43353.0</v>
      </c>
    </row>
    <row r="2711">
      <c r="A2711" s="217">
        <v>43358.40703991898</v>
      </c>
      <c r="B2711" s="218" t="s">
        <v>5184</v>
      </c>
      <c r="C2711" s="218" t="s">
        <v>5806</v>
      </c>
      <c r="D2711" s="219">
        <v>1.0</v>
      </c>
      <c r="E2711" s="218">
        <v>400.0</v>
      </c>
      <c r="F2711" s="3" t="s">
        <v>5787</v>
      </c>
      <c r="G2711" s="220">
        <v>43353.0</v>
      </c>
    </row>
    <row r="2712">
      <c r="A2712" s="217">
        <v>43358.40774083333</v>
      </c>
      <c r="B2712" s="218" t="s">
        <v>5184</v>
      </c>
      <c r="C2712" s="218" t="s">
        <v>5845</v>
      </c>
      <c r="D2712" s="219">
        <v>1.0</v>
      </c>
      <c r="E2712" s="218">
        <v>500.0</v>
      </c>
      <c r="F2712" s="3" t="s">
        <v>5787</v>
      </c>
      <c r="G2712" s="220">
        <v>43353.0</v>
      </c>
    </row>
    <row r="2713">
      <c r="A2713" s="217">
        <v>43358.40847851852</v>
      </c>
      <c r="B2713" s="218" t="s">
        <v>5184</v>
      </c>
      <c r="C2713" s="218" t="s">
        <v>5806</v>
      </c>
      <c r="D2713" s="219">
        <v>1.0</v>
      </c>
      <c r="E2713" s="218">
        <v>300.0</v>
      </c>
      <c r="F2713" s="3" t="s">
        <v>5787</v>
      </c>
      <c r="G2713" s="220">
        <v>43353.0</v>
      </c>
    </row>
    <row r="2714">
      <c r="A2714" s="217">
        <v>43358.40935127315</v>
      </c>
      <c r="B2714" s="218" t="s">
        <v>5184</v>
      </c>
      <c r="C2714" s="218" t="s">
        <v>6036</v>
      </c>
      <c r="D2714" s="219">
        <v>1.0</v>
      </c>
      <c r="E2714" s="218">
        <v>300.0</v>
      </c>
      <c r="F2714" s="3" t="s">
        <v>5787</v>
      </c>
      <c r="G2714" s="220">
        <v>43354.0</v>
      </c>
    </row>
    <row r="2715">
      <c r="A2715" s="217">
        <v>43358.410145601854</v>
      </c>
      <c r="B2715" s="218" t="s">
        <v>5184</v>
      </c>
      <c r="C2715" s="218" t="s">
        <v>5782</v>
      </c>
      <c r="D2715" s="219">
        <v>1.0</v>
      </c>
      <c r="E2715" s="218">
        <v>400.0</v>
      </c>
      <c r="F2715" s="3" t="s">
        <v>5787</v>
      </c>
      <c r="G2715" s="220">
        <v>43354.0</v>
      </c>
    </row>
    <row r="2716">
      <c r="A2716" s="217">
        <v>43358.41068734953</v>
      </c>
      <c r="B2716" s="218" t="s">
        <v>5184</v>
      </c>
      <c r="C2716" s="218" t="s">
        <v>5804</v>
      </c>
      <c r="D2716" s="219">
        <v>1.0</v>
      </c>
      <c r="E2716" s="218">
        <v>300.0</v>
      </c>
      <c r="F2716" s="3" t="s">
        <v>5787</v>
      </c>
      <c r="G2716" s="220">
        <v>43354.0</v>
      </c>
    </row>
    <row r="2717">
      <c r="A2717" s="217">
        <v>43358.411664189814</v>
      </c>
      <c r="B2717" s="218" t="s">
        <v>5184</v>
      </c>
      <c r="C2717" s="218" t="s">
        <v>5806</v>
      </c>
      <c r="D2717" s="219">
        <v>1.0</v>
      </c>
      <c r="E2717" s="218">
        <v>500.0</v>
      </c>
      <c r="F2717" s="3" t="s">
        <v>5787</v>
      </c>
      <c r="G2717" s="220">
        <v>43355.0</v>
      </c>
    </row>
    <row r="2718">
      <c r="A2718" s="217">
        <v>43358.41731297453</v>
      </c>
      <c r="B2718" s="218" t="s">
        <v>5184</v>
      </c>
      <c r="C2718" s="218" t="s">
        <v>6053</v>
      </c>
      <c r="D2718" s="219">
        <v>1.0</v>
      </c>
      <c r="E2718" s="218">
        <v>300.0</v>
      </c>
      <c r="F2718" s="3" t="s">
        <v>5787</v>
      </c>
      <c r="G2718" s="220">
        <v>43355.0</v>
      </c>
    </row>
    <row r="2719">
      <c r="A2719" s="217">
        <v>43358.41820068287</v>
      </c>
      <c r="B2719" s="218" t="s">
        <v>5184</v>
      </c>
      <c r="C2719" s="218" t="s">
        <v>5806</v>
      </c>
      <c r="D2719" s="219">
        <v>1.0</v>
      </c>
      <c r="E2719" s="218">
        <v>500.0</v>
      </c>
      <c r="F2719" s="3" t="s">
        <v>5787</v>
      </c>
      <c r="G2719" s="220">
        <v>43355.0</v>
      </c>
    </row>
    <row r="2720">
      <c r="A2720" s="217">
        <v>43358.418999155096</v>
      </c>
      <c r="B2720" s="218" t="s">
        <v>5184</v>
      </c>
      <c r="C2720" s="218" t="s">
        <v>5845</v>
      </c>
      <c r="D2720" s="219">
        <v>1.0</v>
      </c>
      <c r="E2720" s="218">
        <v>500.0</v>
      </c>
      <c r="G2720" s="220">
        <v>43356.0</v>
      </c>
    </row>
    <row r="2721">
      <c r="A2721" s="217">
        <v>43358.41982789352</v>
      </c>
      <c r="B2721" s="218" t="s">
        <v>5184</v>
      </c>
      <c r="C2721" s="218" t="s">
        <v>5806</v>
      </c>
      <c r="D2721" s="219">
        <v>1.0</v>
      </c>
      <c r="E2721" s="218">
        <v>300.0</v>
      </c>
      <c r="G2721" s="220">
        <v>43356.0</v>
      </c>
    </row>
    <row r="2722">
      <c r="A2722" s="217">
        <v>43358.4206687963</v>
      </c>
      <c r="B2722" s="218" t="s">
        <v>5184</v>
      </c>
      <c r="C2722" s="218" t="s">
        <v>5806</v>
      </c>
      <c r="D2722" s="219">
        <v>1.0</v>
      </c>
      <c r="E2722" s="218">
        <v>300.0</v>
      </c>
      <c r="F2722" s="3" t="s">
        <v>5787</v>
      </c>
      <c r="G2722" s="220">
        <v>43356.0</v>
      </c>
    </row>
    <row r="2723">
      <c r="A2723" s="217">
        <v>43358.421163391205</v>
      </c>
      <c r="B2723" s="218" t="s">
        <v>5184</v>
      </c>
      <c r="C2723" s="218" t="s">
        <v>6053</v>
      </c>
      <c r="D2723" s="219">
        <v>1.0</v>
      </c>
      <c r="E2723" s="218">
        <v>300.0</v>
      </c>
      <c r="G2723" s="220">
        <v>43357.0</v>
      </c>
    </row>
    <row r="2724">
      <c r="A2724" s="217">
        <v>43358.42179690972</v>
      </c>
      <c r="B2724" s="218" t="s">
        <v>5184</v>
      </c>
      <c r="C2724" s="218" t="s">
        <v>6053</v>
      </c>
      <c r="D2724" s="219">
        <v>1.0</v>
      </c>
      <c r="E2724" s="218">
        <v>300.0</v>
      </c>
      <c r="G2724" s="220">
        <v>43356.0</v>
      </c>
    </row>
    <row r="2725">
      <c r="A2725" s="217">
        <v>43358.42246127315</v>
      </c>
      <c r="B2725" s="218" t="s">
        <v>5184</v>
      </c>
      <c r="C2725" s="218" t="s">
        <v>6053</v>
      </c>
      <c r="D2725" s="219">
        <v>1.0</v>
      </c>
      <c r="E2725" s="218">
        <v>300.0</v>
      </c>
      <c r="G2725" s="220">
        <v>43357.0</v>
      </c>
    </row>
    <row r="2726">
      <c r="A2726" s="217">
        <v>43358.42383017361</v>
      </c>
      <c r="B2726" s="218" t="s">
        <v>5184</v>
      </c>
      <c r="C2726" s="218" t="s">
        <v>6903</v>
      </c>
      <c r="D2726" s="219">
        <v>1.0</v>
      </c>
      <c r="E2726" s="218">
        <v>2350.0</v>
      </c>
      <c r="F2726" s="3" t="s">
        <v>5787</v>
      </c>
      <c r="G2726" s="220">
        <v>43358.0</v>
      </c>
    </row>
    <row r="2727">
      <c r="A2727" s="217">
        <v>43358.42452519676</v>
      </c>
      <c r="B2727" s="218" t="s">
        <v>5184</v>
      </c>
      <c r="C2727" s="218" t="s">
        <v>5806</v>
      </c>
      <c r="D2727" s="219">
        <v>1.0</v>
      </c>
      <c r="E2727" s="218">
        <v>500.0</v>
      </c>
      <c r="F2727" s="3" t="s">
        <v>5787</v>
      </c>
      <c r="G2727" s="220">
        <v>43357.0</v>
      </c>
    </row>
    <row r="2728">
      <c r="A2728" s="217">
        <v>43358.42569665509</v>
      </c>
      <c r="B2728" s="218" t="s">
        <v>5184</v>
      </c>
      <c r="C2728" s="218" t="s">
        <v>5806</v>
      </c>
      <c r="D2728" s="219">
        <v>1.0</v>
      </c>
      <c r="E2728" s="218">
        <v>400.0</v>
      </c>
      <c r="F2728" s="3" t="s">
        <v>5787</v>
      </c>
      <c r="G2728" s="220">
        <v>43357.0</v>
      </c>
    </row>
    <row r="2729">
      <c r="A2729" s="217">
        <v>43358.4260705787</v>
      </c>
      <c r="B2729" s="218" t="s">
        <v>5184</v>
      </c>
      <c r="C2729" s="218" t="s">
        <v>6053</v>
      </c>
      <c r="D2729" s="219">
        <v>1.0</v>
      </c>
      <c r="E2729" s="218">
        <v>300.0</v>
      </c>
      <c r="G2729" s="220">
        <v>43357.0</v>
      </c>
    </row>
    <row r="2730">
      <c r="A2730" s="217">
        <v>43358.426812488426</v>
      </c>
      <c r="B2730" s="218" t="s">
        <v>5184</v>
      </c>
      <c r="C2730" s="218" t="s">
        <v>5806</v>
      </c>
      <c r="D2730" s="219">
        <v>1.0</v>
      </c>
      <c r="E2730" s="218">
        <v>400.0</v>
      </c>
      <c r="G2730" s="220">
        <v>43357.0</v>
      </c>
    </row>
    <row r="2731">
      <c r="A2731" s="217">
        <v>43358.42741054398</v>
      </c>
      <c r="B2731" s="218" t="s">
        <v>5184</v>
      </c>
      <c r="C2731" s="218" t="s">
        <v>5806</v>
      </c>
      <c r="D2731" s="219">
        <v>1.0</v>
      </c>
      <c r="E2731" s="218">
        <v>400.0</v>
      </c>
      <c r="F2731" s="3" t="s">
        <v>5787</v>
      </c>
      <c r="G2731" s="220">
        <v>43357.0</v>
      </c>
    </row>
    <row r="2732">
      <c r="A2732" s="217">
        <v>43358.47492436343</v>
      </c>
      <c r="B2732" s="218" t="s">
        <v>5184</v>
      </c>
      <c r="C2732" s="218" t="s">
        <v>6672</v>
      </c>
      <c r="D2732" s="219">
        <v>1.0</v>
      </c>
      <c r="E2732" s="24"/>
      <c r="G2732" s="220">
        <v>43350.0</v>
      </c>
    </row>
    <row r="2733">
      <c r="A2733" s="217">
        <v>43358.47541591435</v>
      </c>
      <c r="B2733" s="218" t="s">
        <v>5184</v>
      </c>
      <c r="C2733" s="218" t="s">
        <v>6667</v>
      </c>
      <c r="D2733" s="219">
        <v>1.0</v>
      </c>
      <c r="E2733" s="24"/>
      <c r="G2733" s="220">
        <v>43350.0</v>
      </c>
    </row>
    <row r="2734">
      <c r="A2734" s="217">
        <v>43358.475949444444</v>
      </c>
      <c r="B2734" s="218" t="s">
        <v>5184</v>
      </c>
      <c r="C2734" s="218" t="s">
        <v>1880</v>
      </c>
      <c r="D2734" s="219">
        <v>1.0</v>
      </c>
      <c r="E2734" s="24"/>
      <c r="G2734" s="220">
        <v>43350.0</v>
      </c>
    </row>
    <row r="2735">
      <c r="A2735" s="217">
        <v>43358.54157806713</v>
      </c>
      <c r="B2735" s="218" t="s">
        <v>5184</v>
      </c>
      <c r="C2735" s="218" t="s">
        <v>6666</v>
      </c>
      <c r="D2735" s="219">
        <v>1.0</v>
      </c>
      <c r="E2735" s="24"/>
      <c r="G2735" s="220">
        <v>43350.0</v>
      </c>
    </row>
    <row r="2736">
      <c r="A2736" s="217">
        <v>43358.54237322917</v>
      </c>
      <c r="B2736" s="218" t="s">
        <v>5184</v>
      </c>
      <c r="C2736" s="218" t="s">
        <v>7143</v>
      </c>
      <c r="D2736" s="219">
        <v>1.0</v>
      </c>
      <c r="E2736" s="24"/>
      <c r="G2736" s="220">
        <v>43350.0</v>
      </c>
    </row>
    <row r="2737">
      <c r="A2737" s="217">
        <v>43358.543025023144</v>
      </c>
      <c r="B2737" s="218" t="s">
        <v>5184</v>
      </c>
      <c r="C2737" s="218" t="s">
        <v>6669</v>
      </c>
      <c r="D2737" s="219">
        <v>1.0</v>
      </c>
      <c r="E2737" s="24"/>
      <c r="G2737" s="220">
        <v>43350.0</v>
      </c>
    </row>
    <row r="2738">
      <c r="A2738" s="217">
        <v>43358.54352609954</v>
      </c>
      <c r="B2738" s="218" t="s">
        <v>5184</v>
      </c>
      <c r="C2738" s="218" t="s">
        <v>6668</v>
      </c>
      <c r="D2738" s="219">
        <v>1.0</v>
      </c>
      <c r="E2738" s="24"/>
      <c r="G2738" s="220">
        <v>43350.0</v>
      </c>
    </row>
    <row r="2739">
      <c r="A2739" s="217">
        <v>43358.54397991898</v>
      </c>
      <c r="B2739" s="218" t="s">
        <v>5184</v>
      </c>
      <c r="C2739" s="218" t="s">
        <v>6673</v>
      </c>
      <c r="D2739" s="219">
        <v>1.0</v>
      </c>
      <c r="E2739" s="24"/>
      <c r="G2739" s="220">
        <v>43350.0</v>
      </c>
    </row>
    <row r="2740">
      <c r="A2740" s="217">
        <v>43358.54444802083</v>
      </c>
      <c r="B2740" s="218" t="s">
        <v>5184</v>
      </c>
      <c r="C2740" s="218" t="s">
        <v>1880</v>
      </c>
      <c r="D2740" s="219">
        <v>1.0</v>
      </c>
      <c r="E2740" s="24"/>
      <c r="G2740" s="220">
        <v>43350.0</v>
      </c>
    </row>
    <row r="2741">
      <c r="A2741" s="217">
        <v>43358.54488884259</v>
      </c>
      <c r="B2741" s="218" t="s">
        <v>5184</v>
      </c>
      <c r="C2741" s="218" t="s">
        <v>5554</v>
      </c>
      <c r="D2741" s="219">
        <v>1.0</v>
      </c>
      <c r="E2741" s="24"/>
      <c r="G2741" s="220">
        <v>43350.0</v>
      </c>
    </row>
    <row r="2742">
      <c r="A2742" s="217">
        <v>43358.54549935185</v>
      </c>
      <c r="B2742" s="218" t="s">
        <v>5184</v>
      </c>
      <c r="C2742" s="218" t="s">
        <v>1300</v>
      </c>
      <c r="D2742" s="219">
        <v>1.0</v>
      </c>
      <c r="E2742" s="24"/>
      <c r="G2742" s="220">
        <v>43350.0</v>
      </c>
    </row>
    <row r="2743">
      <c r="A2743" s="217">
        <v>43358.5461096875</v>
      </c>
      <c r="B2743" s="218" t="s">
        <v>5184</v>
      </c>
      <c r="C2743" s="218" t="s">
        <v>5553</v>
      </c>
      <c r="D2743" s="219">
        <v>1.0</v>
      </c>
      <c r="E2743" s="24"/>
      <c r="G2743" s="220">
        <v>43350.0</v>
      </c>
    </row>
    <row r="2744">
      <c r="A2744" s="217">
        <v>43358.5468803588</v>
      </c>
      <c r="B2744" s="218" t="s">
        <v>5184</v>
      </c>
      <c r="C2744" s="218" t="s">
        <v>5572</v>
      </c>
      <c r="D2744" s="219">
        <v>1.0</v>
      </c>
      <c r="E2744" s="24"/>
      <c r="G2744" s="220">
        <v>43352.0</v>
      </c>
    </row>
    <row r="2745">
      <c r="A2745" s="217">
        <v>43358.547363888894</v>
      </c>
      <c r="B2745" s="218" t="s">
        <v>5184</v>
      </c>
      <c r="C2745" s="218" t="s">
        <v>1338</v>
      </c>
      <c r="D2745" s="219">
        <v>1.0</v>
      </c>
      <c r="E2745" s="24"/>
      <c r="G2745" s="220">
        <v>43352.0</v>
      </c>
    </row>
    <row r="2746">
      <c r="A2746" s="217">
        <v>43358.547778611115</v>
      </c>
      <c r="B2746" s="218" t="s">
        <v>5184</v>
      </c>
      <c r="C2746" s="218" t="s">
        <v>5552</v>
      </c>
      <c r="D2746" s="219">
        <v>1.0</v>
      </c>
      <c r="E2746" s="24"/>
      <c r="G2746" s="220">
        <v>43352.0</v>
      </c>
    </row>
    <row r="2747">
      <c r="A2747" s="217">
        <v>43358.54826246528</v>
      </c>
      <c r="B2747" s="218" t="s">
        <v>5184</v>
      </c>
      <c r="C2747" s="218" t="s">
        <v>5573</v>
      </c>
      <c r="D2747" s="219">
        <v>1.0</v>
      </c>
      <c r="E2747" s="24"/>
      <c r="G2747" s="220">
        <v>43352.0</v>
      </c>
    </row>
    <row r="2748">
      <c r="A2748" s="217">
        <v>43358.54891188657</v>
      </c>
      <c r="B2748" s="218" t="s">
        <v>5184</v>
      </c>
      <c r="C2748" s="218" t="s">
        <v>5583</v>
      </c>
      <c r="D2748" s="219">
        <v>1.0</v>
      </c>
      <c r="E2748" s="24"/>
      <c r="G2748" s="220">
        <v>43352.0</v>
      </c>
    </row>
    <row r="2749">
      <c r="A2749" s="217">
        <v>43358.55321951389</v>
      </c>
      <c r="B2749" s="218" t="s">
        <v>5184</v>
      </c>
      <c r="C2749" s="218" t="s">
        <v>2755</v>
      </c>
      <c r="D2749" s="219">
        <v>1.0</v>
      </c>
      <c r="E2749" s="24"/>
      <c r="G2749" s="220">
        <v>43352.0</v>
      </c>
    </row>
    <row r="2750">
      <c r="A2750" s="217">
        <v>43358.55392740741</v>
      </c>
      <c r="B2750" s="218" t="s">
        <v>5184</v>
      </c>
      <c r="C2750" s="218" t="s">
        <v>6141</v>
      </c>
      <c r="D2750" s="219">
        <v>1.0</v>
      </c>
      <c r="E2750" s="24"/>
      <c r="G2750" s="220">
        <v>43352.0</v>
      </c>
    </row>
    <row r="2751">
      <c r="A2751" s="217">
        <v>43358.55511390047</v>
      </c>
      <c r="B2751" s="218" t="s">
        <v>5184</v>
      </c>
      <c r="C2751" s="218" t="s">
        <v>6771</v>
      </c>
      <c r="D2751" s="219">
        <v>1.0</v>
      </c>
      <c r="E2751" s="24"/>
      <c r="G2751" s="220">
        <v>43352.0</v>
      </c>
    </row>
    <row r="2752">
      <c r="A2752" s="217">
        <v>43358.55601606482</v>
      </c>
      <c r="B2752" s="218" t="s">
        <v>5184</v>
      </c>
      <c r="C2752" s="218" t="s">
        <v>6331</v>
      </c>
      <c r="D2752" s="219">
        <v>3.0</v>
      </c>
      <c r="E2752" s="24"/>
      <c r="G2752" s="220">
        <v>43352.0</v>
      </c>
    </row>
    <row r="2753">
      <c r="A2753" s="217">
        <v>43358.55647261574</v>
      </c>
      <c r="B2753" s="218" t="s">
        <v>5184</v>
      </c>
      <c r="C2753" s="218" t="s">
        <v>6338</v>
      </c>
      <c r="D2753" s="219">
        <v>1.0</v>
      </c>
      <c r="E2753" s="24"/>
      <c r="G2753" s="220">
        <v>43352.0</v>
      </c>
    </row>
    <row r="2754">
      <c r="A2754" s="217">
        <v>43358.556994375</v>
      </c>
      <c r="B2754" s="218" t="s">
        <v>5184</v>
      </c>
      <c r="C2754" s="218" t="s">
        <v>6254</v>
      </c>
      <c r="D2754" s="219">
        <v>1.0</v>
      </c>
      <c r="E2754" s="24"/>
      <c r="G2754" s="220">
        <v>43352.0</v>
      </c>
    </row>
    <row r="2755">
      <c r="A2755" s="217">
        <v>43358.55776255787</v>
      </c>
      <c r="B2755" s="218" t="s">
        <v>5184</v>
      </c>
      <c r="C2755" s="218" t="s">
        <v>7144</v>
      </c>
      <c r="D2755" s="219">
        <v>1.0</v>
      </c>
      <c r="E2755" s="24"/>
      <c r="G2755" s="220">
        <v>43352.0</v>
      </c>
    </row>
    <row r="2756">
      <c r="A2756" s="217">
        <v>43358.55860013889</v>
      </c>
      <c r="B2756" s="218" t="s">
        <v>5184</v>
      </c>
      <c r="C2756" s="218" t="s">
        <v>4518</v>
      </c>
      <c r="D2756" s="219">
        <v>1.0</v>
      </c>
      <c r="E2756" s="24"/>
      <c r="G2756" s="220">
        <v>43352.0</v>
      </c>
    </row>
    <row r="2757">
      <c r="A2757" s="217">
        <v>43358.559409814814</v>
      </c>
      <c r="B2757" s="218" t="s">
        <v>5184</v>
      </c>
      <c r="C2757" s="218" t="s">
        <v>4507</v>
      </c>
      <c r="D2757" s="219">
        <v>1.0</v>
      </c>
      <c r="E2757" s="24"/>
      <c r="G2757" s="220">
        <v>43352.0</v>
      </c>
    </row>
    <row r="2758">
      <c r="A2758" s="217">
        <v>43358.55990555555</v>
      </c>
      <c r="B2758" s="218" t="s">
        <v>5184</v>
      </c>
      <c r="C2758" s="218" t="s">
        <v>2110</v>
      </c>
      <c r="D2758" s="219">
        <v>1.0</v>
      </c>
      <c r="E2758" s="24"/>
      <c r="G2758" s="220">
        <v>43352.0</v>
      </c>
    </row>
    <row r="2759">
      <c r="A2759" s="217">
        <v>43358.56045993055</v>
      </c>
      <c r="B2759" s="218" t="s">
        <v>5184</v>
      </c>
      <c r="C2759" s="218" t="s">
        <v>1887</v>
      </c>
      <c r="D2759" s="219">
        <v>1.0</v>
      </c>
      <c r="E2759" s="24"/>
      <c r="G2759" s="220">
        <v>43352.0</v>
      </c>
    </row>
    <row r="2760">
      <c r="A2760" s="217">
        <v>43358.56153125</v>
      </c>
      <c r="B2760" s="218" t="s">
        <v>5184</v>
      </c>
      <c r="C2760" s="218" t="s">
        <v>5134</v>
      </c>
      <c r="D2760" s="219">
        <v>1.0</v>
      </c>
      <c r="E2760" s="24"/>
      <c r="G2760" s="220">
        <v>43352.0</v>
      </c>
    </row>
    <row r="2761">
      <c r="A2761" s="217">
        <v>43358.56221040509</v>
      </c>
      <c r="B2761" s="218" t="s">
        <v>5184</v>
      </c>
      <c r="C2761" s="218" t="s">
        <v>5113</v>
      </c>
      <c r="D2761" s="219">
        <v>1.0</v>
      </c>
      <c r="E2761" s="24"/>
      <c r="G2761" s="220">
        <v>43352.0</v>
      </c>
    </row>
    <row r="2762">
      <c r="A2762" s="217">
        <v>43358.56276533565</v>
      </c>
      <c r="B2762" s="218" t="s">
        <v>5184</v>
      </c>
      <c r="C2762" s="218" t="s">
        <v>5256</v>
      </c>
      <c r="D2762" s="219">
        <v>1.0</v>
      </c>
      <c r="E2762" s="24"/>
      <c r="G2762" s="220">
        <v>43353.0</v>
      </c>
    </row>
    <row r="2763">
      <c r="A2763" s="217">
        <v>43358.56328857639</v>
      </c>
      <c r="B2763" s="218" t="s">
        <v>5184</v>
      </c>
      <c r="C2763" s="218" t="s">
        <v>6674</v>
      </c>
      <c r="D2763" s="219">
        <v>1.0</v>
      </c>
      <c r="E2763" s="24"/>
      <c r="G2763" s="220">
        <v>43353.0</v>
      </c>
    </row>
    <row r="2764">
      <c r="A2764" s="217">
        <v>43358.56426694445</v>
      </c>
      <c r="B2764" s="218" t="s">
        <v>5184</v>
      </c>
      <c r="C2764" s="218" t="s">
        <v>6676</v>
      </c>
      <c r="D2764" s="219">
        <v>1.0</v>
      </c>
      <c r="E2764" s="24"/>
      <c r="G2764" s="220">
        <v>43353.0</v>
      </c>
    </row>
    <row r="2765">
      <c r="A2765" s="217">
        <v>43358.564808449075</v>
      </c>
      <c r="B2765" s="218" t="s">
        <v>5184</v>
      </c>
      <c r="C2765" s="218" t="s">
        <v>5289</v>
      </c>
      <c r="D2765" s="219">
        <v>1.0</v>
      </c>
      <c r="E2765" s="24"/>
      <c r="G2765" s="220">
        <v>43353.0</v>
      </c>
    </row>
    <row r="2766">
      <c r="A2766" s="217">
        <v>43358.56530185185</v>
      </c>
      <c r="B2766" s="218" t="s">
        <v>5184</v>
      </c>
      <c r="C2766" s="218" t="s">
        <v>1384</v>
      </c>
      <c r="D2766" s="219">
        <v>1.0</v>
      </c>
      <c r="E2766" s="24"/>
      <c r="G2766" s="220">
        <v>43355.0</v>
      </c>
    </row>
    <row r="2767">
      <c r="A2767" s="217">
        <v>43358.566568738424</v>
      </c>
      <c r="B2767" s="218" t="s">
        <v>5184</v>
      </c>
      <c r="C2767" s="218" t="s">
        <v>1338</v>
      </c>
      <c r="D2767" s="219">
        <v>1.0</v>
      </c>
      <c r="E2767" s="24"/>
      <c r="G2767" s="220">
        <v>43355.0</v>
      </c>
    </row>
    <row r="2768">
      <c r="A2768" s="217">
        <v>43358.567110937496</v>
      </c>
      <c r="B2768" s="218" t="s">
        <v>5184</v>
      </c>
      <c r="C2768" s="218" t="s">
        <v>5448</v>
      </c>
      <c r="D2768" s="219">
        <v>1.0</v>
      </c>
      <c r="E2768" s="24"/>
      <c r="G2768" s="220">
        <v>43355.0</v>
      </c>
    </row>
    <row r="2769">
      <c r="A2769" s="217">
        <v>43358.56758606482</v>
      </c>
      <c r="B2769" s="218" t="s">
        <v>5184</v>
      </c>
      <c r="C2769" s="218" t="s">
        <v>6346</v>
      </c>
      <c r="D2769" s="219">
        <v>1.0</v>
      </c>
      <c r="E2769" s="24"/>
      <c r="G2769" s="220">
        <v>43355.0</v>
      </c>
    </row>
    <row r="2770">
      <c r="A2770" s="217">
        <v>43363.627009502314</v>
      </c>
      <c r="B2770" s="218" t="s">
        <v>5184</v>
      </c>
      <c r="C2770" s="218" t="s">
        <v>5500</v>
      </c>
      <c r="D2770" s="219">
        <v>1.0</v>
      </c>
      <c r="E2770" s="218">
        <v>4290.0</v>
      </c>
      <c r="G2770" s="220">
        <v>43363.0</v>
      </c>
    </row>
    <row r="2771">
      <c r="A2771" s="217">
        <v>43364.531540613425</v>
      </c>
      <c r="B2771" s="218" t="s">
        <v>5184</v>
      </c>
      <c r="C2771" s="218" t="s">
        <v>6310</v>
      </c>
      <c r="D2771" s="219">
        <v>1.0</v>
      </c>
      <c r="E2771" s="218">
        <v>6885.0</v>
      </c>
      <c r="G2771" s="220">
        <v>43364.0</v>
      </c>
    </row>
    <row r="2772">
      <c r="A2772" s="217">
        <v>43364.78173206019</v>
      </c>
      <c r="B2772" s="218" t="s">
        <v>5184</v>
      </c>
      <c r="C2772" s="218" t="s">
        <v>5804</v>
      </c>
      <c r="D2772" s="219">
        <v>1.0</v>
      </c>
      <c r="E2772" s="218">
        <v>300.0</v>
      </c>
      <c r="G2772" s="220">
        <v>43364.0</v>
      </c>
    </row>
    <row r="2773">
      <c r="A2773" s="217">
        <v>43365.54382173611</v>
      </c>
      <c r="B2773" s="218" t="s">
        <v>5184</v>
      </c>
      <c r="C2773" s="218" t="s">
        <v>5134</v>
      </c>
      <c r="D2773" s="219">
        <v>2.0</v>
      </c>
      <c r="E2773" s="218">
        <v>5790.0</v>
      </c>
      <c r="G2773" s="220">
        <v>43364.0</v>
      </c>
    </row>
    <row r="2774">
      <c r="A2774" s="217">
        <v>43365.545488564814</v>
      </c>
      <c r="B2774" s="218" t="s">
        <v>5184</v>
      </c>
      <c r="C2774" s="218" t="s">
        <v>6210</v>
      </c>
      <c r="D2774" s="219">
        <v>1.0</v>
      </c>
      <c r="E2774" s="218">
        <v>8590.0</v>
      </c>
      <c r="G2774" s="220">
        <v>43364.0</v>
      </c>
    </row>
    <row r="2775">
      <c r="A2775" s="217">
        <v>43366.51489390046</v>
      </c>
      <c r="B2775" s="218" t="s">
        <v>5184</v>
      </c>
      <c r="C2775" s="218" t="s">
        <v>5666</v>
      </c>
      <c r="D2775" s="219">
        <v>1.0</v>
      </c>
      <c r="E2775" s="218">
        <v>2200.0</v>
      </c>
      <c r="G2775" s="220">
        <v>43366.0</v>
      </c>
    </row>
    <row r="2776">
      <c r="A2776" s="217">
        <v>43366.567549375</v>
      </c>
      <c r="B2776" s="218" t="s">
        <v>5184</v>
      </c>
      <c r="C2776" s="218" t="s">
        <v>5845</v>
      </c>
      <c r="D2776" s="219">
        <v>1.0</v>
      </c>
      <c r="E2776" s="218">
        <v>500.0</v>
      </c>
      <c r="G2776" s="220">
        <v>43366.0</v>
      </c>
    </row>
    <row r="2777">
      <c r="A2777" s="217">
        <v>43366.7703443287</v>
      </c>
      <c r="B2777" s="218" t="s">
        <v>5184</v>
      </c>
      <c r="C2777" s="218" t="s">
        <v>5845</v>
      </c>
      <c r="D2777" s="219">
        <v>1.0</v>
      </c>
      <c r="E2777" s="218">
        <v>500.0</v>
      </c>
      <c r="G2777" s="220">
        <v>43366.0</v>
      </c>
    </row>
    <row r="2778">
      <c r="A2778" s="217">
        <v>43367.210328078705</v>
      </c>
      <c r="B2778" s="218" t="s">
        <v>5184</v>
      </c>
      <c r="C2778" s="218" t="s">
        <v>5225</v>
      </c>
      <c r="D2778" s="219">
        <v>1.0</v>
      </c>
      <c r="E2778" s="218">
        <v>16500.0</v>
      </c>
      <c r="G2778" s="220">
        <v>43367.0</v>
      </c>
    </row>
    <row r="2779">
      <c r="A2779" s="217">
        <v>43367.211830370376</v>
      </c>
      <c r="B2779" s="218" t="s">
        <v>5184</v>
      </c>
      <c r="C2779" s="218" t="s">
        <v>6302</v>
      </c>
      <c r="D2779" s="219">
        <v>1.0</v>
      </c>
      <c r="E2779" s="218">
        <v>8290.0</v>
      </c>
      <c r="G2779" s="220">
        <v>43367.0</v>
      </c>
    </row>
    <row r="2780">
      <c r="A2780" s="217">
        <v>43367.212561782406</v>
      </c>
      <c r="B2780" s="218" t="s">
        <v>5184</v>
      </c>
      <c r="C2780" s="218" t="s">
        <v>5100</v>
      </c>
      <c r="D2780" s="219">
        <v>1.0</v>
      </c>
      <c r="E2780" s="218">
        <v>7490.0</v>
      </c>
      <c r="G2780" s="220">
        <v>43367.0</v>
      </c>
    </row>
    <row r="2781">
      <c r="A2781" s="217">
        <v>43367.21326981482</v>
      </c>
      <c r="B2781" s="218" t="s">
        <v>5184</v>
      </c>
      <c r="C2781" s="218" t="s">
        <v>7153</v>
      </c>
      <c r="D2781" s="219">
        <v>1.0</v>
      </c>
      <c r="E2781" s="218">
        <v>9490.0</v>
      </c>
      <c r="G2781" s="220">
        <v>43367.0</v>
      </c>
    </row>
    <row r="2782">
      <c r="A2782" s="217">
        <v>43367.214082349536</v>
      </c>
      <c r="B2782" s="218" t="s">
        <v>5184</v>
      </c>
      <c r="C2782" s="218" t="s">
        <v>6640</v>
      </c>
      <c r="D2782" s="219">
        <v>1.0</v>
      </c>
      <c r="E2782" s="218">
        <v>7690.0</v>
      </c>
      <c r="G2782" s="220">
        <v>43367.0</v>
      </c>
    </row>
    <row r="2783">
      <c r="A2783" s="217">
        <v>43367.214788854166</v>
      </c>
      <c r="B2783" s="218" t="s">
        <v>5184</v>
      </c>
      <c r="C2783" s="218" t="s">
        <v>6655</v>
      </c>
      <c r="D2783" s="219">
        <v>1.0</v>
      </c>
      <c r="E2783" s="218">
        <v>5290.0</v>
      </c>
      <c r="G2783" s="220">
        <v>43367.0</v>
      </c>
    </row>
    <row r="2784">
      <c r="A2784" s="217">
        <v>43367.2154624074</v>
      </c>
      <c r="B2784" s="218" t="s">
        <v>5184</v>
      </c>
      <c r="C2784" s="218" t="s">
        <v>1810</v>
      </c>
      <c r="D2784" s="219">
        <v>1.0</v>
      </c>
      <c r="E2784" s="218">
        <v>8890.0</v>
      </c>
      <c r="G2784" s="220">
        <v>43367.0</v>
      </c>
    </row>
    <row r="2785">
      <c r="A2785" s="217">
        <v>43367.21611055556</v>
      </c>
      <c r="B2785" s="218" t="s">
        <v>5184</v>
      </c>
      <c r="C2785" s="218" t="s">
        <v>5102</v>
      </c>
      <c r="D2785" s="219">
        <v>1.0</v>
      </c>
      <c r="E2785" s="218">
        <v>6490.0</v>
      </c>
      <c r="G2785" s="220">
        <v>43367.0</v>
      </c>
    </row>
    <row r="2786">
      <c r="A2786" s="217">
        <v>43368.42442869213</v>
      </c>
      <c r="B2786" s="218" t="s">
        <v>5184</v>
      </c>
      <c r="C2786" s="218" t="s">
        <v>5806</v>
      </c>
      <c r="D2786" s="219">
        <v>1.0</v>
      </c>
      <c r="E2786" s="218">
        <v>400.0</v>
      </c>
      <c r="F2786" s="3" t="s">
        <v>5787</v>
      </c>
      <c r="G2786" s="220">
        <v>43358.0</v>
      </c>
    </row>
    <row r="2787">
      <c r="A2787" s="217">
        <v>43368.42524863426</v>
      </c>
      <c r="B2787" s="218" t="s">
        <v>5184</v>
      </c>
      <c r="C2787" s="218" t="s">
        <v>5806</v>
      </c>
      <c r="D2787" s="219">
        <v>1.0</v>
      </c>
      <c r="E2787" s="218">
        <v>300.0</v>
      </c>
      <c r="F2787" s="3" t="s">
        <v>5787</v>
      </c>
      <c r="G2787" s="220">
        <v>43358.0</v>
      </c>
    </row>
    <row r="2788">
      <c r="A2788" s="217">
        <v>43368.42598697917</v>
      </c>
      <c r="B2788" s="218" t="s">
        <v>5184</v>
      </c>
      <c r="C2788" s="218" t="s">
        <v>5782</v>
      </c>
      <c r="D2788" s="219">
        <v>1.0</v>
      </c>
      <c r="E2788" s="218">
        <v>400.0</v>
      </c>
      <c r="F2788" s="3" t="s">
        <v>5787</v>
      </c>
      <c r="G2788" s="220">
        <v>43358.0</v>
      </c>
    </row>
    <row r="2789">
      <c r="A2789" s="217">
        <v>43368.426881747684</v>
      </c>
      <c r="B2789" s="218" t="s">
        <v>5184</v>
      </c>
      <c r="C2789" s="218" t="s">
        <v>5806</v>
      </c>
      <c r="D2789" s="219">
        <v>1.0</v>
      </c>
      <c r="E2789" s="24"/>
      <c r="F2789" s="3" t="s">
        <v>5787</v>
      </c>
      <c r="G2789" s="220">
        <v>43358.0</v>
      </c>
    </row>
    <row r="2790">
      <c r="A2790" s="217">
        <v>43368.429155624995</v>
      </c>
      <c r="B2790" s="218" t="s">
        <v>5184</v>
      </c>
      <c r="C2790" s="218" t="s">
        <v>5818</v>
      </c>
      <c r="D2790" s="219">
        <v>1.0</v>
      </c>
      <c r="E2790" s="218">
        <v>300.0</v>
      </c>
      <c r="F2790" s="3" t="s">
        <v>5787</v>
      </c>
      <c r="G2790" s="220">
        <v>43358.0</v>
      </c>
    </row>
    <row r="2791">
      <c r="A2791" s="217">
        <v>43368.43055362269</v>
      </c>
      <c r="B2791" s="218" t="s">
        <v>5184</v>
      </c>
      <c r="C2791" s="218" t="s">
        <v>5806</v>
      </c>
      <c r="D2791" s="219">
        <v>1.0</v>
      </c>
      <c r="E2791" s="218">
        <v>400.0</v>
      </c>
      <c r="F2791" s="3" t="s">
        <v>5787</v>
      </c>
      <c r="G2791" s="220">
        <v>43358.0</v>
      </c>
    </row>
    <row r="2792">
      <c r="A2792" s="217">
        <v>43368.43212082176</v>
      </c>
      <c r="B2792" s="218" t="s">
        <v>5184</v>
      </c>
      <c r="C2792" s="218" t="s">
        <v>5848</v>
      </c>
      <c r="D2792" s="219">
        <v>1.0</v>
      </c>
      <c r="E2792" s="218">
        <v>1000.0</v>
      </c>
      <c r="F2792" s="3" t="s">
        <v>5787</v>
      </c>
      <c r="G2792" s="220">
        <v>43359.0</v>
      </c>
    </row>
    <row r="2793">
      <c r="A2793" s="217">
        <v>43368.4351591088</v>
      </c>
      <c r="B2793" s="218" t="s">
        <v>5184</v>
      </c>
      <c r="C2793" s="218" t="s">
        <v>6036</v>
      </c>
      <c r="D2793" s="219">
        <v>1.0</v>
      </c>
      <c r="E2793" s="218">
        <v>400.0</v>
      </c>
      <c r="G2793" s="220">
        <v>43359.0</v>
      </c>
    </row>
    <row r="2794">
      <c r="A2794" s="217">
        <v>43368.44522905092</v>
      </c>
      <c r="B2794" s="218" t="s">
        <v>5184</v>
      </c>
      <c r="C2794" s="218" t="s">
        <v>5848</v>
      </c>
      <c r="D2794" s="219">
        <v>1.0</v>
      </c>
      <c r="E2794" s="218">
        <v>1200.0</v>
      </c>
      <c r="F2794" s="3" t="s">
        <v>5787</v>
      </c>
      <c r="G2794" s="220">
        <v>43360.0</v>
      </c>
    </row>
    <row r="2795">
      <c r="A2795" s="217">
        <v>43368.44587776621</v>
      </c>
      <c r="B2795" s="218" t="s">
        <v>5184</v>
      </c>
      <c r="C2795" s="218" t="s">
        <v>6053</v>
      </c>
      <c r="D2795" s="219">
        <v>1.0</v>
      </c>
      <c r="E2795" s="218">
        <v>300.0</v>
      </c>
      <c r="F2795" s="3" t="s">
        <v>5787</v>
      </c>
      <c r="G2795" s="220">
        <v>43360.0</v>
      </c>
    </row>
    <row r="2796">
      <c r="A2796" s="217">
        <v>43368.44987936343</v>
      </c>
      <c r="B2796" s="218" t="s">
        <v>5184</v>
      </c>
      <c r="C2796" s="218" t="s">
        <v>1384</v>
      </c>
      <c r="D2796" s="219">
        <v>1.0</v>
      </c>
      <c r="E2796" s="24"/>
      <c r="G2796" s="220">
        <v>43360.0</v>
      </c>
    </row>
    <row r="2797">
      <c r="A2797" s="217">
        <v>43368.4503734375</v>
      </c>
      <c r="B2797" s="218" t="s">
        <v>5184</v>
      </c>
      <c r="C2797" s="218" t="s">
        <v>6053</v>
      </c>
      <c r="D2797" s="219">
        <v>1.0</v>
      </c>
      <c r="E2797" s="218">
        <v>300.0</v>
      </c>
      <c r="F2797" s="3" t="s">
        <v>5787</v>
      </c>
      <c r="G2797" s="220">
        <v>43360.0</v>
      </c>
    </row>
    <row r="2798">
      <c r="A2798" s="217">
        <v>43368.451031874996</v>
      </c>
      <c r="B2798" s="218" t="s">
        <v>5184</v>
      </c>
      <c r="C2798" s="218" t="s">
        <v>6053</v>
      </c>
      <c r="D2798" s="219">
        <v>1.0</v>
      </c>
      <c r="E2798" s="218">
        <v>300.0</v>
      </c>
      <c r="F2798" s="3" t="s">
        <v>5787</v>
      </c>
      <c r="G2798" s="220">
        <v>43360.0</v>
      </c>
    </row>
    <row r="2799">
      <c r="A2799" s="217">
        <v>43368.45190148149</v>
      </c>
      <c r="B2799" s="218" t="s">
        <v>5184</v>
      </c>
      <c r="C2799" s="218" t="s">
        <v>5804</v>
      </c>
      <c r="D2799" s="219">
        <v>1.0</v>
      </c>
      <c r="E2799" s="218">
        <v>300.0</v>
      </c>
      <c r="F2799" s="3" t="s">
        <v>5787</v>
      </c>
      <c r="G2799" s="220">
        <v>43361.0</v>
      </c>
    </row>
    <row r="2800">
      <c r="A2800" s="217">
        <v>43368.45274363426</v>
      </c>
      <c r="B2800" s="218" t="s">
        <v>5184</v>
      </c>
      <c r="C2800" s="218" t="s">
        <v>5806</v>
      </c>
      <c r="D2800" s="219">
        <v>1.0</v>
      </c>
      <c r="E2800" s="218">
        <v>300.0</v>
      </c>
      <c r="F2800" s="3" t="s">
        <v>5787</v>
      </c>
      <c r="G2800" s="220">
        <v>43361.0</v>
      </c>
    </row>
    <row r="2801">
      <c r="A2801" s="217">
        <v>43368.45469195602</v>
      </c>
      <c r="B2801" s="218" t="s">
        <v>5184</v>
      </c>
      <c r="C2801" s="218" t="s">
        <v>7163</v>
      </c>
      <c r="D2801" s="219">
        <v>1.0</v>
      </c>
      <c r="E2801" s="218">
        <v>4790.0</v>
      </c>
      <c r="F2801" s="3" t="s">
        <v>5787</v>
      </c>
      <c r="G2801" s="220">
        <v>43362.0</v>
      </c>
    </row>
    <row r="2802">
      <c r="A2802" s="217">
        <v>43368.455829872684</v>
      </c>
      <c r="B2802" s="218" t="s">
        <v>5184</v>
      </c>
      <c r="C2802" s="218" t="s">
        <v>5818</v>
      </c>
      <c r="D2802" s="219">
        <v>1.0</v>
      </c>
      <c r="E2802" s="218">
        <v>300.0</v>
      </c>
      <c r="G2802" s="220">
        <v>43362.0</v>
      </c>
    </row>
    <row r="2803">
      <c r="A2803" s="217">
        <v>43368.45656493056</v>
      </c>
      <c r="B2803" s="218" t="s">
        <v>5184</v>
      </c>
      <c r="C2803" s="218" t="s">
        <v>5818</v>
      </c>
      <c r="D2803" s="219">
        <v>1.0</v>
      </c>
      <c r="E2803" s="218">
        <v>300.0</v>
      </c>
      <c r="G2803" s="220">
        <v>43362.0</v>
      </c>
    </row>
    <row r="2804">
      <c r="A2804" s="217">
        <v>43368.45715614583</v>
      </c>
      <c r="B2804" s="218" t="s">
        <v>5184</v>
      </c>
      <c r="C2804" s="218" t="s">
        <v>5806</v>
      </c>
      <c r="D2804" s="219">
        <v>1.0</v>
      </c>
      <c r="E2804" s="218">
        <v>300.0</v>
      </c>
      <c r="F2804" s="3" t="s">
        <v>5787</v>
      </c>
      <c r="G2804" s="220">
        <v>43362.0</v>
      </c>
    </row>
    <row r="2805">
      <c r="A2805" s="217">
        <v>43370.40401912037</v>
      </c>
      <c r="B2805" s="218" t="s">
        <v>5184</v>
      </c>
      <c r="C2805" s="218" t="s">
        <v>7103</v>
      </c>
      <c r="D2805" s="219">
        <v>1.0</v>
      </c>
      <c r="E2805" s="24"/>
      <c r="G2805" s="220">
        <v>43370.0</v>
      </c>
    </row>
    <row r="2806">
      <c r="A2806" s="217">
        <v>43370.40623068287</v>
      </c>
      <c r="B2806" s="218" t="s">
        <v>5184</v>
      </c>
      <c r="C2806" s="218" t="s">
        <v>2163</v>
      </c>
      <c r="D2806" s="219">
        <v>1.0</v>
      </c>
      <c r="E2806" s="218">
        <v>5490.0</v>
      </c>
      <c r="G2806" s="220">
        <v>43370.0</v>
      </c>
    </row>
    <row r="2807">
      <c r="A2807" s="217">
        <v>43370.40748122685</v>
      </c>
      <c r="B2807" s="218" t="s">
        <v>5184</v>
      </c>
      <c r="C2807" s="218" t="s">
        <v>7166</v>
      </c>
      <c r="D2807" s="219">
        <v>1.0</v>
      </c>
      <c r="E2807" s="24"/>
      <c r="G2807" s="220">
        <v>43370.0</v>
      </c>
    </row>
    <row r="2808">
      <c r="A2808" s="217">
        <v>43370.41005576389</v>
      </c>
      <c r="B2808" s="218" t="s">
        <v>5184</v>
      </c>
      <c r="C2808" s="218" t="s">
        <v>2117</v>
      </c>
      <c r="D2808" s="219">
        <v>1.0</v>
      </c>
      <c r="E2808" s="218">
        <v>4290.0</v>
      </c>
      <c r="G2808" s="220">
        <v>43370.0</v>
      </c>
    </row>
    <row r="2809">
      <c r="A2809" s="217">
        <v>43370.41202369213</v>
      </c>
      <c r="B2809" s="218" t="s">
        <v>5184</v>
      </c>
      <c r="C2809" s="218" t="s">
        <v>6900</v>
      </c>
      <c r="D2809" s="219">
        <v>1.0</v>
      </c>
      <c r="E2809" s="24"/>
      <c r="G2809" s="220">
        <v>43369.0</v>
      </c>
    </row>
    <row r="2810">
      <c r="A2810" s="217">
        <v>43370.41394578703</v>
      </c>
      <c r="B2810" s="218" t="s">
        <v>5184</v>
      </c>
      <c r="C2810" s="218" t="s">
        <v>5229</v>
      </c>
      <c r="D2810" s="219">
        <v>1.0</v>
      </c>
      <c r="E2810" s="218">
        <v>17000.0</v>
      </c>
      <c r="G2810" s="220">
        <v>43369.0</v>
      </c>
    </row>
    <row r="2811">
      <c r="A2811" s="217">
        <v>43370.443432361106</v>
      </c>
      <c r="B2811" s="218" t="s">
        <v>5184</v>
      </c>
      <c r="C2811" s="218" t="s">
        <v>6331</v>
      </c>
      <c r="D2811" s="219">
        <v>1.0</v>
      </c>
      <c r="E2811" s="218">
        <v>3290.0</v>
      </c>
      <c r="G2811" s="220">
        <v>43369.0</v>
      </c>
    </row>
    <row r="2812">
      <c r="A2812" s="217">
        <v>43370.49425945602</v>
      </c>
      <c r="B2812" s="218" t="s">
        <v>5184</v>
      </c>
      <c r="C2812" s="218" t="s">
        <v>5333</v>
      </c>
      <c r="D2812" s="219">
        <v>1.0</v>
      </c>
      <c r="E2812" s="24"/>
      <c r="G2812" s="220">
        <v>43192.0</v>
      </c>
    </row>
    <row r="2813">
      <c r="A2813" s="217">
        <v>43370.495826122686</v>
      </c>
      <c r="B2813" s="218" t="s">
        <v>5184</v>
      </c>
      <c r="C2813" s="218" t="s">
        <v>5319</v>
      </c>
      <c r="D2813" s="219">
        <v>1.0</v>
      </c>
      <c r="E2813" s="24"/>
      <c r="G2813" s="220">
        <v>43192.0</v>
      </c>
    </row>
    <row r="2814">
      <c r="A2814" s="217">
        <v>43370.49640055555</v>
      </c>
      <c r="B2814" s="218" t="s">
        <v>5184</v>
      </c>
      <c r="C2814" s="218" t="s">
        <v>5322</v>
      </c>
      <c r="D2814" s="219">
        <v>1.0</v>
      </c>
      <c r="E2814" s="24"/>
      <c r="G2814" s="220">
        <v>43222.0</v>
      </c>
    </row>
    <row r="2815">
      <c r="A2815" s="217">
        <v>43370.49705962963</v>
      </c>
      <c r="B2815" s="218" t="s">
        <v>5184</v>
      </c>
      <c r="C2815" s="218" t="s">
        <v>5334</v>
      </c>
      <c r="D2815" s="219">
        <v>1.0</v>
      </c>
      <c r="E2815" s="24"/>
      <c r="G2815" s="220">
        <v>43192.0</v>
      </c>
    </row>
    <row r="2816">
      <c r="A2816" s="217">
        <v>43370.49806373843</v>
      </c>
      <c r="B2816" s="218" t="s">
        <v>5184</v>
      </c>
      <c r="C2816" s="218" t="s">
        <v>5324</v>
      </c>
      <c r="D2816" s="219">
        <v>1.0</v>
      </c>
      <c r="E2816" s="24"/>
      <c r="G2816" s="220">
        <v>43192.0</v>
      </c>
    </row>
    <row r="2817">
      <c r="A2817" s="217">
        <v>43370.50681633102</v>
      </c>
      <c r="B2817" s="218" t="s">
        <v>5184</v>
      </c>
      <c r="C2817" s="218" t="s">
        <v>5345</v>
      </c>
      <c r="D2817" s="219">
        <v>1.0</v>
      </c>
      <c r="E2817" s="24"/>
      <c r="G2817" s="220">
        <v>43192.0</v>
      </c>
    </row>
    <row r="2818">
      <c r="A2818" s="217">
        <v>43370.50863614584</v>
      </c>
      <c r="B2818" s="218" t="s">
        <v>5184</v>
      </c>
      <c r="C2818" s="218" t="s">
        <v>5343</v>
      </c>
      <c r="D2818" s="219">
        <v>1.0</v>
      </c>
      <c r="E2818" s="24"/>
      <c r="G2818" s="220">
        <v>43192.0</v>
      </c>
    </row>
    <row r="2819">
      <c r="A2819" s="217">
        <v>43370.50994048611</v>
      </c>
      <c r="B2819" s="218" t="s">
        <v>5184</v>
      </c>
      <c r="C2819" s="218" t="s">
        <v>5337</v>
      </c>
      <c r="D2819" s="219">
        <v>1.0</v>
      </c>
      <c r="E2819" s="24"/>
      <c r="G2819" s="220">
        <v>43192.0</v>
      </c>
    </row>
    <row r="2820">
      <c r="A2820" s="217">
        <v>43370.510936562496</v>
      </c>
      <c r="B2820" s="218" t="s">
        <v>5184</v>
      </c>
      <c r="C2820" s="218" t="s">
        <v>5340</v>
      </c>
      <c r="D2820" s="219">
        <v>1.0</v>
      </c>
      <c r="E2820" s="24"/>
      <c r="G2820" s="220">
        <v>43192.0</v>
      </c>
    </row>
    <row r="2821">
      <c r="A2821" s="217">
        <v>43370.51147798611</v>
      </c>
      <c r="B2821" s="218" t="s">
        <v>5184</v>
      </c>
      <c r="C2821" s="218" t="s">
        <v>5335</v>
      </c>
      <c r="D2821" s="219">
        <v>1.0</v>
      </c>
      <c r="E2821" s="24"/>
      <c r="G2821" s="220">
        <v>43192.0</v>
      </c>
    </row>
    <row r="2822">
      <c r="A2822" s="217">
        <v>43370.51208511574</v>
      </c>
      <c r="B2822" s="218" t="s">
        <v>5184</v>
      </c>
      <c r="C2822" s="218" t="s">
        <v>5332</v>
      </c>
      <c r="D2822" s="219">
        <v>1.0</v>
      </c>
      <c r="E2822" s="24"/>
      <c r="G2822" s="220">
        <v>43192.0</v>
      </c>
    </row>
    <row r="2823">
      <c r="A2823" s="217">
        <v>43370.55038252315</v>
      </c>
      <c r="B2823" s="218" t="s">
        <v>5184</v>
      </c>
      <c r="C2823" s="218" t="s">
        <v>5327</v>
      </c>
      <c r="D2823" s="219">
        <v>1.0</v>
      </c>
      <c r="E2823" s="24"/>
      <c r="G2823" s="220">
        <v>43192.0</v>
      </c>
    </row>
    <row r="2824">
      <c r="A2824" s="217">
        <v>43370.551220023146</v>
      </c>
      <c r="B2824" s="218" t="s">
        <v>5184</v>
      </c>
      <c r="C2824" s="218" t="s">
        <v>5341</v>
      </c>
      <c r="D2824" s="219">
        <v>1.0</v>
      </c>
      <c r="E2824" s="24"/>
      <c r="G2824" s="220">
        <v>43192.0</v>
      </c>
    </row>
    <row r="2825">
      <c r="A2825" s="217">
        <v>43370.55211446759</v>
      </c>
      <c r="B2825" s="218" t="s">
        <v>5184</v>
      </c>
      <c r="C2825" s="218" t="s">
        <v>5330</v>
      </c>
      <c r="D2825" s="219">
        <v>1.0</v>
      </c>
      <c r="E2825" s="24"/>
      <c r="G2825" s="220">
        <v>43192.0</v>
      </c>
    </row>
    <row r="2826">
      <c r="A2826" s="217">
        <v>43370.558342881945</v>
      </c>
      <c r="B2826" s="218" t="s">
        <v>5184</v>
      </c>
      <c r="C2826" s="218" t="s">
        <v>5339</v>
      </c>
      <c r="D2826" s="219">
        <v>1.0</v>
      </c>
      <c r="E2826" s="24"/>
      <c r="G2826" s="220">
        <v>43192.0</v>
      </c>
    </row>
    <row r="2827">
      <c r="A2827" s="217">
        <v>43370.55895502315</v>
      </c>
      <c r="B2827" s="218" t="s">
        <v>5184</v>
      </c>
      <c r="C2827" s="218" t="s">
        <v>5338</v>
      </c>
      <c r="D2827" s="219">
        <v>1.0</v>
      </c>
      <c r="E2827" s="24"/>
      <c r="G2827" s="220">
        <v>43192.0</v>
      </c>
    </row>
    <row r="2828">
      <c r="A2828" s="217">
        <v>43372.81956355324</v>
      </c>
      <c r="B2828" s="218" t="s">
        <v>5092</v>
      </c>
      <c r="C2828" s="218" t="s">
        <v>713</v>
      </c>
      <c r="D2828" s="219">
        <v>2.0</v>
      </c>
      <c r="E2828" s="218">
        <v>2250.0</v>
      </c>
      <c r="G2828" s="220">
        <v>43370.0</v>
      </c>
    </row>
    <row r="2829">
      <c r="A2829" s="217">
        <v>43372.82119890046</v>
      </c>
      <c r="B2829" s="218" t="s">
        <v>5092</v>
      </c>
      <c r="C2829" s="218" t="s">
        <v>7170</v>
      </c>
      <c r="D2829" s="219">
        <v>1.0</v>
      </c>
      <c r="E2829" s="218">
        <v>2450.0</v>
      </c>
      <c r="G2829" s="220">
        <v>43370.0</v>
      </c>
    </row>
    <row r="2830">
      <c r="A2830" s="217">
        <v>43372.82252104167</v>
      </c>
      <c r="B2830" s="218" t="s">
        <v>5092</v>
      </c>
      <c r="C2830" s="218" t="s">
        <v>7171</v>
      </c>
      <c r="D2830" s="219">
        <v>1.0</v>
      </c>
      <c r="E2830" s="218">
        <v>2450.0</v>
      </c>
      <c r="G2830" s="220">
        <v>43370.0</v>
      </c>
    </row>
    <row r="2831">
      <c r="A2831" s="217">
        <v>43372.8233856713</v>
      </c>
      <c r="B2831" s="218" t="s">
        <v>5092</v>
      </c>
      <c r="C2831" s="218" t="s">
        <v>7172</v>
      </c>
      <c r="D2831" s="219">
        <v>1.0</v>
      </c>
      <c r="E2831" s="218">
        <v>2450.0</v>
      </c>
      <c r="G2831" s="220">
        <v>43370.0</v>
      </c>
    </row>
    <row r="2832">
      <c r="A2832" s="217">
        <v>43372.824159537035</v>
      </c>
      <c r="B2832" s="218" t="s">
        <v>5092</v>
      </c>
      <c r="C2832" s="218" t="s">
        <v>7173</v>
      </c>
      <c r="D2832" s="219">
        <v>1.0</v>
      </c>
      <c r="E2832" s="218">
        <v>1995.0</v>
      </c>
      <c r="G2832" s="220">
        <v>43370.0</v>
      </c>
    </row>
    <row r="2833">
      <c r="A2833" s="217">
        <v>43373.410506851855</v>
      </c>
      <c r="B2833" s="218" t="s">
        <v>5184</v>
      </c>
      <c r="C2833" s="218" t="s">
        <v>6038</v>
      </c>
      <c r="D2833" s="219">
        <v>1.0</v>
      </c>
      <c r="E2833" s="218">
        <v>300.0</v>
      </c>
      <c r="G2833" s="220">
        <v>43363.0</v>
      </c>
    </row>
    <row r="2834">
      <c r="A2834" s="217">
        <v>43373.4110758912</v>
      </c>
      <c r="B2834" s="218" t="s">
        <v>5184</v>
      </c>
      <c r="C2834" s="218" t="s">
        <v>7174</v>
      </c>
      <c r="D2834" s="219">
        <v>1.0</v>
      </c>
      <c r="E2834" s="218">
        <v>400.0</v>
      </c>
      <c r="F2834" s="3" t="s">
        <v>5787</v>
      </c>
      <c r="G2834" s="220">
        <v>43363.0</v>
      </c>
    </row>
    <row r="2835">
      <c r="A2835" s="217">
        <v>43373.411650462964</v>
      </c>
      <c r="B2835" s="218" t="s">
        <v>5184</v>
      </c>
      <c r="C2835" s="218" t="s">
        <v>5806</v>
      </c>
      <c r="D2835" s="219">
        <v>1.0</v>
      </c>
      <c r="E2835" s="218">
        <v>500.0</v>
      </c>
      <c r="G2835" s="220">
        <v>43363.0</v>
      </c>
    </row>
    <row r="2836">
      <c r="A2836" s="217">
        <v>43373.4120846875</v>
      </c>
      <c r="B2836" s="218" t="s">
        <v>5184</v>
      </c>
      <c r="C2836" s="218" t="s">
        <v>6053</v>
      </c>
      <c r="D2836" s="219">
        <v>1.0</v>
      </c>
      <c r="E2836" s="218">
        <v>300.0</v>
      </c>
      <c r="G2836" s="220">
        <v>43363.0</v>
      </c>
    </row>
    <row r="2837">
      <c r="A2837" s="217">
        <v>43373.41245427083</v>
      </c>
      <c r="B2837" s="218" t="s">
        <v>5184</v>
      </c>
      <c r="C2837" s="218" t="s">
        <v>6053</v>
      </c>
      <c r="D2837" s="219">
        <v>1.0</v>
      </c>
      <c r="E2837" s="218">
        <v>300.0</v>
      </c>
      <c r="G2837" s="220">
        <v>43363.0</v>
      </c>
    </row>
    <row r="2838">
      <c r="A2838" s="217">
        <v>43373.413186631944</v>
      </c>
      <c r="B2838" s="218" t="s">
        <v>5184</v>
      </c>
      <c r="C2838" s="218" t="s">
        <v>5806</v>
      </c>
      <c r="D2838" s="219">
        <v>1.0</v>
      </c>
      <c r="E2838" s="218">
        <v>300.0</v>
      </c>
      <c r="G2838" s="220">
        <v>43364.0</v>
      </c>
    </row>
    <row r="2839">
      <c r="A2839" s="217">
        <v>43373.41489630787</v>
      </c>
      <c r="B2839" s="218" t="s">
        <v>5184</v>
      </c>
      <c r="C2839" s="218" t="s">
        <v>5845</v>
      </c>
      <c r="D2839" s="219">
        <v>1.0</v>
      </c>
      <c r="E2839" s="218">
        <v>500.0</v>
      </c>
      <c r="G2839" s="220">
        <v>43366.0</v>
      </c>
    </row>
    <row r="2840">
      <c r="A2840" s="217">
        <v>43373.41561069444</v>
      </c>
      <c r="B2840" s="218" t="s">
        <v>5184</v>
      </c>
      <c r="C2840" s="218" t="s">
        <v>5845</v>
      </c>
      <c r="D2840" s="219">
        <v>1.0</v>
      </c>
      <c r="E2840" s="218">
        <v>500.0</v>
      </c>
      <c r="G2840" s="220">
        <v>43366.0</v>
      </c>
    </row>
    <row r="2841">
      <c r="A2841" s="217">
        <v>43373.416288541666</v>
      </c>
      <c r="B2841" s="218" t="s">
        <v>5184</v>
      </c>
      <c r="C2841" s="218" t="s">
        <v>6053</v>
      </c>
      <c r="D2841" s="219">
        <v>1.0</v>
      </c>
      <c r="E2841" s="218">
        <v>300.0</v>
      </c>
      <c r="G2841" s="220">
        <v>43366.0</v>
      </c>
    </row>
    <row r="2842">
      <c r="A2842" s="217">
        <v>43373.41756641204</v>
      </c>
      <c r="B2842" s="218" t="s">
        <v>5184</v>
      </c>
      <c r="C2842" s="218" t="s">
        <v>5806</v>
      </c>
      <c r="D2842" s="219">
        <v>1.0</v>
      </c>
      <c r="E2842" s="218">
        <v>400.0</v>
      </c>
      <c r="G2842" s="220">
        <v>43363.0</v>
      </c>
    </row>
    <row r="2843">
      <c r="A2843" s="217">
        <v>43373.418333194444</v>
      </c>
      <c r="B2843" s="218" t="s">
        <v>5184</v>
      </c>
      <c r="C2843" s="218" t="s">
        <v>5806</v>
      </c>
      <c r="D2843" s="219">
        <v>1.0</v>
      </c>
      <c r="E2843" s="218">
        <v>300.0</v>
      </c>
      <c r="G2843" s="220">
        <v>43366.0</v>
      </c>
    </row>
    <row r="2844">
      <c r="A2844" s="217">
        <v>43373.42013244213</v>
      </c>
      <c r="B2844" s="218" t="s">
        <v>5184</v>
      </c>
      <c r="C2844" s="218" t="s">
        <v>5976</v>
      </c>
      <c r="D2844" s="219">
        <v>1.0</v>
      </c>
      <c r="E2844" s="218">
        <v>400.0</v>
      </c>
      <c r="G2844" s="220">
        <v>43367.0</v>
      </c>
    </row>
    <row r="2845">
      <c r="A2845" s="217">
        <v>43373.42081292824</v>
      </c>
      <c r="B2845" s="218" t="s">
        <v>5184</v>
      </c>
      <c r="C2845" s="218" t="s">
        <v>6053</v>
      </c>
      <c r="D2845" s="219">
        <v>2.0</v>
      </c>
      <c r="E2845" s="218">
        <v>300.0</v>
      </c>
      <c r="G2845" s="220">
        <v>43367.0</v>
      </c>
    </row>
    <row r="2846">
      <c r="A2846" s="217">
        <v>43373.42163752315</v>
      </c>
      <c r="B2846" s="218" t="s">
        <v>5184</v>
      </c>
      <c r="C2846" s="218" t="s">
        <v>6230</v>
      </c>
      <c r="D2846" s="219">
        <v>1.0</v>
      </c>
      <c r="E2846" s="218">
        <v>600.0</v>
      </c>
      <c r="G2846" s="220">
        <v>43361.0</v>
      </c>
    </row>
    <row r="2847">
      <c r="A2847" s="217">
        <v>43373.42247071759</v>
      </c>
      <c r="B2847" s="218" t="s">
        <v>5184</v>
      </c>
      <c r="C2847" s="218" t="s">
        <v>5845</v>
      </c>
      <c r="D2847" s="219">
        <v>1.0</v>
      </c>
      <c r="E2847" s="218">
        <v>500.0</v>
      </c>
      <c r="G2847" s="220">
        <v>43368.0</v>
      </c>
    </row>
    <row r="2848">
      <c r="A2848" s="217">
        <v>43373.42350561343</v>
      </c>
      <c r="B2848" s="218" t="s">
        <v>5184</v>
      </c>
      <c r="C2848" s="218" t="s">
        <v>5845</v>
      </c>
      <c r="D2848" s="219">
        <v>1.0</v>
      </c>
      <c r="E2848" s="218">
        <v>300.0</v>
      </c>
      <c r="G2848" s="220">
        <v>43368.0</v>
      </c>
    </row>
    <row r="2849">
      <c r="A2849" s="217">
        <v>43373.42516372685</v>
      </c>
      <c r="B2849" s="218" t="s">
        <v>5184</v>
      </c>
      <c r="C2849" s="218" t="s">
        <v>5845</v>
      </c>
      <c r="D2849" s="219">
        <v>1.0</v>
      </c>
      <c r="E2849" s="218">
        <v>500.0</v>
      </c>
      <c r="G2849" s="220">
        <v>43368.0</v>
      </c>
    </row>
    <row r="2850">
      <c r="A2850" s="217">
        <v>43373.42591465278</v>
      </c>
      <c r="B2850" s="218" t="s">
        <v>5184</v>
      </c>
      <c r="C2850" s="218" t="s">
        <v>6036</v>
      </c>
      <c r="D2850" s="219">
        <v>1.0</v>
      </c>
      <c r="E2850" s="218">
        <v>500.0</v>
      </c>
      <c r="G2850" s="220">
        <v>43368.0</v>
      </c>
    </row>
    <row r="2851">
      <c r="A2851" s="217">
        <v>43373.42875244213</v>
      </c>
      <c r="B2851" s="218" t="s">
        <v>5184</v>
      </c>
      <c r="C2851" s="218" t="s">
        <v>5804</v>
      </c>
      <c r="D2851" s="219">
        <v>1.0</v>
      </c>
      <c r="E2851" s="218">
        <v>300.0</v>
      </c>
      <c r="G2851" s="220">
        <v>43369.0</v>
      </c>
    </row>
    <row r="2852">
      <c r="A2852" s="217">
        <v>43373.4294987037</v>
      </c>
      <c r="B2852" s="218" t="s">
        <v>5184</v>
      </c>
      <c r="C2852" s="218" t="s">
        <v>5818</v>
      </c>
      <c r="D2852" s="219">
        <v>1.0</v>
      </c>
      <c r="E2852" s="218">
        <v>300.0</v>
      </c>
      <c r="F2852" s="3" t="s">
        <v>5787</v>
      </c>
      <c r="G2852" s="220">
        <v>43369.0</v>
      </c>
    </row>
    <row r="2853">
      <c r="A2853" s="217">
        <v>43373.43016849537</v>
      </c>
      <c r="B2853" s="218" t="s">
        <v>5184</v>
      </c>
      <c r="C2853" s="218" t="s">
        <v>5806</v>
      </c>
      <c r="D2853" s="219">
        <v>1.0</v>
      </c>
      <c r="E2853" s="218">
        <v>300.0</v>
      </c>
      <c r="G2853" s="220">
        <v>43369.0</v>
      </c>
    </row>
    <row r="2854">
      <c r="A2854" s="217">
        <v>43373.430984861116</v>
      </c>
      <c r="B2854" s="218" t="s">
        <v>5184</v>
      </c>
      <c r="C2854" s="218" t="s">
        <v>6230</v>
      </c>
      <c r="D2854" s="219">
        <v>1.0</v>
      </c>
      <c r="E2854" s="218">
        <v>600.0</v>
      </c>
      <c r="G2854" s="220">
        <v>43369.0</v>
      </c>
    </row>
    <row r="2855">
      <c r="A2855" s="217">
        <v>43373.43444865741</v>
      </c>
      <c r="B2855" s="218" t="s">
        <v>5184</v>
      </c>
      <c r="C2855" s="218" t="s">
        <v>5806</v>
      </c>
      <c r="D2855" s="219">
        <v>1.0</v>
      </c>
      <c r="E2855" s="218">
        <v>300.0</v>
      </c>
      <c r="G2855" s="220">
        <v>43369.0</v>
      </c>
    </row>
    <row r="2856">
      <c r="A2856" s="217">
        <v>43373.43500028935</v>
      </c>
      <c r="B2856" s="218" t="s">
        <v>5184</v>
      </c>
      <c r="C2856" s="236" t="s">
        <v>5818</v>
      </c>
      <c r="D2856" s="219">
        <v>1.0</v>
      </c>
      <c r="E2856" s="218">
        <v>300.0</v>
      </c>
      <c r="G2856" s="220">
        <v>43369.0</v>
      </c>
    </row>
    <row r="2857">
      <c r="A2857" s="217">
        <v>43373.435991527775</v>
      </c>
      <c r="B2857" s="218" t="s">
        <v>5184</v>
      </c>
      <c r="C2857" s="218" t="s">
        <v>284</v>
      </c>
      <c r="D2857" s="219">
        <v>1.0</v>
      </c>
      <c r="E2857" s="218">
        <v>400.0</v>
      </c>
      <c r="G2857" s="220">
        <v>43370.0</v>
      </c>
    </row>
    <row r="2858">
      <c r="A2858" s="217">
        <v>43373.43883054398</v>
      </c>
      <c r="B2858" s="218" t="s">
        <v>5184</v>
      </c>
      <c r="C2858" s="218" t="s">
        <v>6306</v>
      </c>
      <c r="D2858" s="219">
        <v>1.0</v>
      </c>
      <c r="E2858" s="218">
        <v>300.0</v>
      </c>
      <c r="G2858" s="220">
        <v>43371.0</v>
      </c>
    </row>
    <row r="2859">
      <c r="A2859" s="217">
        <v>43373.439917118056</v>
      </c>
      <c r="B2859" s="218" t="s">
        <v>5184</v>
      </c>
      <c r="C2859" s="218" t="s">
        <v>5845</v>
      </c>
      <c r="D2859" s="219">
        <v>1.0</v>
      </c>
      <c r="E2859" s="218">
        <v>500.0</v>
      </c>
      <c r="G2859" s="220">
        <v>43371.0</v>
      </c>
    </row>
    <row r="2860">
      <c r="A2860" s="217">
        <v>43373.44106322917</v>
      </c>
      <c r="B2860" s="218" t="s">
        <v>5184</v>
      </c>
      <c r="C2860" s="218" t="s">
        <v>6053</v>
      </c>
      <c r="D2860" s="219">
        <v>1.0</v>
      </c>
      <c r="E2860" s="218">
        <v>300.0</v>
      </c>
      <c r="G2860" s="220">
        <v>43371.0</v>
      </c>
    </row>
    <row r="2861">
      <c r="A2861" s="217">
        <v>43373.44166065972</v>
      </c>
      <c r="B2861" s="218" t="s">
        <v>5184</v>
      </c>
      <c r="C2861" s="218" t="s">
        <v>6038</v>
      </c>
      <c r="D2861" s="219">
        <v>1.0</v>
      </c>
      <c r="E2861" s="218">
        <v>500.0</v>
      </c>
      <c r="G2861" s="220">
        <v>43371.0</v>
      </c>
    </row>
    <row r="2862">
      <c r="A2862" s="217">
        <v>43373.44210320602</v>
      </c>
      <c r="B2862" s="218" t="s">
        <v>5184</v>
      </c>
      <c r="C2862" s="218" t="s">
        <v>6038</v>
      </c>
      <c r="D2862" s="219">
        <v>1.0</v>
      </c>
      <c r="E2862" s="218">
        <v>300.0</v>
      </c>
      <c r="G2862" s="220">
        <v>43371.0</v>
      </c>
    </row>
    <row r="2863">
      <c r="A2863" s="217">
        <v>43373.443313275464</v>
      </c>
      <c r="B2863" s="218" t="s">
        <v>5184</v>
      </c>
      <c r="C2863" s="218" t="s">
        <v>5845</v>
      </c>
      <c r="D2863" s="219">
        <v>1.0</v>
      </c>
      <c r="E2863" s="218">
        <v>500.0</v>
      </c>
      <c r="G2863" s="220">
        <v>43372.0</v>
      </c>
    </row>
    <row r="2864">
      <c r="A2864" s="217">
        <v>43373.44416141204</v>
      </c>
      <c r="B2864" s="218" t="s">
        <v>5184</v>
      </c>
      <c r="C2864" s="218" t="s">
        <v>7193</v>
      </c>
      <c r="D2864" s="219">
        <v>1.0</v>
      </c>
      <c r="E2864" s="218">
        <v>2650.0</v>
      </c>
      <c r="G2864" s="220">
        <v>43372.0</v>
      </c>
    </row>
    <row r="2865">
      <c r="A2865" s="217">
        <v>43373.44521318287</v>
      </c>
      <c r="B2865" s="218" t="s">
        <v>5184</v>
      </c>
      <c r="C2865" s="218" t="s">
        <v>5818</v>
      </c>
      <c r="D2865" s="219">
        <v>1.0</v>
      </c>
      <c r="E2865" s="218">
        <v>300.0</v>
      </c>
      <c r="G2865" s="220">
        <v>43372.0</v>
      </c>
    </row>
    <row r="2866">
      <c r="A2866" s="217">
        <v>43373.44606177083</v>
      </c>
      <c r="B2866" s="218" t="s">
        <v>5184</v>
      </c>
      <c r="C2866" s="218" t="s">
        <v>5806</v>
      </c>
      <c r="D2866" s="219">
        <v>1.0</v>
      </c>
      <c r="E2866" s="218">
        <v>300.0</v>
      </c>
      <c r="G2866" s="220">
        <v>43372.0</v>
      </c>
    </row>
    <row r="2867">
      <c r="A2867" s="217">
        <v>43373.44696079861</v>
      </c>
      <c r="B2867" s="218" t="s">
        <v>5184</v>
      </c>
      <c r="C2867" s="218" t="s">
        <v>5845</v>
      </c>
      <c r="D2867" s="219">
        <v>1.0</v>
      </c>
      <c r="E2867" s="218">
        <v>500.0</v>
      </c>
      <c r="G2867" s="220">
        <v>43372.0</v>
      </c>
    </row>
    <row r="2868">
      <c r="A2868" s="217">
        <v>43373.44776056713</v>
      </c>
      <c r="B2868" s="218" t="s">
        <v>5184</v>
      </c>
      <c r="C2868" s="218" t="s">
        <v>5782</v>
      </c>
      <c r="D2868" s="219">
        <v>1.0</v>
      </c>
      <c r="E2868" s="218">
        <v>400.0</v>
      </c>
      <c r="G2868" s="220">
        <v>43372.0</v>
      </c>
    </row>
    <row r="2869">
      <c r="A2869" s="217">
        <v>43373.448577256946</v>
      </c>
      <c r="B2869" s="218" t="s">
        <v>5184</v>
      </c>
      <c r="C2869" s="218" t="s">
        <v>5806</v>
      </c>
      <c r="D2869" s="219">
        <v>1.0</v>
      </c>
      <c r="E2869" s="218">
        <v>500.0</v>
      </c>
      <c r="G2869" s="220">
        <v>43372.0</v>
      </c>
    </row>
    <row r="2870">
      <c r="A2870" s="217">
        <v>43373.44937591435</v>
      </c>
      <c r="B2870" s="218" t="s">
        <v>5184</v>
      </c>
      <c r="C2870" s="218" t="s">
        <v>5806</v>
      </c>
      <c r="D2870" s="219">
        <v>1.0</v>
      </c>
      <c r="E2870" s="218">
        <v>400.0</v>
      </c>
      <c r="G2870" s="220">
        <v>43372.0</v>
      </c>
    </row>
    <row r="2871">
      <c r="A2871" s="217">
        <v>43373.45009460648</v>
      </c>
      <c r="B2871" s="218" t="s">
        <v>5184</v>
      </c>
      <c r="C2871" s="218" t="s">
        <v>6053</v>
      </c>
      <c r="D2871" s="219">
        <v>1.0</v>
      </c>
      <c r="E2871" s="218">
        <v>300.0</v>
      </c>
      <c r="G2871" s="220">
        <v>43372.0</v>
      </c>
    </row>
    <row r="2872">
      <c r="A2872" s="217">
        <v>43373.45083310185</v>
      </c>
      <c r="B2872" s="218" t="s">
        <v>5184</v>
      </c>
      <c r="C2872" s="218" t="s">
        <v>5806</v>
      </c>
      <c r="D2872" s="219">
        <v>1.0</v>
      </c>
      <c r="E2872" s="218">
        <v>400.0</v>
      </c>
      <c r="G2872" s="220">
        <v>43372.0</v>
      </c>
    </row>
    <row r="2873">
      <c r="A2873" s="217">
        <v>43373.4513784375</v>
      </c>
      <c r="B2873" s="218" t="s">
        <v>5184</v>
      </c>
      <c r="C2873" s="218" t="s">
        <v>6053</v>
      </c>
      <c r="D2873" s="219">
        <v>1.0</v>
      </c>
      <c r="E2873" s="218">
        <v>300.0</v>
      </c>
      <c r="G2873" s="220">
        <v>43372.0</v>
      </c>
    </row>
    <row r="2874">
      <c r="A2874" s="217">
        <v>43378.61117467593</v>
      </c>
      <c r="B2874" s="218" t="s">
        <v>5184</v>
      </c>
      <c r="C2874" s="218" t="s">
        <v>5806</v>
      </c>
      <c r="D2874" s="219">
        <v>1.0</v>
      </c>
      <c r="E2874" s="218">
        <v>400.0</v>
      </c>
      <c r="G2874" s="220">
        <v>43373.0</v>
      </c>
    </row>
    <row r="2875">
      <c r="A2875" s="217">
        <v>43378.61181357639</v>
      </c>
      <c r="B2875" s="218" t="s">
        <v>5184</v>
      </c>
      <c r="C2875" s="218" t="s">
        <v>5806</v>
      </c>
      <c r="D2875" s="219">
        <v>1.0</v>
      </c>
      <c r="E2875" s="218">
        <v>300.0</v>
      </c>
      <c r="G2875" s="220">
        <v>43373.0</v>
      </c>
    </row>
    <row r="2876">
      <c r="A2876" s="217">
        <v>43378.61251866898</v>
      </c>
      <c r="B2876" s="218" t="s">
        <v>5184</v>
      </c>
      <c r="C2876" s="218" t="s">
        <v>5806</v>
      </c>
      <c r="D2876" s="219">
        <v>1.0</v>
      </c>
      <c r="E2876" s="218">
        <v>500.0</v>
      </c>
      <c r="G2876" s="220">
        <v>43373.0</v>
      </c>
    </row>
    <row r="2877">
      <c r="A2877" s="217">
        <v>43378.61382085648</v>
      </c>
      <c r="B2877" s="218" t="s">
        <v>5184</v>
      </c>
      <c r="C2877" s="218" t="s">
        <v>5806</v>
      </c>
      <c r="D2877" s="219">
        <v>1.0</v>
      </c>
      <c r="E2877" s="218">
        <v>500.0</v>
      </c>
      <c r="G2877" s="220">
        <v>43374.0</v>
      </c>
    </row>
    <row r="2878">
      <c r="A2878" s="217">
        <v>43378.614600057874</v>
      </c>
      <c r="B2878" s="218" t="s">
        <v>5184</v>
      </c>
      <c r="C2878" s="218" t="s">
        <v>5806</v>
      </c>
      <c r="D2878" s="219">
        <v>1.0</v>
      </c>
      <c r="E2878" s="218">
        <v>400.0</v>
      </c>
      <c r="G2878" s="220">
        <v>43374.0</v>
      </c>
    </row>
    <row r="2879">
      <c r="A2879" s="217">
        <v>43378.61528846065</v>
      </c>
      <c r="B2879" s="218" t="s">
        <v>5184</v>
      </c>
      <c r="C2879" s="218" t="s">
        <v>5976</v>
      </c>
      <c r="D2879" s="219">
        <v>1.0</v>
      </c>
      <c r="E2879" s="218">
        <v>400.0</v>
      </c>
      <c r="G2879" s="220">
        <v>43375.0</v>
      </c>
    </row>
    <row r="2880">
      <c r="A2880" s="217">
        <v>43378.61580025463</v>
      </c>
      <c r="B2880" s="218" t="s">
        <v>5184</v>
      </c>
      <c r="C2880" s="218" t="s">
        <v>6053</v>
      </c>
      <c r="D2880" s="219">
        <v>1.0</v>
      </c>
      <c r="E2880" s="218">
        <v>300.0</v>
      </c>
      <c r="G2880" s="220">
        <v>43375.0</v>
      </c>
    </row>
    <row r="2881">
      <c r="A2881" s="217">
        <v>43378.61638017361</v>
      </c>
      <c r="B2881" s="218" t="s">
        <v>5184</v>
      </c>
      <c r="C2881" s="218" t="s">
        <v>5804</v>
      </c>
      <c r="D2881" s="219">
        <v>1.0</v>
      </c>
      <c r="E2881" s="218">
        <v>300.0</v>
      </c>
      <c r="G2881" s="220">
        <v>43375.0</v>
      </c>
    </row>
    <row r="2882">
      <c r="A2882" s="217">
        <v>43378.617201354165</v>
      </c>
      <c r="B2882" s="218" t="s">
        <v>5184</v>
      </c>
      <c r="C2882" s="218" t="s">
        <v>284</v>
      </c>
      <c r="D2882" s="219">
        <v>1.0</v>
      </c>
      <c r="E2882" s="218">
        <v>400.0</v>
      </c>
      <c r="G2882" s="220">
        <v>43376.0</v>
      </c>
    </row>
    <row r="2883">
      <c r="A2883" s="217">
        <v>43378.61790648148</v>
      </c>
      <c r="B2883" s="218" t="s">
        <v>5184</v>
      </c>
      <c r="C2883" s="218" t="s">
        <v>5976</v>
      </c>
      <c r="D2883" s="219">
        <v>1.0</v>
      </c>
      <c r="E2883" s="218">
        <v>400.0</v>
      </c>
      <c r="G2883" s="220">
        <v>43376.0</v>
      </c>
    </row>
    <row r="2884">
      <c r="A2884" s="217">
        <v>43378.618441886574</v>
      </c>
      <c r="B2884" s="218" t="s">
        <v>5184</v>
      </c>
      <c r="C2884" s="218" t="s">
        <v>6053</v>
      </c>
      <c r="D2884" s="219">
        <v>1.0</v>
      </c>
      <c r="E2884" s="218">
        <v>300.0</v>
      </c>
      <c r="G2884" s="220">
        <v>43376.0</v>
      </c>
    </row>
    <row r="2885">
      <c r="A2885" s="217">
        <v>43378.61880885417</v>
      </c>
      <c r="B2885" s="218" t="s">
        <v>5184</v>
      </c>
      <c r="C2885" s="218" t="s">
        <v>6053</v>
      </c>
      <c r="D2885" s="219">
        <v>1.0</v>
      </c>
      <c r="E2885" s="218">
        <v>300.0</v>
      </c>
      <c r="G2885" s="220">
        <v>43376.0</v>
      </c>
    </row>
    <row r="2886">
      <c r="A2886" s="217">
        <v>43378.61983609953</v>
      </c>
      <c r="B2886" s="218" t="s">
        <v>5184</v>
      </c>
      <c r="C2886" s="218" t="s">
        <v>2348</v>
      </c>
      <c r="D2886" s="219">
        <v>1.0</v>
      </c>
      <c r="E2886" s="218">
        <v>2200.0</v>
      </c>
      <c r="G2886" s="220">
        <v>43377.0</v>
      </c>
    </row>
    <row r="2887">
      <c r="A2887" s="217">
        <v>43378.620273912034</v>
      </c>
      <c r="B2887" s="218" t="s">
        <v>5184</v>
      </c>
      <c r="C2887" s="218" t="s">
        <v>6053</v>
      </c>
      <c r="D2887" s="219">
        <v>1.0</v>
      </c>
      <c r="E2887" s="218">
        <v>300.0</v>
      </c>
      <c r="G2887" s="220">
        <v>43377.0</v>
      </c>
    </row>
    <row r="2888">
      <c r="A2888" s="217">
        <v>43378.62094800926</v>
      </c>
      <c r="B2888" s="218" t="s">
        <v>5184</v>
      </c>
      <c r="C2888" s="218" t="s">
        <v>5845</v>
      </c>
      <c r="D2888" s="219">
        <v>1.0</v>
      </c>
      <c r="E2888" s="218">
        <v>500.0</v>
      </c>
      <c r="G2888" s="220">
        <v>43377.0</v>
      </c>
    </row>
    <row r="2889">
      <c r="A2889" s="217">
        <v>43378.707881979164</v>
      </c>
      <c r="B2889" s="218" t="s">
        <v>5184</v>
      </c>
      <c r="C2889" s="218" t="s">
        <v>6507</v>
      </c>
      <c r="D2889" s="219">
        <v>1.0</v>
      </c>
      <c r="E2889" s="218">
        <v>10500.0</v>
      </c>
      <c r="G2889" s="220">
        <v>43371.0</v>
      </c>
    </row>
    <row r="2890">
      <c r="A2890" s="217">
        <v>43378.708733506945</v>
      </c>
      <c r="B2890" s="218" t="s">
        <v>5184</v>
      </c>
      <c r="C2890" s="218" t="s">
        <v>6909</v>
      </c>
      <c r="D2890" s="219">
        <v>1.0</v>
      </c>
      <c r="E2890" s="218">
        <v>2250.0</v>
      </c>
      <c r="G2890" s="220">
        <v>43371.0</v>
      </c>
    </row>
    <row r="2891">
      <c r="A2891" s="217">
        <v>43378.709511863424</v>
      </c>
      <c r="B2891" s="218" t="s">
        <v>5184</v>
      </c>
      <c r="C2891" s="218" t="s">
        <v>4558</v>
      </c>
      <c r="D2891" s="219">
        <v>1.0</v>
      </c>
      <c r="E2891" s="218">
        <v>1795.0</v>
      </c>
      <c r="G2891" s="220">
        <v>43374.0</v>
      </c>
    </row>
    <row r="2892">
      <c r="A2892" s="217">
        <v>43378.71031731481</v>
      </c>
      <c r="B2892" s="218" t="s">
        <v>5184</v>
      </c>
      <c r="C2892" s="218" t="s">
        <v>6907</v>
      </c>
      <c r="D2892" s="219">
        <v>2.0</v>
      </c>
      <c r="E2892" s="218">
        <v>2250.0</v>
      </c>
      <c r="G2892" s="220">
        <v>43374.0</v>
      </c>
    </row>
    <row r="2893">
      <c r="A2893" s="217">
        <v>43378.71213216435</v>
      </c>
      <c r="B2893" s="218" t="s">
        <v>5184</v>
      </c>
      <c r="C2893" s="218" t="s">
        <v>5218</v>
      </c>
      <c r="D2893" s="219">
        <v>1.0</v>
      </c>
      <c r="E2893" s="218">
        <v>14500.0</v>
      </c>
      <c r="G2893" s="220">
        <v>43378.0</v>
      </c>
    </row>
    <row r="2894">
      <c r="A2894" s="217">
        <v>43379.720019444445</v>
      </c>
      <c r="B2894" s="218" t="s">
        <v>5092</v>
      </c>
      <c r="C2894" s="218" t="s">
        <v>6185</v>
      </c>
      <c r="D2894" s="219">
        <v>2.0</v>
      </c>
      <c r="E2894" s="218">
        <v>6390.0</v>
      </c>
      <c r="G2894" s="220">
        <v>43379.0</v>
      </c>
    </row>
    <row r="2895">
      <c r="A2895" s="217">
        <v>43379.72054430556</v>
      </c>
      <c r="B2895" s="218" t="s">
        <v>5092</v>
      </c>
      <c r="C2895" s="218" t="s">
        <v>1797</v>
      </c>
      <c r="D2895" s="219">
        <v>1.0</v>
      </c>
      <c r="E2895" s="218">
        <v>9490.0</v>
      </c>
      <c r="G2895" s="220">
        <v>43379.0</v>
      </c>
    </row>
    <row r="2896">
      <c r="A2896" s="217">
        <v>43379.720987141205</v>
      </c>
      <c r="B2896" s="218" t="s">
        <v>5092</v>
      </c>
      <c r="C2896" s="218" t="s">
        <v>1795</v>
      </c>
      <c r="D2896" s="219">
        <v>1.0</v>
      </c>
      <c r="E2896" s="218">
        <v>8290.0</v>
      </c>
      <c r="G2896" s="220">
        <v>43379.0</v>
      </c>
    </row>
    <row r="2897">
      <c r="A2897" s="217">
        <v>43379.72157326389</v>
      </c>
      <c r="B2897" s="218" t="s">
        <v>5092</v>
      </c>
      <c r="C2897" s="218" t="s">
        <v>6640</v>
      </c>
      <c r="D2897" s="219">
        <v>3.0</v>
      </c>
      <c r="E2897" s="218">
        <v>8290.0</v>
      </c>
      <c r="G2897" s="220">
        <v>43379.0</v>
      </c>
    </row>
    <row r="2898">
      <c r="A2898" s="217">
        <v>43379.72196045139</v>
      </c>
      <c r="B2898" s="218" t="s">
        <v>5092</v>
      </c>
      <c r="C2898" s="218" t="s">
        <v>6641</v>
      </c>
      <c r="D2898" s="219">
        <v>1.0</v>
      </c>
      <c r="E2898" s="218">
        <v>8290.0</v>
      </c>
      <c r="G2898" s="220">
        <v>43379.0</v>
      </c>
    </row>
    <row r="2899">
      <c r="A2899" s="217">
        <v>43379.72251630787</v>
      </c>
      <c r="B2899" s="218" t="s">
        <v>5092</v>
      </c>
      <c r="C2899" s="218" t="s">
        <v>7206</v>
      </c>
      <c r="D2899" s="219">
        <v>2.0</v>
      </c>
      <c r="E2899" s="218">
        <v>6990.0</v>
      </c>
      <c r="G2899" s="220">
        <v>43379.0</v>
      </c>
    </row>
    <row r="2900">
      <c r="A2900" s="217">
        <v>43379.72301332176</v>
      </c>
      <c r="B2900" s="218" t="s">
        <v>5092</v>
      </c>
      <c r="C2900" s="218" t="s">
        <v>1813</v>
      </c>
      <c r="D2900" s="219">
        <v>2.0</v>
      </c>
      <c r="E2900" s="218">
        <v>6990.0</v>
      </c>
      <c r="G2900" s="220">
        <v>43379.0</v>
      </c>
    </row>
    <row r="2901">
      <c r="A2901" s="217">
        <v>43379.72358311343</v>
      </c>
      <c r="B2901" s="218" t="s">
        <v>5092</v>
      </c>
      <c r="C2901" s="218" t="s">
        <v>1845</v>
      </c>
      <c r="D2901" s="219">
        <v>2.0</v>
      </c>
      <c r="E2901" s="218">
        <v>8190.0</v>
      </c>
      <c r="G2901" s="220">
        <v>43379.0</v>
      </c>
    </row>
    <row r="2902">
      <c r="A2902" s="217">
        <v>43379.72415285879</v>
      </c>
      <c r="B2902" s="218" t="s">
        <v>5092</v>
      </c>
      <c r="C2902" s="218" t="s">
        <v>5131</v>
      </c>
      <c r="D2902" s="219">
        <v>2.0</v>
      </c>
      <c r="E2902" s="218">
        <v>6390.0</v>
      </c>
      <c r="G2902" s="220">
        <v>43379.0</v>
      </c>
    </row>
    <row r="2903">
      <c r="A2903" s="217">
        <v>43379.72510631944</v>
      </c>
      <c r="B2903" s="218" t="s">
        <v>5092</v>
      </c>
      <c r="C2903" s="218" t="s">
        <v>5129</v>
      </c>
      <c r="D2903" s="219">
        <v>1.0</v>
      </c>
      <c r="E2903" s="218">
        <v>6390.0</v>
      </c>
      <c r="G2903" s="220">
        <v>43379.0</v>
      </c>
    </row>
    <row r="2904">
      <c r="A2904" s="217">
        <v>43380.43171373842</v>
      </c>
      <c r="B2904" s="218" t="s">
        <v>5092</v>
      </c>
      <c r="C2904" s="218" t="s">
        <v>7207</v>
      </c>
      <c r="D2904" s="219">
        <v>1.0</v>
      </c>
      <c r="E2904" s="218">
        <v>6390.0</v>
      </c>
      <c r="G2904" s="220">
        <v>43379.0</v>
      </c>
    </row>
    <row r="2905">
      <c r="A2905" s="217">
        <v>43380.43214284722</v>
      </c>
      <c r="B2905" s="218" t="s">
        <v>5092</v>
      </c>
      <c r="C2905" s="218" t="s">
        <v>5113</v>
      </c>
      <c r="D2905" s="219">
        <v>1.0</v>
      </c>
      <c r="E2905" s="218">
        <v>6390.0</v>
      </c>
      <c r="G2905" s="220">
        <v>43379.0</v>
      </c>
    </row>
    <row r="2906">
      <c r="A2906" s="217">
        <v>43380.43260447917</v>
      </c>
      <c r="B2906" s="218" t="s">
        <v>5092</v>
      </c>
      <c r="C2906" s="218" t="s">
        <v>1863</v>
      </c>
      <c r="D2906" s="219">
        <v>1.0</v>
      </c>
      <c r="E2906" s="218">
        <v>6390.0</v>
      </c>
      <c r="G2906" s="220">
        <v>43379.0</v>
      </c>
    </row>
    <row r="2907">
      <c r="A2907" s="217">
        <v>43380.4330197338</v>
      </c>
      <c r="B2907" s="218" t="s">
        <v>5092</v>
      </c>
      <c r="C2907" s="218" t="s">
        <v>1839</v>
      </c>
      <c r="D2907" s="219">
        <v>1.0</v>
      </c>
      <c r="E2907" s="218">
        <v>6990.0</v>
      </c>
      <c r="G2907" s="220">
        <v>43379.0</v>
      </c>
    </row>
    <row r="2908">
      <c r="A2908" s="217">
        <v>43380.43347851852</v>
      </c>
      <c r="B2908" s="218" t="s">
        <v>5092</v>
      </c>
      <c r="C2908" s="218" t="s">
        <v>1846</v>
      </c>
      <c r="D2908" s="219">
        <v>1.0</v>
      </c>
      <c r="E2908" s="218">
        <v>6990.0</v>
      </c>
      <c r="G2908" s="220">
        <v>43379.0</v>
      </c>
    </row>
    <row r="2909">
      <c r="A2909" s="217">
        <v>43380.43472792824</v>
      </c>
      <c r="B2909" s="218" t="s">
        <v>5092</v>
      </c>
      <c r="C2909" s="218" t="s">
        <v>7208</v>
      </c>
      <c r="D2909" s="219">
        <v>1.0</v>
      </c>
      <c r="E2909" s="218">
        <v>6990.0</v>
      </c>
      <c r="G2909" s="220">
        <v>43379.0</v>
      </c>
    </row>
    <row r="2910">
      <c r="A2910" s="217">
        <v>43380.435287581015</v>
      </c>
      <c r="B2910" s="218" t="s">
        <v>5092</v>
      </c>
      <c r="C2910" s="218" t="s">
        <v>1829</v>
      </c>
      <c r="D2910" s="219">
        <v>1.0</v>
      </c>
      <c r="E2910" s="218">
        <v>8190.0</v>
      </c>
      <c r="G2910" s="220">
        <v>43379.0</v>
      </c>
    </row>
    <row r="2911">
      <c r="A2911" s="217">
        <v>43380.43597387732</v>
      </c>
      <c r="B2911" s="218" t="s">
        <v>5092</v>
      </c>
      <c r="C2911" s="218" t="s">
        <v>1828</v>
      </c>
      <c r="D2911" s="219">
        <v>1.0</v>
      </c>
      <c r="E2911" s="218">
        <v>8190.0</v>
      </c>
      <c r="G2911" s="220">
        <v>43379.0</v>
      </c>
    </row>
    <row r="2912">
      <c r="A2912" s="217">
        <v>43380.436429699075</v>
      </c>
      <c r="B2912" s="218" t="s">
        <v>5092</v>
      </c>
      <c r="C2912" s="218" t="s">
        <v>1850</v>
      </c>
      <c r="D2912" s="219">
        <v>1.0</v>
      </c>
      <c r="E2912" s="218">
        <v>8190.0</v>
      </c>
      <c r="G2912" s="220">
        <v>43379.0</v>
      </c>
    </row>
    <row r="2913">
      <c r="A2913" s="217">
        <v>43380.43692712963</v>
      </c>
      <c r="B2913" s="218" t="s">
        <v>5092</v>
      </c>
      <c r="C2913" s="218" t="s">
        <v>1821</v>
      </c>
      <c r="D2913" s="219">
        <v>2.0</v>
      </c>
      <c r="E2913" s="218">
        <v>7590.0</v>
      </c>
      <c r="G2913" s="220">
        <v>43379.0</v>
      </c>
    </row>
    <row r="2914">
      <c r="A2914" s="217">
        <v>43380.437386087964</v>
      </c>
      <c r="B2914" s="218" t="s">
        <v>5092</v>
      </c>
      <c r="C2914" s="218" t="s">
        <v>7206</v>
      </c>
      <c r="D2914" s="219">
        <v>1.0</v>
      </c>
      <c r="E2914" s="218">
        <v>7590.0</v>
      </c>
      <c r="G2914" s="220">
        <v>43379.0</v>
      </c>
    </row>
    <row r="2915">
      <c r="A2915" s="217">
        <v>43380.43814153935</v>
      </c>
      <c r="B2915" s="218" t="s">
        <v>5092</v>
      </c>
      <c r="C2915" s="218" t="s">
        <v>1818</v>
      </c>
      <c r="D2915" s="219">
        <v>1.0</v>
      </c>
      <c r="E2915" s="218">
        <v>6990.0</v>
      </c>
      <c r="G2915" s="220">
        <v>43379.0</v>
      </c>
    </row>
    <row r="2916">
      <c r="A2916" s="217">
        <v>43380.438632210644</v>
      </c>
      <c r="B2916" s="218" t="s">
        <v>5092</v>
      </c>
      <c r="C2916" s="218" t="s">
        <v>5122</v>
      </c>
      <c r="D2916" s="219">
        <v>1.0</v>
      </c>
      <c r="E2916" s="218">
        <v>7590.0</v>
      </c>
      <c r="G2916" s="220">
        <v>43379.0</v>
      </c>
    </row>
    <row r="2917">
      <c r="A2917" s="217">
        <v>43380.43922853009</v>
      </c>
      <c r="B2917" s="218" t="s">
        <v>5092</v>
      </c>
      <c r="C2917" s="218" t="s">
        <v>6647</v>
      </c>
      <c r="D2917" s="219">
        <v>1.0</v>
      </c>
      <c r="E2917" s="218">
        <v>6990.0</v>
      </c>
      <c r="G2917" s="220">
        <v>43379.0</v>
      </c>
    </row>
    <row r="2918">
      <c r="A2918" s="217">
        <v>43380.439707743055</v>
      </c>
      <c r="B2918" s="218" t="s">
        <v>5092</v>
      </c>
      <c r="C2918" s="218" t="s">
        <v>6662</v>
      </c>
      <c r="D2918" s="219">
        <v>3.0</v>
      </c>
      <c r="E2918" s="218">
        <v>8090.0</v>
      </c>
      <c r="G2918" s="220">
        <v>43379.0</v>
      </c>
    </row>
    <row r="2919">
      <c r="A2919" s="217">
        <v>43380.44029731481</v>
      </c>
      <c r="B2919" s="218" t="s">
        <v>5092</v>
      </c>
      <c r="C2919" s="218" t="s">
        <v>6655</v>
      </c>
      <c r="D2919" s="219">
        <v>2.0</v>
      </c>
      <c r="E2919" s="218">
        <v>5590.0</v>
      </c>
      <c r="G2919" s="220">
        <v>43379.0</v>
      </c>
    </row>
    <row r="2920">
      <c r="A2920" s="217">
        <v>43380.44081702546</v>
      </c>
      <c r="B2920" s="218" t="s">
        <v>5092</v>
      </c>
      <c r="C2920" s="218" t="s">
        <v>7209</v>
      </c>
      <c r="D2920" s="219">
        <v>1.0</v>
      </c>
      <c r="E2920" s="218">
        <v>7490.0</v>
      </c>
      <c r="G2920" s="220">
        <v>43379.0</v>
      </c>
    </row>
    <row r="2921">
      <c r="A2921" s="217">
        <v>43380.441345046296</v>
      </c>
      <c r="B2921" s="218" t="s">
        <v>5092</v>
      </c>
      <c r="C2921" s="218" t="s">
        <v>6255</v>
      </c>
      <c r="D2921" s="219">
        <v>1.0</v>
      </c>
      <c r="E2921" s="218">
        <v>6990.0</v>
      </c>
      <c r="G2921" s="220">
        <v>43379.0</v>
      </c>
    </row>
    <row r="2922">
      <c r="A2922" s="217">
        <v>43380.44176800926</v>
      </c>
      <c r="B2922" s="218" t="s">
        <v>5092</v>
      </c>
      <c r="C2922" s="218" t="s">
        <v>6653</v>
      </c>
      <c r="D2922" s="219">
        <v>1.0</v>
      </c>
      <c r="E2922" s="218">
        <v>6990.0</v>
      </c>
      <c r="G2922" s="220">
        <v>43379.0</v>
      </c>
    </row>
    <row r="2923">
      <c r="A2923" s="217">
        <v>43380.44235106482</v>
      </c>
      <c r="B2923" s="218" t="s">
        <v>5092</v>
      </c>
      <c r="C2923" s="218" t="s">
        <v>1811</v>
      </c>
      <c r="D2923" s="219">
        <v>2.0</v>
      </c>
      <c r="E2923" s="218">
        <v>6490.0</v>
      </c>
      <c r="G2923" s="220">
        <v>43379.0</v>
      </c>
    </row>
    <row r="2924">
      <c r="A2924" s="217">
        <v>43380.44310575232</v>
      </c>
      <c r="B2924" s="218" t="s">
        <v>5092</v>
      </c>
      <c r="C2924" s="218" t="s">
        <v>5106</v>
      </c>
      <c r="D2924" s="219">
        <v>1.0</v>
      </c>
      <c r="E2924" s="218">
        <v>6990.0</v>
      </c>
      <c r="G2924" s="220">
        <v>43379.0</v>
      </c>
    </row>
    <row r="2925">
      <c r="A2925" s="217">
        <v>43380.44374368056</v>
      </c>
      <c r="B2925" s="218" t="s">
        <v>5092</v>
      </c>
      <c r="C2925" s="218" t="s">
        <v>6388</v>
      </c>
      <c r="D2925" s="219">
        <v>2.0</v>
      </c>
      <c r="E2925" s="218">
        <v>5590.0</v>
      </c>
      <c r="G2925" s="220">
        <v>43379.0</v>
      </c>
    </row>
    <row r="2926">
      <c r="A2926" s="217">
        <v>43380.444421631946</v>
      </c>
      <c r="B2926" s="218" t="s">
        <v>5092</v>
      </c>
      <c r="C2926" s="218" t="s">
        <v>6656</v>
      </c>
      <c r="D2926" s="219">
        <v>2.0</v>
      </c>
      <c r="E2926" s="218">
        <v>5590.0</v>
      </c>
      <c r="G2926" s="220">
        <v>43379.0</v>
      </c>
    </row>
    <row r="2927">
      <c r="A2927" s="217">
        <v>43380.44501267361</v>
      </c>
      <c r="B2927" s="218" t="s">
        <v>5092</v>
      </c>
      <c r="C2927" s="218" t="s">
        <v>6654</v>
      </c>
      <c r="D2927" s="219">
        <v>2.0</v>
      </c>
      <c r="E2927" s="218">
        <v>5590.0</v>
      </c>
      <c r="G2927" s="220">
        <v>43379.0</v>
      </c>
    </row>
    <row r="2928">
      <c r="A2928" s="217">
        <v>43380.445657916665</v>
      </c>
      <c r="B2928" s="218" t="s">
        <v>5092</v>
      </c>
      <c r="C2928" s="218" t="s">
        <v>6661</v>
      </c>
      <c r="D2928" s="219">
        <v>1.0</v>
      </c>
      <c r="E2928" s="218">
        <v>4590.0</v>
      </c>
      <c r="G2928" s="220">
        <v>43379.0</v>
      </c>
    </row>
    <row r="2929">
      <c r="A2929" s="217">
        <v>43380.44634547454</v>
      </c>
      <c r="B2929" s="218" t="s">
        <v>5092</v>
      </c>
      <c r="C2929" s="218" t="s">
        <v>6262</v>
      </c>
      <c r="D2929" s="219">
        <v>1.0</v>
      </c>
      <c r="E2929" s="218">
        <v>4590.0</v>
      </c>
      <c r="G2929" s="220">
        <v>43379.0</v>
      </c>
    </row>
    <row r="2930">
      <c r="A2930" s="217">
        <v>43380.447196354165</v>
      </c>
      <c r="B2930" s="218" t="s">
        <v>5092</v>
      </c>
      <c r="C2930" s="218" t="s">
        <v>6658</v>
      </c>
      <c r="D2930" s="219">
        <v>1.0</v>
      </c>
      <c r="E2930" s="218">
        <v>4690.0</v>
      </c>
      <c r="G2930" s="220">
        <v>43379.0</v>
      </c>
    </row>
    <row r="2931">
      <c r="A2931" s="217">
        <v>43380.44801407408</v>
      </c>
      <c r="B2931" s="218" t="s">
        <v>5092</v>
      </c>
      <c r="C2931" s="218" t="s">
        <v>1882</v>
      </c>
      <c r="D2931" s="219">
        <v>2.0</v>
      </c>
      <c r="E2931" s="218">
        <v>9490.0</v>
      </c>
      <c r="G2931" s="220">
        <v>43379.0</v>
      </c>
    </row>
    <row r="2932">
      <c r="A2932" s="217">
        <v>43380.44873310185</v>
      </c>
      <c r="B2932" s="218" t="s">
        <v>5092</v>
      </c>
      <c r="C2932" s="218" t="s">
        <v>6591</v>
      </c>
      <c r="D2932" s="219">
        <v>2.0</v>
      </c>
      <c r="E2932" s="218">
        <v>6990.0</v>
      </c>
      <c r="G2932" s="220">
        <v>43379.0</v>
      </c>
    </row>
    <row r="2933">
      <c r="A2933" s="217">
        <v>43380.44935112269</v>
      </c>
      <c r="B2933" s="218" t="s">
        <v>5092</v>
      </c>
      <c r="C2933" s="218" t="s">
        <v>5169</v>
      </c>
      <c r="D2933" s="219">
        <v>1.0</v>
      </c>
      <c r="E2933" s="218">
        <v>5290.0</v>
      </c>
      <c r="G2933" s="220">
        <v>43379.0</v>
      </c>
    </row>
    <row r="2934">
      <c r="A2934" s="217">
        <v>43380.44989668981</v>
      </c>
      <c r="B2934" s="218" t="s">
        <v>5092</v>
      </c>
      <c r="C2934" s="218" t="s">
        <v>5170</v>
      </c>
      <c r="D2934" s="219">
        <v>1.0</v>
      </c>
      <c r="E2934" s="218">
        <v>5290.0</v>
      </c>
      <c r="G2934" s="220">
        <v>43379.0</v>
      </c>
    </row>
    <row r="2935">
      <c r="A2935" s="217">
        <v>43380.45039759259</v>
      </c>
      <c r="B2935" s="218" t="s">
        <v>5092</v>
      </c>
      <c r="C2935" s="218" t="s">
        <v>5163</v>
      </c>
      <c r="D2935" s="219">
        <v>1.0</v>
      </c>
      <c r="E2935" s="218">
        <v>5290.0</v>
      </c>
      <c r="G2935" s="220">
        <v>43379.0</v>
      </c>
    </row>
    <row r="2936">
      <c r="A2936" s="217">
        <v>43380.45107009259</v>
      </c>
      <c r="B2936" s="218" t="s">
        <v>5092</v>
      </c>
      <c r="C2936" s="218" t="s">
        <v>6671</v>
      </c>
      <c r="D2936" s="219">
        <v>2.0</v>
      </c>
      <c r="E2936" s="218">
        <v>6990.0</v>
      </c>
      <c r="G2936" s="220">
        <v>43379.0</v>
      </c>
    </row>
    <row r="2937">
      <c r="A2937" s="217">
        <v>43382.445693946764</v>
      </c>
      <c r="B2937" s="218" t="s">
        <v>5184</v>
      </c>
      <c r="C2937" s="218" t="s">
        <v>7208</v>
      </c>
      <c r="D2937" s="219">
        <v>1.0</v>
      </c>
      <c r="E2937" s="218">
        <v>6990.0</v>
      </c>
      <c r="G2937" s="220">
        <v>43382.0</v>
      </c>
    </row>
    <row r="2938">
      <c r="A2938" s="217">
        <v>43382.446358761576</v>
      </c>
      <c r="B2938" s="218" t="s">
        <v>5184</v>
      </c>
      <c r="C2938" s="218" t="s">
        <v>1839</v>
      </c>
      <c r="D2938" s="219">
        <v>1.0</v>
      </c>
      <c r="E2938" s="218">
        <v>6990.0</v>
      </c>
      <c r="G2938" s="220">
        <v>43382.0</v>
      </c>
    </row>
    <row r="2939">
      <c r="A2939" s="217">
        <v>43382.44676140047</v>
      </c>
      <c r="B2939" s="218" t="s">
        <v>5184</v>
      </c>
      <c r="C2939" s="218" t="s">
        <v>1821</v>
      </c>
      <c r="D2939" s="219">
        <v>2.0</v>
      </c>
      <c r="E2939" s="218">
        <v>7590.0</v>
      </c>
      <c r="G2939" s="220">
        <v>43382.0</v>
      </c>
    </row>
    <row r="2940">
      <c r="A2940" s="217">
        <v>43382.44716393518</v>
      </c>
      <c r="B2940" s="218" t="s">
        <v>5184</v>
      </c>
      <c r="C2940" s="218" t="s">
        <v>1818</v>
      </c>
      <c r="D2940" s="219">
        <v>1.0</v>
      </c>
      <c r="E2940" s="218">
        <v>7590.0</v>
      </c>
      <c r="G2940" s="220">
        <v>43382.0</v>
      </c>
    </row>
    <row r="2941">
      <c r="A2941" s="217">
        <v>43382.447751458334</v>
      </c>
      <c r="B2941" s="218" t="s">
        <v>5184</v>
      </c>
      <c r="C2941" s="218" t="s">
        <v>740</v>
      </c>
      <c r="D2941" s="219">
        <v>1.0</v>
      </c>
      <c r="E2941" s="218">
        <v>1980.0</v>
      </c>
      <c r="G2941" s="220">
        <v>43382.0</v>
      </c>
    </row>
    <row r="2942">
      <c r="A2942" s="217">
        <v>43382.44828652778</v>
      </c>
      <c r="B2942" s="218" t="s">
        <v>5184</v>
      </c>
      <c r="C2942" s="218" t="s">
        <v>6641</v>
      </c>
      <c r="D2942" s="219">
        <v>2.0</v>
      </c>
      <c r="E2942" s="218">
        <v>8290.0</v>
      </c>
      <c r="G2942" s="220">
        <v>43382.0</v>
      </c>
    </row>
    <row r="2943">
      <c r="A2943" s="217">
        <v>43382.44871887732</v>
      </c>
      <c r="B2943" s="218" t="s">
        <v>5184</v>
      </c>
      <c r="C2943" s="218" t="s">
        <v>7207</v>
      </c>
      <c r="D2943" s="219">
        <v>1.0</v>
      </c>
      <c r="E2943" s="218">
        <v>6390.0</v>
      </c>
      <c r="G2943" s="220">
        <v>43382.0</v>
      </c>
    </row>
    <row r="2944">
      <c r="A2944" s="217">
        <v>43382.449224282405</v>
      </c>
      <c r="B2944" s="218" t="s">
        <v>5184</v>
      </c>
      <c r="C2944" s="218" t="s">
        <v>5106</v>
      </c>
      <c r="D2944" s="219">
        <v>2.0</v>
      </c>
      <c r="E2944" s="218">
        <v>6990.0</v>
      </c>
      <c r="G2944" s="220">
        <v>43382.0</v>
      </c>
    </row>
    <row r="2945">
      <c r="A2945" s="217">
        <v>43382.44979244213</v>
      </c>
      <c r="B2945" s="218" t="s">
        <v>5184</v>
      </c>
      <c r="C2945" s="218" t="s">
        <v>1828</v>
      </c>
      <c r="D2945" s="219">
        <v>1.0</v>
      </c>
      <c r="E2945" s="218">
        <v>8190.0</v>
      </c>
      <c r="G2945" s="220">
        <v>43382.0</v>
      </c>
    </row>
    <row r="2946">
      <c r="A2946" s="217">
        <v>43382.45045715278</v>
      </c>
      <c r="B2946" s="218" t="s">
        <v>5184</v>
      </c>
      <c r="C2946" s="218" t="s">
        <v>1829</v>
      </c>
      <c r="D2946" s="219">
        <v>2.0</v>
      </c>
      <c r="E2946" s="218">
        <v>8190.0</v>
      </c>
      <c r="G2946" s="220">
        <v>43382.0</v>
      </c>
    </row>
    <row r="2947">
      <c r="A2947" s="217">
        <v>43382.45107502315</v>
      </c>
      <c r="B2947" s="218" t="s">
        <v>5184</v>
      </c>
      <c r="C2947" s="218" t="s">
        <v>6649</v>
      </c>
      <c r="D2947" s="219">
        <v>1.0</v>
      </c>
      <c r="E2947" s="218">
        <v>8190.0</v>
      </c>
      <c r="G2947" s="220">
        <v>43382.0</v>
      </c>
    </row>
    <row r="2948">
      <c r="A2948" s="217">
        <v>43382.45381103009</v>
      </c>
      <c r="B2948" s="218" t="s">
        <v>5184</v>
      </c>
      <c r="C2948" s="218" t="s">
        <v>5588</v>
      </c>
      <c r="D2948" s="219">
        <v>1.0</v>
      </c>
      <c r="E2948" s="24"/>
      <c r="G2948" s="220">
        <v>43382.0</v>
      </c>
    </row>
    <row r="2949">
      <c r="A2949" s="217">
        <v>43382.45422974537</v>
      </c>
      <c r="B2949" s="218" t="s">
        <v>5184</v>
      </c>
      <c r="C2949" s="218" t="s">
        <v>1304</v>
      </c>
      <c r="D2949" s="219">
        <v>1.0</v>
      </c>
      <c r="E2949" s="24"/>
      <c r="G2949" s="220">
        <v>43382.0</v>
      </c>
    </row>
    <row r="2950">
      <c r="A2950" s="217">
        <v>43382.45471976852</v>
      </c>
      <c r="B2950" s="218" t="s">
        <v>5184</v>
      </c>
      <c r="C2950" s="218" t="s">
        <v>6906</v>
      </c>
      <c r="D2950" s="219">
        <v>1.0</v>
      </c>
      <c r="E2950" s="24"/>
      <c r="G2950" s="220">
        <v>43382.0</v>
      </c>
    </row>
    <row r="2951">
      <c r="A2951" s="217">
        <v>43382.45540564814</v>
      </c>
      <c r="B2951" s="218" t="s">
        <v>5184</v>
      </c>
      <c r="C2951" s="218" t="s">
        <v>6916</v>
      </c>
      <c r="D2951" s="219">
        <v>1.0</v>
      </c>
      <c r="E2951" s="24"/>
      <c r="G2951" s="220">
        <v>43382.0</v>
      </c>
    </row>
    <row r="2952">
      <c r="A2952" s="217">
        <v>43382.456306168984</v>
      </c>
      <c r="B2952" s="218" t="s">
        <v>5184</v>
      </c>
      <c r="C2952" s="218" t="s">
        <v>713</v>
      </c>
      <c r="D2952" s="219">
        <v>1.0</v>
      </c>
      <c r="E2952" s="24"/>
      <c r="G2952" s="220">
        <v>43382.0</v>
      </c>
    </row>
    <row r="2953">
      <c r="A2953" s="217">
        <v>43382.45789457176</v>
      </c>
      <c r="B2953" s="218" t="s">
        <v>5184</v>
      </c>
      <c r="C2953" s="218" t="s">
        <v>714</v>
      </c>
      <c r="D2953" s="219">
        <v>1.0</v>
      </c>
      <c r="E2953" s="24"/>
      <c r="G2953" s="220">
        <v>43382.0</v>
      </c>
    </row>
    <row r="2954">
      <c r="A2954" s="217">
        <v>43382.458506863426</v>
      </c>
      <c r="B2954" s="218" t="s">
        <v>5184</v>
      </c>
      <c r="C2954" s="218" t="s">
        <v>6915</v>
      </c>
      <c r="D2954" s="219">
        <v>1.0</v>
      </c>
      <c r="E2954" s="24"/>
      <c r="G2954" s="220">
        <v>43382.0</v>
      </c>
    </row>
    <row r="2955">
      <c r="A2955" s="217">
        <v>43382.46374202546</v>
      </c>
      <c r="B2955" s="218" t="s">
        <v>5184</v>
      </c>
      <c r="C2955" s="218" t="s">
        <v>6892</v>
      </c>
      <c r="D2955" s="219">
        <v>1.0</v>
      </c>
      <c r="E2955" s="24"/>
      <c r="G2955" s="220">
        <v>43382.0</v>
      </c>
    </row>
    <row r="2956">
      <c r="A2956" s="217">
        <v>43382.46933796296</v>
      </c>
      <c r="B2956" s="218" t="s">
        <v>5184</v>
      </c>
      <c r="C2956" s="218" t="s">
        <v>6912</v>
      </c>
      <c r="D2956" s="219">
        <v>1.0</v>
      </c>
      <c r="E2956" s="24"/>
      <c r="G2956" s="220">
        <v>43382.0</v>
      </c>
    </row>
    <row r="2957">
      <c r="A2957" s="217">
        <v>43382.46992873843</v>
      </c>
      <c r="B2957" s="218" t="s">
        <v>5184</v>
      </c>
      <c r="C2957" s="218" t="s">
        <v>6913</v>
      </c>
      <c r="D2957" s="219">
        <v>1.0</v>
      </c>
      <c r="E2957" s="24"/>
      <c r="G2957" s="220">
        <v>43382.0</v>
      </c>
    </row>
    <row r="2958">
      <c r="A2958" s="217">
        <v>43382.477039398145</v>
      </c>
      <c r="B2958" s="218" t="s">
        <v>5184</v>
      </c>
      <c r="C2958" s="218" t="s">
        <v>6893</v>
      </c>
      <c r="D2958" s="219">
        <v>1.0</v>
      </c>
      <c r="E2958" s="24"/>
      <c r="G2958" s="220">
        <v>43382.0</v>
      </c>
    </row>
    <row r="2959">
      <c r="A2959" s="217">
        <v>43382.477595578704</v>
      </c>
      <c r="B2959" s="218" t="s">
        <v>5184</v>
      </c>
      <c r="C2959" s="218" t="s">
        <v>6894</v>
      </c>
      <c r="D2959" s="219">
        <v>1.0</v>
      </c>
      <c r="E2959" s="24"/>
      <c r="G2959" s="220">
        <v>43382.0</v>
      </c>
    </row>
    <row r="2960">
      <c r="A2960" s="217">
        <v>43382.47818017361</v>
      </c>
      <c r="B2960" s="218" t="s">
        <v>5184</v>
      </c>
      <c r="C2960" s="218" t="s">
        <v>6895</v>
      </c>
      <c r="D2960" s="219">
        <v>1.0</v>
      </c>
      <c r="E2960" s="24"/>
      <c r="G2960" s="220">
        <v>43382.0</v>
      </c>
    </row>
    <row r="2961">
      <c r="A2961" s="217">
        <v>43382.47929065972</v>
      </c>
      <c r="B2961" s="218" t="s">
        <v>5184</v>
      </c>
      <c r="C2961" s="218" t="s">
        <v>718</v>
      </c>
      <c r="D2961" s="219">
        <v>1.0</v>
      </c>
      <c r="E2961" s="24"/>
      <c r="G2961" s="220">
        <v>43382.0</v>
      </c>
    </row>
    <row r="2962">
      <c r="A2962" s="217">
        <v>43382.47968233796</v>
      </c>
      <c r="B2962" s="218" t="s">
        <v>5184</v>
      </c>
      <c r="C2962" s="218" t="s">
        <v>719</v>
      </c>
      <c r="D2962" s="219">
        <v>1.0</v>
      </c>
      <c r="E2962" s="24"/>
      <c r="G2962" s="220">
        <v>43382.0</v>
      </c>
    </row>
    <row r="2963">
      <c r="A2963" s="217">
        <v>43382.48005430556</v>
      </c>
      <c r="B2963" s="218" t="s">
        <v>5184</v>
      </c>
      <c r="C2963" s="218" t="s">
        <v>6905</v>
      </c>
      <c r="D2963" s="219">
        <v>1.0</v>
      </c>
      <c r="E2963" s="24"/>
      <c r="G2963" s="220">
        <v>43382.0</v>
      </c>
    </row>
    <row r="2964">
      <c r="A2964" s="217">
        <v>43382.48127541666</v>
      </c>
      <c r="B2964" s="218" t="s">
        <v>5184</v>
      </c>
      <c r="C2964" s="218" t="s">
        <v>6910</v>
      </c>
      <c r="D2964" s="219">
        <v>1.0</v>
      </c>
      <c r="E2964" s="24"/>
      <c r="G2964" s="220">
        <v>43382.0</v>
      </c>
    </row>
    <row r="2965">
      <c r="A2965" s="217">
        <v>43382.48169634259</v>
      </c>
      <c r="B2965" s="218" t="s">
        <v>5184</v>
      </c>
      <c r="C2965" s="218" t="s">
        <v>6911</v>
      </c>
      <c r="D2965" s="219">
        <v>1.0</v>
      </c>
      <c r="E2965" s="24"/>
      <c r="G2965" s="220">
        <v>43382.0</v>
      </c>
    </row>
    <row r="2966">
      <c r="A2966" s="217">
        <v>43382.48687896991</v>
      </c>
      <c r="B2966" s="218" t="s">
        <v>5184</v>
      </c>
      <c r="C2966" s="218" t="s">
        <v>6908</v>
      </c>
      <c r="D2966" s="219">
        <v>1.0</v>
      </c>
      <c r="E2966" s="24"/>
      <c r="G2966" s="220">
        <v>43382.0</v>
      </c>
    </row>
    <row r="2967">
      <c r="A2967" s="217">
        <v>43382.48828016204</v>
      </c>
      <c r="B2967" s="218" t="s">
        <v>5184</v>
      </c>
      <c r="C2967" s="218" t="s">
        <v>1470</v>
      </c>
      <c r="D2967" s="219">
        <v>1.0</v>
      </c>
      <c r="E2967" s="24"/>
      <c r="G2967" s="220">
        <v>43382.0</v>
      </c>
    </row>
    <row r="2968">
      <c r="A2968" s="217">
        <v>43382.48903121528</v>
      </c>
      <c r="B2968" s="218" t="s">
        <v>5184</v>
      </c>
      <c r="C2968" s="218" t="s">
        <v>6920</v>
      </c>
      <c r="D2968" s="219">
        <v>1.0</v>
      </c>
      <c r="E2968" s="24"/>
      <c r="G2968" s="220">
        <v>43382.0</v>
      </c>
    </row>
    <row r="2969">
      <c r="A2969" s="217">
        <v>43382.49011706018</v>
      </c>
      <c r="B2969" s="218" t="s">
        <v>5184</v>
      </c>
      <c r="C2969" s="218" t="s">
        <v>6921</v>
      </c>
      <c r="D2969" s="219">
        <v>1.0</v>
      </c>
      <c r="E2969" s="24"/>
      <c r="G2969" s="220">
        <v>43382.0</v>
      </c>
    </row>
    <row r="2970">
      <c r="A2970" s="217">
        <v>43382.490578171295</v>
      </c>
      <c r="B2970" s="218" t="s">
        <v>5184</v>
      </c>
      <c r="C2970" s="218" t="s">
        <v>5664</v>
      </c>
      <c r="D2970" s="219">
        <v>1.0</v>
      </c>
      <c r="E2970" s="24"/>
      <c r="G2970" s="220">
        <v>43382.0</v>
      </c>
    </row>
    <row r="2971">
      <c r="A2971" s="217">
        <v>43382.49109394676</v>
      </c>
      <c r="B2971" s="218" t="s">
        <v>5184</v>
      </c>
      <c r="C2971" s="218" t="s">
        <v>1380</v>
      </c>
      <c r="D2971" s="219">
        <v>1.0</v>
      </c>
      <c r="E2971" s="24"/>
      <c r="G2971" s="220">
        <v>43382.0</v>
      </c>
    </row>
    <row r="2972">
      <c r="A2972" s="217">
        <v>43382.49157133102</v>
      </c>
      <c r="B2972" s="218" t="s">
        <v>5184</v>
      </c>
      <c r="C2972" s="218" t="s">
        <v>1382</v>
      </c>
      <c r="D2972" s="219">
        <v>1.0</v>
      </c>
      <c r="E2972" s="24"/>
      <c r="G2972" s="220">
        <v>43382.0</v>
      </c>
    </row>
    <row r="2973">
      <c r="A2973" s="217">
        <v>43382.4920349537</v>
      </c>
      <c r="B2973" s="218" t="s">
        <v>5184</v>
      </c>
      <c r="C2973" s="218" t="s">
        <v>6904</v>
      </c>
      <c r="D2973" s="219">
        <v>1.0</v>
      </c>
      <c r="E2973" s="24"/>
      <c r="G2973" s="220">
        <v>43382.0</v>
      </c>
    </row>
    <row r="2974">
      <c r="A2974" s="217">
        <v>43382.49246296297</v>
      </c>
      <c r="B2974" s="218" t="s">
        <v>5184</v>
      </c>
      <c r="C2974" s="218" t="s">
        <v>724</v>
      </c>
      <c r="D2974" s="219">
        <v>1.0</v>
      </c>
      <c r="E2974" s="24"/>
      <c r="G2974" s="220">
        <v>43382.0</v>
      </c>
    </row>
    <row r="2975">
      <c r="A2975" s="217">
        <v>43382.49365653935</v>
      </c>
      <c r="B2975" s="218" t="s">
        <v>5184</v>
      </c>
      <c r="C2975" s="218" t="s">
        <v>6886</v>
      </c>
      <c r="D2975" s="219">
        <v>1.0</v>
      </c>
      <c r="E2975" s="24"/>
      <c r="G2975" s="220">
        <v>43382.0</v>
      </c>
    </row>
    <row r="2976">
      <c r="A2976" s="217">
        <v>43382.49429180556</v>
      </c>
      <c r="B2976" s="218" t="s">
        <v>5184</v>
      </c>
      <c r="C2976" s="218" t="s">
        <v>6887</v>
      </c>
      <c r="D2976" s="219">
        <v>1.0</v>
      </c>
      <c r="E2976" s="24"/>
      <c r="G2976" s="220">
        <v>43382.0</v>
      </c>
    </row>
    <row r="2977">
      <c r="A2977" s="217">
        <v>43382.49477041667</v>
      </c>
      <c r="B2977" s="218" t="s">
        <v>5184</v>
      </c>
      <c r="C2977" s="218" t="s">
        <v>6891</v>
      </c>
      <c r="D2977" s="219">
        <v>1.0</v>
      </c>
      <c r="E2977" s="24"/>
      <c r="G2977" s="220">
        <v>43382.0</v>
      </c>
    </row>
    <row r="2978">
      <c r="A2978" s="217">
        <v>43382.495228935186</v>
      </c>
      <c r="B2978" s="218" t="s">
        <v>5184</v>
      </c>
      <c r="C2978" s="218" t="s">
        <v>6897</v>
      </c>
      <c r="D2978" s="219">
        <v>1.0</v>
      </c>
      <c r="E2978" s="24"/>
      <c r="G2978" s="220">
        <v>43382.0</v>
      </c>
    </row>
    <row r="2979">
      <c r="A2979" s="217">
        <v>43382.49558040509</v>
      </c>
      <c r="B2979" s="218" t="s">
        <v>5184</v>
      </c>
      <c r="C2979" s="218" t="s">
        <v>5868</v>
      </c>
      <c r="D2979" s="219">
        <v>1.0</v>
      </c>
      <c r="E2979" s="24"/>
      <c r="G2979" s="220">
        <v>43382.0</v>
      </c>
    </row>
    <row r="2980">
      <c r="A2980" s="217">
        <v>43382.49622197916</v>
      </c>
      <c r="B2980" s="218" t="s">
        <v>5184</v>
      </c>
      <c r="C2980" s="218" t="s">
        <v>6899</v>
      </c>
      <c r="D2980" s="219">
        <v>1.0</v>
      </c>
      <c r="E2980" s="24"/>
      <c r="G2980" s="220">
        <v>43382.0</v>
      </c>
    </row>
    <row r="2981">
      <c r="A2981" s="217">
        <v>43382.496604432876</v>
      </c>
      <c r="B2981" s="218" t="s">
        <v>5184</v>
      </c>
      <c r="C2981" s="218" t="s">
        <v>727</v>
      </c>
      <c r="D2981" s="219">
        <v>1.0</v>
      </c>
      <c r="E2981" s="24"/>
      <c r="G2981" s="220">
        <v>43382.0</v>
      </c>
    </row>
    <row r="2982">
      <c r="A2982" s="217">
        <v>43382.49716375</v>
      </c>
      <c r="B2982" s="218" t="s">
        <v>5184</v>
      </c>
      <c r="C2982" s="218" t="s">
        <v>6900</v>
      </c>
      <c r="D2982" s="219">
        <v>1.0</v>
      </c>
      <c r="E2982" s="24"/>
      <c r="G2982" s="220">
        <v>43382.0</v>
      </c>
    </row>
    <row r="2983">
      <c r="A2983" s="217">
        <v>43382.49779601852</v>
      </c>
      <c r="B2983" s="218" t="s">
        <v>5184</v>
      </c>
      <c r="C2983" s="218" t="s">
        <v>6918</v>
      </c>
      <c r="D2983" s="219">
        <v>1.0</v>
      </c>
      <c r="E2983" s="24"/>
      <c r="G2983" s="220">
        <v>43382.0</v>
      </c>
    </row>
    <row r="2984">
      <c r="A2984" s="217">
        <v>43382.49823013889</v>
      </c>
      <c r="B2984" s="218" t="s">
        <v>5184</v>
      </c>
      <c r="C2984" s="218" t="s">
        <v>6919</v>
      </c>
      <c r="D2984" s="219">
        <v>1.0</v>
      </c>
      <c r="E2984" s="24"/>
      <c r="G2984" s="220">
        <v>43382.0</v>
      </c>
    </row>
    <row r="2985">
      <c r="A2985" s="217">
        <v>43382.49865716435</v>
      </c>
      <c r="B2985" s="218" t="s">
        <v>5184</v>
      </c>
      <c r="C2985" s="218" t="s">
        <v>6890</v>
      </c>
      <c r="D2985" s="219">
        <v>1.0</v>
      </c>
      <c r="E2985" s="24"/>
      <c r="G2985" s="220">
        <v>43382.0</v>
      </c>
    </row>
    <row r="2986">
      <c r="A2986" s="217">
        <v>43382.499113854166</v>
      </c>
      <c r="B2986" s="218" t="s">
        <v>5184</v>
      </c>
      <c r="C2986" s="218" t="s">
        <v>5596</v>
      </c>
      <c r="D2986" s="219">
        <v>1.0</v>
      </c>
      <c r="E2986" s="24"/>
      <c r="G2986" s="220">
        <v>43382.0</v>
      </c>
    </row>
    <row r="2987">
      <c r="A2987" s="217">
        <v>43382.49952873842</v>
      </c>
      <c r="B2987" s="218" t="s">
        <v>5184</v>
      </c>
      <c r="C2987" s="218" t="s">
        <v>1463</v>
      </c>
      <c r="D2987" s="219">
        <v>1.0</v>
      </c>
      <c r="E2987" s="24"/>
      <c r="G2987" s="220">
        <v>43382.0</v>
      </c>
    </row>
    <row r="2988">
      <c r="A2988" s="217">
        <v>43382.50051608797</v>
      </c>
      <c r="B2988" s="218" t="s">
        <v>5184</v>
      </c>
      <c r="C2988" s="218" t="s">
        <v>5548</v>
      </c>
      <c r="D2988" s="219">
        <v>1.0</v>
      </c>
      <c r="E2988" s="24"/>
      <c r="G2988" s="220">
        <v>43382.0</v>
      </c>
    </row>
    <row r="2989">
      <c r="A2989" s="217">
        <v>43382.500930497685</v>
      </c>
      <c r="B2989" s="218" t="s">
        <v>5184</v>
      </c>
      <c r="C2989" s="218" t="s">
        <v>5558</v>
      </c>
      <c r="D2989" s="219">
        <v>1.0</v>
      </c>
      <c r="E2989" s="24"/>
      <c r="G2989" s="220">
        <v>43382.0</v>
      </c>
    </row>
    <row r="2990">
      <c r="A2990" s="217">
        <v>43382.50136537037</v>
      </c>
      <c r="B2990" s="218" t="s">
        <v>5184</v>
      </c>
      <c r="C2990" s="218" t="s">
        <v>1467</v>
      </c>
      <c r="D2990" s="219">
        <v>1.0</v>
      </c>
      <c r="E2990" s="24"/>
      <c r="G2990" s="220">
        <v>43382.0</v>
      </c>
    </row>
    <row r="2991">
      <c r="A2991" s="217">
        <v>43382.50173215278</v>
      </c>
      <c r="B2991" s="218" t="s">
        <v>5184</v>
      </c>
      <c r="C2991" s="218" t="s">
        <v>5593</v>
      </c>
      <c r="D2991" s="219">
        <v>1.0</v>
      </c>
      <c r="E2991" s="24"/>
      <c r="G2991" s="220">
        <v>43382.0</v>
      </c>
    </row>
    <row r="2992">
      <c r="A2992" s="217">
        <v>43382.50257109954</v>
      </c>
      <c r="B2992" s="218" t="s">
        <v>5184</v>
      </c>
      <c r="C2992" s="218" t="s">
        <v>1296</v>
      </c>
      <c r="D2992" s="219">
        <v>1.0</v>
      </c>
      <c r="E2992" s="24"/>
      <c r="G2992" s="220">
        <v>43382.0</v>
      </c>
    </row>
    <row r="2993">
      <c r="A2993" s="217">
        <v>43382.503194942125</v>
      </c>
      <c r="B2993" s="218" t="s">
        <v>5184</v>
      </c>
      <c r="C2993" s="218" t="s">
        <v>5568</v>
      </c>
      <c r="D2993" s="219">
        <v>1.0</v>
      </c>
      <c r="E2993" s="24"/>
      <c r="G2993" s="220">
        <v>43382.0</v>
      </c>
    </row>
    <row r="2994">
      <c r="A2994" s="217">
        <v>43383.61032310185</v>
      </c>
      <c r="B2994" s="218" t="s">
        <v>5184</v>
      </c>
      <c r="C2994" s="218" t="s">
        <v>1797</v>
      </c>
      <c r="D2994" s="219">
        <v>1.0</v>
      </c>
      <c r="E2994" s="24"/>
      <c r="G2994" s="220">
        <v>43383.0</v>
      </c>
    </row>
    <row r="2995">
      <c r="A2995" s="217">
        <v>43383.61209447916</v>
      </c>
      <c r="B2995" s="218" t="s">
        <v>5184</v>
      </c>
      <c r="C2995" s="218" t="s">
        <v>1797</v>
      </c>
      <c r="D2995" s="219">
        <v>2.0</v>
      </c>
      <c r="E2995" s="24"/>
      <c r="G2995" s="220">
        <v>43383.0</v>
      </c>
    </row>
    <row r="2996">
      <c r="A2996" s="217">
        <v>43383.612699930556</v>
      </c>
      <c r="B2996" s="218" t="s">
        <v>5184</v>
      </c>
      <c r="C2996" s="218" t="s">
        <v>7206</v>
      </c>
      <c r="D2996" s="219">
        <v>1.0</v>
      </c>
      <c r="E2996" s="24"/>
      <c r="G2996" s="220">
        <v>43383.0</v>
      </c>
    </row>
    <row r="2997">
      <c r="A2997" s="217">
        <v>43383.61354872685</v>
      </c>
      <c r="B2997" s="218" t="s">
        <v>5184</v>
      </c>
      <c r="C2997" s="218" t="s">
        <v>6185</v>
      </c>
      <c r="D2997" s="219">
        <v>2.0</v>
      </c>
      <c r="E2997" s="24"/>
      <c r="G2997" s="220">
        <v>43383.0</v>
      </c>
    </row>
    <row r="2998">
      <c r="A2998" s="217">
        <v>43383.614373969904</v>
      </c>
      <c r="B2998" s="218" t="s">
        <v>5184</v>
      </c>
      <c r="C2998" s="218" t="s">
        <v>1845</v>
      </c>
      <c r="D2998" s="219">
        <v>2.0</v>
      </c>
      <c r="E2998" s="218">
        <v>8190.0</v>
      </c>
      <c r="G2998" s="220">
        <v>43383.0</v>
      </c>
    </row>
    <row r="2999">
      <c r="A2999" s="217">
        <v>43383.61639697917</v>
      </c>
      <c r="B2999" s="218" t="s">
        <v>5184</v>
      </c>
      <c r="C2999" s="218" t="s">
        <v>1850</v>
      </c>
      <c r="D2999" s="219">
        <v>1.0</v>
      </c>
      <c r="E2999" s="24"/>
      <c r="G2999" s="220">
        <v>43383.0</v>
      </c>
    </row>
    <row r="3000">
      <c r="A3000" s="217">
        <v>43383.61761314815</v>
      </c>
      <c r="B3000" s="218" t="s">
        <v>5184</v>
      </c>
      <c r="C3000" s="218" t="s">
        <v>5131</v>
      </c>
      <c r="D3000" s="219">
        <v>2.0</v>
      </c>
      <c r="E3000" s="24"/>
      <c r="G3000" s="220">
        <v>43383.0</v>
      </c>
    </row>
    <row r="3001">
      <c r="A3001" s="217">
        <v>43383.61825829861</v>
      </c>
      <c r="B3001" s="218" t="s">
        <v>5184</v>
      </c>
      <c r="C3001" s="218" t="s">
        <v>5132</v>
      </c>
      <c r="D3001" s="219">
        <v>1.0</v>
      </c>
      <c r="E3001" s="24"/>
      <c r="G3001" s="220">
        <v>43383.0</v>
      </c>
    </row>
    <row r="3002">
      <c r="A3002" s="217">
        <v>43383.62047174769</v>
      </c>
      <c r="B3002" s="218" t="s">
        <v>5184</v>
      </c>
      <c r="C3002" s="218" t="s">
        <v>1863</v>
      </c>
      <c r="D3002" s="219">
        <v>1.0</v>
      </c>
      <c r="E3002" s="24"/>
      <c r="G3002" s="220">
        <v>43383.0</v>
      </c>
    </row>
    <row r="3003">
      <c r="A3003" s="217">
        <v>43383.622850520835</v>
      </c>
      <c r="B3003" s="218" t="s">
        <v>5184</v>
      </c>
      <c r="C3003" s="218" t="s">
        <v>6647</v>
      </c>
      <c r="D3003" s="219">
        <v>1.0</v>
      </c>
      <c r="E3003" s="24"/>
      <c r="G3003" s="220">
        <v>43383.0</v>
      </c>
    </row>
    <row r="3004">
      <c r="A3004" s="217">
        <v>43383.623894641205</v>
      </c>
      <c r="B3004" s="218" t="s">
        <v>5184</v>
      </c>
      <c r="C3004" s="218" t="s">
        <v>5122</v>
      </c>
      <c r="D3004" s="219">
        <v>1.0</v>
      </c>
      <c r="E3004" s="24"/>
      <c r="G3004" s="220">
        <v>43383.0</v>
      </c>
    </row>
    <row r="3005">
      <c r="A3005" s="217">
        <v>43383.62506255787</v>
      </c>
      <c r="B3005" s="218" t="s">
        <v>5184</v>
      </c>
      <c r="C3005" s="218" t="s">
        <v>5122</v>
      </c>
      <c r="D3005" s="219">
        <v>1.0</v>
      </c>
      <c r="E3005" s="24"/>
      <c r="G3005" s="220">
        <v>43383.0</v>
      </c>
    </row>
    <row r="3006">
      <c r="A3006" s="217">
        <v>43383.62601527778</v>
      </c>
      <c r="B3006" s="218" t="s">
        <v>5184</v>
      </c>
      <c r="C3006" s="218" t="s">
        <v>5140</v>
      </c>
      <c r="D3006" s="219">
        <v>1.0</v>
      </c>
      <c r="E3006" s="24"/>
      <c r="G3006" s="220">
        <v>43383.0</v>
      </c>
    </row>
    <row r="3007">
      <c r="A3007" s="217">
        <v>43383.62651472222</v>
      </c>
      <c r="B3007" s="218" t="s">
        <v>5184</v>
      </c>
      <c r="C3007" s="218" t="s">
        <v>6654</v>
      </c>
      <c r="D3007" s="219">
        <v>1.0</v>
      </c>
      <c r="E3007" s="24"/>
      <c r="G3007" s="220">
        <v>43383.0</v>
      </c>
    </row>
    <row r="3008">
      <c r="A3008" s="217">
        <v>43383.62717601852</v>
      </c>
      <c r="B3008" s="218" t="s">
        <v>5184</v>
      </c>
      <c r="C3008" s="218" t="s">
        <v>6186</v>
      </c>
      <c r="D3008" s="219">
        <v>1.0</v>
      </c>
      <c r="E3008" s="24"/>
      <c r="G3008" s="220">
        <v>43383.0</v>
      </c>
    </row>
    <row r="3009">
      <c r="A3009" s="217">
        <v>43383.62805063657</v>
      </c>
      <c r="B3009" s="218" t="s">
        <v>5184</v>
      </c>
      <c r="C3009" s="218" t="s">
        <v>6255</v>
      </c>
      <c r="D3009" s="219">
        <v>1.0</v>
      </c>
      <c r="E3009" s="24"/>
      <c r="G3009" s="220">
        <v>43383.0</v>
      </c>
    </row>
    <row r="3010">
      <c r="A3010" s="217">
        <v>43383.63139204861</v>
      </c>
      <c r="B3010" s="218" t="s">
        <v>5184</v>
      </c>
      <c r="C3010" s="218" t="s">
        <v>6191</v>
      </c>
      <c r="D3010" s="219">
        <v>1.0</v>
      </c>
      <c r="E3010" s="24"/>
      <c r="G3010" s="220">
        <v>43383.0</v>
      </c>
    </row>
    <row r="3011">
      <c r="A3011" s="217">
        <v>43383.63312510417</v>
      </c>
      <c r="B3011" s="218" t="s">
        <v>5184</v>
      </c>
      <c r="C3011" s="218" t="s">
        <v>6661</v>
      </c>
      <c r="D3011" s="219">
        <v>1.0</v>
      </c>
      <c r="E3011" s="24"/>
      <c r="G3011" s="220">
        <v>43383.0</v>
      </c>
    </row>
    <row r="3012">
      <c r="A3012" s="217">
        <v>43383.63375216435</v>
      </c>
      <c r="B3012" s="218" t="s">
        <v>5184</v>
      </c>
      <c r="C3012" s="218" t="s">
        <v>6658</v>
      </c>
      <c r="D3012" s="219">
        <v>1.0</v>
      </c>
      <c r="E3012" s="24"/>
      <c r="G3012" s="220">
        <v>43383.0</v>
      </c>
    </row>
    <row r="3013">
      <c r="A3013" s="217">
        <v>43383.63452202546</v>
      </c>
      <c r="B3013" s="218" t="s">
        <v>5184</v>
      </c>
      <c r="C3013" s="218" t="s">
        <v>6655</v>
      </c>
      <c r="D3013" s="219">
        <v>2.0</v>
      </c>
      <c r="E3013" s="24"/>
      <c r="G3013" s="220">
        <v>43383.0</v>
      </c>
    </row>
    <row r="3014">
      <c r="A3014" s="217">
        <v>43383.63525547454</v>
      </c>
      <c r="B3014" s="218" t="s">
        <v>5184</v>
      </c>
      <c r="C3014" s="218" t="s">
        <v>6388</v>
      </c>
      <c r="D3014" s="219">
        <v>2.0</v>
      </c>
      <c r="E3014" s="24"/>
      <c r="G3014" s="220">
        <v>43383.0</v>
      </c>
    </row>
    <row r="3015">
      <c r="A3015" s="217">
        <v>43383.63604153935</v>
      </c>
      <c r="B3015" s="218" t="s">
        <v>5184</v>
      </c>
      <c r="C3015" s="218" t="s">
        <v>6653</v>
      </c>
      <c r="D3015" s="219">
        <v>1.0</v>
      </c>
      <c r="E3015" s="24"/>
      <c r="G3015" s="220">
        <v>43383.0</v>
      </c>
    </row>
    <row r="3016">
      <c r="A3016" s="217">
        <v>43383.636907962966</v>
      </c>
      <c r="B3016" s="218" t="s">
        <v>5184</v>
      </c>
      <c r="C3016" s="218" t="s">
        <v>5129</v>
      </c>
      <c r="D3016" s="219">
        <v>1.0</v>
      </c>
      <c r="E3016" s="24"/>
      <c r="G3016" s="220">
        <v>43383.0</v>
      </c>
    </row>
    <row r="3017">
      <c r="A3017" s="217">
        <v>43383.637575636574</v>
      </c>
      <c r="B3017" s="218" t="s">
        <v>5184</v>
      </c>
      <c r="C3017" s="218" t="s">
        <v>1882</v>
      </c>
      <c r="D3017" s="219">
        <v>1.0</v>
      </c>
      <c r="E3017" s="24"/>
      <c r="G3017" s="220">
        <v>43383.0</v>
      </c>
    </row>
    <row r="3018">
      <c r="A3018" s="217">
        <v>43383.63871168981</v>
      </c>
      <c r="B3018" s="218" t="s">
        <v>5184</v>
      </c>
      <c r="C3018" s="218" t="s">
        <v>6200</v>
      </c>
      <c r="D3018" s="219">
        <v>1.0</v>
      </c>
      <c r="E3018" s="24"/>
      <c r="G3018" s="220">
        <v>43383.0</v>
      </c>
    </row>
    <row r="3019">
      <c r="A3019" s="217">
        <v>43383.63933909722</v>
      </c>
      <c r="B3019" s="218" t="s">
        <v>5184</v>
      </c>
      <c r="C3019" s="218" t="s">
        <v>5189</v>
      </c>
      <c r="D3019" s="219">
        <v>1.0</v>
      </c>
      <c r="E3019" s="24"/>
      <c r="G3019" s="220">
        <v>43383.0</v>
      </c>
    </row>
    <row r="3020">
      <c r="A3020" s="217">
        <v>43383.63985003472</v>
      </c>
      <c r="B3020" s="218" t="s">
        <v>5184</v>
      </c>
      <c r="C3020" s="218" t="s">
        <v>5169</v>
      </c>
      <c r="D3020" s="219">
        <v>1.0</v>
      </c>
      <c r="E3020" s="24"/>
      <c r="G3020" s="220">
        <v>43383.0</v>
      </c>
    </row>
    <row r="3021">
      <c r="A3021" s="217">
        <v>43383.64046574074</v>
      </c>
      <c r="B3021" s="218" t="s">
        <v>5184</v>
      </c>
      <c r="C3021" s="218" t="s">
        <v>5170</v>
      </c>
      <c r="D3021" s="219">
        <v>1.0</v>
      </c>
      <c r="E3021" s="24"/>
      <c r="G3021" s="220">
        <v>43383.0</v>
      </c>
    </row>
    <row r="3022">
      <c r="A3022" s="217">
        <v>43383.64172930556</v>
      </c>
      <c r="B3022" s="218" t="s">
        <v>5184</v>
      </c>
      <c r="C3022" s="218" t="s">
        <v>7209</v>
      </c>
      <c r="D3022" s="219">
        <v>1.0</v>
      </c>
      <c r="E3022" s="24"/>
      <c r="G3022" s="220">
        <v>43383.0</v>
      </c>
    </row>
    <row r="3023">
      <c r="A3023" s="217">
        <v>43383.64315912037</v>
      </c>
      <c r="B3023" s="218" t="s">
        <v>5184</v>
      </c>
      <c r="C3023" s="218" t="s">
        <v>7213</v>
      </c>
      <c r="D3023" s="219">
        <v>1.0</v>
      </c>
      <c r="E3023" s="24"/>
      <c r="G3023" s="220">
        <v>43383.0</v>
      </c>
    </row>
    <row r="3024">
      <c r="A3024" s="217">
        <v>43383.64368517361</v>
      </c>
      <c r="B3024" s="218" t="s">
        <v>5184</v>
      </c>
      <c r="C3024" s="218" t="s">
        <v>1893</v>
      </c>
      <c r="D3024" s="219">
        <v>1.0</v>
      </c>
      <c r="E3024" s="24"/>
      <c r="G3024" s="220">
        <v>43383.0</v>
      </c>
    </row>
    <row r="3025">
      <c r="A3025" s="217">
        <v>43383.644288599535</v>
      </c>
      <c r="B3025" s="218" t="s">
        <v>5184</v>
      </c>
      <c r="C3025" s="218" t="s">
        <v>5152</v>
      </c>
      <c r="D3025" s="219">
        <v>1.0</v>
      </c>
      <c r="E3025" s="24"/>
      <c r="G3025" s="220">
        <v>43383.0</v>
      </c>
    </row>
    <row r="3026">
      <c r="A3026" s="217">
        <v>43383.645543506944</v>
      </c>
      <c r="B3026" s="218" t="s">
        <v>5184</v>
      </c>
      <c r="C3026" s="218" t="s">
        <v>5421</v>
      </c>
      <c r="D3026" s="219">
        <v>1.0</v>
      </c>
      <c r="E3026" s="24"/>
      <c r="G3026" s="220">
        <v>43383.0</v>
      </c>
    </row>
    <row r="3027">
      <c r="A3027" s="217">
        <v>43383.646340011575</v>
      </c>
      <c r="B3027" s="218" t="s">
        <v>5184</v>
      </c>
      <c r="C3027" s="218" t="s">
        <v>5411</v>
      </c>
      <c r="D3027" s="219">
        <v>1.0</v>
      </c>
      <c r="E3027" s="24"/>
      <c r="G3027" s="220">
        <v>43383.0</v>
      </c>
    </row>
    <row r="3028">
      <c r="A3028" s="217">
        <v>43384.51322219908</v>
      </c>
      <c r="B3028" s="218" t="s">
        <v>5184</v>
      </c>
      <c r="C3028" s="218" t="s">
        <v>5806</v>
      </c>
      <c r="D3028" s="219">
        <v>1.0</v>
      </c>
      <c r="E3028" s="218">
        <v>300.0</v>
      </c>
      <c r="G3028" s="220">
        <v>43378.0</v>
      </c>
    </row>
    <row r="3029">
      <c r="A3029" s="217">
        <v>43384.51587179398</v>
      </c>
      <c r="B3029" s="218" t="s">
        <v>5184</v>
      </c>
      <c r="C3029" s="218" t="s">
        <v>5845</v>
      </c>
      <c r="D3029" s="219">
        <v>1.0</v>
      </c>
      <c r="E3029" s="218">
        <v>500.0</v>
      </c>
      <c r="G3029" s="220">
        <v>43378.0</v>
      </c>
    </row>
    <row r="3030">
      <c r="A3030" s="217">
        <v>43384.516946689815</v>
      </c>
      <c r="B3030" s="218" t="s">
        <v>5184</v>
      </c>
      <c r="C3030" s="218" t="s">
        <v>5806</v>
      </c>
      <c r="D3030" s="219">
        <v>1.0</v>
      </c>
      <c r="E3030" s="218">
        <v>500.0</v>
      </c>
      <c r="G3030" s="220">
        <v>43378.0</v>
      </c>
    </row>
    <row r="3031">
      <c r="A3031" s="217">
        <v>43384.51889565973</v>
      </c>
      <c r="B3031" s="218" t="s">
        <v>5184</v>
      </c>
      <c r="C3031" s="218" t="s">
        <v>5193</v>
      </c>
      <c r="D3031" s="219">
        <v>1.0</v>
      </c>
      <c r="E3031" s="218">
        <v>3990.0</v>
      </c>
      <c r="G3031" s="220">
        <v>43379.0</v>
      </c>
    </row>
    <row r="3032">
      <c r="A3032" s="217">
        <v>43384.52088520833</v>
      </c>
      <c r="B3032" s="218" t="s">
        <v>5184</v>
      </c>
      <c r="C3032" s="218" t="s">
        <v>5782</v>
      </c>
      <c r="D3032" s="219">
        <v>1.0</v>
      </c>
      <c r="E3032" s="218">
        <v>400.0</v>
      </c>
      <c r="G3032" s="220">
        <v>43379.0</v>
      </c>
    </row>
    <row r="3033">
      <c r="A3033" s="217">
        <v>43384.52348467593</v>
      </c>
      <c r="B3033" s="218" t="s">
        <v>5184</v>
      </c>
      <c r="C3033" s="218" t="s">
        <v>5782</v>
      </c>
      <c r="D3033" s="219">
        <v>1.0</v>
      </c>
      <c r="E3033" s="218">
        <v>300.0</v>
      </c>
      <c r="G3033" s="220">
        <v>43379.0</v>
      </c>
    </row>
    <row r="3034">
      <c r="A3034" s="217">
        <v>43384.52419376158</v>
      </c>
      <c r="B3034" s="218" t="s">
        <v>5184</v>
      </c>
      <c r="C3034" s="218" t="s">
        <v>5806</v>
      </c>
      <c r="D3034" s="219">
        <v>1.0</v>
      </c>
      <c r="E3034" s="218">
        <v>300.0</v>
      </c>
      <c r="G3034" s="220">
        <v>43379.0</v>
      </c>
    </row>
    <row r="3035">
      <c r="A3035" s="217">
        <v>43384.52501993056</v>
      </c>
      <c r="B3035" s="218" t="s">
        <v>5184</v>
      </c>
      <c r="C3035" s="218" t="s">
        <v>5806</v>
      </c>
      <c r="D3035" s="219">
        <v>1.0</v>
      </c>
      <c r="E3035" s="218">
        <v>300.0</v>
      </c>
      <c r="G3035" s="220">
        <v>43379.0</v>
      </c>
    </row>
    <row r="3036">
      <c r="A3036" s="217">
        <v>43384.52725236111</v>
      </c>
      <c r="B3036" s="218" t="s">
        <v>5184</v>
      </c>
      <c r="C3036" s="218" t="s">
        <v>5806</v>
      </c>
      <c r="D3036" s="219">
        <v>1.0</v>
      </c>
      <c r="E3036" s="218">
        <v>500.0</v>
      </c>
      <c r="G3036" s="220">
        <v>43379.0</v>
      </c>
    </row>
    <row r="3037">
      <c r="A3037" s="217">
        <v>43384.52836195602</v>
      </c>
      <c r="B3037" s="218" t="s">
        <v>5184</v>
      </c>
      <c r="C3037" s="218" t="s">
        <v>5976</v>
      </c>
      <c r="D3037" s="219">
        <v>1.0</v>
      </c>
      <c r="E3037" s="218">
        <v>400.0</v>
      </c>
      <c r="G3037" s="220">
        <v>43379.0</v>
      </c>
    </row>
    <row r="3038">
      <c r="A3038" s="217">
        <v>43384.53223326389</v>
      </c>
      <c r="B3038" s="218" t="s">
        <v>5184</v>
      </c>
      <c r="C3038" s="218" t="s">
        <v>5782</v>
      </c>
      <c r="D3038" s="219">
        <v>1.0</v>
      </c>
      <c r="E3038" s="218">
        <v>300.0</v>
      </c>
      <c r="G3038" s="220">
        <v>43379.0</v>
      </c>
    </row>
    <row r="3039">
      <c r="A3039" s="217">
        <v>43384.53317447916</v>
      </c>
      <c r="B3039" s="218" t="s">
        <v>5184</v>
      </c>
      <c r="C3039" s="218" t="s">
        <v>5782</v>
      </c>
      <c r="D3039" s="219">
        <v>1.0</v>
      </c>
      <c r="E3039" s="218">
        <v>300.0</v>
      </c>
      <c r="G3039" s="220">
        <v>43379.0</v>
      </c>
    </row>
    <row r="3040">
      <c r="A3040" s="217">
        <v>43384.53446796296</v>
      </c>
      <c r="B3040" s="218" t="s">
        <v>5184</v>
      </c>
      <c r="C3040" s="218" t="s">
        <v>5806</v>
      </c>
      <c r="D3040" s="219">
        <v>1.0</v>
      </c>
      <c r="E3040" s="218">
        <v>500.0</v>
      </c>
      <c r="G3040" s="220">
        <v>43379.0</v>
      </c>
    </row>
    <row r="3041">
      <c r="A3041" s="217">
        <v>43384.53516520833</v>
      </c>
      <c r="B3041" s="218" t="s">
        <v>5184</v>
      </c>
      <c r="C3041" s="218" t="s">
        <v>5806</v>
      </c>
      <c r="D3041" s="219">
        <v>1.0</v>
      </c>
      <c r="E3041" s="218">
        <v>300.0</v>
      </c>
      <c r="G3041" s="220">
        <v>43380.0</v>
      </c>
    </row>
    <row r="3042">
      <c r="A3042" s="217">
        <v>43384.53555803241</v>
      </c>
      <c r="B3042" s="218" t="s">
        <v>5184</v>
      </c>
      <c r="C3042" s="218" t="s">
        <v>5806</v>
      </c>
      <c r="D3042" s="219">
        <v>1.0</v>
      </c>
      <c r="E3042" s="218">
        <v>400.0</v>
      </c>
      <c r="G3042" s="220">
        <v>43380.0</v>
      </c>
    </row>
    <row r="3043">
      <c r="A3043" s="217">
        <v>43384.544264525466</v>
      </c>
      <c r="B3043" s="218" t="s">
        <v>5184</v>
      </c>
      <c r="C3043" s="218" t="s">
        <v>6036</v>
      </c>
      <c r="D3043" s="219">
        <v>1.0</v>
      </c>
      <c r="E3043" s="218">
        <v>400.0</v>
      </c>
      <c r="G3043" s="220">
        <v>43380.0</v>
      </c>
    </row>
    <row r="3044">
      <c r="A3044" s="217">
        <v>43384.54906081018</v>
      </c>
      <c r="B3044" s="218" t="s">
        <v>5184</v>
      </c>
      <c r="C3044" s="218" t="s">
        <v>5806</v>
      </c>
      <c r="D3044" s="219">
        <v>1.0</v>
      </c>
      <c r="E3044" s="218">
        <v>500.0</v>
      </c>
      <c r="G3044" s="220">
        <v>43381.0</v>
      </c>
    </row>
    <row r="3045">
      <c r="A3045" s="217">
        <v>43384.55074693287</v>
      </c>
      <c r="B3045" s="218" t="s">
        <v>5184</v>
      </c>
      <c r="C3045" s="218" t="s">
        <v>5806</v>
      </c>
      <c r="D3045" s="219">
        <v>1.0</v>
      </c>
      <c r="E3045" s="218">
        <v>300.0</v>
      </c>
      <c r="G3045" s="220">
        <v>43381.0</v>
      </c>
    </row>
    <row r="3046">
      <c r="A3046" s="217">
        <v>43384.55148534723</v>
      </c>
      <c r="B3046" s="218" t="s">
        <v>5184</v>
      </c>
      <c r="C3046" s="218" t="s">
        <v>5806</v>
      </c>
      <c r="D3046" s="219">
        <v>1.0</v>
      </c>
      <c r="E3046" s="218">
        <v>500.0</v>
      </c>
      <c r="G3046" s="220">
        <v>43381.0</v>
      </c>
    </row>
    <row r="3047">
      <c r="A3047" s="217">
        <v>43384.55286403935</v>
      </c>
      <c r="B3047" s="218" t="s">
        <v>5184</v>
      </c>
      <c r="C3047" s="218" t="s">
        <v>5806</v>
      </c>
      <c r="D3047" s="219">
        <v>1.0</v>
      </c>
      <c r="E3047" s="218">
        <v>400.0</v>
      </c>
      <c r="G3047" s="220">
        <v>43382.0</v>
      </c>
    </row>
    <row r="3048">
      <c r="A3048" s="217">
        <v>43384.55505664352</v>
      </c>
      <c r="B3048" s="218" t="s">
        <v>5184</v>
      </c>
      <c r="C3048" s="218" t="s">
        <v>5806</v>
      </c>
      <c r="D3048" s="219">
        <v>1.0</v>
      </c>
      <c r="E3048" s="218">
        <v>400.0</v>
      </c>
      <c r="G3048" s="220">
        <v>43382.0</v>
      </c>
    </row>
    <row r="3049">
      <c r="A3049" s="217">
        <v>43384.55690568287</v>
      </c>
      <c r="B3049" s="218" t="s">
        <v>5184</v>
      </c>
      <c r="C3049" s="218" t="s">
        <v>6053</v>
      </c>
      <c r="D3049" s="219">
        <v>2.0</v>
      </c>
      <c r="E3049" s="218">
        <v>300.0</v>
      </c>
      <c r="G3049" s="220">
        <v>43382.0</v>
      </c>
    </row>
    <row r="3050">
      <c r="A3050" s="217">
        <v>43384.55764032407</v>
      </c>
      <c r="B3050" s="218" t="s">
        <v>5184</v>
      </c>
      <c r="C3050" s="218" t="s">
        <v>5806</v>
      </c>
      <c r="D3050" s="219">
        <v>1.0</v>
      </c>
      <c r="E3050" s="218">
        <v>300.0</v>
      </c>
      <c r="G3050" s="220">
        <v>43382.0</v>
      </c>
    </row>
    <row r="3051">
      <c r="A3051" s="217">
        <v>43384.55810275463</v>
      </c>
      <c r="B3051" s="218" t="s">
        <v>5184</v>
      </c>
      <c r="C3051" s="218" t="s">
        <v>6053</v>
      </c>
      <c r="D3051" s="219">
        <v>1.0</v>
      </c>
      <c r="E3051" s="218">
        <v>300.0</v>
      </c>
      <c r="G3051" s="220">
        <v>43383.0</v>
      </c>
    </row>
    <row r="3052">
      <c r="A3052" s="217">
        <v>43384.55871336805</v>
      </c>
      <c r="B3052" s="218" t="s">
        <v>5184</v>
      </c>
      <c r="C3052" s="218" t="s">
        <v>5806</v>
      </c>
      <c r="D3052" s="219">
        <v>1.0</v>
      </c>
      <c r="E3052" s="218">
        <v>300.0</v>
      </c>
      <c r="G3052" s="220">
        <v>43383.0</v>
      </c>
    </row>
    <row r="3053">
      <c r="A3053" s="217">
        <v>43384.56966677083</v>
      </c>
      <c r="B3053" s="218" t="s">
        <v>5184</v>
      </c>
      <c r="C3053" s="218" t="s">
        <v>7227</v>
      </c>
      <c r="D3053" s="219">
        <v>2.0</v>
      </c>
      <c r="E3053" s="24"/>
      <c r="G3053" s="220">
        <v>43384.0</v>
      </c>
    </row>
    <row r="3054">
      <c r="A3054" s="217">
        <v>43384.570124328704</v>
      </c>
      <c r="B3054" s="218" t="s">
        <v>5184</v>
      </c>
      <c r="C3054" s="218" t="s">
        <v>6654</v>
      </c>
      <c r="D3054" s="219">
        <v>1.0</v>
      </c>
      <c r="E3054" s="24"/>
      <c r="G3054" s="220">
        <v>43384.0</v>
      </c>
    </row>
    <row r="3055">
      <c r="A3055" s="217">
        <v>43384.57083585648</v>
      </c>
      <c r="B3055" s="218" t="s">
        <v>5184</v>
      </c>
      <c r="C3055" s="218" t="s">
        <v>6505</v>
      </c>
      <c r="D3055" s="219">
        <v>1.0</v>
      </c>
      <c r="E3055" s="24"/>
      <c r="G3055" s="220">
        <v>43384.0</v>
      </c>
    </row>
    <row r="3056">
      <c r="A3056" s="217">
        <v>43384.57130797453</v>
      </c>
      <c r="B3056" s="218" t="s">
        <v>5184</v>
      </c>
      <c r="C3056" s="218" t="s">
        <v>6509</v>
      </c>
      <c r="D3056" s="219">
        <v>1.0</v>
      </c>
      <c r="E3056" s="24"/>
      <c r="G3056" s="220">
        <v>43384.0</v>
      </c>
    </row>
    <row r="3057">
      <c r="A3057" s="217">
        <v>43384.57212755787</v>
      </c>
      <c r="B3057" s="218" t="s">
        <v>5184</v>
      </c>
      <c r="C3057" s="218" t="s">
        <v>6513</v>
      </c>
      <c r="D3057" s="219">
        <v>1.0</v>
      </c>
      <c r="E3057" s="24"/>
      <c r="G3057" s="220">
        <v>43384.0</v>
      </c>
    </row>
    <row r="3058">
      <c r="A3058" s="217">
        <v>43384.574247083336</v>
      </c>
      <c r="B3058" s="218" t="s">
        <v>5184</v>
      </c>
      <c r="C3058" s="218" t="s">
        <v>6510</v>
      </c>
      <c r="D3058" s="219">
        <v>1.0</v>
      </c>
      <c r="E3058" s="24"/>
      <c r="G3058" s="220">
        <v>43384.0</v>
      </c>
    </row>
    <row r="3059">
      <c r="A3059" s="217">
        <v>43384.575153287034</v>
      </c>
      <c r="B3059" s="218" t="s">
        <v>5184</v>
      </c>
      <c r="C3059" s="218" t="s">
        <v>6500</v>
      </c>
      <c r="D3059" s="219">
        <v>1.0</v>
      </c>
      <c r="E3059" s="24"/>
      <c r="G3059" s="220">
        <v>43384.0</v>
      </c>
    </row>
    <row r="3060">
      <c r="A3060" s="217">
        <v>43384.57584650463</v>
      </c>
      <c r="B3060" s="218" t="s">
        <v>5184</v>
      </c>
      <c r="C3060" s="218" t="s">
        <v>6497</v>
      </c>
      <c r="D3060" s="219">
        <v>1.0</v>
      </c>
      <c r="E3060" s="24"/>
      <c r="G3060" s="220">
        <v>43384.0</v>
      </c>
    </row>
    <row r="3061">
      <c r="A3061" s="217">
        <v>43384.576334467594</v>
      </c>
      <c r="B3061" s="218" t="s">
        <v>5184</v>
      </c>
      <c r="C3061" s="218" t="s">
        <v>1226</v>
      </c>
      <c r="D3061" s="219">
        <v>1.0</v>
      </c>
      <c r="E3061" s="24"/>
      <c r="G3061" s="220">
        <v>43384.0</v>
      </c>
    </row>
    <row r="3062">
      <c r="A3062" s="217">
        <v>43385.692559710646</v>
      </c>
      <c r="B3062" s="218" t="s">
        <v>5184</v>
      </c>
      <c r="C3062" s="218" t="s">
        <v>5112</v>
      </c>
      <c r="D3062" s="219">
        <v>1.0</v>
      </c>
      <c r="E3062" s="24"/>
      <c r="G3062" s="220">
        <v>43385.0</v>
      </c>
    </row>
    <row r="3063">
      <c r="A3063" s="217">
        <v>43385.69315886574</v>
      </c>
      <c r="B3063" s="218" t="s">
        <v>5184</v>
      </c>
      <c r="C3063" s="218" t="s">
        <v>6671</v>
      </c>
      <c r="D3063" s="219">
        <v>2.0</v>
      </c>
      <c r="E3063" s="24"/>
      <c r="G3063" s="220">
        <v>43385.0</v>
      </c>
    </row>
    <row r="3064">
      <c r="A3064" s="217">
        <v>43385.69378270833</v>
      </c>
      <c r="B3064" s="218" t="s">
        <v>5184</v>
      </c>
      <c r="C3064" s="218" t="s">
        <v>5163</v>
      </c>
      <c r="D3064" s="219">
        <v>1.0</v>
      </c>
      <c r="E3064" s="24"/>
      <c r="G3064" s="220">
        <v>43385.0</v>
      </c>
    </row>
    <row r="3065">
      <c r="A3065" s="217">
        <v>43385.694221701386</v>
      </c>
      <c r="B3065" s="218" t="s">
        <v>5184</v>
      </c>
      <c r="C3065" s="218" t="s">
        <v>7230</v>
      </c>
      <c r="D3065" s="219">
        <v>1.0</v>
      </c>
      <c r="E3065" s="24"/>
      <c r="G3065" s="220">
        <v>43385.0</v>
      </c>
    </row>
    <row r="3066">
      <c r="A3066" s="217">
        <v>43385.6946493287</v>
      </c>
      <c r="B3066" s="218" t="s">
        <v>5184</v>
      </c>
      <c r="C3066" s="218" t="s">
        <v>4775</v>
      </c>
      <c r="D3066" s="219">
        <v>1.0</v>
      </c>
      <c r="E3066" s="24"/>
      <c r="G3066" s="220">
        <v>43385.0</v>
      </c>
    </row>
    <row r="3067">
      <c r="A3067" s="217">
        <v>43385.697802546296</v>
      </c>
      <c r="B3067" s="218" t="s">
        <v>5184</v>
      </c>
      <c r="C3067" s="218" t="s">
        <v>6185</v>
      </c>
      <c r="D3067" s="219">
        <v>1.0</v>
      </c>
      <c r="E3067" s="24"/>
      <c r="G3067" s="220">
        <v>43385.0</v>
      </c>
    </row>
    <row r="3068">
      <c r="A3068" s="217">
        <v>43385.69818917824</v>
      </c>
      <c r="B3068" s="218" t="s">
        <v>5184</v>
      </c>
      <c r="C3068" s="218" t="s">
        <v>7231</v>
      </c>
      <c r="D3068" s="219">
        <v>1.0</v>
      </c>
      <c r="E3068" s="24"/>
      <c r="G3068" s="220">
        <v>43385.0</v>
      </c>
    </row>
    <row r="3069">
      <c r="A3069" s="217">
        <v>43385.69856716435</v>
      </c>
      <c r="B3069" s="218" t="s">
        <v>5184</v>
      </c>
      <c r="C3069" s="218" t="s">
        <v>726</v>
      </c>
      <c r="D3069" s="219">
        <v>1.0</v>
      </c>
      <c r="E3069" s="24"/>
      <c r="G3069" s="220">
        <v>43385.0</v>
      </c>
    </row>
    <row r="3070">
      <c r="A3070" s="217">
        <v>43385.69888909722</v>
      </c>
      <c r="B3070" s="218" t="s">
        <v>5184</v>
      </c>
      <c r="C3070" s="218" t="s">
        <v>1407</v>
      </c>
      <c r="D3070" s="219">
        <v>1.0</v>
      </c>
      <c r="E3070" s="24"/>
      <c r="G3070" s="220">
        <v>43385.0</v>
      </c>
    </row>
    <row r="3071">
      <c r="A3071" s="217">
        <v>43385.699297824074</v>
      </c>
      <c r="B3071" s="218" t="s">
        <v>5184</v>
      </c>
      <c r="C3071" s="218" t="s">
        <v>6503</v>
      </c>
      <c r="D3071" s="219">
        <v>1.0</v>
      </c>
      <c r="E3071" s="24"/>
      <c r="G3071" s="220">
        <v>43385.0</v>
      </c>
    </row>
    <row r="3072">
      <c r="A3072" s="217">
        <v>43385.69970603009</v>
      </c>
      <c r="B3072" s="218" t="s">
        <v>5184</v>
      </c>
      <c r="C3072" s="218" t="s">
        <v>1224</v>
      </c>
      <c r="D3072" s="219">
        <v>1.0</v>
      </c>
      <c r="E3072" s="24"/>
      <c r="G3072" s="220">
        <v>43385.0</v>
      </c>
    </row>
    <row r="3073">
      <c r="A3073" s="217">
        <v>43385.702456238425</v>
      </c>
      <c r="B3073" s="218" t="s">
        <v>5184</v>
      </c>
      <c r="C3073" s="218" t="s">
        <v>5782</v>
      </c>
      <c r="D3073" s="219">
        <v>1.0</v>
      </c>
      <c r="E3073" s="218">
        <v>400.0</v>
      </c>
      <c r="G3073" s="220">
        <v>43385.0</v>
      </c>
    </row>
    <row r="3074">
      <c r="A3074" s="217">
        <v>43385.703463425925</v>
      </c>
      <c r="B3074" s="218" t="s">
        <v>5184</v>
      </c>
      <c r="C3074" s="218" t="s">
        <v>5976</v>
      </c>
      <c r="D3074" s="219">
        <v>1.0</v>
      </c>
      <c r="E3074" s="218">
        <v>300.0</v>
      </c>
      <c r="G3074" s="220">
        <v>43384.0</v>
      </c>
    </row>
    <row r="3075">
      <c r="A3075" s="217">
        <v>43385.70403821759</v>
      </c>
      <c r="B3075" s="218" t="s">
        <v>5184</v>
      </c>
      <c r="C3075" s="218" t="s">
        <v>5806</v>
      </c>
      <c r="D3075" s="219">
        <v>1.0</v>
      </c>
      <c r="E3075" s="218">
        <v>300.0</v>
      </c>
      <c r="G3075" s="220">
        <v>43384.0</v>
      </c>
    </row>
    <row r="3076">
      <c r="A3076" s="217">
        <v>43385.70456326389</v>
      </c>
      <c r="B3076" s="218" t="s">
        <v>5184</v>
      </c>
      <c r="C3076" s="218" t="s">
        <v>5782</v>
      </c>
      <c r="D3076" s="219">
        <v>1.0</v>
      </c>
      <c r="E3076" s="218">
        <v>400.0</v>
      </c>
      <c r="G3076" s="220">
        <v>43384.0</v>
      </c>
    </row>
    <row r="3077">
      <c r="A3077" s="217">
        <v>43385.70523813658</v>
      </c>
      <c r="B3077" s="218" t="s">
        <v>5184</v>
      </c>
      <c r="C3077" s="218" t="s">
        <v>6001</v>
      </c>
      <c r="D3077" s="219">
        <v>1.0</v>
      </c>
      <c r="E3077" s="218">
        <v>500.0</v>
      </c>
      <c r="G3077" s="220">
        <v>43385.0</v>
      </c>
    </row>
    <row r="3078">
      <c r="A3078" s="217">
        <v>43385.705801261574</v>
      </c>
      <c r="B3078" s="218" t="s">
        <v>5184</v>
      </c>
      <c r="C3078" s="218" t="s">
        <v>5806</v>
      </c>
      <c r="D3078" s="219">
        <v>1.0</v>
      </c>
      <c r="E3078" s="218">
        <v>300.0</v>
      </c>
      <c r="G3078" s="220">
        <v>43385.0</v>
      </c>
    </row>
    <row r="3079">
      <c r="A3079" s="217">
        <v>43385.70633936343</v>
      </c>
      <c r="B3079" s="218" t="s">
        <v>5184</v>
      </c>
      <c r="C3079" s="218" t="s">
        <v>5806</v>
      </c>
      <c r="D3079" s="219">
        <v>1.0</v>
      </c>
      <c r="E3079" s="218">
        <v>300.0</v>
      </c>
      <c r="G3079" s="220">
        <v>43385.0</v>
      </c>
    </row>
    <row r="3080">
      <c r="A3080" s="217">
        <v>43385.707266446756</v>
      </c>
      <c r="B3080" s="218" t="s">
        <v>5184</v>
      </c>
      <c r="C3080" s="218" t="s">
        <v>5806</v>
      </c>
      <c r="D3080" s="219">
        <v>1.0</v>
      </c>
      <c r="E3080" s="218">
        <v>300.0</v>
      </c>
      <c r="G3080" s="220">
        <v>43385.0</v>
      </c>
    </row>
    <row r="3081">
      <c r="A3081" s="217">
        <v>43386.63797327546</v>
      </c>
      <c r="B3081" s="218" t="s">
        <v>5184</v>
      </c>
      <c r="C3081" s="218" t="s">
        <v>5804</v>
      </c>
      <c r="D3081" s="219">
        <v>1.0</v>
      </c>
      <c r="E3081" s="218">
        <v>300.0</v>
      </c>
      <c r="G3081" s="220">
        <v>43386.0</v>
      </c>
    </row>
    <row r="3082">
      <c r="A3082" s="217">
        <v>43386.642530729165</v>
      </c>
      <c r="B3082" s="218" t="s">
        <v>5184</v>
      </c>
      <c r="C3082" s="218" t="s">
        <v>5782</v>
      </c>
      <c r="D3082" s="219">
        <v>1.0</v>
      </c>
      <c r="E3082" s="218">
        <v>400.0</v>
      </c>
      <c r="G3082" s="220">
        <v>43386.0</v>
      </c>
    </row>
    <row r="3083">
      <c r="A3083" s="217">
        <v>43386.64450232639</v>
      </c>
      <c r="B3083" s="218" t="s">
        <v>5092</v>
      </c>
      <c r="C3083" s="218" t="s">
        <v>5199</v>
      </c>
      <c r="D3083" s="219">
        <v>1.0</v>
      </c>
      <c r="E3083" s="218">
        <v>5090.0</v>
      </c>
      <c r="G3083" s="220">
        <v>43386.0</v>
      </c>
    </row>
    <row r="3084">
      <c r="A3084" s="217">
        <v>43386.64570893519</v>
      </c>
      <c r="B3084" s="218" t="s">
        <v>5092</v>
      </c>
      <c r="C3084" s="218" t="s">
        <v>7241</v>
      </c>
      <c r="D3084" s="219">
        <v>1.0</v>
      </c>
      <c r="E3084" s="218">
        <v>5090.0</v>
      </c>
      <c r="G3084" s="220">
        <v>43386.0</v>
      </c>
    </row>
    <row r="3085">
      <c r="A3085" s="217">
        <v>43386.722452118054</v>
      </c>
      <c r="B3085" s="218" t="s">
        <v>5184</v>
      </c>
      <c r="C3085" s="218" t="s">
        <v>2193</v>
      </c>
      <c r="D3085" s="219">
        <v>1.0</v>
      </c>
      <c r="E3085" s="218">
        <v>5990.0</v>
      </c>
      <c r="G3085" s="220">
        <v>43386.0</v>
      </c>
    </row>
    <row r="3086">
      <c r="A3086" s="217">
        <v>43386.72400744213</v>
      </c>
      <c r="B3086" s="218" t="s">
        <v>5184</v>
      </c>
      <c r="C3086" s="218" t="s">
        <v>6589</v>
      </c>
      <c r="D3086" s="219">
        <v>1.0</v>
      </c>
      <c r="E3086" s="218">
        <v>9500.0</v>
      </c>
      <c r="G3086" s="220">
        <v>43386.0</v>
      </c>
    </row>
    <row r="3087">
      <c r="A3087" s="217">
        <v>43386.724885625</v>
      </c>
      <c r="B3087" s="218" t="s">
        <v>5184</v>
      </c>
      <c r="C3087" s="218" t="s">
        <v>6501</v>
      </c>
      <c r="D3087" s="219">
        <v>1.0</v>
      </c>
      <c r="E3087" s="218">
        <v>11500.0</v>
      </c>
      <c r="G3087" s="220">
        <v>43386.0</v>
      </c>
    </row>
    <row r="3088">
      <c r="A3088" s="217">
        <v>43386.763808449075</v>
      </c>
      <c r="B3088" s="218" t="s">
        <v>5184</v>
      </c>
      <c r="C3088" s="218" t="s">
        <v>1863</v>
      </c>
      <c r="D3088" s="219">
        <v>1.0</v>
      </c>
      <c r="E3088" s="218">
        <v>6990.0</v>
      </c>
      <c r="G3088" s="220">
        <v>43386.0</v>
      </c>
    </row>
    <row r="3089">
      <c r="A3089" s="217">
        <v>43386.76486983796</v>
      </c>
      <c r="B3089" s="218" t="s">
        <v>5184</v>
      </c>
      <c r="C3089" s="218" t="s">
        <v>5130</v>
      </c>
      <c r="D3089" s="219">
        <v>1.0</v>
      </c>
      <c r="E3089" s="218">
        <v>6990.0</v>
      </c>
      <c r="G3089" s="220">
        <v>43386.0</v>
      </c>
    </row>
    <row r="3090">
      <c r="A3090" s="217">
        <v>43386.765709224535</v>
      </c>
      <c r="B3090" s="218" t="s">
        <v>5184</v>
      </c>
      <c r="C3090" s="218" t="s">
        <v>6202</v>
      </c>
      <c r="D3090" s="219">
        <v>1.0</v>
      </c>
      <c r="E3090" s="218">
        <v>7290.0</v>
      </c>
      <c r="G3090" s="220">
        <v>43386.0</v>
      </c>
    </row>
    <row r="3091">
      <c r="A3091" s="217">
        <v>43386.78163175926</v>
      </c>
      <c r="B3091" s="218" t="s">
        <v>5184</v>
      </c>
      <c r="C3091" s="218" t="s">
        <v>7242</v>
      </c>
      <c r="D3091" s="219">
        <v>1.0</v>
      </c>
      <c r="E3091" s="218">
        <v>5990.0</v>
      </c>
      <c r="G3091" s="220">
        <v>43386.0</v>
      </c>
    </row>
    <row r="3092">
      <c r="A3092" s="217">
        <v>43390.58602833333</v>
      </c>
      <c r="B3092" s="218" t="s">
        <v>5184</v>
      </c>
      <c r="C3092" s="218" t="s">
        <v>5806</v>
      </c>
      <c r="D3092" s="219">
        <v>1.0</v>
      </c>
      <c r="E3092" s="218">
        <v>500.0</v>
      </c>
      <c r="G3092" s="220">
        <v>43387.0</v>
      </c>
    </row>
    <row r="3093">
      <c r="A3093" s="217">
        <v>43390.58667013889</v>
      </c>
      <c r="B3093" s="218" t="s">
        <v>5184</v>
      </c>
      <c r="C3093" s="218" t="s">
        <v>5806</v>
      </c>
      <c r="D3093" s="219">
        <v>1.0</v>
      </c>
      <c r="E3093" s="218">
        <v>300.0</v>
      </c>
      <c r="G3093" s="220">
        <v>43387.0</v>
      </c>
    </row>
    <row r="3094">
      <c r="A3094" s="217">
        <v>43390.58785711805</v>
      </c>
      <c r="B3094" s="218" t="s">
        <v>5184</v>
      </c>
      <c r="C3094" s="218" t="s">
        <v>6133</v>
      </c>
      <c r="D3094" s="219">
        <v>1.0</v>
      </c>
      <c r="E3094" s="218">
        <v>1600.0</v>
      </c>
      <c r="G3094" s="220">
        <v>43388.0</v>
      </c>
    </row>
    <row r="3095">
      <c r="A3095" s="217">
        <v>43390.58876237269</v>
      </c>
      <c r="B3095" s="218" t="s">
        <v>5184</v>
      </c>
      <c r="C3095" s="218" t="s">
        <v>5806</v>
      </c>
      <c r="D3095" s="219">
        <v>1.0</v>
      </c>
      <c r="E3095" s="218">
        <v>500.0</v>
      </c>
      <c r="G3095" s="220">
        <v>43388.0</v>
      </c>
    </row>
    <row r="3096">
      <c r="A3096" s="217">
        <v>43390.5894003588</v>
      </c>
      <c r="B3096" s="218" t="s">
        <v>5184</v>
      </c>
      <c r="C3096" s="218" t="s">
        <v>6036</v>
      </c>
      <c r="D3096" s="214"/>
      <c r="E3096" s="218">
        <v>400.0</v>
      </c>
      <c r="G3096" s="220">
        <v>43388.0</v>
      </c>
    </row>
    <row r="3097">
      <c r="A3097" s="217">
        <v>43390.59502813657</v>
      </c>
      <c r="B3097" s="218" t="s">
        <v>5184</v>
      </c>
      <c r="C3097" s="218" t="s">
        <v>5804</v>
      </c>
      <c r="D3097" s="219">
        <v>1.0</v>
      </c>
      <c r="E3097" s="218">
        <v>300.0</v>
      </c>
      <c r="G3097" s="220">
        <v>43388.0</v>
      </c>
    </row>
    <row r="3098">
      <c r="A3098" s="217">
        <v>43390.59576733796</v>
      </c>
      <c r="B3098" s="218" t="s">
        <v>5184</v>
      </c>
      <c r="C3098" s="218" t="s">
        <v>6038</v>
      </c>
      <c r="D3098" s="219">
        <v>1.0</v>
      </c>
      <c r="E3098" s="218">
        <v>400.0</v>
      </c>
      <c r="G3098" s="220">
        <v>43388.0</v>
      </c>
    </row>
    <row r="3099">
      <c r="A3099" s="217">
        <v>43390.59698177083</v>
      </c>
      <c r="B3099" s="218" t="s">
        <v>5184</v>
      </c>
      <c r="C3099" s="218" t="s">
        <v>6038</v>
      </c>
      <c r="D3099" s="219">
        <v>1.0</v>
      </c>
      <c r="E3099" s="218">
        <v>400.0</v>
      </c>
      <c r="G3099" s="220">
        <v>43388.0</v>
      </c>
    </row>
    <row r="3100">
      <c r="A3100" s="217">
        <v>43390.59767695602</v>
      </c>
      <c r="B3100" s="218" t="s">
        <v>5184</v>
      </c>
      <c r="C3100" s="218" t="s">
        <v>5804</v>
      </c>
      <c r="D3100" s="219">
        <v>1.0</v>
      </c>
      <c r="E3100" s="218">
        <v>300.0</v>
      </c>
      <c r="G3100" s="220">
        <v>43388.0</v>
      </c>
    </row>
    <row r="3101">
      <c r="A3101" s="217">
        <v>43390.59908042824</v>
      </c>
      <c r="B3101" s="218" t="s">
        <v>5184</v>
      </c>
      <c r="C3101" s="218" t="s">
        <v>4543</v>
      </c>
      <c r="D3101" s="219">
        <v>1.0</v>
      </c>
      <c r="E3101" s="218">
        <v>2150.0</v>
      </c>
      <c r="G3101" s="220">
        <v>43390.0</v>
      </c>
    </row>
    <row r="3102">
      <c r="A3102" s="217">
        <v>43392.533356493055</v>
      </c>
      <c r="B3102" s="218" t="s">
        <v>5184</v>
      </c>
      <c r="C3102" s="218" t="s">
        <v>5220</v>
      </c>
      <c r="D3102" s="219">
        <v>1.0</v>
      </c>
      <c r="E3102" s="218">
        <v>16500.0</v>
      </c>
      <c r="G3102" s="220">
        <v>43390.0</v>
      </c>
    </row>
    <row r="3103">
      <c r="A3103" s="217">
        <v>43392.53474369213</v>
      </c>
      <c r="B3103" s="218" t="s">
        <v>5184</v>
      </c>
      <c r="C3103" s="218" t="s">
        <v>6188</v>
      </c>
      <c r="D3103" s="219">
        <v>1.0</v>
      </c>
      <c r="E3103" s="218">
        <v>6490.0</v>
      </c>
      <c r="G3103" s="220">
        <v>43390.0</v>
      </c>
    </row>
    <row r="3104">
      <c r="A3104" s="217">
        <v>43392.54501818287</v>
      </c>
      <c r="B3104" s="218" t="s">
        <v>5184</v>
      </c>
      <c r="C3104" s="218" t="s">
        <v>7248</v>
      </c>
      <c r="D3104" s="219">
        <v>1.0</v>
      </c>
      <c r="E3104" s="218">
        <v>6990.0</v>
      </c>
      <c r="G3104" s="220">
        <v>43387.0</v>
      </c>
    </row>
    <row r="3105">
      <c r="A3105" s="217">
        <v>43392.54610790509</v>
      </c>
      <c r="B3105" s="218" t="s">
        <v>5184</v>
      </c>
      <c r="C3105" s="218" t="s">
        <v>5484</v>
      </c>
      <c r="D3105" s="219">
        <v>1.0</v>
      </c>
      <c r="E3105" s="218">
        <v>3990.0</v>
      </c>
      <c r="G3105" s="220">
        <v>43387.0</v>
      </c>
    </row>
    <row r="3106">
      <c r="A3106" s="217">
        <v>43392.54689866898</v>
      </c>
      <c r="B3106" s="218" t="s">
        <v>5184</v>
      </c>
      <c r="C3106" s="218" t="s">
        <v>5303</v>
      </c>
      <c r="D3106" s="219">
        <v>1.0</v>
      </c>
      <c r="E3106" s="218">
        <v>6725.0</v>
      </c>
      <c r="G3106" s="220">
        <v>43387.0</v>
      </c>
    </row>
    <row r="3107">
      <c r="A3107" s="217">
        <v>43392.550123506946</v>
      </c>
      <c r="B3107" s="218" t="s">
        <v>5184</v>
      </c>
      <c r="C3107" s="218" t="s">
        <v>6283</v>
      </c>
      <c r="D3107" s="219">
        <v>1.0</v>
      </c>
      <c r="E3107" s="218">
        <v>2150.0</v>
      </c>
      <c r="G3107" s="220">
        <v>43392.0</v>
      </c>
    </row>
    <row r="3108">
      <c r="A3108" s="217">
        <v>43392.76775305555</v>
      </c>
      <c r="B3108" s="218" t="s">
        <v>5184</v>
      </c>
      <c r="C3108" s="218" t="s">
        <v>5782</v>
      </c>
      <c r="D3108" s="219">
        <v>1.0</v>
      </c>
      <c r="E3108" s="218">
        <v>400.0</v>
      </c>
      <c r="G3108" s="220">
        <v>43392.0</v>
      </c>
    </row>
    <row r="3109">
      <c r="A3109" s="217">
        <v>43393.549082673606</v>
      </c>
      <c r="B3109" s="218" t="s">
        <v>5092</v>
      </c>
      <c r="C3109" s="218" t="s">
        <v>1940</v>
      </c>
      <c r="D3109" s="219">
        <v>1.0</v>
      </c>
      <c r="E3109" s="218">
        <v>7390.0</v>
      </c>
      <c r="G3109" s="220">
        <v>43393.0</v>
      </c>
    </row>
    <row r="3110">
      <c r="A3110" s="217">
        <v>43393.54965901621</v>
      </c>
      <c r="B3110" s="218" t="s">
        <v>5092</v>
      </c>
      <c r="C3110" s="218" t="s">
        <v>1941</v>
      </c>
      <c r="D3110" s="219">
        <v>1.0</v>
      </c>
      <c r="E3110" s="218">
        <v>7390.0</v>
      </c>
      <c r="G3110" s="220">
        <v>43393.0</v>
      </c>
    </row>
    <row r="3111">
      <c r="A3111" s="217">
        <v>43393.55017516203</v>
      </c>
      <c r="B3111" s="218" t="s">
        <v>5092</v>
      </c>
      <c r="C3111" s="218" t="s">
        <v>1950</v>
      </c>
      <c r="D3111" s="219">
        <v>1.0</v>
      </c>
      <c r="E3111" s="218">
        <v>7890.0</v>
      </c>
      <c r="G3111" s="220">
        <v>43393.0</v>
      </c>
    </row>
    <row r="3112">
      <c r="A3112" s="217">
        <v>43393.55070385417</v>
      </c>
      <c r="B3112" s="218" t="s">
        <v>5092</v>
      </c>
      <c r="C3112" s="218" t="s">
        <v>7253</v>
      </c>
      <c r="D3112" s="219">
        <v>1.0</v>
      </c>
      <c r="E3112" s="218">
        <v>5090.0</v>
      </c>
      <c r="G3112" s="220">
        <v>43393.0</v>
      </c>
    </row>
    <row r="3113">
      <c r="A3113" s="217">
        <v>43393.55129859954</v>
      </c>
      <c r="B3113" s="218" t="s">
        <v>5092</v>
      </c>
      <c r="C3113" s="218" t="s">
        <v>7254</v>
      </c>
      <c r="D3113" s="219">
        <v>1.0</v>
      </c>
      <c r="E3113" s="218">
        <v>7390.0</v>
      </c>
      <c r="G3113" s="220">
        <v>43393.0</v>
      </c>
    </row>
    <row r="3114">
      <c r="A3114" s="217">
        <v>43393.55194892361</v>
      </c>
      <c r="B3114" s="218" t="s">
        <v>5092</v>
      </c>
      <c r="C3114" s="218" t="s">
        <v>1899</v>
      </c>
      <c r="D3114" s="219">
        <v>1.0</v>
      </c>
      <c r="E3114" s="218">
        <v>7890.0</v>
      </c>
      <c r="G3114" s="220">
        <v>43393.0</v>
      </c>
    </row>
    <row r="3115">
      <c r="A3115" s="217">
        <v>43393.55249195602</v>
      </c>
      <c r="B3115" s="218" t="s">
        <v>5092</v>
      </c>
      <c r="C3115" s="218" t="s">
        <v>7255</v>
      </c>
      <c r="D3115" s="219">
        <v>1.0</v>
      </c>
      <c r="E3115" s="218">
        <v>6390.0</v>
      </c>
      <c r="G3115" s="220">
        <v>43393.0</v>
      </c>
    </row>
    <row r="3116">
      <c r="A3116" s="217">
        <v>43393.553182488424</v>
      </c>
      <c r="B3116" s="218" t="s">
        <v>5092</v>
      </c>
      <c r="C3116" s="218" t="s">
        <v>1901</v>
      </c>
      <c r="D3116" s="219">
        <v>1.0</v>
      </c>
      <c r="E3116" s="218">
        <v>7390.0</v>
      </c>
      <c r="G3116" s="220">
        <v>43393.0</v>
      </c>
    </row>
    <row r="3117">
      <c r="A3117" s="217">
        <v>43393.668228449074</v>
      </c>
      <c r="B3117" s="218" t="s">
        <v>5092</v>
      </c>
      <c r="C3117" s="218" t="s">
        <v>5818</v>
      </c>
      <c r="D3117" s="219">
        <v>67.0</v>
      </c>
      <c r="E3117" s="218">
        <v>300.0</v>
      </c>
      <c r="G3117" s="220">
        <v>43393.0</v>
      </c>
    </row>
    <row r="3118">
      <c r="A3118" s="217">
        <v>43393.67415658565</v>
      </c>
      <c r="B3118" s="218" t="s">
        <v>5092</v>
      </c>
      <c r="C3118" s="218" t="s">
        <v>5848</v>
      </c>
      <c r="D3118" s="219">
        <v>60.0</v>
      </c>
      <c r="E3118" s="218">
        <v>1000.0</v>
      </c>
      <c r="G3118" s="220">
        <v>43393.0</v>
      </c>
    </row>
    <row r="3119">
      <c r="A3119" s="217">
        <v>43393.677517013886</v>
      </c>
      <c r="B3119" s="218" t="s">
        <v>5092</v>
      </c>
      <c r="C3119" s="218" t="s">
        <v>7256</v>
      </c>
      <c r="D3119" s="219">
        <v>8.0</v>
      </c>
      <c r="E3119" s="218">
        <v>400.0</v>
      </c>
      <c r="G3119" s="220">
        <v>43393.0</v>
      </c>
    </row>
    <row r="3120">
      <c r="A3120" s="217">
        <v>43393.71771164352</v>
      </c>
      <c r="B3120" s="218" t="s">
        <v>5092</v>
      </c>
      <c r="C3120" s="218" t="s">
        <v>5806</v>
      </c>
      <c r="D3120" s="219">
        <v>169.0</v>
      </c>
      <c r="E3120" s="218">
        <v>300.0</v>
      </c>
      <c r="G3120" s="220">
        <v>43393.0</v>
      </c>
    </row>
    <row r="3121">
      <c r="A3121" s="217">
        <v>43393.71814296296</v>
      </c>
      <c r="B3121" s="218" t="s">
        <v>5092</v>
      </c>
      <c r="C3121" s="218" t="s">
        <v>5789</v>
      </c>
      <c r="D3121" s="219">
        <v>80.0</v>
      </c>
      <c r="E3121" s="218">
        <v>400.0</v>
      </c>
      <c r="G3121" s="220">
        <v>43393.0</v>
      </c>
    </row>
    <row r="3122">
      <c r="A3122" s="217">
        <v>43393.72051915509</v>
      </c>
      <c r="B3122" s="218" t="s">
        <v>5184</v>
      </c>
      <c r="C3122" s="218" t="s">
        <v>5789</v>
      </c>
      <c r="D3122" s="219">
        <v>1.0</v>
      </c>
      <c r="E3122" s="218">
        <v>400.0</v>
      </c>
      <c r="G3122" s="220">
        <v>43389.0</v>
      </c>
    </row>
    <row r="3123">
      <c r="A3123" s="217">
        <v>43393.721185104165</v>
      </c>
      <c r="B3123" s="218" t="s">
        <v>5184</v>
      </c>
      <c r="C3123" s="218" t="s">
        <v>5976</v>
      </c>
      <c r="D3123" s="219">
        <v>1.0</v>
      </c>
      <c r="E3123" s="218">
        <v>400.0</v>
      </c>
      <c r="G3123" s="220">
        <v>43389.0</v>
      </c>
    </row>
    <row r="3124">
      <c r="A3124" s="217">
        <v>43393.72170733796</v>
      </c>
      <c r="B3124" s="218" t="s">
        <v>5184</v>
      </c>
      <c r="C3124" s="218" t="s">
        <v>281</v>
      </c>
      <c r="D3124" s="219">
        <v>1.0</v>
      </c>
      <c r="E3124" s="218">
        <v>400.0</v>
      </c>
      <c r="G3124" s="220">
        <v>43389.0</v>
      </c>
    </row>
    <row r="3125">
      <c r="A3125" s="217">
        <v>43393.72222859954</v>
      </c>
      <c r="B3125" s="218" t="s">
        <v>5184</v>
      </c>
      <c r="C3125" s="218" t="s">
        <v>5818</v>
      </c>
      <c r="D3125" s="219">
        <v>1.0</v>
      </c>
      <c r="E3125" s="218">
        <v>300.0</v>
      </c>
      <c r="G3125" s="220">
        <v>43390.0</v>
      </c>
    </row>
    <row r="3126">
      <c r="A3126" s="217">
        <v>43393.7226442824</v>
      </c>
      <c r="B3126" s="218" t="s">
        <v>5184</v>
      </c>
      <c r="C3126" s="218" t="s">
        <v>5848</v>
      </c>
      <c r="D3126" s="219">
        <v>1.0</v>
      </c>
      <c r="E3126" s="218">
        <v>1000.0</v>
      </c>
      <c r="G3126" s="220">
        <v>43390.0</v>
      </c>
    </row>
    <row r="3127">
      <c r="A3127" s="217">
        <v>43393.72316546296</v>
      </c>
      <c r="B3127" s="218" t="s">
        <v>5184</v>
      </c>
      <c r="C3127" s="218" t="s">
        <v>5789</v>
      </c>
      <c r="D3127" s="219">
        <v>1.0</v>
      </c>
      <c r="E3127" s="218">
        <v>400.0</v>
      </c>
      <c r="G3127" s="220">
        <v>43390.0</v>
      </c>
    </row>
    <row r="3128">
      <c r="A3128" s="217">
        <v>43393.723813969904</v>
      </c>
      <c r="B3128" s="218" t="s">
        <v>5184</v>
      </c>
      <c r="C3128" s="218" t="s">
        <v>5789</v>
      </c>
      <c r="D3128" s="219">
        <v>1.0</v>
      </c>
      <c r="E3128" s="218">
        <v>400.0</v>
      </c>
      <c r="G3128" s="220">
        <v>43391.0</v>
      </c>
    </row>
    <row r="3129">
      <c r="A3129" s="217">
        <v>43393.72437099537</v>
      </c>
      <c r="B3129" s="218" t="s">
        <v>5184</v>
      </c>
      <c r="C3129" s="218" t="s">
        <v>5789</v>
      </c>
      <c r="D3129" s="219">
        <v>1.0</v>
      </c>
      <c r="E3129" s="218">
        <v>500.0</v>
      </c>
      <c r="G3129" s="220">
        <v>43391.0</v>
      </c>
    </row>
    <row r="3130">
      <c r="A3130" s="217">
        <v>43396.43057034722</v>
      </c>
      <c r="B3130" s="218" t="s">
        <v>5184</v>
      </c>
      <c r="C3130" s="218" t="s">
        <v>5782</v>
      </c>
      <c r="D3130" s="219">
        <v>1.0</v>
      </c>
      <c r="E3130" s="218">
        <v>400.0</v>
      </c>
      <c r="G3130" s="220">
        <v>43392.0</v>
      </c>
    </row>
    <row r="3131">
      <c r="A3131" s="217">
        <v>43396.43113357639</v>
      </c>
      <c r="B3131" s="218" t="s">
        <v>5184</v>
      </c>
      <c r="C3131" s="218" t="s">
        <v>5806</v>
      </c>
      <c r="D3131" s="219">
        <v>1.0</v>
      </c>
      <c r="E3131" s="218">
        <v>300.0</v>
      </c>
      <c r="G3131" s="220">
        <v>43392.0</v>
      </c>
    </row>
    <row r="3132">
      <c r="A3132" s="217">
        <v>43396.43186758102</v>
      </c>
      <c r="B3132" s="218" t="s">
        <v>5184</v>
      </c>
      <c r="C3132" s="218" t="s">
        <v>5782</v>
      </c>
      <c r="D3132" s="219">
        <v>1.0</v>
      </c>
      <c r="E3132" s="218">
        <v>400.0</v>
      </c>
      <c r="G3132" s="220">
        <v>43392.0</v>
      </c>
    </row>
    <row r="3133">
      <c r="A3133" s="217">
        <v>43396.43579466435</v>
      </c>
      <c r="B3133" s="218" t="s">
        <v>5184</v>
      </c>
      <c r="C3133" s="218" t="s">
        <v>7084</v>
      </c>
      <c r="D3133" s="219">
        <v>1.0</v>
      </c>
      <c r="E3133" s="218">
        <v>500.0</v>
      </c>
      <c r="G3133" s="220">
        <v>43392.0</v>
      </c>
    </row>
    <row r="3134">
      <c r="A3134" s="217">
        <v>43396.443969618056</v>
      </c>
      <c r="B3134" s="218" t="s">
        <v>5184</v>
      </c>
      <c r="C3134" s="218" t="s">
        <v>5818</v>
      </c>
      <c r="D3134" s="219">
        <v>1.0</v>
      </c>
      <c r="E3134" s="218">
        <v>300.0</v>
      </c>
      <c r="G3134" s="220">
        <v>43393.0</v>
      </c>
    </row>
    <row r="3135">
      <c r="A3135" s="217">
        <v>43396.448493194446</v>
      </c>
      <c r="B3135" s="218" t="s">
        <v>5184</v>
      </c>
      <c r="C3135" s="218" t="s">
        <v>5782</v>
      </c>
      <c r="D3135" s="219">
        <v>1.0</v>
      </c>
      <c r="E3135" s="218">
        <v>400.0</v>
      </c>
      <c r="G3135" s="220">
        <v>43393.0</v>
      </c>
    </row>
    <row r="3136">
      <c r="A3136" s="217">
        <v>43396.44928313658</v>
      </c>
      <c r="B3136" s="218" t="s">
        <v>5184</v>
      </c>
      <c r="C3136" s="218" t="s">
        <v>5806</v>
      </c>
      <c r="D3136" s="219">
        <v>1.0</v>
      </c>
      <c r="E3136" s="218">
        <v>300.0</v>
      </c>
      <c r="G3136" s="220">
        <v>43394.0</v>
      </c>
    </row>
    <row r="3137">
      <c r="A3137" s="217">
        <v>43396.46884368056</v>
      </c>
      <c r="B3137" s="218" t="s">
        <v>5184</v>
      </c>
      <c r="C3137" s="218" t="s">
        <v>6053</v>
      </c>
      <c r="D3137" s="219">
        <v>1.0</v>
      </c>
      <c r="E3137" s="218">
        <v>300.0</v>
      </c>
      <c r="G3137" s="220">
        <v>43394.0</v>
      </c>
    </row>
    <row r="3138">
      <c r="A3138" s="217">
        <v>43396.469565555555</v>
      </c>
      <c r="B3138" s="218" t="s">
        <v>5184</v>
      </c>
      <c r="C3138" s="218" t="s">
        <v>5789</v>
      </c>
      <c r="D3138" s="219">
        <v>1.0</v>
      </c>
      <c r="E3138" s="218">
        <v>400.0</v>
      </c>
      <c r="G3138" s="220">
        <v>43394.0</v>
      </c>
    </row>
    <row r="3139">
      <c r="A3139" s="217">
        <v>43396.47087023148</v>
      </c>
      <c r="B3139" s="218" t="s">
        <v>5184</v>
      </c>
      <c r="C3139" s="218" t="s">
        <v>5818</v>
      </c>
      <c r="D3139" s="219">
        <v>1.0</v>
      </c>
      <c r="E3139" s="218">
        <v>300.0</v>
      </c>
      <c r="G3139" s="220">
        <v>43394.0</v>
      </c>
    </row>
    <row r="3140">
      <c r="A3140" s="217">
        <v>43396.471539502316</v>
      </c>
      <c r="B3140" s="218" t="s">
        <v>5184</v>
      </c>
      <c r="C3140" s="218" t="s">
        <v>5789</v>
      </c>
      <c r="D3140" s="219">
        <v>1.0</v>
      </c>
      <c r="E3140" s="218">
        <v>400.0</v>
      </c>
      <c r="G3140" s="220">
        <v>43394.0</v>
      </c>
    </row>
    <row r="3141">
      <c r="A3141" s="217">
        <v>43396.47195961805</v>
      </c>
      <c r="B3141" s="218" t="s">
        <v>5184</v>
      </c>
      <c r="C3141" s="218" t="s">
        <v>6053</v>
      </c>
      <c r="D3141" s="219">
        <v>1.0</v>
      </c>
      <c r="E3141" s="218">
        <v>300.0</v>
      </c>
      <c r="G3141" s="220">
        <v>43394.0</v>
      </c>
    </row>
    <row r="3142">
      <c r="A3142" s="217">
        <v>43396.47328445602</v>
      </c>
      <c r="B3142" s="218" t="s">
        <v>5184</v>
      </c>
      <c r="C3142" s="218" t="s">
        <v>5782</v>
      </c>
      <c r="D3142" s="219">
        <v>1.0</v>
      </c>
      <c r="E3142" s="218">
        <v>400.0</v>
      </c>
      <c r="G3142" s="220">
        <v>43394.0</v>
      </c>
    </row>
    <row r="3143">
      <c r="A3143" s="217">
        <v>43396.477099317126</v>
      </c>
      <c r="B3143" s="218" t="s">
        <v>5184</v>
      </c>
      <c r="C3143" s="218" t="s">
        <v>5789</v>
      </c>
      <c r="D3143" s="219">
        <v>1.0</v>
      </c>
      <c r="E3143" s="218">
        <v>400.0</v>
      </c>
      <c r="G3143" s="220">
        <v>43395.0</v>
      </c>
    </row>
    <row r="3144">
      <c r="A3144" s="217">
        <v>43396.48033012731</v>
      </c>
      <c r="B3144" s="218" t="s">
        <v>5184</v>
      </c>
      <c r="C3144" s="218" t="s">
        <v>6038</v>
      </c>
      <c r="D3144" s="219">
        <v>1.0</v>
      </c>
      <c r="E3144" s="218">
        <v>400.0</v>
      </c>
      <c r="G3144" s="220">
        <v>43395.0</v>
      </c>
    </row>
    <row r="3145">
      <c r="A3145" s="217">
        <v>43396.48110650463</v>
      </c>
      <c r="B3145" s="218" t="s">
        <v>5184</v>
      </c>
      <c r="C3145" s="218" t="s">
        <v>5976</v>
      </c>
      <c r="D3145" s="219">
        <v>1.0</v>
      </c>
      <c r="E3145" s="218">
        <v>400.0</v>
      </c>
      <c r="G3145" s="220">
        <v>43395.0</v>
      </c>
    </row>
    <row r="3146">
      <c r="A3146" s="217">
        <v>43396.48177251157</v>
      </c>
      <c r="B3146" s="218" t="s">
        <v>5184</v>
      </c>
      <c r="C3146" s="218" t="s">
        <v>6053</v>
      </c>
      <c r="D3146" s="219">
        <v>2.0</v>
      </c>
      <c r="E3146" s="218">
        <v>800.0</v>
      </c>
      <c r="G3146" s="220">
        <v>43395.0</v>
      </c>
    </row>
    <row r="3147">
      <c r="A3147" s="217">
        <v>43396.48230336806</v>
      </c>
      <c r="B3147" s="218" t="s">
        <v>5184</v>
      </c>
      <c r="C3147" s="218" t="s">
        <v>5806</v>
      </c>
      <c r="D3147" s="219">
        <v>1.0</v>
      </c>
      <c r="E3147" s="218">
        <v>300.0</v>
      </c>
      <c r="G3147" s="220">
        <v>43395.0</v>
      </c>
    </row>
    <row r="3148">
      <c r="A3148" s="217">
        <v>43396.48289905093</v>
      </c>
      <c r="B3148" s="218" t="s">
        <v>5184</v>
      </c>
      <c r="C3148" s="218" t="s">
        <v>5806</v>
      </c>
      <c r="D3148" s="219">
        <v>1.0</v>
      </c>
      <c r="E3148" s="218">
        <v>300.0</v>
      </c>
      <c r="G3148" s="220">
        <v>43395.0</v>
      </c>
    </row>
    <row r="3149">
      <c r="A3149" s="217">
        <v>43396.484411956015</v>
      </c>
      <c r="B3149" s="218" t="s">
        <v>5184</v>
      </c>
      <c r="C3149" s="218" t="s">
        <v>6036</v>
      </c>
      <c r="D3149" s="219">
        <v>1.0</v>
      </c>
      <c r="E3149" s="218">
        <v>400.0</v>
      </c>
      <c r="G3149" s="220">
        <v>43395.0</v>
      </c>
    </row>
    <row r="3150">
      <c r="A3150" s="217">
        <v>43396.484916817135</v>
      </c>
      <c r="B3150" s="218" t="s">
        <v>5184</v>
      </c>
      <c r="C3150" s="218" t="s">
        <v>6053</v>
      </c>
      <c r="D3150" s="219">
        <v>1.0</v>
      </c>
      <c r="E3150" s="218">
        <v>300.0</v>
      </c>
      <c r="G3150" s="220">
        <v>43395.0</v>
      </c>
    </row>
    <row r="3151">
      <c r="A3151" s="217">
        <v>43396.497615879634</v>
      </c>
      <c r="B3151" s="218" t="s">
        <v>5184</v>
      </c>
      <c r="C3151" s="218" t="s">
        <v>5806</v>
      </c>
      <c r="D3151" s="219">
        <v>1.0</v>
      </c>
      <c r="E3151" s="218">
        <v>300.0</v>
      </c>
      <c r="G3151" s="220">
        <v>43395.0</v>
      </c>
    </row>
    <row r="3152">
      <c r="A3152" s="217">
        <v>43396.498366053245</v>
      </c>
      <c r="B3152" s="218" t="s">
        <v>5184</v>
      </c>
      <c r="C3152" s="218" t="s">
        <v>5804</v>
      </c>
      <c r="D3152" s="219">
        <v>1.0</v>
      </c>
      <c r="E3152" s="218">
        <v>300.0</v>
      </c>
      <c r="G3152" s="220">
        <v>43395.0</v>
      </c>
    </row>
    <row r="3153">
      <c r="A3153" s="217">
        <v>43397.59469493055</v>
      </c>
      <c r="B3153" s="218" t="s">
        <v>5092</v>
      </c>
      <c r="C3153" s="218" t="s">
        <v>5804</v>
      </c>
      <c r="D3153" s="219">
        <v>34.0</v>
      </c>
      <c r="E3153" s="218">
        <v>300.0</v>
      </c>
      <c r="G3153" s="220">
        <v>43397.0</v>
      </c>
    </row>
    <row r="3154">
      <c r="A3154" s="217">
        <v>43398.42721862269</v>
      </c>
      <c r="B3154" s="218" t="s">
        <v>5184</v>
      </c>
      <c r="C3154" s="218" t="s">
        <v>5789</v>
      </c>
      <c r="D3154" s="219">
        <v>1.0</v>
      </c>
      <c r="E3154" s="218">
        <v>400.0</v>
      </c>
      <c r="G3154" s="220">
        <v>43396.0</v>
      </c>
    </row>
    <row r="3155">
      <c r="A3155" s="217">
        <v>43398.427729918985</v>
      </c>
      <c r="B3155" s="218" t="s">
        <v>5184</v>
      </c>
      <c r="C3155" s="218" t="s">
        <v>6053</v>
      </c>
      <c r="D3155" s="219">
        <v>1.0</v>
      </c>
      <c r="E3155" s="218">
        <v>300.0</v>
      </c>
      <c r="G3155" s="220">
        <v>43396.0</v>
      </c>
    </row>
    <row r="3156">
      <c r="A3156" s="217">
        <v>43398.43015971065</v>
      </c>
      <c r="B3156" s="218" t="s">
        <v>5184</v>
      </c>
      <c r="C3156" s="218" t="s">
        <v>5806</v>
      </c>
      <c r="D3156" s="219">
        <v>1.0</v>
      </c>
      <c r="E3156" s="218">
        <v>300.0</v>
      </c>
      <c r="G3156" s="220">
        <v>43397.0</v>
      </c>
    </row>
    <row r="3157">
      <c r="A3157" s="217">
        <v>43398.43075010416</v>
      </c>
      <c r="B3157" s="218" t="s">
        <v>5184</v>
      </c>
      <c r="C3157" s="218" t="s">
        <v>5804</v>
      </c>
      <c r="D3157" s="219">
        <v>1.0</v>
      </c>
      <c r="E3157" s="218">
        <v>300.0</v>
      </c>
      <c r="G3157" s="220">
        <v>43397.0</v>
      </c>
    </row>
    <row r="3158">
      <c r="A3158" s="217">
        <v>43398.45185232639</v>
      </c>
      <c r="B3158" s="218" t="s">
        <v>5184</v>
      </c>
      <c r="C3158" s="218" t="s">
        <v>5804</v>
      </c>
      <c r="D3158" s="219">
        <v>1.0</v>
      </c>
      <c r="E3158" s="218">
        <v>300.0</v>
      </c>
      <c r="G3158" s="220">
        <v>43397.0</v>
      </c>
    </row>
    <row r="3159">
      <c r="A3159" s="217">
        <v>43399.85227671296</v>
      </c>
      <c r="B3159" s="218" t="s">
        <v>5184</v>
      </c>
      <c r="C3159" s="218" t="s">
        <v>5214</v>
      </c>
      <c r="D3159" s="219">
        <v>1.0</v>
      </c>
      <c r="E3159" s="218">
        <v>14000.0</v>
      </c>
      <c r="G3159" s="220">
        <v>43400.0</v>
      </c>
    </row>
    <row r="3160">
      <c r="A3160" s="217">
        <v>43399.853396666666</v>
      </c>
      <c r="B3160" s="218" t="s">
        <v>5184</v>
      </c>
      <c r="C3160" s="218" t="s">
        <v>5177</v>
      </c>
      <c r="D3160" s="219">
        <v>1.0</v>
      </c>
      <c r="E3160" s="218">
        <v>5290.0</v>
      </c>
      <c r="G3160" s="220">
        <v>43400.0</v>
      </c>
    </row>
    <row r="3161">
      <c r="A3161" s="217">
        <v>43399.85436055556</v>
      </c>
      <c r="B3161" s="218" t="s">
        <v>5184</v>
      </c>
      <c r="C3161" s="218" t="s">
        <v>6591</v>
      </c>
      <c r="D3161" s="219">
        <v>1.0</v>
      </c>
      <c r="E3161" s="218">
        <v>6990.0</v>
      </c>
      <c r="G3161" s="220">
        <v>43400.0</v>
      </c>
    </row>
    <row r="3162">
      <c r="A3162" s="217">
        <v>43402.457565081015</v>
      </c>
      <c r="B3162" s="218" t="s">
        <v>5184</v>
      </c>
      <c r="C3162" s="218" t="s">
        <v>7275</v>
      </c>
      <c r="D3162" s="219">
        <v>1.0</v>
      </c>
      <c r="E3162" s="218">
        <v>4750.0</v>
      </c>
      <c r="G3162" s="220">
        <v>43374.0</v>
      </c>
    </row>
    <row r="3163">
      <c r="A3163" s="217">
        <v>43402.458533599536</v>
      </c>
      <c r="B3163" s="218" t="s">
        <v>5184</v>
      </c>
      <c r="C3163" s="218" t="s">
        <v>1892</v>
      </c>
      <c r="D3163" s="219">
        <v>1.0</v>
      </c>
      <c r="E3163" s="218">
        <v>4990.0</v>
      </c>
      <c r="G3163" s="220">
        <v>43374.0</v>
      </c>
    </row>
    <row r="3164">
      <c r="A3164" s="217">
        <v>43402.459165162036</v>
      </c>
      <c r="B3164" s="218" t="s">
        <v>5184</v>
      </c>
      <c r="C3164" s="218" t="s">
        <v>7277</v>
      </c>
      <c r="D3164" s="219">
        <v>1.0</v>
      </c>
      <c r="E3164" s="218">
        <v>5790.0</v>
      </c>
      <c r="G3164" s="220">
        <v>43374.0</v>
      </c>
    </row>
    <row r="3165">
      <c r="A3165" s="217">
        <v>43402.46280277778</v>
      </c>
      <c r="B3165" s="218" t="s">
        <v>5184</v>
      </c>
      <c r="C3165" s="218" t="s">
        <v>5113</v>
      </c>
      <c r="D3165" s="219">
        <v>1.0</v>
      </c>
      <c r="E3165" s="218">
        <v>5490.0</v>
      </c>
      <c r="G3165" s="220">
        <v>43379.0</v>
      </c>
    </row>
    <row r="3166">
      <c r="A3166" s="217">
        <v>43402.46385259259</v>
      </c>
      <c r="B3166" s="218" t="s">
        <v>5184</v>
      </c>
      <c r="C3166" s="218" t="s">
        <v>1832</v>
      </c>
      <c r="D3166" s="219">
        <v>1.0</v>
      </c>
      <c r="E3166" s="218">
        <v>5990.0</v>
      </c>
      <c r="G3166" s="220">
        <v>43379.0</v>
      </c>
    </row>
    <row r="3167">
      <c r="A3167" s="217">
        <v>43402.46487509259</v>
      </c>
      <c r="B3167" s="218" t="s">
        <v>5184</v>
      </c>
      <c r="C3167" s="218" t="s">
        <v>1855</v>
      </c>
      <c r="D3167" s="219">
        <v>1.0</v>
      </c>
      <c r="E3167" s="24"/>
      <c r="G3167" s="220">
        <v>43379.0</v>
      </c>
    </row>
    <row r="3168">
      <c r="A3168" s="217">
        <v>43402.46587991898</v>
      </c>
      <c r="B3168" s="218" t="s">
        <v>5184</v>
      </c>
      <c r="C3168" s="218" t="s">
        <v>6644</v>
      </c>
      <c r="D3168" s="219">
        <v>1.0</v>
      </c>
      <c r="E3168" s="218">
        <v>6990.0</v>
      </c>
      <c r="G3168" s="220">
        <v>43379.0</v>
      </c>
    </row>
    <row r="3169">
      <c r="A3169" s="217">
        <v>43402.4675378588</v>
      </c>
      <c r="B3169" s="218" t="s">
        <v>5184</v>
      </c>
      <c r="C3169" s="218" t="s">
        <v>7279</v>
      </c>
      <c r="D3169" s="219">
        <v>1.0</v>
      </c>
      <c r="E3169" s="24"/>
      <c r="G3169" s="220">
        <v>43379.0</v>
      </c>
    </row>
    <row r="3170">
      <c r="A3170" s="217">
        <v>43402.47659614583</v>
      </c>
      <c r="B3170" s="218" t="s">
        <v>5184</v>
      </c>
      <c r="C3170" s="218" t="s">
        <v>6641</v>
      </c>
      <c r="D3170" s="219">
        <v>2.0</v>
      </c>
      <c r="E3170" s="218">
        <v>8390.0</v>
      </c>
      <c r="G3170" s="220">
        <v>43382.0</v>
      </c>
    </row>
    <row r="3171">
      <c r="A3171" s="217">
        <v>43402.47808936343</v>
      </c>
      <c r="B3171" s="218" t="s">
        <v>5184</v>
      </c>
      <c r="C3171" s="218" t="s">
        <v>7207</v>
      </c>
      <c r="D3171" s="219">
        <v>1.0</v>
      </c>
      <c r="E3171" s="218">
        <v>5490.0</v>
      </c>
      <c r="G3171" s="220">
        <v>43382.0</v>
      </c>
    </row>
    <row r="3172">
      <c r="A3172" s="217">
        <v>43402.47905418981</v>
      </c>
      <c r="B3172" s="218" t="s">
        <v>5184</v>
      </c>
      <c r="C3172" s="218" t="s">
        <v>5106</v>
      </c>
      <c r="D3172" s="219">
        <v>2.0</v>
      </c>
      <c r="E3172" s="218">
        <v>6990.0</v>
      </c>
      <c r="G3172" s="220">
        <v>43382.0</v>
      </c>
    </row>
    <row r="3173">
      <c r="A3173" s="217">
        <v>43402.47985541666</v>
      </c>
      <c r="B3173" s="218" t="s">
        <v>5184</v>
      </c>
      <c r="C3173" s="218" t="s">
        <v>1828</v>
      </c>
      <c r="D3173" s="219">
        <v>1.0</v>
      </c>
      <c r="E3173" s="218">
        <v>6990.0</v>
      </c>
      <c r="G3173" s="220">
        <v>43382.0</v>
      </c>
    </row>
    <row r="3174">
      <c r="A3174" s="217">
        <v>43402.48083270833</v>
      </c>
      <c r="B3174" s="218" t="s">
        <v>5184</v>
      </c>
      <c r="C3174" s="218" t="s">
        <v>1829</v>
      </c>
      <c r="D3174" s="219">
        <v>1.0</v>
      </c>
      <c r="E3174" s="218">
        <v>7990.0</v>
      </c>
      <c r="G3174" s="220">
        <v>43382.0</v>
      </c>
    </row>
    <row r="3175">
      <c r="A3175" s="217">
        <v>43402.48193372686</v>
      </c>
      <c r="B3175" s="218" t="s">
        <v>5184</v>
      </c>
      <c r="C3175" s="218" t="s">
        <v>6649</v>
      </c>
      <c r="D3175" s="219">
        <v>1.0</v>
      </c>
      <c r="E3175" s="218">
        <v>7790.0</v>
      </c>
      <c r="G3175" s="220">
        <v>43382.0</v>
      </c>
    </row>
    <row r="3176">
      <c r="A3176" s="217">
        <v>43402.483961770835</v>
      </c>
      <c r="B3176" s="218" t="s">
        <v>5184</v>
      </c>
      <c r="C3176" s="218" t="s">
        <v>1845</v>
      </c>
      <c r="D3176" s="219">
        <v>1.0</v>
      </c>
      <c r="E3176" s="218">
        <v>8190.0</v>
      </c>
      <c r="G3176" s="220">
        <v>43378.0</v>
      </c>
    </row>
    <row r="3177">
      <c r="A3177" s="217">
        <v>43402.491340162036</v>
      </c>
      <c r="B3177" s="218" t="s">
        <v>5184</v>
      </c>
      <c r="C3177" s="218" t="s">
        <v>5234</v>
      </c>
      <c r="D3177" s="219">
        <v>1.0</v>
      </c>
      <c r="E3177" s="218">
        <v>14700.0</v>
      </c>
      <c r="G3177" s="220">
        <v>43402.0</v>
      </c>
    </row>
    <row r="3178">
      <c r="A3178" s="217">
        <v>43402.4920221875</v>
      </c>
      <c r="B3178" s="218" t="s">
        <v>5184</v>
      </c>
      <c r="C3178" s="218" t="s">
        <v>6187</v>
      </c>
      <c r="D3178" s="219">
        <v>1.0</v>
      </c>
      <c r="E3178" s="218">
        <v>8490.0</v>
      </c>
      <c r="G3178" s="220">
        <v>43402.0</v>
      </c>
    </row>
    <row r="3179">
      <c r="A3179" s="217">
        <v>43404.52232635417</v>
      </c>
      <c r="B3179" s="218" t="s">
        <v>5184</v>
      </c>
      <c r="C3179" s="218" t="s">
        <v>5806</v>
      </c>
      <c r="D3179" s="219">
        <v>1.0</v>
      </c>
      <c r="E3179" s="218">
        <v>300.0</v>
      </c>
      <c r="G3179" s="220">
        <v>43398.0</v>
      </c>
    </row>
    <row r="3180">
      <c r="A3180" s="217">
        <v>43404.523098888894</v>
      </c>
      <c r="B3180" s="218" t="s">
        <v>5184</v>
      </c>
      <c r="C3180" s="218" t="s">
        <v>6038</v>
      </c>
      <c r="D3180" s="219">
        <v>1.0</v>
      </c>
      <c r="E3180" s="218">
        <v>450.0</v>
      </c>
      <c r="G3180" s="220">
        <v>43398.0</v>
      </c>
    </row>
    <row r="3181">
      <c r="A3181" s="217">
        <v>43404.52417123843</v>
      </c>
      <c r="B3181" s="218" t="s">
        <v>5184</v>
      </c>
      <c r="C3181" s="218" t="s">
        <v>5806</v>
      </c>
      <c r="D3181" s="219">
        <v>1.0</v>
      </c>
      <c r="E3181" s="218">
        <v>300.0</v>
      </c>
      <c r="G3181" s="220">
        <v>43398.0</v>
      </c>
    </row>
    <row r="3182">
      <c r="A3182" s="217">
        <v>43404.525275162036</v>
      </c>
      <c r="B3182" s="218" t="s">
        <v>5184</v>
      </c>
      <c r="C3182" s="218" t="s">
        <v>6053</v>
      </c>
      <c r="D3182" s="219">
        <v>1.0</v>
      </c>
      <c r="E3182" s="218">
        <v>300.0</v>
      </c>
      <c r="G3182" s="220">
        <v>43399.0</v>
      </c>
    </row>
    <row r="3183">
      <c r="A3183" s="217">
        <v>43404.526308518514</v>
      </c>
      <c r="B3183" s="218" t="s">
        <v>5184</v>
      </c>
      <c r="C3183" s="218" t="s">
        <v>6053</v>
      </c>
      <c r="D3183" s="219">
        <v>1.0</v>
      </c>
      <c r="E3183" s="218">
        <v>250.0</v>
      </c>
      <c r="G3183" s="220">
        <v>43399.0</v>
      </c>
    </row>
    <row r="3184">
      <c r="A3184" s="217">
        <v>43404.5292171412</v>
      </c>
      <c r="B3184" s="218" t="s">
        <v>5184</v>
      </c>
      <c r="C3184" s="218" t="s">
        <v>5806</v>
      </c>
      <c r="D3184" s="219">
        <v>1.0</v>
      </c>
      <c r="E3184" s="218">
        <v>300.0</v>
      </c>
      <c r="G3184" s="220">
        <v>43399.0</v>
      </c>
    </row>
    <row r="3185">
      <c r="A3185" s="217">
        <v>43404.557217696754</v>
      </c>
      <c r="B3185" s="218" t="s">
        <v>5184</v>
      </c>
      <c r="C3185" s="218" t="s">
        <v>5806</v>
      </c>
      <c r="D3185" s="219">
        <v>1.0</v>
      </c>
      <c r="E3185" s="218">
        <v>300.0</v>
      </c>
      <c r="G3185" s="220">
        <v>43400.0</v>
      </c>
    </row>
    <row r="3186">
      <c r="A3186" s="217">
        <v>43404.56111510417</v>
      </c>
      <c r="B3186" s="218" t="s">
        <v>5184</v>
      </c>
      <c r="C3186" s="218" t="s">
        <v>5789</v>
      </c>
      <c r="D3186" s="219">
        <v>1.0</v>
      </c>
      <c r="E3186" s="218">
        <v>400.0</v>
      </c>
      <c r="G3186" s="220">
        <v>43400.0</v>
      </c>
    </row>
    <row r="3187">
      <c r="A3187" s="217">
        <v>43404.56236140046</v>
      </c>
      <c r="B3187" s="218" t="s">
        <v>5184</v>
      </c>
      <c r="C3187" s="218" t="s">
        <v>6053</v>
      </c>
      <c r="D3187" s="219">
        <v>1.0</v>
      </c>
      <c r="E3187" s="218">
        <v>300.0</v>
      </c>
      <c r="G3187" s="220">
        <v>43400.0</v>
      </c>
    </row>
    <row r="3188">
      <c r="A3188" s="217">
        <v>43405.42559935185</v>
      </c>
      <c r="B3188" s="218" t="s">
        <v>5184</v>
      </c>
      <c r="C3188" s="218" t="s">
        <v>5806</v>
      </c>
      <c r="D3188" s="219">
        <v>1.0</v>
      </c>
      <c r="E3188" s="218">
        <v>300.0</v>
      </c>
      <c r="G3188" s="220">
        <v>43401.0</v>
      </c>
    </row>
    <row r="3189">
      <c r="A3189" s="217">
        <v>43405.42702878472</v>
      </c>
      <c r="B3189" s="218" t="s">
        <v>5184</v>
      </c>
      <c r="C3189" s="218" t="s">
        <v>6038</v>
      </c>
      <c r="D3189" s="219">
        <v>1.0</v>
      </c>
      <c r="E3189" s="218">
        <v>400.0</v>
      </c>
      <c r="G3189" s="220">
        <v>43401.0</v>
      </c>
    </row>
    <row r="3190">
      <c r="A3190" s="217">
        <v>43405.42793680556</v>
      </c>
      <c r="B3190" s="218" t="s">
        <v>5184</v>
      </c>
      <c r="C3190" s="218" t="s">
        <v>6053</v>
      </c>
      <c r="D3190" s="219" t="s">
        <v>7288</v>
      </c>
      <c r="E3190" s="218">
        <v>150.0</v>
      </c>
      <c r="G3190" s="220">
        <v>43401.0</v>
      </c>
    </row>
    <row r="3191">
      <c r="A3191" s="217">
        <v>43405.42938248842</v>
      </c>
      <c r="B3191" s="218" t="s">
        <v>5184</v>
      </c>
      <c r="C3191" s="218" t="s">
        <v>284</v>
      </c>
      <c r="D3191" s="219">
        <v>1.0</v>
      </c>
      <c r="E3191" s="218">
        <v>400.0</v>
      </c>
      <c r="G3191" s="220">
        <v>43401.0</v>
      </c>
    </row>
    <row r="3192">
      <c r="A3192" s="217">
        <v>43405.43021450231</v>
      </c>
      <c r="B3192" s="218" t="s">
        <v>5184</v>
      </c>
      <c r="C3192" s="218" t="s">
        <v>284</v>
      </c>
      <c r="D3192" s="219">
        <v>1.0</v>
      </c>
      <c r="E3192" s="218">
        <v>400.0</v>
      </c>
      <c r="G3192" s="220">
        <v>43401.0</v>
      </c>
    </row>
    <row r="3193">
      <c r="A3193" s="217">
        <v>43405.43164981481</v>
      </c>
      <c r="B3193" s="218" t="s">
        <v>5184</v>
      </c>
      <c r="C3193" s="218" t="s">
        <v>6038</v>
      </c>
      <c r="D3193" s="219">
        <v>1.0</v>
      </c>
      <c r="E3193" s="218">
        <v>400.0</v>
      </c>
      <c r="G3193" s="220">
        <v>43401.0</v>
      </c>
    </row>
    <row r="3194">
      <c r="A3194" s="217">
        <v>43405.432997094904</v>
      </c>
      <c r="B3194" s="218" t="s">
        <v>5184</v>
      </c>
      <c r="C3194" s="218" t="s">
        <v>5789</v>
      </c>
      <c r="D3194" s="219">
        <v>1.0</v>
      </c>
      <c r="E3194" s="218">
        <v>400.0</v>
      </c>
      <c r="G3194" s="220">
        <v>43402.0</v>
      </c>
    </row>
    <row r="3195">
      <c r="A3195" s="217">
        <v>43405.447464212964</v>
      </c>
      <c r="B3195" s="218" t="s">
        <v>5184</v>
      </c>
      <c r="C3195" s="218" t="s">
        <v>6053</v>
      </c>
      <c r="D3195" s="219">
        <v>1.0</v>
      </c>
      <c r="E3195" s="218">
        <v>300.0</v>
      </c>
      <c r="G3195" s="220">
        <v>43402.0</v>
      </c>
    </row>
    <row r="3196">
      <c r="A3196" s="217">
        <v>43405.44831006945</v>
      </c>
      <c r="B3196" s="218" t="s">
        <v>5184</v>
      </c>
      <c r="C3196" s="218" t="s">
        <v>5782</v>
      </c>
      <c r="D3196" s="219">
        <v>1.0</v>
      </c>
      <c r="E3196" s="218">
        <v>400.0</v>
      </c>
      <c r="G3196" s="220">
        <v>43402.0</v>
      </c>
    </row>
    <row r="3197">
      <c r="A3197" s="217">
        <v>43405.45583178241</v>
      </c>
      <c r="B3197" s="218" t="s">
        <v>5184</v>
      </c>
      <c r="C3197" s="218" t="s">
        <v>5806</v>
      </c>
      <c r="D3197" s="219">
        <v>1.0</v>
      </c>
      <c r="E3197" s="218">
        <v>300.0</v>
      </c>
      <c r="G3197" s="220">
        <v>43403.0</v>
      </c>
    </row>
    <row r="3198">
      <c r="A3198" s="217">
        <v>43405.45689702546</v>
      </c>
      <c r="B3198" s="218" t="s">
        <v>5184</v>
      </c>
      <c r="C3198" s="218" t="s">
        <v>6036</v>
      </c>
      <c r="D3198" s="219">
        <v>1.0</v>
      </c>
      <c r="E3198" s="218">
        <v>400.0</v>
      </c>
      <c r="G3198" s="220">
        <v>43403.0</v>
      </c>
    </row>
    <row r="3199">
      <c r="A3199" s="217">
        <v>43405.457941782406</v>
      </c>
      <c r="B3199" s="218" t="s">
        <v>5184</v>
      </c>
      <c r="C3199" s="218" t="s">
        <v>5818</v>
      </c>
      <c r="D3199" s="219">
        <v>1.0</v>
      </c>
      <c r="E3199" s="218">
        <v>400.0</v>
      </c>
      <c r="G3199" s="220">
        <v>43403.0</v>
      </c>
    </row>
    <row r="3200">
      <c r="A3200" s="217">
        <v>43405.460741400464</v>
      </c>
      <c r="B3200" s="218" t="s">
        <v>5184</v>
      </c>
      <c r="C3200" s="218" t="s">
        <v>6038</v>
      </c>
      <c r="D3200" s="219">
        <v>1.0</v>
      </c>
      <c r="E3200" s="218">
        <v>400.0</v>
      </c>
      <c r="G3200" s="220">
        <v>43403.0</v>
      </c>
    </row>
    <row r="3201">
      <c r="A3201" s="217">
        <v>43405.46163740741</v>
      </c>
      <c r="B3201" s="218" t="s">
        <v>5184</v>
      </c>
      <c r="C3201" s="218" t="s">
        <v>5976</v>
      </c>
      <c r="D3201" s="219">
        <v>1.0</v>
      </c>
      <c r="E3201" s="218">
        <v>400.0</v>
      </c>
      <c r="G3201" s="220">
        <v>43404.0</v>
      </c>
    </row>
    <row r="3202">
      <c r="A3202" s="217">
        <v>43405.46229837963</v>
      </c>
      <c r="B3202" s="218" t="s">
        <v>5184</v>
      </c>
      <c r="C3202" s="218" t="s">
        <v>5804</v>
      </c>
      <c r="D3202" s="219">
        <v>1.0</v>
      </c>
      <c r="E3202" s="218">
        <v>300.0</v>
      </c>
      <c r="G3202" s="220">
        <v>43404.0</v>
      </c>
    </row>
    <row r="3203">
      <c r="A3203" s="217">
        <v>43405.46286662037</v>
      </c>
      <c r="B3203" s="218" t="s">
        <v>5184</v>
      </c>
      <c r="C3203" s="218" t="s">
        <v>6053</v>
      </c>
      <c r="D3203" s="219">
        <v>1.0</v>
      </c>
      <c r="E3203" s="218">
        <v>300.0</v>
      </c>
      <c r="G3203" s="220">
        <v>43404.0</v>
      </c>
    </row>
    <row r="3204">
      <c r="A3204" s="217">
        <v>43406.46620422453</v>
      </c>
      <c r="B3204" s="218" t="s">
        <v>5184</v>
      </c>
      <c r="C3204" s="218" t="s">
        <v>6662</v>
      </c>
      <c r="D3204" s="219">
        <v>2.0</v>
      </c>
      <c r="E3204" s="218">
        <v>8090.0</v>
      </c>
      <c r="G3204" s="220">
        <v>43406.0</v>
      </c>
    </row>
    <row r="3205">
      <c r="A3205" s="217">
        <v>43407.600922893515</v>
      </c>
      <c r="B3205" s="218" t="s">
        <v>5184</v>
      </c>
      <c r="C3205" s="218" t="s">
        <v>6038</v>
      </c>
      <c r="D3205" s="219">
        <v>1.0</v>
      </c>
      <c r="E3205" s="218">
        <v>400.0</v>
      </c>
      <c r="G3205" s="220">
        <v>43405.0</v>
      </c>
    </row>
    <row r="3206">
      <c r="A3206" s="217">
        <v>43407.601484768515</v>
      </c>
      <c r="B3206" s="218" t="s">
        <v>5184</v>
      </c>
      <c r="C3206" s="218" t="s">
        <v>6053</v>
      </c>
      <c r="D3206" s="219">
        <v>1.0</v>
      </c>
      <c r="E3206" s="218">
        <v>300.0</v>
      </c>
      <c r="G3206" s="220">
        <v>43405.0</v>
      </c>
    </row>
    <row r="3207">
      <c r="A3207" s="217">
        <v>43407.60187591435</v>
      </c>
      <c r="B3207" s="218" t="s">
        <v>5184</v>
      </c>
      <c r="C3207" s="218" t="s">
        <v>6053</v>
      </c>
      <c r="D3207" s="219">
        <v>1.0</v>
      </c>
      <c r="E3207" s="218">
        <v>300.0</v>
      </c>
      <c r="G3207" s="220">
        <v>43406.0</v>
      </c>
    </row>
    <row r="3208">
      <c r="A3208" s="217">
        <v>43407.602579259255</v>
      </c>
      <c r="B3208" s="218" t="s">
        <v>5184</v>
      </c>
      <c r="C3208" s="218" t="s">
        <v>5806</v>
      </c>
      <c r="D3208" s="219">
        <v>1.0</v>
      </c>
      <c r="E3208" s="218">
        <v>300.0</v>
      </c>
      <c r="G3208" s="220">
        <v>43406.0</v>
      </c>
    </row>
    <row r="3209">
      <c r="A3209" s="217">
        <v>43407.603484583335</v>
      </c>
      <c r="B3209" s="218" t="s">
        <v>5184</v>
      </c>
      <c r="C3209" s="218" t="s">
        <v>5789</v>
      </c>
      <c r="D3209" s="219">
        <v>1.0</v>
      </c>
      <c r="E3209" s="218">
        <v>400.0</v>
      </c>
      <c r="G3209" s="220">
        <v>43406.0</v>
      </c>
    </row>
    <row r="3210">
      <c r="A3210" s="217">
        <v>43407.60351178241</v>
      </c>
      <c r="B3210" s="218" t="s">
        <v>5184</v>
      </c>
      <c r="C3210" s="218" t="s">
        <v>5786</v>
      </c>
      <c r="D3210" s="219">
        <v>1.0</v>
      </c>
      <c r="E3210" s="218">
        <v>300.0</v>
      </c>
      <c r="G3210" s="220">
        <v>43407.0</v>
      </c>
    </row>
    <row r="3211">
      <c r="A3211" s="217">
        <v>43407.71319050926</v>
      </c>
      <c r="B3211" s="218" t="s">
        <v>5184</v>
      </c>
      <c r="C3211" s="218" t="s">
        <v>6720</v>
      </c>
      <c r="D3211" s="219">
        <v>1.0</v>
      </c>
      <c r="E3211" s="218">
        <v>3290.0</v>
      </c>
      <c r="G3211" s="220">
        <v>43407.0</v>
      </c>
    </row>
    <row r="3212">
      <c r="A3212" s="217">
        <v>43407.71513174768</v>
      </c>
      <c r="B3212" s="218" t="s">
        <v>5184</v>
      </c>
      <c r="C3212" s="218" t="s">
        <v>6556</v>
      </c>
      <c r="D3212" s="219">
        <v>1.0</v>
      </c>
      <c r="E3212" s="218">
        <v>6400.0</v>
      </c>
      <c r="G3212" s="220">
        <v>43407.0</v>
      </c>
    </row>
    <row r="3213">
      <c r="A3213" s="217">
        <v>43407.715786307876</v>
      </c>
      <c r="B3213" s="218" t="s">
        <v>5184</v>
      </c>
      <c r="C3213" s="218" t="s">
        <v>5786</v>
      </c>
      <c r="D3213" s="219">
        <v>1.0</v>
      </c>
      <c r="E3213" s="218">
        <v>300.0</v>
      </c>
      <c r="G3213" s="220">
        <v>43407.0</v>
      </c>
    </row>
    <row r="3214">
      <c r="A3214" s="217">
        <v>43407.71637068287</v>
      </c>
      <c r="B3214" s="218" t="s">
        <v>5184</v>
      </c>
      <c r="C3214" s="218" t="s">
        <v>6053</v>
      </c>
      <c r="D3214" s="219">
        <v>2.0</v>
      </c>
      <c r="E3214" s="218">
        <v>300.0</v>
      </c>
      <c r="G3214" s="220">
        <v>43407.0</v>
      </c>
    </row>
    <row r="3215">
      <c r="A3215" s="217">
        <v>43407.716833321756</v>
      </c>
      <c r="B3215" s="218" t="s">
        <v>5184</v>
      </c>
      <c r="C3215" s="218" t="s">
        <v>6038</v>
      </c>
      <c r="D3215" s="219">
        <v>1.0</v>
      </c>
      <c r="E3215" s="218">
        <v>400.0</v>
      </c>
      <c r="G3215" s="220">
        <v>43407.0</v>
      </c>
    </row>
    <row r="3216">
      <c r="A3216" s="217">
        <v>43408.50991840278</v>
      </c>
      <c r="B3216" s="218" t="s">
        <v>5184</v>
      </c>
      <c r="C3216" s="218" t="s">
        <v>6866</v>
      </c>
      <c r="D3216" s="219">
        <v>1.0</v>
      </c>
      <c r="E3216" s="218">
        <v>3690.0</v>
      </c>
      <c r="G3216" s="220">
        <v>43408.0</v>
      </c>
    </row>
    <row r="3217">
      <c r="A3217" s="217">
        <v>43410.531954895836</v>
      </c>
      <c r="B3217" s="218" t="s">
        <v>5184</v>
      </c>
      <c r="C3217" s="218" t="s">
        <v>5789</v>
      </c>
      <c r="D3217" s="219">
        <v>1.0</v>
      </c>
      <c r="E3217" s="218">
        <v>400.0</v>
      </c>
      <c r="G3217" s="220">
        <v>43408.0</v>
      </c>
    </row>
    <row r="3218">
      <c r="A3218" s="217">
        <v>43410.53229914352</v>
      </c>
      <c r="B3218" s="218" t="s">
        <v>5184</v>
      </c>
      <c r="C3218" s="218" t="s">
        <v>6053</v>
      </c>
      <c r="D3218" s="219">
        <v>1.0</v>
      </c>
      <c r="E3218" s="218">
        <v>300.0</v>
      </c>
      <c r="G3218" s="220">
        <v>43408.0</v>
      </c>
    </row>
    <row r="3219">
      <c r="A3219" s="217">
        <v>43410.53281521991</v>
      </c>
      <c r="B3219" s="218" t="s">
        <v>5184</v>
      </c>
      <c r="C3219" s="218" t="s">
        <v>5976</v>
      </c>
      <c r="D3219" s="219">
        <v>1.0</v>
      </c>
      <c r="E3219" s="218">
        <v>400.0</v>
      </c>
      <c r="G3219" s="220">
        <v>43408.0</v>
      </c>
    </row>
    <row r="3220">
      <c r="A3220" s="217">
        <v>43410.53417400463</v>
      </c>
      <c r="B3220" s="218" t="s">
        <v>5184</v>
      </c>
      <c r="C3220" s="218" t="s">
        <v>1926</v>
      </c>
      <c r="D3220" s="219">
        <v>1.0</v>
      </c>
      <c r="E3220" s="218">
        <v>4290.0</v>
      </c>
      <c r="G3220" s="220">
        <v>43409.0</v>
      </c>
    </row>
    <row r="3221">
      <c r="A3221" s="217">
        <v>43410.54688246528</v>
      </c>
      <c r="B3221" s="218" t="s">
        <v>5184</v>
      </c>
      <c r="C3221" s="218" t="s">
        <v>5976</v>
      </c>
      <c r="D3221" s="219">
        <v>1.0</v>
      </c>
      <c r="E3221" s="218">
        <v>400.0</v>
      </c>
      <c r="G3221" s="220">
        <v>43410.0</v>
      </c>
    </row>
    <row r="3222">
      <c r="A3222" s="217">
        <v>43410.54725456018</v>
      </c>
      <c r="B3222" s="218" t="s">
        <v>5184</v>
      </c>
      <c r="C3222" s="218" t="s">
        <v>6053</v>
      </c>
      <c r="D3222" s="219">
        <v>1.0</v>
      </c>
      <c r="E3222" s="218">
        <v>300.0</v>
      </c>
      <c r="G3222" s="220">
        <v>43410.0</v>
      </c>
    </row>
    <row r="3223">
      <c r="A3223" s="217">
        <v>43410.54783743055</v>
      </c>
      <c r="B3223" s="218" t="s">
        <v>5184</v>
      </c>
      <c r="C3223" s="218" t="s">
        <v>5845</v>
      </c>
      <c r="D3223" s="219">
        <v>1.0</v>
      </c>
      <c r="E3223" s="218">
        <v>500.0</v>
      </c>
      <c r="G3223" s="220">
        <v>43410.0</v>
      </c>
    </row>
    <row r="3224">
      <c r="A3224" s="217">
        <v>43410.548118692124</v>
      </c>
      <c r="B3224" s="218" t="s">
        <v>5184</v>
      </c>
      <c r="C3224" s="218" t="s">
        <v>284</v>
      </c>
      <c r="D3224" s="219">
        <v>1.0</v>
      </c>
      <c r="E3224" s="218">
        <v>400.0</v>
      </c>
      <c r="G3224" s="220">
        <v>43410.0</v>
      </c>
    </row>
    <row r="3225">
      <c r="A3225" s="217">
        <v>43410.54875354166</v>
      </c>
      <c r="B3225" s="218" t="s">
        <v>5184</v>
      </c>
      <c r="C3225" s="218" t="s">
        <v>6053</v>
      </c>
      <c r="D3225" s="219">
        <v>1.0</v>
      </c>
      <c r="E3225" s="218">
        <v>300.0</v>
      </c>
      <c r="G3225" s="220">
        <v>43410.0</v>
      </c>
    </row>
    <row r="3226">
      <c r="A3226" s="217">
        <v>43410.557888194446</v>
      </c>
      <c r="B3226" s="218" t="s">
        <v>5184</v>
      </c>
      <c r="C3226" s="218" t="s">
        <v>6053</v>
      </c>
      <c r="D3226" s="219">
        <v>1.0</v>
      </c>
      <c r="E3226" s="218">
        <v>300.0</v>
      </c>
      <c r="G3226" s="220">
        <v>43410.0</v>
      </c>
    </row>
    <row r="3227">
      <c r="A3227" s="217">
        <v>43412.80647253472</v>
      </c>
      <c r="B3227" s="218" t="s">
        <v>5184</v>
      </c>
      <c r="C3227" s="218" t="s">
        <v>4542</v>
      </c>
      <c r="D3227" s="219">
        <v>2.0</v>
      </c>
      <c r="E3227" s="218">
        <v>2450.0</v>
      </c>
      <c r="G3227" s="220">
        <v>43413.0</v>
      </c>
    </row>
    <row r="3228">
      <c r="A3228" s="217">
        <v>43412.80738777778</v>
      </c>
      <c r="B3228" s="218" t="s">
        <v>5184</v>
      </c>
      <c r="C3228" s="218" t="s">
        <v>4518</v>
      </c>
      <c r="D3228" s="219">
        <v>1.0</v>
      </c>
      <c r="E3228" s="218">
        <v>2350.0</v>
      </c>
      <c r="G3228" s="220">
        <v>43413.0</v>
      </c>
    </row>
    <row r="3229">
      <c r="A3229" s="217">
        <v>43412.80824770834</v>
      </c>
      <c r="B3229" s="218" t="s">
        <v>5184</v>
      </c>
      <c r="C3229" s="218" t="s">
        <v>4520</v>
      </c>
      <c r="D3229" s="219">
        <v>1.0</v>
      </c>
      <c r="E3229" s="218">
        <v>2350.0</v>
      </c>
      <c r="G3229" s="220">
        <v>43413.0</v>
      </c>
    </row>
    <row r="3230">
      <c r="A3230" s="217">
        <v>43413.79255070601</v>
      </c>
      <c r="B3230" s="218" t="s">
        <v>5184</v>
      </c>
      <c r="C3230" s="218" t="s">
        <v>6645</v>
      </c>
      <c r="D3230" s="219">
        <v>1.0</v>
      </c>
      <c r="E3230" s="218">
        <v>7490.0</v>
      </c>
      <c r="G3230" s="220">
        <v>43413.0</v>
      </c>
    </row>
    <row r="3231">
      <c r="A3231" s="217">
        <v>43414.70190210648</v>
      </c>
      <c r="B3231" s="218" t="s">
        <v>5184</v>
      </c>
      <c r="C3231" s="218" t="s">
        <v>7312</v>
      </c>
      <c r="D3231" s="219">
        <v>1.0</v>
      </c>
      <c r="E3231" s="218">
        <v>400.0</v>
      </c>
      <c r="G3231" s="220">
        <v>43412.0</v>
      </c>
    </row>
    <row r="3232">
      <c r="A3232" s="217">
        <v>43414.70237131944</v>
      </c>
      <c r="B3232" s="218" t="s">
        <v>5184</v>
      </c>
      <c r="C3232" s="218" t="s">
        <v>6053</v>
      </c>
      <c r="D3232" s="219">
        <v>1.0</v>
      </c>
      <c r="E3232" s="218">
        <v>300.0</v>
      </c>
      <c r="G3232" s="220">
        <v>43412.0</v>
      </c>
    </row>
    <row r="3233">
      <c r="A3233" s="217">
        <v>43414.702959305556</v>
      </c>
      <c r="B3233" s="218" t="s">
        <v>5184</v>
      </c>
      <c r="C3233" s="218" t="s">
        <v>6053</v>
      </c>
      <c r="D3233" s="219">
        <v>1.0</v>
      </c>
      <c r="E3233" s="218">
        <v>300.0</v>
      </c>
      <c r="G3233" s="220">
        <v>43412.0</v>
      </c>
    </row>
    <row r="3234">
      <c r="A3234" s="217">
        <v>43414.70364527778</v>
      </c>
      <c r="B3234" s="218" t="s">
        <v>5184</v>
      </c>
      <c r="C3234" s="218" t="s">
        <v>6053</v>
      </c>
      <c r="D3234" s="219">
        <v>1.0</v>
      </c>
      <c r="E3234" s="218">
        <v>300.0</v>
      </c>
      <c r="G3234" s="220">
        <v>43412.0</v>
      </c>
    </row>
    <row r="3235">
      <c r="A3235" s="217">
        <v>43414.70446212963</v>
      </c>
      <c r="B3235" s="218" t="s">
        <v>5184</v>
      </c>
      <c r="C3235" s="218" t="s">
        <v>5782</v>
      </c>
      <c r="D3235" s="219">
        <v>1.0</v>
      </c>
      <c r="E3235" s="218">
        <v>400.0</v>
      </c>
      <c r="G3235" s="220">
        <v>43413.0</v>
      </c>
    </row>
    <row r="3236">
      <c r="A3236" s="217">
        <v>43414.705010844904</v>
      </c>
      <c r="B3236" s="218" t="s">
        <v>5184</v>
      </c>
      <c r="C3236" s="218" t="s">
        <v>6001</v>
      </c>
      <c r="D3236" s="219">
        <v>1.0</v>
      </c>
      <c r="E3236" s="218">
        <v>500.0</v>
      </c>
      <c r="G3236" s="220">
        <v>43414.0</v>
      </c>
    </row>
    <row r="3237">
      <c r="A3237" s="217">
        <v>43414.705461273144</v>
      </c>
      <c r="B3237" s="218" t="s">
        <v>5184</v>
      </c>
      <c r="C3237" s="218" t="s">
        <v>6053</v>
      </c>
      <c r="D3237" s="219">
        <v>1.0</v>
      </c>
      <c r="E3237" s="218">
        <v>300.0</v>
      </c>
      <c r="G3237" s="220">
        <v>43414.0</v>
      </c>
    </row>
    <row r="3238">
      <c r="A3238" s="217">
        <v>43414.70636185185</v>
      </c>
      <c r="B3238" s="218" t="s">
        <v>5184</v>
      </c>
      <c r="C3238" s="218" t="s">
        <v>5789</v>
      </c>
      <c r="D3238" s="219">
        <v>1.0</v>
      </c>
      <c r="E3238" s="218">
        <v>400.0</v>
      </c>
      <c r="G3238" s="220">
        <v>43414.0</v>
      </c>
    </row>
    <row r="3239">
      <c r="A3239" s="217">
        <v>43414.70718024306</v>
      </c>
      <c r="B3239" s="218" t="s">
        <v>5184</v>
      </c>
      <c r="C3239" s="218" t="s">
        <v>5845</v>
      </c>
      <c r="D3239" s="219">
        <v>1.0</v>
      </c>
      <c r="E3239" s="218">
        <v>500.0</v>
      </c>
      <c r="G3239" s="220">
        <v>43414.0</v>
      </c>
    </row>
    <row r="3240">
      <c r="A3240" s="217">
        <v>43414.70767989583</v>
      </c>
      <c r="B3240" s="218" t="s">
        <v>5184</v>
      </c>
      <c r="C3240" s="218" t="s">
        <v>6053</v>
      </c>
      <c r="D3240" s="219">
        <v>1.0</v>
      </c>
      <c r="E3240" s="218">
        <v>300.0</v>
      </c>
      <c r="G3240" s="220">
        <v>43414.0</v>
      </c>
    </row>
    <row r="3241">
      <c r="A3241" s="217">
        <v>43414.711189062495</v>
      </c>
      <c r="B3241" s="218" t="s">
        <v>5184</v>
      </c>
      <c r="C3241" s="218" t="s">
        <v>5818</v>
      </c>
      <c r="D3241" s="219">
        <v>1.0</v>
      </c>
      <c r="E3241" s="218">
        <v>300.0</v>
      </c>
      <c r="G3241" s="220">
        <v>43414.0</v>
      </c>
    </row>
    <row r="3242">
      <c r="A3242" s="217">
        <v>43414.712968148146</v>
      </c>
      <c r="B3242" s="218" t="s">
        <v>5184</v>
      </c>
      <c r="C3242" s="218" t="s">
        <v>6038</v>
      </c>
      <c r="D3242" s="219">
        <v>1.0</v>
      </c>
      <c r="E3242" s="218">
        <v>400.0</v>
      </c>
      <c r="G3242" s="220">
        <v>43414.0</v>
      </c>
    </row>
    <row r="3243">
      <c r="A3243" s="217">
        <v>43414.713655370375</v>
      </c>
      <c r="B3243" s="218" t="s">
        <v>5184</v>
      </c>
      <c r="C3243" s="218" t="s">
        <v>6053</v>
      </c>
      <c r="D3243" s="219">
        <v>1.0</v>
      </c>
      <c r="E3243" s="218">
        <v>300.0</v>
      </c>
      <c r="G3243" s="220">
        <v>43414.0</v>
      </c>
    </row>
    <row r="3244">
      <c r="A3244" s="217">
        <v>43414.71420751157</v>
      </c>
      <c r="B3244" s="218" t="s">
        <v>5184</v>
      </c>
      <c r="C3244" s="218" t="s">
        <v>5782</v>
      </c>
      <c r="D3244" s="219">
        <v>1.0</v>
      </c>
      <c r="E3244" s="218">
        <v>400.0</v>
      </c>
      <c r="G3244" s="220">
        <v>43414.0</v>
      </c>
    </row>
    <row r="3245">
      <c r="A3245" s="217">
        <v>43414.71469851852</v>
      </c>
      <c r="B3245" s="218" t="s">
        <v>5184</v>
      </c>
      <c r="C3245" s="218" t="s">
        <v>5845</v>
      </c>
      <c r="D3245" s="219">
        <v>1.0</v>
      </c>
      <c r="E3245" s="218">
        <v>500.0</v>
      </c>
      <c r="G3245" s="220">
        <v>43414.0</v>
      </c>
    </row>
    <row r="3246">
      <c r="A3246" s="217">
        <v>43414.7151252662</v>
      </c>
      <c r="B3246" s="218" t="s">
        <v>5184</v>
      </c>
      <c r="C3246" s="218" t="s">
        <v>284</v>
      </c>
      <c r="D3246" s="219">
        <v>1.0</v>
      </c>
      <c r="E3246" s="218">
        <v>400.0</v>
      </c>
      <c r="G3246" s="220">
        <v>43414.0</v>
      </c>
    </row>
    <row r="3247">
      <c r="A3247" s="217">
        <v>43414.722288495366</v>
      </c>
      <c r="B3247" s="218" t="s">
        <v>5184</v>
      </c>
      <c r="C3247" s="218" t="s">
        <v>5845</v>
      </c>
      <c r="D3247" s="219">
        <v>2.0</v>
      </c>
      <c r="E3247" s="218">
        <v>500.0</v>
      </c>
      <c r="G3247" s="220">
        <v>43414.0</v>
      </c>
    </row>
    <row r="3248">
      <c r="A3248" s="217">
        <v>43414.72281179398</v>
      </c>
      <c r="B3248" s="218" t="s">
        <v>5184</v>
      </c>
      <c r="C3248" s="218" t="s">
        <v>284</v>
      </c>
      <c r="D3248" s="219">
        <v>2.0</v>
      </c>
      <c r="E3248" s="218">
        <v>400.0</v>
      </c>
      <c r="G3248" s="220">
        <v>43414.0</v>
      </c>
    </row>
    <row r="3249">
      <c r="A3249" s="217">
        <v>43416.71452947917</v>
      </c>
      <c r="B3249" s="218" t="s">
        <v>5184</v>
      </c>
      <c r="C3249" s="218" t="s">
        <v>5818</v>
      </c>
      <c r="D3249" s="219">
        <v>1.0</v>
      </c>
      <c r="E3249" s="218">
        <v>300.0</v>
      </c>
      <c r="G3249" s="220">
        <v>43416.0</v>
      </c>
    </row>
    <row r="3250">
      <c r="A3250" s="217">
        <v>43416.71726730324</v>
      </c>
      <c r="B3250" s="218" t="s">
        <v>5184</v>
      </c>
      <c r="C3250" s="218" t="s">
        <v>6053</v>
      </c>
      <c r="D3250" s="219">
        <v>1.0</v>
      </c>
      <c r="E3250" s="218">
        <v>300.0</v>
      </c>
      <c r="G3250" s="220">
        <v>43416.0</v>
      </c>
    </row>
    <row r="3251">
      <c r="A3251" s="217">
        <v>43416.71814895833</v>
      </c>
      <c r="B3251" s="218" t="s">
        <v>5184</v>
      </c>
      <c r="C3251" s="218" t="s">
        <v>5782</v>
      </c>
      <c r="D3251" s="219">
        <v>1.0</v>
      </c>
      <c r="E3251" s="218">
        <v>400.0</v>
      </c>
      <c r="G3251" s="220">
        <v>43416.0</v>
      </c>
    </row>
    <row r="3252">
      <c r="A3252" s="217">
        <v>43416.71883842592</v>
      </c>
      <c r="B3252" s="218" t="s">
        <v>5184</v>
      </c>
      <c r="C3252" s="218" t="s">
        <v>6053</v>
      </c>
      <c r="D3252" s="219">
        <v>1.0</v>
      </c>
      <c r="E3252" s="218">
        <v>300.0</v>
      </c>
      <c r="G3252" s="220">
        <v>43416.0</v>
      </c>
    </row>
    <row r="3253">
      <c r="A3253" s="217">
        <v>43417.49972689815</v>
      </c>
      <c r="B3253" s="218" t="s">
        <v>5184</v>
      </c>
      <c r="C3253" s="218" t="s">
        <v>5428</v>
      </c>
      <c r="D3253" s="219">
        <v>1.0</v>
      </c>
      <c r="E3253" s="218">
        <v>3750.0</v>
      </c>
      <c r="G3253" s="220">
        <v>43417.0</v>
      </c>
    </row>
    <row r="3254">
      <c r="A3254" s="217">
        <v>43417.59979777777</v>
      </c>
      <c r="B3254" s="218" t="s">
        <v>5184</v>
      </c>
      <c r="C3254" s="218" t="s">
        <v>5786</v>
      </c>
      <c r="D3254" s="219">
        <v>1.0</v>
      </c>
      <c r="E3254" s="218">
        <v>300.0</v>
      </c>
      <c r="G3254" s="220">
        <v>43417.0</v>
      </c>
    </row>
    <row r="3255">
      <c r="A3255" s="217">
        <v>43417.60048060185</v>
      </c>
      <c r="B3255" s="218" t="s">
        <v>5184</v>
      </c>
      <c r="C3255" s="218" t="s">
        <v>6038</v>
      </c>
      <c r="D3255" s="219">
        <v>1.0</v>
      </c>
      <c r="E3255" s="218">
        <v>400.0</v>
      </c>
      <c r="G3255" s="220">
        <v>43417.0</v>
      </c>
    </row>
    <row r="3256">
      <c r="A3256" s="217">
        <v>43417.601297395835</v>
      </c>
      <c r="B3256" s="218" t="s">
        <v>5184</v>
      </c>
      <c r="C3256" s="218" t="s">
        <v>5818</v>
      </c>
      <c r="D3256" s="219">
        <v>1.0</v>
      </c>
      <c r="E3256" s="218">
        <v>300.0</v>
      </c>
      <c r="G3256" s="220">
        <v>43417.0</v>
      </c>
    </row>
    <row r="3257">
      <c r="A3257" s="217">
        <v>43417.601960266205</v>
      </c>
      <c r="B3257" s="218" t="s">
        <v>5184</v>
      </c>
      <c r="C3257" s="218" t="s">
        <v>6038</v>
      </c>
      <c r="D3257" s="219">
        <v>1.0</v>
      </c>
      <c r="E3257" s="218">
        <v>500.0</v>
      </c>
      <c r="G3257" s="220">
        <v>43417.0</v>
      </c>
    </row>
    <row r="3258">
      <c r="A3258" s="217">
        <v>43417.60298277778</v>
      </c>
      <c r="B3258" s="218" t="s">
        <v>5184</v>
      </c>
      <c r="C3258" s="218" t="s">
        <v>5782</v>
      </c>
      <c r="D3258" s="219">
        <v>1.0</v>
      </c>
      <c r="E3258" s="218">
        <v>400.0</v>
      </c>
      <c r="G3258" s="220">
        <v>43417.0</v>
      </c>
    </row>
    <row r="3259">
      <c r="A3259" s="217">
        <v>43417.60342594907</v>
      </c>
      <c r="B3259" s="218" t="s">
        <v>5184</v>
      </c>
      <c r="C3259" s="218" t="s">
        <v>6053</v>
      </c>
      <c r="D3259" s="219">
        <v>1.0</v>
      </c>
      <c r="E3259" s="218">
        <v>300.0</v>
      </c>
      <c r="G3259" s="220">
        <v>43417.0</v>
      </c>
    </row>
    <row r="3260">
      <c r="A3260" s="217">
        <v>43421.52232978009</v>
      </c>
      <c r="B3260" s="218" t="s">
        <v>5184</v>
      </c>
      <c r="C3260" s="218" t="s">
        <v>6038</v>
      </c>
      <c r="D3260" s="219">
        <v>1.0</v>
      </c>
      <c r="E3260" s="218">
        <v>400.0</v>
      </c>
      <c r="G3260" s="220">
        <v>43418.0</v>
      </c>
    </row>
    <row r="3261">
      <c r="A3261" s="217">
        <v>43421.52321648148</v>
      </c>
      <c r="B3261" s="218" t="s">
        <v>5184</v>
      </c>
      <c r="C3261" s="218" t="s">
        <v>5845</v>
      </c>
      <c r="D3261" s="219">
        <v>1.0</v>
      </c>
      <c r="E3261" s="218">
        <v>500.0</v>
      </c>
      <c r="G3261" s="220">
        <v>43418.0</v>
      </c>
    </row>
    <row r="3262">
      <c r="A3262" s="217">
        <v>43421.52381773148</v>
      </c>
      <c r="B3262" s="218" t="s">
        <v>5184</v>
      </c>
      <c r="C3262" s="218" t="s">
        <v>6053</v>
      </c>
      <c r="D3262" s="219">
        <v>1.0</v>
      </c>
      <c r="E3262" s="218">
        <v>300.0</v>
      </c>
      <c r="G3262" s="220">
        <v>43418.0</v>
      </c>
    </row>
    <row r="3263">
      <c r="A3263" s="217">
        <v>43421.52443193287</v>
      </c>
      <c r="B3263" s="218" t="s">
        <v>5184</v>
      </c>
      <c r="C3263" s="218" t="s">
        <v>5845</v>
      </c>
      <c r="D3263" s="219">
        <v>1.0</v>
      </c>
      <c r="E3263" s="218">
        <v>500.0</v>
      </c>
      <c r="G3263" s="220">
        <v>43418.0</v>
      </c>
    </row>
    <row r="3264">
      <c r="A3264" s="217">
        <v>43421.52501715277</v>
      </c>
      <c r="B3264" s="218" t="s">
        <v>5184</v>
      </c>
      <c r="C3264" s="218" t="s">
        <v>284</v>
      </c>
      <c r="D3264" s="219">
        <v>1.0</v>
      </c>
      <c r="E3264" s="218">
        <v>500.0</v>
      </c>
      <c r="G3264" s="220">
        <v>43418.0</v>
      </c>
    </row>
    <row r="3265">
      <c r="A3265" s="217">
        <v>43421.5255290625</v>
      </c>
      <c r="B3265" s="218" t="s">
        <v>5184</v>
      </c>
      <c r="C3265" s="218" t="s">
        <v>284</v>
      </c>
      <c r="D3265" s="219">
        <v>1.0</v>
      </c>
      <c r="E3265" s="218">
        <v>400.0</v>
      </c>
      <c r="G3265" s="220">
        <v>43418.0</v>
      </c>
    </row>
    <row r="3266">
      <c r="A3266" s="217">
        <v>43421.52785616898</v>
      </c>
      <c r="B3266" s="218" t="s">
        <v>5184</v>
      </c>
      <c r="C3266" s="218" t="s">
        <v>5782</v>
      </c>
      <c r="D3266" s="219">
        <v>1.0</v>
      </c>
      <c r="E3266" s="218">
        <v>400.0</v>
      </c>
      <c r="G3266" s="220">
        <v>43418.0</v>
      </c>
    </row>
    <row r="3267">
      <c r="A3267" s="217">
        <v>43421.53107309028</v>
      </c>
      <c r="B3267" s="218" t="s">
        <v>5184</v>
      </c>
      <c r="C3267" s="218" t="s">
        <v>284</v>
      </c>
      <c r="D3267" s="219">
        <v>1.0</v>
      </c>
      <c r="E3267" s="218">
        <v>400.0</v>
      </c>
      <c r="G3267" s="220">
        <v>43418.0</v>
      </c>
    </row>
    <row r="3268">
      <c r="A3268" s="217">
        <v>43421.53170017361</v>
      </c>
      <c r="B3268" s="218" t="s">
        <v>5184</v>
      </c>
      <c r="C3268" s="218" t="s">
        <v>5786</v>
      </c>
      <c r="D3268" s="219">
        <v>1.0</v>
      </c>
      <c r="E3268" s="218">
        <v>300.0</v>
      </c>
      <c r="G3268" s="220">
        <v>43419.0</v>
      </c>
    </row>
    <row r="3269">
      <c r="A3269" s="217">
        <v>43421.53220440973</v>
      </c>
      <c r="B3269" s="218" t="s">
        <v>5184</v>
      </c>
      <c r="C3269" s="218" t="s">
        <v>6053</v>
      </c>
      <c r="D3269" s="219">
        <v>1.0</v>
      </c>
      <c r="E3269" s="218">
        <v>300.0</v>
      </c>
      <c r="G3269" s="220">
        <v>43419.0</v>
      </c>
    </row>
    <row r="3270">
      <c r="A3270" s="217">
        <v>43421.53296614584</v>
      </c>
      <c r="B3270" s="218" t="s">
        <v>5184</v>
      </c>
      <c r="C3270" s="218" t="s">
        <v>5818</v>
      </c>
      <c r="D3270" s="219">
        <v>1.0</v>
      </c>
      <c r="E3270" s="218">
        <v>300.0</v>
      </c>
      <c r="G3270" s="220">
        <v>43419.0</v>
      </c>
    </row>
    <row r="3271">
      <c r="A3271" s="217">
        <v>43421.53544723379</v>
      </c>
      <c r="B3271" s="218" t="s">
        <v>5184</v>
      </c>
      <c r="C3271" s="218" t="s">
        <v>6053</v>
      </c>
      <c r="D3271" s="219">
        <v>1.0</v>
      </c>
      <c r="E3271" s="218">
        <v>300.0</v>
      </c>
      <c r="G3271" s="220">
        <v>43419.0</v>
      </c>
    </row>
    <row r="3272">
      <c r="A3272" s="217">
        <v>43421.568374826384</v>
      </c>
      <c r="B3272" s="218" t="s">
        <v>5184</v>
      </c>
      <c r="C3272" s="218" t="s">
        <v>6053</v>
      </c>
      <c r="D3272" s="219">
        <v>2.0</v>
      </c>
      <c r="E3272" s="218">
        <v>300.0</v>
      </c>
      <c r="G3272" s="220">
        <v>43420.0</v>
      </c>
    </row>
    <row r="3273">
      <c r="A3273" s="217">
        <v>43421.569407372685</v>
      </c>
      <c r="B3273" s="218" t="s">
        <v>5184</v>
      </c>
      <c r="C3273" s="218" t="s">
        <v>7002</v>
      </c>
      <c r="D3273" s="219">
        <v>1.0</v>
      </c>
      <c r="E3273" s="218">
        <v>1000.0</v>
      </c>
      <c r="G3273" s="220">
        <v>43420.0</v>
      </c>
    </row>
    <row r="3274">
      <c r="A3274" s="217">
        <v>43421.569824363425</v>
      </c>
      <c r="B3274" s="218" t="s">
        <v>5184</v>
      </c>
      <c r="C3274" s="218" t="s">
        <v>284</v>
      </c>
      <c r="D3274" s="219">
        <v>1.0</v>
      </c>
      <c r="E3274" s="218">
        <v>400.0</v>
      </c>
      <c r="G3274" s="220">
        <v>43420.0</v>
      </c>
    </row>
    <row r="3275">
      <c r="A3275" s="217">
        <v>43421.592018310184</v>
      </c>
      <c r="B3275" s="218" t="s">
        <v>5184</v>
      </c>
      <c r="C3275" s="218" t="s">
        <v>6662</v>
      </c>
      <c r="D3275" s="219">
        <v>1.0</v>
      </c>
      <c r="E3275" s="218">
        <v>8090.0</v>
      </c>
      <c r="G3275" s="220">
        <v>43421.0</v>
      </c>
    </row>
    <row r="3276">
      <c r="A3276" s="217">
        <v>43421.593007766205</v>
      </c>
      <c r="B3276" s="218" t="s">
        <v>5184</v>
      </c>
      <c r="C3276" s="218" t="s">
        <v>7328</v>
      </c>
      <c r="D3276" s="219">
        <v>1.0</v>
      </c>
      <c r="E3276" s="218">
        <v>8490.0</v>
      </c>
      <c r="G3276" s="220">
        <v>43421.0</v>
      </c>
    </row>
    <row r="3277">
      <c r="A3277" s="217">
        <v>43421.66405331019</v>
      </c>
      <c r="B3277" s="218" t="s">
        <v>5184</v>
      </c>
      <c r="C3277" s="218" t="s">
        <v>5848</v>
      </c>
      <c r="D3277" s="219">
        <v>1.0</v>
      </c>
      <c r="E3277" s="218">
        <v>1000.0</v>
      </c>
      <c r="G3277" s="220">
        <v>43421.0</v>
      </c>
    </row>
    <row r="3278">
      <c r="A3278" s="217">
        <v>43421.664576192125</v>
      </c>
      <c r="B3278" s="218" t="s">
        <v>5184</v>
      </c>
      <c r="C3278" s="218" t="s">
        <v>6053</v>
      </c>
      <c r="D3278" s="219">
        <v>1.0</v>
      </c>
      <c r="E3278" s="218">
        <v>300.0</v>
      </c>
      <c r="G3278" s="220">
        <v>43421.0</v>
      </c>
    </row>
    <row r="3279">
      <c r="A3279" s="217">
        <v>43421.66529252315</v>
      </c>
      <c r="B3279" s="218" t="s">
        <v>5184</v>
      </c>
      <c r="C3279" s="218" t="s">
        <v>5786</v>
      </c>
      <c r="D3279" s="219">
        <v>1.0</v>
      </c>
      <c r="E3279" s="218">
        <v>300.0</v>
      </c>
      <c r="G3279" s="220">
        <v>43421.0</v>
      </c>
    </row>
    <row r="3280">
      <c r="A3280" s="217">
        <v>43421.66636488426</v>
      </c>
      <c r="B3280" s="218" t="s">
        <v>5184</v>
      </c>
      <c r="C3280" s="218" t="s">
        <v>6053</v>
      </c>
      <c r="D3280" s="219">
        <v>1.0</v>
      </c>
      <c r="E3280" s="218">
        <v>300.0</v>
      </c>
      <c r="G3280" s="220">
        <v>43421.0</v>
      </c>
    </row>
    <row r="3281">
      <c r="A3281" s="217">
        <v>43421.6689633912</v>
      </c>
      <c r="B3281" s="218" t="s">
        <v>5184</v>
      </c>
      <c r="C3281" s="218" t="s">
        <v>5782</v>
      </c>
      <c r="D3281" s="219">
        <v>1.0</v>
      </c>
      <c r="E3281" s="218">
        <v>400.0</v>
      </c>
      <c r="G3281" s="220">
        <v>43421.0</v>
      </c>
    </row>
    <row r="3282">
      <c r="A3282" s="217">
        <v>43421.669427002314</v>
      </c>
      <c r="B3282" s="218" t="s">
        <v>5184</v>
      </c>
      <c r="C3282" s="218" t="s">
        <v>6053</v>
      </c>
      <c r="D3282" s="219">
        <v>1.0</v>
      </c>
      <c r="E3282" s="218">
        <v>300.0</v>
      </c>
      <c r="G3282" s="220">
        <v>43421.0</v>
      </c>
    </row>
    <row r="3283">
      <c r="A3283" s="217">
        <v>43421.67001998842</v>
      </c>
      <c r="B3283" s="218" t="s">
        <v>5184</v>
      </c>
      <c r="C3283" s="218" t="s">
        <v>6053</v>
      </c>
      <c r="D3283" s="219">
        <v>1.0</v>
      </c>
      <c r="E3283" s="218">
        <v>300.0</v>
      </c>
      <c r="G3283" s="220">
        <v>43421.0</v>
      </c>
    </row>
    <row r="3284">
      <c r="A3284" s="217">
        <v>43421.67063972222</v>
      </c>
      <c r="B3284" s="218" t="s">
        <v>5184</v>
      </c>
      <c r="C3284" s="218" t="s">
        <v>5786</v>
      </c>
      <c r="D3284" s="219">
        <v>1.0</v>
      </c>
      <c r="E3284" s="218">
        <v>300.0</v>
      </c>
      <c r="G3284" s="220">
        <v>43421.0</v>
      </c>
    </row>
    <row r="3285">
      <c r="A3285" s="217">
        <v>43421.67181642361</v>
      </c>
      <c r="B3285" s="218" t="s">
        <v>5184</v>
      </c>
      <c r="C3285" s="218" t="s">
        <v>6053</v>
      </c>
      <c r="D3285" s="219">
        <v>1.0</v>
      </c>
      <c r="E3285" s="218">
        <v>300.0</v>
      </c>
      <c r="G3285" s="220">
        <v>43421.0</v>
      </c>
    </row>
    <row r="3286">
      <c r="A3286" s="217">
        <v>43421.67323905093</v>
      </c>
      <c r="B3286" s="218" t="s">
        <v>5184</v>
      </c>
      <c r="C3286" s="218" t="s">
        <v>5976</v>
      </c>
      <c r="D3286" s="219">
        <v>1.0</v>
      </c>
      <c r="E3286" s="218">
        <v>300.0</v>
      </c>
      <c r="G3286" s="220">
        <v>43421.0</v>
      </c>
    </row>
    <row r="3287">
      <c r="A3287" s="217">
        <v>43421.67370585648</v>
      </c>
      <c r="B3287" s="218" t="s">
        <v>5184</v>
      </c>
      <c r="C3287" s="218" t="s">
        <v>6038</v>
      </c>
      <c r="D3287" s="219">
        <v>1.0</v>
      </c>
      <c r="E3287" s="218">
        <v>400.0</v>
      </c>
      <c r="G3287" s="220">
        <v>43421.0</v>
      </c>
    </row>
    <row r="3288">
      <c r="A3288" s="217">
        <v>43421.721027685184</v>
      </c>
      <c r="B3288" s="218" t="s">
        <v>2322</v>
      </c>
      <c r="C3288" s="218" t="s">
        <v>6324</v>
      </c>
      <c r="D3288" s="219">
        <v>1.0</v>
      </c>
      <c r="E3288" s="24"/>
      <c r="G3288" s="220">
        <v>43421.0</v>
      </c>
    </row>
    <row r="3289">
      <c r="A3289" s="217">
        <v>43422.600697800925</v>
      </c>
      <c r="B3289" s="218" t="s">
        <v>5184</v>
      </c>
      <c r="C3289" s="218" t="s">
        <v>5282</v>
      </c>
      <c r="D3289" s="219">
        <v>1.0</v>
      </c>
      <c r="E3289" s="218">
        <v>6690.0</v>
      </c>
      <c r="G3289" s="220">
        <v>43422.0</v>
      </c>
    </row>
    <row r="3290">
      <c r="A3290" s="217">
        <v>43422.738587858796</v>
      </c>
      <c r="B3290" s="218" t="s">
        <v>5184</v>
      </c>
      <c r="C3290" s="218" t="s">
        <v>6053</v>
      </c>
      <c r="D3290" s="219">
        <v>1.0</v>
      </c>
      <c r="E3290" s="218">
        <v>300.0</v>
      </c>
      <c r="G3290" s="220">
        <v>43422.0</v>
      </c>
    </row>
    <row r="3291">
      <c r="A3291" s="217">
        <v>43424.54232390046</v>
      </c>
      <c r="B3291" s="218" t="s">
        <v>5184</v>
      </c>
      <c r="C3291" s="218" t="s">
        <v>7338</v>
      </c>
      <c r="D3291" s="219">
        <v>1.0</v>
      </c>
      <c r="E3291" s="218">
        <v>2380.0</v>
      </c>
      <c r="G3291" s="220">
        <v>43417.0</v>
      </c>
    </row>
    <row r="3292">
      <c r="A3292" s="217">
        <v>43424.54361258102</v>
      </c>
      <c r="B3292" s="218" t="s">
        <v>5184</v>
      </c>
      <c r="C3292" s="218" t="s">
        <v>5786</v>
      </c>
      <c r="D3292" s="219">
        <v>1.0</v>
      </c>
      <c r="E3292" s="218">
        <v>300.0</v>
      </c>
      <c r="G3292" s="220">
        <v>43423.0</v>
      </c>
    </row>
    <row r="3293">
      <c r="A3293" s="217">
        <v>43424.54410489583</v>
      </c>
      <c r="B3293" s="218" t="s">
        <v>5184</v>
      </c>
      <c r="C3293" s="218" t="s">
        <v>6038</v>
      </c>
      <c r="D3293" s="219">
        <v>1.0</v>
      </c>
      <c r="E3293" s="218">
        <v>400.0</v>
      </c>
      <c r="G3293" s="220">
        <v>43423.0</v>
      </c>
    </row>
    <row r="3294">
      <c r="A3294" s="217">
        <v>43424.54462821759</v>
      </c>
      <c r="B3294" s="218" t="s">
        <v>5184</v>
      </c>
      <c r="C3294" s="218" t="s">
        <v>5786</v>
      </c>
      <c r="D3294" s="219">
        <v>1.0</v>
      </c>
      <c r="E3294" s="218">
        <v>300.0</v>
      </c>
      <c r="G3294" s="220">
        <v>43424.0</v>
      </c>
    </row>
    <row r="3295">
      <c r="A3295" s="217">
        <v>43424.54509842592</v>
      </c>
      <c r="B3295" s="218" t="s">
        <v>5184</v>
      </c>
      <c r="C3295" s="218" t="s">
        <v>6053</v>
      </c>
      <c r="D3295" s="219">
        <v>1.0</v>
      </c>
      <c r="E3295" s="218">
        <v>300.0</v>
      </c>
      <c r="G3295" s="220">
        <v>43424.0</v>
      </c>
    </row>
    <row r="3296">
      <c r="A3296" s="217">
        <v>43424.576691875</v>
      </c>
      <c r="B3296" s="218" t="s">
        <v>5092</v>
      </c>
      <c r="C3296" s="218" t="s">
        <v>7339</v>
      </c>
      <c r="D3296" s="219">
        <v>1.0</v>
      </c>
      <c r="E3296" s="218">
        <v>3800.0</v>
      </c>
      <c r="G3296" s="220">
        <v>43424.0</v>
      </c>
    </row>
    <row r="3297">
      <c r="A3297" s="217">
        <v>43424.57741017361</v>
      </c>
      <c r="B3297" s="218" t="s">
        <v>5092</v>
      </c>
      <c r="C3297" s="218" t="s">
        <v>7340</v>
      </c>
      <c r="D3297" s="219">
        <v>1.0</v>
      </c>
      <c r="E3297" s="218">
        <v>3800.0</v>
      </c>
      <c r="G3297" s="220">
        <v>43424.0</v>
      </c>
    </row>
    <row r="3298">
      <c r="A3298" s="217">
        <v>43424.589281168985</v>
      </c>
      <c r="B3298" s="218" t="s">
        <v>5092</v>
      </c>
      <c r="C3298" s="218" t="s">
        <v>7341</v>
      </c>
      <c r="D3298" s="219">
        <v>1.0</v>
      </c>
      <c r="E3298" s="218">
        <v>3800.0</v>
      </c>
      <c r="G3298" s="220">
        <v>43424.0</v>
      </c>
    </row>
    <row r="3299">
      <c r="A3299" s="217">
        <v>43428.708239224536</v>
      </c>
      <c r="B3299" s="218" t="s">
        <v>5184</v>
      </c>
      <c r="C3299" s="218" t="s">
        <v>6053</v>
      </c>
      <c r="D3299" s="219">
        <v>1.0</v>
      </c>
      <c r="E3299" s="218">
        <v>300.0</v>
      </c>
      <c r="G3299" s="220">
        <v>43424.0</v>
      </c>
    </row>
    <row r="3300">
      <c r="A3300" s="217">
        <v>43428.708910625</v>
      </c>
      <c r="B3300" s="218" t="s">
        <v>5184</v>
      </c>
      <c r="C3300" s="218" t="s">
        <v>6053</v>
      </c>
      <c r="D3300" s="219">
        <v>1.0</v>
      </c>
      <c r="E3300" s="218">
        <v>300.0</v>
      </c>
      <c r="G3300" s="220">
        <v>43424.0</v>
      </c>
    </row>
    <row r="3301">
      <c r="A3301" s="217">
        <v>43428.7095941088</v>
      </c>
      <c r="B3301" s="218" t="s">
        <v>5184</v>
      </c>
      <c r="C3301" s="218" t="s">
        <v>5789</v>
      </c>
      <c r="D3301" s="219">
        <v>1.0</v>
      </c>
      <c r="E3301" s="218">
        <v>400.0</v>
      </c>
      <c r="G3301" s="220">
        <v>43425.0</v>
      </c>
    </row>
    <row r="3302">
      <c r="A3302" s="217">
        <v>43428.71072358797</v>
      </c>
      <c r="B3302" s="218" t="s">
        <v>5184</v>
      </c>
      <c r="C3302" s="218" t="s">
        <v>6053</v>
      </c>
      <c r="D3302" s="219">
        <v>1.0</v>
      </c>
      <c r="E3302" s="218">
        <v>300.0</v>
      </c>
      <c r="G3302" s="220">
        <v>43425.0</v>
      </c>
    </row>
    <row r="3303">
      <c r="A3303" s="217">
        <v>43428.711309583334</v>
      </c>
      <c r="B3303" s="218" t="s">
        <v>5184</v>
      </c>
      <c r="C3303" s="218" t="s">
        <v>6036</v>
      </c>
      <c r="D3303" s="219">
        <v>1.0</v>
      </c>
      <c r="E3303" s="218">
        <v>400.0</v>
      </c>
      <c r="G3303" s="220">
        <v>43425.0</v>
      </c>
    </row>
    <row r="3304">
      <c r="A3304" s="217">
        <v>43428.711725243054</v>
      </c>
      <c r="B3304" s="218" t="s">
        <v>5184</v>
      </c>
      <c r="C3304" s="218" t="s">
        <v>6053</v>
      </c>
      <c r="D3304" s="219">
        <v>1.0</v>
      </c>
      <c r="E3304" s="218">
        <v>300.0</v>
      </c>
      <c r="G3304" s="220">
        <v>43425.0</v>
      </c>
    </row>
    <row r="3305">
      <c r="A3305" s="217">
        <v>43428.71231523148</v>
      </c>
      <c r="B3305" s="218" t="s">
        <v>5184</v>
      </c>
      <c r="C3305" s="218" t="s">
        <v>7007</v>
      </c>
      <c r="D3305" s="219">
        <v>1.0</v>
      </c>
      <c r="E3305" s="218">
        <v>2200.0</v>
      </c>
      <c r="G3305" s="220">
        <v>43426.0</v>
      </c>
    </row>
    <row r="3306">
      <c r="A3306" s="217">
        <v>43428.71290009259</v>
      </c>
      <c r="B3306" s="218" t="s">
        <v>5184</v>
      </c>
      <c r="C3306" s="218" t="s">
        <v>5845</v>
      </c>
      <c r="D3306" s="219">
        <v>1.0</v>
      </c>
      <c r="E3306" s="218">
        <v>500.0</v>
      </c>
      <c r="G3306" s="220">
        <v>43426.0</v>
      </c>
    </row>
    <row r="3307">
      <c r="A3307" s="217">
        <v>43428.71341145833</v>
      </c>
      <c r="B3307" s="218" t="s">
        <v>5184</v>
      </c>
      <c r="C3307" s="218" t="s">
        <v>6053</v>
      </c>
      <c r="D3307" s="219">
        <v>1.0</v>
      </c>
      <c r="E3307" s="218">
        <v>300.0</v>
      </c>
      <c r="G3307" s="220">
        <v>43426.0</v>
      </c>
    </row>
    <row r="3308">
      <c r="A3308" s="217">
        <v>43428.713927199075</v>
      </c>
      <c r="B3308" s="218" t="s">
        <v>5184</v>
      </c>
      <c r="C3308" s="218" t="s">
        <v>6053</v>
      </c>
      <c r="D3308" s="219">
        <v>1.0</v>
      </c>
      <c r="E3308" s="218">
        <v>300.0</v>
      </c>
      <c r="G3308" s="220">
        <v>43426.0</v>
      </c>
    </row>
    <row r="3309">
      <c r="A3309" s="217">
        <v>43428.71455829861</v>
      </c>
      <c r="B3309" s="218" t="s">
        <v>5184</v>
      </c>
      <c r="C3309" s="218" t="s">
        <v>5845</v>
      </c>
      <c r="D3309" s="219">
        <v>1.0</v>
      </c>
      <c r="E3309" s="218">
        <v>500.0</v>
      </c>
      <c r="G3309" s="220">
        <v>43427.0</v>
      </c>
    </row>
    <row r="3310">
      <c r="A3310" s="217">
        <v>43428.715047314814</v>
      </c>
      <c r="B3310" s="218" t="s">
        <v>5184</v>
      </c>
      <c r="C3310" s="218" t="s">
        <v>6053</v>
      </c>
      <c r="D3310" s="219">
        <v>1.0</v>
      </c>
      <c r="E3310" s="218">
        <v>300.0</v>
      </c>
      <c r="G3310" s="220">
        <v>43427.0</v>
      </c>
    </row>
    <row r="3311">
      <c r="A3311" s="217">
        <v>43428.7156531713</v>
      </c>
      <c r="B3311" s="218" t="s">
        <v>5184</v>
      </c>
      <c r="C3311" s="218" t="s">
        <v>6001</v>
      </c>
      <c r="D3311" s="219">
        <v>1.0</v>
      </c>
      <c r="E3311" s="218">
        <v>500.0</v>
      </c>
      <c r="G3311" s="220">
        <v>43427.0</v>
      </c>
    </row>
    <row r="3312">
      <c r="A3312" s="217">
        <v>43428.716546157404</v>
      </c>
      <c r="B3312" s="218" t="s">
        <v>5184</v>
      </c>
      <c r="C3312" s="218" t="s">
        <v>6038</v>
      </c>
      <c r="D3312" s="219">
        <v>1.0</v>
      </c>
      <c r="E3312" s="218">
        <v>300.0</v>
      </c>
      <c r="G3312" s="220">
        <v>43427.0</v>
      </c>
    </row>
    <row r="3313">
      <c r="A3313" s="217">
        <v>43428.71804206018</v>
      </c>
      <c r="B3313" s="218" t="s">
        <v>5184</v>
      </c>
      <c r="C3313" s="218" t="s">
        <v>5845</v>
      </c>
      <c r="D3313" s="219">
        <v>1.0</v>
      </c>
      <c r="E3313" s="218">
        <v>500.0</v>
      </c>
      <c r="G3313" s="220">
        <v>43427.0</v>
      </c>
    </row>
    <row r="3314">
      <c r="A3314" s="217">
        <v>43428.72114333333</v>
      </c>
      <c r="B3314" s="218" t="s">
        <v>5184</v>
      </c>
      <c r="C3314" s="218" t="s">
        <v>6053</v>
      </c>
      <c r="D3314" s="219">
        <v>1.0</v>
      </c>
      <c r="E3314" s="218">
        <v>300.0</v>
      </c>
      <c r="G3314" s="220">
        <v>43427.0</v>
      </c>
    </row>
    <row r="3315">
      <c r="A3315" s="217">
        <v>43428.72186738426</v>
      </c>
      <c r="B3315" s="218" t="s">
        <v>5184</v>
      </c>
      <c r="C3315" s="218" t="s">
        <v>6304</v>
      </c>
      <c r="D3315" s="219">
        <v>1.0</v>
      </c>
      <c r="E3315" s="218">
        <v>1000.0</v>
      </c>
      <c r="G3315" s="220">
        <v>43427.0</v>
      </c>
    </row>
    <row r="3316">
      <c r="A3316" s="217">
        <v>43428.72235127314</v>
      </c>
      <c r="B3316" s="218" t="s">
        <v>5184</v>
      </c>
      <c r="C3316" s="218" t="s">
        <v>284</v>
      </c>
      <c r="D3316" s="219">
        <v>1.0</v>
      </c>
      <c r="E3316" s="218">
        <v>400.0</v>
      </c>
      <c r="G3316" s="220">
        <v>43427.0</v>
      </c>
    </row>
    <row r="3317">
      <c r="A3317" s="217">
        <v>43428.72301534722</v>
      </c>
      <c r="B3317" s="218" t="s">
        <v>5184</v>
      </c>
      <c r="C3317" s="218" t="s">
        <v>6001</v>
      </c>
      <c r="D3317" s="219">
        <v>1.0</v>
      </c>
      <c r="E3317" s="218">
        <v>500.0</v>
      </c>
      <c r="G3317" s="220">
        <v>43427.0</v>
      </c>
    </row>
    <row r="3318">
      <c r="A3318" s="217">
        <v>43428.72353480324</v>
      </c>
      <c r="B3318" s="218" t="s">
        <v>5184</v>
      </c>
      <c r="C3318" s="218" t="s">
        <v>6053</v>
      </c>
      <c r="D3318" s="219">
        <v>1.0</v>
      </c>
      <c r="E3318" s="218">
        <v>300.0</v>
      </c>
      <c r="G3318" s="220">
        <v>43427.0</v>
      </c>
    </row>
    <row r="3319">
      <c r="A3319" s="217">
        <v>43428.724133194446</v>
      </c>
      <c r="B3319" s="218" t="s">
        <v>5184</v>
      </c>
      <c r="C3319" s="218" t="s">
        <v>5818</v>
      </c>
      <c r="D3319" s="219">
        <v>1.0</v>
      </c>
      <c r="E3319" s="218">
        <v>300.0</v>
      </c>
      <c r="G3319" s="220">
        <v>43427.0</v>
      </c>
    </row>
    <row r="3320">
      <c r="A3320" s="217">
        <v>43428.72460785879</v>
      </c>
      <c r="B3320" s="218" t="s">
        <v>5184</v>
      </c>
      <c r="C3320" s="218" t="s">
        <v>6053</v>
      </c>
      <c r="D3320" s="219">
        <v>1.0</v>
      </c>
      <c r="E3320" s="218">
        <v>300.0</v>
      </c>
      <c r="G3320" s="220">
        <v>43427.0</v>
      </c>
    </row>
    <row r="3321">
      <c r="A3321" s="217">
        <v>43432.41251642361</v>
      </c>
      <c r="B3321" s="218" t="s">
        <v>5092</v>
      </c>
      <c r="C3321" s="218" t="s">
        <v>7349</v>
      </c>
      <c r="D3321" s="219">
        <v>108.0</v>
      </c>
      <c r="E3321" s="218">
        <v>400.0</v>
      </c>
      <c r="G3321" s="220">
        <v>43432.0</v>
      </c>
    </row>
    <row r="3322">
      <c r="A3322" s="217">
        <v>43432.41551020833</v>
      </c>
      <c r="B3322" s="218" t="s">
        <v>5092</v>
      </c>
      <c r="C3322" s="218" t="s">
        <v>7351</v>
      </c>
      <c r="D3322" s="219">
        <v>92.0</v>
      </c>
      <c r="E3322" s="218">
        <v>400.0</v>
      </c>
      <c r="G3322" s="220">
        <v>43432.0</v>
      </c>
    </row>
    <row r="3323">
      <c r="A3323" s="217">
        <v>43432.47194682871</v>
      </c>
      <c r="B3323" s="218" t="s">
        <v>5092</v>
      </c>
      <c r="C3323" s="218" t="s">
        <v>7352</v>
      </c>
      <c r="D3323" s="219">
        <v>201.0</v>
      </c>
      <c r="E3323" s="218">
        <v>400.0</v>
      </c>
      <c r="F3323" s="3" t="s">
        <v>5787</v>
      </c>
      <c r="G3323" s="220">
        <v>43432.0</v>
      </c>
    </row>
    <row r="3324">
      <c r="A3324" s="217">
        <v>43432.474150636575</v>
      </c>
      <c r="B3324" s="218" t="s">
        <v>5092</v>
      </c>
      <c r="C3324" s="218" t="s">
        <v>7354</v>
      </c>
      <c r="D3324" s="219">
        <v>79.0</v>
      </c>
      <c r="E3324" s="218">
        <v>400.0</v>
      </c>
      <c r="G3324" s="220">
        <v>43432.0</v>
      </c>
    </row>
    <row r="3325">
      <c r="A3325" s="217">
        <v>43432.47789193287</v>
      </c>
      <c r="B3325" s="218" t="s">
        <v>5184</v>
      </c>
      <c r="C3325" s="218" t="s">
        <v>1789</v>
      </c>
      <c r="D3325" s="219">
        <v>1.0</v>
      </c>
      <c r="E3325" s="218">
        <v>800.0</v>
      </c>
      <c r="G3325" s="220">
        <v>43428.0</v>
      </c>
    </row>
    <row r="3326">
      <c r="A3326" s="217">
        <v>43432.4794428125</v>
      </c>
      <c r="B3326" s="218" t="s">
        <v>5184</v>
      </c>
      <c r="C3326" s="218" t="s">
        <v>284</v>
      </c>
      <c r="D3326" s="219">
        <v>1.0</v>
      </c>
      <c r="E3326" s="218">
        <v>400.0</v>
      </c>
      <c r="G3326" s="220">
        <v>43428.0</v>
      </c>
    </row>
    <row r="3327">
      <c r="A3327" s="217">
        <v>43432.48036528935</v>
      </c>
      <c r="B3327" s="218" t="s">
        <v>5184</v>
      </c>
      <c r="C3327" s="218" t="s">
        <v>1789</v>
      </c>
      <c r="D3327" s="219">
        <v>1.0</v>
      </c>
      <c r="E3327" s="218">
        <v>800.0</v>
      </c>
      <c r="G3327" s="220">
        <v>43428.0</v>
      </c>
    </row>
    <row r="3328">
      <c r="A3328" s="217">
        <v>43432.48148714121</v>
      </c>
      <c r="B3328" s="218" t="s">
        <v>5184</v>
      </c>
      <c r="C3328" s="218" t="s">
        <v>5848</v>
      </c>
      <c r="D3328" s="219">
        <v>1.0</v>
      </c>
      <c r="E3328" s="218">
        <v>1000.0</v>
      </c>
      <c r="G3328" s="220">
        <v>43428.0</v>
      </c>
    </row>
    <row r="3329">
      <c r="A3329" s="217">
        <v>43432.48233320602</v>
      </c>
      <c r="B3329" s="218" t="s">
        <v>5184</v>
      </c>
      <c r="C3329" s="218" t="s">
        <v>6053</v>
      </c>
      <c r="D3329" s="219">
        <v>1.0</v>
      </c>
      <c r="E3329" s="218">
        <v>300.0</v>
      </c>
      <c r="G3329" s="220">
        <v>43428.0</v>
      </c>
    </row>
    <row r="3330">
      <c r="A3330" s="217">
        <v>43432.482919814815</v>
      </c>
      <c r="B3330" s="218" t="s">
        <v>5184</v>
      </c>
      <c r="C3330" s="218" t="s">
        <v>244</v>
      </c>
      <c r="D3330" s="219">
        <v>1.0</v>
      </c>
      <c r="E3330" s="218">
        <v>400.0</v>
      </c>
      <c r="G3330" s="220">
        <v>43428.0</v>
      </c>
    </row>
    <row r="3331">
      <c r="A3331" s="217">
        <v>43432.48788915509</v>
      </c>
      <c r="B3331" s="218" t="s">
        <v>5184</v>
      </c>
      <c r="C3331" s="218" t="s">
        <v>5786</v>
      </c>
      <c r="D3331" s="219">
        <v>1.0</v>
      </c>
      <c r="E3331" s="218">
        <v>300.0</v>
      </c>
      <c r="G3331" s="220">
        <v>43428.0</v>
      </c>
    </row>
    <row r="3332">
      <c r="A3332" s="217">
        <v>43432.48843293982</v>
      </c>
      <c r="B3332" s="218" t="s">
        <v>5184</v>
      </c>
      <c r="C3332" s="218" t="s">
        <v>6053</v>
      </c>
      <c r="D3332" s="219">
        <v>1.0</v>
      </c>
      <c r="E3332" s="218">
        <v>300.0</v>
      </c>
      <c r="G3332" s="220">
        <v>43428.0</v>
      </c>
    </row>
    <row r="3333">
      <c r="A3333" s="217">
        <v>43432.48937628472</v>
      </c>
      <c r="B3333" s="218" t="s">
        <v>5184</v>
      </c>
      <c r="C3333" s="218" t="s">
        <v>5782</v>
      </c>
      <c r="D3333" s="219">
        <v>1.0</v>
      </c>
      <c r="E3333" s="218">
        <v>400.0</v>
      </c>
      <c r="G3333" s="220">
        <v>43429.0</v>
      </c>
    </row>
    <row r="3334">
      <c r="A3334" s="217">
        <v>43432.49031835648</v>
      </c>
      <c r="B3334" s="218" t="s">
        <v>5184</v>
      </c>
      <c r="C3334" s="218" t="s">
        <v>6053</v>
      </c>
      <c r="D3334" s="219">
        <v>1.0</v>
      </c>
      <c r="E3334" s="218">
        <v>300.0</v>
      </c>
      <c r="G3334" s="220">
        <v>43429.0</v>
      </c>
    </row>
    <row r="3335">
      <c r="A3335" s="217">
        <v>43432.49095076389</v>
      </c>
      <c r="B3335" s="218" t="s">
        <v>5184</v>
      </c>
      <c r="C3335" s="218" t="s">
        <v>5782</v>
      </c>
      <c r="D3335" s="219">
        <v>1.0</v>
      </c>
      <c r="E3335" s="218">
        <v>400.0</v>
      </c>
      <c r="G3335" s="220">
        <v>43429.0</v>
      </c>
    </row>
    <row r="3336">
      <c r="A3336" s="217">
        <v>43432.49154017361</v>
      </c>
      <c r="B3336" s="218" t="s">
        <v>5184</v>
      </c>
      <c r="C3336" s="218" t="s">
        <v>6053</v>
      </c>
      <c r="D3336" s="219">
        <v>1.0</v>
      </c>
      <c r="E3336" s="218">
        <v>300.0</v>
      </c>
      <c r="G3336" s="220">
        <v>43429.0</v>
      </c>
    </row>
    <row r="3337">
      <c r="A3337" s="217">
        <v>43432.49475486111</v>
      </c>
      <c r="B3337" s="218" t="s">
        <v>5184</v>
      </c>
      <c r="C3337" s="218" t="s">
        <v>5786</v>
      </c>
      <c r="D3337" s="219">
        <v>1.0</v>
      </c>
      <c r="E3337" s="218">
        <v>300.0</v>
      </c>
      <c r="G3337" s="220">
        <v>43430.0</v>
      </c>
    </row>
    <row r="3338">
      <c r="A3338" s="217">
        <v>43432.495398935185</v>
      </c>
      <c r="B3338" s="218" t="s">
        <v>5184</v>
      </c>
      <c r="C3338" s="218" t="s">
        <v>6053</v>
      </c>
      <c r="D3338" s="219">
        <v>1.0</v>
      </c>
      <c r="E3338" s="218">
        <v>300.0</v>
      </c>
      <c r="G3338" s="220">
        <v>43430.0</v>
      </c>
    </row>
    <row r="3339">
      <c r="A3339" s="217">
        <v>43432.51778450231</v>
      </c>
      <c r="B3339" s="218" t="s">
        <v>5184</v>
      </c>
      <c r="C3339" s="218" t="s">
        <v>5789</v>
      </c>
      <c r="D3339" s="219">
        <v>1.0</v>
      </c>
      <c r="E3339" s="218">
        <v>400.0</v>
      </c>
      <c r="G3339" s="220">
        <v>43430.0</v>
      </c>
    </row>
    <row r="3340">
      <c r="A3340" s="217">
        <v>43432.518468090275</v>
      </c>
      <c r="B3340" s="218" t="s">
        <v>5184</v>
      </c>
      <c r="C3340" s="218" t="s">
        <v>6053</v>
      </c>
      <c r="D3340" s="219">
        <v>1.0</v>
      </c>
      <c r="E3340" s="218">
        <v>300.0</v>
      </c>
      <c r="G3340" s="220">
        <v>43430.0</v>
      </c>
    </row>
    <row r="3341">
      <c r="A3341" s="217">
        <v>43432.51907954861</v>
      </c>
      <c r="B3341" s="218" t="s">
        <v>5184</v>
      </c>
      <c r="C3341" s="218" t="s">
        <v>5786</v>
      </c>
      <c r="D3341" s="219">
        <v>1.0</v>
      </c>
      <c r="E3341" s="218">
        <v>300.0</v>
      </c>
      <c r="G3341" s="220">
        <v>43430.0</v>
      </c>
    </row>
    <row r="3342">
      <c r="A3342" s="217">
        <v>43432.51973922453</v>
      </c>
      <c r="B3342" s="218" t="s">
        <v>5184</v>
      </c>
      <c r="C3342" s="218" t="s">
        <v>6053</v>
      </c>
      <c r="D3342" s="219">
        <v>1.0</v>
      </c>
      <c r="E3342" s="218">
        <v>300.0</v>
      </c>
      <c r="G3342" s="220">
        <v>43430.0</v>
      </c>
    </row>
    <row r="3343">
      <c r="A3343" s="217">
        <v>43432.524099421295</v>
      </c>
      <c r="B3343" s="218" t="s">
        <v>5184</v>
      </c>
      <c r="C3343" s="218" t="s">
        <v>5786</v>
      </c>
      <c r="D3343" s="219">
        <v>1.0</v>
      </c>
      <c r="E3343" s="218">
        <v>300.0</v>
      </c>
      <c r="G3343" s="220">
        <v>43430.0</v>
      </c>
    </row>
    <row r="3344">
      <c r="A3344" s="217">
        <v>43432.524651307875</v>
      </c>
      <c r="B3344" s="218" t="s">
        <v>5184</v>
      </c>
      <c r="C3344" s="218" t="s">
        <v>6053</v>
      </c>
      <c r="D3344" s="219">
        <v>1.0</v>
      </c>
      <c r="E3344" s="218">
        <v>300.0</v>
      </c>
      <c r="G3344" s="220">
        <v>43430.0</v>
      </c>
    </row>
    <row r="3345">
      <c r="A3345" s="217">
        <v>43432.533828680556</v>
      </c>
      <c r="B3345" s="218" t="s">
        <v>5184</v>
      </c>
      <c r="C3345" s="218" t="s">
        <v>1946</v>
      </c>
      <c r="D3345" s="219">
        <v>1.0</v>
      </c>
      <c r="E3345" s="218">
        <v>4790.0</v>
      </c>
      <c r="G3345" s="220">
        <v>43431.0</v>
      </c>
    </row>
    <row r="3346">
      <c r="A3346" s="217">
        <v>43432.54776018519</v>
      </c>
      <c r="B3346" s="218" t="s">
        <v>5184</v>
      </c>
      <c r="C3346" s="218" t="s">
        <v>6304</v>
      </c>
      <c r="D3346" s="219">
        <v>1.0</v>
      </c>
      <c r="E3346" s="218">
        <v>1000.0</v>
      </c>
      <c r="G3346" s="220">
        <v>43423.0</v>
      </c>
    </row>
    <row r="3347">
      <c r="A3347" s="217">
        <v>43433.61078650463</v>
      </c>
      <c r="B3347" s="218" t="s">
        <v>5184</v>
      </c>
      <c r="C3347" s="218" t="s">
        <v>7367</v>
      </c>
      <c r="D3347" s="219">
        <v>1.0</v>
      </c>
      <c r="E3347" s="218">
        <v>400.0</v>
      </c>
      <c r="G3347" s="220">
        <v>43432.0</v>
      </c>
    </row>
    <row r="3348">
      <c r="A3348" s="217">
        <v>43436.74321172453</v>
      </c>
      <c r="B3348" s="218" t="s">
        <v>5184</v>
      </c>
      <c r="C3348" s="218" t="s">
        <v>7370</v>
      </c>
      <c r="D3348" s="219">
        <v>1.0</v>
      </c>
      <c r="E3348" s="218">
        <v>2450.0</v>
      </c>
      <c r="G3348" s="220">
        <v>43434.0</v>
      </c>
    </row>
    <row r="3349">
      <c r="A3349" s="217">
        <v>43436.74394422454</v>
      </c>
      <c r="B3349" s="218" t="s">
        <v>5184</v>
      </c>
      <c r="C3349" s="218" t="s">
        <v>242</v>
      </c>
      <c r="D3349" s="219">
        <v>1.0</v>
      </c>
      <c r="E3349" s="218">
        <v>1600.0</v>
      </c>
      <c r="G3349" s="220">
        <v>43434.0</v>
      </c>
    </row>
    <row r="3350">
      <c r="A3350" s="217">
        <v>43436.74463082176</v>
      </c>
      <c r="B3350" s="218" t="s">
        <v>5184</v>
      </c>
      <c r="C3350" s="218" t="s">
        <v>7373</v>
      </c>
      <c r="D3350" s="219">
        <v>1.0</v>
      </c>
      <c r="E3350" s="218">
        <v>2450.0</v>
      </c>
      <c r="G3350" s="220">
        <v>43434.0</v>
      </c>
    </row>
    <row r="3351">
      <c r="A3351" s="217">
        <v>43436.74551835648</v>
      </c>
      <c r="B3351" s="218" t="s">
        <v>5184</v>
      </c>
      <c r="C3351" s="218" t="s">
        <v>242</v>
      </c>
      <c r="D3351" s="219">
        <v>1.0</v>
      </c>
      <c r="E3351" s="218">
        <v>1600.0</v>
      </c>
      <c r="G3351" s="220">
        <v>43434.0</v>
      </c>
    </row>
    <row r="3352">
      <c r="A3352" s="217">
        <v>43436.746096250004</v>
      </c>
      <c r="B3352" s="218" t="s">
        <v>5184</v>
      </c>
      <c r="C3352" s="218" t="s">
        <v>7002</v>
      </c>
      <c r="D3352" s="219">
        <v>1.0</v>
      </c>
      <c r="E3352" s="218">
        <v>1000.0</v>
      </c>
      <c r="G3352" s="220">
        <v>43434.0</v>
      </c>
    </row>
    <row r="3353">
      <c r="A3353" s="217">
        <v>43436.746776203705</v>
      </c>
      <c r="B3353" s="218" t="s">
        <v>5184</v>
      </c>
      <c r="C3353" s="218" t="s">
        <v>5782</v>
      </c>
      <c r="D3353" s="219">
        <v>1.0</v>
      </c>
      <c r="E3353" s="218">
        <v>400.0</v>
      </c>
      <c r="G3353" s="220">
        <v>43434.0</v>
      </c>
    </row>
    <row r="3354">
      <c r="A3354" s="217">
        <v>43436.7471752662</v>
      </c>
      <c r="B3354" s="218" t="s">
        <v>5184</v>
      </c>
      <c r="C3354" s="218" t="s">
        <v>6053</v>
      </c>
      <c r="D3354" s="219">
        <v>1.0</v>
      </c>
      <c r="E3354" s="218">
        <v>300.0</v>
      </c>
      <c r="G3354" s="220">
        <v>43434.0</v>
      </c>
    </row>
    <row r="3355">
      <c r="A3355" s="217">
        <v>43436.74779983796</v>
      </c>
      <c r="B3355" s="218" t="s">
        <v>5184</v>
      </c>
      <c r="C3355" s="218" t="s">
        <v>5789</v>
      </c>
      <c r="D3355" s="219">
        <v>1.0</v>
      </c>
      <c r="E3355" s="218">
        <v>400.0</v>
      </c>
      <c r="G3355" s="220">
        <v>43436.0</v>
      </c>
    </row>
    <row r="3356">
      <c r="A3356" s="217">
        <v>43436.748421296295</v>
      </c>
      <c r="B3356" s="218" t="s">
        <v>5184</v>
      </c>
      <c r="C3356" s="218" t="s">
        <v>6053</v>
      </c>
      <c r="D3356" s="219">
        <v>1.0</v>
      </c>
      <c r="E3356" s="218">
        <v>300.0</v>
      </c>
      <c r="G3356" s="220">
        <v>43436.0</v>
      </c>
    </row>
    <row r="3357">
      <c r="A3357" s="217">
        <v>43436.748887511574</v>
      </c>
      <c r="B3357" s="218" t="s">
        <v>5184</v>
      </c>
      <c r="C3357" s="218" t="s">
        <v>5782</v>
      </c>
      <c r="D3357" s="219">
        <v>1.0</v>
      </c>
      <c r="E3357" s="218">
        <v>400.0</v>
      </c>
      <c r="G3357" s="220">
        <v>43436.0</v>
      </c>
    </row>
    <row r="3358">
      <c r="A3358" s="217">
        <v>43436.74933686343</v>
      </c>
      <c r="B3358" s="218" t="s">
        <v>5184</v>
      </c>
      <c r="C3358" s="218" t="s">
        <v>6053</v>
      </c>
      <c r="D3358" s="219">
        <v>1.0</v>
      </c>
      <c r="E3358" s="218">
        <v>300.0</v>
      </c>
      <c r="G3358" s="220">
        <v>43436.0</v>
      </c>
    </row>
    <row r="3359">
      <c r="A3359" s="217">
        <v>43436.75084806713</v>
      </c>
      <c r="B3359" s="218" t="s">
        <v>2322</v>
      </c>
      <c r="C3359" s="218" t="s">
        <v>5428</v>
      </c>
      <c r="D3359" s="219">
        <v>1.0</v>
      </c>
      <c r="E3359" s="24"/>
      <c r="G3359" s="220">
        <v>43436.0</v>
      </c>
    </row>
    <row r="3360">
      <c r="A3360" s="217">
        <v>43436.75198587963</v>
      </c>
      <c r="B3360" s="218" t="s">
        <v>5184</v>
      </c>
      <c r="C3360" s="218" t="s">
        <v>5786</v>
      </c>
      <c r="D3360" s="219">
        <v>1.0</v>
      </c>
      <c r="E3360" s="218">
        <v>300.0</v>
      </c>
      <c r="G3360" s="220">
        <v>43432.0</v>
      </c>
    </row>
    <row r="3361">
      <c r="A3361" s="217">
        <v>43436.75243846065</v>
      </c>
      <c r="B3361" s="218" t="s">
        <v>5184</v>
      </c>
      <c r="C3361" s="218" t="s">
        <v>6053</v>
      </c>
      <c r="D3361" s="219">
        <v>1.0</v>
      </c>
      <c r="E3361" s="218">
        <v>300.0</v>
      </c>
      <c r="G3361" s="220">
        <v>43432.0</v>
      </c>
    </row>
    <row r="3362">
      <c r="A3362" s="217">
        <v>43436.7529588426</v>
      </c>
      <c r="B3362" s="218" t="s">
        <v>5184</v>
      </c>
      <c r="C3362" s="218" t="s">
        <v>5782</v>
      </c>
      <c r="D3362" s="219">
        <v>1.0</v>
      </c>
      <c r="E3362" s="218">
        <v>400.0</v>
      </c>
      <c r="G3362" s="220">
        <v>43433.0</v>
      </c>
    </row>
    <row r="3363">
      <c r="A3363" s="217">
        <v>43436.75338865741</v>
      </c>
      <c r="B3363" s="218" t="s">
        <v>5184</v>
      </c>
      <c r="C3363" s="218" t="s">
        <v>244</v>
      </c>
      <c r="D3363" s="219">
        <v>1.0</v>
      </c>
      <c r="E3363" s="218">
        <v>400.0</v>
      </c>
      <c r="G3363" s="220">
        <v>43433.0</v>
      </c>
    </row>
    <row r="3364">
      <c r="A3364" s="217">
        <v>43436.753965613425</v>
      </c>
      <c r="B3364" s="218" t="s">
        <v>5184</v>
      </c>
      <c r="C3364" s="218" t="s">
        <v>5976</v>
      </c>
      <c r="D3364" s="219">
        <v>1.0</v>
      </c>
      <c r="E3364" s="218">
        <v>400.0</v>
      </c>
      <c r="G3364" s="220">
        <v>43433.0</v>
      </c>
    </row>
    <row r="3365">
      <c r="A3365" s="217">
        <v>43436.75441081019</v>
      </c>
      <c r="B3365" s="218" t="s">
        <v>5184</v>
      </c>
      <c r="C3365" s="218" t="s">
        <v>7379</v>
      </c>
      <c r="D3365" s="219">
        <v>1.0</v>
      </c>
      <c r="E3365" s="218">
        <v>400.0</v>
      </c>
      <c r="G3365" s="220">
        <v>43433.0</v>
      </c>
    </row>
    <row r="3366">
      <c r="A3366" s="217">
        <v>43436.75499405093</v>
      </c>
      <c r="B3366" s="218" t="s">
        <v>5184</v>
      </c>
      <c r="C3366" s="218" t="s">
        <v>284</v>
      </c>
      <c r="D3366" s="219">
        <v>1.0</v>
      </c>
      <c r="E3366" s="218">
        <v>400.0</v>
      </c>
      <c r="G3366" s="220">
        <v>43433.0</v>
      </c>
    </row>
    <row r="3367">
      <c r="A3367" s="217">
        <v>43436.75573302084</v>
      </c>
      <c r="B3367" s="218" t="s">
        <v>5184</v>
      </c>
      <c r="C3367" s="218" t="s">
        <v>5789</v>
      </c>
      <c r="D3367" s="219">
        <v>1.0</v>
      </c>
      <c r="E3367" s="218">
        <v>400.0</v>
      </c>
      <c r="G3367" s="220">
        <v>43433.0</v>
      </c>
    </row>
    <row r="3368">
      <c r="A3368" s="217">
        <v>43436.75616792824</v>
      </c>
      <c r="B3368" s="218" t="s">
        <v>5184</v>
      </c>
      <c r="C3368" s="218" t="s">
        <v>6053</v>
      </c>
      <c r="D3368" s="219">
        <v>1.0</v>
      </c>
      <c r="E3368" s="218">
        <v>300.0</v>
      </c>
      <c r="G3368" s="220">
        <v>43433.0</v>
      </c>
    </row>
    <row r="3369">
      <c r="A3369" s="217">
        <v>43437.81850325232</v>
      </c>
      <c r="B3369" s="218" t="s">
        <v>5184</v>
      </c>
      <c r="C3369" s="218" t="s">
        <v>5789</v>
      </c>
      <c r="D3369" s="219">
        <v>1.0</v>
      </c>
      <c r="E3369" s="218">
        <v>400.0</v>
      </c>
      <c r="G3369" s="220">
        <v>43437.0</v>
      </c>
    </row>
    <row r="3370">
      <c r="A3370" s="217">
        <v>43437.81929528935</v>
      </c>
      <c r="B3370" s="218" t="s">
        <v>5184</v>
      </c>
      <c r="C3370" s="218" t="s">
        <v>6053</v>
      </c>
      <c r="D3370" s="219">
        <v>1.0</v>
      </c>
      <c r="E3370" s="218">
        <v>300.0</v>
      </c>
      <c r="G3370" s="220">
        <v>43437.0</v>
      </c>
    </row>
    <row r="3371">
      <c r="A3371" s="217">
        <v>43437.820268310184</v>
      </c>
      <c r="B3371" s="218" t="s">
        <v>5184</v>
      </c>
      <c r="C3371" s="218" t="s">
        <v>5789</v>
      </c>
      <c r="D3371" s="219">
        <v>1.0</v>
      </c>
      <c r="E3371" s="218">
        <v>400.0</v>
      </c>
      <c r="G3371" s="220">
        <v>43437.0</v>
      </c>
    </row>
    <row r="3372">
      <c r="A3372" s="217">
        <v>43437.82082791667</v>
      </c>
      <c r="B3372" s="218" t="s">
        <v>5184</v>
      </c>
      <c r="C3372" s="218" t="s">
        <v>6053</v>
      </c>
      <c r="D3372" s="219">
        <v>1.0</v>
      </c>
      <c r="E3372" s="218">
        <v>300.0</v>
      </c>
      <c r="G3372" s="220">
        <v>43437.0</v>
      </c>
    </row>
    <row r="3373">
      <c r="A3373" s="217">
        <v>43437.82163872685</v>
      </c>
      <c r="B3373" s="218" t="s">
        <v>5184</v>
      </c>
      <c r="C3373" s="218" t="s">
        <v>5789</v>
      </c>
      <c r="D3373" s="219">
        <v>1.0</v>
      </c>
      <c r="E3373" s="218">
        <v>400.0</v>
      </c>
      <c r="G3373" s="220">
        <v>43437.0</v>
      </c>
    </row>
    <row r="3374">
      <c r="A3374" s="217">
        <v>43437.82231675926</v>
      </c>
      <c r="B3374" s="218" t="s">
        <v>5184</v>
      </c>
      <c r="C3374" s="218" t="s">
        <v>6053</v>
      </c>
      <c r="D3374" s="219">
        <v>1.0</v>
      </c>
      <c r="E3374" s="218">
        <v>300.0</v>
      </c>
      <c r="G3374" s="220">
        <v>43437.0</v>
      </c>
    </row>
    <row r="3375">
      <c r="A3375" s="217">
        <v>43437.82316496527</v>
      </c>
      <c r="B3375" s="218" t="s">
        <v>5184</v>
      </c>
      <c r="C3375" s="218" t="s">
        <v>5789</v>
      </c>
      <c r="D3375" s="219">
        <v>1.0</v>
      </c>
      <c r="E3375" s="218">
        <v>400.0</v>
      </c>
      <c r="G3375" s="220">
        <v>43437.0</v>
      </c>
    </row>
    <row r="3376">
      <c r="A3376" s="217">
        <v>43437.82373528935</v>
      </c>
      <c r="B3376" s="218" t="s">
        <v>5184</v>
      </c>
      <c r="C3376" s="218" t="s">
        <v>6053</v>
      </c>
      <c r="D3376" s="219">
        <v>1.0</v>
      </c>
      <c r="E3376" s="218">
        <v>300.0</v>
      </c>
      <c r="G3376" s="220">
        <v>43437.0</v>
      </c>
    </row>
    <row r="3377">
      <c r="A3377" s="217">
        <v>43437.82665394676</v>
      </c>
      <c r="B3377" s="218" t="s">
        <v>5184</v>
      </c>
      <c r="C3377" s="218" t="s">
        <v>5789</v>
      </c>
      <c r="D3377" s="219">
        <v>1.0</v>
      </c>
      <c r="E3377" s="218">
        <v>400.0</v>
      </c>
      <c r="G3377" s="220">
        <v>43437.0</v>
      </c>
    </row>
    <row r="3378">
      <c r="A3378" s="217">
        <v>43437.828958784725</v>
      </c>
      <c r="B3378" s="218" t="s">
        <v>5184</v>
      </c>
      <c r="C3378" s="218" t="s">
        <v>6053</v>
      </c>
      <c r="D3378" s="219">
        <v>1.0</v>
      </c>
      <c r="E3378" s="218">
        <v>300.0</v>
      </c>
      <c r="G3378" s="220">
        <v>43437.0</v>
      </c>
    </row>
    <row r="3379">
      <c r="A3379" s="217">
        <v>43437.8318312037</v>
      </c>
      <c r="B3379" s="218" t="s">
        <v>5184</v>
      </c>
      <c r="C3379" s="218" t="s">
        <v>7379</v>
      </c>
      <c r="D3379" s="219">
        <v>1.0</v>
      </c>
      <c r="E3379" s="218">
        <v>400.0</v>
      </c>
      <c r="G3379" s="220">
        <v>43437.0</v>
      </c>
    </row>
    <row r="3380">
      <c r="A3380" s="217">
        <v>43438.74249234954</v>
      </c>
      <c r="B3380" s="218" t="s">
        <v>5184</v>
      </c>
      <c r="C3380" s="218" t="s">
        <v>6053</v>
      </c>
      <c r="D3380" s="219">
        <v>1.0</v>
      </c>
      <c r="E3380" s="218">
        <v>300.0</v>
      </c>
      <c r="G3380" s="220">
        <v>43438.0</v>
      </c>
    </row>
    <row r="3381">
      <c r="A3381" s="217">
        <v>43438.746896979166</v>
      </c>
      <c r="B3381" s="218" t="s">
        <v>5184</v>
      </c>
      <c r="C3381" s="218" t="s">
        <v>5804</v>
      </c>
      <c r="D3381" s="219">
        <v>1.0</v>
      </c>
      <c r="E3381" s="218">
        <v>300.0</v>
      </c>
      <c r="G3381" s="220">
        <v>43438.0</v>
      </c>
    </row>
    <row r="3382">
      <c r="A3382" s="217">
        <v>43438.74764273148</v>
      </c>
      <c r="B3382" s="218" t="s">
        <v>5184</v>
      </c>
      <c r="C3382" s="218" t="s">
        <v>6053</v>
      </c>
      <c r="D3382" s="219">
        <v>1.0</v>
      </c>
      <c r="E3382" s="218">
        <v>300.0</v>
      </c>
      <c r="G3382" s="220">
        <v>43438.0</v>
      </c>
    </row>
    <row r="3383">
      <c r="A3383" s="217">
        <v>43438.74938180555</v>
      </c>
      <c r="B3383" s="218" t="s">
        <v>5184</v>
      </c>
      <c r="C3383" s="218" t="s">
        <v>5789</v>
      </c>
      <c r="D3383" s="219">
        <v>1.0</v>
      </c>
      <c r="E3383" s="218">
        <v>400.0</v>
      </c>
      <c r="G3383" s="220">
        <v>43438.0</v>
      </c>
    </row>
    <row r="3384">
      <c r="A3384" s="217">
        <v>43438.75088590277</v>
      </c>
      <c r="B3384" s="218" t="s">
        <v>5184</v>
      </c>
      <c r="C3384" s="218" t="s">
        <v>6036</v>
      </c>
      <c r="D3384" s="219">
        <v>1.0</v>
      </c>
      <c r="E3384" s="218">
        <v>400.0</v>
      </c>
      <c r="G3384" s="220">
        <v>43438.0</v>
      </c>
    </row>
    <row r="3385">
      <c r="A3385" s="217">
        <v>43441.74198614583</v>
      </c>
      <c r="B3385" s="218" t="s">
        <v>5184</v>
      </c>
      <c r="C3385" s="218" t="s">
        <v>5818</v>
      </c>
      <c r="D3385" s="219">
        <v>1.0</v>
      </c>
      <c r="E3385" s="218">
        <v>300.0</v>
      </c>
      <c r="G3385" s="220">
        <v>43441.0</v>
      </c>
    </row>
    <row r="3386">
      <c r="A3386" s="217">
        <v>43441.742563506945</v>
      </c>
      <c r="B3386" s="218" t="s">
        <v>5184</v>
      </c>
      <c r="C3386" s="218" t="s">
        <v>6053</v>
      </c>
      <c r="D3386" s="219">
        <v>1.0</v>
      </c>
      <c r="E3386" s="218">
        <v>300.0</v>
      </c>
      <c r="G3386" s="220">
        <v>43441.0</v>
      </c>
    </row>
    <row r="3387">
      <c r="A3387" s="217">
        <v>43441.76129515046</v>
      </c>
      <c r="B3387" s="218" t="s">
        <v>5184</v>
      </c>
      <c r="C3387" s="218" t="s">
        <v>5789</v>
      </c>
      <c r="D3387" s="219">
        <v>1.0</v>
      </c>
      <c r="E3387" s="218">
        <v>400.0</v>
      </c>
      <c r="G3387" s="220">
        <v>43441.0</v>
      </c>
    </row>
    <row r="3388">
      <c r="A3388" s="217">
        <v>43441.76622635417</v>
      </c>
      <c r="B3388" s="218" t="s">
        <v>5184</v>
      </c>
      <c r="C3388" s="218" t="s">
        <v>284</v>
      </c>
      <c r="D3388" s="219">
        <v>1.0</v>
      </c>
      <c r="E3388" s="218">
        <v>400.0</v>
      </c>
      <c r="G3388" s="220">
        <v>43441.0</v>
      </c>
    </row>
    <row r="3389">
      <c r="A3389" s="217">
        <v>43441.7672737963</v>
      </c>
      <c r="B3389" s="218" t="s">
        <v>5184</v>
      </c>
      <c r="C3389" s="218" t="s">
        <v>6053</v>
      </c>
      <c r="D3389" s="219">
        <v>1.0</v>
      </c>
      <c r="E3389" s="218">
        <v>300.0</v>
      </c>
      <c r="G3389" s="220">
        <v>43441.0</v>
      </c>
    </row>
    <row r="3390">
      <c r="A3390" s="217">
        <v>43441.77136359954</v>
      </c>
      <c r="B3390" s="218" t="s">
        <v>5184</v>
      </c>
      <c r="C3390" s="218" t="s">
        <v>5789</v>
      </c>
      <c r="D3390" s="219">
        <v>1.0</v>
      </c>
      <c r="E3390" s="218">
        <v>400.0</v>
      </c>
      <c r="G3390" s="220">
        <v>43441.0</v>
      </c>
    </row>
    <row r="3391">
      <c r="A3391" s="217">
        <v>43441.772324143516</v>
      </c>
      <c r="B3391" s="218" t="s">
        <v>5184</v>
      </c>
      <c r="C3391" s="218" t="s">
        <v>7379</v>
      </c>
      <c r="D3391" s="219">
        <v>1.0</v>
      </c>
      <c r="E3391" s="218">
        <v>400.0</v>
      </c>
      <c r="G3391" s="220">
        <v>43441.0</v>
      </c>
    </row>
    <row r="3392">
      <c r="A3392" s="217">
        <v>43441.77392752314</v>
      </c>
      <c r="B3392" s="218" t="s">
        <v>5184</v>
      </c>
      <c r="C3392" s="218" t="s">
        <v>5789</v>
      </c>
      <c r="D3392" s="219">
        <v>1.0</v>
      </c>
      <c r="E3392" s="218">
        <v>400.0</v>
      </c>
      <c r="G3392" s="220">
        <v>43441.0</v>
      </c>
    </row>
    <row r="3393">
      <c r="A3393" s="217">
        <v>43441.77465925926</v>
      </c>
      <c r="B3393" s="218" t="s">
        <v>5184</v>
      </c>
      <c r="C3393" s="218" t="s">
        <v>284</v>
      </c>
      <c r="D3393" s="219">
        <v>1.0</v>
      </c>
      <c r="E3393" s="218">
        <v>400.0</v>
      </c>
      <c r="G3393" s="220">
        <v>43441.0</v>
      </c>
    </row>
    <row r="3394">
      <c r="A3394" s="217">
        <v>43441.7826050463</v>
      </c>
      <c r="B3394" s="218" t="s">
        <v>5184</v>
      </c>
      <c r="C3394" s="218" t="s">
        <v>5786</v>
      </c>
      <c r="D3394" s="219">
        <v>1.0</v>
      </c>
      <c r="E3394" s="218">
        <v>300.0</v>
      </c>
      <c r="G3394" s="220">
        <v>43439.0</v>
      </c>
    </row>
    <row r="3395">
      <c r="A3395" s="217">
        <v>43441.78321188658</v>
      </c>
      <c r="B3395" s="218" t="s">
        <v>5184</v>
      </c>
      <c r="C3395" s="218" t="s">
        <v>6053</v>
      </c>
      <c r="D3395" s="219">
        <v>1.0</v>
      </c>
      <c r="E3395" s="218">
        <v>300.0</v>
      </c>
      <c r="G3395" s="220">
        <v>43439.0</v>
      </c>
    </row>
    <row r="3396">
      <c r="A3396" s="217">
        <v>43441.78425013889</v>
      </c>
      <c r="B3396" s="218" t="s">
        <v>5184</v>
      </c>
      <c r="C3396" s="218" t="s">
        <v>6053</v>
      </c>
      <c r="D3396" s="219">
        <v>1.0</v>
      </c>
      <c r="E3396" s="218">
        <v>300.0</v>
      </c>
      <c r="G3396" s="220">
        <v>43440.0</v>
      </c>
    </row>
    <row r="3397">
      <c r="A3397" s="217">
        <v>43441.78546332176</v>
      </c>
      <c r="B3397" s="218" t="s">
        <v>5184</v>
      </c>
      <c r="C3397" s="218" t="s">
        <v>5714</v>
      </c>
      <c r="D3397" s="219">
        <v>1.0</v>
      </c>
      <c r="E3397" s="218">
        <v>5725.0</v>
      </c>
      <c r="G3397" s="220">
        <v>43441.0</v>
      </c>
    </row>
    <row r="3398">
      <c r="A3398" s="217">
        <v>43441.78607853009</v>
      </c>
      <c r="B3398" s="218" t="s">
        <v>5184</v>
      </c>
      <c r="C3398" s="218" t="s">
        <v>6053</v>
      </c>
      <c r="D3398" s="219">
        <v>1.0</v>
      </c>
      <c r="E3398" s="218">
        <v>300.0</v>
      </c>
      <c r="G3398" s="220">
        <v>43441.0</v>
      </c>
    </row>
    <row r="3399">
      <c r="A3399" s="217">
        <v>43441.791538136575</v>
      </c>
      <c r="B3399" s="218" t="s">
        <v>5184</v>
      </c>
      <c r="C3399" s="218" t="s">
        <v>5789</v>
      </c>
      <c r="D3399" s="219">
        <v>1.0</v>
      </c>
      <c r="E3399" s="218">
        <v>400.0</v>
      </c>
      <c r="G3399" s="220">
        <v>43440.0</v>
      </c>
    </row>
    <row r="3400">
      <c r="A3400" s="217">
        <v>43441.792026689815</v>
      </c>
      <c r="B3400" s="218" t="s">
        <v>5184</v>
      </c>
      <c r="C3400" s="218" t="s">
        <v>7379</v>
      </c>
      <c r="D3400" s="219">
        <v>1.0</v>
      </c>
      <c r="E3400" s="218">
        <v>400.0</v>
      </c>
      <c r="G3400" s="220">
        <v>43440.0</v>
      </c>
    </row>
    <row r="3401">
      <c r="A3401" s="217">
        <v>43441.813349432865</v>
      </c>
      <c r="B3401" s="218" t="s">
        <v>5184</v>
      </c>
      <c r="C3401" s="218" t="s">
        <v>5789</v>
      </c>
      <c r="D3401" s="219">
        <v>1.0</v>
      </c>
      <c r="E3401" s="218">
        <v>400.0</v>
      </c>
      <c r="G3401" s="220">
        <v>43440.0</v>
      </c>
    </row>
    <row r="3402">
      <c r="A3402" s="217">
        <v>43441.81496662037</v>
      </c>
      <c r="B3402" s="218" t="s">
        <v>5184</v>
      </c>
      <c r="C3402" s="218" t="s">
        <v>6053</v>
      </c>
      <c r="D3402" s="219">
        <v>1.0</v>
      </c>
      <c r="E3402" s="218">
        <v>300.0</v>
      </c>
      <c r="G3402" s="220">
        <v>43440.0</v>
      </c>
    </row>
    <row r="3403">
      <c r="A3403" s="217">
        <v>43441.820459282404</v>
      </c>
      <c r="B3403" s="218" t="s">
        <v>5184</v>
      </c>
      <c r="C3403" s="218" t="s">
        <v>7408</v>
      </c>
      <c r="D3403" s="219">
        <v>1.0</v>
      </c>
      <c r="E3403" s="218">
        <v>400.0</v>
      </c>
      <c r="G3403" s="220">
        <v>43441.0</v>
      </c>
    </row>
    <row r="3404">
      <c r="A3404" s="217">
        <v>43441.821189305556</v>
      </c>
      <c r="B3404" s="218" t="s">
        <v>5184</v>
      </c>
      <c r="C3404" s="218" t="s">
        <v>7408</v>
      </c>
      <c r="D3404" s="219">
        <v>1.0</v>
      </c>
      <c r="E3404" s="218">
        <v>400.0</v>
      </c>
      <c r="G3404" s="220">
        <v>43440.0</v>
      </c>
    </row>
    <row r="3405">
      <c r="A3405" s="217">
        <v>43441.82231045139</v>
      </c>
      <c r="B3405" s="218" t="s">
        <v>5184</v>
      </c>
      <c r="C3405" s="218" t="s">
        <v>7411</v>
      </c>
      <c r="D3405" s="219">
        <v>1.0</v>
      </c>
      <c r="E3405" s="218">
        <v>200.0</v>
      </c>
      <c r="G3405" s="220">
        <v>43439.0</v>
      </c>
    </row>
    <row r="3406">
      <c r="A3406" s="217">
        <v>43442.72649912037</v>
      </c>
      <c r="B3406" s="218" t="s">
        <v>5184</v>
      </c>
      <c r="C3406" s="218" t="s">
        <v>6569</v>
      </c>
      <c r="D3406" s="219">
        <v>1.0</v>
      </c>
      <c r="E3406" s="218">
        <v>7400.0</v>
      </c>
      <c r="G3406" s="220">
        <v>43442.0</v>
      </c>
    </row>
    <row r="3407">
      <c r="A3407" s="217">
        <v>43442.727187916666</v>
      </c>
      <c r="B3407" s="218" t="s">
        <v>5184</v>
      </c>
      <c r="C3407" s="218" t="s">
        <v>4563</v>
      </c>
      <c r="D3407" s="219">
        <v>2.0</v>
      </c>
      <c r="E3407" s="218">
        <v>2350.0</v>
      </c>
      <c r="G3407" s="220">
        <v>43442.0</v>
      </c>
    </row>
    <row r="3408">
      <c r="A3408" s="217">
        <v>43442.727790335644</v>
      </c>
      <c r="B3408" s="218" t="s">
        <v>5184</v>
      </c>
      <c r="C3408" s="218" t="s">
        <v>1261</v>
      </c>
      <c r="D3408" s="219">
        <v>1.0</v>
      </c>
      <c r="E3408" s="218">
        <v>2395.0</v>
      </c>
      <c r="G3408" s="220">
        <v>43442.0</v>
      </c>
    </row>
    <row r="3409">
      <c r="A3409" s="217">
        <v>43442.72810515046</v>
      </c>
      <c r="B3409" s="218" t="s">
        <v>5184</v>
      </c>
      <c r="C3409" s="218" t="s">
        <v>4609</v>
      </c>
      <c r="D3409" s="219">
        <v>1.0</v>
      </c>
      <c r="E3409" s="218">
        <v>2450.0</v>
      </c>
      <c r="G3409" s="220">
        <v>43442.0</v>
      </c>
    </row>
    <row r="3410">
      <c r="A3410" s="217">
        <v>43442.729406956016</v>
      </c>
      <c r="B3410" s="218" t="s">
        <v>5184</v>
      </c>
      <c r="C3410" s="218" t="s">
        <v>7411</v>
      </c>
      <c r="D3410" s="219">
        <v>1.0</v>
      </c>
      <c r="E3410" s="218">
        <v>200.0</v>
      </c>
      <c r="G3410" s="220">
        <v>43442.0</v>
      </c>
    </row>
    <row r="3411">
      <c r="A3411" s="217">
        <v>43442.7317090625</v>
      </c>
      <c r="B3411" s="218" t="s">
        <v>5184</v>
      </c>
      <c r="C3411" s="218" t="s">
        <v>6053</v>
      </c>
      <c r="D3411" s="219">
        <v>1.0</v>
      </c>
      <c r="E3411" s="218">
        <v>300.0</v>
      </c>
      <c r="G3411" s="220">
        <v>43442.0</v>
      </c>
    </row>
    <row r="3412">
      <c r="A3412" s="217">
        <v>43442.732186759255</v>
      </c>
      <c r="B3412" s="218" t="s">
        <v>5184</v>
      </c>
      <c r="C3412" s="218" t="s">
        <v>6053</v>
      </c>
      <c r="D3412" s="219" t="s">
        <v>7288</v>
      </c>
      <c r="E3412" s="218">
        <v>150.0</v>
      </c>
      <c r="G3412" s="220">
        <v>43442.0</v>
      </c>
    </row>
    <row r="3413">
      <c r="A3413" s="217">
        <v>43442.732960231486</v>
      </c>
      <c r="B3413" s="218" t="s">
        <v>5184</v>
      </c>
      <c r="C3413" s="218" t="s">
        <v>6053</v>
      </c>
      <c r="D3413" s="219">
        <v>1.0</v>
      </c>
      <c r="E3413" s="218">
        <v>300.0</v>
      </c>
      <c r="G3413" s="220">
        <v>43442.0</v>
      </c>
    </row>
    <row r="3414">
      <c r="A3414" s="217">
        <v>43442.734165752314</v>
      </c>
      <c r="B3414" s="218" t="s">
        <v>5184</v>
      </c>
      <c r="C3414" s="218" t="s">
        <v>6053</v>
      </c>
      <c r="D3414" s="219">
        <v>1.0</v>
      </c>
      <c r="E3414" s="218">
        <v>300.0</v>
      </c>
      <c r="G3414" s="220">
        <v>43442.0</v>
      </c>
    </row>
    <row r="3415">
      <c r="A3415" s="217">
        <v>43442.73509844908</v>
      </c>
      <c r="B3415" s="218" t="s">
        <v>5184</v>
      </c>
      <c r="C3415" s="218" t="s">
        <v>5845</v>
      </c>
      <c r="D3415" s="219">
        <v>1.0</v>
      </c>
      <c r="E3415" s="218">
        <v>500.0</v>
      </c>
      <c r="G3415" s="220">
        <v>43442.0</v>
      </c>
    </row>
    <row r="3416">
      <c r="A3416" s="217">
        <v>43442.73555265046</v>
      </c>
      <c r="B3416" s="218" t="s">
        <v>5184</v>
      </c>
      <c r="C3416" s="218" t="s">
        <v>6053</v>
      </c>
      <c r="D3416" s="219">
        <v>1.0</v>
      </c>
      <c r="E3416" s="218">
        <v>300.0</v>
      </c>
      <c r="G3416" s="220">
        <v>43442.0</v>
      </c>
    </row>
    <row r="3417">
      <c r="A3417" s="217">
        <v>43442.73714578703</v>
      </c>
      <c r="B3417" s="218" t="s">
        <v>5184</v>
      </c>
      <c r="C3417" s="218" t="s">
        <v>5786</v>
      </c>
      <c r="D3417" s="219">
        <v>1.0</v>
      </c>
      <c r="E3417" s="218">
        <v>300.0</v>
      </c>
      <c r="G3417" s="220">
        <v>43442.0</v>
      </c>
    </row>
    <row r="3418">
      <c r="A3418" s="217">
        <v>43442.737670462964</v>
      </c>
      <c r="B3418" s="218" t="s">
        <v>5184</v>
      </c>
      <c r="C3418" s="218" t="s">
        <v>6053</v>
      </c>
      <c r="D3418" s="219">
        <v>1.0</v>
      </c>
      <c r="E3418" s="218">
        <v>300.0</v>
      </c>
      <c r="G3418" s="220">
        <v>43442.0</v>
      </c>
    </row>
    <row r="3419">
      <c r="A3419" s="217">
        <v>43442.745981319444</v>
      </c>
      <c r="B3419" s="218" t="s">
        <v>5184</v>
      </c>
      <c r="C3419" s="218" t="s">
        <v>6053</v>
      </c>
      <c r="D3419" s="219">
        <v>1.0</v>
      </c>
      <c r="E3419" s="218">
        <v>300.0</v>
      </c>
      <c r="G3419" s="220">
        <v>43442.0</v>
      </c>
    </row>
    <row r="3420">
      <c r="A3420" s="217">
        <v>43442.74712457176</v>
      </c>
      <c r="B3420" s="218" t="s">
        <v>5184</v>
      </c>
      <c r="C3420" s="218" t="s">
        <v>6036</v>
      </c>
      <c r="D3420" s="219">
        <v>1.0</v>
      </c>
      <c r="E3420" s="218">
        <v>400.0</v>
      </c>
      <c r="G3420" s="220">
        <v>43442.0</v>
      </c>
    </row>
    <row r="3421">
      <c r="A3421" s="217">
        <v>43442.748425949074</v>
      </c>
      <c r="B3421" s="218" t="s">
        <v>5184</v>
      </c>
      <c r="C3421" s="218" t="s">
        <v>5818</v>
      </c>
      <c r="D3421" s="219">
        <v>1.0</v>
      </c>
      <c r="E3421" s="218">
        <v>300.0</v>
      </c>
      <c r="G3421" s="220">
        <v>43442.0</v>
      </c>
    </row>
    <row r="3422">
      <c r="A3422" s="217">
        <v>43442.74974459491</v>
      </c>
      <c r="B3422" s="218" t="s">
        <v>5184</v>
      </c>
      <c r="C3422" s="218" t="s">
        <v>7421</v>
      </c>
      <c r="D3422" s="219">
        <v>1.0</v>
      </c>
      <c r="E3422" s="218">
        <v>400.0</v>
      </c>
      <c r="G3422" s="220">
        <v>43442.0</v>
      </c>
    </row>
    <row r="3423">
      <c r="A3423" s="217">
        <v>43442.822172824075</v>
      </c>
      <c r="B3423" s="218" t="s">
        <v>5184</v>
      </c>
      <c r="C3423" s="218" t="s">
        <v>7408</v>
      </c>
      <c r="D3423" s="219">
        <v>1.0</v>
      </c>
      <c r="E3423" s="218">
        <v>400.0</v>
      </c>
      <c r="G3423" s="220">
        <v>43442.0</v>
      </c>
    </row>
    <row r="3424">
      <c r="A3424" s="217">
        <v>43442.82267811343</v>
      </c>
      <c r="B3424" s="218" t="s">
        <v>5184</v>
      </c>
      <c r="C3424" s="218" t="s">
        <v>6053</v>
      </c>
      <c r="D3424" s="219">
        <v>1.0</v>
      </c>
      <c r="E3424" s="218">
        <v>300.0</v>
      </c>
      <c r="G3424" s="220">
        <v>43442.0</v>
      </c>
    </row>
    <row r="3425">
      <c r="A3425" s="217">
        <v>43442.82524996527</v>
      </c>
      <c r="B3425" s="218" t="s">
        <v>5184</v>
      </c>
      <c r="C3425" s="218" t="s">
        <v>5848</v>
      </c>
      <c r="D3425" s="219">
        <v>1.0</v>
      </c>
      <c r="E3425" s="218">
        <v>1000.0</v>
      </c>
      <c r="G3425" s="220">
        <v>43442.0</v>
      </c>
    </row>
    <row r="3426">
      <c r="A3426" s="217">
        <v>43442.825730219905</v>
      </c>
      <c r="B3426" s="218" t="s">
        <v>5184</v>
      </c>
      <c r="C3426" s="218" t="s">
        <v>6053</v>
      </c>
      <c r="D3426" s="219">
        <v>1.0</v>
      </c>
      <c r="E3426" s="218">
        <v>300.0</v>
      </c>
      <c r="G3426" s="220">
        <v>43442.0</v>
      </c>
    </row>
    <row r="3427">
      <c r="A3427" s="217">
        <v>43443.7460855324</v>
      </c>
      <c r="B3427" s="218" t="s">
        <v>5184</v>
      </c>
      <c r="C3427" s="218" t="s">
        <v>5786</v>
      </c>
      <c r="D3427" s="219">
        <v>1.0</v>
      </c>
      <c r="E3427" s="218">
        <v>300.0</v>
      </c>
      <c r="G3427" s="220">
        <v>43443.0</v>
      </c>
    </row>
    <row r="3428">
      <c r="A3428" s="217">
        <v>43443.74649126157</v>
      </c>
      <c r="B3428" s="218" t="s">
        <v>5184</v>
      </c>
      <c r="C3428" s="218" t="s">
        <v>6053</v>
      </c>
      <c r="D3428" s="219">
        <v>1.0</v>
      </c>
      <c r="E3428" s="218">
        <v>300.0</v>
      </c>
      <c r="G3428" s="220">
        <v>43443.0</v>
      </c>
    </row>
    <row r="3429">
      <c r="A3429" s="217">
        <v>43443.74800627315</v>
      </c>
      <c r="B3429" s="218" t="s">
        <v>5184</v>
      </c>
      <c r="C3429" s="218" t="s">
        <v>7427</v>
      </c>
      <c r="D3429" s="219">
        <v>1.0</v>
      </c>
      <c r="E3429" s="218">
        <v>150.0</v>
      </c>
      <c r="G3429" s="220">
        <v>43443.0</v>
      </c>
    </row>
    <row r="3430">
      <c r="A3430" s="217">
        <v>43443.75238762732</v>
      </c>
      <c r="B3430" s="218" t="s">
        <v>5184</v>
      </c>
      <c r="C3430" s="218" t="s">
        <v>5789</v>
      </c>
      <c r="D3430" s="219">
        <v>1.0</v>
      </c>
      <c r="E3430" s="218">
        <v>400.0</v>
      </c>
      <c r="G3430" s="220">
        <v>43443.0</v>
      </c>
    </row>
    <row r="3431">
      <c r="A3431" s="217">
        <v>43443.75285837963</v>
      </c>
      <c r="B3431" s="218" t="s">
        <v>5184</v>
      </c>
      <c r="C3431" s="218" t="s">
        <v>6053</v>
      </c>
      <c r="D3431" s="219">
        <v>1.0</v>
      </c>
      <c r="E3431" s="218">
        <v>300.0</v>
      </c>
      <c r="G3431" s="220">
        <v>43443.0</v>
      </c>
    </row>
    <row r="3432">
      <c r="A3432" s="217">
        <v>43444.54520201389</v>
      </c>
      <c r="B3432" s="218" t="s">
        <v>5184</v>
      </c>
      <c r="C3432" s="218" t="s">
        <v>1264</v>
      </c>
      <c r="D3432" s="219">
        <v>2.0</v>
      </c>
      <c r="E3432" s="218">
        <v>895.0</v>
      </c>
      <c r="G3432" s="220">
        <v>43444.0</v>
      </c>
    </row>
    <row r="3433">
      <c r="A3433" s="217">
        <v>43444.548065428244</v>
      </c>
      <c r="B3433" s="218" t="s">
        <v>5184</v>
      </c>
      <c r="C3433" s="218" t="s">
        <v>4603</v>
      </c>
      <c r="D3433" s="219">
        <v>2.0</v>
      </c>
      <c r="E3433" s="218">
        <v>995.0</v>
      </c>
      <c r="G3433" s="220">
        <v>43444.0</v>
      </c>
    </row>
    <row r="3434">
      <c r="A3434" s="217">
        <v>43444.54923326389</v>
      </c>
      <c r="B3434" s="218" t="s">
        <v>5184</v>
      </c>
      <c r="C3434" s="218" t="s">
        <v>1279</v>
      </c>
      <c r="D3434" s="219">
        <v>1.0</v>
      </c>
      <c r="E3434" s="218">
        <v>1295.0</v>
      </c>
      <c r="G3434" s="220">
        <v>43444.0</v>
      </c>
    </row>
    <row r="3435">
      <c r="A3435" s="217">
        <v>43444.55008239583</v>
      </c>
      <c r="B3435" s="218" t="s">
        <v>5184</v>
      </c>
      <c r="C3435" s="218" t="s">
        <v>6562</v>
      </c>
      <c r="D3435" s="219">
        <v>1.0</v>
      </c>
      <c r="E3435" s="218">
        <v>6400.0</v>
      </c>
      <c r="G3435" s="220">
        <v>43444.0</v>
      </c>
    </row>
    <row r="3436">
      <c r="A3436" s="217">
        <v>43444.55085015047</v>
      </c>
      <c r="B3436" s="218" t="s">
        <v>5184</v>
      </c>
      <c r="C3436" s="218" t="s">
        <v>4576</v>
      </c>
      <c r="D3436" s="219">
        <v>2.0</v>
      </c>
      <c r="E3436" s="218">
        <v>950.0</v>
      </c>
      <c r="G3436" s="220">
        <v>43444.0</v>
      </c>
    </row>
    <row r="3437">
      <c r="A3437" s="217">
        <v>43444.69538898148</v>
      </c>
      <c r="B3437" s="218" t="s">
        <v>5184</v>
      </c>
      <c r="C3437" s="218" t="s">
        <v>1482</v>
      </c>
      <c r="D3437" s="219">
        <v>1.0</v>
      </c>
      <c r="E3437" s="218">
        <v>2680.0</v>
      </c>
      <c r="G3437" s="220">
        <v>43438.0</v>
      </c>
    </row>
    <row r="3438">
      <c r="A3438" s="217">
        <v>43444.696511041664</v>
      </c>
      <c r="B3438" s="218" t="s">
        <v>5184</v>
      </c>
      <c r="C3438" s="218" t="s">
        <v>1256</v>
      </c>
      <c r="D3438" s="219">
        <v>1.0</v>
      </c>
      <c r="E3438" s="218">
        <v>1750.0</v>
      </c>
      <c r="G3438" s="220">
        <v>43438.0</v>
      </c>
    </row>
    <row r="3439">
      <c r="A3439" s="217">
        <v>43444.7088081713</v>
      </c>
      <c r="B3439" s="218" t="s">
        <v>5184</v>
      </c>
      <c r="C3439" s="218" t="s">
        <v>4588</v>
      </c>
      <c r="D3439" s="219">
        <v>1.0</v>
      </c>
      <c r="E3439" s="218">
        <v>1695.0</v>
      </c>
      <c r="G3439" s="220">
        <v>43438.0</v>
      </c>
    </row>
    <row r="3440">
      <c r="A3440" s="217">
        <v>43444.709762962964</v>
      </c>
      <c r="B3440" s="218" t="s">
        <v>5184</v>
      </c>
      <c r="C3440" s="218" t="s">
        <v>1287</v>
      </c>
      <c r="D3440" s="219">
        <v>1.0</v>
      </c>
      <c r="E3440" s="218">
        <v>2150.0</v>
      </c>
      <c r="G3440" s="220">
        <v>43438.0</v>
      </c>
    </row>
    <row r="3441">
      <c r="A3441" s="217">
        <v>43444.71086158565</v>
      </c>
      <c r="B3441" s="218" t="s">
        <v>5184</v>
      </c>
      <c r="C3441" s="218" t="s">
        <v>4728</v>
      </c>
      <c r="D3441" s="219">
        <v>1.0</v>
      </c>
      <c r="E3441" s="218">
        <v>2095.0</v>
      </c>
      <c r="G3441" s="220">
        <v>43438.0</v>
      </c>
    </row>
    <row r="3442">
      <c r="A3442" s="217">
        <v>43444.71216645833</v>
      </c>
      <c r="B3442" s="218" t="s">
        <v>5184</v>
      </c>
      <c r="C3442" s="218" t="s">
        <v>4552</v>
      </c>
      <c r="D3442" s="219">
        <v>1.0</v>
      </c>
      <c r="E3442" s="218">
        <v>2150.0</v>
      </c>
      <c r="G3442" s="220">
        <v>43438.0</v>
      </c>
    </row>
    <row r="3443">
      <c r="A3443" s="217">
        <v>43444.80063104167</v>
      </c>
      <c r="B3443" s="218" t="s">
        <v>5092</v>
      </c>
      <c r="C3443" s="218" t="s">
        <v>7430</v>
      </c>
      <c r="D3443" s="219">
        <v>1.0</v>
      </c>
      <c r="E3443" s="218">
        <v>3125.0</v>
      </c>
      <c r="G3443" s="220">
        <v>43444.0</v>
      </c>
    </row>
    <row r="3444">
      <c r="A3444" s="217">
        <v>43444.80293336806</v>
      </c>
      <c r="B3444" s="218" t="s">
        <v>5092</v>
      </c>
      <c r="C3444" s="218" t="s">
        <v>7432</v>
      </c>
      <c r="D3444" s="219">
        <v>1.0</v>
      </c>
      <c r="E3444" s="218">
        <v>3125.0</v>
      </c>
      <c r="G3444" s="220">
        <v>43444.0</v>
      </c>
    </row>
    <row r="3445">
      <c r="A3445" s="217">
        <v>43444.804271099536</v>
      </c>
      <c r="B3445" s="218" t="s">
        <v>5092</v>
      </c>
      <c r="C3445" s="218" t="s">
        <v>2361</v>
      </c>
      <c r="D3445" s="219">
        <v>1.0</v>
      </c>
      <c r="E3445" s="218">
        <v>3445.0</v>
      </c>
      <c r="G3445" s="220">
        <v>43444.0</v>
      </c>
    </row>
    <row r="3446">
      <c r="A3446" s="217">
        <v>43444.805631979165</v>
      </c>
      <c r="B3446" s="218" t="s">
        <v>5092</v>
      </c>
      <c r="C3446" s="218" t="s">
        <v>7433</v>
      </c>
      <c r="D3446" s="219">
        <v>1.0</v>
      </c>
      <c r="E3446" s="218">
        <v>3445.0</v>
      </c>
      <c r="G3446" s="220">
        <v>43444.0</v>
      </c>
    </row>
    <row r="3447">
      <c r="A3447" s="217">
        <v>43444.80689436343</v>
      </c>
      <c r="B3447" s="218" t="s">
        <v>5092</v>
      </c>
      <c r="C3447" s="218" t="s">
        <v>2363</v>
      </c>
      <c r="D3447" s="219">
        <v>1.0</v>
      </c>
      <c r="E3447" s="218">
        <v>3445.0</v>
      </c>
      <c r="G3447" s="220">
        <v>43444.0</v>
      </c>
    </row>
    <row r="3448">
      <c r="A3448" s="217">
        <v>43444.80824628472</v>
      </c>
      <c r="B3448" s="218" t="s">
        <v>5092</v>
      </c>
      <c r="C3448" s="218" t="s">
        <v>7434</v>
      </c>
      <c r="D3448" s="219">
        <v>1.0</v>
      </c>
      <c r="E3448" s="218">
        <v>3125.0</v>
      </c>
      <c r="G3448" s="220">
        <v>43444.0</v>
      </c>
    </row>
    <row r="3449">
      <c r="A3449" s="217">
        <v>43444.809435682866</v>
      </c>
      <c r="B3449" s="218" t="s">
        <v>5092</v>
      </c>
      <c r="C3449" s="218" t="s">
        <v>7435</v>
      </c>
      <c r="D3449" s="219">
        <v>1.0</v>
      </c>
      <c r="E3449" s="218">
        <v>3445.0</v>
      </c>
      <c r="G3449" s="220">
        <v>43444.0</v>
      </c>
    </row>
    <row r="3450">
      <c r="A3450" s="217">
        <v>43444.811020601854</v>
      </c>
      <c r="B3450" s="218" t="s">
        <v>5092</v>
      </c>
      <c r="C3450" s="218" t="s">
        <v>7436</v>
      </c>
      <c r="D3450" s="219">
        <v>1.0</v>
      </c>
      <c r="E3450" s="218">
        <v>3125.0</v>
      </c>
      <c r="G3450" s="220">
        <v>43444.0</v>
      </c>
    </row>
    <row r="3451">
      <c r="A3451" s="217">
        <v>43444.8118727199</v>
      </c>
      <c r="B3451" s="218" t="s">
        <v>5092</v>
      </c>
      <c r="C3451" s="218" t="s">
        <v>7437</v>
      </c>
      <c r="D3451" s="219">
        <v>1.0</v>
      </c>
      <c r="E3451" s="218">
        <v>3125.0</v>
      </c>
      <c r="G3451" s="220">
        <v>43444.0</v>
      </c>
    </row>
    <row r="3452">
      <c r="A3452" s="217">
        <v>43444.81378473379</v>
      </c>
      <c r="B3452" s="218" t="s">
        <v>5092</v>
      </c>
      <c r="C3452" s="218" t="s">
        <v>7438</v>
      </c>
      <c r="D3452" s="219">
        <v>1.0</v>
      </c>
      <c r="E3452" s="218">
        <v>3445.0</v>
      </c>
      <c r="G3452" s="220">
        <v>43444.0</v>
      </c>
    </row>
    <row r="3453">
      <c r="A3453" s="217">
        <v>43444.81466954861</v>
      </c>
      <c r="B3453" s="218" t="s">
        <v>5092</v>
      </c>
      <c r="C3453" s="218" t="s">
        <v>7439</v>
      </c>
      <c r="D3453" s="219">
        <v>1.0</v>
      </c>
      <c r="E3453" s="218">
        <v>3445.0</v>
      </c>
      <c r="G3453" s="220">
        <v>43444.0</v>
      </c>
    </row>
    <row r="3454">
      <c r="A3454" s="217">
        <v>43445.50326305555</v>
      </c>
      <c r="B3454" s="218" t="s">
        <v>5184</v>
      </c>
      <c r="C3454" s="218" t="s">
        <v>7440</v>
      </c>
      <c r="D3454" s="219">
        <v>1.0</v>
      </c>
      <c r="E3454" s="218">
        <v>2150.0</v>
      </c>
      <c r="G3454" s="220">
        <v>43445.0</v>
      </c>
    </row>
    <row r="3455">
      <c r="A3455" s="217">
        <v>43445.503986157404</v>
      </c>
      <c r="B3455" s="218" t="s">
        <v>5184</v>
      </c>
      <c r="C3455" s="218" t="s">
        <v>4512</v>
      </c>
      <c r="D3455" s="219">
        <v>1.0</v>
      </c>
      <c r="E3455" s="218">
        <v>2450.0</v>
      </c>
      <c r="G3455" s="220">
        <v>43445.0</v>
      </c>
    </row>
    <row r="3456">
      <c r="A3456" s="217">
        <v>43445.50494809028</v>
      </c>
      <c r="B3456" s="218" t="s">
        <v>5184</v>
      </c>
      <c r="C3456" s="218" t="s">
        <v>7441</v>
      </c>
      <c r="D3456" s="219">
        <v>1.0</v>
      </c>
      <c r="E3456" s="218">
        <v>2295.0</v>
      </c>
      <c r="G3456" s="220">
        <v>43445.0</v>
      </c>
    </row>
    <row r="3457">
      <c r="A3457" s="217">
        <v>43445.5056959375</v>
      </c>
      <c r="B3457" s="218" t="s">
        <v>5184</v>
      </c>
      <c r="C3457" s="218" t="s">
        <v>4844</v>
      </c>
      <c r="D3457" s="219">
        <v>1.0</v>
      </c>
      <c r="E3457" s="218">
        <v>895.0</v>
      </c>
      <c r="G3457" s="220">
        <v>43445.0</v>
      </c>
    </row>
    <row r="3458">
      <c r="A3458" s="217">
        <v>43448.418641111115</v>
      </c>
      <c r="B3458" s="218" t="s">
        <v>5184</v>
      </c>
      <c r="C3458" s="218" t="s">
        <v>5789</v>
      </c>
      <c r="D3458" s="219">
        <v>1.0</v>
      </c>
      <c r="E3458" s="218">
        <v>400.0</v>
      </c>
      <c r="G3458" s="220">
        <v>43447.0</v>
      </c>
    </row>
    <row r="3459">
      <c r="A3459" s="217">
        <v>43448.419640011576</v>
      </c>
      <c r="B3459" s="218" t="s">
        <v>5184</v>
      </c>
      <c r="C3459" s="218" t="s">
        <v>6036</v>
      </c>
      <c r="D3459" s="219">
        <v>1.0</v>
      </c>
      <c r="E3459" s="218">
        <v>400.0</v>
      </c>
      <c r="G3459" s="220">
        <v>43447.0</v>
      </c>
    </row>
    <row r="3460">
      <c r="A3460" s="217">
        <v>43448.4233108912</v>
      </c>
      <c r="B3460" s="218" t="s">
        <v>5184</v>
      </c>
      <c r="C3460" s="218" t="s">
        <v>6053</v>
      </c>
      <c r="D3460" s="219">
        <v>1.0</v>
      </c>
      <c r="E3460" s="218">
        <v>300.0</v>
      </c>
      <c r="G3460" s="220">
        <v>43447.0</v>
      </c>
    </row>
    <row r="3461">
      <c r="A3461" s="217">
        <v>43448.426130011576</v>
      </c>
      <c r="B3461" s="218" t="s">
        <v>5184</v>
      </c>
      <c r="C3461" s="218" t="s">
        <v>6053</v>
      </c>
      <c r="D3461" s="219" t="s">
        <v>7288</v>
      </c>
      <c r="E3461" s="218">
        <v>150.0</v>
      </c>
      <c r="G3461" s="220">
        <v>43447.0</v>
      </c>
    </row>
    <row r="3462">
      <c r="A3462" s="217">
        <v>43449.4574746875</v>
      </c>
      <c r="B3462" s="218" t="s">
        <v>5184</v>
      </c>
      <c r="C3462" s="218" t="s">
        <v>6053</v>
      </c>
      <c r="D3462" s="219">
        <v>1.0</v>
      </c>
      <c r="E3462" s="218">
        <v>300.0</v>
      </c>
      <c r="G3462" s="220">
        <v>43449.0</v>
      </c>
    </row>
    <row r="3463">
      <c r="A3463" s="217">
        <v>43449.539550057874</v>
      </c>
      <c r="B3463" s="218" t="s">
        <v>5184</v>
      </c>
      <c r="C3463" s="218" t="s">
        <v>5893</v>
      </c>
      <c r="D3463" s="219">
        <v>1.0</v>
      </c>
      <c r="E3463" s="218">
        <v>250.0</v>
      </c>
      <c r="G3463" s="220">
        <v>43449.0</v>
      </c>
    </row>
    <row r="3464">
      <c r="A3464" s="217">
        <v>43449.54034086806</v>
      </c>
      <c r="B3464" s="218" t="s">
        <v>5184</v>
      </c>
      <c r="C3464" s="218" t="s">
        <v>7408</v>
      </c>
      <c r="D3464" s="219">
        <v>1.0</v>
      </c>
      <c r="E3464" s="218">
        <v>400.0</v>
      </c>
      <c r="G3464" s="220">
        <v>43449.0</v>
      </c>
    </row>
    <row r="3465">
      <c r="A3465" s="217">
        <v>43449.54635099537</v>
      </c>
      <c r="B3465" s="218" t="s">
        <v>5184</v>
      </c>
      <c r="C3465" s="218" t="s">
        <v>5845</v>
      </c>
      <c r="D3465" s="219">
        <v>1.0</v>
      </c>
      <c r="E3465" s="218">
        <v>500.0</v>
      </c>
      <c r="G3465" s="220">
        <v>43448.0</v>
      </c>
    </row>
    <row r="3466">
      <c r="A3466" s="217">
        <v>43449.547282824075</v>
      </c>
      <c r="B3466" s="218" t="s">
        <v>5184</v>
      </c>
      <c r="C3466" s="218" t="s">
        <v>6053</v>
      </c>
      <c r="D3466" s="219">
        <v>1.0</v>
      </c>
      <c r="E3466" s="218">
        <v>300.0</v>
      </c>
      <c r="G3466" s="220">
        <v>43448.0</v>
      </c>
    </row>
    <row r="3467">
      <c r="A3467" s="217">
        <v>43449.548174247684</v>
      </c>
      <c r="B3467" s="218" t="s">
        <v>5184</v>
      </c>
      <c r="C3467" s="218" t="s">
        <v>6053</v>
      </c>
      <c r="D3467" s="219">
        <v>1.0</v>
      </c>
      <c r="E3467" s="218">
        <v>300.0</v>
      </c>
      <c r="G3467" s="220">
        <v>43449.0</v>
      </c>
    </row>
    <row r="3468">
      <c r="A3468" s="217">
        <v>43449.55106890046</v>
      </c>
      <c r="B3468" s="218" t="s">
        <v>5184</v>
      </c>
      <c r="C3468" s="218" t="s">
        <v>5804</v>
      </c>
      <c r="D3468" s="219">
        <v>1.0</v>
      </c>
      <c r="E3468" s="218">
        <v>300.0</v>
      </c>
      <c r="G3468" s="220">
        <v>43449.0</v>
      </c>
    </row>
    <row r="3469">
      <c r="A3469" s="217">
        <v>43449.551775370375</v>
      </c>
      <c r="B3469" s="218" t="s">
        <v>5184</v>
      </c>
      <c r="C3469" s="218" t="s">
        <v>6053</v>
      </c>
      <c r="D3469" s="219">
        <v>1.0</v>
      </c>
      <c r="E3469" s="218">
        <v>300.0</v>
      </c>
      <c r="G3469" s="220">
        <v>43449.0</v>
      </c>
    </row>
    <row r="3470">
      <c r="A3470" s="217">
        <v>43449.7839015625</v>
      </c>
      <c r="B3470" s="218" t="s">
        <v>5184</v>
      </c>
      <c r="C3470" s="218" t="s">
        <v>5789</v>
      </c>
      <c r="D3470" s="219">
        <v>1.0</v>
      </c>
      <c r="E3470" s="218">
        <v>400.0</v>
      </c>
      <c r="G3470" s="220">
        <v>43449.0</v>
      </c>
    </row>
    <row r="3471">
      <c r="A3471" s="217">
        <v>43449.78450435185</v>
      </c>
      <c r="B3471" s="218" t="s">
        <v>5184</v>
      </c>
      <c r="C3471" s="218" t="s">
        <v>6053</v>
      </c>
      <c r="D3471" s="219">
        <v>1.0</v>
      </c>
      <c r="E3471" s="218">
        <v>300.0</v>
      </c>
      <c r="G3471" s="220">
        <v>43449.0</v>
      </c>
    </row>
    <row r="3472">
      <c r="A3472" s="217">
        <v>43450.51094486111</v>
      </c>
      <c r="B3472" s="218" t="s">
        <v>5184</v>
      </c>
      <c r="C3472" s="218" t="s">
        <v>5782</v>
      </c>
      <c r="D3472" s="219">
        <v>1.0</v>
      </c>
      <c r="E3472" s="218">
        <v>400.0</v>
      </c>
      <c r="G3472" s="220">
        <v>43450.0</v>
      </c>
    </row>
    <row r="3473">
      <c r="A3473" s="217">
        <v>43450.51145394676</v>
      </c>
      <c r="B3473" s="218" t="s">
        <v>5184</v>
      </c>
      <c r="C3473" s="218" t="s">
        <v>6053</v>
      </c>
      <c r="D3473" s="219">
        <v>1.0</v>
      </c>
      <c r="E3473" s="218">
        <v>300.0</v>
      </c>
      <c r="G3473" s="220">
        <v>43450.0</v>
      </c>
    </row>
    <row r="3474">
      <c r="A3474" s="217">
        <v>43450.57613505787</v>
      </c>
      <c r="B3474" s="218" t="s">
        <v>5184</v>
      </c>
      <c r="C3474" s="218" t="s">
        <v>6053</v>
      </c>
      <c r="D3474" s="219">
        <v>1.0</v>
      </c>
      <c r="E3474" s="218">
        <v>300.0</v>
      </c>
      <c r="G3474" s="220">
        <v>43450.0</v>
      </c>
    </row>
    <row r="3475">
      <c r="A3475" s="217">
        <v>43450.64019665509</v>
      </c>
      <c r="B3475" s="218" t="s">
        <v>5184</v>
      </c>
      <c r="C3475" s="218" t="s">
        <v>7408</v>
      </c>
      <c r="D3475" s="219">
        <v>1.0</v>
      </c>
      <c r="E3475" s="218">
        <v>400.0</v>
      </c>
      <c r="G3475" s="220">
        <v>43450.0</v>
      </c>
    </row>
    <row r="3476">
      <c r="A3476" s="217">
        <v>43450.74637266203</v>
      </c>
      <c r="B3476" s="218" t="s">
        <v>5184</v>
      </c>
      <c r="C3476" s="218" t="s">
        <v>5789</v>
      </c>
      <c r="D3476" s="219">
        <v>1.0</v>
      </c>
      <c r="E3476" s="218">
        <v>400.0</v>
      </c>
      <c r="G3476" s="220">
        <v>43450.0</v>
      </c>
    </row>
    <row r="3477">
      <c r="A3477" s="217">
        <v>43450.748403125</v>
      </c>
      <c r="B3477" s="218" t="s">
        <v>5184</v>
      </c>
      <c r="C3477" s="218" t="s">
        <v>6053</v>
      </c>
      <c r="D3477" s="219">
        <v>1.0</v>
      </c>
      <c r="E3477" s="218">
        <v>300.0</v>
      </c>
      <c r="G3477" s="220">
        <v>43450.0</v>
      </c>
    </row>
    <row r="3478">
      <c r="A3478" s="217">
        <v>43451.51070951389</v>
      </c>
      <c r="B3478" s="218" t="s">
        <v>5184</v>
      </c>
      <c r="C3478" s="218" t="s">
        <v>6038</v>
      </c>
      <c r="D3478" s="219">
        <v>1.0</v>
      </c>
      <c r="E3478" s="218">
        <v>400.0</v>
      </c>
      <c r="G3478" s="220">
        <v>43445.0</v>
      </c>
    </row>
    <row r="3479">
      <c r="A3479" s="217">
        <v>43451.51192027778</v>
      </c>
      <c r="B3479" s="218" t="s">
        <v>5184</v>
      </c>
      <c r="C3479" s="218" t="s">
        <v>6306</v>
      </c>
      <c r="D3479" s="219">
        <v>1.0</v>
      </c>
      <c r="E3479" s="218">
        <v>350.0</v>
      </c>
      <c r="G3479" s="220">
        <v>43451.0</v>
      </c>
    </row>
    <row r="3480">
      <c r="A3480" s="217">
        <v>43451.51285075232</v>
      </c>
      <c r="B3480" s="218" t="s">
        <v>5184</v>
      </c>
      <c r="C3480" s="218" t="s">
        <v>6053</v>
      </c>
      <c r="D3480" s="219">
        <v>1.0</v>
      </c>
      <c r="E3480" s="218">
        <v>300.0</v>
      </c>
      <c r="G3480" s="220">
        <v>43451.0</v>
      </c>
    </row>
    <row r="3481">
      <c r="A3481" s="217">
        <v>43451.51367868055</v>
      </c>
      <c r="B3481" s="218" t="s">
        <v>5184</v>
      </c>
      <c r="C3481" s="218" t="s">
        <v>6053</v>
      </c>
      <c r="D3481" s="219">
        <v>1.0</v>
      </c>
      <c r="E3481" s="218">
        <v>300.0</v>
      </c>
      <c r="G3481" s="220">
        <v>43451.0</v>
      </c>
    </row>
    <row r="3482">
      <c r="A3482" s="217">
        <v>43451.534381516205</v>
      </c>
      <c r="B3482" s="218" t="s">
        <v>5184</v>
      </c>
      <c r="C3482" s="218" t="s">
        <v>5786</v>
      </c>
      <c r="D3482" s="219">
        <v>1.0</v>
      </c>
      <c r="E3482" s="218">
        <v>300.0</v>
      </c>
      <c r="G3482" s="220">
        <v>43451.0</v>
      </c>
    </row>
    <row r="3483">
      <c r="A3483" s="217">
        <v>43451.535050983795</v>
      </c>
      <c r="B3483" s="218" t="s">
        <v>5184</v>
      </c>
      <c r="C3483" s="218" t="s">
        <v>6053</v>
      </c>
      <c r="D3483" s="219">
        <v>1.0</v>
      </c>
      <c r="E3483" s="218">
        <v>300.0</v>
      </c>
      <c r="G3483" s="220">
        <v>43451.0</v>
      </c>
    </row>
    <row r="3484">
      <c r="A3484" s="217">
        <v>43451.535845266204</v>
      </c>
      <c r="B3484" s="218" t="s">
        <v>5184</v>
      </c>
      <c r="C3484" s="218" t="s">
        <v>5786</v>
      </c>
      <c r="D3484" s="219">
        <v>1.0</v>
      </c>
      <c r="E3484" s="218">
        <v>300.0</v>
      </c>
      <c r="G3484" s="220">
        <v>43451.0</v>
      </c>
    </row>
    <row r="3485">
      <c r="A3485" s="217">
        <v>43451.536754976856</v>
      </c>
      <c r="B3485" s="218" t="s">
        <v>5184</v>
      </c>
      <c r="C3485" s="218" t="s">
        <v>6053</v>
      </c>
      <c r="D3485" s="219">
        <v>1.0</v>
      </c>
      <c r="E3485" s="218">
        <v>300.0</v>
      </c>
      <c r="G3485" s="220">
        <v>43451.0</v>
      </c>
    </row>
    <row r="3486">
      <c r="A3486" s="217">
        <v>43451.53802886574</v>
      </c>
      <c r="B3486" s="218" t="s">
        <v>5184</v>
      </c>
      <c r="C3486" s="218" t="s">
        <v>6038</v>
      </c>
      <c r="D3486" s="219">
        <v>1.0</v>
      </c>
      <c r="E3486" s="218">
        <v>400.0</v>
      </c>
      <c r="G3486" s="220">
        <v>43451.0</v>
      </c>
    </row>
    <row r="3487">
      <c r="A3487" s="217">
        <v>43451.53946414352</v>
      </c>
      <c r="B3487" s="218" t="s">
        <v>5184</v>
      </c>
      <c r="C3487" s="218" t="s">
        <v>6053</v>
      </c>
      <c r="D3487" s="219">
        <v>1.0</v>
      </c>
      <c r="E3487" s="218">
        <v>300.0</v>
      </c>
      <c r="G3487" s="220">
        <v>43450.0</v>
      </c>
    </row>
    <row r="3488">
      <c r="A3488" s="217">
        <v>43451.54273128472</v>
      </c>
      <c r="B3488" s="218" t="s">
        <v>5184</v>
      </c>
      <c r="C3488" s="218" t="s">
        <v>5789</v>
      </c>
      <c r="D3488" s="219">
        <v>1.0</v>
      </c>
      <c r="E3488" s="218">
        <v>400.0</v>
      </c>
      <c r="G3488" s="220">
        <v>43449.0</v>
      </c>
    </row>
    <row r="3489">
      <c r="A3489" s="217">
        <v>43451.543706944445</v>
      </c>
      <c r="B3489" s="218" t="s">
        <v>5184</v>
      </c>
      <c r="C3489" s="218" t="s">
        <v>6038</v>
      </c>
      <c r="D3489" s="219">
        <v>1.0</v>
      </c>
      <c r="E3489" s="218">
        <v>400.0</v>
      </c>
      <c r="G3489" s="220">
        <v>43449.0</v>
      </c>
    </row>
    <row r="3490">
      <c r="A3490" s="217">
        <v>43451.545503773144</v>
      </c>
      <c r="B3490" s="218" t="s">
        <v>5184</v>
      </c>
      <c r="C3490" s="218" t="s">
        <v>5789</v>
      </c>
      <c r="D3490" s="219">
        <v>1.0</v>
      </c>
      <c r="E3490" s="218">
        <v>400.0</v>
      </c>
      <c r="G3490" s="220">
        <v>43447.0</v>
      </c>
    </row>
    <row r="3491">
      <c r="A3491" s="217">
        <v>43451.54820157407</v>
      </c>
      <c r="B3491" s="218" t="s">
        <v>5184</v>
      </c>
      <c r="C3491" s="218" t="s">
        <v>7470</v>
      </c>
      <c r="D3491" s="219">
        <v>1.0</v>
      </c>
      <c r="E3491" s="218">
        <v>600.0</v>
      </c>
      <c r="G3491" s="220">
        <v>43447.0</v>
      </c>
    </row>
    <row r="3492">
      <c r="A3492" s="217">
        <v>43451.55109266203</v>
      </c>
      <c r="B3492" s="218" t="s">
        <v>5184</v>
      </c>
      <c r="C3492" s="218" t="s">
        <v>6053</v>
      </c>
      <c r="D3492" s="219">
        <v>1.0</v>
      </c>
      <c r="E3492" s="218">
        <v>300.0</v>
      </c>
      <c r="G3492" s="220">
        <v>43450.0</v>
      </c>
    </row>
    <row r="3493">
      <c r="A3493" s="217">
        <v>43451.56392540509</v>
      </c>
      <c r="B3493" s="218" t="s">
        <v>5184</v>
      </c>
      <c r="C3493" s="218" t="s">
        <v>5789</v>
      </c>
      <c r="D3493" s="219">
        <v>1.0</v>
      </c>
      <c r="E3493" s="218">
        <v>400.0</v>
      </c>
      <c r="G3493" s="220">
        <v>43451.0</v>
      </c>
    </row>
    <row r="3494">
      <c r="A3494" s="217">
        <v>43451.56489850694</v>
      </c>
      <c r="B3494" s="218" t="s">
        <v>5184</v>
      </c>
      <c r="C3494" s="218" t="s">
        <v>6036</v>
      </c>
      <c r="D3494" s="219">
        <v>1.0</v>
      </c>
      <c r="E3494" s="218">
        <v>400.0</v>
      </c>
      <c r="G3494" s="220">
        <v>43451.0</v>
      </c>
    </row>
    <row r="3495">
      <c r="A3495" s="217">
        <v>43451.569845046295</v>
      </c>
      <c r="B3495" s="218" t="s">
        <v>5184</v>
      </c>
      <c r="C3495" s="218" t="s">
        <v>5845</v>
      </c>
      <c r="D3495" s="219">
        <v>1.0</v>
      </c>
      <c r="E3495" s="218">
        <v>500.0</v>
      </c>
      <c r="G3495" s="220">
        <v>43447.0</v>
      </c>
    </row>
    <row r="3496">
      <c r="A3496" s="217">
        <v>43451.57093957176</v>
      </c>
      <c r="B3496" s="218" t="s">
        <v>5184</v>
      </c>
      <c r="C3496" s="218" t="s">
        <v>6036</v>
      </c>
      <c r="D3496" s="219">
        <v>1.0</v>
      </c>
      <c r="E3496" s="218">
        <v>400.0</v>
      </c>
      <c r="G3496" s="220">
        <v>43447.0</v>
      </c>
    </row>
    <row r="3497">
      <c r="A3497" s="217">
        <v>43451.57414199074</v>
      </c>
      <c r="B3497" s="218" t="s">
        <v>5184</v>
      </c>
      <c r="C3497" s="218" t="s">
        <v>6117</v>
      </c>
      <c r="D3497" s="219">
        <v>1.0</v>
      </c>
      <c r="E3497" s="218">
        <v>700.0</v>
      </c>
      <c r="G3497" s="220">
        <v>43451.0</v>
      </c>
    </row>
    <row r="3498">
      <c r="A3498" s="217">
        <v>43451.5765825</v>
      </c>
      <c r="B3498" s="218" t="s">
        <v>5184</v>
      </c>
      <c r="C3498" s="218" t="s">
        <v>6053</v>
      </c>
      <c r="D3498" s="219">
        <v>1.0</v>
      </c>
      <c r="E3498" s="218">
        <v>300.0</v>
      </c>
      <c r="G3498" s="220">
        <v>43451.0</v>
      </c>
    </row>
    <row r="3499">
      <c r="A3499" s="217">
        <v>43451.578565104166</v>
      </c>
      <c r="B3499" s="218" t="s">
        <v>5184</v>
      </c>
      <c r="C3499" s="218" t="s">
        <v>5845</v>
      </c>
      <c r="D3499" s="219">
        <v>1.0</v>
      </c>
      <c r="E3499" s="218">
        <v>500.0</v>
      </c>
      <c r="G3499" s="220">
        <v>43447.0</v>
      </c>
    </row>
    <row r="3500">
      <c r="A3500" s="217">
        <v>43451.579568483794</v>
      </c>
      <c r="B3500" s="218" t="s">
        <v>5184</v>
      </c>
      <c r="C3500" s="218" t="s">
        <v>284</v>
      </c>
      <c r="D3500" s="219">
        <v>1.0</v>
      </c>
      <c r="E3500" s="218">
        <v>400.0</v>
      </c>
      <c r="G3500" s="220">
        <v>43447.0</v>
      </c>
    </row>
    <row r="3501">
      <c r="A3501" s="217">
        <v>43451.58535001158</v>
      </c>
      <c r="B3501" s="218" t="s">
        <v>5184</v>
      </c>
      <c r="C3501" s="218" t="s">
        <v>6038</v>
      </c>
      <c r="D3501" s="219">
        <v>1.0</v>
      </c>
      <c r="E3501" s="218">
        <v>400.0</v>
      </c>
      <c r="G3501" s="220">
        <v>43449.0</v>
      </c>
    </row>
    <row r="3502">
      <c r="A3502" s="217">
        <v>43451.5928694676</v>
      </c>
      <c r="B3502" s="218" t="s">
        <v>5184</v>
      </c>
      <c r="C3502" s="218" t="s">
        <v>7476</v>
      </c>
      <c r="D3502" s="219">
        <v>1.0</v>
      </c>
      <c r="E3502" s="218">
        <v>1000.0</v>
      </c>
      <c r="G3502" s="220">
        <v>43448.0</v>
      </c>
    </row>
    <row r="3503">
      <c r="A3503" s="217">
        <v>43451.59397681713</v>
      </c>
      <c r="B3503" s="218" t="s">
        <v>5184</v>
      </c>
      <c r="C3503" s="218" t="s">
        <v>6038</v>
      </c>
      <c r="D3503" s="219">
        <v>1.0</v>
      </c>
      <c r="E3503" s="218">
        <v>400.0</v>
      </c>
      <c r="G3503" s="220">
        <v>43448.0</v>
      </c>
    </row>
    <row r="3504">
      <c r="A3504" s="217">
        <v>43451.59617399306</v>
      </c>
      <c r="B3504" s="218" t="s">
        <v>5184</v>
      </c>
      <c r="C3504" s="218" t="s">
        <v>7478</v>
      </c>
      <c r="D3504" s="219">
        <v>1.0</v>
      </c>
      <c r="E3504" s="218">
        <v>400.0</v>
      </c>
      <c r="G3504" s="220">
        <v>43451.0</v>
      </c>
    </row>
    <row r="3505">
      <c r="A3505" s="217">
        <v>43451.62057855324</v>
      </c>
      <c r="B3505" s="218" t="s">
        <v>5184</v>
      </c>
      <c r="C3505" s="218" t="s">
        <v>7470</v>
      </c>
      <c r="D3505" s="219">
        <v>1.0</v>
      </c>
      <c r="E3505" s="218">
        <v>600.0</v>
      </c>
      <c r="G3505" s="220">
        <v>43439.0</v>
      </c>
    </row>
    <row r="3506">
      <c r="A3506" s="217">
        <v>43452.53974694444</v>
      </c>
      <c r="B3506" s="218" t="s">
        <v>5184</v>
      </c>
      <c r="C3506" s="218" t="s">
        <v>6038</v>
      </c>
      <c r="D3506" s="219">
        <v>1.0</v>
      </c>
      <c r="E3506" s="218">
        <v>400.0</v>
      </c>
      <c r="G3506" s="220">
        <v>43452.0</v>
      </c>
    </row>
    <row r="3507">
      <c r="A3507" s="217">
        <v>43453.74294326389</v>
      </c>
      <c r="B3507" s="218" t="s">
        <v>5184</v>
      </c>
      <c r="C3507" s="218" t="s">
        <v>6663</v>
      </c>
      <c r="D3507" s="219">
        <v>1.0</v>
      </c>
      <c r="E3507" s="218">
        <v>4890.0</v>
      </c>
      <c r="G3507" s="220">
        <v>43453.0</v>
      </c>
    </row>
    <row r="3508">
      <c r="A3508" s="217">
        <v>43453.74463935185</v>
      </c>
      <c r="B3508" s="218" t="s">
        <v>5184</v>
      </c>
      <c r="C3508" s="218" t="s">
        <v>1876</v>
      </c>
      <c r="D3508" s="219">
        <v>1.0</v>
      </c>
      <c r="E3508" s="218">
        <v>6490.0</v>
      </c>
      <c r="G3508" s="220">
        <v>43453.0</v>
      </c>
    </row>
    <row r="3509">
      <c r="A3509" s="217">
        <v>43453.74754524305</v>
      </c>
      <c r="B3509" s="218" t="s">
        <v>5184</v>
      </c>
      <c r="C3509" s="218" t="s">
        <v>5389</v>
      </c>
      <c r="D3509" s="219">
        <v>1.0</v>
      </c>
      <c r="E3509" s="218">
        <v>9000.0</v>
      </c>
      <c r="G3509" s="220">
        <v>43453.0</v>
      </c>
    </row>
    <row r="3510">
      <c r="A3510" s="217">
        <v>43453.74609726852</v>
      </c>
      <c r="B3510" s="218" t="s">
        <v>5184</v>
      </c>
      <c r="C3510" s="218" t="s">
        <v>5392</v>
      </c>
      <c r="D3510" s="219">
        <v>1.0</v>
      </c>
      <c r="E3510" s="218">
        <v>9000.0</v>
      </c>
      <c r="G3510" s="220">
        <v>43453.0</v>
      </c>
    </row>
    <row r="3511">
      <c r="A3511" s="217">
        <v>43453.75438658565</v>
      </c>
      <c r="B3511" s="218" t="s">
        <v>5184</v>
      </c>
      <c r="C3511" s="218" t="s">
        <v>1279</v>
      </c>
      <c r="D3511" s="219">
        <v>1.0</v>
      </c>
      <c r="E3511" s="218">
        <v>1295.0</v>
      </c>
      <c r="G3511" s="220">
        <v>43453.0</v>
      </c>
    </row>
    <row r="3512">
      <c r="A3512" s="217">
        <v>43453.816316192126</v>
      </c>
      <c r="B3512" s="218" t="s">
        <v>5184</v>
      </c>
      <c r="C3512" s="218" t="s">
        <v>6508</v>
      </c>
      <c r="D3512" s="219">
        <v>1.0</v>
      </c>
      <c r="E3512" s="218">
        <v>11500.0</v>
      </c>
      <c r="G3512" s="220">
        <v>43454.0</v>
      </c>
    </row>
    <row r="3513">
      <c r="A3513" s="217">
        <v>43453.82132611111</v>
      </c>
      <c r="B3513" s="218" t="s">
        <v>5184</v>
      </c>
      <c r="C3513" s="218" t="s">
        <v>4844</v>
      </c>
      <c r="D3513" s="219">
        <v>1.0</v>
      </c>
      <c r="E3513" s="218">
        <v>895.0</v>
      </c>
      <c r="G3513" s="220">
        <v>43454.0</v>
      </c>
    </row>
    <row r="3514">
      <c r="A3514" s="217">
        <v>43454.42261471065</v>
      </c>
      <c r="B3514" s="218" t="s">
        <v>5092</v>
      </c>
      <c r="C3514" s="218" t="s">
        <v>4578</v>
      </c>
      <c r="D3514" s="219">
        <v>1.0</v>
      </c>
      <c r="E3514" s="218">
        <v>1199.0</v>
      </c>
      <c r="G3514" s="220">
        <v>43454.0</v>
      </c>
    </row>
    <row r="3515">
      <c r="A3515" s="217">
        <v>43454.43612105324</v>
      </c>
      <c r="B3515" s="218" t="s">
        <v>5184</v>
      </c>
      <c r="C3515" s="218" t="s">
        <v>5789</v>
      </c>
      <c r="D3515" s="219">
        <v>1.0</v>
      </c>
      <c r="E3515" s="218">
        <v>400.0</v>
      </c>
      <c r="G3515" s="220">
        <v>43453.0</v>
      </c>
    </row>
    <row r="3516">
      <c r="A3516" s="217">
        <v>43454.43749454861</v>
      </c>
      <c r="B3516" s="218" t="s">
        <v>5184</v>
      </c>
      <c r="C3516" s="218" t="s">
        <v>6053</v>
      </c>
      <c r="D3516" s="219">
        <v>1.0</v>
      </c>
      <c r="E3516" s="218">
        <v>300.0</v>
      </c>
      <c r="G3516" s="220">
        <v>43453.0</v>
      </c>
    </row>
    <row r="3517">
      <c r="A3517" s="217">
        <v>43454.438945312504</v>
      </c>
      <c r="B3517" s="218" t="s">
        <v>5184</v>
      </c>
      <c r="C3517" s="218" t="s">
        <v>5789</v>
      </c>
      <c r="D3517" s="219">
        <v>1.0</v>
      </c>
      <c r="E3517" s="218">
        <v>400.0</v>
      </c>
      <c r="G3517" s="220">
        <v>43453.0</v>
      </c>
    </row>
    <row r="3518">
      <c r="A3518" s="217">
        <v>43454.43955652778</v>
      </c>
      <c r="B3518" s="218" t="s">
        <v>5184</v>
      </c>
      <c r="C3518" s="218" t="s">
        <v>6053</v>
      </c>
      <c r="D3518" s="219">
        <v>1.0</v>
      </c>
      <c r="E3518" s="218">
        <v>300.0</v>
      </c>
      <c r="G3518" s="220">
        <v>43453.0</v>
      </c>
    </row>
    <row r="3519">
      <c r="A3519" s="217">
        <v>43454.440796423616</v>
      </c>
      <c r="B3519" s="218" t="s">
        <v>5184</v>
      </c>
      <c r="C3519" s="218" t="s">
        <v>6053</v>
      </c>
      <c r="D3519" s="219">
        <v>1.0</v>
      </c>
      <c r="E3519" s="218">
        <v>300.0</v>
      </c>
      <c r="G3519" s="220">
        <v>43453.0</v>
      </c>
    </row>
    <row r="3520">
      <c r="A3520" s="217">
        <v>43454.48219122685</v>
      </c>
      <c r="B3520" s="218" t="s">
        <v>5184</v>
      </c>
      <c r="C3520" s="218" t="s">
        <v>5789</v>
      </c>
      <c r="D3520" s="219">
        <v>1.0</v>
      </c>
      <c r="E3520" s="218">
        <v>400.0</v>
      </c>
      <c r="G3520" s="220">
        <v>43454.0</v>
      </c>
    </row>
    <row r="3521">
      <c r="A3521" s="217">
        <v>43454.4832321875</v>
      </c>
      <c r="B3521" s="218" t="s">
        <v>5184</v>
      </c>
      <c r="C3521" s="218" t="s">
        <v>6053</v>
      </c>
      <c r="D3521" s="219">
        <v>1.0</v>
      </c>
      <c r="E3521" s="218">
        <v>300.0</v>
      </c>
      <c r="G3521" s="220">
        <v>43454.0</v>
      </c>
    </row>
    <row r="3522">
      <c r="A3522" s="217">
        <v>43454.48603460648</v>
      </c>
      <c r="B3522" s="218" t="s">
        <v>5184</v>
      </c>
      <c r="C3522" s="218" t="s">
        <v>5804</v>
      </c>
      <c r="D3522" s="219">
        <v>1.0</v>
      </c>
      <c r="E3522" s="218">
        <v>300.0</v>
      </c>
      <c r="G3522" s="220">
        <v>43454.0</v>
      </c>
    </row>
    <row r="3523">
      <c r="A3523" s="217">
        <v>43454.48730039352</v>
      </c>
      <c r="B3523" s="218" t="s">
        <v>5184</v>
      </c>
      <c r="C3523" s="218" t="s">
        <v>6053</v>
      </c>
      <c r="D3523" s="219">
        <v>1.0</v>
      </c>
      <c r="E3523" s="218">
        <v>300.0</v>
      </c>
      <c r="G3523" s="220">
        <v>43454.0</v>
      </c>
    </row>
    <row r="3524">
      <c r="A3524" s="217">
        <v>43454.61450403935</v>
      </c>
      <c r="B3524" s="218" t="s">
        <v>5184</v>
      </c>
      <c r="C3524" s="218" t="s">
        <v>5818</v>
      </c>
      <c r="D3524" s="219">
        <v>1.0</v>
      </c>
      <c r="E3524" s="218">
        <v>300.0</v>
      </c>
      <c r="G3524" s="220">
        <v>43454.0</v>
      </c>
    </row>
    <row r="3525">
      <c r="A3525" s="217">
        <v>43454.61608784722</v>
      </c>
      <c r="B3525" s="218" t="s">
        <v>5184</v>
      </c>
      <c r="C3525" s="218" t="s">
        <v>6036</v>
      </c>
      <c r="D3525" s="219">
        <v>1.0</v>
      </c>
      <c r="E3525" s="218">
        <v>400.0</v>
      </c>
      <c r="G3525" s="220">
        <v>43454.0</v>
      </c>
    </row>
    <row r="3526">
      <c r="A3526" s="217">
        <v>43454.6174171875</v>
      </c>
      <c r="B3526" s="218" t="s">
        <v>5184</v>
      </c>
      <c r="C3526" s="218" t="s">
        <v>7476</v>
      </c>
      <c r="D3526" s="219">
        <v>1.0</v>
      </c>
      <c r="E3526" s="218">
        <v>1000.0</v>
      </c>
      <c r="G3526" s="220">
        <v>43454.0</v>
      </c>
    </row>
    <row r="3527">
      <c r="A3527" s="217">
        <v>43454.618336875</v>
      </c>
      <c r="B3527" s="218" t="s">
        <v>5184</v>
      </c>
      <c r="C3527" s="218" t="s">
        <v>6036</v>
      </c>
      <c r="D3527" s="219">
        <v>1.0</v>
      </c>
      <c r="E3527" s="218">
        <v>400.0</v>
      </c>
      <c r="G3527" s="220">
        <v>43454.0</v>
      </c>
    </row>
    <row r="3528">
      <c r="A3528" s="217">
        <v>43454.821460798616</v>
      </c>
      <c r="B3528" s="218" t="s">
        <v>5184</v>
      </c>
      <c r="C3528" s="218" t="s">
        <v>5789</v>
      </c>
      <c r="D3528" s="219">
        <v>1.0</v>
      </c>
      <c r="E3528" s="218">
        <v>400.0</v>
      </c>
      <c r="G3528" s="220">
        <v>43454.0</v>
      </c>
    </row>
    <row r="3529">
      <c r="A3529" s="217">
        <v>43454.82211700232</v>
      </c>
      <c r="B3529" s="218" t="s">
        <v>5184</v>
      </c>
      <c r="C3529" s="218" t="s">
        <v>6053</v>
      </c>
      <c r="D3529" s="219">
        <v>1.0</v>
      </c>
      <c r="E3529" s="218">
        <v>300.0</v>
      </c>
      <c r="G3529" s="220">
        <v>43454.0</v>
      </c>
    </row>
    <row r="3530">
      <c r="A3530" s="217">
        <v>43455.40152241898</v>
      </c>
      <c r="B3530" s="218" t="s">
        <v>5184</v>
      </c>
      <c r="C3530" s="218" t="s">
        <v>7496</v>
      </c>
      <c r="D3530" s="219">
        <v>1.0</v>
      </c>
      <c r="E3530" s="218">
        <v>250.0</v>
      </c>
      <c r="G3530" s="220">
        <v>43454.0</v>
      </c>
    </row>
    <row r="3531">
      <c r="A3531" s="217">
        <v>43455.455434641204</v>
      </c>
      <c r="B3531" s="218" t="s">
        <v>5184</v>
      </c>
      <c r="C3531" s="218" t="s">
        <v>6053</v>
      </c>
      <c r="D3531" s="219">
        <v>1.0</v>
      </c>
      <c r="E3531" s="218">
        <v>300.0</v>
      </c>
      <c r="G3531" s="220">
        <v>43455.0</v>
      </c>
    </row>
    <row r="3532">
      <c r="A3532" s="217">
        <v>43455.4564678125</v>
      </c>
      <c r="B3532" s="218" t="s">
        <v>5184</v>
      </c>
      <c r="C3532" s="218" t="s">
        <v>5786</v>
      </c>
      <c r="D3532" s="219">
        <v>1.0</v>
      </c>
      <c r="E3532" s="218">
        <v>300.0</v>
      </c>
      <c r="G3532" s="220">
        <v>43455.0</v>
      </c>
    </row>
    <row r="3533">
      <c r="A3533" s="217">
        <v>43455.60566475695</v>
      </c>
      <c r="B3533" s="218" t="s">
        <v>5184</v>
      </c>
      <c r="C3533" s="218" t="s">
        <v>6053</v>
      </c>
      <c r="D3533" s="219">
        <v>1.0</v>
      </c>
      <c r="E3533" s="218">
        <v>300.0</v>
      </c>
      <c r="G3533" s="220">
        <v>43455.0</v>
      </c>
    </row>
    <row r="3534">
      <c r="A3534" s="217">
        <v>43455.606983425925</v>
      </c>
      <c r="B3534" s="218" t="s">
        <v>5184</v>
      </c>
      <c r="C3534" s="218" t="s">
        <v>5786</v>
      </c>
      <c r="D3534" s="219">
        <v>1.0</v>
      </c>
      <c r="E3534" s="218">
        <v>300.0</v>
      </c>
      <c r="G3534" s="220">
        <v>43455.0</v>
      </c>
    </row>
    <row r="3535">
      <c r="A3535" s="217">
        <v>43455.60753173611</v>
      </c>
      <c r="B3535" s="218" t="s">
        <v>5184</v>
      </c>
      <c r="C3535" s="218" t="s">
        <v>6053</v>
      </c>
      <c r="D3535" s="219">
        <v>1.0</v>
      </c>
      <c r="E3535" s="218">
        <v>300.0</v>
      </c>
      <c r="G3535" s="220">
        <v>43455.0</v>
      </c>
    </row>
    <row r="3536">
      <c r="A3536" s="217">
        <v>43455.60843821759</v>
      </c>
      <c r="B3536" s="218" t="s">
        <v>5184</v>
      </c>
      <c r="C3536" s="218" t="s">
        <v>5786</v>
      </c>
      <c r="D3536" s="219">
        <v>1.0</v>
      </c>
      <c r="E3536" s="218">
        <v>300.0</v>
      </c>
      <c r="G3536" s="220">
        <v>43455.0</v>
      </c>
    </row>
    <row r="3537">
      <c r="A3537" s="217">
        <v>43455.60898042824</v>
      </c>
      <c r="B3537" s="218" t="s">
        <v>5184</v>
      </c>
      <c r="C3537" s="218" t="s">
        <v>6053</v>
      </c>
      <c r="D3537" s="219">
        <v>1.0</v>
      </c>
      <c r="E3537" s="218">
        <v>300.0</v>
      </c>
      <c r="G3537" s="220">
        <v>43455.0</v>
      </c>
    </row>
    <row r="3538">
      <c r="A3538" s="217">
        <v>43455.61138018519</v>
      </c>
      <c r="B3538" s="218" t="s">
        <v>5184</v>
      </c>
      <c r="C3538" s="218" t="s">
        <v>6053</v>
      </c>
      <c r="D3538" s="219">
        <v>1.0</v>
      </c>
      <c r="E3538" s="218">
        <v>300.0</v>
      </c>
      <c r="G3538" s="220">
        <v>43455.0</v>
      </c>
    </row>
    <row r="3539">
      <c r="A3539" s="217">
        <v>43455.61373704861</v>
      </c>
      <c r="B3539" s="218" t="s">
        <v>5184</v>
      </c>
      <c r="C3539" s="218" t="s">
        <v>5789</v>
      </c>
      <c r="D3539" s="219">
        <v>1.0</v>
      </c>
      <c r="E3539" s="218">
        <v>400.0</v>
      </c>
      <c r="G3539" s="220">
        <v>43455.0</v>
      </c>
    </row>
    <row r="3540">
      <c r="A3540" s="217">
        <v>43455.614322685185</v>
      </c>
      <c r="B3540" s="218" t="s">
        <v>5184</v>
      </c>
      <c r="C3540" s="218" t="s">
        <v>6053</v>
      </c>
      <c r="D3540" s="219">
        <v>1.0</v>
      </c>
      <c r="E3540" s="218">
        <v>300.0</v>
      </c>
      <c r="G3540" s="220">
        <v>43455.0</v>
      </c>
    </row>
    <row r="3541">
      <c r="A3541" s="217">
        <v>43455.61521846065</v>
      </c>
      <c r="B3541" s="218" t="s">
        <v>5184</v>
      </c>
      <c r="C3541" s="218" t="s">
        <v>6053</v>
      </c>
      <c r="D3541" s="219">
        <v>1.0</v>
      </c>
      <c r="E3541" s="218">
        <v>300.0</v>
      </c>
      <c r="G3541" s="220">
        <v>43455.0</v>
      </c>
    </row>
    <row r="3542">
      <c r="A3542" s="217">
        <v>43455.61588600694</v>
      </c>
      <c r="B3542" s="218" t="s">
        <v>5184</v>
      </c>
      <c r="C3542" s="218" t="s">
        <v>6053</v>
      </c>
      <c r="D3542" s="219">
        <v>1.0</v>
      </c>
      <c r="E3542" s="218">
        <v>300.0</v>
      </c>
      <c r="G3542" s="220">
        <v>43455.0</v>
      </c>
    </row>
    <row r="3543">
      <c r="A3543" s="217">
        <v>43455.62095200231</v>
      </c>
      <c r="B3543" s="218" t="s">
        <v>5184</v>
      </c>
      <c r="C3543" s="218" t="s">
        <v>5786</v>
      </c>
      <c r="D3543" s="219">
        <v>1.0</v>
      </c>
      <c r="E3543" s="218">
        <v>300.0</v>
      </c>
      <c r="G3543" s="220">
        <v>43455.0</v>
      </c>
    </row>
    <row r="3544">
      <c r="A3544" s="217">
        <v>43455.62172707176</v>
      </c>
      <c r="B3544" s="218" t="s">
        <v>5184</v>
      </c>
      <c r="C3544" s="218" t="s">
        <v>6038</v>
      </c>
      <c r="D3544" s="219">
        <v>1.0</v>
      </c>
      <c r="E3544" s="218">
        <v>400.0</v>
      </c>
      <c r="G3544" s="220">
        <v>43455.0</v>
      </c>
    </row>
    <row r="3545">
      <c r="A3545" s="217">
        <v>43455.62243853009</v>
      </c>
      <c r="B3545" s="218" t="s">
        <v>5184</v>
      </c>
      <c r="C3545" s="218" t="s">
        <v>6053</v>
      </c>
      <c r="D3545" s="219">
        <v>1.0</v>
      </c>
      <c r="E3545" s="218">
        <v>300.0</v>
      </c>
      <c r="G3545" s="220">
        <v>43455.0</v>
      </c>
    </row>
    <row r="3546">
      <c r="A3546" s="217">
        <v>43455.62346217592</v>
      </c>
      <c r="B3546" s="218" t="s">
        <v>5184</v>
      </c>
      <c r="C3546" s="218" t="s">
        <v>5893</v>
      </c>
      <c r="D3546" s="219">
        <v>1.0</v>
      </c>
      <c r="E3546" s="218">
        <v>250.0</v>
      </c>
      <c r="G3546" s="220">
        <v>43455.0</v>
      </c>
    </row>
    <row r="3547">
      <c r="A3547" s="217">
        <v>43455.62408517361</v>
      </c>
      <c r="B3547" s="218" t="s">
        <v>5184</v>
      </c>
      <c r="C3547" s="218" t="s">
        <v>6053</v>
      </c>
      <c r="D3547" s="219">
        <v>1.0</v>
      </c>
      <c r="E3547" s="218">
        <v>300.0</v>
      </c>
      <c r="G3547" s="220">
        <v>43455.0</v>
      </c>
    </row>
    <row r="3548">
      <c r="A3548" s="217">
        <v>43455.624925474534</v>
      </c>
      <c r="B3548" s="218" t="s">
        <v>5184</v>
      </c>
      <c r="C3548" s="218" t="s">
        <v>5786</v>
      </c>
      <c r="D3548" s="219">
        <v>1.0</v>
      </c>
      <c r="E3548" s="218">
        <v>300.0</v>
      </c>
      <c r="G3548" s="220">
        <v>43455.0</v>
      </c>
    </row>
    <row r="3549">
      <c r="A3549" s="217">
        <v>43455.625555</v>
      </c>
      <c r="B3549" s="218" t="s">
        <v>5184</v>
      </c>
      <c r="C3549" s="218" t="s">
        <v>6053</v>
      </c>
      <c r="D3549" s="219">
        <v>1.0</v>
      </c>
      <c r="E3549" s="218">
        <v>300.0</v>
      </c>
      <c r="G3549" s="220">
        <v>43455.0</v>
      </c>
    </row>
    <row r="3550">
      <c r="A3550" s="217">
        <v>43455.626362407405</v>
      </c>
      <c r="B3550" s="218" t="s">
        <v>5184</v>
      </c>
      <c r="C3550" s="218" t="s">
        <v>6053</v>
      </c>
      <c r="D3550" s="219">
        <v>1.0</v>
      </c>
      <c r="E3550" s="218">
        <v>300.0</v>
      </c>
      <c r="G3550" s="220">
        <v>43455.0</v>
      </c>
    </row>
    <row r="3551">
      <c r="A3551" s="217">
        <v>43455.6274417824</v>
      </c>
      <c r="B3551" s="218" t="s">
        <v>5184</v>
      </c>
      <c r="C3551" s="218" t="s">
        <v>6053</v>
      </c>
      <c r="D3551" s="219">
        <v>1.0</v>
      </c>
      <c r="E3551" s="218">
        <v>300.0</v>
      </c>
      <c r="G3551" s="220">
        <v>43455.0</v>
      </c>
    </row>
    <row r="3552">
      <c r="A3552" s="217">
        <v>43455.628089756945</v>
      </c>
      <c r="B3552" s="218" t="s">
        <v>5184</v>
      </c>
      <c r="C3552" s="218" t="s">
        <v>6053</v>
      </c>
      <c r="D3552" s="219">
        <v>1.0</v>
      </c>
      <c r="E3552" s="218">
        <v>300.0</v>
      </c>
      <c r="G3552" s="220">
        <v>43455.0</v>
      </c>
    </row>
    <row r="3553">
      <c r="A3553" s="217">
        <v>43455.628967743054</v>
      </c>
      <c r="B3553" s="218" t="s">
        <v>5184</v>
      </c>
      <c r="C3553" s="218" t="s">
        <v>6053</v>
      </c>
      <c r="D3553" s="219">
        <v>1.0</v>
      </c>
      <c r="E3553" s="218">
        <v>300.0</v>
      </c>
      <c r="G3553" s="220">
        <v>43455.0</v>
      </c>
    </row>
    <row r="3554">
      <c r="A3554" s="217">
        <v>43455.62938453704</v>
      </c>
      <c r="B3554" s="218" t="s">
        <v>5184</v>
      </c>
      <c r="C3554" s="218" t="s">
        <v>6053</v>
      </c>
      <c r="D3554" s="219">
        <v>1.0</v>
      </c>
      <c r="E3554" s="218">
        <v>300.0</v>
      </c>
      <c r="G3554" s="220">
        <v>43455.0</v>
      </c>
    </row>
    <row r="3555">
      <c r="A3555" s="217">
        <v>43455.630706076394</v>
      </c>
      <c r="B3555" s="218" t="s">
        <v>5184</v>
      </c>
      <c r="C3555" s="218" t="s">
        <v>5786</v>
      </c>
      <c r="D3555" s="219">
        <v>1.0</v>
      </c>
      <c r="E3555" s="218">
        <v>300.0</v>
      </c>
      <c r="G3555" s="220">
        <v>43455.0</v>
      </c>
    </row>
    <row r="3556">
      <c r="A3556" s="217">
        <v>43455.63147125</v>
      </c>
      <c r="B3556" s="218" t="s">
        <v>5184</v>
      </c>
      <c r="C3556" s="218" t="s">
        <v>6038</v>
      </c>
      <c r="D3556" s="219">
        <v>1.0</v>
      </c>
      <c r="E3556" s="218">
        <v>400.0</v>
      </c>
      <c r="G3556" s="220">
        <v>43455.0</v>
      </c>
    </row>
    <row r="3557">
      <c r="A3557" s="217">
        <v>43455.634409722225</v>
      </c>
      <c r="B3557" s="218" t="s">
        <v>5184</v>
      </c>
      <c r="C3557" s="218" t="s">
        <v>5786</v>
      </c>
      <c r="D3557" s="219">
        <v>1.0</v>
      </c>
      <c r="E3557" s="218">
        <v>300.0</v>
      </c>
      <c r="G3557" s="220">
        <v>43455.0</v>
      </c>
    </row>
    <row r="3558">
      <c r="A3558" s="217">
        <v>43455.63374675926</v>
      </c>
      <c r="B3558" s="218" t="s">
        <v>5184</v>
      </c>
      <c r="C3558" s="218" t="s">
        <v>6053</v>
      </c>
      <c r="D3558" s="219">
        <v>1.0</v>
      </c>
      <c r="E3558" s="218">
        <v>300.0</v>
      </c>
      <c r="G3558" s="220">
        <v>43455.0</v>
      </c>
    </row>
    <row r="3559">
      <c r="A3559" s="217">
        <v>43455.63501300926</v>
      </c>
      <c r="B3559" s="218" t="s">
        <v>5184</v>
      </c>
      <c r="C3559" s="218" t="s">
        <v>5789</v>
      </c>
      <c r="D3559" s="219">
        <v>1.0</v>
      </c>
      <c r="E3559" s="218">
        <v>400.0</v>
      </c>
      <c r="G3559" s="220">
        <v>43455.0</v>
      </c>
    </row>
    <row r="3560">
      <c r="A3560" s="217">
        <v>43455.63595196759</v>
      </c>
      <c r="B3560" s="218" t="s">
        <v>5184</v>
      </c>
      <c r="C3560" s="218" t="s">
        <v>6053</v>
      </c>
      <c r="D3560" s="219">
        <v>1.0</v>
      </c>
      <c r="E3560" s="218">
        <v>300.0</v>
      </c>
      <c r="G3560" s="220">
        <v>43455.0</v>
      </c>
    </row>
    <row r="3561">
      <c r="A3561" s="217">
        <v>43455.63686806713</v>
      </c>
      <c r="B3561" s="218" t="s">
        <v>5184</v>
      </c>
      <c r="C3561" s="218" t="s">
        <v>6053</v>
      </c>
      <c r="D3561" s="219">
        <v>1.0</v>
      </c>
      <c r="E3561" s="218">
        <v>300.0</v>
      </c>
      <c r="G3561" s="220">
        <v>43455.0</v>
      </c>
    </row>
    <row r="3562">
      <c r="A3562" s="217">
        <v>43455.639006956015</v>
      </c>
      <c r="B3562" s="218" t="s">
        <v>5184</v>
      </c>
      <c r="C3562" s="218" t="s">
        <v>6053</v>
      </c>
      <c r="D3562" s="219">
        <v>1.0</v>
      </c>
      <c r="E3562" s="218">
        <v>300.0</v>
      </c>
      <c r="G3562" s="220">
        <v>43455.0</v>
      </c>
    </row>
    <row r="3563">
      <c r="A3563" s="217">
        <v>43455.639539502314</v>
      </c>
      <c r="B3563" s="218" t="s">
        <v>5184</v>
      </c>
      <c r="C3563" s="218" t="s">
        <v>6053</v>
      </c>
      <c r="D3563" s="219">
        <v>1.0</v>
      </c>
      <c r="E3563" s="218">
        <v>300.0</v>
      </c>
      <c r="G3563" s="220">
        <v>43455.0</v>
      </c>
    </row>
    <row r="3564">
      <c r="A3564" s="217">
        <v>43455.64027059027</v>
      </c>
      <c r="B3564" s="218" t="s">
        <v>5184</v>
      </c>
      <c r="C3564" s="218" t="s">
        <v>6053</v>
      </c>
      <c r="D3564" s="219">
        <v>1.0</v>
      </c>
      <c r="E3564" s="218">
        <v>300.0</v>
      </c>
      <c r="G3564" s="220">
        <v>43455.0</v>
      </c>
    </row>
    <row r="3565">
      <c r="A3565" s="217">
        <v>43455.69372364583</v>
      </c>
      <c r="B3565" s="218" t="s">
        <v>5184</v>
      </c>
      <c r="C3565" s="218" t="s">
        <v>7476</v>
      </c>
      <c r="D3565" s="219">
        <v>1.0</v>
      </c>
      <c r="E3565" s="218">
        <v>1000.0</v>
      </c>
      <c r="G3565" s="220">
        <v>43454.0</v>
      </c>
    </row>
    <row r="3566">
      <c r="A3566" s="217">
        <v>43455.69450953703</v>
      </c>
      <c r="B3566" s="218" t="s">
        <v>5184</v>
      </c>
      <c r="C3566" s="218" t="s">
        <v>7526</v>
      </c>
      <c r="D3566" s="219">
        <v>1.0</v>
      </c>
      <c r="E3566" s="218">
        <v>1000.0</v>
      </c>
      <c r="G3566" s="220">
        <v>43454.0</v>
      </c>
    </row>
    <row r="3567">
      <c r="A3567" s="217">
        <v>43455.707715937504</v>
      </c>
      <c r="B3567" s="218" t="s">
        <v>5184</v>
      </c>
      <c r="C3567" s="218" t="s">
        <v>5786</v>
      </c>
      <c r="D3567" s="219">
        <v>1.0</v>
      </c>
      <c r="E3567" s="218">
        <v>300.0</v>
      </c>
      <c r="G3567" s="220">
        <v>43455.0</v>
      </c>
    </row>
    <row r="3568">
      <c r="A3568" s="217">
        <v>43455.70904365741</v>
      </c>
      <c r="B3568" s="218" t="s">
        <v>5184</v>
      </c>
      <c r="C3568" s="218" t="s">
        <v>6053</v>
      </c>
      <c r="D3568" s="219">
        <v>1.0</v>
      </c>
      <c r="E3568" s="218">
        <v>300.0</v>
      </c>
      <c r="G3568" s="220">
        <v>43455.0</v>
      </c>
    </row>
    <row r="3569">
      <c r="A3569" s="217">
        <v>43455.713369317134</v>
      </c>
      <c r="B3569" s="218" t="s">
        <v>5184</v>
      </c>
      <c r="C3569" s="218" t="s">
        <v>6053</v>
      </c>
      <c r="D3569" s="219">
        <v>1.0</v>
      </c>
      <c r="E3569" s="218">
        <v>300.0</v>
      </c>
      <c r="G3569" s="220">
        <v>43455.0</v>
      </c>
    </row>
    <row r="3570">
      <c r="A3570" s="217">
        <v>43455.772063171295</v>
      </c>
      <c r="B3570" s="218" t="s">
        <v>5184</v>
      </c>
      <c r="C3570" s="218" t="s">
        <v>5845</v>
      </c>
      <c r="D3570" s="219">
        <v>1.0</v>
      </c>
      <c r="E3570" s="218">
        <v>500.0</v>
      </c>
      <c r="G3570" s="220">
        <v>43455.0</v>
      </c>
    </row>
    <row r="3571">
      <c r="A3571" s="217">
        <v>43455.772835138894</v>
      </c>
      <c r="B3571" s="218" t="s">
        <v>5184</v>
      </c>
      <c r="C3571" s="218" t="s">
        <v>284</v>
      </c>
      <c r="D3571" s="219">
        <v>1.0</v>
      </c>
      <c r="E3571" s="218">
        <v>400.0</v>
      </c>
      <c r="G3571" s="220">
        <v>43455.0</v>
      </c>
    </row>
    <row r="3572">
      <c r="A3572" s="217">
        <v>43455.773610000004</v>
      </c>
      <c r="B3572" s="218" t="s">
        <v>5184</v>
      </c>
      <c r="C3572" s="218" t="s">
        <v>7408</v>
      </c>
      <c r="D3572" s="219">
        <v>1.0</v>
      </c>
      <c r="E3572" s="218">
        <v>400.0</v>
      </c>
      <c r="G3572" s="220">
        <v>43455.0</v>
      </c>
    </row>
    <row r="3573">
      <c r="A3573" s="217">
        <v>43455.77425362269</v>
      </c>
      <c r="B3573" s="218" t="s">
        <v>5184</v>
      </c>
      <c r="C3573" s="218" t="s">
        <v>6053</v>
      </c>
      <c r="D3573" s="219">
        <v>1.0</v>
      </c>
      <c r="E3573" s="218">
        <v>300.0</v>
      </c>
      <c r="G3573" s="220">
        <v>43455.0</v>
      </c>
    </row>
    <row r="3574">
      <c r="A3574" s="217">
        <v>43456.727604155094</v>
      </c>
      <c r="B3574" s="218" t="s">
        <v>5184</v>
      </c>
      <c r="C3574" s="218" t="s">
        <v>5818</v>
      </c>
      <c r="D3574" s="219">
        <v>1.0</v>
      </c>
      <c r="E3574" s="218">
        <v>300.0</v>
      </c>
      <c r="G3574" s="220">
        <v>43456.0</v>
      </c>
    </row>
    <row r="3575">
      <c r="A3575" s="217">
        <v>43456.72829907408</v>
      </c>
      <c r="B3575" s="218" t="s">
        <v>5184</v>
      </c>
      <c r="C3575" s="218" t="s">
        <v>6053</v>
      </c>
      <c r="D3575" s="219">
        <v>1.0</v>
      </c>
      <c r="E3575" s="218">
        <v>300.0</v>
      </c>
      <c r="G3575" s="220">
        <v>43456.0</v>
      </c>
    </row>
    <row r="3576">
      <c r="A3576" s="217">
        <v>43456.73087288195</v>
      </c>
      <c r="B3576" s="218" t="s">
        <v>5184</v>
      </c>
      <c r="C3576" s="218" t="s">
        <v>5893</v>
      </c>
      <c r="D3576" s="219">
        <v>1.0</v>
      </c>
      <c r="E3576" s="218">
        <v>250.0</v>
      </c>
      <c r="G3576" s="220">
        <v>43456.0</v>
      </c>
    </row>
    <row r="3577">
      <c r="A3577" s="217">
        <v>43456.73177366898</v>
      </c>
      <c r="B3577" s="218" t="s">
        <v>5184</v>
      </c>
      <c r="C3577" s="218" t="s">
        <v>6053</v>
      </c>
      <c r="D3577" s="219">
        <v>1.0</v>
      </c>
      <c r="E3577" s="218">
        <v>300.0</v>
      </c>
      <c r="G3577" s="220">
        <v>43456.0</v>
      </c>
    </row>
    <row r="3578">
      <c r="A3578" s="217">
        <v>43456.73267378472</v>
      </c>
      <c r="B3578" s="218" t="s">
        <v>5184</v>
      </c>
      <c r="C3578" s="218" t="s">
        <v>5893</v>
      </c>
      <c r="D3578" s="219">
        <v>1.0</v>
      </c>
      <c r="E3578" s="218">
        <v>250.0</v>
      </c>
      <c r="G3578" s="220">
        <v>43456.0</v>
      </c>
    </row>
    <row r="3579">
      <c r="A3579" s="217">
        <v>43456.74832712963</v>
      </c>
      <c r="B3579" s="218" t="s">
        <v>5184</v>
      </c>
      <c r="C3579" s="218" t="s">
        <v>6053</v>
      </c>
      <c r="D3579" s="219">
        <v>1.0</v>
      </c>
      <c r="E3579" s="218">
        <v>300.0</v>
      </c>
      <c r="G3579" s="220">
        <v>43456.0</v>
      </c>
    </row>
    <row r="3580">
      <c r="A3580" s="217">
        <v>43456.78399269676</v>
      </c>
      <c r="B3580" s="218" t="s">
        <v>5184</v>
      </c>
      <c r="C3580" s="218" t="s">
        <v>5893</v>
      </c>
      <c r="D3580" s="219">
        <v>1.0</v>
      </c>
      <c r="E3580" s="218">
        <v>250.0</v>
      </c>
      <c r="G3580" s="220">
        <v>43456.0</v>
      </c>
    </row>
    <row r="3581">
      <c r="A3581" s="217">
        <v>43456.785029583334</v>
      </c>
      <c r="B3581" s="218" t="s">
        <v>5184</v>
      </c>
      <c r="C3581" s="218" t="s">
        <v>6053</v>
      </c>
      <c r="D3581" s="219">
        <v>1.0</v>
      </c>
      <c r="E3581" s="218">
        <v>300.0</v>
      </c>
      <c r="G3581" s="220">
        <v>43456.0</v>
      </c>
    </row>
    <row r="3582">
      <c r="A3582" s="217">
        <v>43456.7860099074</v>
      </c>
      <c r="B3582" s="218" t="s">
        <v>5184</v>
      </c>
      <c r="C3582" s="218" t="s">
        <v>5818</v>
      </c>
      <c r="D3582" s="219">
        <v>1.0</v>
      </c>
      <c r="E3582" s="218">
        <v>300.0</v>
      </c>
      <c r="G3582" s="220">
        <v>43456.0</v>
      </c>
    </row>
    <row r="3583">
      <c r="A3583" s="217">
        <v>43456.786627002315</v>
      </c>
      <c r="B3583" s="218" t="s">
        <v>5184</v>
      </c>
      <c r="C3583" s="218" t="s">
        <v>6053</v>
      </c>
      <c r="D3583" s="219">
        <v>1.0</v>
      </c>
      <c r="E3583" s="218">
        <v>300.0</v>
      </c>
      <c r="G3583" s="220">
        <v>43456.0</v>
      </c>
    </row>
    <row r="3584">
      <c r="A3584" s="217">
        <v>43456.79587677083</v>
      </c>
      <c r="B3584" s="218" t="s">
        <v>5184</v>
      </c>
      <c r="C3584" s="218" t="s">
        <v>5893</v>
      </c>
      <c r="D3584" s="219">
        <v>1.0</v>
      </c>
      <c r="E3584" s="218">
        <v>250.0</v>
      </c>
      <c r="G3584" s="220">
        <v>43456.0</v>
      </c>
    </row>
    <row r="3585">
      <c r="A3585" s="217">
        <v>43456.79672668982</v>
      </c>
      <c r="B3585" s="218" t="s">
        <v>5184</v>
      </c>
      <c r="C3585" s="218" t="s">
        <v>6053</v>
      </c>
      <c r="D3585" s="219">
        <v>1.0</v>
      </c>
      <c r="E3585" s="218">
        <v>300.0</v>
      </c>
      <c r="G3585" s="220">
        <v>43456.0</v>
      </c>
    </row>
    <row r="3586">
      <c r="A3586" s="217">
        <v>43456.79778987268</v>
      </c>
      <c r="B3586" s="218" t="s">
        <v>5184</v>
      </c>
      <c r="C3586" s="218" t="s">
        <v>5786</v>
      </c>
      <c r="D3586" s="219">
        <v>1.0</v>
      </c>
      <c r="E3586" s="218">
        <v>300.0</v>
      </c>
      <c r="G3586" s="220">
        <v>43456.0</v>
      </c>
    </row>
    <row r="3587">
      <c r="A3587" s="217">
        <v>43456.80000106481</v>
      </c>
      <c r="B3587" s="218" t="s">
        <v>5184</v>
      </c>
      <c r="C3587" s="218" t="s">
        <v>6053</v>
      </c>
      <c r="D3587" s="219">
        <v>1.0</v>
      </c>
      <c r="E3587" s="218">
        <v>300.0</v>
      </c>
      <c r="G3587" s="220">
        <v>43456.0</v>
      </c>
    </row>
    <row r="3588">
      <c r="A3588" s="217">
        <v>43456.80195350695</v>
      </c>
      <c r="B3588" s="218" t="s">
        <v>5184</v>
      </c>
      <c r="C3588" s="218" t="s">
        <v>5818</v>
      </c>
      <c r="D3588" s="219">
        <v>1.0</v>
      </c>
      <c r="E3588" s="218">
        <v>300.0</v>
      </c>
      <c r="G3588" s="220">
        <v>43456.0</v>
      </c>
    </row>
    <row r="3589">
      <c r="A3589" s="217">
        <v>43456.803053958334</v>
      </c>
      <c r="B3589" s="218" t="s">
        <v>5184</v>
      </c>
      <c r="C3589" s="218" t="s">
        <v>6036</v>
      </c>
      <c r="D3589" s="219">
        <v>1.0</v>
      </c>
      <c r="E3589" s="218">
        <v>400.0</v>
      </c>
      <c r="G3589" s="220">
        <v>43456.0</v>
      </c>
    </row>
    <row r="3590">
      <c r="A3590" s="217">
        <v>43456.81390739583</v>
      </c>
      <c r="B3590" s="218" t="s">
        <v>5184</v>
      </c>
      <c r="C3590" s="218" t="s">
        <v>5893</v>
      </c>
      <c r="D3590" s="219">
        <v>1.0</v>
      </c>
      <c r="E3590" s="218">
        <v>250.0</v>
      </c>
      <c r="G3590" s="220">
        <v>43456.0</v>
      </c>
    </row>
    <row r="3591">
      <c r="A3591" s="217">
        <v>43456.81508172453</v>
      </c>
      <c r="B3591" s="218" t="s">
        <v>5184</v>
      </c>
      <c r="C3591" s="218" t="s">
        <v>6053</v>
      </c>
      <c r="D3591" s="219">
        <v>1.0</v>
      </c>
      <c r="E3591" s="218">
        <v>300.0</v>
      </c>
      <c r="G3591" s="220">
        <v>43456.0</v>
      </c>
    </row>
    <row r="3592">
      <c r="A3592" s="217">
        <v>43456.81872729167</v>
      </c>
      <c r="B3592" s="218" t="s">
        <v>5184</v>
      </c>
      <c r="C3592" s="218" t="s">
        <v>5893</v>
      </c>
      <c r="D3592" s="219">
        <v>1.0</v>
      </c>
      <c r="E3592" s="218">
        <v>250.0</v>
      </c>
      <c r="G3592" s="220">
        <v>43456.0</v>
      </c>
    </row>
    <row r="3593">
      <c r="A3593" s="217">
        <v>43456.81929266204</v>
      </c>
      <c r="B3593" s="218" t="s">
        <v>5184</v>
      </c>
      <c r="C3593" s="218" t="s">
        <v>6053</v>
      </c>
      <c r="D3593" s="219">
        <v>1.0</v>
      </c>
      <c r="E3593" s="218">
        <v>300.0</v>
      </c>
      <c r="G3593" s="220">
        <v>43456.0</v>
      </c>
    </row>
    <row r="3594">
      <c r="A3594" s="217">
        <v>43456.82001689815</v>
      </c>
      <c r="B3594" s="218" t="s">
        <v>5184</v>
      </c>
      <c r="C3594" s="218" t="s">
        <v>6053</v>
      </c>
      <c r="D3594" s="219">
        <v>1.0</v>
      </c>
      <c r="E3594" s="218">
        <v>300.0</v>
      </c>
      <c r="G3594" s="220">
        <v>43456.0</v>
      </c>
    </row>
    <row r="3595">
      <c r="A3595" s="217">
        <v>43456.82140315972</v>
      </c>
      <c r="B3595" s="218" t="s">
        <v>5184</v>
      </c>
      <c r="C3595" s="218" t="s">
        <v>5789</v>
      </c>
      <c r="D3595" s="219">
        <v>1.0</v>
      </c>
      <c r="E3595" s="218">
        <v>400.0</v>
      </c>
      <c r="G3595" s="220">
        <v>43456.0</v>
      </c>
    </row>
    <row r="3596">
      <c r="A3596" s="217">
        <v>43456.82214405092</v>
      </c>
      <c r="B3596" s="218" t="s">
        <v>5184</v>
      </c>
      <c r="C3596" s="218" t="s">
        <v>6053</v>
      </c>
      <c r="D3596" s="219">
        <v>1.0</v>
      </c>
      <c r="E3596" s="218">
        <v>300.0</v>
      </c>
      <c r="G3596" s="220">
        <v>43456.0</v>
      </c>
    </row>
    <row r="3597">
      <c r="A3597" s="217">
        <v>43456.823367060184</v>
      </c>
      <c r="B3597" s="218" t="s">
        <v>5184</v>
      </c>
      <c r="C3597" s="218" t="s">
        <v>5786</v>
      </c>
      <c r="D3597" s="219">
        <v>1.0</v>
      </c>
      <c r="E3597" s="218">
        <v>300.0</v>
      </c>
      <c r="G3597" s="220">
        <v>43456.0</v>
      </c>
    </row>
    <row r="3598">
      <c r="A3598" s="217">
        <v>43456.82401409722</v>
      </c>
      <c r="B3598" s="218" t="s">
        <v>5184</v>
      </c>
      <c r="C3598" s="218" t="s">
        <v>6053</v>
      </c>
      <c r="D3598" s="219">
        <v>1.0</v>
      </c>
      <c r="E3598" s="218">
        <v>300.0</v>
      </c>
      <c r="G3598" s="220">
        <v>43456.0</v>
      </c>
    </row>
    <row r="3599">
      <c r="A3599" s="217">
        <v>43456.825932465275</v>
      </c>
      <c r="B3599" s="218" t="s">
        <v>5184</v>
      </c>
      <c r="C3599" s="218" t="s">
        <v>5893</v>
      </c>
      <c r="D3599" s="219">
        <v>1.0</v>
      </c>
      <c r="E3599" s="218">
        <v>250.0</v>
      </c>
      <c r="G3599" s="220">
        <v>43456.0</v>
      </c>
    </row>
    <row r="3600">
      <c r="A3600" s="217">
        <v>43456.82745226852</v>
      </c>
      <c r="B3600" s="218" t="s">
        <v>5184</v>
      </c>
      <c r="C3600" s="218" t="s">
        <v>6053</v>
      </c>
      <c r="D3600" s="219" t="s">
        <v>7547</v>
      </c>
      <c r="E3600" s="218">
        <v>300.0</v>
      </c>
      <c r="G3600" s="220">
        <v>43456.0</v>
      </c>
    </row>
    <row r="3601">
      <c r="A3601" s="217">
        <v>43456.82830951389</v>
      </c>
      <c r="B3601" s="218" t="s">
        <v>5184</v>
      </c>
      <c r="C3601" s="218" t="s">
        <v>6306</v>
      </c>
      <c r="D3601" s="219">
        <v>1.0</v>
      </c>
      <c r="E3601" s="218">
        <v>350.0</v>
      </c>
      <c r="G3601" s="220">
        <v>43456.0</v>
      </c>
    </row>
    <row r="3602">
      <c r="A3602" s="217">
        <v>43456.831784062495</v>
      </c>
      <c r="B3602" s="218" t="s">
        <v>5184</v>
      </c>
      <c r="C3602" s="218" t="s">
        <v>6053</v>
      </c>
      <c r="D3602" s="219">
        <v>1.0</v>
      </c>
      <c r="E3602" s="218">
        <v>300.0</v>
      </c>
      <c r="G3602" s="220">
        <v>43456.0</v>
      </c>
    </row>
    <row r="3603">
      <c r="A3603" s="217">
        <v>43456.832591666665</v>
      </c>
      <c r="B3603" s="218" t="s">
        <v>5184</v>
      </c>
      <c r="C3603" s="218" t="s">
        <v>5786</v>
      </c>
      <c r="D3603" s="219">
        <v>1.0</v>
      </c>
      <c r="E3603" s="218">
        <v>300.0</v>
      </c>
      <c r="G3603" s="220">
        <v>43456.0</v>
      </c>
    </row>
    <row r="3604">
      <c r="A3604" s="217">
        <v>43456.83310172454</v>
      </c>
      <c r="B3604" s="218" t="s">
        <v>5184</v>
      </c>
      <c r="C3604" s="218" t="s">
        <v>6053</v>
      </c>
      <c r="D3604" s="219">
        <v>1.0</v>
      </c>
      <c r="E3604" s="218">
        <v>300.0</v>
      </c>
      <c r="G3604" s="220">
        <v>43456.0</v>
      </c>
    </row>
    <row r="3605">
      <c r="A3605" s="217">
        <v>43457.42157306713</v>
      </c>
      <c r="B3605" s="218" t="s">
        <v>5184</v>
      </c>
      <c r="C3605" s="218" t="s">
        <v>6053</v>
      </c>
      <c r="D3605" s="219">
        <v>1.0</v>
      </c>
      <c r="E3605" s="218">
        <v>300.0</v>
      </c>
      <c r="G3605" s="220">
        <v>43455.0</v>
      </c>
    </row>
    <row r="3606">
      <c r="A3606" s="217">
        <v>43457.422174861116</v>
      </c>
      <c r="B3606" s="218" t="s">
        <v>5184</v>
      </c>
      <c r="C3606" s="218" t="s">
        <v>6053</v>
      </c>
      <c r="D3606" s="219">
        <v>1.0</v>
      </c>
      <c r="E3606" s="218">
        <v>300.0</v>
      </c>
      <c r="G3606" s="220">
        <v>43455.0</v>
      </c>
    </row>
    <row r="3607">
      <c r="A3607" s="217">
        <v>43457.425227604166</v>
      </c>
      <c r="B3607" s="218" t="s">
        <v>5184</v>
      </c>
      <c r="C3607" s="218" t="s">
        <v>6053</v>
      </c>
      <c r="D3607" s="219">
        <v>1.0</v>
      </c>
      <c r="E3607" s="218">
        <v>300.0</v>
      </c>
      <c r="G3607" s="220">
        <v>43456.0</v>
      </c>
    </row>
    <row r="3608">
      <c r="A3608" s="217">
        <v>43457.42764945602</v>
      </c>
      <c r="B3608" s="218" t="s">
        <v>5184</v>
      </c>
      <c r="C3608" s="218" t="s">
        <v>6053</v>
      </c>
      <c r="D3608" s="219" t="s">
        <v>7547</v>
      </c>
      <c r="E3608" s="218">
        <v>300.0</v>
      </c>
      <c r="G3608" s="220">
        <v>43456.0</v>
      </c>
    </row>
    <row r="3609">
      <c r="A3609" s="217">
        <v>43457.43309878472</v>
      </c>
      <c r="B3609" s="218" t="s">
        <v>5184</v>
      </c>
      <c r="C3609" s="218" t="s">
        <v>5782</v>
      </c>
      <c r="D3609" s="219">
        <v>1.0</v>
      </c>
      <c r="E3609" s="218">
        <v>400.0</v>
      </c>
      <c r="G3609" s="220">
        <v>43456.0</v>
      </c>
    </row>
    <row r="3610">
      <c r="A3610" s="217">
        <v>43457.4346190625</v>
      </c>
      <c r="B3610" s="218" t="s">
        <v>5184</v>
      </c>
      <c r="C3610" s="218" t="s">
        <v>6053</v>
      </c>
      <c r="D3610" s="219">
        <v>1.0</v>
      </c>
      <c r="E3610" s="218">
        <v>300.0</v>
      </c>
      <c r="G3610" s="220">
        <v>43456.0</v>
      </c>
    </row>
    <row r="3611">
      <c r="A3611" s="217">
        <v>43457.43673821759</v>
      </c>
      <c r="B3611" s="218" t="s">
        <v>5184</v>
      </c>
      <c r="C3611" s="218" t="s">
        <v>5893</v>
      </c>
      <c r="D3611" s="219">
        <v>1.0</v>
      </c>
      <c r="E3611" s="218">
        <v>250.0</v>
      </c>
      <c r="G3611" s="220">
        <v>43456.0</v>
      </c>
    </row>
    <row r="3612">
      <c r="A3612" s="217">
        <v>43457.437380625</v>
      </c>
      <c r="B3612" s="218" t="s">
        <v>5184</v>
      </c>
      <c r="C3612" s="218" t="s">
        <v>6038</v>
      </c>
      <c r="D3612" s="219">
        <v>1.0</v>
      </c>
      <c r="E3612" s="218">
        <v>400.0</v>
      </c>
      <c r="G3612" s="220">
        <v>43456.0</v>
      </c>
    </row>
    <row r="3613">
      <c r="A3613" s="217">
        <v>43457.438197881944</v>
      </c>
      <c r="B3613" s="218" t="s">
        <v>5184</v>
      </c>
      <c r="C3613" s="218" t="s">
        <v>6053</v>
      </c>
      <c r="D3613" s="219">
        <v>1.0</v>
      </c>
      <c r="E3613" s="218">
        <v>300.0</v>
      </c>
      <c r="G3613" s="220">
        <v>43456.0</v>
      </c>
    </row>
    <row r="3614">
      <c r="A3614" s="217">
        <v>43457.43955040509</v>
      </c>
      <c r="B3614" s="218" t="s">
        <v>5184</v>
      </c>
      <c r="C3614" s="218" t="s">
        <v>5893</v>
      </c>
      <c r="D3614" s="219">
        <v>1.0</v>
      </c>
      <c r="E3614" s="218">
        <v>250.0</v>
      </c>
      <c r="G3614" s="220">
        <v>43456.0</v>
      </c>
    </row>
    <row r="3615">
      <c r="A3615" s="217">
        <v>43457.44122732639</v>
      </c>
      <c r="B3615" s="218" t="s">
        <v>5184</v>
      </c>
      <c r="C3615" s="218" t="s">
        <v>6053</v>
      </c>
      <c r="D3615" s="219" t="s">
        <v>7547</v>
      </c>
      <c r="E3615" s="218">
        <v>300.0</v>
      </c>
      <c r="G3615" s="220">
        <v>43456.0</v>
      </c>
    </row>
    <row r="3616">
      <c r="A3616" s="217">
        <v>43457.44214244213</v>
      </c>
      <c r="B3616" s="218" t="s">
        <v>5184</v>
      </c>
      <c r="C3616" s="218" t="s">
        <v>6053</v>
      </c>
      <c r="D3616" s="219">
        <v>1.0</v>
      </c>
      <c r="E3616" s="218">
        <v>300.0</v>
      </c>
      <c r="G3616" s="220">
        <v>43456.0</v>
      </c>
    </row>
    <row r="3617">
      <c r="A3617" s="217">
        <v>43457.44303096065</v>
      </c>
      <c r="B3617" s="218" t="s">
        <v>5184</v>
      </c>
      <c r="C3617" s="218" t="s">
        <v>6053</v>
      </c>
      <c r="D3617" s="219">
        <v>1.0</v>
      </c>
      <c r="E3617" s="218">
        <v>300.0</v>
      </c>
      <c r="G3617" s="220">
        <v>43456.0</v>
      </c>
    </row>
    <row r="3618">
      <c r="A3618" s="217">
        <v>43457.44401883102</v>
      </c>
      <c r="B3618" s="218" t="s">
        <v>5184</v>
      </c>
      <c r="C3618" s="218" t="s">
        <v>6053</v>
      </c>
      <c r="D3618" s="219">
        <v>1.0</v>
      </c>
      <c r="E3618" s="218">
        <v>300.0</v>
      </c>
      <c r="G3618" s="220">
        <v>43456.0</v>
      </c>
    </row>
    <row r="3619">
      <c r="A3619" s="217">
        <v>43457.445283368055</v>
      </c>
      <c r="B3619" s="218" t="s">
        <v>5184</v>
      </c>
      <c r="C3619" s="218" t="s">
        <v>6001</v>
      </c>
      <c r="D3619" s="219">
        <v>1.0</v>
      </c>
      <c r="E3619" s="218">
        <v>500.0</v>
      </c>
      <c r="G3619" s="220">
        <v>43456.0</v>
      </c>
    </row>
    <row r="3620">
      <c r="A3620" s="217">
        <v>43457.445975532406</v>
      </c>
      <c r="B3620" s="218" t="s">
        <v>5184</v>
      </c>
      <c r="C3620" s="218" t="s">
        <v>6053</v>
      </c>
      <c r="D3620" s="219">
        <v>1.0</v>
      </c>
      <c r="E3620" s="218">
        <v>300.0</v>
      </c>
      <c r="G3620" s="220">
        <v>43456.0</v>
      </c>
    </row>
    <row r="3621">
      <c r="A3621" s="217">
        <v>43457.44677734954</v>
      </c>
      <c r="B3621" s="218" t="s">
        <v>5184</v>
      </c>
      <c r="C3621" s="218" t="s">
        <v>6053</v>
      </c>
      <c r="D3621" s="219">
        <v>1.0</v>
      </c>
      <c r="E3621" s="218">
        <v>300.0</v>
      </c>
      <c r="G3621" s="220">
        <v>43456.0</v>
      </c>
    </row>
    <row r="3622">
      <c r="A3622" s="217">
        <v>43457.447593125005</v>
      </c>
      <c r="B3622" s="218" t="s">
        <v>5184</v>
      </c>
      <c r="C3622" s="218" t="s">
        <v>6053</v>
      </c>
      <c r="D3622" s="219">
        <v>1.0</v>
      </c>
      <c r="E3622" s="218">
        <v>300.0</v>
      </c>
      <c r="G3622" s="220">
        <v>43456.0</v>
      </c>
    </row>
    <row r="3623">
      <c r="A3623" s="217">
        <v>43457.45037626158</v>
      </c>
      <c r="B3623" s="218" t="s">
        <v>5184</v>
      </c>
      <c r="C3623" s="218" t="s">
        <v>5789</v>
      </c>
      <c r="D3623" s="219">
        <v>1.0</v>
      </c>
      <c r="E3623" s="218">
        <v>400.0</v>
      </c>
      <c r="G3623" s="220">
        <v>43456.0</v>
      </c>
    </row>
    <row r="3624">
      <c r="A3624" s="217">
        <v>43457.45103681713</v>
      </c>
      <c r="B3624" s="218" t="s">
        <v>5184</v>
      </c>
      <c r="C3624" s="218" t="s">
        <v>6053</v>
      </c>
      <c r="D3624" s="219">
        <v>1.0</v>
      </c>
      <c r="E3624" s="218">
        <v>300.0</v>
      </c>
      <c r="G3624" s="220">
        <v>43456.0</v>
      </c>
    </row>
    <row r="3625">
      <c r="A3625" s="217">
        <v>43457.451962384264</v>
      </c>
      <c r="B3625" s="218" t="s">
        <v>5184</v>
      </c>
      <c r="C3625" s="218" t="s">
        <v>5789</v>
      </c>
      <c r="D3625" s="219">
        <v>1.0</v>
      </c>
      <c r="E3625" s="218">
        <v>400.0</v>
      </c>
      <c r="G3625" s="220">
        <v>43456.0</v>
      </c>
    </row>
    <row r="3626">
      <c r="A3626" s="217">
        <v>43457.45276688658</v>
      </c>
      <c r="B3626" s="218" t="s">
        <v>5184</v>
      </c>
      <c r="C3626" s="218" t="s">
        <v>6053</v>
      </c>
      <c r="D3626" s="219">
        <v>1.0</v>
      </c>
      <c r="E3626" s="218">
        <v>300.0</v>
      </c>
      <c r="G3626" s="220">
        <v>43456.0</v>
      </c>
    </row>
    <row r="3627">
      <c r="A3627" s="217">
        <v>43457.45362127315</v>
      </c>
      <c r="B3627" s="218" t="s">
        <v>5184</v>
      </c>
      <c r="C3627" s="218" t="s">
        <v>6053</v>
      </c>
      <c r="D3627" s="219">
        <v>1.0</v>
      </c>
      <c r="E3627" s="218">
        <v>300.0</v>
      </c>
      <c r="G3627" s="220">
        <v>43456.0</v>
      </c>
    </row>
    <row r="3628">
      <c r="A3628" s="217">
        <v>43457.457572071755</v>
      </c>
      <c r="B3628" s="218" t="s">
        <v>5184</v>
      </c>
      <c r="C3628" s="218" t="s">
        <v>6053</v>
      </c>
      <c r="D3628" s="219">
        <v>1.0</v>
      </c>
      <c r="E3628" s="218">
        <v>300.0</v>
      </c>
      <c r="G3628" s="220">
        <v>43456.0</v>
      </c>
    </row>
    <row r="3629">
      <c r="A3629" s="217">
        <v>43457.63918254629</v>
      </c>
      <c r="B3629" s="218" t="s">
        <v>5184</v>
      </c>
      <c r="C3629" s="218" t="s">
        <v>6036</v>
      </c>
      <c r="D3629" s="219">
        <v>1.0</v>
      </c>
      <c r="E3629" s="218">
        <v>400.0</v>
      </c>
      <c r="G3629" s="220">
        <v>43456.0</v>
      </c>
    </row>
    <row r="3630">
      <c r="A3630" s="217">
        <v>43457.64155583333</v>
      </c>
      <c r="B3630" s="218" t="s">
        <v>5184</v>
      </c>
      <c r="C3630" s="218" t="s">
        <v>6053</v>
      </c>
      <c r="D3630" s="219">
        <v>1.0</v>
      </c>
      <c r="E3630" s="218">
        <v>300.0</v>
      </c>
      <c r="G3630" s="220">
        <v>43456.0</v>
      </c>
    </row>
    <row r="3631">
      <c r="A3631" s="217">
        <v>43457.70405443287</v>
      </c>
      <c r="B3631" s="218" t="s">
        <v>5184</v>
      </c>
      <c r="C3631" s="218" t="s">
        <v>6053</v>
      </c>
      <c r="D3631" s="219">
        <v>1.0</v>
      </c>
      <c r="E3631" s="218">
        <v>300.0</v>
      </c>
      <c r="G3631" s="220">
        <v>43456.0</v>
      </c>
    </row>
    <row r="3632">
      <c r="A3632" s="217">
        <v>43457.75564415509</v>
      </c>
      <c r="B3632" s="218" t="s">
        <v>5184</v>
      </c>
      <c r="C3632" s="218" t="s">
        <v>6506</v>
      </c>
      <c r="D3632" s="219">
        <v>1.0</v>
      </c>
      <c r="E3632" s="218">
        <v>9500.0</v>
      </c>
      <c r="G3632" s="220">
        <v>43457.0</v>
      </c>
    </row>
    <row r="3633">
      <c r="A3633" s="217">
        <v>43457.75690630787</v>
      </c>
      <c r="B3633" s="218" t="s">
        <v>5184</v>
      </c>
      <c r="C3633" s="218" t="s">
        <v>6502</v>
      </c>
      <c r="D3633" s="219">
        <v>1.0</v>
      </c>
      <c r="E3633" s="218">
        <v>11500.0</v>
      </c>
      <c r="G3633" s="220">
        <v>43457.0</v>
      </c>
    </row>
    <row r="3634">
      <c r="A3634" s="217">
        <v>43457.76215130787</v>
      </c>
      <c r="B3634" s="218" t="s">
        <v>5184</v>
      </c>
      <c r="C3634" s="218" t="s">
        <v>6561</v>
      </c>
      <c r="D3634" s="219">
        <v>1.0</v>
      </c>
      <c r="E3634" s="24"/>
      <c r="G3634" s="220">
        <v>43457.0</v>
      </c>
    </row>
    <row r="3635">
      <c r="A3635" s="217">
        <v>43457.76588908565</v>
      </c>
      <c r="B3635" s="218" t="s">
        <v>5184</v>
      </c>
      <c r="C3635" s="218" t="s">
        <v>6559</v>
      </c>
      <c r="D3635" s="219">
        <v>1.0</v>
      </c>
      <c r="E3635" s="24"/>
      <c r="G3635" s="220">
        <v>43457.0</v>
      </c>
    </row>
    <row r="3636">
      <c r="A3636" s="217">
        <v>43457.76664760416</v>
      </c>
      <c r="B3636" s="218" t="s">
        <v>5184</v>
      </c>
      <c r="C3636" s="218" t="s">
        <v>6053</v>
      </c>
      <c r="D3636" s="219">
        <v>1.0</v>
      </c>
      <c r="E3636" s="218">
        <v>300.0</v>
      </c>
      <c r="G3636" s="220">
        <v>43456.0</v>
      </c>
    </row>
    <row r="3637">
      <c r="A3637" s="217">
        <v>43457.76733829861</v>
      </c>
      <c r="B3637" s="218" t="s">
        <v>5184</v>
      </c>
      <c r="C3637" s="218" t="s">
        <v>6053</v>
      </c>
      <c r="D3637" s="219">
        <v>1.0</v>
      </c>
      <c r="E3637" s="218">
        <v>300.0</v>
      </c>
      <c r="G3637" s="220">
        <v>43456.0</v>
      </c>
    </row>
    <row r="3638">
      <c r="A3638" s="217">
        <v>43457.76977929398</v>
      </c>
      <c r="B3638" s="218" t="s">
        <v>5184</v>
      </c>
      <c r="C3638" s="218" t="s">
        <v>5789</v>
      </c>
      <c r="D3638" s="219">
        <v>1.0</v>
      </c>
      <c r="E3638" s="218">
        <v>400.0</v>
      </c>
      <c r="G3638" s="220">
        <v>43456.0</v>
      </c>
    </row>
    <row r="3639">
      <c r="A3639" s="217">
        <v>43457.77033863426</v>
      </c>
      <c r="B3639" s="218" t="s">
        <v>5184</v>
      </c>
      <c r="C3639" s="218" t="s">
        <v>6053</v>
      </c>
      <c r="D3639" s="219">
        <v>1.0</v>
      </c>
      <c r="E3639" s="218">
        <v>300.0</v>
      </c>
      <c r="G3639" s="220">
        <v>43456.0</v>
      </c>
    </row>
    <row r="3640">
      <c r="A3640" s="217">
        <v>43457.771180219905</v>
      </c>
      <c r="B3640" s="218" t="s">
        <v>5184</v>
      </c>
      <c r="C3640" s="218" t="s">
        <v>6053</v>
      </c>
      <c r="D3640" s="219">
        <v>1.0</v>
      </c>
      <c r="E3640" s="218">
        <v>300.0</v>
      </c>
      <c r="G3640" s="220">
        <v>43456.0</v>
      </c>
    </row>
    <row r="3641">
      <c r="A3641" s="217">
        <v>43457.77208415509</v>
      </c>
      <c r="B3641" s="218" t="s">
        <v>5184</v>
      </c>
      <c r="C3641" s="218" t="s">
        <v>5789</v>
      </c>
      <c r="D3641" s="219">
        <v>1.0</v>
      </c>
      <c r="E3641" s="218">
        <v>400.0</v>
      </c>
      <c r="G3641" s="220">
        <v>43456.0</v>
      </c>
    </row>
    <row r="3642">
      <c r="A3642" s="217">
        <v>43457.77255353009</v>
      </c>
      <c r="B3642" s="218" t="s">
        <v>5184</v>
      </c>
      <c r="C3642" s="218" t="s">
        <v>6053</v>
      </c>
      <c r="D3642" s="219">
        <v>1.0</v>
      </c>
      <c r="E3642" s="218">
        <v>300.0</v>
      </c>
      <c r="G3642" s="220">
        <v>43456.0</v>
      </c>
    </row>
    <row r="3643">
      <c r="A3643" s="217">
        <v>43459.38661657408</v>
      </c>
      <c r="B3643" s="218" t="s">
        <v>5184</v>
      </c>
      <c r="C3643" s="218" t="s">
        <v>7580</v>
      </c>
      <c r="D3643" s="219">
        <v>1.0</v>
      </c>
      <c r="E3643" s="218">
        <v>17500.0</v>
      </c>
      <c r="G3643" s="220">
        <v>43456.0</v>
      </c>
    </row>
    <row r="3644">
      <c r="A3644" s="217">
        <v>43459.38782815972</v>
      </c>
      <c r="B3644" s="218" t="s">
        <v>5184</v>
      </c>
      <c r="C3644" s="218" t="s">
        <v>2151</v>
      </c>
      <c r="D3644" s="219">
        <v>1.0</v>
      </c>
      <c r="E3644" s="218">
        <v>4990.0</v>
      </c>
      <c r="G3644" s="220">
        <v>43456.0</v>
      </c>
    </row>
    <row r="3645">
      <c r="A3645" s="217">
        <v>43459.38922269676</v>
      </c>
      <c r="B3645" s="218" t="s">
        <v>5184</v>
      </c>
      <c r="C3645" s="218" t="s">
        <v>2165</v>
      </c>
      <c r="D3645" s="219">
        <v>1.0</v>
      </c>
      <c r="E3645" s="218">
        <v>5490.0</v>
      </c>
      <c r="G3645" s="220">
        <v>43456.0</v>
      </c>
    </row>
    <row r="3646">
      <c r="A3646" s="217">
        <v>43459.42678671297</v>
      </c>
      <c r="B3646" s="218" t="s">
        <v>5184</v>
      </c>
      <c r="C3646" s="218" t="s">
        <v>4573</v>
      </c>
      <c r="D3646" s="219">
        <v>2.0</v>
      </c>
      <c r="E3646" s="218">
        <v>1295.0</v>
      </c>
      <c r="G3646" s="220">
        <v>43458.0</v>
      </c>
    </row>
    <row r="3647">
      <c r="A3647" s="217">
        <v>43459.42811820602</v>
      </c>
      <c r="B3647" s="218" t="s">
        <v>5184</v>
      </c>
      <c r="C3647" s="218" t="s">
        <v>7581</v>
      </c>
      <c r="D3647" s="219">
        <v>1.0</v>
      </c>
      <c r="E3647" s="218">
        <v>950.0</v>
      </c>
      <c r="G3647" s="220">
        <v>43458.0</v>
      </c>
    </row>
    <row r="3648">
      <c r="A3648" s="217">
        <v>43459.4295021875</v>
      </c>
      <c r="B3648" s="218" t="s">
        <v>5184</v>
      </c>
      <c r="C3648" s="218" t="s">
        <v>7582</v>
      </c>
      <c r="D3648" s="219">
        <v>1.0</v>
      </c>
      <c r="E3648" s="218">
        <v>1795.0</v>
      </c>
      <c r="G3648" s="220">
        <v>43458.0</v>
      </c>
    </row>
    <row r="3649">
      <c r="A3649" s="217">
        <v>43459.52038912037</v>
      </c>
      <c r="B3649" s="218" t="s">
        <v>5184</v>
      </c>
      <c r="C3649" s="218" t="s">
        <v>7582</v>
      </c>
      <c r="D3649" s="219">
        <v>1.0</v>
      </c>
      <c r="E3649" s="218">
        <v>1795.0</v>
      </c>
      <c r="G3649" s="220">
        <v>43458.0</v>
      </c>
    </row>
    <row r="3650">
      <c r="A3650" s="217">
        <v>43459.52217123842</v>
      </c>
      <c r="B3650" s="218" t="s">
        <v>5184</v>
      </c>
      <c r="C3650" s="218" t="s">
        <v>4611</v>
      </c>
      <c r="D3650" s="219">
        <v>1.0</v>
      </c>
      <c r="E3650" s="218">
        <v>895.0</v>
      </c>
      <c r="G3650" s="220">
        <v>43459.0</v>
      </c>
    </row>
    <row r="3651">
      <c r="A3651" s="217">
        <v>43459.765371898146</v>
      </c>
      <c r="B3651" s="218" t="s">
        <v>5184</v>
      </c>
      <c r="C3651" s="218" t="s">
        <v>7055</v>
      </c>
      <c r="D3651" s="219">
        <v>1.0</v>
      </c>
      <c r="E3651" s="218">
        <v>3990.0</v>
      </c>
      <c r="G3651" s="220">
        <v>43459.0</v>
      </c>
    </row>
    <row r="3652">
      <c r="A3652" s="217">
        <v>43459.78256225694</v>
      </c>
      <c r="B3652" s="218" t="s">
        <v>5184</v>
      </c>
      <c r="C3652" s="218" t="s">
        <v>6329</v>
      </c>
      <c r="D3652" s="219">
        <v>1.0</v>
      </c>
      <c r="E3652" s="218">
        <v>5490.0</v>
      </c>
      <c r="G3652" s="220">
        <v>43459.0</v>
      </c>
    </row>
    <row r="3653">
      <c r="A3653" s="217">
        <v>43460.445129907406</v>
      </c>
      <c r="B3653" s="218" t="s">
        <v>5184</v>
      </c>
      <c r="C3653" s="218" t="s">
        <v>7588</v>
      </c>
      <c r="D3653" s="219">
        <v>1.0</v>
      </c>
      <c r="E3653" s="24"/>
      <c r="G3653" s="220">
        <v>43459.0</v>
      </c>
    </row>
    <row r="3654">
      <c r="A3654" s="217">
        <v>43460.44567940972</v>
      </c>
      <c r="B3654" s="218" t="s">
        <v>5184</v>
      </c>
      <c r="C3654" s="218" t="s">
        <v>7588</v>
      </c>
      <c r="D3654" s="219">
        <v>15.0</v>
      </c>
      <c r="E3654" s="24"/>
      <c r="G3654" s="220">
        <v>43459.0</v>
      </c>
    </row>
    <row r="3655">
      <c r="A3655" s="217">
        <v>43460.45663598379</v>
      </c>
      <c r="B3655" s="218" t="s">
        <v>5184</v>
      </c>
      <c r="C3655" s="218" t="s">
        <v>4576</v>
      </c>
      <c r="D3655" s="219">
        <v>1.0</v>
      </c>
      <c r="E3655" s="218">
        <v>950.0</v>
      </c>
      <c r="G3655" s="220">
        <v>43453.0</v>
      </c>
    </row>
    <row r="3656">
      <c r="A3656" s="217">
        <v>43460.49372239583</v>
      </c>
      <c r="B3656" s="218" t="s">
        <v>5184</v>
      </c>
      <c r="C3656" s="218" t="s">
        <v>4613</v>
      </c>
      <c r="D3656" s="219">
        <v>1.0</v>
      </c>
      <c r="E3656" s="218">
        <v>895.0</v>
      </c>
      <c r="G3656" s="220">
        <v>43454.0</v>
      </c>
    </row>
    <row r="3657">
      <c r="A3657" s="217">
        <v>43460.55871420139</v>
      </c>
      <c r="B3657" s="218" t="s">
        <v>5184</v>
      </c>
      <c r="C3657" s="218" t="s">
        <v>4603</v>
      </c>
      <c r="D3657" s="219">
        <v>1.0</v>
      </c>
      <c r="E3657" s="218">
        <v>995.0</v>
      </c>
      <c r="G3657" s="220">
        <v>43457.0</v>
      </c>
    </row>
    <row r="3658">
      <c r="A3658" s="217">
        <v>43460.59941385417</v>
      </c>
      <c r="B3658" s="218" t="s">
        <v>5184</v>
      </c>
      <c r="C3658" s="218" t="s">
        <v>6053</v>
      </c>
      <c r="D3658" s="219">
        <v>1.0</v>
      </c>
      <c r="E3658" s="218">
        <v>300.0</v>
      </c>
      <c r="G3658" s="220">
        <v>43457.0</v>
      </c>
    </row>
    <row r="3659">
      <c r="A3659" s="217">
        <v>43460.60104980324</v>
      </c>
      <c r="B3659" s="218" t="s">
        <v>5184</v>
      </c>
      <c r="C3659" s="218" t="s">
        <v>5789</v>
      </c>
      <c r="D3659" s="219">
        <v>1.0</v>
      </c>
      <c r="E3659" s="218">
        <v>400.0</v>
      </c>
      <c r="G3659" s="220">
        <v>43457.0</v>
      </c>
    </row>
    <row r="3660">
      <c r="A3660" s="217">
        <v>43460.60218008102</v>
      </c>
      <c r="B3660" s="218" t="s">
        <v>5184</v>
      </c>
      <c r="C3660" s="218" t="s">
        <v>6053</v>
      </c>
      <c r="D3660" s="219">
        <v>1.0</v>
      </c>
      <c r="E3660" s="218">
        <v>300.0</v>
      </c>
      <c r="G3660" s="220">
        <v>43457.0</v>
      </c>
    </row>
    <row r="3661">
      <c r="A3661" s="217">
        <v>43460.60747422454</v>
      </c>
      <c r="B3661" s="218" t="s">
        <v>5184</v>
      </c>
      <c r="C3661" s="218" t="s">
        <v>5786</v>
      </c>
      <c r="D3661" s="219">
        <v>1.0</v>
      </c>
      <c r="E3661" s="218">
        <v>300.0</v>
      </c>
      <c r="G3661" s="220">
        <v>43457.0</v>
      </c>
    </row>
    <row r="3662">
      <c r="A3662" s="217">
        <v>43460.608598113424</v>
      </c>
      <c r="B3662" s="218" t="s">
        <v>5184</v>
      </c>
      <c r="C3662" s="218" t="s">
        <v>6053</v>
      </c>
      <c r="D3662" s="219">
        <v>1.0</v>
      </c>
      <c r="E3662" s="218">
        <v>300.0</v>
      </c>
      <c r="G3662" s="220">
        <v>43457.0</v>
      </c>
    </row>
    <row r="3663">
      <c r="A3663" s="217">
        <v>43460.609918912036</v>
      </c>
      <c r="B3663" s="218" t="s">
        <v>5184</v>
      </c>
      <c r="C3663" s="218" t="s">
        <v>5789</v>
      </c>
      <c r="D3663" s="219">
        <v>1.0</v>
      </c>
      <c r="E3663" s="218">
        <v>400.0</v>
      </c>
      <c r="G3663" s="220">
        <v>43457.0</v>
      </c>
    </row>
    <row r="3664">
      <c r="A3664" s="217">
        <v>43460.611991666665</v>
      </c>
      <c r="B3664" s="218" t="s">
        <v>5184</v>
      </c>
      <c r="C3664" s="218" t="s">
        <v>6053</v>
      </c>
      <c r="D3664" s="219">
        <v>1.0</v>
      </c>
      <c r="E3664" s="218">
        <v>300.0</v>
      </c>
      <c r="G3664" s="220">
        <v>43457.0</v>
      </c>
    </row>
    <row r="3665">
      <c r="A3665" s="217">
        <v>43460.61381362268</v>
      </c>
      <c r="B3665" s="218" t="s">
        <v>5184</v>
      </c>
      <c r="C3665" s="218" t="s">
        <v>5786</v>
      </c>
      <c r="D3665" s="219">
        <v>1.0</v>
      </c>
      <c r="E3665" s="218">
        <v>300.0</v>
      </c>
      <c r="G3665" s="220">
        <v>43457.0</v>
      </c>
    </row>
    <row r="3666">
      <c r="A3666" s="217">
        <v>43460.61515619213</v>
      </c>
      <c r="B3666" s="218" t="s">
        <v>5184</v>
      </c>
      <c r="C3666" s="218" t="s">
        <v>6053</v>
      </c>
      <c r="D3666" s="219">
        <v>1.0</v>
      </c>
      <c r="E3666" s="218">
        <v>300.0</v>
      </c>
      <c r="G3666" s="220">
        <v>43457.0</v>
      </c>
    </row>
    <row r="3667">
      <c r="A3667" s="217">
        <v>43460.75605693287</v>
      </c>
      <c r="B3667" s="218" t="s">
        <v>5184</v>
      </c>
      <c r="C3667" s="218" t="s">
        <v>6053</v>
      </c>
      <c r="D3667" s="219">
        <v>1.0</v>
      </c>
      <c r="E3667" s="218">
        <v>300.0</v>
      </c>
      <c r="G3667" s="220">
        <v>43457.0</v>
      </c>
    </row>
    <row r="3668">
      <c r="A3668" s="217">
        <v>43460.756785949074</v>
      </c>
      <c r="B3668" s="218" t="s">
        <v>5184</v>
      </c>
      <c r="C3668" s="218" t="s">
        <v>6053</v>
      </c>
      <c r="D3668" s="219">
        <v>1.0</v>
      </c>
      <c r="E3668" s="218">
        <v>300.0</v>
      </c>
      <c r="G3668" s="220">
        <v>43457.0</v>
      </c>
    </row>
    <row r="3669">
      <c r="A3669" s="217">
        <v>43460.75814056713</v>
      </c>
      <c r="B3669" s="218" t="s">
        <v>5184</v>
      </c>
      <c r="C3669" s="218" t="s">
        <v>5786</v>
      </c>
      <c r="D3669" s="219">
        <v>1.0</v>
      </c>
      <c r="E3669" s="218">
        <v>300.0</v>
      </c>
      <c r="G3669" s="220">
        <v>43457.0</v>
      </c>
    </row>
    <row r="3670">
      <c r="A3670" s="217">
        <v>43460.75870457176</v>
      </c>
      <c r="B3670" s="218" t="s">
        <v>5184</v>
      </c>
      <c r="C3670" s="218" t="s">
        <v>6053</v>
      </c>
      <c r="D3670" s="219">
        <v>1.0</v>
      </c>
      <c r="E3670" s="218">
        <v>300.0</v>
      </c>
      <c r="G3670" s="220">
        <v>43457.0</v>
      </c>
    </row>
    <row r="3671">
      <c r="A3671" s="217">
        <v>43460.76087153935</v>
      </c>
      <c r="B3671" s="218" t="s">
        <v>5184</v>
      </c>
      <c r="C3671" s="218" t="s">
        <v>6053</v>
      </c>
      <c r="D3671" s="219">
        <v>1.0</v>
      </c>
      <c r="E3671" s="218">
        <v>300.0</v>
      </c>
      <c r="G3671" s="220">
        <v>43457.0</v>
      </c>
    </row>
    <row r="3672">
      <c r="A3672" s="217">
        <v>43460.76168483796</v>
      </c>
      <c r="B3672" s="218" t="s">
        <v>5184</v>
      </c>
      <c r="C3672" s="218" t="s">
        <v>5789</v>
      </c>
      <c r="D3672" s="219">
        <v>1.0</v>
      </c>
      <c r="E3672" s="218">
        <v>400.0</v>
      </c>
      <c r="G3672" s="220">
        <v>43457.0</v>
      </c>
    </row>
    <row r="3673">
      <c r="A3673" s="217">
        <v>43460.76219893519</v>
      </c>
      <c r="B3673" s="218" t="s">
        <v>5184</v>
      </c>
      <c r="C3673" s="218" t="s">
        <v>6053</v>
      </c>
      <c r="D3673" s="219">
        <v>1.0</v>
      </c>
      <c r="E3673" s="218">
        <v>300.0</v>
      </c>
      <c r="G3673" s="220">
        <v>43457.0</v>
      </c>
    </row>
    <row r="3674">
      <c r="A3674" s="217">
        <v>43460.78963403935</v>
      </c>
      <c r="B3674" s="218" t="s">
        <v>5184</v>
      </c>
      <c r="C3674" s="218" t="s">
        <v>6001</v>
      </c>
      <c r="D3674" s="219">
        <v>1.0</v>
      </c>
      <c r="E3674" s="218">
        <v>500.0</v>
      </c>
      <c r="G3674" s="220">
        <v>43457.0</v>
      </c>
    </row>
    <row r="3675">
      <c r="A3675" s="217">
        <v>43460.79028053241</v>
      </c>
      <c r="B3675" s="218" t="s">
        <v>5184</v>
      </c>
      <c r="C3675" s="218" t="s">
        <v>6053</v>
      </c>
      <c r="D3675" s="219">
        <v>1.0</v>
      </c>
      <c r="E3675" s="218">
        <v>300.0</v>
      </c>
      <c r="G3675" s="220">
        <v>43457.0</v>
      </c>
    </row>
    <row r="3676">
      <c r="A3676" s="217">
        <v>43460.79130383102</v>
      </c>
      <c r="B3676" s="218" t="s">
        <v>5184</v>
      </c>
      <c r="C3676" s="218" t="s">
        <v>6053</v>
      </c>
      <c r="D3676" s="219">
        <v>1.0</v>
      </c>
      <c r="E3676" s="218">
        <v>300.0</v>
      </c>
      <c r="G3676" s="220">
        <v>43457.0</v>
      </c>
    </row>
    <row r="3677">
      <c r="A3677" s="217">
        <v>43460.792103125</v>
      </c>
      <c r="B3677" s="218" t="s">
        <v>5184</v>
      </c>
      <c r="C3677" s="218" t="s">
        <v>6053</v>
      </c>
      <c r="D3677" s="219">
        <v>1.0</v>
      </c>
      <c r="E3677" s="218">
        <v>300.0</v>
      </c>
      <c r="G3677" s="220">
        <v>43457.0</v>
      </c>
    </row>
    <row r="3678">
      <c r="A3678" s="217">
        <v>43460.7928791088</v>
      </c>
      <c r="B3678" s="218" t="s">
        <v>5184</v>
      </c>
      <c r="C3678" s="218" t="s">
        <v>5789</v>
      </c>
      <c r="D3678" s="219">
        <v>1.0</v>
      </c>
      <c r="E3678" s="218">
        <v>400.0</v>
      </c>
      <c r="G3678" s="220">
        <v>43457.0</v>
      </c>
    </row>
    <row r="3679">
      <c r="A3679" s="217">
        <v>43460.793472453704</v>
      </c>
      <c r="B3679" s="218" t="s">
        <v>5184</v>
      </c>
      <c r="C3679" s="218" t="s">
        <v>6053</v>
      </c>
      <c r="D3679" s="219">
        <v>1.0</v>
      </c>
      <c r="E3679" s="218">
        <v>300.0</v>
      </c>
      <c r="G3679" s="220">
        <v>43457.0</v>
      </c>
    </row>
    <row r="3680">
      <c r="A3680" s="217">
        <v>43460.795675914356</v>
      </c>
      <c r="B3680" s="218" t="s">
        <v>5184</v>
      </c>
      <c r="C3680" s="218" t="s">
        <v>6053</v>
      </c>
      <c r="D3680" s="219">
        <v>1.0</v>
      </c>
      <c r="E3680" s="218">
        <v>300.0</v>
      </c>
      <c r="G3680" s="220">
        <v>43457.0</v>
      </c>
    </row>
    <row r="3681">
      <c r="A3681" s="217">
        <v>43460.80531336805</v>
      </c>
      <c r="B3681" s="218" t="s">
        <v>5184</v>
      </c>
      <c r="C3681" s="218" t="s">
        <v>6053</v>
      </c>
      <c r="D3681" s="219">
        <v>1.0</v>
      </c>
      <c r="E3681" s="218">
        <v>300.0</v>
      </c>
      <c r="G3681" s="220">
        <v>43457.0</v>
      </c>
    </row>
    <row r="3682">
      <c r="A3682" s="217">
        <v>43460.80606539352</v>
      </c>
      <c r="B3682" s="218" t="s">
        <v>5184</v>
      </c>
      <c r="C3682" s="218" t="s">
        <v>5786</v>
      </c>
      <c r="D3682" s="219">
        <v>1.0</v>
      </c>
      <c r="E3682" s="218">
        <v>300.0</v>
      </c>
      <c r="G3682" s="220">
        <v>43457.0</v>
      </c>
    </row>
    <row r="3683">
      <c r="A3683" s="217">
        <v>43460.80654322916</v>
      </c>
      <c r="B3683" s="218" t="s">
        <v>5184</v>
      </c>
      <c r="C3683" s="218" t="s">
        <v>6053</v>
      </c>
      <c r="D3683" s="219">
        <v>1.0</v>
      </c>
      <c r="E3683" s="218">
        <v>300.0</v>
      </c>
      <c r="G3683" s="220">
        <v>43457.0</v>
      </c>
    </row>
    <row r="3684">
      <c r="A3684" s="217">
        <v>43460.80731402778</v>
      </c>
      <c r="B3684" s="218" t="s">
        <v>5184</v>
      </c>
      <c r="C3684" s="218" t="s">
        <v>6053</v>
      </c>
      <c r="D3684" s="219">
        <v>1.0</v>
      </c>
      <c r="E3684" s="218">
        <v>300.0</v>
      </c>
      <c r="G3684" s="220">
        <v>43457.0</v>
      </c>
    </row>
    <row r="3685">
      <c r="A3685" s="217">
        <v>43460.808803391206</v>
      </c>
      <c r="B3685" s="218" t="s">
        <v>5184</v>
      </c>
      <c r="C3685" s="218" t="s">
        <v>5789</v>
      </c>
      <c r="D3685" s="219">
        <v>1.0</v>
      </c>
      <c r="E3685" s="218">
        <v>400.0</v>
      </c>
      <c r="G3685" s="220">
        <v>43457.0</v>
      </c>
    </row>
    <row r="3686">
      <c r="A3686" s="217">
        <v>43460.80927524305</v>
      </c>
      <c r="B3686" s="218" t="s">
        <v>5184</v>
      </c>
      <c r="C3686" s="218" t="s">
        <v>6053</v>
      </c>
      <c r="D3686" s="219">
        <v>1.0</v>
      </c>
      <c r="E3686" s="218">
        <v>300.0</v>
      </c>
      <c r="G3686" s="220">
        <v>43457.0</v>
      </c>
    </row>
    <row r="3687">
      <c r="A3687" s="217">
        <v>43460.810172199075</v>
      </c>
      <c r="B3687" s="218" t="s">
        <v>5184</v>
      </c>
      <c r="C3687" s="218" t="s">
        <v>5789</v>
      </c>
      <c r="D3687" s="219">
        <v>1.0</v>
      </c>
      <c r="E3687" s="218">
        <v>400.0</v>
      </c>
      <c r="G3687" s="220">
        <v>43457.0</v>
      </c>
    </row>
    <row r="3688">
      <c r="A3688" s="217">
        <v>43460.81062914352</v>
      </c>
      <c r="B3688" s="218" t="s">
        <v>5184</v>
      </c>
      <c r="C3688" s="218" t="s">
        <v>6053</v>
      </c>
      <c r="D3688" s="219">
        <v>1.0</v>
      </c>
      <c r="E3688" s="218">
        <v>300.0</v>
      </c>
      <c r="G3688" s="220">
        <v>43457.0</v>
      </c>
    </row>
    <row r="3689">
      <c r="A3689" s="217">
        <v>43460.83012084491</v>
      </c>
      <c r="B3689" s="218" t="s">
        <v>5184</v>
      </c>
      <c r="C3689" s="218" t="s">
        <v>6053</v>
      </c>
      <c r="D3689" s="219">
        <v>1.0</v>
      </c>
      <c r="E3689" s="218">
        <v>300.0</v>
      </c>
      <c r="G3689" s="220">
        <v>43458.0</v>
      </c>
    </row>
    <row r="3690">
      <c r="A3690" s="217">
        <v>43460.831208483796</v>
      </c>
      <c r="B3690" s="218" t="s">
        <v>5184</v>
      </c>
      <c r="C3690" s="218" t="s">
        <v>6053</v>
      </c>
      <c r="D3690" s="219">
        <v>1.0</v>
      </c>
      <c r="E3690" s="218">
        <v>300.0</v>
      </c>
      <c r="G3690" s="220">
        <v>43458.0</v>
      </c>
    </row>
    <row r="3691">
      <c r="A3691" s="217">
        <v>43460.83236612269</v>
      </c>
      <c r="B3691" s="218" t="s">
        <v>5184</v>
      </c>
      <c r="C3691" s="218" t="s">
        <v>5782</v>
      </c>
      <c r="D3691" s="219">
        <v>1.0</v>
      </c>
      <c r="E3691" s="218">
        <v>400.0</v>
      </c>
      <c r="G3691" s="220">
        <v>43458.0</v>
      </c>
    </row>
    <row r="3692">
      <c r="A3692" s="217">
        <v>43460.83296148149</v>
      </c>
      <c r="B3692" s="218" t="s">
        <v>5184</v>
      </c>
      <c r="C3692" s="218" t="s">
        <v>6053</v>
      </c>
      <c r="D3692" s="219">
        <v>1.0</v>
      </c>
      <c r="E3692" s="218">
        <v>300.0</v>
      </c>
      <c r="G3692" s="220">
        <v>43458.0</v>
      </c>
    </row>
    <row r="3693">
      <c r="A3693" s="217">
        <v>43460.83362609954</v>
      </c>
      <c r="B3693" s="218" t="s">
        <v>5184</v>
      </c>
      <c r="C3693" s="218" t="s">
        <v>5789</v>
      </c>
      <c r="D3693" s="219">
        <v>1.0</v>
      </c>
      <c r="E3693" s="218">
        <v>400.0</v>
      </c>
      <c r="G3693" s="220">
        <v>43458.0</v>
      </c>
    </row>
    <row r="3694">
      <c r="A3694" s="217">
        <v>43460.834060775465</v>
      </c>
      <c r="B3694" s="218" t="s">
        <v>5184</v>
      </c>
      <c r="C3694" s="218" t="s">
        <v>6053</v>
      </c>
      <c r="D3694" s="219">
        <v>1.0</v>
      </c>
      <c r="E3694" s="218">
        <v>300.0</v>
      </c>
      <c r="G3694" s="220">
        <v>43458.0</v>
      </c>
    </row>
    <row r="3695">
      <c r="A3695" s="217">
        <v>43460.83493787037</v>
      </c>
      <c r="B3695" s="218" t="s">
        <v>5184</v>
      </c>
      <c r="C3695" s="218" t="s">
        <v>6053</v>
      </c>
      <c r="D3695" s="219">
        <v>1.0</v>
      </c>
      <c r="E3695" s="218">
        <v>300.0</v>
      </c>
      <c r="G3695" s="220">
        <v>43458.0</v>
      </c>
    </row>
    <row r="3696">
      <c r="A3696" s="217">
        <v>43460.83563913194</v>
      </c>
      <c r="B3696" s="218" t="s">
        <v>5184</v>
      </c>
      <c r="C3696" s="218" t="s">
        <v>5789</v>
      </c>
      <c r="D3696" s="219">
        <v>1.0</v>
      </c>
      <c r="E3696" s="218">
        <v>400.0</v>
      </c>
      <c r="G3696" s="220">
        <v>43458.0</v>
      </c>
    </row>
    <row r="3697">
      <c r="A3697" s="217">
        <v>43460.84270974537</v>
      </c>
      <c r="B3697" s="218" t="s">
        <v>5184</v>
      </c>
      <c r="C3697" s="218" t="s">
        <v>6053</v>
      </c>
      <c r="D3697" s="219">
        <v>1.0</v>
      </c>
      <c r="E3697" s="218">
        <v>300.0</v>
      </c>
      <c r="G3697" s="220">
        <v>43458.0</v>
      </c>
    </row>
    <row r="3698">
      <c r="A3698" s="217">
        <v>43461.49809028935</v>
      </c>
      <c r="B3698" s="218" t="s">
        <v>5184</v>
      </c>
      <c r="C3698" s="218" t="s">
        <v>6117</v>
      </c>
      <c r="D3698" s="219">
        <v>1.0</v>
      </c>
      <c r="E3698" s="218">
        <v>1000.0</v>
      </c>
      <c r="G3698" s="220">
        <v>43461.0</v>
      </c>
    </row>
    <row r="3699">
      <c r="A3699" s="217">
        <v>43461.5004403125</v>
      </c>
      <c r="B3699" s="218" t="s">
        <v>5184</v>
      </c>
      <c r="C3699" s="218" t="s">
        <v>284</v>
      </c>
      <c r="D3699" s="219">
        <v>1.0</v>
      </c>
      <c r="E3699" s="218">
        <v>400.0</v>
      </c>
      <c r="G3699" s="220">
        <v>43461.0</v>
      </c>
    </row>
    <row r="3700">
      <c r="A3700" s="217">
        <v>43461.50287353009</v>
      </c>
      <c r="B3700" s="218" t="s">
        <v>5184</v>
      </c>
      <c r="C3700" s="218" t="s">
        <v>5818</v>
      </c>
      <c r="D3700" s="219">
        <v>1.0</v>
      </c>
      <c r="E3700" s="218">
        <v>300.0</v>
      </c>
      <c r="G3700" s="220">
        <v>43461.0</v>
      </c>
    </row>
    <row r="3701">
      <c r="A3701" s="217">
        <v>43461.50369570602</v>
      </c>
      <c r="B3701" s="218" t="s">
        <v>5184</v>
      </c>
      <c r="C3701" s="218" t="s">
        <v>6053</v>
      </c>
      <c r="D3701" s="219">
        <v>1.0</v>
      </c>
      <c r="E3701" s="218">
        <v>300.0</v>
      </c>
      <c r="G3701" s="220">
        <v>43461.0</v>
      </c>
    </row>
    <row r="3702">
      <c r="A3702" s="217">
        <v>43461.51203731482</v>
      </c>
      <c r="B3702" s="218" t="s">
        <v>5184</v>
      </c>
      <c r="C3702" s="218" t="s">
        <v>6053</v>
      </c>
      <c r="D3702" s="219" t="s">
        <v>7624</v>
      </c>
      <c r="E3702" s="218">
        <v>150.0</v>
      </c>
      <c r="G3702" s="220">
        <v>43461.0</v>
      </c>
    </row>
    <row r="3703">
      <c r="A3703" s="217">
        <v>43461.523908449075</v>
      </c>
      <c r="B3703" s="218" t="s">
        <v>5184</v>
      </c>
      <c r="C3703" s="218" t="s">
        <v>5789</v>
      </c>
      <c r="D3703" s="219">
        <v>1.0</v>
      </c>
      <c r="E3703" s="218">
        <v>400.0</v>
      </c>
      <c r="G3703" s="220">
        <v>43461.0</v>
      </c>
    </row>
    <row r="3704">
      <c r="A3704" s="217">
        <v>43461.524859247686</v>
      </c>
      <c r="B3704" s="218" t="s">
        <v>5184</v>
      </c>
      <c r="C3704" s="218" t="s">
        <v>6053</v>
      </c>
      <c r="D3704" s="219">
        <v>1.0</v>
      </c>
      <c r="E3704" s="218">
        <v>300.0</v>
      </c>
      <c r="G3704" s="220">
        <v>43461.0</v>
      </c>
    </row>
    <row r="3705">
      <c r="A3705" s="217">
        <v>43461.69461868056</v>
      </c>
      <c r="B3705" s="218" t="s">
        <v>5184</v>
      </c>
      <c r="C3705" s="218" t="s">
        <v>7629</v>
      </c>
      <c r="D3705" s="219">
        <v>1.0</v>
      </c>
      <c r="E3705" s="218">
        <v>100.0</v>
      </c>
      <c r="G3705" s="220">
        <v>43461.0</v>
      </c>
    </row>
    <row r="3706">
      <c r="A3706" s="217">
        <v>43462.48657011574</v>
      </c>
      <c r="B3706" s="218" t="s">
        <v>5184</v>
      </c>
      <c r="C3706" s="218" t="s">
        <v>5786</v>
      </c>
      <c r="D3706" s="219">
        <v>1.0</v>
      </c>
      <c r="E3706" s="218">
        <v>300.0</v>
      </c>
      <c r="G3706" s="220">
        <v>43462.0</v>
      </c>
    </row>
    <row r="3707">
      <c r="A3707" s="217">
        <v>43462.48775186343</v>
      </c>
      <c r="B3707" s="218" t="s">
        <v>5184</v>
      </c>
      <c r="C3707" s="218" t="s">
        <v>6053</v>
      </c>
      <c r="D3707" s="219">
        <v>1.0</v>
      </c>
      <c r="E3707" s="218">
        <v>300.0</v>
      </c>
      <c r="G3707" s="220">
        <v>43462.0</v>
      </c>
    </row>
    <row r="3708">
      <c r="A3708" s="217">
        <v>43462.48936390046</v>
      </c>
      <c r="B3708" s="218" t="s">
        <v>5184</v>
      </c>
      <c r="C3708" s="218" t="s">
        <v>5789</v>
      </c>
      <c r="D3708" s="219">
        <v>1.0</v>
      </c>
      <c r="E3708" s="218">
        <v>400.0</v>
      </c>
      <c r="G3708" s="220">
        <v>43462.0</v>
      </c>
    </row>
    <row r="3709">
      <c r="A3709" s="217">
        <v>43462.489962858795</v>
      </c>
      <c r="B3709" s="218" t="s">
        <v>5184</v>
      </c>
      <c r="C3709" s="218" t="s">
        <v>6053</v>
      </c>
      <c r="D3709" s="219">
        <v>1.0</v>
      </c>
      <c r="E3709" s="218">
        <v>300.0</v>
      </c>
      <c r="G3709" s="220">
        <v>43462.0</v>
      </c>
    </row>
    <row r="3710">
      <c r="A3710" s="217">
        <v>43462.56553997685</v>
      </c>
      <c r="B3710" s="218" t="s">
        <v>5184</v>
      </c>
      <c r="C3710" s="218" t="s">
        <v>6053</v>
      </c>
      <c r="D3710" s="219">
        <v>1.0</v>
      </c>
      <c r="E3710" s="218">
        <v>300.0</v>
      </c>
      <c r="G3710" s="220">
        <v>43462.0</v>
      </c>
    </row>
    <row r="3711">
      <c r="A3711" s="217">
        <v>43463.61844921296</v>
      </c>
      <c r="B3711" s="218" t="s">
        <v>5184</v>
      </c>
      <c r="C3711" s="218" t="s">
        <v>1256</v>
      </c>
      <c r="D3711" s="219">
        <v>1.0</v>
      </c>
      <c r="E3711" s="218">
        <v>1750.0</v>
      </c>
      <c r="G3711" s="220">
        <v>43460.0</v>
      </c>
    </row>
    <row r="3712">
      <c r="A3712" s="217">
        <v>43463.61952305556</v>
      </c>
      <c r="B3712" s="218" t="s">
        <v>5184</v>
      </c>
      <c r="C3712" s="218" t="s">
        <v>7581</v>
      </c>
      <c r="D3712" s="219">
        <v>1.0</v>
      </c>
      <c r="E3712" s="218">
        <v>950.0</v>
      </c>
      <c r="G3712" s="220">
        <v>43460.0</v>
      </c>
    </row>
    <row r="3713">
      <c r="A3713" s="217">
        <v>43463.62039260416</v>
      </c>
      <c r="B3713" s="218" t="s">
        <v>5184</v>
      </c>
      <c r="C3713" s="218" t="s">
        <v>5269</v>
      </c>
      <c r="D3713" s="219">
        <v>1.0</v>
      </c>
      <c r="E3713" s="218">
        <v>9000.0</v>
      </c>
      <c r="G3713" s="220">
        <v>43460.0</v>
      </c>
    </row>
    <row r="3714">
      <c r="A3714" s="217">
        <v>43463.621380069446</v>
      </c>
      <c r="B3714" s="218" t="s">
        <v>5184</v>
      </c>
      <c r="C3714" s="218" t="s">
        <v>6499</v>
      </c>
      <c r="D3714" s="219">
        <v>1.0</v>
      </c>
      <c r="E3714" s="218">
        <v>9500.0</v>
      </c>
      <c r="G3714" s="220">
        <v>43460.0</v>
      </c>
    </row>
    <row r="3715">
      <c r="A3715" s="217">
        <v>43463.622253113426</v>
      </c>
      <c r="B3715" s="218" t="s">
        <v>5184</v>
      </c>
      <c r="C3715" s="218" t="s">
        <v>6511</v>
      </c>
      <c r="D3715" s="219">
        <v>1.0</v>
      </c>
      <c r="E3715" s="218">
        <v>11000.0</v>
      </c>
      <c r="G3715" s="220">
        <v>43460.0</v>
      </c>
    </row>
    <row r="3716">
      <c r="A3716" s="217">
        <v>43463.62431425926</v>
      </c>
      <c r="B3716" s="218" t="s">
        <v>5184</v>
      </c>
      <c r="C3716" s="218" t="s">
        <v>6507</v>
      </c>
      <c r="D3716" s="219">
        <v>1.0</v>
      </c>
      <c r="E3716" s="218">
        <v>10500.0</v>
      </c>
      <c r="G3716" s="220">
        <v>43460.0</v>
      </c>
    </row>
    <row r="3717">
      <c r="A3717" s="217">
        <v>43463.62527388889</v>
      </c>
      <c r="B3717" s="218" t="s">
        <v>5184</v>
      </c>
      <c r="C3717" s="218" t="s">
        <v>6512</v>
      </c>
      <c r="D3717" s="219">
        <v>1.0</v>
      </c>
      <c r="E3717" s="218">
        <v>9000.0</v>
      </c>
      <c r="G3717" s="220">
        <v>43460.0</v>
      </c>
    </row>
    <row r="3718">
      <c r="A3718" s="217">
        <v>43463.62870961806</v>
      </c>
      <c r="B3718" s="218" t="s">
        <v>5184</v>
      </c>
      <c r="C3718" s="218" t="s">
        <v>7634</v>
      </c>
      <c r="D3718" s="219">
        <v>1.0</v>
      </c>
      <c r="E3718" s="218">
        <v>9500.0</v>
      </c>
      <c r="G3718" s="220">
        <v>43460.0</v>
      </c>
    </row>
    <row r="3719">
      <c r="A3719" s="217">
        <v>43463.631176400464</v>
      </c>
      <c r="B3719" s="218" t="s">
        <v>5184</v>
      </c>
      <c r="C3719" s="218" t="s">
        <v>5259</v>
      </c>
      <c r="D3719" s="219">
        <v>1.0</v>
      </c>
      <c r="E3719" s="218">
        <v>11000.0</v>
      </c>
      <c r="G3719" s="220">
        <v>43460.0</v>
      </c>
    </row>
    <row r="3720">
      <c r="A3720" s="217">
        <v>43463.63277650463</v>
      </c>
      <c r="B3720" s="218" t="s">
        <v>5184</v>
      </c>
      <c r="C3720" s="218" t="s">
        <v>7635</v>
      </c>
      <c r="D3720" s="219">
        <v>1.0</v>
      </c>
      <c r="E3720" s="218">
        <v>7500.0</v>
      </c>
      <c r="G3720" s="220">
        <v>43460.0</v>
      </c>
    </row>
    <row r="3721">
      <c r="A3721" s="217">
        <v>43463.64585581019</v>
      </c>
      <c r="B3721" s="218" t="s">
        <v>5184</v>
      </c>
      <c r="C3721" s="218" t="s">
        <v>4740</v>
      </c>
      <c r="D3721" s="219">
        <v>1.0</v>
      </c>
      <c r="E3721" s="218">
        <v>1495.0</v>
      </c>
      <c r="G3721" s="220">
        <v>43462.0</v>
      </c>
    </row>
    <row r="3722">
      <c r="A3722" s="217">
        <v>43463.64669195602</v>
      </c>
      <c r="B3722" s="218" t="s">
        <v>5184</v>
      </c>
      <c r="C3722" s="218" t="s">
        <v>7636</v>
      </c>
      <c r="D3722" s="219">
        <v>1.0</v>
      </c>
      <c r="E3722" s="218">
        <v>10990.0</v>
      </c>
      <c r="G3722" s="220">
        <v>43462.0</v>
      </c>
    </row>
    <row r="3723">
      <c r="A3723" s="217">
        <v>43463.647436851854</v>
      </c>
      <c r="B3723" s="218" t="s">
        <v>5184</v>
      </c>
      <c r="C3723" s="218" t="s">
        <v>5254</v>
      </c>
      <c r="D3723" s="219">
        <v>1.0</v>
      </c>
      <c r="E3723" s="218">
        <v>11500.0</v>
      </c>
      <c r="G3723" s="220">
        <v>43462.0</v>
      </c>
    </row>
    <row r="3724">
      <c r="A3724" s="217">
        <v>43463.740225243055</v>
      </c>
      <c r="B3724" s="218" t="s">
        <v>5184</v>
      </c>
      <c r="C3724" s="218" t="s">
        <v>6053</v>
      </c>
      <c r="D3724" s="219">
        <v>1.0</v>
      </c>
      <c r="E3724" s="218">
        <v>300.0</v>
      </c>
      <c r="G3724" s="220">
        <v>43463.0</v>
      </c>
    </row>
    <row r="3725">
      <c r="A3725" s="217">
        <v>43463.74100819444</v>
      </c>
      <c r="B3725" s="218" t="s">
        <v>5184</v>
      </c>
      <c r="C3725" s="218" t="s">
        <v>5789</v>
      </c>
      <c r="D3725" s="219">
        <v>1.0</v>
      </c>
      <c r="E3725" s="218">
        <v>400.0</v>
      </c>
      <c r="G3725" s="220">
        <v>43463.0</v>
      </c>
    </row>
    <row r="3726">
      <c r="A3726" s="217">
        <v>43463.74471396991</v>
      </c>
      <c r="B3726" s="218" t="s">
        <v>5184</v>
      </c>
      <c r="C3726" s="218" t="s">
        <v>5818</v>
      </c>
      <c r="D3726" s="219">
        <v>1.0</v>
      </c>
      <c r="E3726" s="218">
        <v>300.0</v>
      </c>
      <c r="G3726" s="220">
        <v>43458.0</v>
      </c>
    </row>
    <row r="3727">
      <c r="A3727" s="217">
        <v>43463.74784505787</v>
      </c>
      <c r="B3727" s="218" t="s">
        <v>5184</v>
      </c>
      <c r="C3727" s="218" t="s">
        <v>6053</v>
      </c>
      <c r="D3727" s="219">
        <v>1.0</v>
      </c>
      <c r="E3727" s="218">
        <v>300.0</v>
      </c>
      <c r="G3727" s="220">
        <v>43458.0</v>
      </c>
    </row>
    <row r="3728">
      <c r="A3728" s="217">
        <v>43463.756415474534</v>
      </c>
      <c r="B3728" s="218" t="s">
        <v>5184</v>
      </c>
      <c r="C3728" s="218" t="s">
        <v>5786</v>
      </c>
      <c r="D3728" s="219">
        <v>1.0</v>
      </c>
      <c r="E3728" s="218">
        <v>300.0</v>
      </c>
      <c r="G3728" s="220">
        <v>43463.0</v>
      </c>
    </row>
    <row r="3729">
      <c r="A3729" s="217">
        <v>43463.80783752315</v>
      </c>
      <c r="B3729" s="218" t="s">
        <v>5184</v>
      </c>
      <c r="C3729" s="218" t="s">
        <v>6053</v>
      </c>
      <c r="D3729" s="219">
        <v>1.0</v>
      </c>
      <c r="E3729" s="218">
        <v>300.0</v>
      </c>
      <c r="G3729" s="220">
        <v>43463.0</v>
      </c>
    </row>
    <row r="3730">
      <c r="A3730" s="217">
        <v>43463.80946837963</v>
      </c>
      <c r="B3730" s="218" t="s">
        <v>5184</v>
      </c>
      <c r="C3730" s="218" t="s">
        <v>5818</v>
      </c>
      <c r="D3730" s="219">
        <v>1.0</v>
      </c>
      <c r="E3730" s="218">
        <v>300.0</v>
      </c>
      <c r="G3730" s="220">
        <v>43463.0</v>
      </c>
    </row>
    <row r="3731">
      <c r="A3731" s="217">
        <v>43463.81018814815</v>
      </c>
      <c r="B3731" s="218" t="s">
        <v>5184</v>
      </c>
      <c r="C3731" s="218" t="s">
        <v>6053</v>
      </c>
      <c r="D3731" s="219">
        <v>1.0</v>
      </c>
      <c r="E3731" s="218">
        <v>300.0</v>
      </c>
      <c r="G3731" s="220">
        <v>43463.0</v>
      </c>
    </row>
    <row r="3732">
      <c r="A3732" s="217">
        <v>43463.810959131944</v>
      </c>
      <c r="B3732" s="218" t="s">
        <v>5184</v>
      </c>
      <c r="C3732" s="218" t="s">
        <v>6053</v>
      </c>
      <c r="D3732" s="219">
        <v>1.0</v>
      </c>
      <c r="E3732" s="218">
        <v>300.0</v>
      </c>
      <c r="G3732" s="220">
        <v>43463.0</v>
      </c>
    </row>
    <row r="3733">
      <c r="A3733" s="217">
        <v>43464.42635849537</v>
      </c>
      <c r="B3733" s="218" t="s">
        <v>5184</v>
      </c>
      <c r="C3733" s="218" t="s">
        <v>6053</v>
      </c>
      <c r="D3733" s="219">
        <v>1.0</v>
      </c>
      <c r="E3733" s="218">
        <v>300.0</v>
      </c>
      <c r="G3733" s="220">
        <v>43463.0</v>
      </c>
    </row>
    <row r="3734">
      <c r="A3734" s="217">
        <v>43464.438256249996</v>
      </c>
      <c r="B3734" s="218" t="s">
        <v>5184</v>
      </c>
      <c r="C3734" s="218" t="s">
        <v>5786</v>
      </c>
      <c r="D3734" s="219">
        <v>1.0</v>
      </c>
      <c r="E3734" s="218">
        <v>300.0</v>
      </c>
      <c r="G3734" s="220">
        <v>43459.0</v>
      </c>
    </row>
    <row r="3735">
      <c r="A3735" s="217">
        <v>43464.43946710648</v>
      </c>
      <c r="B3735" s="218" t="s">
        <v>5184</v>
      </c>
      <c r="C3735" s="218" t="s">
        <v>6053</v>
      </c>
      <c r="D3735" s="219">
        <v>1.0</v>
      </c>
      <c r="E3735" s="218">
        <v>300.0</v>
      </c>
      <c r="G3735" s="220">
        <v>43459.0</v>
      </c>
    </row>
    <row r="3736">
      <c r="A3736" s="217">
        <v>43464.45251524306</v>
      </c>
      <c r="B3736" s="218" t="s">
        <v>5184</v>
      </c>
      <c r="C3736" s="218" t="s">
        <v>6053</v>
      </c>
      <c r="D3736" s="219">
        <v>1.0</v>
      </c>
      <c r="E3736" s="218">
        <v>300.0</v>
      </c>
      <c r="G3736" s="220">
        <v>43455.0</v>
      </c>
    </row>
    <row r="3737">
      <c r="A3737" s="217">
        <v>43464.469862858794</v>
      </c>
      <c r="B3737" s="218" t="s">
        <v>5184</v>
      </c>
      <c r="C3737" s="218" t="s">
        <v>6053</v>
      </c>
      <c r="D3737" s="219" t="s">
        <v>7547</v>
      </c>
      <c r="E3737" s="218">
        <v>150.0</v>
      </c>
      <c r="G3737" s="220">
        <v>43456.0</v>
      </c>
    </row>
    <row r="3738">
      <c r="A3738" s="217">
        <v>43464.5627650463</v>
      </c>
      <c r="B3738" s="218" t="s">
        <v>5184</v>
      </c>
      <c r="C3738" s="218" t="s">
        <v>5786</v>
      </c>
      <c r="D3738" s="219">
        <v>1.0</v>
      </c>
      <c r="E3738" s="218">
        <v>300.0</v>
      </c>
      <c r="G3738" s="220">
        <v>43464.0</v>
      </c>
    </row>
    <row r="3739">
      <c r="A3739" s="217">
        <v>43464.56349587963</v>
      </c>
      <c r="B3739" s="218" t="s">
        <v>5184</v>
      </c>
      <c r="C3739" s="218" t="s">
        <v>6053</v>
      </c>
      <c r="D3739" s="219">
        <v>1.0</v>
      </c>
      <c r="E3739" s="218">
        <v>300.0</v>
      </c>
      <c r="G3739" s="220">
        <v>43464.0</v>
      </c>
    </row>
    <row r="3740">
      <c r="A3740" s="217">
        <v>43464.565679374995</v>
      </c>
      <c r="B3740" s="218" t="s">
        <v>5184</v>
      </c>
      <c r="C3740" s="218" t="s">
        <v>7526</v>
      </c>
      <c r="D3740" s="219">
        <v>1.0</v>
      </c>
      <c r="E3740" s="218">
        <v>1000.0</v>
      </c>
      <c r="G3740" s="220">
        <v>43463.0</v>
      </c>
    </row>
    <row r="3741">
      <c r="A3741" s="217">
        <v>43464.56620501158</v>
      </c>
      <c r="B3741" s="218" t="s">
        <v>5184</v>
      </c>
      <c r="C3741" s="218" t="s">
        <v>6053</v>
      </c>
      <c r="D3741" s="219">
        <v>1.0</v>
      </c>
      <c r="E3741" s="218">
        <v>300.0</v>
      </c>
      <c r="G3741" s="220">
        <v>43464.0</v>
      </c>
    </row>
    <row r="3742">
      <c r="A3742" s="217">
        <v>43464.566794976854</v>
      </c>
      <c r="B3742" s="218" t="s">
        <v>5184</v>
      </c>
      <c r="C3742" s="218" t="s">
        <v>5786</v>
      </c>
      <c r="D3742" s="219">
        <v>1.0</v>
      </c>
      <c r="E3742" s="218">
        <v>300.0</v>
      </c>
      <c r="G3742" s="220">
        <v>43464.0</v>
      </c>
    </row>
    <row r="3743">
      <c r="A3743" s="217">
        <v>43464.567256932874</v>
      </c>
      <c r="B3743" s="218" t="s">
        <v>5184</v>
      </c>
      <c r="C3743" s="218" t="s">
        <v>6053</v>
      </c>
      <c r="D3743" s="219">
        <v>1.0</v>
      </c>
      <c r="E3743" s="218">
        <v>300.0</v>
      </c>
      <c r="G3743" s="220">
        <v>43464.0</v>
      </c>
    </row>
    <row r="3744">
      <c r="A3744" s="217">
        <v>43464.67967643519</v>
      </c>
      <c r="B3744" s="218" t="s">
        <v>5184</v>
      </c>
      <c r="C3744" s="218" t="s">
        <v>5786</v>
      </c>
      <c r="D3744" s="219">
        <v>1.0</v>
      </c>
      <c r="E3744" s="218">
        <v>300.0</v>
      </c>
      <c r="G3744" s="220">
        <v>43460.0</v>
      </c>
    </row>
    <row r="3745">
      <c r="A3745" s="217">
        <v>43464.6802025</v>
      </c>
      <c r="B3745" s="218" t="s">
        <v>5184</v>
      </c>
      <c r="C3745" s="218" t="s">
        <v>6053</v>
      </c>
      <c r="D3745" s="219">
        <v>1.0</v>
      </c>
      <c r="E3745" s="218">
        <v>300.0</v>
      </c>
      <c r="G3745" s="220">
        <v>43460.0</v>
      </c>
    </row>
    <row r="3746">
      <c r="A3746" s="217">
        <v>43464.6834097338</v>
      </c>
      <c r="B3746" s="218" t="s">
        <v>5184</v>
      </c>
      <c r="C3746" s="218" t="s">
        <v>6053</v>
      </c>
      <c r="D3746" s="219">
        <v>1.0</v>
      </c>
      <c r="E3746" s="218">
        <v>300.0</v>
      </c>
      <c r="G3746" s="220">
        <v>43458.0</v>
      </c>
    </row>
    <row r="3747">
      <c r="A3747" s="217">
        <v>43464.68441890046</v>
      </c>
      <c r="B3747" s="218" t="s">
        <v>5184</v>
      </c>
      <c r="C3747" s="218" t="s">
        <v>6053</v>
      </c>
      <c r="D3747" s="219">
        <v>1.0</v>
      </c>
      <c r="E3747" s="218">
        <v>300.0</v>
      </c>
      <c r="G3747" s="220">
        <v>43462.0</v>
      </c>
    </row>
    <row r="3748">
      <c r="A3748" s="217">
        <v>43464.69976071759</v>
      </c>
      <c r="B3748" s="218" t="s">
        <v>5092</v>
      </c>
      <c r="C3748" s="218" t="s">
        <v>6053</v>
      </c>
      <c r="D3748" s="219" t="s">
        <v>7652</v>
      </c>
      <c r="E3748" s="218">
        <v>300.0</v>
      </c>
      <c r="G3748" s="220">
        <v>43457.0</v>
      </c>
    </row>
    <row r="3749">
      <c r="A3749" s="217">
        <v>43464.70153723379</v>
      </c>
      <c r="B3749" s="218" t="s">
        <v>5092</v>
      </c>
      <c r="C3749" s="218" t="s">
        <v>6053</v>
      </c>
      <c r="D3749" s="219">
        <v>1.0</v>
      </c>
      <c r="E3749" s="218">
        <v>300.0</v>
      </c>
      <c r="G3749" s="220">
        <v>43457.0</v>
      </c>
    </row>
    <row r="3750">
      <c r="A3750" s="217">
        <v>43464.70234710648</v>
      </c>
      <c r="B3750" s="218" t="s">
        <v>5092</v>
      </c>
      <c r="C3750" s="218" t="s">
        <v>244</v>
      </c>
      <c r="D3750" s="219">
        <v>1.0</v>
      </c>
      <c r="E3750" s="218">
        <v>400.0</v>
      </c>
      <c r="G3750" s="220">
        <v>43457.0</v>
      </c>
    </row>
    <row r="3751">
      <c r="A3751" s="217">
        <v>43464.70298427083</v>
      </c>
      <c r="B3751" s="218" t="s">
        <v>5092</v>
      </c>
      <c r="C3751" s="218" t="s">
        <v>6053</v>
      </c>
      <c r="D3751" s="219">
        <v>22.5</v>
      </c>
      <c r="E3751" s="218">
        <v>300.0</v>
      </c>
      <c r="G3751" s="220">
        <v>43457.0</v>
      </c>
    </row>
    <row r="3752">
      <c r="A3752" s="217">
        <v>43464.70854530093</v>
      </c>
      <c r="B3752" s="218" t="s">
        <v>5092</v>
      </c>
      <c r="C3752" s="218" t="s">
        <v>6053</v>
      </c>
      <c r="D3752" s="219">
        <v>60.0</v>
      </c>
      <c r="E3752" s="218">
        <v>300.0</v>
      </c>
      <c r="G3752" s="220">
        <v>43457.0</v>
      </c>
    </row>
    <row r="3753">
      <c r="A3753" s="217">
        <v>43464.711461377316</v>
      </c>
      <c r="B3753" s="218" t="s">
        <v>5092</v>
      </c>
      <c r="C3753" s="218" t="s">
        <v>6053</v>
      </c>
      <c r="D3753" s="219">
        <v>1.0</v>
      </c>
      <c r="E3753" s="218">
        <v>300.0</v>
      </c>
      <c r="G3753" s="220">
        <v>43458.0</v>
      </c>
    </row>
    <row r="3754">
      <c r="A3754" s="217">
        <v>43464.7126133912</v>
      </c>
      <c r="B3754" s="218" t="s">
        <v>5092</v>
      </c>
      <c r="C3754" s="218" t="s">
        <v>6053</v>
      </c>
      <c r="D3754" s="219" t="s">
        <v>7652</v>
      </c>
      <c r="E3754" s="218">
        <v>300.0</v>
      </c>
      <c r="G3754" s="220">
        <v>43458.0</v>
      </c>
    </row>
    <row r="3755">
      <c r="A3755" s="217">
        <v>43464.71351232639</v>
      </c>
      <c r="B3755" s="218" t="s">
        <v>5092</v>
      </c>
      <c r="C3755" s="218" t="s">
        <v>6053</v>
      </c>
      <c r="D3755" s="219">
        <v>6.5</v>
      </c>
      <c r="E3755" s="218">
        <v>300.0</v>
      </c>
      <c r="G3755" s="220">
        <v>43459.0</v>
      </c>
    </row>
    <row r="3756">
      <c r="A3756" s="217">
        <v>43464.713990578704</v>
      </c>
      <c r="B3756" s="218" t="s">
        <v>5092</v>
      </c>
      <c r="C3756" s="218" t="s">
        <v>6053</v>
      </c>
      <c r="D3756" s="219">
        <v>6.5</v>
      </c>
      <c r="E3756" s="218">
        <v>300.0</v>
      </c>
      <c r="G3756" s="220">
        <v>43459.0</v>
      </c>
    </row>
    <row r="3757">
      <c r="A3757" s="217">
        <v>43464.71457465278</v>
      </c>
      <c r="B3757" s="218" t="s">
        <v>5092</v>
      </c>
      <c r="C3757" s="218" t="s">
        <v>6053</v>
      </c>
      <c r="D3757" s="219">
        <v>2.0</v>
      </c>
      <c r="E3757" s="218">
        <v>300.0</v>
      </c>
      <c r="G3757" s="220">
        <v>43459.0</v>
      </c>
    </row>
    <row r="3758">
      <c r="A3758" s="217">
        <v>43464.71520204861</v>
      </c>
      <c r="B3758" s="218" t="s">
        <v>5092</v>
      </c>
      <c r="C3758" s="218" t="s">
        <v>6053</v>
      </c>
      <c r="D3758" s="219">
        <v>1.0</v>
      </c>
      <c r="E3758" s="218">
        <v>300.0</v>
      </c>
      <c r="G3758" s="220">
        <v>43459.0</v>
      </c>
    </row>
    <row r="3759">
      <c r="A3759" s="217">
        <v>43464.71578275463</v>
      </c>
      <c r="B3759" s="218" t="s">
        <v>5092</v>
      </c>
      <c r="C3759" s="218" t="s">
        <v>244</v>
      </c>
      <c r="D3759" s="219">
        <v>0.5</v>
      </c>
      <c r="E3759" s="218">
        <v>400.0</v>
      </c>
      <c r="G3759" s="220">
        <v>43459.0</v>
      </c>
    </row>
    <row r="3760">
      <c r="A3760" s="217">
        <v>43464.71648</v>
      </c>
      <c r="B3760" s="218" t="s">
        <v>5092</v>
      </c>
      <c r="C3760" s="218" t="s">
        <v>244</v>
      </c>
      <c r="D3760" s="219">
        <v>0.5</v>
      </c>
      <c r="E3760" s="218">
        <v>400.0</v>
      </c>
      <c r="G3760" s="220">
        <v>43459.0</v>
      </c>
    </row>
    <row r="3761">
      <c r="A3761" s="217">
        <v>43464.72266292824</v>
      </c>
      <c r="B3761" s="218" t="s">
        <v>5092</v>
      </c>
      <c r="C3761" s="218" t="s">
        <v>7653</v>
      </c>
      <c r="D3761" s="219" t="s">
        <v>7654</v>
      </c>
      <c r="E3761" s="218">
        <v>150.0</v>
      </c>
      <c r="G3761" s="220">
        <v>43460.0</v>
      </c>
    </row>
    <row r="3762">
      <c r="A3762" s="217">
        <v>43464.72345820602</v>
      </c>
      <c r="B3762" s="218" t="s">
        <v>5092</v>
      </c>
      <c r="C3762" s="218" t="s">
        <v>244</v>
      </c>
      <c r="D3762" s="219">
        <v>1.0</v>
      </c>
      <c r="E3762" s="218">
        <v>400.0</v>
      </c>
      <c r="G3762" s="220">
        <v>43460.0</v>
      </c>
    </row>
    <row r="3763">
      <c r="A3763" s="217">
        <v>43464.724206921295</v>
      </c>
      <c r="B3763" s="218" t="s">
        <v>5092</v>
      </c>
      <c r="C3763" s="218" t="s">
        <v>6053</v>
      </c>
      <c r="D3763" s="219">
        <v>10.0</v>
      </c>
      <c r="E3763" s="218">
        <v>300.0</v>
      </c>
      <c r="G3763" s="220">
        <v>43460.0</v>
      </c>
    </row>
    <row r="3764">
      <c r="A3764" s="217">
        <v>43464.72473913194</v>
      </c>
      <c r="B3764" s="218" t="s">
        <v>5092</v>
      </c>
      <c r="C3764" s="218" t="s">
        <v>6053</v>
      </c>
      <c r="D3764" s="219">
        <v>2.0</v>
      </c>
      <c r="E3764" s="218">
        <v>300.0</v>
      </c>
      <c r="G3764" s="220">
        <v>43460.0</v>
      </c>
    </row>
    <row r="3765">
      <c r="A3765" s="217">
        <v>43464.72529793982</v>
      </c>
      <c r="B3765" s="218" t="s">
        <v>5092</v>
      </c>
      <c r="C3765" s="218" t="s">
        <v>244</v>
      </c>
      <c r="D3765" s="219">
        <v>0.5</v>
      </c>
      <c r="E3765" s="218">
        <v>400.0</v>
      </c>
      <c r="G3765" s="220">
        <v>43460.0</v>
      </c>
    </row>
    <row r="3766">
      <c r="A3766" s="217">
        <v>43464.72607207176</v>
      </c>
      <c r="B3766" s="218" t="s">
        <v>5092</v>
      </c>
      <c r="C3766" s="218" t="s">
        <v>244</v>
      </c>
      <c r="D3766" s="219">
        <v>0.5</v>
      </c>
      <c r="E3766" s="218">
        <v>400.0</v>
      </c>
      <c r="G3766" s="220">
        <v>43460.0</v>
      </c>
    </row>
    <row r="3767">
      <c r="A3767" s="217">
        <v>43464.72718050926</v>
      </c>
      <c r="B3767" s="218" t="s">
        <v>5092</v>
      </c>
      <c r="C3767" s="218" t="s">
        <v>244</v>
      </c>
      <c r="D3767" s="219">
        <v>0.5</v>
      </c>
      <c r="E3767" s="218">
        <v>400.0</v>
      </c>
      <c r="G3767" s="220">
        <v>43460.0</v>
      </c>
    </row>
    <row r="3768">
      <c r="A3768" s="217">
        <v>43464.727849166666</v>
      </c>
      <c r="B3768" s="218" t="s">
        <v>5092</v>
      </c>
      <c r="C3768" s="218" t="s">
        <v>244</v>
      </c>
      <c r="D3768" s="219">
        <v>0.5</v>
      </c>
      <c r="E3768" s="218">
        <v>400.0</v>
      </c>
      <c r="G3768" s="220">
        <v>43460.0</v>
      </c>
    </row>
    <row r="3769">
      <c r="A3769" s="217">
        <v>43464.728409143514</v>
      </c>
      <c r="B3769" s="218" t="s">
        <v>5092</v>
      </c>
      <c r="C3769" s="218" t="s">
        <v>932</v>
      </c>
      <c r="D3769" s="219">
        <v>2.0</v>
      </c>
      <c r="E3769" s="218">
        <v>300.0</v>
      </c>
      <c r="G3769" s="220">
        <v>43460.0</v>
      </c>
    </row>
    <row r="3770">
      <c r="A3770" s="217">
        <v>43464.73038835648</v>
      </c>
      <c r="B3770" s="218" t="s">
        <v>5092</v>
      </c>
      <c r="C3770" s="218" t="s">
        <v>244</v>
      </c>
      <c r="D3770" s="219">
        <v>1.0</v>
      </c>
      <c r="E3770" s="218">
        <v>400.0</v>
      </c>
      <c r="G3770" s="220">
        <v>43461.0</v>
      </c>
    </row>
    <row r="3771">
      <c r="A3771" s="217">
        <v>43464.730921689814</v>
      </c>
      <c r="B3771" s="218" t="s">
        <v>5092</v>
      </c>
      <c r="C3771" s="218" t="s">
        <v>244</v>
      </c>
      <c r="D3771" s="219">
        <v>1.0</v>
      </c>
      <c r="E3771" s="218">
        <v>400.0</v>
      </c>
      <c r="G3771" s="220">
        <v>43461.0</v>
      </c>
    </row>
    <row r="3772">
      <c r="A3772" s="217">
        <v>43464.73149319444</v>
      </c>
      <c r="B3772" s="218" t="s">
        <v>5092</v>
      </c>
      <c r="C3772" s="218" t="s">
        <v>6053</v>
      </c>
      <c r="D3772" s="219">
        <v>3.0</v>
      </c>
      <c r="E3772" s="218">
        <v>300.0</v>
      </c>
      <c r="G3772" s="220">
        <v>43461.0</v>
      </c>
    </row>
    <row r="3773">
      <c r="A3773" s="217">
        <v>43464.73208800926</v>
      </c>
      <c r="B3773" s="218" t="s">
        <v>5092</v>
      </c>
      <c r="C3773" s="218" t="s">
        <v>6053</v>
      </c>
      <c r="D3773" s="219">
        <v>0.5</v>
      </c>
      <c r="E3773" s="218">
        <v>300.0</v>
      </c>
      <c r="G3773" s="220">
        <v>43461.0</v>
      </c>
    </row>
    <row r="3774">
      <c r="A3774" s="217">
        <v>43464.73272583333</v>
      </c>
      <c r="B3774" s="218" t="s">
        <v>5092</v>
      </c>
      <c r="C3774" s="218" t="s">
        <v>6053</v>
      </c>
      <c r="D3774" s="219">
        <v>8.5</v>
      </c>
      <c r="E3774" s="218">
        <v>300.0</v>
      </c>
      <c r="G3774" s="220">
        <v>43461.0</v>
      </c>
    </row>
    <row r="3775">
      <c r="A3775" s="217">
        <v>43464.733618796294</v>
      </c>
      <c r="B3775" s="218" t="s">
        <v>5092</v>
      </c>
      <c r="C3775" s="218" t="s">
        <v>7655</v>
      </c>
      <c r="D3775" s="219">
        <v>1.0</v>
      </c>
      <c r="E3775" s="218">
        <v>300.0</v>
      </c>
      <c r="G3775" s="220">
        <v>43461.0</v>
      </c>
    </row>
    <row r="3776">
      <c r="A3776" s="217">
        <v>43464.73418321759</v>
      </c>
      <c r="B3776" s="218" t="s">
        <v>5092</v>
      </c>
      <c r="C3776" s="218" t="s">
        <v>244</v>
      </c>
      <c r="D3776" s="219">
        <v>1.5</v>
      </c>
      <c r="E3776" s="218">
        <v>400.0</v>
      </c>
      <c r="G3776" s="220">
        <v>43463.0</v>
      </c>
    </row>
    <row r="3777">
      <c r="A3777" s="217">
        <v>43464.73473108796</v>
      </c>
      <c r="B3777" s="218" t="s">
        <v>5092</v>
      </c>
      <c r="C3777" s="218" t="s">
        <v>6053</v>
      </c>
      <c r="D3777" s="219">
        <v>0.5</v>
      </c>
      <c r="E3777" s="218">
        <v>300.0</v>
      </c>
      <c r="G3777" s="220">
        <v>43463.0</v>
      </c>
    </row>
    <row r="3778">
      <c r="A3778" s="217">
        <v>43464.73521767361</v>
      </c>
      <c r="B3778" s="218" t="s">
        <v>5092</v>
      </c>
      <c r="C3778" s="218" t="s">
        <v>6053</v>
      </c>
      <c r="D3778" s="219">
        <v>1.0</v>
      </c>
      <c r="E3778" s="218">
        <v>300.0</v>
      </c>
      <c r="G3778" s="220">
        <v>43463.0</v>
      </c>
    </row>
    <row r="3779">
      <c r="A3779" s="217">
        <v>43464.735909537034</v>
      </c>
      <c r="B3779" s="218" t="s">
        <v>5092</v>
      </c>
      <c r="C3779" s="218" t="s">
        <v>6053</v>
      </c>
      <c r="D3779" s="219">
        <v>1.0</v>
      </c>
      <c r="E3779" s="218">
        <v>300.0</v>
      </c>
      <c r="G3779" s="220">
        <v>43463.0</v>
      </c>
    </row>
    <row r="3780">
      <c r="A3780" s="217">
        <v>43464.73667903936</v>
      </c>
      <c r="B3780" s="218" t="s">
        <v>5092</v>
      </c>
      <c r="C3780" s="218" t="s">
        <v>6053</v>
      </c>
      <c r="D3780" s="219">
        <v>1.5</v>
      </c>
      <c r="E3780" s="218">
        <v>300.0</v>
      </c>
      <c r="G3780" s="220">
        <v>43463.0</v>
      </c>
    </row>
    <row r="3781">
      <c r="A3781" s="217">
        <v>43464.73899023148</v>
      </c>
      <c r="B3781" s="218" t="s">
        <v>5092</v>
      </c>
      <c r="C3781" s="218" t="s">
        <v>6053</v>
      </c>
      <c r="D3781" s="219">
        <v>0.5</v>
      </c>
      <c r="E3781" s="218">
        <v>300.0</v>
      </c>
      <c r="G3781" s="220">
        <v>43463.0</v>
      </c>
    </row>
    <row r="3782">
      <c r="A3782" s="217">
        <v>43464.739555266206</v>
      </c>
      <c r="B3782" s="218" t="s">
        <v>5092</v>
      </c>
      <c r="C3782" s="218" t="s">
        <v>6053</v>
      </c>
      <c r="D3782" s="219">
        <v>3.5</v>
      </c>
      <c r="E3782" s="218">
        <v>300.0</v>
      </c>
      <c r="G3782" s="220">
        <v>43463.0</v>
      </c>
    </row>
    <row r="3783">
      <c r="A3783" s="217">
        <v>43464.74210364583</v>
      </c>
      <c r="B3783" s="218" t="s">
        <v>5092</v>
      </c>
      <c r="C3783" s="218" t="s">
        <v>7656</v>
      </c>
      <c r="D3783" s="219">
        <v>2.0</v>
      </c>
      <c r="E3783" s="218">
        <v>30.0</v>
      </c>
      <c r="G3783" s="220">
        <v>43463.0</v>
      </c>
    </row>
    <row r="3784">
      <c r="A3784" s="217">
        <v>43464.74371642361</v>
      </c>
      <c r="B3784" s="218" t="s">
        <v>5184</v>
      </c>
      <c r="C3784" s="218" t="s">
        <v>5789</v>
      </c>
      <c r="D3784" s="219">
        <v>1.0</v>
      </c>
      <c r="E3784" s="218">
        <v>400.0</v>
      </c>
      <c r="G3784" s="220">
        <v>43459.0</v>
      </c>
    </row>
    <row r="3785">
      <c r="A3785" s="217">
        <v>43464.74429640046</v>
      </c>
      <c r="B3785" s="218" t="s">
        <v>5184</v>
      </c>
      <c r="C3785" s="218" t="s">
        <v>6053</v>
      </c>
      <c r="D3785" s="219">
        <v>1.0</v>
      </c>
      <c r="E3785" s="218">
        <v>300.0</v>
      </c>
      <c r="G3785" s="220">
        <v>43459.0</v>
      </c>
    </row>
    <row r="3786">
      <c r="A3786" s="217">
        <v>43464.76830581018</v>
      </c>
      <c r="B3786" s="218" t="s">
        <v>5184</v>
      </c>
      <c r="C3786" s="218" t="s">
        <v>6036</v>
      </c>
      <c r="D3786" s="238" t="s">
        <v>7659</v>
      </c>
      <c r="E3786" s="218">
        <v>200.0</v>
      </c>
      <c r="G3786" s="220">
        <v>43458.0</v>
      </c>
    </row>
    <row r="3787">
      <c r="A3787" s="217">
        <v>43464.77070109954</v>
      </c>
      <c r="B3787" s="218" t="s">
        <v>5184</v>
      </c>
      <c r="C3787" s="218" t="s">
        <v>6053</v>
      </c>
      <c r="D3787" s="238" t="s">
        <v>7659</v>
      </c>
      <c r="E3787" s="218">
        <v>150.0</v>
      </c>
      <c r="G3787" s="220">
        <v>43456.0</v>
      </c>
    </row>
    <row r="3788">
      <c r="A3788" s="217">
        <v>43464.77443923611</v>
      </c>
      <c r="B3788" s="218" t="s">
        <v>5184</v>
      </c>
      <c r="C3788" s="218" t="s">
        <v>6053</v>
      </c>
      <c r="D3788" s="219">
        <v>1.0</v>
      </c>
      <c r="E3788" s="218">
        <v>300.0</v>
      </c>
      <c r="G3788" s="220">
        <v>43457.0</v>
      </c>
    </row>
    <row r="3789">
      <c r="A3789" s="217">
        <v>43464.7754265625</v>
      </c>
      <c r="B3789" s="218" t="s">
        <v>5184</v>
      </c>
      <c r="C3789" s="218" t="s">
        <v>5789</v>
      </c>
      <c r="D3789" s="219">
        <v>1.0</v>
      </c>
      <c r="E3789" s="218">
        <v>400.0</v>
      </c>
      <c r="G3789" s="220">
        <v>43459.0</v>
      </c>
    </row>
    <row r="3790">
      <c r="A3790" s="217">
        <v>43464.77642805556</v>
      </c>
      <c r="B3790" s="218" t="s">
        <v>5184</v>
      </c>
      <c r="C3790" s="218" t="s">
        <v>5789</v>
      </c>
      <c r="D3790" s="219">
        <v>1.0</v>
      </c>
      <c r="E3790" s="218">
        <v>400.0</v>
      </c>
      <c r="G3790" s="220">
        <v>43460.0</v>
      </c>
    </row>
    <row r="3791">
      <c r="A3791" s="217">
        <v>43464.77712150463</v>
      </c>
      <c r="B3791" s="218" t="s">
        <v>5184</v>
      </c>
      <c r="C3791" s="218" t="s">
        <v>284</v>
      </c>
      <c r="D3791" s="219">
        <v>1.0</v>
      </c>
      <c r="E3791" s="218">
        <v>400.0</v>
      </c>
      <c r="G3791" s="220">
        <v>43460.0</v>
      </c>
    </row>
    <row r="3792">
      <c r="A3792" s="217">
        <v>43464.778264629625</v>
      </c>
      <c r="B3792" s="218" t="s">
        <v>5184</v>
      </c>
      <c r="C3792" s="218" t="s">
        <v>5786</v>
      </c>
      <c r="D3792" s="219">
        <v>1.0</v>
      </c>
      <c r="E3792" s="218">
        <v>300.0</v>
      </c>
      <c r="G3792" s="220">
        <v>43458.0</v>
      </c>
    </row>
    <row r="3793">
      <c r="A3793" s="217">
        <v>43464.77873996527</v>
      </c>
      <c r="B3793" s="218" t="s">
        <v>5184</v>
      </c>
      <c r="C3793" s="218" t="s">
        <v>6053</v>
      </c>
      <c r="D3793" s="219">
        <v>1.0</v>
      </c>
      <c r="E3793" s="218">
        <v>300.0</v>
      </c>
      <c r="G3793" s="220">
        <v>43458.0</v>
      </c>
    </row>
    <row r="3794">
      <c r="A3794" s="217">
        <v>43464.78003847222</v>
      </c>
      <c r="B3794" s="218" t="s">
        <v>5184</v>
      </c>
      <c r="C3794" s="218" t="s">
        <v>5786</v>
      </c>
      <c r="D3794" s="219">
        <v>1.0</v>
      </c>
      <c r="E3794" s="218">
        <v>300.0</v>
      </c>
      <c r="G3794" s="220">
        <v>43458.0</v>
      </c>
    </row>
    <row r="3795">
      <c r="A3795" s="217">
        <v>43464.780555729165</v>
      </c>
      <c r="B3795" s="218" t="s">
        <v>5184</v>
      </c>
      <c r="C3795" s="218" t="s">
        <v>6053</v>
      </c>
      <c r="D3795" s="238" t="s">
        <v>7659</v>
      </c>
      <c r="E3795" s="218">
        <v>150.0</v>
      </c>
      <c r="G3795" s="220">
        <v>43458.0</v>
      </c>
    </row>
    <row r="3796">
      <c r="A3796" s="217">
        <v>43464.782755381944</v>
      </c>
      <c r="B3796" s="218" t="s">
        <v>5184</v>
      </c>
      <c r="C3796" s="218" t="s">
        <v>6053</v>
      </c>
      <c r="D3796" s="219">
        <v>1.0</v>
      </c>
      <c r="E3796" s="218">
        <v>300.0</v>
      </c>
      <c r="G3796" s="220">
        <v>43459.0</v>
      </c>
    </row>
    <row r="3797">
      <c r="A3797" s="217">
        <v>43464.78380644676</v>
      </c>
      <c r="B3797" s="218" t="s">
        <v>5184</v>
      </c>
      <c r="C3797" s="218" t="s">
        <v>5789</v>
      </c>
      <c r="D3797" s="219">
        <v>1.0</v>
      </c>
      <c r="E3797" s="218">
        <v>400.0</v>
      </c>
      <c r="G3797" s="220">
        <v>43457.0</v>
      </c>
    </row>
    <row r="3798">
      <c r="A3798" s="217">
        <v>43464.784359745376</v>
      </c>
      <c r="B3798" s="218" t="s">
        <v>5184</v>
      </c>
      <c r="C3798" s="218" t="s">
        <v>6053</v>
      </c>
      <c r="D3798" s="219">
        <v>1.0</v>
      </c>
      <c r="E3798" s="218">
        <v>300.0</v>
      </c>
      <c r="G3798" s="220">
        <v>43457.0</v>
      </c>
    </row>
    <row r="3799">
      <c r="A3799" s="217">
        <v>43464.78548049768</v>
      </c>
      <c r="B3799" s="218" t="s">
        <v>5184</v>
      </c>
      <c r="C3799" s="218" t="s">
        <v>5786</v>
      </c>
      <c r="D3799" s="219">
        <v>1.0</v>
      </c>
      <c r="E3799" s="218">
        <v>300.0</v>
      </c>
      <c r="G3799" s="220">
        <v>43457.0</v>
      </c>
    </row>
    <row r="3800">
      <c r="A3800" s="217">
        <v>43464.78602105324</v>
      </c>
      <c r="B3800" s="218" t="s">
        <v>5184</v>
      </c>
      <c r="C3800" s="218" t="s">
        <v>6053</v>
      </c>
      <c r="D3800" s="238" t="s">
        <v>7659</v>
      </c>
      <c r="E3800" s="218">
        <v>150.0</v>
      </c>
      <c r="G3800" s="220">
        <v>43457.0</v>
      </c>
    </row>
    <row r="3801">
      <c r="A3801" s="217">
        <v>43465.44101273148</v>
      </c>
      <c r="B3801" s="218" t="s">
        <v>5184</v>
      </c>
      <c r="C3801" s="218" t="s">
        <v>5818</v>
      </c>
      <c r="D3801" s="219">
        <v>1.0</v>
      </c>
      <c r="E3801" s="218">
        <v>300.0</v>
      </c>
      <c r="G3801" s="220">
        <v>43458.0</v>
      </c>
    </row>
    <row r="3802">
      <c r="A3802" s="217">
        <v>43465.442040625</v>
      </c>
      <c r="B3802" s="218" t="s">
        <v>5184</v>
      </c>
      <c r="C3802" s="218" t="s">
        <v>6053</v>
      </c>
      <c r="D3802" s="238" t="s">
        <v>7671</v>
      </c>
      <c r="E3802" s="218">
        <v>150.0</v>
      </c>
      <c r="G3802" s="220">
        <v>43458.0</v>
      </c>
    </row>
    <row r="3803">
      <c r="A3803" s="217">
        <v>43465.51579060185</v>
      </c>
      <c r="B3803" s="218" t="s">
        <v>5092</v>
      </c>
      <c r="C3803" s="218" t="s">
        <v>7672</v>
      </c>
      <c r="D3803" s="219" t="s">
        <v>7673</v>
      </c>
      <c r="E3803" s="218">
        <v>1200.0</v>
      </c>
      <c r="G3803" s="220">
        <v>43465.0</v>
      </c>
    </row>
    <row r="3804">
      <c r="A3804" s="217">
        <v>43465.51821520833</v>
      </c>
      <c r="B3804" s="218" t="s">
        <v>5092</v>
      </c>
      <c r="C3804" s="218" t="s">
        <v>6053</v>
      </c>
      <c r="D3804" s="219">
        <v>1.0</v>
      </c>
      <c r="E3804" s="218">
        <v>300.0</v>
      </c>
      <c r="G3804" s="220">
        <v>43465.0</v>
      </c>
    </row>
    <row r="3805">
      <c r="A3805" s="217">
        <v>43465.519116180556</v>
      </c>
      <c r="B3805" s="218" t="s">
        <v>5092</v>
      </c>
      <c r="C3805" s="218" t="s">
        <v>244</v>
      </c>
      <c r="D3805" s="219" t="s">
        <v>7547</v>
      </c>
      <c r="E3805" s="218">
        <v>200.0</v>
      </c>
      <c r="G3805" s="220">
        <v>43465.0</v>
      </c>
    </row>
    <row r="3806">
      <c r="A3806" s="217">
        <v>43465.519712037036</v>
      </c>
      <c r="B3806" s="218" t="s">
        <v>5092</v>
      </c>
      <c r="C3806" s="218" t="s">
        <v>7672</v>
      </c>
      <c r="D3806" s="219" t="s">
        <v>7673</v>
      </c>
      <c r="E3806" s="218">
        <v>1200.0</v>
      </c>
      <c r="G3806" s="220">
        <v>43465.0</v>
      </c>
    </row>
    <row r="3807">
      <c r="A3807" s="217">
        <v>43465.54031434028</v>
      </c>
      <c r="B3807" s="218" t="s">
        <v>5184</v>
      </c>
      <c r="C3807" s="218" t="s">
        <v>5786</v>
      </c>
      <c r="D3807" s="219">
        <v>1.0</v>
      </c>
      <c r="E3807" s="218">
        <v>300.0</v>
      </c>
      <c r="G3807" s="220">
        <v>43458.0</v>
      </c>
    </row>
    <row r="3808">
      <c r="A3808" s="217">
        <v>43465.540851620375</v>
      </c>
      <c r="B3808" s="218" t="s">
        <v>5184</v>
      </c>
      <c r="C3808" s="218" t="s">
        <v>6053</v>
      </c>
      <c r="D3808" s="219">
        <v>1.0</v>
      </c>
      <c r="E3808" s="218">
        <v>300.0</v>
      </c>
      <c r="G3808" s="220">
        <v>43458.0</v>
      </c>
    </row>
    <row r="3809">
      <c r="A3809" s="217">
        <v>43465.54159488426</v>
      </c>
      <c r="B3809" s="218" t="s">
        <v>5184</v>
      </c>
      <c r="C3809" s="218" t="s">
        <v>6053</v>
      </c>
      <c r="D3809" s="219">
        <v>1.0</v>
      </c>
      <c r="E3809" s="218">
        <v>300.0</v>
      </c>
      <c r="G3809" s="220">
        <v>43458.0</v>
      </c>
    </row>
    <row r="3810">
      <c r="A3810" s="217">
        <v>43465.55100979167</v>
      </c>
      <c r="B3810" s="218" t="s">
        <v>5184</v>
      </c>
      <c r="C3810" s="218" t="s">
        <v>6053</v>
      </c>
      <c r="D3810" s="219">
        <v>1.0</v>
      </c>
      <c r="E3810" s="218">
        <v>300.0</v>
      </c>
      <c r="G3810" s="220">
        <v>43459.0</v>
      </c>
    </row>
    <row r="3811">
      <c r="A3811" s="217">
        <v>43465.553016875</v>
      </c>
      <c r="B3811" s="218" t="s">
        <v>5184</v>
      </c>
      <c r="C3811" s="218" t="s">
        <v>5789</v>
      </c>
      <c r="D3811" s="219">
        <v>1.0</v>
      </c>
      <c r="E3811" s="218">
        <v>400.0</v>
      </c>
      <c r="G3811" s="220">
        <v>43457.0</v>
      </c>
    </row>
    <row r="3812">
      <c r="A3812" s="217">
        <v>43465.553622685184</v>
      </c>
      <c r="B3812" s="218" t="s">
        <v>5184</v>
      </c>
      <c r="C3812" s="218" t="s">
        <v>6053</v>
      </c>
      <c r="D3812" s="219">
        <v>1.0</v>
      </c>
      <c r="E3812" s="218">
        <v>300.0</v>
      </c>
      <c r="G3812" s="220">
        <v>43457.0</v>
      </c>
    </row>
    <row r="3813">
      <c r="A3813" s="217">
        <v>43465.55465369213</v>
      </c>
      <c r="B3813" s="218" t="s">
        <v>5184</v>
      </c>
      <c r="C3813" s="218" t="s">
        <v>6053</v>
      </c>
      <c r="D3813" s="219">
        <v>1.0</v>
      </c>
      <c r="E3813" s="218">
        <v>300.0</v>
      </c>
      <c r="G3813" s="220">
        <v>43457.0</v>
      </c>
    </row>
    <row r="3814">
      <c r="A3814" s="217">
        <v>43465.55717234954</v>
      </c>
      <c r="B3814" s="218" t="s">
        <v>5184</v>
      </c>
      <c r="C3814" s="218" t="s">
        <v>5789</v>
      </c>
      <c r="D3814" s="219">
        <v>1.0</v>
      </c>
      <c r="E3814" s="218">
        <v>400.0</v>
      </c>
      <c r="G3814" s="220">
        <v>43458.0</v>
      </c>
    </row>
    <row r="3815">
      <c r="A3815" s="217">
        <v>43465.55769021991</v>
      </c>
      <c r="B3815" s="218" t="s">
        <v>5184</v>
      </c>
      <c r="C3815" s="218" t="s">
        <v>6053</v>
      </c>
      <c r="D3815" s="219">
        <v>1.0</v>
      </c>
      <c r="E3815" s="218">
        <v>300.0</v>
      </c>
      <c r="G3815" s="220">
        <v>43458.0</v>
      </c>
    </row>
    <row r="3816">
      <c r="A3816" s="217">
        <v>43465.55860020833</v>
      </c>
      <c r="B3816" s="218" t="s">
        <v>5184</v>
      </c>
      <c r="C3816" s="218" t="s">
        <v>5786</v>
      </c>
      <c r="D3816" s="219">
        <v>1.0</v>
      </c>
      <c r="E3816" s="218">
        <v>300.0</v>
      </c>
      <c r="G3816" s="220">
        <v>43460.0</v>
      </c>
    </row>
    <row r="3817">
      <c r="A3817" s="217">
        <v>43465.55910842592</v>
      </c>
      <c r="B3817" s="218" t="s">
        <v>5184</v>
      </c>
      <c r="C3817" s="218" t="s">
        <v>6053</v>
      </c>
      <c r="D3817" s="219">
        <v>1.0</v>
      </c>
      <c r="E3817" s="218">
        <v>300.0</v>
      </c>
      <c r="G3817" s="220">
        <v>43460.0</v>
      </c>
    </row>
    <row r="3818">
      <c r="A3818" s="217">
        <v>43465.56094866898</v>
      </c>
      <c r="B3818" s="218" t="s">
        <v>5184</v>
      </c>
      <c r="C3818" s="218" t="s">
        <v>6053</v>
      </c>
      <c r="D3818" s="219">
        <v>1.0</v>
      </c>
      <c r="E3818" s="218">
        <v>300.0</v>
      </c>
      <c r="G3818" s="220">
        <v>43459.0</v>
      </c>
    </row>
    <row r="3819">
      <c r="A3819" s="217">
        <v>43465.56175559028</v>
      </c>
      <c r="B3819" s="218" t="s">
        <v>5184</v>
      </c>
      <c r="C3819" s="218" t="s">
        <v>5789</v>
      </c>
      <c r="D3819" s="219">
        <v>1.0</v>
      </c>
      <c r="E3819" s="218">
        <v>400.0</v>
      </c>
      <c r="G3819" s="220">
        <v>43462.0</v>
      </c>
    </row>
    <row r="3820">
      <c r="A3820" s="217">
        <v>43465.56257072916</v>
      </c>
      <c r="B3820" s="218" t="s">
        <v>5184</v>
      </c>
      <c r="C3820" s="218" t="s">
        <v>6053</v>
      </c>
      <c r="D3820" s="219">
        <v>1.0</v>
      </c>
      <c r="E3820" s="218">
        <v>300.0</v>
      </c>
      <c r="G3820" s="220">
        <v>43462.0</v>
      </c>
    </row>
    <row r="3821">
      <c r="A3821" s="217">
        <v>43465.565296388886</v>
      </c>
      <c r="B3821" s="218" t="s">
        <v>5184</v>
      </c>
      <c r="C3821" s="218" t="s">
        <v>5845</v>
      </c>
      <c r="D3821" s="219">
        <v>1.0</v>
      </c>
      <c r="E3821" s="218">
        <v>500.0</v>
      </c>
      <c r="G3821" s="220">
        <v>43459.0</v>
      </c>
    </row>
    <row r="3822">
      <c r="A3822" s="217">
        <v>43465.56575540509</v>
      </c>
      <c r="B3822" s="218" t="s">
        <v>5184</v>
      </c>
      <c r="C3822" s="218" t="s">
        <v>6053</v>
      </c>
      <c r="D3822" s="219">
        <v>1.0</v>
      </c>
      <c r="E3822" s="218">
        <v>300.0</v>
      </c>
      <c r="G3822" s="220">
        <v>43459.0</v>
      </c>
    </row>
    <row r="3823">
      <c r="A3823" s="217">
        <v>43465.62095413194</v>
      </c>
      <c r="B3823" s="218" t="s">
        <v>5184</v>
      </c>
      <c r="C3823" s="218" t="s">
        <v>5782</v>
      </c>
      <c r="D3823" s="219">
        <v>1.0</v>
      </c>
      <c r="E3823" s="218">
        <v>400.0</v>
      </c>
      <c r="G3823" s="220">
        <v>43465.0</v>
      </c>
    </row>
    <row r="3824">
      <c r="A3824" s="217">
        <v>43465.6383790625</v>
      </c>
      <c r="B3824" s="218" t="s">
        <v>5184</v>
      </c>
      <c r="C3824" s="218" t="s">
        <v>6053</v>
      </c>
      <c r="D3824" s="219">
        <v>1.0</v>
      </c>
      <c r="E3824" s="218">
        <v>300.0</v>
      </c>
      <c r="G3824" s="220">
        <v>43465.0</v>
      </c>
    </row>
    <row r="3825">
      <c r="A3825" s="217">
        <v>43465.639294259265</v>
      </c>
      <c r="B3825" s="218" t="s">
        <v>5184</v>
      </c>
      <c r="C3825" s="218" t="s">
        <v>284</v>
      </c>
      <c r="D3825" s="219">
        <v>1.0</v>
      </c>
      <c r="E3825" s="218">
        <v>400.0</v>
      </c>
      <c r="G3825" s="220">
        <v>43465.0</v>
      </c>
    </row>
    <row r="3826">
      <c r="A3826" s="217">
        <v>43465.64092721065</v>
      </c>
      <c r="B3826" s="218" t="s">
        <v>5184</v>
      </c>
      <c r="C3826" s="218" t="s">
        <v>5789</v>
      </c>
      <c r="D3826" s="219">
        <v>1.0</v>
      </c>
      <c r="E3826" s="218">
        <v>400.0</v>
      </c>
      <c r="G3826" s="220">
        <v>43465.0</v>
      </c>
    </row>
    <row r="3827">
      <c r="A3827" s="217">
        <v>43465.64132978009</v>
      </c>
      <c r="B3827" s="218" t="s">
        <v>5184</v>
      </c>
      <c r="C3827" s="218" t="s">
        <v>6053</v>
      </c>
      <c r="D3827" s="219">
        <v>1.0</v>
      </c>
      <c r="E3827" s="218">
        <v>300.0</v>
      </c>
      <c r="G3827" s="220">
        <v>43465.0</v>
      </c>
    </row>
    <row r="3828">
      <c r="A3828" s="217">
        <v>43465.64218863426</v>
      </c>
      <c r="B3828" s="218" t="s">
        <v>5184</v>
      </c>
      <c r="C3828" s="218" t="s">
        <v>6053</v>
      </c>
      <c r="D3828" s="219">
        <v>1.0</v>
      </c>
      <c r="E3828" s="218">
        <v>300.0</v>
      </c>
      <c r="G3828" s="220">
        <v>43465.0</v>
      </c>
    </row>
    <row r="3829">
      <c r="A3829" s="217">
        <v>43465.64318454861</v>
      </c>
      <c r="B3829" s="218" t="s">
        <v>5184</v>
      </c>
      <c r="C3829" s="218" t="s">
        <v>284</v>
      </c>
      <c r="D3829" s="219" t="s">
        <v>7652</v>
      </c>
      <c r="E3829" s="218">
        <v>400.0</v>
      </c>
      <c r="G3829" s="220">
        <v>43465.0</v>
      </c>
    </row>
    <row r="3830">
      <c r="A3830" s="217">
        <v>43465.643699085645</v>
      </c>
      <c r="B3830" s="218" t="s">
        <v>5184</v>
      </c>
      <c r="C3830" s="218" t="s">
        <v>6053</v>
      </c>
      <c r="D3830" s="219">
        <v>1.0</v>
      </c>
      <c r="E3830" s="218">
        <v>300.0</v>
      </c>
      <c r="G3830" s="220">
        <v>43465.0</v>
      </c>
    </row>
    <row r="3831">
      <c r="A3831" s="217">
        <v>43465.64543181713</v>
      </c>
      <c r="B3831" s="218" t="s">
        <v>5184</v>
      </c>
      <c r="C3831" s="218" t="s">
        <v>5786</v>
      </c>
      <c r="D3831" s="219">
        <v>1.0</v>
      </c>
      <c r="E3831" s="218">
        <v>300.0</v>
      </c>
      <c r="G3831" s="220">
        <v>43465.0</v>
      </c>
    </row>
    <row r="3832">
      <c r="A3832" s="217">
        <v>43465.64868684028</v>
      </c>
      <c r="B3832" s="218" t="s">
        <v>5184</v>
      </c>
      <c r="C3832" s="218" t="s">
        <v>7693</v>
      </c>
      <c r="D3832" s="219">
        <v>1.0</v>
      </c>
      <c r="E3832" s="218">
        <v>1200.0</v>
      </c>
      <c r="G3832" s="220">
        <v>43465.0</v>
      </c>
    </row>
    <row r="3833">
      <c r="A3833" s="217">
        <v>43465.686911145836</v>
      </c>
      <c r="B3833" s="218" t="s">
        <v>5184</v>
      </c>
      <c r="C3833" s="218" t="s">
        <v>5786</v>
      </c>
      <c r="D3833" s="219">
        <v>1.0</v>
      </c>
      <c r="E3833" s="218">
        <v>300.0</v>
      </c>
      <c r="G3833" s="220">
        <v>43464.0</v>
      </c>
    </row>
    <row r="3834">
      <c r="A3834" s="217">
        <v>43465.68762435185</v>
      </c>
      <c r="B3834" s="218" t="s">
        <v>5184</v>
      </c>
      <c r="C3834" s="218" t="s">
        <v>6053</v>
      </c>
      <c r="D3834" s="219">
        <v>1.0</v>
      </c>
      <c r="E3834" s="218">
        <v>300.0</v>
      </c>
      <c r="G3834" s="220">
        <v>43464.0</v>
      </c>
    </row>
    <row r="3835">
      <c r="A3835" s="217">
        <v>43465.72188344908</v>
      </c>
      <c r="B3835" s="218" t="s">
        <v>5184</v>
      </c>
      <c r="C3835" s="218" t="s">
        <v>845</v>
      </c>
      <c r="D3835" s="219" t="s">
        <v>7695</v>
      </c>
      <c r="E3835" s="218">
        <v>400.0</v>
      </c>
      <c r="G3835" s="220">
        <v>43465.0</v>
      </c>
    </row>
    <row r="3836">
      <c r="A3836" s="217">
        <v>43466.49747295139</v>
      </c>
      <c r="B3836" s="218" t="s">
        <v>5184</v>
      </c>
      <c r="C3836" s="218" t="s">
        <v>6053</v>
      </c>
      <c r="D3836" s="219">
        <v>1.0</v>
      </c>
      <c r="E3836" s="218">
        <v>300.0</v>
      </c>
      <c r="G3836" s="220">
        <v>43466.0</v>
      </c>
    </row>
    <row r="3837">
      <c r="A3837" s="217">
        <v>43466.53717635416</v>
      </c>
      <c r="B3837" s="218" t="s">
        <v>5184</v>
      </c>
      <c r="C3837" s="218" t="s">
        <v>5227</v>
      </c>
      <c r="D3837" s="219">
        <v>1.0</v>
      </c>
      <c r="E3837" s="218">
        <v>14500.0</v>
      </c>
      <c r="G3837" s="220">
        <v>43466.0</v>
      </c>
    </row>
    <row r="3838">
      <c r="A3838" s="217">
        <v>43466.55344870371</v>
      </c>
      <c r="B3838" s="218" t="s">
        <v>5184</v>
      </c>
      <c r="C3838" s="218" t="s">
        <v>2084</v>
      </c>
      <c r="D3838" s="219">
        <v>1.0</v>
      </c>
      <c r="E3838" s="218">
        <v>11500.0</v>
      </c>
      <c r="G3838" s="220">
        <v>43466.0</v>
      </c>
    </row>
    <row r="3839">
      <c r="A3839" s="217">
        <v>43466.55420987269</v>
      </c>
      <c r="B3839" s="218" t="s">
        <v>5184</v>
      </c>
      <c r="C3839" s="218" t="s">
        <v>2087</v>
      </c>
      <c r="D3839" s="219">
        <v>1.0</v>
      </c>
      <c r="E3839" s="218">
        <v>10000.0</v>
      </c>
      <c r="G3839" s="220">
        <v>43466.0</v>
      </c>
    </row>
    <row r="3840">
      <c r="A3840" s="217">
        <v>43466.55481834491</v>
      </c>
      <c r="B3840" s="218" t="s">
        <v>5184</v>
      </c>
      <c r="C3840" s="218" t="s">
        <v>4588</v>
      </c>
      <c r="D3840" s="219">
        <v>1.0</v>
      </c>
      <c r="E3840" s="218">
        <v>1695.0</v>
      </c>
      <c r="G3840" s="220">
        <v>43466.0</v>
      </c>
    </row>
    <row r="3841">
      <c r="A3841" s="217">
        <v>43466.620510451394</v>
      </c>
      <c r="B3841" s="218" t="s">
        <v>5184</v>
      </c>
      <c r="C3841" s="218" t="s">
        <v>6053</v>
      </c>
      <c r="D3841" s="219">
        <v>1.0</v>
      </c>
      <c r="E3841" s="218">
        <v>300.0</v>
      </c>
      <c r="G3841" s="220">
        <v>43466.0</v>
      </c>
    </row>
    <row r="3842">
      <c r="A3842" s="217">
        <v>43466.61940787037</v>
      </c>
      <c r="B3842" s="218" t="s">
        <v>5184</v>
      </c>
      <c r="C3842" s="218" t="s">
        <v>5786</v>
      </c>
      <c r="D3842" s="219">
        <v>1.0</v>
      </c>
      <c r="E3842" s="218">
        <v>300.0</v>
      </c>
      <c r="G3842" s="220">
        <v>43466.0</v>
      </c>
    </row>
    <row r="3843">
      <c r="A3843" s="217">
        <v>43466.668560798615</v>
      </c>
      <c r="B3843" s="218" t="s">
        <v>5184</v>
      </c>
      <c r="C3843" s="218" t="s">
        <v>5786</v>
      </c>
      <c r="D3843" s="219">
        <v>1.0</v>
      </c>
      <c r="E3843" s="218">
        <v>300.0</v>
      </c>
      <c r="G3843" s="220">
        <v>43466.0</v>
      </c>
    </row>
    <row r="3844">
      <c r="A3844" s="217">
        <v>43466.66903769676</v>
      </c>
      <c r="B3844" s="218" t="s">
        <v>5184</v>
      </c>
      <c r="C3844" s="218" t="s">
        <v>6053</v>
      </c>
      <c r="D3844" s="219">
        <v>1.0</v>
      </c>
      <c r="E3844" s="218">
        <v>300.0</v>
      </c>
      <c r="G3844" s="220">
        <v>43466.0</v>
      </c>
    </row>
    <row r="3845">
      <c r="A3845" s="217">
        <v>43466.818682488425</v>
      </c>
      <c r="B3845" s="218" t="s">
        <v>5092</v>
      </c>
      <c r="C3845" s="218" t="s">
        <v>7701</v>
      </c>
      <c r="D3845" s="219">
        <v>3.0</v>
      </c>
      <c r="E3845" s="218">
        <v>500.0</v>
      </c>
      <c r="G3845" s="220">
        <v>43466.0</v>
      </c>
    </row>
    <row r="3846">
      <c r="A3846" s="217">
        <v>43466.81964130787</v>
      </c>
      <c r="B3846" s="218" t="s">
        <v>5092</v>
      </c>
      <c r="C3846" s="218" t="s">
        <v>834</v>
      </c>
      <c r="D3846" s="219">
        <v>1.0</v>
      </c>
      <c r="E3846" s="218">
        <v>2490.0</v>
      </c>
      <c r="G3846" s="220">
        <v>43466.0</v>
      </c>
    </row>
    <row r="3847">
      <c r="A3847" s="217">
        <v>43466.820755162036</v>
      </c>
      <c r="B3847" s="218" t="s">
        <v>5092</v>
      </c>
      <c r="C3847" s="218" t="s">
        <v>7702</v>
      </c>
      <c r="D3847" s="219">
        <v>3.0</v>
      </c>
      <c r="E3847" s="218">
        <v>300.0</v>
      </c>
      <c r="G3847" s="220">
        <v>43466.0</v>
      </c>
    </row>
    <row r="3848">
      <c r="A3848" s="217">
        <v>43466.823157569444</v>
      </c>
      <c r="B3848" s="218" t="s">
        <v>5092</v>
      </c>
      <c r="C3848" s="218" t="s">
        <v>7703</v>
      </c>
      <c r="D3848" s="219">
        <v>1.0</v>
      </c>
      <c r="E3848" s="218">
        <v>500.0</v>
      </c>
      <c r="G3848" s="220">
        <v>43466.0</v>
      </c>
    </row>
    <row r="3849">
      <c r="A3849" s="217">
        <v>43466.8241158912</v>
      </c>
      <c r="B3849" s="218" t="s">
        <v>5092</v>
      </c>
      <c r="C3849" s="218" t="s">
        <v>7704</v>
      </c>
      <c r="D3849" s="219">
        <v>3.0</v>
      </c>
      <c r="E3849" s="218">
        <v>300.0</v>
      </c>
      <c r="G3849" s="220">
        <v>43466.0</v>
      </c>
    </row>
    <row r="3850">
      <c r="A3850" s="217">
        <v>43467.713848495376</v>
      </c>
      <c r="B3850" s="218" t="s">
        <v>5184</v>
      </c>
      <c r="C3850" s="218" t="s">
        <v>7705</v>
      </c>
      <c r="D3850" s="219">
        <v>1.0</v>
      </c>
      <c r="E3850" s="218">
        <v>300.0</v>
      </c>
      <c r="G3850" s="220">
        <v>43467.0</v>
      </c>
    </row>
    <row r="3851">
      <c r="A3851" s="217">
        <v>43467.71468414352</v>
      </c>
      <c r="B3851" s="218" t="s">
        <v>5184</v>
      </c>
      <c r="C3851" s="218" t="s">
        <v>5786</v>
      </c>
      <c r="D3851" s="219">
        <v>1.0</v>
      </c>
      <c r="E3851" s="218">
        <v>300.0</v>
      </c>
      <c r="G3851" s="220">
        <v>43467.0</v>
      </c>
    </row>
    <row r="3852">
      <c r="A3852" s="217">
        <v>43467.71580070602</v>
      </c>
      <c r="B3852" s="218" t="s">
        <v>5184</v>
      </c>
      <c r="C3852" s="218" t="s">
        <v>7704</v>
      </c>
      <c r="D3852" s="219">
        <v>1.0</v>
      </c>
      <c r="E3852" s="218">
        <v>300.0</v>
      </c>
      <c r="G3852" s="220">
        <v>43467.0</v>
      </c>
    </row>
    <row r="3853">
      <c r="A3853" s="217">
        <v>43467.716277314816</v>
      </c>
      <c r="B3853" s="218" t="s">
        <v>5184</v>
      </c>
      <c r="C3853" s="218" t="s">
        <v>5786</v>
      </c>
      <c r="D3853" s="219">
        <v>1.0</v>
      </c>
      <c r="E3853" s="218">
        <v>300.0</v>
      </c>
      <c r="G3853" s="220">
        <v>43467.0</v>
      </c>
    </row>
    <row r="3854">
      <c r="A3854" s="217">
        <v>43467.744683032404</v>
      </c>
      <c r="B3854" s="218" t="s">
        <v>5184</v>
      </c>
      <c r="C3854" s="218" t="s">
        <v>7704</v>
      </c>
      <c r="D3854" s="219">
        <v>1.0</v>
      </c>
      <c r="E3854" s="218">
        <v>300.0</v>
      </c>
      <c r="G3854" s="220">
        <v>43467.0</v>
      </c>
    </row>
    <row r="3855">
      <c r="A3855" s="217">
        <v>43467.78199898148</v>
      </c>
      <c r="B3855" s="218" t="s">
        <v>5184</v>
      </c>
      <c r="C3855" s="218" t="s">
        <v>7708</v>
      </c>
      <c r="D3855" s="219">
        <v>1.0</v>
      </c>
      <c r="E3855" s="218">
        <v>1100.0</v>
      </c>
      <c r="G3855" s="220">
        <v>43460.0</v>
      </c>
    </row>
    <row r="3856">
      <c r="A3856" s="217">
        <v>43468.40235377315</v>
      </c>
      <c r="B3856" s="218" t="s">
        <v>5092</v>
      </c>
      <c r="C3856" s="218" t="s">
        <v>932</v>
      </c>
      <c r="D3856" s="219">
        <v>1.0</v>
      </c>
      <c r="E3856" s="218">
        <v>400.0</v>
      </c>
      <c r="G3856" s="220">
        <v>43467.0</v>
      </c>
    </row>
    <row r="3857">
      <c r="A3857" s="239">
        <v>43466.0</v>
      </c>
      <c r="B3857" s="218" t="s">
        <v>5092</v>
      </c>
      <c r="C3857" s="218" t="s">
        <v>7710</v>
      </c>
      <c r="D3857" s="219">
        <v>1.0</v>
      </c>
      <c r="E3857" s="218">
        <v>1000.0</v>
      </c>
      <c r="G3857" s="220">
        <v>43467.0</v>
      </c>
    </row>
    <row r="3858">
      <c r="A3858" s="239">
        <v>43466.0</v>
      </c>
      <c r="B3858" s="218" t="s">
        <v>5092</v>
      </c>
      <c r="C3858" s="218" t="s">
        <v>7711</v>
      </c>
      <c r="D3858" s="238" t="s">
        <v>7659</v>
      </c>
      <c r="E3858" s="218">
        <v>1100.0</v>
      </c>
      <c r="G3858" s="220">
        <v>43467.0</v>
      </c>
    </row>
    <row r="3859">
      <c r="A3859" s="217">
        <v>43468.4092618287</v>
      </c>
      <c r="B3859" s="218" t="s">
        <v>5092</v>
      </c>
      <c r="C3859" s="218" t="s">
        <v>7712</v>
      </c>
      <c r="D3859" s="238" t="s">
        <v>7659</v>
      </c>
      <c r="E3859" s="218">
        <v>1100.0</v>
      </c>
      <c r="G3859" s="220">
        <v>43467.0</v>
      </c>
    </row>
    <row r="3860">
      <c r="A3860" s="217">
        <v>43468.43944829861</v>
      </c>
      <c r="B3860" s="218" t="s">
        <v>5092</v>
      </c>
      <c r="C3860" s="218" t="s">
        <v>7712</v>
      </c>
      <c r="D3860" s="238" t="s">
        <v>7659</v>
      </c>
      <c r="E3860" s="218">
        <v>1100.0</v>
      </c>
      <c r="G3860" s="220">
        <v>43467.0</v>
      </c>
    </row>
    <row r="3861">
      <c r="A3861" s="217">
        <v>43468.44031510416</v>
      </c>
      <c r="B3861" s="218" t="s">
        <v>5184</v>
      </c>
      <c r="C3861" s="218" t="s">
        <v>6053</v>
      </c>
      <c r="D3861" s="219">
        <v>1.0</v>
      </c>
      <c r="E3861" s="218">
        <v>300.0</v>
      </c>
      <c r="G3861" s="220">
        <v>43458.0</v>
      </c>
    </row>
    <row r="3862">
      <c r="A3862" s="217">
        <v>43468.44698862269</v>
      </c>
      <c r="B3862" s="218" t="s">
        <v>5184</v>
      </c>
      <c r="C3862" s="218" t="s">
        <v>6053</v>
      </c>
      <c r="D3862" s="238" t="s">
        <v>7659</v>
      </c>
      <c r="E3862" s="218">
        <v>150.0</v>
      </c>
      <c r="G3862" s="220">
        <v>43458.0</v>
      </c>
    </row>
    <row r="3863">
      <c r="A3863" s="217">
        <v>43468.44762936342</v>
      </c>
      <c r="B3863" s="218" t="s">
        <v>5184</v>
      </c>
      <c r="C3863" s="218" t="s">
        <v>5786</v>
      </c>
      <c r="D3863" s="219">
        <v>1.0</v>
      </c>
      <c r="E3863" s="218">
        <v>300.0</v>
      </c>
      <c r="G3863" s="220">
        <v>43458.0</v>
      </c>
    </row>
    <row r="3864">
      <c r="A3864" s="217">
        <v>43468.48393274305</v>
      </c>
      <c r="B3864" s="218" t="s">
        <v>5184</v>
      </c>
      <c r="C3864" s="218" t="s">
        <v>7714</v>
      </c>
      <c r="D3864" s="219">
        <v>1.0</v>
      </c>
      <c r="E3864" s="218">
        <v>900.0</v>
      </c>
      <c r="G3864" s="220">
        <v>43467.0</v>
      </c>
    </row>
    <row r="3865">
      <c r="A3865" s="217">
        <v>43468.48499704861</v>
      </c>
      <c r="B3865" s="218" t="s">
        <v>5184</v>
      </c>
      <c r="C3865" s="218" t="s">
        <v>5786</v>
      </c>
      <c r="D3865" s="219">
        <v>1.0</v>
      </c>
      <c r="E3865" s="218">
        <v>300.0</v>
      </c>
      <c r="G3865" s="220">
        <v>43467.0</v>
      </c>
    </row>
    <row r="3866">
      <c r="A3866" s="217">
        <v>43468.533280567135</v>
      </c>
      <c r="B3866" s="218" t="s">
        <v>5184</v>
      </c>
      <c r="C3866" s="218" t="s">
        <v>7710</v>
      </c>
      <c r="D3866" s="219">
        <v>1.0</v>
      </c>
      <c r="E3866" s="218">
        <v>1000.0</v>
      </c>
      <c r="G3866" s="220">
        <v>43467.0</v>
      </c>
    </row>
    <row r="3867">
      <c r="A3867" s="217">
        <v>43468.534534085644</v>
      </c>
      <c r="B3867" s="218" t="s">
        <v>5184</v>
      </c>
      <c r="C3867" s="218" t="s">
        <v>5818</v>
      </c>
      <c r="D3867" s="219">
        <v>1.0</v>
      </c>
      <c r="E3867" s="218">
        <v>300.0</v>
      </c>
      <c r="G3867" s="220">
        <v>43467.0</v>
      </c>
    </row>
    <row r="3868">
      <c r="A3868" s="217">
        <v>43468.5366096412</v>
      </c>
      <c r="B3868" s="218" t="s">
        <v>5184</v>
      </c>
      <c r="C3868" s="218" t="s">
        <v>5789</v>
      </c>
      <c r="D3868" s="219">
        <v>1.0</v>
      </c>
      <c r="E3868" s="218">
        <v>400.0</v>
      </c>
      <c r="G3868" s="220">
        <v>43468.0</v>
      </c>
    </row>
    <row r="3869">
      <c r="A3869" s="217">
        <v>43468.53900167824</v>
      </c>
      <c r="B3869" s="218" t="s">
        <v>5184</v>
      </c>
      <c r="C3869" s="218" t="s">
        <v>7718</v>
      </c>
      <c r="D3869" s="219">
        <v>1.0</v>
      </c>
      <c r="E3869" s="218">
        <v>300.0</v>
      </c>
      <c r="G3869" s="220">
        <v>43468.0</v>
      </c>
    </row>
    <row r="3870">
      <c r="A3870" s="217">
        <v>43468.543159699075</v>
      </c>
      <c r="B3870" s="218" t="s">
        <v>5184</v>
      </c>
      <c r="C3870" s="218" t="s">
        <v>7718</v>
      </c>
      <c r="D3870" s="219">
        <v>1.0</v>
      </c>
      <c r="E3870" s="218">
        <v>300.0</v>
      </c>
      <c r="G3870" s="220">
        <v>43467.0</v>
      </c>
    </row>
    <row r="3871">
      <c r="A3871" s="217">
        <v>43468.543860289356</v>
      </c>
      <c r="B3871" s="218" t="s">
        <v>5184</v>
      </c>
      <c r="C3871" s="218" t="s">
        <v>5786</v>
      </c>
      <c r="D3871" s="219">
        <v>1.0</v>
      </c>
      <c r="E3871" s="218">
        <v>300.0</v>
      </c>
      <c r="G3871" s="220">
        <v>43467.0</v>
      </c>
    </row>
    <row r="3872">
      <c r="A3872" s="217">
        <v>43468.54750388888</v>
      </c>
      <c r="B3872" s="218" t="s">
        <v>5184</v>
      </c>
      <c r="C3872" s="218" t="s">
        <v>7720</v>
      </c>
      <c r="D3872" s="219">
        <v>1.0</v>
      </c>
      <c r="E3872" s="218">
        <v>400.0</v>
      </c>
      <c r="G3872" s="220">
        <v>43468.0</v>
      </c>
    </row>
    <row r="3873">
      <c r="A3873" s="217">
        <v>43468.547968495375</v>
      </c>
      <c r="B3873" s="218" t="s">
        <v>5184</v>
      </c>
      <c r="C3873" s="218" t="s">
        <v>5786</v>
      </c>
      <c r="D3873" s="219">
        <v>1.0</v>
      </c>
      <c r="E3873" s="218">
        <v>300.0</v>
      </c>
      <c r="G3873" s="220">
        <v>43468.0</v>
      </c>
    </row>
    <row r="3874" ht="15.0" customHeight="1">
      <c r="A3874" s="217">
        <v>43468.57971559028</v>
      </c>
      <c r="B3874" s="218" t="s">
        <v>5184</v>
      </c>
      <c r="C3874" s="218" t="s">
        <v>7720</v>
      </c>
      <c r="D3874" s="219">
        <v>1.0</v>
      </c>
      <c r="E3874" s="218">
        <v>400.0</v>
      </c>
      <c r="G3874" s="220">
        <v>43462.0</v>
      </c>
    </row>
    <row r="3875">
      <c r="A3875" s="217">
        <v>43468.63498577546</v>
      </c>
      <c r="B3875" s="218" t="s">
        <v>5184</v>
      </c>
      <c r="C3875" s="218" t="s">
        <v>244</v>
      </c>
      <c r="D3875" s="238" t="s">
        <v>7659</v>
      </c>
      <c r="E3875" s="218">
        <v>200.0</v>
      </c>
      <c r="G3875" s="220">
        <v>43460.0</v>
      </c>
    </row>
    <row r="3876">
      <c r="A3876" s="217">
        <v>43468.7523162963</v>
      </c>
      <c r="B3876" s="218" t="s">
        <v>5184</v>
      </c>
      <c r="C3876" s="218" t="s">
        <v>834</v>
      </c>
      <c r="D3876" s="219">
        <v>1.0</v>
      </c>
      <c r="E3876" s="218">
        <v>2490.0</v>
      </c>
      <c r="G3876" s="220">
        <v>43467.0</v>
      </c>
    </row>
    <row r="3877">
      <c r="A3877" s="217">
        <v>43468.75331236111</v>
      </c>
      <c r="B3877" s="218" t="s">
        <v>5184</v>
      </c>
      <c r="C3877" s="218" t="s">
        <v>5845</v>
      </c>
      <c r="D3877" s="219">
        <v>1.0</v>
      </c>
      <c r="E3877" s="218">
        <v>500.0</v>
      </c>
      <c r="G3877" s="220">
        <v>43467.0</v>
      </c>
    </row>
    <row r="3878">
      <c r="A3878" s="217">
        <v>43468.75435383102</v>
      </c>
      <c r="B3878" s="218" t="s">
        <v>5184</v>
      </c>
      <c r="C3878" s="218" t="s">
        <v>5786</v>
      </c>
      <c r="D3878" s="219">
        <v>1.0</v>
      </c>
      <c r="E3878" s="218">
        <v>300.0</v>
      </c>
      <c r="G3878" s="220">
        <v>43468.0</v>
      </c>
    </row>
    <row r="3879">
      <c r="A3879" s="217">
        <v>43469.454745428244</v>
      </c>
      <c r="B3879" s="218" t="s">
        <v>5092</v>
      </c>
      <c r="C3879" s="218" t="s">
        <v>6053</v>
      </c>
      <c r="D3879" s="219">
        <v>1.5</v>
      </c>
      <c r="E3879" s="218">
        <v>300.0</v>
      </c>
      <c r="G3879" s="220">
        <v>43469.0</v>
      </c>
    </row>
    <row r="3880">
      <c r="A3880" s="217">
        <v>43469.45608725694</v>
      </c>
      <c r="B3880" s="218" t="s">
        <v>5092</v>
      </c>
      <c r="C3880" s="218" t="s">
        <v>7726</v>
      </c>
      <c r="D3880" s="219">
        <v>1.0</v>
      </c>
      <c r="E3880" s="218">
        <v>500.0</v>
      </c>
      <c r="G3880" s="220">
        <v>43468.0</v>
      </c>
    </row>
    <row r="3881">
      <c r="A3881" s="217">
        <v>43469.45719480324</v>
      </c>
      <c r="B3881" s="218" t="s">
        <v>5092</v>
      </c>
      <c r="C3881" s="218" t="s">
        <v>6053</v>
      </c>
      <c r="D3881" s="219">
        <v>5.0</v>
      </c>
      <c r="E3881" s="218">
        <v>300.0</v>
      </c>
      <c r="G3881" s="220">
        <v>43468.0</v>
      </c>
    </row>
    <row r="3882">
      <c r="A3882" s="217">
        <v>43469.45895163194</v>
      </c>
      <c r="B3882" s="218" t="s">
        <v>5092</v>
      </c>
      <c r="C3882" s="218" t="s">
        <v>7727</v>
      </c>
      <c r="D3882" s="219">
        <v>1.0</v>
      </c>
      <c r="E3882" s="218">
        <v>400.0</v>
      </c>
      <c r="G3882" s="220">
        <v>43468.0</v>
      </c>
    </row>
    <row r="3883">
      <c r="A3883" s="217">
        <v>43469.45966828703</v>
      </c>
      <c r="B3883" s="218" t="s">
        <v>5092</v>
      </c>
      <c r="C3883" s="218" t="s">
        <v>7727</v>
      </c>
      <c r="D3883" s="219">
        <v>1.0</v>
      </c>
      <c r="E3883" s="218">
        <v>400.0</v>
      </c>
      <c r="G3883" s="220">
        <v>43468.0</v>
      </c>
    </row>
    <row r="3884">
      <c r="A3884" s="217">
        <v>43469.46042614583</v>
      </c>
      <c r="B3884" s="218" t="s">
        <v>5092</v>
      </c>
      <c r="C3884" s="218" t="s">
        <v>7379</v>
      </c>
      <c r="D3884" s="238" t="s">
        <v>7659</v>
      </c>
      <c r="E3884" s="218">
        <v>200.0</v>
      </c>
      <c r="G3884" s="220">
        <v>43468.0</v>
      </c>
    </row>
    <row r="3885">
      <c r="A3885" s="217">
        <v>43469.462805497686</v>
      </c>
      <c r="B3885" s="218" t="s">
        <v>5092</v>
      </c>
      <c r="C3885" s="218" t="s">
        <v>6053</v>
      </c>
      <c r="D3885" s="219">
        <v>1.0</v>
      </c>
      <c r="E3885" s="218">
        <v>300.0</v>
      </c>
      <c r="G3885" s="220">
        <v>43468.0</v>
      </c>
    </row>
    <row r="3886">
      <c r="A3886" s="217">
        <v>43469.568070706024</v>
      </c>
      <c r="B3886" s="218" t="s">
        <v>5184</v>
      </c>
      <c r="C3886" s="218" t="s">
        <v>5786</v>
      </c>
      <c r="D3886" s="219">
        <v>1.0</v>
      </c>
      <c r="E3886" s="218">
        <v>300.0</v>
      </c>
      <c r="G3886" s="220">
        <v>43469.0</v>
      </c>
    </row>
    <row r="3887">
      <c r="A3887" s="217">
        <v>43469.56872215278</v>
      </c>
      <c r="B3887" s="218" t="s">
        <v>5184</v>
      </c>
      <c r="C3887" s="218" t="s">
        <v>6053</v>
      </c>
      <c r="D3887" s="219">
        <v>1.0</v>
      </c>
      <c r="E3887" s="218">
        <v>300.0</v>
      </c>
      <c r="G3887" s="220">
        <v>43469.0</v>
      </c>
    </row>
    <row r="3888">
      <c r="A3888" s="217">
        <v>43469.56953270834</v>
      </c>
      <c r="B3888" s="218" t="s">
        <v>5184</v>
      </c>
      <c r="C3888" s="218" t="s">
        <v>7379</v>
      </c>
      <c r="D3888" s="219">
        <v>1.0</v>
      </c>
      <c r="E3888" s="218">
        <v>400.0</v>
      </c>
      <c r="G3888" s="220">
        <v>43469.0</v>
      </c>
    </row>
    <row r="3889">
      <c r="A3889" s="217">
        <v>43469.570778611116</v>
      </c>
      <c r="B3889" s="218" t="s">
        <v>5184</v>
      </c>
      <c r="C3889" s="218" t="s">
        <v>5782</v>
      </c>
      <c r="D3889" s="219">
        <v>1.0</v>
      </c>
      <c r="E3889" s="218">
        <v>400.0</v>
      </c>
      <c r="G3889" s="220">
        <v>43469.0</v>
      </c>
    </row>
    <row r="3890">
      <c r="A3890" s="217">
        <v>43469.57201548611</v>
      </c>
      <c r="B3890" s="218" t="s">
        <v>5184</v>
      </c>
      <c r="C3890" s="218" t="s">
        <v>6036</v>
      </c>
      <c r="D3890" s="219">
        <v>1.0</v>
      </c>
      <c r="E3890" s="218">
        <v>400.0</v>
      </c>
      <c r="G3890" s="220">
        <v>43469.0</v>
      </c>
    </row>
    <row r="3891">
      <c r="A3891" s="217">
        <v>43469.57287505787</v>
      </c>
      <c r="B3891" s="218" t="s">
        <v>5184</v>
      </c>
      <c r="C3891" s="218" t="s">
        <v>5782</v>
      </c>
      <c r="D3891" s="219">
        <v>1.0</v>
      </c>
      <c r="E3891" s="218">
        <v>400.0</v>
      </c>
      <c r="G3891" s="220">
        <v>43469.0</v>
      </c>
    </row>
    <row r="3892">
      <c r="A3892" s="217">
        <v>43469.57405851852</v>
      </c>
      <c r="B3892" s="218" t="s">
        <v>5184</v>
      </c>
      <c r="C3892" s="218" t="s">
        <v>7421</v>
      </c>
      <c r="D3892" s="238" t="s">
        <v>7659</v>
      </c>
      <c r="E3892" s="218">
        <v>250.0</v>
      </c>
      <c r="G3892" s="220">
        <v>43469.0</v>
      </c>
    </row>
    <row r="3893">
      <c r="A3893" s="217">
        <v>43469.5751797338</v>
      </c>
      <c r="B3893" s="218" t="s">
        <v>5184</v>
      </c>
      <c r="C3893" s="218" t="s">
        <v>284</v>
      </c>
      <c r="D3893" s="219">
        <v>1.0</v>
      </c>
      <c r="E3893" s="218">
        <v>500.0</v>
      </c>
      <c r="G3893" s="220">
        <v>43468.0</v>
      </c>
    </row>
    <row r="3894">
      <c r="A3894" s="217">
        <v>43469.577609444445</v>
      </c>
      <c r="B3894" s="218" t="s">
        <v>5184</v>
      </c>
      <c r="C3894" s="218" t="s">
        <v>6053</v>
      </c>
      <c r="D3894" s="219">
        <v>1.0</v>
      </c>
      <c r="E3894" s="218">
        <v>300.0</v>
      </c>
      <c r="G3894" s="220">
        <v>43468.0</v>
      </c>
    </row>
    <row r="3895">
      <c r="A3895" s="217">
        <v>43469.60954348379</v>
      </c>
      <c r="B3895" s="218" t="s">
        <v>5184</v>
      </c>
      <c r="C3895" s="218" t="s">
        <v>5789</v>
      </c>
      <c r="D3895" s="219">
        <v>1.0</v>
      </c>
      <c r="E3895" s="218">
        <v>400.0</v>
      </c>
      <c r="G3895" s="220">
        <v>43469.0</v>
      </c>
    </row>
    <row r="3896">
      <c r="A3896" s="217">
        <v>43469.6100721875</v>
      </c>
      <c r="B3896" s="218" t="s">
        <v>5184</v>
      </c>
      <c r="C3896" s="218" t="s">
        <v>6053</v>
      </c>
      <c r="D3896" s="219">
        <v>1.0</v>
      </c>
      <c r="E3896" s="218">
        <v>300.0</v>
      </c>
      <c r="G3896" s="220">
        <v>43469.0</v>
      </c>
    </row>
    <row r="3897">
      <c r="A3897" s="217">
        <v>43469.61140731482</v>
      </c>
      <c r="B3897" s="218" t="s">
        <v>5184</v>
      </c>
      <c r="C3897" s="218" t="s">
        <v>7408</v>
      </c>
      <c r="D3897" s="219">
        <v>1.0</v>
      </c>
      <c r="E3897" s="218">
        <v>400.0</v>
      </c>
      <c r="G3897" s="220">
        <v>43469.0</v>
      </c>
    </row>
    <row r="3898">
      <c r="A3898" s="217">
        <v>43469.79257416667</v>
      </c>
      <c r="B3898" s="218" t="s">
        <v>5092</v>
      </c>
      <c r="C3898" s="218" t="s">
        <v>7421</v>
      </c>
      <c r="D3898" s="238" t="s">
        <v>7659</v>
      </c>
      <c r="E3898" s="218">
        <v>250.0</v>
      </c>
      <c r="G3898" s="220">
        <v>43469.0</v>
      </c>
    </row>
    <row r="3899">
      <c r="A3899" s="217">
        <v>43469.794419513884</v>
      </c>
      <c r="B3899" s="218" t="s">
        <v>5092</v>
      </c>
      <c r="C3899" s="218" t="s">
        <v>7379</v>
      </c>
      <c r="D3899" s="238" t="s">
        <v>7659</v>
      </c>
      <c r="E3899" s="218">
        <v>200.0</v>
      </c>
      <c r="G3899" s="220">
        <v>43469.0</v>
      </c>
    </row>
    <row r="3900">
      <c r="A3900" s="217">
        <v>43469.795613124996</v>
      </c>
      <c r="B3900" s="218" t="s">
        <v>5092</v>
      </c>
      <c r="C3900" s="218" t="s">
        <v>7379</v>
      </c>
      <c r="D3900" s="238" t="s">
        <v>7659</v>
      </c>
      <c r="E3900" s="218">
        <v>200.0</v>
      </c>
      <c r="G3900" s="220">
        <v>43469.0</v>
      </c>
    </row>
    <row r="3901">
      <c r="A3901" s="217">
        <v>43469.79637476851</v>
      </c>
      <c r="B3901" s="218" t="s">
        <v>5092</v>
      </c>
      <c r="C3901" s="218" t="s">
        <v>284</v>
      </c>
      <c r="D3901" s="219">
        <v>1.0</v>
      </c>
      <c r="E3901" s="218">
        <v>500.0</v>
      </c>
      <c r="G3901" s="220">
        <v>43469.0</v>
      </c>
    </row>
    <row r="3902">
      <c r="A3902" s="217">
        <v>43469.79717416667</v>
      </c>
      <c r="B3902" s="218" t="s">
        <v>5092</v>
      </c>
      <c r="C3902" s="218" t="s">
        <v>6036</v>
      </c>
      <c r="D3902" s="219">
        <v>1.5</v>
      </c>
      <c r="E3902" s="218">
        <v>400.0</v>
      </c>
      <c r="G3902" s="220">
        <v>43469.0</v>
      </c>
    </row>
    <row r="3903">
      <c r="A3903" s="217">
        <v>43469.79809361111</v>
      </c>
      <c r="B3903" s="218" t="s">
        <v>5092</v>
      </c>
      <c r="C3903" s="218" t="s">
        <v>7710</v>
      </c>
      <c r="D3903" s="219">
        <v>1.0</v>
      </c>
      <c r="E3903" s="218">
        <v>1000.0</v>
      </c>
      <c r="G3903" s="220">
        <v>43469.0</v>
      </c>
    </row>
    <row r="3904">
      <c r="A3904" s="217">
        <v>43469.822991354165</v>
      </c>
      <c r="B3904" s="218" t="s">
        <v>5184</v>
      </c>
      <c r="C3904" s="218" t="s">
        <v>5786</v>
      </c>
      <c r="D3904" s="219">
        <v>1.0</v>
      </c>
      <c r="E3904" s="218">
        <v>300.0</v>
      </c>
      <c r="G3904" s="220">
        <v>43469.0</v>
      </c>
    </row>
    <row r="3905">
      <c r="A3905" s="217">
        <v>43469.82351619213</v>
      </c>
      <c r="B3905" s="218" t="s">
        <v>5184</v>
      </c>
      <c r="C3905" s="218" t="s">
        <v>6053</v>
      </c>
      <c r="D3905" s="219">
        <v>1.0</v>
      </c>
      <c r="E3905" s="218">
        <v>300.0</v>
      </c>
      <c r="G3905" s="220">
        <v>43469.0</v>
      </c>
    </row>
    <row r="3906">
      <c r="A3906" s="217">
        <v>43470.646808668986</v>
      </c>
      <c r="B3906" s="218" t="s">
        <v>5184</v>
      </c>
      <c r="C3906" s="218" t="s">
        <v>5786</v>
      </c>
      <c r="D3906" s="219">
        <v>1.0</v>
      </c>
      <c r="E3906" s="218">
        <v>300.0</v>
      </c>
      <c r="G3906" s="220">
        <v>43470.0</v>
      </c>
    </row>
    <row r="3907">
      <c r="A3907" s="217">
        <v>43470.65116734954</v>
      </c>
      <c r="B3907" s="218" t="s">
        <v>5184</v>
      </c>
      <c r="C3907" s="218" t="s">
        <v>6053</v>
      </c>
      <c r="D3907" s="219">
        <v>1.0</v>
      </c>
      <c r="E3907" s="218">
        <v>300.0</v>
      </c>
      <c r="G3907" s="220">
        <v>43470.0</v>
      </c>
    </row>
    <row r="3908">
      <c r="A3908" s="217">
        <v>43470.65472549769</v>
      </c>
      <c r="B3908" s="218" t="s">
        <v>5184</v>
      </c>
      <c r="C3908" s="218" t="s">
        <v>6053</v>
      </c>
      <c r="D3908" s="238" t="s">
        <v>7659</v>
      </c>
      <c r="E3908" s="218">
        <v>200.0</v>
      </c>
      <c r="G3908" s="220">
        <v>43469.0</v>
      </c>
    </row>
    <row r="3909">
      <c r="A3909" s="217">
        <v>43470.82673053241</v>
      </c>
      <c r="B3909" s="218" t="s">
        <v>5184</v>
      </c>
      <c r="C3909" s="218" t="s">
        <v>6053</v>
      </c>
      <c r="D3909" s="238" t="s">
        <v>7659</v>
      </c>
      <c r="E3909" s="218">
        <v>200.0</v>
      </c>
      <c r="G3909" s="220">
        <v>43469.0</v>
      </c>
    </row>
    <row r="3910">
      <c r="A3910" s="217">
        <v>43470.83045375</v>
      </c>
      <c r="B3910" s="218" t="s">
        <v>5092</v>
      </c>
      <c r="C3910" s="218" t="s">
        <v>7736</v>
      </c>
      <c r="D3910" s="219">
        <v>1.5</v>
      </c>
      <c r="E3910" s="218">
        <v>500.0</v>
      </c>
      <c r="G3910" s="220">
        <v>43470.0</v>
      </c>
    </row>
    <row r="3911">
      <c r="A3911" s="217">
        <v>43470.83105957176</v>
      </c>
      <c r="B3911" s="218" t="s">
        <v>5092</v>
      </c>
      <c r="C3911" s="218" t="s">
        <v>6053</v>
      </c>
      <c r="D3911" s="219">
        <v>3.0</v>
      </c>
      <c r="E3911" s="218">
        <v>300.0</v>
      </c>
      <c r="G3911" s="220">
        <v>43470.0</v>
      </c>
    </row>
    <row r="3912">
      <c r="A3912" s="217">
        <v>43470.8330525</v>
      </c>
      <c r="B3912" s="218" t="s">
        <v>5092</v>
      </c>
      <c r="C3912" s="218" t="s">
        <v>284</v>
      </c>
      <c r="D3912" s="219">
        <v>1.0</v>
      </c>
      <c r="E3912" s="218">
        <v>500.0</v>
      </c>
      <c r="G3912" s="220">
        <v>43470.0</v>
      </c>
    </row>
    <row r="3913">
      <c r="A3913" s="217">
        <v>43470.834729953705</v>
      </c>
      <c r="B3913" s="218" t="s">
        <v>5092</v>
      </c>
      <c r="C3913" s="218" t="s">
        <v>6053</v>
      </c>
      <c r="D3913" s="219">
        <v>3.5</v>
      </c>
      <c r="E3913" s="218">
        <v>300.0</v>
      </c>
      <c r="G3913" s="220">
        <v>43470.0</v>
      </c>
    </row>
    <row r="3914">
      <c r="A3914" s="217">
        <v>43470.83530590278</v>
      </c>
      <c r="B3914" s="218" t="s">
        <v>5092</v>
      </c>
      <c r="C3914" s="218" t="s">
        <v>6053</v>
      </c>
      <c r="D3914" s="219">
        <v>2.5</v>
      </c>
      <c r="E3914" s="218">
        <v>300.0</v>
      </c>
      <c r="G3914" s="220">
        <v>43470.0</v>
      </c>
    </row>
    <row r="3915">
      <c r="A3915" s="217">
        <v>43470.83773680555</v>
      </c>
      <c r="B3915" s="218" t="s">
        <v>5092</v>
      </c>
      <c r="C3915" s="218" t="s">
        <v>847</v>
      </c>
      <c r="D3915" s="219">
        <v>1.0</v>
      </c>
      <c r="E3915" s="218">
        <v>1400.0</v>
      </c>
      <c r="G3915" s="220">
        <v>43470.0</v>
      </c>
    </row>
    <row r="3916">
      <c r="A3916" s="217">
        <v>43470.839194375</v>
      </c>
      <c r="B3916" s="218" t="s">
        <v>5184</v>
      </c>
      <c r="C3916" s="218" t="s">
        <v>5804</v>
      </c>
      <c r="D3916" s="219">
        <v>1.0</v>
      </c>
      <c r="E3916" s="218">
        <v>300.0</v>
      </c>
      <c r="G3916" s="220">
        <v>43470.0</v>
      </c>
    </row>
    <row r="3917">
      <c r="A3917" s="217">
        <v>43470.83964614583</v>
      </c>
      <c r="B3917" s="218" t="s">
        <v>5184</v>
      </c>
      <c r="C3917" s="218" t="s">
        <v>6053</v>
      </c>
      <c r="D3917" s="219">
        <v>1.0</v>
      </c>
      <c r="E3917" s="218">
        <v>300.0</v>
      </c>
      <c r="G3917" s="220">
        <v>43470.0</v>
      </c>
    </row>
    <row r="3918">
      <c r="A3918" s="217">
        <v>43470.84056739583</v>
      </c>
      <c r="B3918" s="218" t="s">
        <v>5184</v>
      </c>
      <c r="C3918" s="218" t="s">
        <v>7738</v>
      </c>
      <c r="D3918" s="219">
        <v>1.0</v>
      </c>
      <c r="E3918" s="218">
        <v>600.0</v>
      </c>
      <c r="G3918" s="220">
        <v>43469.0</v>
      </c>
    </row>
    <row r="3919">
      <c r="A3919" s="217">
        <v>43470.84146236111</v>
      </c>
      <c r="B3919" s="218" t="s">
        <v>5184</v>
      </c>
      <c r="C3919" s="218" t="s">
        <v>7740</v>
      </c>
      <c r="D3919" s="219">
        <v>1.0</v>
      </c>
      <c r="E3919" s="218">
        <v>500.0</v>
      </c>
      <c r="G3919" s="220">
        <v>43469.0</v>
      </c>
    </row>
    <row r="3920">
      <c r="A3920" s="217">
        <v>43470.84209748842</v>
      </c>
      <c r="B3920" s="218" t="s">
        <v>5184</v>
      </c>
      <c r="C3920" s="218" t="s">
        <v>284</v>
      </c>
      <c r="D3920" s="219">
        <v>1.0</v>
      </c>
      <c r="E3920" s="218">
        <v>500.0</v>
      </c>
      <c r="G3920" s="220">
        <v>43469.0</v>
      </c>
    </row>
    <row r="3921">
      <c r="A3921" s="217">
        <v>43470.84404447916</v>
      </c>
      <c r="B3921" s="218" t="s">
        <v>5184</v>
      </c>
      <c r="C3921" s="218" t="s">
        <v>5786</v>
      </c>
      <c r="D3921" s="219">
        <v>1.0</v>
      </c>
      <c r="E3921" s="218">
        <v>300.0</v>
      </c>
      <c r="G3921" s="220">
        <v>43470.0</v>
      </c>
    </row>
    <row r="3922">
      <c r="A3922" s="217">
        <v>43470.844630266205</v>
      </c>
      <c r="B3922" s="218" t="s">
        <v>5184</v>
      </c>
      <c r="C3922" s="218" t="s">
        <v>6053</v>
      </c>
      <c r="D3922" s="219">
        <v>1.0</v>
      </c>
      <c r="E3922" s="218">
        <v>300.0</v>
      </c>
      <c r="G3922" s="220">
        <v>43470.0</v>
      </c>
    </row>
    <row r="3923">
      <c r="A3923" s="217">
        <v>43471.606080694444</v>
      </c>
      <c r="B3923" s="218" t="s">
        <v>5184</v>
      </c>
      <c r="C3923" s="218" t="s">
        <v>5786</v>
      </c>
      <c r="D3923" s="219">
        <v>1.0</v>
      </c>
      <c r="E3923" s="218">
        <v>300.0</v>
      </c>
      <c r="G3923" s="220">
        <v>43463.0</v>
      </c>
    </row>
    <row r="3924">
      <c r="A3924" s="217">
        <v>43471.48316787037</v>
      </c>
      <c r="B3924" s="218" t="s">
        <v>5184</v>
      </c>
      <c r="C3924" s="218" t="s">
        <v>5786</v>
      </c>
      <c r="D3924" s="219">
        <v>1.0</v>
      </c>
      <c r="E3924" s="218">
        <v>300.0</v>
      </c>
      <c r="G3924" s="220">
        <v>43463.0</v>
      </c>
    </row>
    <row r="3925">
      <c r="A3925" s="217">
        <v>43472.54195358796</v>
      </c>
      <c r="B3925" s="218" t="s">
        <v>5184</v>
      </c>
      <c r="C3925" s="218" t="s">
        <v>7746</v>
      </c>
      <c r="D3925" s="219">
        <v>1.0</v>
      </c>
      <c r="E3925" s="218">
        <v>400.0</v>
      </c>
      <c r="G3925" s="220">
        <v>43472.0</v>
      </c>
    </row>
    <row r="3926">
      <c r="A3926" s="217">
        <v>43472.54312018519</v>
      </c>
      <c r="B3926" s="218" t="s">
        <v>5184</v>
      </c>
      <c r="C3926" s="218" t="s">
        <v>6053</v>
      </c>
      <c r="D3926" s="219">
        <v>1.0</v>
      </c>
      <c r="E3926" s="218">
        <v>300.0</v>
      </c>
      <c r="G3926" s="220">
        <v>43472.0</v>
      </c>
    </row>
    <row r="3927">
      <c r="A3927" s="217">
        <v>43472.712829641205</v>
      </c>
      <c r="B3927" s="218" t="s">
        <v>5184</v>
      </c>
      <c r="C3927" s="218" t="s">
        <v>7746</v>
      </c>
      <c r="D3927" s="219">
        <v>1.0</v>
      </c>
      <c r="E3927" s="218">
        <v>400.0</v>
      </c>
      <c r="G3927" s="220">
        <v>43472.0</v>
      </c>
    </row>
    <row r="3928">
      <c r="A3928" s="217">
        <v>43472.713900821764</v>
      </c>
      <c r="B3928" s="218" t="s">
        <v>5184</v>
      </c>
      <c r="C3928" s="218" t="s">
        <v>6053</v>
      </c>
      <c r="D3928" s="219">
        <v>1.0</v>
      </c>
      <c r="E3928" s="218">
        <v>300.0</v>
      </c>
      <c r="G3928" s="220">
        <v>43472.0</v>
      </c>
    </row>
    <row r="3929">
      <c r="A3929" s="217">
        <v>43473.4133528588</v>
      </c>
      <c r="B3929" s="218" t="s">
        <v>5092</v>
      </c>
      <c r="C3929" s="218" t="s">
        <v>932</v>
      </c>
      <c r="D3929" s="219">
        <v>40.0</v>
      </c>
      <c r="E3929" s="218">
        <v>300.0</v>
      </c>
      <c r="G3929" s="220">
        <v>43470.0</v>
      </c>
    </row>
    <row r="3930">
      <c r="A3930" s="217">
        <v>43473.41406865741</v>
      </c>
      <c r="B3930" s="218" t="s">
        <v>5092</v>
      </c>
      <c r="C3930" s="218" t="s">
        <v>932</v>
      </c>
      <c r="D3930" s="219">
        <v>20.0</v>
      </c>
      <c r="E3930" s="218">
        <v>300.0</v>
      </c>
      <c r="G3930" s="220">
        <v>43470.0</v>
      </c>
    </row>
    <row r="3931">
      <c r="A3931" s="217">
        <v>43473.41683217592</v>
      </c>
      <c r="B3931" s="218" t="s">
        <v>5092</v>
      </c>
      <c r="C3931" s="218" t="s">
        <v>7751</v>
      </c>
      <c r="D3931" s="219">
        <v>4.0</v>
      </c>
      <c r="E3931" s="218">
        <v>2400.0</v>
      </c>
      <c r="G3931" s="220">
        <v>43470.0</v>
      </c>
    </row>
    <row r="3932">
      <c r="A3932" s="217">
        <v>43473.487899872685</v>
      </c>
      <c r="B3932" s="218" t="s">
        <v>5184</v>
      </c>
      <c r="C3932" s="218" t="s">
        <v>6053</v>
      </c>
      <c r="D3932" s="219" t="s">
        <v>7547</v>
      </c>
      <c r="E3932" s="218">
        <v>150.0</v>
      </c>
      <c r="G3932" s="220">
        <v>43470.0</v>
      </c>
    </row>
    <row r="3933">
      <c r="A3933" s="217">
        <v>43473.56719328703</v>
      </c>
      <c r="B3933" s="218" t="s">
        <v>5184</v>
      </c>
      <c r="C3933" s="218" t="s">
        <v>5789</v>
      </c>
      <c r="D3933" s="219">
        <v>1.0</v>
      </c>
      <c r="E3933" s="218">
        <v>400.0</v>
      </c>
      <c r="G3933" s="220">
        <v>43473.0</v>
      </c>
    </row>
    <row r="3934">
      <c r="A3934" s="217">
        <v>43473.56905021991</v>
      </c>
      <c r="B3934" s="218" t="s">
        <v>5184</v>
      </c>
      <c r="C3934" s="218" t="s">
        <v>7312</v>
      </c>
      <c r="D3934" s="219">
        <v>1.0</v>
      </c>
      <c r="E3934" s="218">
        <v>600.0</v>
      </c>
      <c r="G3934" s="220">
        <v>43473.0</v>
      </c>
    </row>
    <row r="3935">
      <c r="A3935" s="217">
        <v>43473.57469214121</v>
      </c>
      <c r="B3935" s="218" t="s">
        <v>5184</v>
      </c>
      <c r="C3935" s="218" t="s">
        <v>5976</v>
      </c>
      <c r="D3935" s="219">
        <v>1.0</v>
      </c>
      <c r="E3935" s="218">
        <v>300.0</v>
      </c>
      <c r="G3935" s="220">
        <v>43473.0</v>
      </c>
    </row>
    <row r="3936">
      <c r="A3936" s="217">
        <v>43473.57904556713</v>
      </c>
      <c r="B3936" s="218" t="s">
        <v>5184</v>
      </c>
      <c r="C3936" s="218" t="s">
        <v>7754</v>
      </c>
      <c r="D3936" s="219">
        <v>1.0</v>
      </c>
      <c r="E3936" s="218">
        <v>600.0</v>
      </c>
      <c r="G3936" s="220">
        <v>43473.0</v>
      </c>
    </row>
    <row r="3937">
      <c r="A3937" s="217">
        <v>43473.58154451389</v>
      </c>
      <c r="B3937" s="218" t="s">
        <v>5184</v>
      </c>
      <c r="C3937" s="218" t="s">
        <v>5782</v>
      </c>
      <c r="D3937" s="219">
        <v>1.0</v>
      </c>
      <c r="E3937" s="218">
        <v>500.0</v>
      </c>
      <c r="G3937" s="220">
        <v>43473.0</v>
      </c>
    </row>
    <row r="3938">
      <c r="A3938" s="217">
        <v>43473.58402483797</v>
      </c>
      <c r="B3938" s="218" t="s">
        <v>5184</v>
      </c>
      <c r="C3938" s="218" t="s">
        <v>7312</v>
      </c>
      <c r="D3938" s="219">
        <v>1.0</v>
      </c>
      <c r="E3938" s="218">
        <v>600.0</v>
      </c>
      <c r="G3938" s="220">
        <v>43473.0</v>
      </c>
    </row>
    <row r="3939">
      <c r="A3939" s="217">
        <v>43473.59402626158</v>
      </c>
      <c r="B3939" s="218" t="s">
        <v>5184</v>
      </c>
      <c r="C3939" s="218" t="s">
        <v>6127</v>
      </c>
      <c r="D3939" s="219">
        <v>1.0</v>
      </c>
      <c r="E3939" s="218">
        <v>1600.0</v>
      </c>
      <c r="G3939" s="220">
        <v>43473.0</v>
      </c>
    </row>
    <row r="3940">
      <c r="A3940" s="217">
        <v>43473.59482258101</v>
      </c>
      <c r="B3940" s="218" t="s">
        <v>5184</v>
      </c>
      <c r="C3940" s="218" t="s">
        <v>284</v>
      </c>
      <c r="D3940" s="219">
        <v>1.0</v>
      </c>
      <c r="E3940" s="218">
        <v>400.0</v>
      </c>
      <c r="G3940" s="220">
        <v>43473.0</v>
      </c>
    </row>
    <row r="3941">
      <c r="A3941" s="217">
        <v>43473.748892187505</v>
      </c>
      <c r="B3941" s="218" t="s">
        <v>5092</v>
      </c>
      <c r="C3941" s="218" t="s">
        <v>6053</v>
      </c>
      <c r="D3941" s="219">
        <v>1.0</v>
      </c>
      <c r="E3941" s="218">
        <v>300.0</v>
      </c>
      <c r="G3941" s="220">
        <v>43473.0</v>
      </c>
    </row>
    <row r="3942">
      <c r="A3942" s="217">
        <v>43473.749510740745</v>
      </c>
      <c r="B3942" s="218" t="s">
        <v>5092</v>
      </c>
      <c r="C3942" s="218" t="s">
        <v>6053</v>
      </c>
      <c r="D3942" s="219">
        <v>1.0</v>
      </c>
      <c r="E3942" s="218">
        <v>300.0</v>
      </c>
      <c r="G3942" s="220">
        <v>43473.0</v>
      </c>
    </row>
    <row r="3943">
      <c r="A3943" s="217">
        <v>43473.74999020834</v>
      </c>
      <c r="B3943" s="218" t="s">
        <v>5092</v>
      </c>
      <c r="C3943" s="218" t="s">
        <v>6053</v>
      </c>
      <c r="D3943" s="219">
        <v>1.5</v>
      </c>
      <c r="E3943" s="218">
        <v>300.0</v>
      </c>
      <c r="G3943" s="220">
        <v>43473.0</v>
      </c>
    </row>
    <row r="3944">
      <c r="A3944" s="217">
        <v>43474.486882627316</v>
      </c>
      <c r="B3944" s="218" t="s">
        <v>5184</v>
      </c>
      <c r="C3944" s="218" t="s">
        <v>5789</v>
      </c>
      <c r="D3944" s="219">
        <v>1.0</v>
      </c>
      <c r="E3944" s="218">
        <v>400.0</v>
      </c>
      <c r="G3944" s="220">
        <v>43474.0</v>
      </c>
    </row>
    <row r="3945">
      <c r="A3945" s="217">
        <v>43474.487718449076</v>
      </c>
      <c r="B3945" s="218" t="s">
        <v>5184</v>
      </c>
      <c r="C3945" s="218" t="s">
        <v>6038</v>
      </c>
      <c r="D3945" s="219">
        <v>1.0</v>
      </c>
      <c r="E3945" s="218">
        <v>600.0</v>
      </c>
      <c r="G3945" s="220">
        <v>43474.0</v>
      </c>
    </row>
    <row r="3946">
      <c r="A3946" s="217">
        <v>43474.50530988426</v>
      </c>
      <c r="B3946" s="218" t="s">
        <v>5184</v>
      </c>
      <c r="C3946" s="218" t="s">
        <v>5789</v>
      </c>
      <c r="D3946" s="219">
        <v>1.0</v>
      </c>
      <c r="E3946" s="218">
        <v>400.0</v>
      </c>
      <c r="G3946" s="220">
        <v>43474.0</v>
      </c>
    </row>
    <row r="3947">
      <c r="A3947" s="217">
        <v>43474.50596297454</v>
      </c>
      <c r="B3947" s="218" t="s">
        <v>5184</v>
      </c>
      <c r="C3947" s="218" t="s">
        <v>6053</v>
      </c>
      <c r="D3947" s="219">
        <v>1.0</v>
      </c>
      <c r="E3947" s="218">
        <v>300.0</v>
      </c>
      <c r="G3947" s="220">
        <v>43474.0</v>
      </c>
    </row>
    <row r="3948">
      <c r="A3948" s="217">
        <v>43474.538250185185</v>
      </c>
      <c r="B3948" s="218" t="s">
        <v>5184</v>
      </c>
      <c r="C3948" s="218" t="s">
        <v>5789</v>
      </c>
      <c r="D3948" s="219">
        <v>1.0</v>
      </c>
      <c r="E3948" s="218">
        <v>400.0</v>
      </c>
      <c r="G3948" s="220">
        <v>43474.0</v>
      </c>
    </row>
    <row r="3949">
      <c r="A3949" s="217">
        <v>43474.53898395834</v>
      </c>
      <c r="B3949" s="218" t="s">
        <v>5184</v>
      </c>
      <c r="C3949" s="218" t="s">
        <v>6053</v>
      </c>
      <c r="D3949" s="219">
        <v>1.0</v>
      </c>
      <c r="E3949" s="218">
        <v>300.0</v>
      </c>
      <c r="G3949" s="220">
        <v>43474.0</v>
      </c>
    </row>
    <row r="3950">
      <c r="A3950" s="217">
        <v>43474.54166833333</v>
      </c>
      <c r="B3950" s="218" t="s">
        <v>5184</v>
      </c>
      <c r="C3950" s="218" t="s">
        <v>6038</v>
      </c>
      <c r="D3950" s="219">
        <v>1.0</v>
      </c>
      <c r="E3950" s="218">
        <v>500.0</v>
      </c>
      <c r="G3950" s="220">
        <v>43474.0</v>
      </c>
    </row>
    <row r="3951">
      <c r="A3951" s="217">
        <v>43474.62618265046</v>
      </c>
      <c r="B3951" s="218" t="s">
        <v>5184</v>
      </c>
      <c r="C3951" s="218" t="s">
        <v>7760</v>
      </c>
      <c r="D3951" s="219">
        <v>1.0</v>
      </c>
      <c r="E3951" s="218">
        <v>300.0</v>
      </c>
      <c r="G3951" s="220">
        <v>43474.0</v>
      </c>
    </row>
    <row r="3952">
      <c r="A3952" s="217">
        <v>43474.627462488424</v>
      </c>
      <c r="B3952" s="218" t="s">
        <v>5184</v>
      </c>
      <c r="C3952" s="218" t="s">
        <v>6053</v>
      </c>
      <c r="D3952" s="219">
        <v>1.0</v>
      </c>
      <c r="E3952" s="218">
        <v>300.0</v>
      </c>
      <c r="G3952" s="220">
        <v>43474.0</v>
      </c>
    </row>
    <row r="3953">
      <c r="A3953" s="217">
        <v>43474.62875645833</v>
      </c>
      <c r="B3953" s="218" t="s">
        <v>5184</v>
      </c>
      <c r="C3953" s="218" t="s">
        <v>7763</v>
      </c>
      <c r="D3953" s="219">
        <v>1.0</v>
      </c>
      <c r="E3953" s="218">
        <v>400.0</v>
      </c>
      <c r="G3953" s="220">
        <v>43474.0</v>
      </c>
    </row>
    <row r="3954">
      <c r="A3954" s="217">
        <v>43474.629371724535</v>
      </c>
      <c r="B3954" s="218" t="s">
        <v>5184</v>
      </c>
      <c r="C3954" s="218" t="s">
        <v>6053</v>
      </c>
      <c r="D3954" s="219">
        <v>1.0</v>
      </c>
      <c r="E3954" s="218">
        <v>300.0</v>
      </c>
      <c r="G3954" s="220">
        <v>43474.0</v>
      </c>
    </row>
    <row r="3955">
      <c r="A3955" s="217">
        <v>43474.74784454861</v>
      </c>
      <c r="B3955" s="218" t="s">
        <v>5092</v>
      </c>
      <c r="C3955" s="218" t="s">
        <v>6038</v>
      </c>
      <c r="D3955" s="219">
        <v>1.0</v>
      </c>
      <c r="E3955" s="218">
        <v>600.0</v>
      </c>
      <c r="G3955" s="220">
        <v>43474.0</v>
      </c>
    </row>
    <row r="3956">
      <c r="A3956" s="217">
        <v>43474.74838122685</v>
      </c>
      <c r="B3956" s="218" t="s">
        <v>5092</v>
      </c>
      <c r="C3956" s="218" t="s">
        <v>7312</v>
      </c>
      <c r="D3956" s="219">
        <v>1.0</v>
      </c>
      <c r="E3956" s="218">
        <v>600.0</v>
      </c>
      <c r="G3956" s="220">
        <v>43474.0</v>
      </c>
    </row>
    <row r="3957">
      <c r="A3957" s="217">
        <v>43475.73999256945</v>
      </c>
      <c r="B3957" s="218" t="s">
        <v>5184</v>
      </c>
      <c r="C3957" s="218" t="s">
        <v>5786</v>
      </c>
      <c r="D3957" s="219">
        <v>1.0</v>
      </c>
      <c r="E3957" s="218">
        <v>300.0</v>
      </c>
      <c r="G3957" s="220">
        <v>43470.0</v>
      </c>
    </row>
    <row r="3958">
      <c r="A3958" s="217">
        <v>43475.7415503588</v>
      </c>
      <c r="B3958" s="218" t="s">
        <v>5184</v>
      </c>
      <c r="C3958" s="218" t="s">
        <v>6053</v>
      </c>
      <c r="D3958" s="219">
        <v>1.0</v>
      </c>
      <c r="E3958" s="218">
        <v>300.0</v>
      </c>
      <c r="G3958" s="220">
        <v>43470.0</v>
      </c>
    </row>
    <row r="3959">
      <c r="A3959" s="217">
        <v>43476.55290686342</v>
      </c>
      <c r="B3959" s="218" t="s">
        <v>5092</v>
      </c>
      <c r="C3959" s="218" t="s">
        <v>284</v>
      </c>
      <c r="D3959" s="219">
        <v>1.0</v>
      </c>
      <c r="E3959" s="218">
        <v>500.0</v>
      </c>
      <c r="G3959" s="220">
        <v>43475.0</v>
      </c>
    </row>
    <row r="3960">
      <c r="A3960" s="217">
        <v>43476.56856140046</v>
      </c>
      <c r="B3960" s="218" t="s">
        <v>5092</v>
      </c>
      <c r="C3960" s="218" t="s">
        <v>244</v>
      </c>
      <c r="D3960" s="219">
        <v>2.0</v>
      </c>
      <c r="E3960" s="218">
        <v>600.0</v>
      </c>
      <c r="G3960" s="220">
        <v>43475.0</v>
      </c>
    </row>
    <row r="3961">
      <c r="A3961" s="217">
        <v>43476.57204373843</v>
      </c>
      <c r="B3961" s="218" t="s">
        <v>5092</v>
      </c>
      <c r="C3961" s="218" t="s">
        <v>7727</v>
      </c>
      <c r="D3961" s="219">
        <v>0.5</v>
      </c>
      <c r="E3961" s="218">
        <v>600.0</v>
      </c>
      <c r="G3961" s="220">
        <v>43475.0</v>
      </c>
    </row>
    <row r="3962">
      <c r="A3962" s="217">
        <v>43476.57591921296</v>
      </c>
      <c r="B3962" s="218" t="s">
        <v>5184</v>
      </c>
      <c r="C3962" s="218" t="s">
        <v>7767</v>
      </c>
      <c r="D3962" s="219">
        <v>3.0</v>
      </c>
      <c r="E3962" s="218">
        <v>100.0</v>
      </c>
      <c r="G3962" s="220">
        <v>43473.0</v>
      </c>
    </row>
    <row r="3963">
      <c r="A3963" s="217">
        <v>43476.578068310184</v>
      </c>
      <c r="B3963" s="218" t="s">
        <v>5092</v>
      </c>
      <c r="C3963" s="218" t="s">
        <v>7754</v>
      </c>
      <c r="D3963" s="219">
        <v>1.0</v>
      </c>
      <c r="E3963" s="218">
        <v>600.0</v>
      </c>
      <c r="G3963" s="220">
        <v>43475.0</v>
      </c>
    </row>
    <row r="3964">
      <c r="A3964" s="217">
        <v>43477.607220289356</v>
      </c>
      <c r="B3964" s="218" t="s">
        <v>5184</v>
      </c>
      <c r="C3964" s="218" t="s">
        <v>1453</v>
      </c>
      <c r="D3964" s="219">
        <v>1.0</v>
      </c>
      <c r="E3964" s="218">
        <v>200.0</v>
      </c>
      <c r="G3964" s="220">
        <v>43477.0</v>
      </c>
    </row>
    <row r="3965">
      <c r="A3965" s="217">
        <v>43477.608495381945</v>
      </c>
      <c r="B3965" s="218" t="s">
        <v>5184</v>
      </c>
      <c r="C3965" s="218" t="s">
        <v>5818</v>
      </c>
      <c r="D3965" s="219">
        <v>1.0</v>
      </c>
      <c r="E3965" s="218">
        <v>300.0</v>
      </c>
      <c r="G3965" s="220">
        <v>43477.0</v>
      </c>
    </row>
    <row r="3966">
      <c r="A3966" s="217">
        <v>43477.60920416667</v>
      </c>
      <c r="B3966" s="218" t="s">
        <v>5184</v>
      </c>
      <c r="C3966" s="218" t="s">
        <v>6053</v>
      </c>
      <c r="D3966" s="219">
        <v>1.0</v>
      </c>
      <c r="E3966" s="218">
        <v>300.0</v>
      </c>
      <c r="G3966" s="220">
        <v>43477.0</v>
      </c>
    </row>
    <row r="3967">
      <c r="A3967" s="217">
        <v>43477.61040587963</v>
      </c>
      <c r="B3967" s="218" t="s">
        <v>5184</v>
      </c>
      <c r="C3967" s="218" t="s">
        <v>6053</v>
      </c>
      <c r="D3967" s="219">
        <v>1.0</v>
      </c>
      <c r="E3967" s="218">
        <v>300.0</v>
      </c>
      <c r="G3967" s="220">
        <v>43477.0</v>
      </c>
    </row>
    <row r="3968">
      <c r="A3968" s="217">
        <v>43477.61238520833</v>
      </c>
      <c r="B3968" s="218" t="s">
        <v>5184</v>
      </c>
      <c r="C3968" s="218" t="s">
        <v>7754</v>
      </c>
      <c r="D3968" s="219">
        <v>1.0</v>
      </c>
      <c r="E3968" s="218">
        <v>600.0</v>
      </c>
      <c r="G3968" s="220">
        <v>43477.0</v>
      </c>
    </row>
    <row r="3969">
      <c r="A3969" s="217">
        <v>43477.61433591435</v>
      </c>
      <c r="B3969" s="218" t="s">
        <v>5184</v>
      </c>
      <c r="C3969" s="218" t="s">
        <v>5786</v>
      </c>
      <c r="D3969" s="219">
        <v>1.0</v>
      </c>
      <c r="E3969" s="218">
        <v>300.0</v>
      </c>
      <c r="G3969" s="220">
        <v>43477.0</v>
      </c>
    </row>
    <row r="3970">
      <c r="A3970" s="217">
        <v>43477.614843958334</v>
      </c>
      <c r="B3970" s="218" t="s">
        <v>5184</v>
      </c>
      <c r="C3970" s="218" t="s">
        <v>6053</v>
      </c>
      <c r="D3970" s="219">
        <v>1.0</v>
      </c>
      <c r="E3970" s="218">
        <v>300.0</v>
      </c>
      <c r="G3970" s="220">
        <v>43477.0</v>
      </c>
    </row>
    <row r="3971">
      <c r="A3971" s="217">
        <v>43477.63263076389</v>
      </c>
      <c r="B3971" s="218" t="s">
        <v>5184</v>
      </c>
      <c r="C3971" s="218" t="s">
        <v>7754</v>
      </c>
      <c r="D3971" s="219">
        <v>1.0</v>
      </c>
      <c r="E3971" s="218">
        <v>600.0</v>
      </c>
      <c r="G3971" s="220">
        <v>43477.0</v>
      </c>
    </row>
    <row r="3972">
      <c r="A3972" s="217">
        <v>43477.63441130787</v>
      </c>
      <c r="B3972" s="218" t="s">
        <v>5184</v>
      </c>
      <c r="C3972" s="218" t="s">
        <v>5976</v>
      </c>
      <c r="D3972" s="219">
        <v>1.0</v>
      </c>
      <c r="E3972" s="218">
        <v>400.0</v>
      </c>
      <c r="G3972" s="220">
        <v>43477.0</v>
      </c>
    </row>
    <row r="3973">
      <c r="A3973" s="217">
        <v>43477.63643370371</v>
      </c>
      <c r="B3973" s="218" t="s">
        <v>5184</v>
      </c>
      <c r="C3973" s="218" t="s">
        <v>6053</v>
      </c>
      <c r="D3973" s="219">
        <v>2.0</v>
      </c>
      <c r="E3973" s="218">
        <v>600.0</v>
      </c>
      <c r="G3973" s="220">
        <v>43477.0</v>
      </c>
    </row>
    <row r="3974">
      <c r="A3974" s="217">
        <v>43478.427747002315</v>
      </c>
      <c r="B3974" s="218" t="s">
        <v>5184</v>
      </c>
      <c r="C3974" s="218" t="s">
        <v>5789</v>
      </c>
      <c r="D3974" s="219">
        <v>1.0</v>
      </c>
      <c r="E3974" s="218">
        <v>400.0</v>
      </c>
      <c r="G3974" s="220">
        <v>43478.0</v>
      </c>
    </row>
    <row r="3975">
      <c r="A3975" s="217">
        <v>43478.431353402775</v>
      </c>
      <c r="B3975" s="218" t="s">
        <v>5184</v>
      </c>
      <c r="C3975" s="218" t="s">
        <v>7776</v>
      </c>
      <c r="D3975" s="219">
        <v>1.0</v>
      </c>
      <c r="E3975" s="218">
        <v>1000.0</v>
      </c>
      <c r="G3975" s="220">
        <v>43478.0</v>
      </c>
    </row>
    <row r="3976">
      <c r="A3976" s="217">
        <v>43478.48259321759</v>
      </c>
      <c r="B3976" s="218" t="s">
        <v>5184</v>
      </c>
      <c r="C3976" s="218" t="s">
        <v>284</v>
      </c>
      <c r="D3976" s="219">
        <v>1.0</v>
      </c>
      <c r="E3976" s="218">
        <v>400.0</v>
      </c>
      <c r="G3976" s="220">
        <v>43478.0</v>
      </c>
    </row>
    <row r="3977">
      <c r="A3977" s="217">
        <v>43478.48425288194</v>
      </c>
      <c r="B3977" s="218" t="s">
        <v>5184</v>
      </c>
      <c r="C3977" s="218" t="s">
        <v>284</v>
      </c>
      <c r="D3977" s="219">
        <v>1.0</v>
      </c>
      <c r="E3977" s="218">
        <v>400.0</v>
      </c>
      <c r="G3977" s="220">
        <v>43478.0</v>
      </c>
    </row>
    <row r="3978">
      <c r="A3978" s="217">
        <v>43478.518273657406</v>
      </c>
      <c r="B3978" s="218" t="s">
        <v>5184</v>
      </c>
      <c r="C3978" s="218" t="s">
        <v>7312</v>
      </c>
      <c r="D3978" s="219">
        <v>1.0</v>
      </c>
      <c r="E3978" s="218">
        <v>600.0</v>
      </c>
      <c r="G3978" s="220">
        <v>43478.0</v>
      </c>
    </row>
    <row r="3979">
      <c r="A3979" s="217">
        <v>43478.55441591435</v>
      </c>
      <c r="B3979" s="218" t="s">
        <v>5184</v>
      </c>
      <c r="C3979" s="218" t="s">
        <v>7781</v>
      </c>
      <c r="D3979" s="219">
        <v>1.0</v>
      </c>
      <c r="E3979" s="218">
        <v>1000.0</v>
      </c>
      <c r="G3979" s="220">
        <v>43478.0</v>
      </c>
    </row>
    <row r="3980">
      <c r="A3980" s="217">
        <v>43478.556768298615</v>
      </c>
      <c r="B3980" s="218" t="s">
        <v>5184</v>
      </c>
      <c r="C3980" s="218" t="s">
        <v>847</v>
      </c>
      <c r="D3980" s="219">
        <v>1.0</v>
      </c>
      <c r="E3980" s="218">
        <v>1400.0</v>
      </c>
      <c r="G3980" s="220">
        <v>43478.0</v>
      </c>
    </row>
    <row r="3981">
      <c r="A3981" s="217">
        <v>43478.5581859375</v>
      </c>
      <c r="B3981" s="218" t="s">
        <v>5184</v>
      </c>
      <c r="C3981" s="218" t="s">
        <v>6053</v>
      </c>
      <c r="D3981" s="219">
        <v>1.0</v>
      </c>
      <c r="E3981" s="218">
        <v>300.0</v>
      </c>
      <c r="G3981" s="220">
        <v>43478.0</v>
      </c>
    </row>
    <row r="3982">
      <c r="A3982" s="217">
        <v>43478.56592947917</v>
      </c>
      <c r="B3982" s="218" t="s">
        <v>2322</v>
      </c>
      <c r="C3982" s="218" t="s">
        <v>3490</v>
      </c>
      <c r="D3982" s="219">
        <v>1.0</v>
      </c>
      <c r="E3982" s="218">
        <v>1295.0</v>
      </c>
      <c r="G3982" s="220">
        <v>43478.0</v>
      </c>
    </row>
    <row r="3983">
      <c r="A3983" s="217">
        <v>43478.577121828705</v>
      </c>
      <c r="B3983" s="218" t="s">
        <v>5092</v>
      </c>
      <c r="C3983" s="218" t="s">
        <v>7784</v>
      </c>
      <c r="D3983" s="219">
        <v>1.0</v>
      </c>
      <c r="E3983" s="218">
        <v>2599.0</v>
      </c>
      <c r="G3983" s="220">
        <v>43478.0</v>
      </c>
    </row>
    <row r="3984">
      <c r="A3984" s="217">
        <v>43478.58524890046</v>
      </c>
      <c r="B3984" s="218" t="s">
        <v>5092</v>
      </c>
      <c r="C3984" s="218" t="s">
        <v>7785</v>
      </c>
      <c r="D3984" s="219">
        <v>1.0</v>
      </c>
      <c r="E3984" s="218">
        <v>2399.0</v>
      </c>
      <c r="G3984" s="220">
        <v>43478.0</v>
      </c>
    </row>
    <row r="3985">
      <c r="A3985" s="217">
        <v>43478.587045011576</v>
      </c>
      <c r="B3985" s="218" t="s">
        <v>5092</v>
      </c>
      <c r="C3985" s="218" t="s">
        <v>6644</v>
      </c>
      <c r="D3985" s="219">
        <v>1.0</v>
      </c>
      <c r="E3985" s="218">
        <v>6990.0</v>
      </c>
      <c r="G3985" s="220">
        <v>43478.0</v>
      </c>
    </row>
    <row r="3986">
      <c r="A3986" s="217">
        <v>43478.59495983797</v>
      </c>
      <c r="B3986" s="218" t="s">
        <v>5184</v>
      </c>
      <c r="C3986" s="218" t="s">
        <v>7767</v>
      </c>
      <c r="D3986" s="219">
        <v>1.0</v>
      </c>
      <c r="E3986" s="218">
        <v>100.0</v>
      </c>
      <c r="G3986" s="220">
        <v>43478.0</v>
      </c>
    </row>
    <row r="3987">
      <c r="A3987" s="217">
        <v>43478.60697995371</v>
      </c>
      <c r="B3987" s="218" t="s">
        <v>5184</v>
      </c>
      <c r="C3987" s="218" t="s">
        <v>5789</v>
      </c>
      <c r="D3987" s="219">
        <v>1.0</v>
      </c>
      <c r="E3987" s="218">
        <v>400.0</v>
      </c>
      <c r="G3987" s="220">
        <v>43478.0</v>
      </c>
    </row>
    <row r="3988">
      <c r="A3988" s="217">
        <v>43478.607837777774</v>
      </c>
      <c r="B3988" s="218" t="s">
        <v>5184</v>
      </c>
      <c r="C3988" s="218" t="s">
        <v>6053</v>
      </c>
      <c r="D3988" s="219">
        <v>1.0</v>
      </c>
      <c r="E3988" s="218">
        <v>300.0</v>
      </c>
      <c r="G3988" s="220">
        <v>43478.0</v>
      </c>
    </row>
    <row r="3989">
      <c r="A3989" s="217">
        <v>43478.6208346875</v>
      </c>
      <c r="B3989" s="218" t="s">
        <v>5184</v>
      </c>
      <c r="C3989" s="218" t="s">
        <v>6053</v>
      </c>
      <c r="D3989" s="219">
        <v>1.0</v>
      </c>
      <c r="E3989" s="218">
        <v>300.0</v>
      </c>
      <c r="G3989" s="220">
        <v>43478.0</v>
      </c>
    </row>
    <row r="3990">
      <c r="A3990" s="217">
        <v>43479.671965312504</v>
      </c>
      <c r="B3990" s="218" t="s">
        <v>5184</v>
      </c>
      <c r="C3990" s="218" t="s">
        <v>7789</v>
      </c>
      <c r="D3990" s="219">
        <v>1.0</v>
      </c>
      <c r="E3990" s="218">
        <v>300.0</v>
      </c>
      <c r="G3990" s="220">
        <v>43479.0</v>
      </c>
    </row>
    <row r="3991">
      <c r="A3991" s="217">
        <v>43479.67507938658</v>
      </c>
      <c r="B3991" s="218" t="s">
        <v>5184</v>
      </c>
      <c r="C3991" s="218" t="s">
        <v>5976</v>
      </c>
      <c r="D3991" s="219">
        <v>1.0</v>
      </c>
      <c r="E3991" s="218">
        <v>400.0</v>
      </c>
      <c r="G3991" s="220">
        <v>43479.0</v>
      </c>
    </row>
    <row r="3992">
      <c r="A3992" s="217">
        <v>43479.676785578704</v>
      </c>
      <c r="B3992" s="218" t="s">
        <v>5184</v>
      </c>
      <c r="C3992" s="218" t="s">
        <v>6038</v>
      </c>
      <c r="D3992" s="219">
        <v>1.0</v>
      </c>
      <c r="E3992" s="218">
        <v>600.0</v>
      </c>
      <c r="G3992" s="220">
        <v>43479.0</v>
      </c>
    </row>
    <row r="3993">
      <c r="A3993" s="217">
        <v>43479.69139396991</v>
      </c>
      <c r="B3993" s="218" t="s">
        <v>5184</v>
      </c>
      <c r="C3993" s="218" t="s">
        <v>7408</v>
      </c>
      <c r="D3993" s="219">
        <v>1.0</v>
      </c>
      <c r="E3993" s="218">
        <v>400.0</v>
      </c>
      <c r="G3993" s="220">
        <v>43479.0</v>
      </c>
    </row>
    <row r="3994">
      <c r="A3994" s="217">
        <v>43479.69270424769</v>
      </c>
      <c r="B3994" s="218" t="s">
        <v>5184</v>
      </c>
      <c r="C3994" s="218" t="s">
        <v>7792</v>
      </c>
      <c r="D3994" s="219">
        <v>1.0</v>
      </c>
      <c r="E3994" s="218">
        <v>400.0</v>
      </c>
      <c r="G3994" s="220">
        <v>43479.0</v>
      </c>
    </row>
    <row r="3995">
      <c r="A3995" s="217">
        <v>43479.69375259259</v>
      </c>
      <c r="B3995" s="218" t="s">
        <v>5184</v>
      </c>
      <c r="C3995" s="218" t="s">
        <v>284</v>
      </c>
      <c r="D3995" s="219">
        <v>1.0</v>
      </c>
      <c r="E3995" s="218">
        <v>400.0</v>
      </c>
      <c r="G3995" s="220">
        <v>43479.0</v>
      </c>
    </row>
    <row r="3996">
      <c r="A3996" s="217">
        <v>43479.696399583336</v>
      </c>
      <c r="B3996" s="218" t="s">
        <v>5184</v>
      </c>
      <c r="C3996" s="218" t="s">
        <v>7792</v>
      </c>
      <c r="D3996" s="219">
        <v>1.0</v>
      </c>
      <c r="E3996" s="218">
        <v>400.0</v>
      </c>
      <c r="G3996" s="220">
        <v>43479.0</v>
      </c>
    </row>
    <row r="3997">
      <c r="A3997" s="217">
        <v>43479.697017812505</v>
      </c>
      <c r="B3997" s="218" t="s">
        <v>5184</v>
      </c>
      <c r="C3997" s="218" t="s">
        <v>284</v>
      </c>
      <c r="D3997" s="219">
        <v>1.0</v>
      </c>
      <c r="E3997" s="218">
        <v>400.0</v>
      </c>
      <c r="G3997" s="220">
        <v>43479.0</v>
      </c>
    </row>
    <row r="3998">
      <c r="A3998" s="217">
        <v>43479.69952008102</v>
      </c>
      <c r="B3998" s="218" t="s">
        <v>5184</v>
      </c>
      <c r="C3998" s="218" t="s">
        <v>5976</v>
      </c>
      <c r="D3998" s="219">
        <v>1.0</v>
      </c>
      <c r="E3998" s="218">
        <v>200.0</v>
      </c>
      <c r="G3998" s="220">
        <v>43479.0</v>
      </c>
    </row>
    <row r="3999">
      <c r="A3999" s="217">
        <v>43480.45430116898</v>
      </c>
      <c r="B3999" s="218" t="s">
        <v>5092</v>
      </c>
      <c r="C3999" s="218" t="s">
        <v>7796</v>
      </c>
      <c r="D3999" s="219">
        <v>1.0</v>
      </c>
      <c r="E3999" s="218">
        <v>491.0</v>
      </c>
      <c r="G3999" s="220">
        <v>43479.0</v>
      </c>
    </row>
    <row r="4000">
      <c r="A4000" s="217">
        <v>43480.46191615741</v>
      </c>
      <c r="B4000" s="218" t="s">
        <v>5092</v>
      </c>
      <c r="C4000" s="218" t="s">
        <v>7754</v>
      </c>
      <c r="D4000" s="219">
        <v>1.0</v>
      </c>
      <c r="E4000" s="218">
        <v>600.0</v>
      </c>
      <c r="G4000" s="220">
        <v>43479.0</v>
      </c>
    </row>
    <row r="4001">
      <c r="A4001" s="217">
        <v>43480.46444413194</v>
      </c>
      <c r="B4001" s="218" t="s">
        <v>5092</v>
      </c>
      <c r="C4001" s="218" t="s">
        <v>7776</v>
      </c>
      <c r="D4001" s="219">
        <v>1.0</v>
      </c>
      <c r="E4001" s="218">
        <v>1000.0</v>
      </c>
      <c r="G4001" s="220">
        <v>43480.0</v>
      </c>
    </row>
    <row r="4002">
      <c r="A4002" s="217">
        <v>43480.46650708333</v>
      </c>
      <c r="B4002" s="218" t="s">
        <v>5092</v>
      </c>
      <c r="C4002" s="218" t="s">
        <v>7754</v>
      </c>
      <c r="D4002" s="219">
        <v>1.0</v>
      </c>
      <c r="E4002" s="218">
        <v>600.0</v>
      </c>
      <c r="G4002" s="220">
        <v>43480.0</v>
      </c>
    </row>
    <row r="4003">
      <c r="A4003" s="217">
        <v>43480.467990613426</v>
      </c>
      <c r="B4003" s="218" t="s">
        <v>5092</v>
      </c>
      <c r="C4003" s="218" t="s">
        <v>7754</v>
      </c>
      <c r="D4003" s="219">
        <v>1.0</v>
      </c>
      <c r="E4003" s="218">
        <v>600.0</v>
      </c>
      <c r="G4003" s="220">
        <v>43479.0</v>
      </c>
    </row>
    <row r="4004">
      <c r="A4004" s="217">
        <v>43480.46990819444</v>
      </c>
      <c r="B4004" s="218" t="s">
        <v>5092</v>
      </c>
      <c r="C4004" s="218" t="s">
        <v>7789</v>
      </c>
      <c r="D4004" s="219">
        <v>1.0</v>
      </c>
      <c r="E4004" s="218">
        <v>300.0</v>
      </c>
      <c r="G4004" s="220">
        <v>43479.0</v>
      </c>
    </row>
    <row r="4005">
      <c r="A4005" s="217">
        <v>43480.470906041664</v>
      </c>
      <c r="B4005" s="218" t="s">
        <v>5092</v>
      </c>
      <c r="C4005" s="218" t="s">
        <v>7797</v>
      </c>
      <c r="D4005" s="219">
        <v>1.0</v>
      </c>
      <c r="E4005" s="218">
        <v>600.0</v>
      </c>
      <c r="G4005" s="220">
        <v>43479.0</v>
      </c>
    </row>
    <row r="4006">
      <c r="A4006" s="217">
        <v>43480.471946122685</v>
      </c>
      <c r="B4006" s="218" t="s">
        <v>5092</v>
      </c>
      <c r="C4006" s="218" t="s">
        <v>6053</v>
      </c>
      <c r="D4006" s="219" t="s">
        <v>7547</v>
      </c>
      <c r="E4006" s="218">
        <v>150.0</v>
      </c>
      <c r="G4006" s="220">
        <v>43479.0</v>
      </c>
    </row>
    <row r="4007">
      <c r="A4007" s="217">
        <v>43480.47277822917</v>
      </c>
      <c r="B4007" s="218" t="s">
        <v>5092</v>
      </c>
      <c r="C4007" s="218" t="s">
        <v>7789</v>
      </c>
      <c r="D4007" s="219" t="s">
        <v>7547</v>
      </c>
      <c r="E4007" s="218">
        <v>150.0</v>
      </c>
      <c r="G4007" s="220">
        <v>43479.0</v>
      </c>
    </row>
    <row r="4008">
      <c r="A4008" s="217">
        <v>43480.55641319444</v>
      </c>
      <c r="B4008" s="218" t="s">
        <v>5184</v>
      </c>
      <c r="C4008" s="218" t="s">
        <v>5767</v>
      </c>
      <c r="D4008" s="219">
        <v>1.0</v>
      </c>
      <c r="E4008" s="218">
        <v>1800.0</v>
      </c>
      <c r="G4008" s="220">
        <v>43480.0</v>
      </c>
    </row>
    <row r="4009">
      <c r="A4009" s="217">
        <v>43480.55836844907</v>
      </c>
      <c r="B4009" s="218" t="s">
        <v>5184</v>
      </c>
      <c r="C4009" s="218" t="s">
        <v>7754</v>
      </c>
      <c r="D4009" s="219">
        <v>1.0</v>
      </c>
      <c r="E4009" s="218">
        <v>600.0</v>
      </c>
      <c r="G4009" s="220">
        <v>43480.0</v>
      </c>
    </row>
    <row r="4010">
      <c r="A4010" s="217">
        <v>43480.57105049769</v>
      </c>
      <c r="B4010" s="218" t="s">
        <v>5184</v>
      </c>
      <c r="C4010" s="218" t="s">
        <v>5976</v>
      </c>
      <c r="D4010" s="219">
        <v>1.0</v>
      </c>
      <c r="E4010" s="218">
        <v>400.0</v>
      </c>
      <c r="G4010" s="220">
        <v>43480.0</v>
      </c>
    </row>
    <row r="4011">
      <c r="A4011" s="217">
        <v>43480.57190756944</v>
      </c>
      <c r="B4011" s="218" t="s">
        <v>5184</v>
      </c>
      <c r="C4011" s="218" t="s">
        <v>7312</v>
      </c>
      <c r="D4011" s="219">
        <v>1.0</v>
      </c>
      <c r="E4011" s="218">
        <v>400.0</v>
      </c>
      <c r="G4011" s="220">
        <v>43480.0</v>
      </c>
    </row>
    <row r="4012">
      <c r="A4012" s="217">
        <v>43480.66534519676</v>
      </c>
      <c r="B4012" s="218" t="s">
        <v>5184</v>
      </c>
      <c r="C4012" s="218" t="s">
        <v>7800</v>
      </c>
      <c r="D4012" s="219">
        <v>1.0</v>
      </c>
      <c r="E4012" s="218">
        <v>300.0</v>
      </c>
      <c r="G4012" s="220">
        <v>43480.0</v>
      </c>
    </row>
    <row r="4013">
      <c r="A4013" s="217">
        <v>43480.66634788194</v>
      </c>
      <c r="B4013" s="218" t="s">
        <v>5184</v>
      </c>
      <c r="C4013" s="218" t="s">
        <v>6053</v>
      </c>
      <c r="D4013" s="219">
        <v>1.0</v>
      </c>
      <c r="E4013" s="218">
        <v>300.0</v>
      </c>
      <c r="G4013" s="220">
        <v>43480.0</v>
      </c>
    </row>
    <row r="4014">
      <c r="A4014" s="217">
        <v>43480.670175810184</v>
      </c>
      <c r="B4014" s="218" t="s">
        <v>5184</v>
      </c>
      <c r="C4014" s="218" t="s">
        <v>7789</v>
      </c>
      <c r="D4014" s="219">
        <v>1.0</v>
      </c>
      <c r="E4014" s="218">
        <v>300.0</v>
      </c>
      <c r="G4014" s="220">
        <v>43480.0</v>
      </c>
    </row>
    <row r="4015">
      <c r="A4015" s="217">
        <v>43480.69206412037</v>
      </c>
      <c r="B4015" s="218" t="s">
        <v>5184</v>
      </c>
      <c r="C4015" s="218" t="s">
        <v>7792</v>
      </c>
      <c r="D4015" s="219">
        <v>1.0</v>
      </c>
      <c r="E4015" s="218">
        <v>400.0</v>
      </c>
      <c r="G4015" s="220">
        <v>43480.0</v>
      </c>
    </row>
    <row r="4016">
      <c r="A4016" s="217">
        <v>43480.69296403935</v>
      </c>
      <c r="B4016" s="218" t="s">
        <v>5184</v>
      </c>
      <c r="C4016" s="218" t="s">
        <v>284</v>
      </c>
      <c r="D4016" s="219">
        <v>1.0</v>
      </c>
      <c r="E4016" s="218">
        <v>400.0</v>
      </c>
      <c r="G4016" s="220">
        <v>43480.0</v>
      </c>
    </row>
    <row r="4017">
      <c r="A4017" s="217">
        <v>43481.444736562495</v>
      </c>
      <c r="B4017" s="218" t="s">
        <v>5092</v>
      </c>
      <c r="C4017" s="218" t="s">
        <v>7806</v>
      </c>
      <c r="D4017" s="219">
        <v>2.0</v>
      </c>
      <c r="E4017" s="218">
        <v>600.0</v>
      </c>
      <c r="G4017" s="220">
        <v>43480.0</v>
      </c>
    </row>
    <row r="4018">
      <c r="A4018" s="217">
        <v>43481.4454408912</v>
      </c>
      <c r="B4018" s="218" t="s">
        <v>5092</v>
      </c>
      <c r="C4018" s="218" t="s">
        <v>284</v>
      </c>
      <c r="D4018" s="219">
        <v>3.0</v>
      </c>
      <c r="E4018" s="218">
        <v>400.0</v>
      </c>
      <c r="G4018" s="220">
        <v>43480.0</v>
      </c>
    </row>
    <row r="4019">
      <c r="A4019" s="217">
        <v>43481.465989097225</v>
      </c>
      <c r="B4019" s="218" t="s">
        <v>5184</v>
      </c>
      <c r="C4019" s="218" t="s">
        <v>244</v>
      </c>
      <c r="D4019" s="219">
        <v>1.0</v>
      </c>
      <c r="E4019" s="218">
        <v>500.0</v>
      </c>
      <c r="G4019" s="220">
        <v>43481.0</v>
      </c>
    </row>
    <row r="4020">
      <c r="A4020" s="217">
        <v>43481.49421284722</v>
      </c>
      <c r="B4020" s="218" t="s">
        <v>5184</v>
      </c>
      <c r="C4020" s="218" t="s">
        <v>6053</v>
      </c>
      <c r="D4020" s="219">
        <v>1.0</v>
      </c>
      <c r="E4020" s="218">
        <v>300.0</v>
      </c>
      <c r="G4020" s="220">
        <v>43481.0</v>
      </c>
    </row>
    <row r="4021">
      <c r="A4021" s="217">
        <v>43481.56597229167</v>
      </c>
      <c r="B4021" s="218" t="s">
        <v>5184</v>
      </c>
      <c r="C4021" s="218" t="s">
        <v>6053</v>
      </c>
      <c r="D4021" s="219">
        <v>1.0</v>
      </c>
      <c r="E4021" s="218">
        <v>300.0</v>
      </c>
      <c r="G4021" s="220">
        <v>43481.0</v>
      </c>
    </row>
    <row r="4022">
      <c r="A4022" s="217">
        <v>43481.65214173611</v>
      </c>
      <c r="B4022" s="218" t="s">
        <v>5184</v>
      </c>
      <c r="C4022" s="218" t="s">
        <v>6053</v>
      </c>
      <c r="D4022" s="219">
        <v>1.0</v>
      </c>
      <c r="E4022" s="218">
        <v>300.0</v>
      </c>
      <c r="G4022" s="220">
        <v>43481.0</v>
      </c>
    </row>
    <row r="4023">
      <c r="A4023" s="217">
        <v>43481.68373423611</v>
      </c>
      <c r="B4023" s="218" t="s">
        <v>5184</v>
      </c>
      <c r="C4023" s="218" t="s">
        <v>2710</v>
      </c>
      <c r="D4023" s="219">
        <v>1.0</v>
      </c>
      <c r="E4023" s="218">
        <v>400.0</v>
      </c>
      <c r="G4023" s="220">
        <v>43481.0</v>
      </c>
    </row>
    <row r="4024">
      <c r="A4024" s="217">
        <v>43481.68431166667</v>
      </c>
      <c r="B4024" s="218" t="s">
        <v>5184</v>
      </c>
      <c r="C4024" s="218" t="s">
        <v>284</v>
      </c>
      <c r="D4024" s="219">
        <v>1.0</v>
      </c>
      <c r="E4024" s="218">
        <v>400.0</v>
      </c>
      <c r="G4024" s="220">
        <v>43481.0</v>
      </c>
    </row>
    <row r="4025">
      <c r="A4025" s="217">
        <v>43481.730361643524</v>
      </c>
      <c r="B4025" s="218" t="s">
        <v>5184</v>
      </c>
      <c r="C4025" s="218" t="s">
        <v>6640</v>
      </c>
      <c r="D4025" s="219">
        <v>1.0</v>
      </c>
      <c r="E4025" s="218">
        <v>8290.0</v>
      </c>
      <c r="G4025" s="220">
        <v>43482.0</v>
      </c>
    </row>
    <row r="4026">
      <c r="A4026" s="217">
        <v>43481.731875729165</v>
      </c>
      <c r="B4026" s="218" t="s">
        <v>5184</v>
      </c>
      <c r="C4026" s="218" t="s">
        <v>5093</v>
      </c>
      <c r="D4026" s="219">
        <v>1.0</v>
      </c>
      <c r="E4026" s="218">
        <v>7090.0</v>
      </c>
      <c r="G4026" s="220">
        <v>43482.0</v>
      </c>
    </row>
    <row r="4027">
      <c r="A4027" s="217">
        <v>43481.7341103588</v>
      </c>
      <c r="B4027" s="218" t="s">
        <v>5184</v>
      </c>
      <c r="C4027" s="218" t="s">
        <v>7812</v>
      </c>
      <c r="D4027" s="219">
        <v>1.0</v>
      </c>
      <c r="E4027" s="218">
        <v>8890.0</v>
      </c>
      <c r="G4027" s="220">
        <v>43482.0</v>
      </c>
    </row>
    <row r="4028">
      <c r="A4028" s="217">
        <v>43481.73574398148</v>
      </c>
      <c r="B4028" s="218" t="s">
        <v>5184</v>
      </c>
      <c r="C4028" s="218" t="s">
        <v>1935</v>
      </c>
      <c r="D4028" s="219">
        <v>1.0</v>
      </c>
      <c r="E4028" s="218">
        <v>4490.0</v>
      </c>
      <c r="G4028" s="220">
        <v>43482.0</v>
      </c>
    </row>
    <row r="4029">
      <c r="A4029" s="217">
        <v>43481.73744949074</v>
      </c>
      <c r="B4029" s="218" t="s">
        <v>5184</v>
      </c>
      <c r="C4029" s="218" t="s">
        <v>7813</v>
      </c>
      <c r="D4029" s="219">
        <v>1.0</v>
      </c>
      <c r="E4029" s="218">
        <v>17500.0</v>
      </c>
      <c r="G4029" s="220">
        <v>43482.0</v>
      </c>
    </row>
    <row r="4030">
      <c r="A4030" s="217">
        <v>43481.73824456018</v>
      </c>
      <c r="B4030" s="218" t="s">
        <v>5184</v>
      </c>
      <c r="C4030" s="218" t="s">
        <v>1257</v>
      </c>
      <c r="D4030" s="219">
        <v>1.0</v>
      </c>
      <c r="E4030" s="218">
        <v>995.0</v>
      </c>
      <c r="G4030" s="220">
        <v>43482.0</v>
      </c>
    </row>
    <row r="4031">
      <c r="A4031" s="217">
        <v>43481.739445451385</v>
      </c>
      <c r="B4031" s="218" t="s">
        <v>5184</v>
      </c>
      <c r="C4031" s="218" t="s">
        <v>4586</v>
      </c>
      <c r="D4031" s="219">
        <v>1.0</v>
      </c>
      <c r="E4031" s="218">
        <v>1795.0</v>
      </c>
      <c r="G4031" s="220">
        <v>43482.0</v>
      </c>
    </row>
    <row r="4032">
      <c r="A4032" s="217">
        <v>43481.740573738425</v>
      </c>
      <c r="B4032" s="218" t="s">
        <v>5184</v>
      </c>
      <c r="C4032" s="218" t="s">
        <v>4519</v>
      </c>
      <c r="D4032" s="219">
        <v>1.0</v>
      </c>
      <c r="E4032" s="218">
        <v>1295.0</v>
      </c>
      <c r="G4032" s="220">
        <v>43482.0</v>
      </c>
    </row>
    <row r="4033">
      <c r="A4033" s="217">
        <v>43481.741813182874</v>
      </c>
      <c r="B4033" s="218" t="s">
        <v>5184</v>
      </c>
      <c r="C4033" s="218" t="s">
        <v>1287</v>
      </c>
      <c r="D4033" s="219">
        <v>1.0</v>
      </c>
      <c r="E4033" s="218">
        <v>2150.0</v>
      </c>
      <c r="G4033" s="220">
        <v>43482.0</v>
      </c>
    </row>
    <row r="4034">
      <c r="A4034" s="217">
        <v>43481.74461879629</v>
      </c>
      <c r="B4034" s="218" t="s">
        <v>5184</v>
      </c>
      <c r="C4034" s="218" t="s">
        <v>4561</v>
      </c>
      <c r="D4034" s="219">
        <v>1.0</v>
      </c>
      <c r="E4034" s="218">
        <v>2350.0</v>
      </c>
      <c r="G4034" s="220">
        <v>43482.0</v>
      </c>
    </row>
    <row r="4035">
      <c r="A4035" s="217">
        <v>43481.745407187496</v>
      </c>
      <c r="B4035" s="218" t="s">
        <v>5184</v>
      </c>
      <c r="C4035" s="218" t="s">
        <v>4557</v>
      </c>
      <c r="D4035" s="219">
        <v>1.0</v>
      </c>
      <c r="E4035" s="218">
        <v>2295.0</v>
      </c>
      <c r="G4035" s="220">
        <v>43482.0</v>
      </c>
    </row>
    <row r="4036">
      <c r="A4036" s="217">
        <v>43481.74622627315</v>
      </c>
      <c r="B4036" s="218" t="s">
        <v>5184</v>
      </c>
      <c r="C4036" s="218" t="s">
        <v>4736</v>
      </c>
      <c r="D4036" s="219">
        <v>1.0</v>
      </c>
      <c r="E4036" s="218">
        <v>1895.0</v>
      </c>
      <c r="G4036" s="220">
        <v>43482.0</v>
      </c>
    </row>
    <row r="4037">
      <c r="A4037" s="217">
        <v>43481.74710153935</v>
      </c>
      <c r="B4037" s="218" t="s">
        <v>5184</v>
      </c>
      <c r="C4037" s="218" t="s">
        <v>7814</v>
      </c>
      <c r="D4037" s="219">
        <v>1.0</v>
      </c>
      <c r="E4037" s="218">
        <v>2150.0</v>
      </c>
      <c r="G4037" s="220">
        <v>43482.0</v>
      </c>
    </row>
    <row r="4038">
      <c r="A4038" s="217">
        <v>43481.74834196759</v>
      </c>
      <c r="B4038" s="218" t="s">
        <v>5184</v>
      </c>
      <c r="C4038" s="218" t="s">
        <v>7815</v>
      </c>
      <c r="D4038" s="219">
        <v>1.0</v>
      </c>
      <c r="E4038" s="218">
        <v>1320.0</v>
      </c>
      <c r="G4038" s="220">
        <v>43482.0</v>
      </c>
    </row>
    <row r="4039">
      <c r="A4039" s="217">
        <v>43482.726999108796</v>
      </c>
      <c r="B4039" s="218" t="s">
        <v>5092</v>
      </c>
      <c r="C4039" s="218" t="s">
        <v>7797</v>
      </c>
      <c r="D4039" s="219">
        <v>0.5</v>
      </c>
      <c r="E4039" s="218">
        <v>600.0</v>
      </c>
      <c r="G4039" s="220">
        <v>43481.0</v>
      </c>
    </row>
    <row r="4040">
      <c r="A4040" s="217">
        <v>43482.72970487269</v>
      </c>
      <c r="B4040" s="218" t="s">
        <v>5092</v>
      </c>
      <c r="C4040" s="218" t="s">
        <v>7797</v>
      </c>
      <c r="D4040" s="219">
        <v>0.5</v>
      </c>
      <c r="E4040" s="218">
        <v>600.0</v>
      </c>
      <c r="G4040" s="220">
        <v>43481.0</v>
      </c>
    </row>
    <row r="4041">
      <c r="A4041" s="217">
        <v>43482.7307069213</v>
      </c>
      <c r="B4041" s="218" t="s">
        <v>5092</v>
      </c>
      <c r="C4041" s="218" t="s">
        <v>284</v>
      </c>
      <c r="D4041" s="219">
        <v>2.0</v>
      </c>
      <c r="E4041" s="218">
        <v>400.0</v>
      </c>
      <c r="G4041" s="220">
        <v>43481.0</v>
      </c>
    </row>
    <row r="4042">
      <c r="A4042" s="217">
        <v>43482.73117770834</v>
      </c>
      <c r="B4042" s="218" t="s">
        <v>5092</v>
      </c>
      <c r="C4042" s="218" t="s">
        <v>6053</v>
      </c>
      <c r="D4042" s="219">
        <v>1.0</v>
      </c>
      <c r="E4042" s="218">
        <v>300.0</v>
      </c>
      <c r="G4042" s="220">
        <v>43481.0</v>
      </c>
    </row>
    <row r="4043">
      <c r="A4043" s="217">
        <v>43482.733584050926</v>
      </c>
      <c r="B4043" s="218" t="s">
        <v>5092</v>
      </c>
      <c r="C4043" s="218" t="s">
        <v>7816</v>
      </c>
      <c r="D4043" s="219">
        <v>3.0</v>
      </c>
      <c r="E4043" s="218">
        <v>180.0</v>
      </c>
      <c r="G4043" s="220">
        <v>43481.0</v>
      </c>
    </row>
    <row r="4044">
      <c r="A4044" s="217">
        <v>43482.73414909722</v>
      </c>
      <c r="B4044" s="218" t="s">
        <v>5092</v>
      </c>
      <c r="C4044" s="218" t="s">
        <v>6053</v>
      </c>
      <c r="D4044" s="219">
        <v>0.5</v>
      </c>
      <c r="E4044" s="218">
        <v>300.0</v>
      </c>
      <c r="G4044" s="220">
        <v>43481.0</v>
      </c>
    </row>
    <row r="4045">
      <c r="A4045" s="217">
        <v>43482.73466873843</v>
      </c>
      <c r="B4045" s="218" t="s">
        <v>5092</v>
      </c>
      <c r="C4045" s="218" t="s">
        <v>6053</v>
      </c>
      <c r="D4045" s="219">
        <v>1.0</v>
      </c>
      <c r="E4045" s="218">
        <v>300.0</v>
      </c>
      <c r="G4045" s="220">
        <v>43481.0</v>
      </c>
    </row>
    <row r="4046">
      <c r="A4046" s="217">
        <v>43482.73560042824</v>
      </c>
      <c r="B4046" s="218" t="s">
        <v>5092</v>
      </c>
      <c r="C4046" s="218" t="s">
        <v>244</v>
      </c>
      <c r="D4046" s="219">
        <v>1.0</v>
      </c>
      <c r="E4046" s="218">
        <v>500.0</v>
      </c>
      <c r="G4046" s="220">
        <v>43480.0</v>
      </c>
    </row>
    <row r="4047">
      <c r="A4047" s="217">
        <v>43482.73600143519</v>
      </c>
      <c r="B4047" s="218" t="s">
        <v>5092</v>
      </c>
      <c r="C4047" s="218" t="s">
        <v>244</v>
      </c>
      <c r="D4047" s="219">
        <v>1.0</v>
      </c>
      <c r="E4047" s="218">
        <v>500.0</v>
      </c>
      <c r="G4047" s="220">
        <v>43480.0</v>
      </c>
    </row>
    <row r="4048">
      <c r="A4048" s="217">
        <v>43483.43566472222</v>
      </c>
      <c r="B4048" s="218" t="s">
        <v>5092</v>
      </c>
      <c r="C4048" s="218" t="s">
        <v>7817</v>
      </c>
      <c r="D4048" s="219">
        <v>1.0</v>
      </c>
      <c r="E4048" s="218">
        <v>1795.0</v>
      </c>
      <c r="G4048" s="220">
        <v>43482.0</v>
      </c>
    </row>
    <row r="4049">
      <c r="A4049" s="217">
        <v>43483.465874444446</v>
      </c>
      <c r="B4049" s="218" t="s">
        <v>5184</v>
      </c>
      <c r="C4049" s="218" t="s">
        <v>6505</v>
      </c>
      <c r="D4049" s="219">
        <v>1.0</v>
      </c>
      <c r="E4049" s="218">
        <v>9500.0</v>
      </c>
      <c r="G4049" s="220">
        <v>43482.0</v>
      </c>
    </row>
    <row r="4050">
      <c r="A4050" s="217">
        <v>43483.55719770833</v>
      </c>
      <c r="B4050" s="218" t="s">
        <v>5184</v>
      </c>
      <c r="C4050" s="218" t="s">
        <v>284</v>
      </c>
      <c r="D4050" s="219">
        <v>1.0</v>
      </c>
      <c r="E4050" s="218">
        <v>400.0</v>
      </c>
      <c r="G4050" s="220">
        <v>43483.0</v>
      </c>
    </row>
    <row r="4051">
      <c r="A4051" s="217">
        <v>43483.55876976852</v>
      </c>
      <c r="B4051" s="218" t="s">
        <v>5184</v>
      </c>
      <c r="C4051" s="218" t="s">
        <v>5789</v>
      </c>
      <c r="D4051" s="219">
        <v>1.0</v>
      </c>
      <c r="E4051" s="218">
        <v>400.0</v>
      </c>
      <c r="G4051" s="220">
        <v>43483.0</v>
      </c>
    </row>
    <row r="4052">
      <c r="A4052" s="217">
        <v>43483.55936337963</v>
      </c>
      <c r="B4052" s="218" t="s">
        <v>5184</v>
      </c>
      <c r="C4052" s="218" t="s">
        <v>7806</v>
      </c>
      <c r="D4052" s="219">
        <v>1.0</v>
      </c>
      <c r="E4052" s="218">
        <v>600.0</v>
      </c>
      <c r="G4052" s="220">
        <v>43483.0</v>
      </c>
    </row>
    <row r="4053">
      <c r="A4053" s="217">
        <v>43484.41435074074</v>
      </c>
      <c r="B4053" s="218" t="s">
        <v>5092</v>
      </c>
      <c r="C4053" s="218" t="s">
        <v>281</v>
      </c>
      <c r="D4053" s="219">
        <v>1.0</v>
      </c>
      <c r="E4053" s="218">
        <v>600.0</v>
      </c>
      <c r="G4053" s="240">
        <v>43482.0</v>
      </c>
    </row>
    <row r="4054">
      <c r="A4054" s="217">
        <v>43484.41983144676</v>
      </c>
      <c r="B4054" s="218" t="s">
        <v>5092</v>
      </c>
      <c r="C4054" s="218" t="s">
        <v>7820</v>
      </c>
      <c r="D4054" s="219" t="s">
        <v>7547</v>
      </c>
      <c r="E4054" s="218">
        <v>300.0</v>
      </c>
      <c r="G4054" s="220">
        <v>43483.0</v>
      </c>
    </row>
    <row r="4055">
      <c r="A4055" s="217">
        <v>43484.42083484954</v>
      </c>
      <c r="B4055" s="218" t="s">
        <v>5092</v>
      </c>
      <c r="C4055" s="218" t="s">
        <v>6053</v>
      </c>
      <c r="D4055" s="219">
        <v>1.0</v>
      </c>
      <c r="E4055" s="218">
        <v>300.0</v>
      </c>
      <c r="G4055" s="220">
        <v>43483.0</v>
      </c>
    </row>
    <row r="4056">
      <c r="A4056" s="217">
        <v>43484.42288103009</v>
      </c>
      <c r="B4056" s="218" t="s">
        <v>5092</v>
      </c>
      <c r="C4056" s="218" t="s">
        <v>6053</v>
      </c>
      <c r="D4056" s="219">
        <v>1.5</v>
      </c>
      <c r="E4056" s="218">
        <v>300.0</v>
      </c>
      <c r="G4056" s="220">
        <v>43483.0</v>
      </c>
    </row>
    <row r="4057">
      <c r="A4057" s="217">
        <v>43484.423537662035</v>
      </c>
      <c r="B4057" s="218" t="s">
        <v>5092</v>
      </c>
      <c r="C4057" s="218" t="s">
        <v>284</v>
      </c>
      <c r="D4057" s="219">
        <v>1.0</v>
      </c>
      <c r="E4057" s="218">
        <v>400.0</v>
      </c>
      <c r="G4057" s="220">
        <v>43483.0</v>
      </c>
    </row>
    <row r="4058">
      <c r="A4058" s="217">
        <v>43484.42656047454</v>
      </c>
      <c r="B4058" s="218" t="s">
        <v>5184</v>
      </c>
      <c r="C4058" s="218" t="s">
        <v>6560</v>
      </c>
      <c r="D4058" s="219">
        <v>1.0</v>
      </c>
      <c r="E4058" s="218">
        <v>2955.0</v>
      </c>
      <c r="G4058" s="220">
        <v>43483.0</v>
      </c>
    </row>
    <row r="4059">
      <c r="A4059" s="217">
        <v>43484.42812045139</v>
      </c>
      <c r="B4059" s="218" t="s">
        <v>5184</v>
      </c>
      <c r="C4059" s="218" t="s">
        <v>7821</v>
      </c>
      <c r="D4059" s="219">
        <v>1.0</v>
      </c>
      <c r="E4059" s="218">
        <v>2955.0</v>
      </c>
      <c r="G4059" s="220">
        <v>43483.0</v>
      </c>
    </row>
    <row r="4060">
      <c r="A4060" s="217">
        <v>43484.4386850463</v>
      </c>
      <c r="B4060" s="218" t="s">
        <v>5184</v>
      </c>
      <c r="C4060" s="218" t="s">
        <v>7822</v>
      </c>
      <c r="D4060" s="219">
        <v>1.0</v>
      </c>
      <c r="E4060" s="218">
        <v>3505.0</v>
      </c>
      <c r="G4060" s="220">
        <v>43483.0</v>
      </c>
    </row>
    <row r="4061">
      <c r="A4061" s="217">
        <v>43484.43962644676</v>
      </c>
      <c r="B4061" s="218" t="s">
        <v>5184</v>
      </c>
      <c r="C4061" s="218" t="s">
        <v>6557</v>
      </c>
      <c r="D4061" s="219">
        <v>1.0</v>
      </c>
      <c r="E4061" s="218">
        <v>2955.0</v>
      </c>
      <c r="G4061" s="220">
        <v>43483.0</v>
      </c>
    </row>
    <row r="4062">
      <c r="A4062" s="217">
        <v>43484.45448472222</v>
      </c>
      <c r="B4062" s="218" t="s">
        <v>5092</v>
      </c>
      <c r="C4062" s="218" t="s">
        <v>4648</v>
      </c>
      <c r="D4062" s="219">
        <v>1.0</v>
      </c>
      <c r="E4062" s="218">
        <v>799.0</v>
      </c>
      <c r="G4062" s="220">
        <v>43484.0</v>
      </c>
    </row>
    <row r="4063">
      <c r="A4063" s="217">
        <v>43484.49669314815</v>
      </c>
      <c r="B4063" s="218" t="s">
        <v>5184</v>
      </c>
      <c r="C4063" s="218" t="s">
        <v>7408</v>
      </c>
      <c r="D4063" s="219">
        <v>1.0</v>
      </c>
      <c r="E4063" s="218">
        <v>400.0</v>
      </c>
      <c r="G4063" s="220">
        <v>43484.0</v>
      </c>
    </row>
    <row r="4064">
      <c r="A4064" s="217">
        <v>43484.4976256713</v>
      </c>
      <c r="B4064" s="218" t="s">
        <v>5184</v>
      </c>
      <c r="C4064" s="218" t="s">
        <v>5786</v>
      </c>
      <c r="D4064" s="219">
        <v>1.0</v>
      </c>
      <c r="E4064" s="218">
        <v>300.0</v>
      </c>
      <c r="G4064" s="220">
        <v>43484.0</v>
      </c>
    </row>
    <row r="4065">
      <c r="A4065" s="217">
        <v>43484.4982434375</v>
      </c>
      <c r="B4065" s="218" t="s">
        <v>5184</v>
      </c>
      <c r="C4065" s="218" t="s">
        <v>6053</v>
      </c>
      <c r="D4065" s="219">
        <v>1.0</v>
      </c>
      <c r="E4065" s="218">
        <v>300.0</v>
      </c>
      <c r="G4065" s="220">
        <v>43484.0</v>
      </c>
    </row>
    <row r="4066">
      <c r="A4066" s="217">
        <v>43484.50138553241</v>
      </c>
      <c r="B4066" s="218" t="s">
        <v>5184</v>
      </c>
      <c r="C4066" s="218" t="s">
        <v>5786</v>
      </c>
      <c r="D4066" s="219">
        <v>1.0</v>
      </c>
      <c r="E4066" s="218">
        <v>300.0</v>
      </c>
      <c r="G4066" s="220">
        <v>43484.0</v>
      </c>
    </row>
    <row r="4067">
      <c r="A4067" s="217">
        <v>43484.505630706015</v>
      </c>
      <c r="B4067" s="218" t="s">
        <v>5184</v>
      </c>
      <c r="C4067" s="218" t="s">
        <v>7826</v>
      </c>
      <c r="D4067" s="219">
        <v>1.0</v>
      </c>
      <c r="E4067" s="218">
        <v>300.0</v>
      </c>
      <c r="G4067" s="220">
        <v>43484.0</v>
      </c>
    </row>
    <row r="4068">
      <c r="A4068" s="217">
        <v>43484.579109224534</v>
      </c>
      <c r="B4068" s="218" t="s">
        <v>5184</v>
      </c>
      <c r="C4068" s="218" t="s">
        <v>244</v>
      </c>
      <c r="D4068" s="219">
        <v>1.0</v>
      </c>
      <c r="E4068" s="218">
        <v>600.0</v>
      </c>
      <c r="G4068" s="220">
        <v>43484.0</v>
      </c>
    </row>
    <row r="4069">
      <c r="A4069" s="217">
        <v>43484.579781215274</v>
      </c>
      <c r="B4069" s="218" t="s">
        <v>5184</v>
      </c>
      <c r="C4069" s="218" t="s">
        <v>7408</v>
      </c>
      <c r="D4069" s="219">
        <v>1.0</v>
      </c>
      <c r="E4069" s="218">
        <v>200.0</v>
      </c>
      <c r="G4069" s="220">
        <v>43484.0</v>
      </c>
    </row>
    <row r="4070">
      <c r="A4070" s="217">
        <v>43484.58095028935</v>
      </c>
      <c r="B4070" s="218" t="s">
        <v>5184</v>
      </c>
      <c r="C4070" s="218" t="s">
        <v>5786</v>
      </c>
      <c r="D4070" s="219">
        <v>1.0</v>
      </c>
      <c r="E4070" s="218">
        <v>300.0</v>
      </c>
      <c r="G4070" s="220">
        <v>43484.0</v>
      </c>
    </row>
    <row r="4071">
      <c r="A4071" s="217">
        <v>43484.583491655096</v>
      </c>
      <c r="B4071" s="218" t="s">
        <v>5184</v>
      </c>
      <c r="C4071" s="218" t="s">
        <v>244</v>
      </c>
      <c r="D4071" s="219">
        <v>1.0</v>
      </c>
      <c r="E4071" s="218">
        <v>500.0</v>
      </c>
      <c r="G4071" s="220">
        <v>43484.0</v>
      </c>
    </row>
    <row r="4072">
      <c r="A4072" s="217">
        <v>43484.58520427083</v>
      </c>
      <c r="B4072" s="218" t="s">
        <v>5184</v>
      </c>
      <c r="C4072" s="218" t="s">
        <v>7830</v>
      </c>
      <c r="D4072" s="219">
        <v>1.0</v>
      </c>
      <c r="E4072" s="218">
        <v>400.0</v>
      </c>
      <c r="G4072" s="220">
        <v>43484.0</v>
      </c>
    </row>
    <row r="4073">
      <c r="A4073" s="217">
        <v>43484.58589555556</v>
      </c>
      <c r="B4073" s="218" t="s">
        <v>5184</v>
      </c>
      <c r="C4073" s="218" t="s">
        <v>6053</v>
      </c>
      <c r="D4073" s="219">
        <v>1.0</v>
      </c>
      <c r="E4073" s="218">
        <v>300.0</v>
      </c>
      <c r="G4073" s="220">
        <v>43484.0</v>
      </c>
    </row>
    <row r="4074">
      <c r="A4074" s="217">
        <v>43484.59491586806</v>
      </c>
      <c r="B4074" s="218" t="s">
        <v>5184</v>
      </c>
      <c r="C4074" s="218" t="s">
        <v>5786</v>
      </c>
      <c r="D4074" s="219">
        <v>1.0</v>
      </c>
      <c r="E4074" s="218">
        <v>300.0</v>
      </c>
      <c r="G4074" s="220">
        <v>43484.0</v>
      </c>
    </row>
    <row r="4075">
      <c r="A4075" s="217">
        <v>43484.59592248843</v>
      </c>
      <c r="B4075" s="218" t="s">
        <v>5184</v>
      </c>
      <c r="C4075" s="218" t="s">
        <v>6053</v>
      </c>
      <c r="D4075" s="219">
        <v>2.0</v>
      </c>
      <c r="E4075" s="218">
        <v>300.0</v>
      </c>
      <c r="G4075" s="220">
        <v>43484.0</v>
      </c>
    </row>
    <row r="4076">
      <c r="A4076" s="217">
        <v>43484.627331006945</v>
      </c>
      <c r="B4076" s="218" t="s">
        <v>5184</v>
      </c>
      <c r="C4076" s="218" t="s">
        <v>5789</v>
      </c>
      <c r="D4076" s="219">
        <v>1.0</v>
      </c>
      <c r="E4076" s="218">
        <v>400.0</v>
      </c>
      <c r="G4076" s="220">
        <v>43484.0</v>
      </c>
    </row>
    <row r="4077">
      <c r="A4077" s="217">
        <v>43484.62836707176</v>
      </c>
      <c r="B4077" s="218" t="s">
        <v>5184</v>
      </c>
      <c r="C4077" s="218" t="s">
        <v>244</v>
      </c>
      <c r="D4077" s="219">
        <v>1.0</v>
      </c>
      <c r="E4077" s="218">
        <v>600.0</v>
      </c>
      <c r="G4077" s="220">
        <v>43484.0</v>
      </c>
    </row>
    <row r="4078">
      <c r="A4078" s="217">
        <v>43484.64477979166</v>
      </c>
      <c r="B4078" s="218" t="s">
        <v>5184</v>
      </c>
      <c r="C4078" s="218" t="s">
        <v>284</v>
      </c>
      <c r="D4078" s="219">
        <v>1.0</v>
      </c>
      <c r="E4078" s="218">
        <v>400.0</v>
      </c>
      <c r="G4078" s="220">
        <v>43484.0</v>
      </c>
    </row>
    <row r="4079">
      <c r="A4079" s="217">
        <v>43484.645635567125</v>
      </c>
      <c r="B4079" s="218" t="s">
        <v>5184</v>
      </c>
      <c r="C4079" s="218" t="s">
        <v>5976</v>
      </c>
      <c r="D4079" s="219">
        <v>1.0</v>
      </c>
      <c r="E4079" s="218">
        <v>400.0</v>
      </c>
      <c r="G4079" s="220">
        <v>43484.0</v>
      </c>
    </row>
    <row r="4080">
      <c r="A4080" s="217">
        <v>43484.78762641204</v>
      </c>
      <c r="B4080" s="218" t="s">
        <v>5092</v>
      </c>
      <c r="C4080" s="218" t="s">
        <v>6053</v>
      </c>
      <c r="D4080" s="219">
        <v>1.0</v>
      </c>
      <c r="E4080" s="218">
        <v>300.0</v>
      </c>
      <c r="G4080" s="220">
        <v>43484.0</v>
      </c>
    </row>
    <row r="4081">
      <c r="A4081" s="217">
        <v>43484.78830010416</v>
      </c>
      <c r="B4081" s="218" t="s">
        <v>5092</v>
      </c>
      <c r="C4081" s="218" t="s">
        <v>244</v>
      </c>
      <c r="D4081" s="219">
        <v>0.5</v>
      </c>
      <c r="E4081" s="218">
        <v>600.0</v>
      </c>
      <c r="G4081" s="220">
        <v>43484.0</v>
      </c>
    </row>
    <row r="4082">
      <c r="A4082" s="217">
        <v>43484.78877144676</v>
      </c>
      <c r="B4082" s="218" t="s">
        <v>5092</v>
      </c>
      <c r="C4082" s="218" t="s">
        <v>6053</v>
      </c>
      <c r="D4082" s="219">
        <v>2.0</v>
      </c>
      <c r="E4082" s="218">
        <v>300.0</v>
      </c>
      <c r="G4082" s="220">
        <v>43484.0</v>
      </c>
    </row>
    <row r="4083">
      <c r="A4083" s="217">
        <v>43486.42944628472</v>
      </c>
      <c r="B4083" s="218" t="s">
        <v>5184</v>
      </c>
      <c r="C4083" s="218" t="s">
        <v>5786</v>
      </c>
      <c r="D4083" s="219">
        <v>1.0</v>
      </c>
      <c r="E4083" s="218">
        <v>400.0</v>
      </c>
      <c r="G4083" s="220">
        <v>43484.0</v>
      </c>
    </row>
    <row r="4084">
      <c r="A4084" s="217">
        <v>43486.4303399537</v>
      </c>
      <c r="B4084" s="218" t="s">
        <v>5184</v>
      </c>
      <c r="C4084" s="218" t="s">
        <v>284</v>
      </c>
      <c r="D4084" s="219">
        <v>1.0</v>
      </c>
      <c r="E4084" s="218">
        <v>400.0</v>
      </c>
      <c r="G4084" s="220">
        <v>43484.0</v>
      </c>
    </row>
    <row r="4085">
      <c r="A4085" s="217">
        <v>43486.43214929398</v>
      </c>
      <c r="B4085" s="218" t="s">
        <v>5184</v>
      </c>
      <c r="C4085" s="218" t="s">
        <v>5786</v>
      </c>
      <c r="D4085" s="219">
        <v>1.0</v>
      </c>
      <c r="E4085" s="218">
        <v>300.0</v>
      </c>
      <c r="G4085" s="220">
        <v>43484.0</v>
      </c>
    </row>
    <row r="4086">
      <c r="A4086" s="217">
        <v>43486.43346216435</v>
      </c>
      <c r="B4086" s="218" t="s">
        <v>5184</v>
      </c>
      <c r="C4086" s="218" t="s">
        <v>244</v>
      </c>
      <c r="D4086" s="219">
        <v>1.0</v>
      </c>
      <c r="E4086" s="218">
        <v>400.0</v>
      </c>
      <c r="G4086" s="220">
        <v>43484.0</v>
      </c>
    </row>
    <row r="4087">
      <c r="A4087" s="217">
        <v>43486.434538981484</v>
      </c>
      <c r="B4087" s="218" t="s">
        <v>5184</v>
      </c>
      <c r="C4087" s="218" t="s">
        <v>7800</v>
      </c>
      <c r="D4087" s="219">
        <v>1.0</v>
      </c>
      <c r="E4087" s="218">
        <v>300.0</v>
      </c>
      <c r="G4087" s="220">
        <v>43484.0</v>
      </c>
    </row>
    <row r="4088">
      <c r="A4088" s="217">
        <v>43486.43523133102</v>
      </c>
      <c r="B4088" s="218" t="s">
        <v>5184</v>
      </c>
      <c r="C4088" s="218" t="s">
        <v>244</v>
      </c>
      <c r="D4088" s="219">
        <v>1.0</v>
      </c>
      <c r="E4088" s="218">
        <v>600.0</v>
      </c>
      <c r="G4088" s="220">
        <v>43484.0</v>
      </c>
    </row>
    <row r="4089">
      <c r="A4089" s="217">
        <v>43486.43709747685</v>
      </c>
      <c r="B4089" s="218" t="s">
        <v>5184</v>
      </c>
      <c r="C4089" s="218" t="s">
        <v>7792</v>
      </c>
      <c r="D4089" s="219">
        <v>1.0</v>
      </c>
      <c r="E4089" s="218">
        <v>400.0</v>
      </c>
      <c r="G4089" s="220">
        <v>43484.0</v>
      </c>
    </row>
    <row r="4090">
      <c r="A4090" s="217">
        <v>43486.437668530096</v>
      </c>
      <c r="B4090" s="218" t="s">
        <v>5184</v>
      </c>
      <c r="C4090" s="218" t="s">
        <v>284</v>
      </c>
      <c r="D4090" s="219">
        <v>1.0</v>
      </c>
      <c r="E4090" s="218">
        <v>400.0</v>
      </c>
      <c r="G4090" s="220">
        <v>43484.0</v>
      </c>
    </row>
    <row r="4091">
      <c r="A4091" s="217">
        <v>43486.43832581019</v>
      </c>
      <c r="B4091" s="218" t="s">
        <v>5184</v>
      </c>
      <c r="C4091" s="218" t="s">
        <v>7800</v>
      </c>
      <c r="D4091" s="219">
        <v>1.0</v>
      </c>
      <c r="E4091" s="218">
        <v>300.0</v>
      </c>
      <c r="G4091" s="220">
        <v>43484.0</v>
      </c>
    </row>
    <row r="4092">
      <c r="A4092" s="217">
        <v>43486.438808321764</v>
      </c>
      <c r="B4092" s="218" t="s">
        <v>5184</v>
      </c>
      <c r="C4092" s="218" t="s">
        <v>6053</v>
      </c>
      <c r="D4092" s="219">
        <v>1.0</v>
      </c>
      <c r="E4092" s="218">
        <v>300.0</v>
      </c>
      <c r="G4092" s="220">
        <v>43484.0</v>
      </c>
    </row>
    <row r="4093">
      <c r="A4093" s="217">
        <v>43486.51416460648</v>
      </c>
      <c r="B4093" s="218" t="s">
        <v>5184</v>
      </c>
      <c r="C4093" s="218" t="s">
        <v>5976</v>
      </c>
      <c r="D4093" s="219">
        <v>1.0</v>
      </c>
      <c r="E4093" s="218">
        <v>200.0</v>
      </c>
      <c r="G4093" s="220">
        <v>43486.0</v>
      </c>
    </row>
    <row r="4094">
      <c r="A4094" s="217">
        <v>43486.514971516204</v>
      </c>
      <c r="B4094" s="218" t="s">
        <v>5184</v>
      </c>
      <c r="C4094" s="218" t="s">
        <v>7754</v>
      </c>
      <c r="D4094" s="219">
        <v>1.0</v>
      </c>
      <c r="E4094" s="218">
        <v>600.0</v>
      </c>
      <c r="G4094" s="220">
        <v>43486.0</v>
      </c>
    </row>
    <row r="4095">
      <c r="A4095" s="217">
        <v>43486.57160412037</v>
      </c>
      <c r="B4095" s="218" t="s">
        <v>5184</v>
      </c>
      <c r="C4095" s="218" t="s">
        <v>5789</v>
      </c>
      <c r="D4095" s="219">
        <v>1.0</v>
      </c>
      <c r="E4095" s="218">
        <v>400.0</v>
      </c>
      <c r="G4095" s="220">
        <v>43486.0</v>
      </c>
    </row>
    <row r="4096">
      <c r="A4096" s="217">
        <v>43486.57248662037</v>
      </c>
      <c r="B4096" s="218" t="s">
        <v>5184</v>
      </c>
      <c r="C4096" s="218" t="s">
        <v>244</v>
      </c>
      <c r="D4096" s="219">
        <v>1.0</v>
      </c>
      <c r="E4096" s="218">
        <v>600.0</v>
      </c>
      <c r="G4096" s="220">
        <v>43486.0</v>
      </c>
    </row>
    <row r="4097">
      <c r="A4097" s="217">
        <v>43486.57359221065</v>
      </c>
      <c r="B4097" s="218" t="s">
        <v>5184</v>
      </c>
      <c r="C4097" s="218" t="s">
        <v>5786</v>
      </c>
      <c r="D4097" s="219">
        <v>1.0</v>
      </c>
      <c r="E4097" s="218">
        <v>300.0</v>
      </c>
      <c r="G4097" s="220">
        <v>43486.0</v>
      </c>
    </row>
    <row r="4098">
      <c r="A4098" s="217">
        <v>43486.57419784722</v>
      </c>
      <c r="B4098" s="218" t="s">
        <v>5184</v>
      </c>
      <c r="C4098" s="218" t="s">
        <v>284</v>
      </c>
      <c r="D4098" s="219">
        <v>1.0</v>
      </c>
      <c r="E4098" s="218">
        <v>400.0</v>
      </c>
      <c r="G4098" s="220">
        <v>43486.0</v>
      </c>
    </row>
    <row r="4099">
      <c r="A4099" s="217">
        <v>43486.57505782407</v>
      </c>
      <c r="B4099" s="218" t="s">
        <v>5184</v>
      </c>
      <c r="C4099" s="218" t="s">
        <v>5789</v>
      </c>
      <c r="D4099" s="219">
        <v>1.0</v>
      </c>
      <c r="E4099" s="218">
        <v>400.0</v>
      </c>
      <c r="G4099" s="220">
        <v>43486.0</v>
      </c>
    </row>
    <row r="4100">
      <c r="A4100" s="217">
        <v>43486.575928101855</v>
      </c>
      <c r="B4100" s="218" t="s">
        <v>5184</v>
      </c>
      <c r="C4100" s="218" t="s">
        <v>6053</v>
      </c>
      <c r="D4100" s="219">
        <v>1.0</v>
      </c>
      <c r="E4100" s="218">
        <v>300.0</v>
      </c>
      <c r="G4100" s="220">
        <v>43486.0</v>
      </c>
    </row>
    <row r="4101">
      <c r="A4101" s="217">
        <v>43486.58305729167</v>
      </c>
      <c r="B4101" s="218" t="s">
        <v>5184</v>
      </c>
      <c r="C4101" s="218" t="s">
        <v>6053</v>
      </c>
      <c r="D4101" s="219">
        <v>1.0</v>
      </c>
      <c r="E4101" s="218">
        <v>300.0</v>
      </c>
      <c r="G4101" s="220">
        <v>43486.0</v>
      </c>
    </row>
    <row r="4102">
      <c r="A4102" s="217">
        <v>43487.43578804398</v>
      </c>
      <c r="B4102" s="218" t="s">
        <v>5092</v>
      </c>
      <c r="C4102" s="218" t="s">
        <v>244</v>
      </c>
      <c r="D4102" s="219">
        <v>2.5</v>
      </c>
      <c r="E4102" s="218">
        <v>600.0</v>
      </c>
      <c r="G4102" s="220">
        <v>43486.0</v>
      </c>
    </row>
    <row r="4103">
      <c r="A4103" s="217">
        <v>43487.4378803588</v>
      </c>
      <c r="B4103" s="218" t="s">
        <v>5092</v>
      </c>
      <c r="C4103" s="218" t="s">
        <v>244</v>
      </c>
      <c r="D4103" s="219">
        <v>1.0</v>
      </c>
      <c r="E4103" s="218">
        <v>600.0</v>
      </c>
      <c r="G4103" s="220">
        <v>43486.0</v>
      </c>
    </row>
    <row r="4104">
      <c r="A4104" s="217">
        <v>43487.439242465276</v>
      </c>
      <c r="B4104" s="218" t="s">
        <v>5092</v>
      </c>
      <c r="C4104" s="218" t="s">
        <v>7754</v>
      </c>
      <c r="D4104" s="219">
        <v>0.5</v>
      </c>
      <c r="E4104" s="218">
        <v>300.0</v>
      </c>
      <c r="G4104" s="220">
        <v>43486.0</v>
      </c>
    </row>
    <row r="4105">
      <c r="A4105" s="217">
        <v>43487.44108266204</v>
      </c>
      <c r="B4105" s="218" t="s">
        <v>5092</v>
      </c>
      <c r="C4105" s="218" t="s">
        <v>284</v>
      </c>
      <c r="D4105" s="219">
        <v>2.5</v>
      </c>
      <c r="E4105" s="218">
        <v>400.0</v>
      </c>
      <c r="G4105" s="220">
        <v>43486.0</v>
      </c>
    </row>
    <row r="4106">
      <c r="A4106" s="217">
        <v>43487.44178770833</v>
      </c>
      <c r="B4106" s="218" t="s">
        <v>5092</v>
      </c>
      <c r="C4106" s="218" t="s">
        <v>6053</v>
      </c>
      <c r="D4106" s="219">
        <v>0.5</v>
      </c>
      <c r="E4106" s="218">
        <v>150.0</v>
      </c>
      <c r="G4106" s="220">
        <v>43486.0</v>
      </c>
    </row>
    <row r="4107">
      <c r="A4107" s="217">
        <v>43487.44260571759</v>
      </c>
      <c r="B4107" s="218" t="s">
        <v>5092</v>
      </c>
      <c r="C4107" s="218" t="s">
        <v>7754</v>
      </c>
      <c r="D4107" s="219">
        <v>0.5</v>
      </c>
      <c r="E4107" s="218">
        <v>300.0</v>
      </c>
      <c r="G4107" s="220">
        <v>43486.0</v>
      </c>
    </row>
    <row r="4108">
      <c r="A4108" s="217">
        <v>43487.44326983797</v>
      </c>
      <c r="B4108" s="218" t="s">
        <v>5092</v>
      </c>
      <c r="C4108" s="218" t="s">
        <v>244</v>
      </c>
      <c r="D4108" s="219">
        <v>0.5</v>
      </c>
      <c r="E4108" s="218">
        <v>300.0</v>
      </c>
      <c r="G4108" s="220">
        <v>43486.0</v>
      </c>
    </row>
    <row r="4109">
      <c r="A4109" s="217">
        <v>43487.67366533565</v>
      </c>
      <c r="B4109" s="218" t="s">
        <v>5184</v>
      </c>
      <c r="C4109" s="218" t="s">
        <v>5789</v>
      </c>
      <c r="D4109" s="219">
        <v>1.0</v>
      </c>
      <c r="E4109" s="218">
        <v>400.0</v>
      </c>
      <c r="G4109" s="220">
        <v>43487.0</v>
      </c>
    </row>
    <row r="4110">
      <c r="A4110" s="217">
        <v>43487.674795625004</v>
      </c>
      <c r="B4110" s="218" t="s">
        <v>5184</v>
      </c>
      <c r="C4110" s="218" t="s">
        <v>6038</v>
      </c>
      <c r="D4110" s="219">
        <v>1.0</v>
      </c>
      <c r="E4110" s="218">
        <v>600.0</v>
      </c>
      <c r="G4110" s="220">
        <v>43487.0</v>
      </c>
    </row>
    <row r="4111">
      <c r="A4111" s="217">
        <v>43487.72475458334</v>
      </c>
      <c r="B4111" s="218" t="s">
        <v>5184</v>
      </c>
      <c r="C4111" s="218" t="s">
        <v>6053</v>
      </c>
      <c r="D4111" s="238" t="s">
        <v>7659</v>
      </c>
      <c r="E4111" s="218">
        <v>150.0</v>
      </c>
      <c r="G4111" s="220">
        <v>43487.0</v>
      </c>
    </row>
    <row r="4112">
      <c r="A4112" s="217">
        <v>43488.43112685185</v>
      </c>
      <c r="B4112" s="218" t="s">
        <v>5184</v>
      </c>
      <c r="C4112" s="218" t="s">
        <v>7767</v>
      </c>
      <c r="D4112" s="219">
        <v>10.0</v>
      </c>
      <c r="E4112" s="218">
        <v>100.0</v>
      </c>
      <c r="G4112" s="220">
        <v>43487.0</v>
      </c>
    </row>
    <row r="4113">
      <c r="A4113" s="217">
        <v>43488.4514602662</v>
      </c>
      <c r="B4113" s="218" t="s">
        <v>5092</v>
      </c>
      <c r="C4113" s="218" t="s">
        <v>7099</v>
      </c>
      <c r="D4113" s="219">
        <v>1.0</v>
      </c>
      <c r="E4113" s="24"/>
      <c r="G4113" s="220">
        <v>43484.0</v>
      </c>
    </row>
    <row r="4114">
      <c r="A4114" s="217">
        <v>43488.454203182875</v>
      </c>
      <c r="B4114" s="218" t="s">
        <v>5092</v>
      </c>
      <c r="C4114" s="218" t="s">
        <v>1865</v>
      </c>
      <c r="D4114" s="219">
        <v>1.0</v>
      </c>
      <c r="E4114" s="24"/>
      <c r="G4114" s="220">
        <v>43484.0</v>
      </c>
    </row>
    <row r="4115">
      <c r="A4115" s="217">
        <v>43488.459049178244</v>
      </c>
      <c r="B4115" s="218" t="s">
        <v>2322</v>
      </c>
      <c r="C4115" s="218" t="s">
        <v>7848</v>
      </c>
      <c r="D4115" s="219">
        <v>1.0</v>
      </c>
      <c r="E4115" s="218">
        <v>895.0</v>
      </c>
      <c r="G4115" s="220">
        <v>43486.0</v>
      </c>
    </row>
    <row r="4116">
      <c r="A4116" s="217">
        <v>43488.624518240744</v>
      </c>
      <c r="B4116" s="218" t="s">
        <v>5184</v>
      </c>
      <c r="C4116" s="218" t="s">
        <v>4648</v>
      </c>
      <c r="D4116" s="219">
        <v>1.0</v>
      </c>
      <c r="E4116" s="218">
        <v>799.0</v>
      </c>
      <c r="G4116" s="220">
        <v>43483.0</v>
      </c>
    </row>
    <row r="4117">
      <c r="A4117" s="217">
        <v>43488.630591678244</v>
      </c>
      <c r="B4117" s="218" t="s">
        <v>5184</v>
      </c>
      <c r="C4117" s="218" t="s">
        <v>7853</v>
      </c>
      <c r="D4117" s="219">
        <v>1.0</v>
      </c>
      <c r="E4117" s="218">
        <v>5790.0</v>
      </c>
      <c r="G4117" s="220">
        <v>43487.0</v>
      </c>
    </row>
    <row r="4118">
      <c r="A4118" s="217">
        <v>43488.63231724537</v>
      </c>
      <c r="B4118" s="218" t="s">
        <v>5184</v>
      </c>
      <c r="C4118" s="218" t="s">
        <v>7855</v>
      </c>
      <c r="D4118" s="219">
        <v>1.0</v>
      </c>
      <c r="E4118" s="218">
        <v>2000.0</v>
      </c>
      <c r="G4118" s="220">
        <v>43487.0</v>
      </c>
    </row>
    <row r="4119">
      <c r="A4119" s="217">
        <v>43488.64827293981</v>
      </c>
      <c r="B4119" s="218" t="s">
        <v>5184</v>
      </c>
      <c r="C4119" s="218" t="s">
        <v>5716</v>
      </c>
      <c r="D4119" s="219">
        <v>1.0</v>
      </c>
      <c r="E4119" s="218">
        <v>1800.0</v>
      </c>
      <c r="G4119" s="220">
        <v>43485.0</v>
      </c>
    </row>
    <row r="4120">
      <c r="A4120" s="217">
        <v>43488.65119884259</v>
      </c>
      <c r="B4120" s="218" t="s">
        <v>5184</v>
      </c>
      <c r="C4120" s="218" t="s">
        <v>6053</v>
      </c>
      <c r="D4120" s="219">
        <v>1.0</v>
      </c>
      <c r="E4120" s="218">
        <v>300.0</v>
      </c>
      <c r="G4120" s="220">
        <v>43485.0</v>
      </c>
    </row>
    <row r="4121">
      <c r="A4121" s="217">
        <v>43488.65255101852</v>
      </c>
      <c r="B4121" s="218" t="s">
        <v>5184</v>
      </c>
      <c r="C4121" s="218" t="s">
        <v>2710</v>
      </c>
      <c r="D4121" s="219">
        <v>1.0</v>
      </c>
      <c r="E4121" s="218">
        <v>1000.0</v>
      </c>
      <c r="G4121" s="220">
        <v>43485.0</v>
      </c>
    </row>
    <row r="4122">
      <c r="A4122" s="217">
        <v>43488.65350034722</v>
      </c>
      <c r="B4122" s="218" t="s">
        <v>5184</v>
      </c>
      <c r="C4122" s="218" t="s">
        <v>284</v>
      </c>
      <c r="D4122" s="219">
        <v>1.0</v>
      </c>
      <c r="E4122" s="218">
        <v>400.0</v>
      </c>
      <c r="G4122" s="220">
        <v>43485.0</v>
      </c>
    </row>
    <row r="4123">
      <c r="A4123" s="217">
        <v>43488.65725721065</v>
      </c>
      <c r="B4123" s="218" t="s">
        <v>5184</v>
      </c>
      <c r="C4123" s="218" t="s">
        <v>244</v>
      </c>
      <c r="D4123" s="219">
        <v>1.0</v>
      </c>
      <c r="E4123" s="218">
        <v>400.0</v>
      </c>
      <c r="G4123" s="220">
        <v>43488.0</v>
      </c>
    </row>
    <row r="4124">
      <c r="A4124" s="217">
        <v>43489.61240730324</v>
      </c>
      <c r="B4124" s="218" t="s">
        <v>5184</v>
      </c>
      <c r="C4124" s="218" t="s">
        <v>7859</v>
      </c>
      <c r="D4124" s="219">
        <v>1.0</v>
      </c>
      <c r="E4124" s="218">
        <v>200.0</v>
      </c>
      <c r="G4124" s="220">
        <v>43488.0</v>
      </c>
    </row>
    <row r="4125">
      <c r="A4125" s="217">
        <v>43489.613240833336</v>
      </c>
      <c r="B4125" s="218" t="s">
        <v>5184</v>
      </c>
      <c r="C4125" s="218" t="s">
        <v>6053</v>
      </c>
      <c r="D4125" s="219">
        <v>1.0</v>
      </c>
      <c r="E4125" s="218">
        <v>300.0</v>
      </c>
      <c r="G4125" s="220">
        <v>43488.0</v>
      </c>
    </row>
    <row r="4126">
      <c r="A4126" s="217">
        <v>43490.41334694445</v>
      </c>
      <c r="B4126" s="218" t="s">
        <v>5092</v>
      </c>
      <c r="C4126" s="218" t="s">
        <v>244</v>
      </c>
      <c r="D4126" s="219">
        <v>0.5</v>
      </c>
      <c r="E4126" s="218">
        <v>400.0</v>
      </c>
      <c r="G4126" s="220">
        <v>43489.0</v>
      </c>
    </row>
    <row r="4127">
      <c r="A4127" s="217">
        <v>43490.41398077546</v>
      </c>
      <c r="B4127" s="218" t="s">
        <v>5092</v>
      </c>
      <c r="C4127" s="218" t="s">
        <v>284</v>
      </c>
      <c r="D4127" s="219">
        <v>1.0</v>
      </c>
      <c r="E4127" s="218">
        <v>400.0</v>
      </c>
      <c r="G4127" s="220">
        <v>43488.0</v>
      </c>
    </row>
    <row r="4128">
      <c r="A4128" s="217">
        <v>43490.41455943287</v>
      </c>
      <c r="B4128" s="218" t="s">
        <v>5092</v>
      </c>
      <c r="C4128" s="218" t="s">
        <v>244</v>
      </c>
      <c r="D4128" s="219">
        <v>1.0</v>
      </c>
      <c r="E4128" s="218">
        <v>400.0</v>
      </c>
      <c r="G4128" s="220">
        <v>43488.0</v>
      </c>
    </row>
    <row r="4129">
      <c r="A4129" s="217">
        <v>43490.41500504629</v>
      </c>
      <c r="B4129" s="218" t="s">
        <v>5092</v>
      </c>
      <c r="C4129" s="218" t="s">
        <v>244</v>
      </c>
      <c r="D4129" s="219">
        <v>1.5</v>
      </c>
      <c r="E4129" s="218">
        <v>400.0</v>
      </c>
      <c r="G4129" s="220">
        <v>43488.0</v>
      </c>
    </row>
    <row r="4130">
      <c r="A4130" s="217">
        <v>43490.50732986111</v>
      </c>
      <c r="B4130" s="218" t="s">
        <v>5184</v>
      </c>
      <c r="C4130" s="218" t="s">
        <v>5804</v>
      </c>
      <c r="D4130" s="219">
        <v>1.0</v>
      </c>
      <c r="E4130" s="218">
        <v>300.0</v>
      </c>
      <c r="G4130" s="220">
        <v>43490.0</v>
      </c>
    </row>
    <row r="4131">
      <c r="A4131" s="217">
        <v>43490.50823740741</v>
      </c>
      <c r="B4131" s="218" t="s">
        <v>5184</v>
      </c>
      <c r="C4131" s="218" t="s">
        <v>6053</v>
      </c>
      <c r="D4131" s="219">
        <v>1.0</v>
      </c>
      <c r="E4131" s="218">
        <v>300.0</v>
      </c>
      <c r="G4131" s="220">
        <v>43490.0</v>
      </c>
    </row>
    <row r="4132">
      <c r="A4132" s="217">
        <v>43490.545734988424</v>
      </c>
      <c r="B4132" s="218" t="s">
        <v>5184</v>
      </c>
      <c r="C4132" s="218" t="s">
        <v>5818</v>
      </c>
      <c r="D4132" s="219">
        <v>1.0</v>
      </c>
      <c r="E4132" s="218">
        <v>300.0</v>
      </c>
      <c r="G4132" s="220">
        <v>43490.0</v>
      </c>
    </row>
    <row r="4133">
      <c r="A4133" s="217">
        <v>43490.54618806713</v>
      </c>
      <c r="B4133" s="218" t="s">
        <v>5184</v>
      </c>
      <c r="C4133" s="218" t="s">
        <v>6053</v>
      </c>
      <c r="D4133" s="219">
        <v>1.0</v>
      </c>
      <c r="E4133" s="218">
        <v>300.0</v>
      </c>
      <c r="G4133" s="220">
        <v>43490.0</v>
      </c>
    </row>
    <row r="4134">
      <c r="A4134" s="217">
        <v>43490.60975405092</v>
      </c>
      <c r="B4134" s="218" t="s">
        <v>5184</v>
      </c>
      <c r="C4134" s="218" t="s">
        <v>5786</v>
      </c>
      <c r="D4134" s="219">
        <v>1.0</v>
      </c>
      <c r="E4134" s="218">
        <v>300.0</v>
      </c>
      <c r="G4134" s="220">
        <v>43490.0</v>
      </c>
    </row>
    <row r="4135">
      <c r="A4135" s="217">
        <v>43490.61043540509</v>
      </c>
      <c r="B4135" s="218" t="s">
        <v>5184</v>
      </c>
      <c r="C4135" s="218" t="s">
        <v>284</v>
      </c>
      <c r="D4135" s="219">
        <v>1.0</v>
      </c>
      <c r="E4135" s="218">
        <v>400.0</v>
      </c>
      <c r="G4135" s="220">
        <v>43490.0</v>
      </c>
    </row>
    <row r="4136">
      <c r="A4136" s="217">
        <v>43490.73843167824</v>
      </c>
      <c r="B4136" s="218" t="s">
        <v>5184</v>
      </c>
      <c r="C4136" s="218" t="s">
        <v>7496</v>
      </c>
      <c r="D4136" s="219">
        <v>1.0</v>
      </c>
      <c r="E4136" s="218">
        <v>250.0</v>
      </c>
      <c r="G4136" s="220">
        <v>43490.0</v>
      </c>
    </row>
    <row r="4137">
      <c r="A4137" s="217">
        <v>43490.74142045139</v>
      </c>
      <c r="B4137" s="218" t="s">
        <v>5184</v>
      </c>
      <c r="C4137" s="218" t="s">
        <v>5786</v>
      </c>
      <c r="D4137" s="219">
        <v>1.0</v>
      </c>
      <c r="E4137" s="218">
        <v>300.0</v>
      </c>
      <c r="G4137" s="220">
        <v>43490.0</v>
      </c>
    </row>
    <row r="4138">
      <c r="A4138" s="217">
        <v>43490.74220392361</v>
      </c>
      <c r="B4138" s="218" t="s">
        <v>5184</v>
      </c>
      <c r="C4138" s="218" t="s">
        <v>284</v>
      </c>
      <c r="D4138" s="219">
        <v>1.0</v>
      </c>
      <c r="E4138" s="218">
        <v>400.0</v>
      </c>
      <c r="G4138" s="220">
        <v>43490.0</v>
      </c>
    </row>
    <row r="4139">
      <c r="A4139" s="217">
        <v>43491.45385101852</v>
      </c>
      <c r="B4139" s="218" t="s">
        <v>5184</v>
      </c>
      <c r="C4139" s="218" t="s">
        <v>7408</v>
      </c>
      <c r="D4139" s="219">
        <v>1.0</v>
      </c>
      <c r="E4139" s="218">
        <v>400.0</v>
      </c>
      <c r="G4139" s="220">
        <v>43491.0</v>
      </c>
    </row>
    <row r="4140">
      <c r="A4140" s="217">
        <v>43491.680757256945</v>
      </c>
      <c r="B4140" s="218" t="s">
        <v>5184</v>
      </c>
      <c r="C4140" s="218" t="s">
        <v>7496</v>
      </c>
      <c r="D4140" s="219">
        <v>1.0</v>
      </c>
      <c r="E4140" s="218">
        <v>250.0</v>
      </c>
      <c r="G4140" s="220">
        <v>43491.0</v>
      </c>
    </row>
    <row r="4141">
      <c r="A4141" s="217">
        <v>43491.68153138889</v>
      </c>
      <c r="B4141" s="218" t="s">
        <v>5184</v>
      </c>
      <c r="C4141" s="218" t="s">
        <v>6053</v>
      </c>
      <c r="D4141" s="238" t="s">
        <v>7659</v>
      </c>
      <c r="E4141" s="218">
        <v>300.0</v>
      </c>
      <c r="G4141" s="220">
        <v>43491.0</v>
      </c>
    </row>
    <row r="4142">
      <c r="A4142" s="217">
        <v>43491.68208844907</v>
      </c>
      <c r="B4142" s="218" t="s">
        <v>5184</v>
      </c>
      <c r="C4142" s="218" t="s">
        <v>6053</v>
      </c>
      <c r="D4142" s="219">
        <v>1.0</v>
      </c>
      <c r="E4142" s="218">
        <v>300.0</v>
      </c>
      <c r="G4142" s="220">
        <v>43491.0</v>
      </c>
    </row>
    <row r="4143">
      <c r="A4143" s="217">
        <v>43491.68475327546</v>
      </c>
      <c r="B4143" s="218" t="s">
        <v>5184</v>
      </c>
      <c r="C4143" s="218" t="s">
        <v>1235</v>
      </c>
      <c r="D4143" s="219">
        <v>1.0</v>
      </c>
      <c r="E4143" s="218">
        <v>650.0</v>
      </c>
      <c r="G4143" s="220">
        <v>43491.0</v>
      </c>
    </row>
    <row r="4144">
      <c r="A4144" s="217">
        <v>43491.685510428244</v>
      </c>
      <c r="B4144" s="218" t="s">
        <v>5184</v>
      </c>
      <c r="C4144" s="218" t="s">
        <v>7496</v>
      </c>
      <c r="D4144" s="219">
        <v>1.0</v>
      </c>
      <c r="E4144" s="218">
        <v>250.0</v>
      </c>
      <c r="G4144" s="220">
        <v>43491.0</v>
      </c>
    </row>
    <row r="4145">
      <c r="A4145" s="217">
        <v>43491.686380150466</v>
      </c>
      <c r="B4145" s="218" t="s">
        <v>5184</v>
      </c>
      <c r="C4145" s="218" t="s">
        <v>7806</v>
      </c>
      <c r="D4145" s="219">
        <v>1.0</v>
      </c>
      <c r="E4145" s="218">
        <v>600.0</v>
      </c>
      <c r="G4145" s="220">
        <v>43491.0</v>
      </c>
    </row>
    <row r="4146">
      <c r="A4146" s="217">
        <v>43491.68761005787</v>
      </c>
      <c r="B4146" s="218" t="s">
        <v>5184</v>
      </c>
      <c r="C4146" s="218" t="s">
        <v>7754</v>
      </c>
      <c r="D4146" s="219">
        <v>1.0</v>
      </c>
      <c r="E4146" s="218">
        <v>600.0</v>
      </c>
      <c r="G4146" s="220">
        <v>43491.0</v>
      </c>
    </row>
    <row r="4147">
      <c r="A4147" s="217">
        <v>43491.68830392361</v>
      </c>
      <c r="B4147" s="218" t="s">
        <v>5184</v>
      </c>
      <c r="C4147" s="218" t="s">
        <v>7806</v>
      </c>
      <c r="D4147" s="219">
        <v>1.0</v>
      </c>
      <c r="E4147" s="218">
        <v>600.0</v>
      </c>
      <c r="G4147" s="220">
        <v>43491.0</v>
      </c>
    </row>
    <row r="4148">
      <c r="A4148" s="217">
        <v>43491.69096800926</v>
      </c>
      <c r="B4148" s="218" t="s">
        <v>5184</v>
      </c>
      <c r="C4148" s="218" t="s">
        <v>5786</v>
      </c>
      <c r="D4148" s="219">
        <v>1.0</v>
      </c>
      <c r="E4148" s="218">
        <v>300.0</v>
      </c>
      <c r="G4148" s="220">
        <v>43491.0</v>
      </c>
    </row>
    <row r="4149">
      <c r="A4149" s="217">
        <v>43491.69157325232</v>
      </c>
      <c r="B4149" s="218" t="s">
        <v>5184</v>
      </c>
      <c r="C4149" s="218" t="s">
        <v>244</v>
      </c>
      <c r="D4149" s="219">
        <v>1.0</v>
      </c>
      <c r="E4149" s="218">
        <v>400.0</v>
      </c>
      <c r="G4149" s="220">
        <v>43491.0</v>
      </c>
    </row>
    <row r="4150">
      <c r="A4150" s="217">
        <v>43491.69241888889</v>
      </c>
      <c r="B4150" s="218" t="s">
        <v>5184</v>
      </c>
      <c r="C4150" s="218" t="s">
        <v>244</v>
      </c>
      <c r="D4150" s="219">
        <v>1.0</v>
      </c>
      <c r="E4150" s="218">
        <v>400.0</v>
      </c>
      <c r="G4150" s="220">
        <v>43491.0</v>
      </c>
    </row>
    <row r="4151">
      <c r="A4151" s="217">
        <v>43491.69315107639</v>
      </c>
      <c r="B4151" s="218" t="s">
        <v>5184</v>
      </c>
      <c r="C4151" s="218" t="s">
        <v>5848</v>
      </c>
      <c r="D4151" s="219">
        <v>1.0</v>
      </c>
      <c r="E4151" s="218">
        <v>1000.0</v>
      </c>
      <c r="G4151" s="220">
        <v>43491.0</v>
      </c>
    </row>
    <row r="4152">
      <c r="A4152" s="217">
        <v>43491.693756354165</v>
      </c>
      <c r="B4152" s="218" t="s">
        <v>5184</v>
      </c>
      <c r="C4152" s="218" t="s">
        <v>244</v>
      </c>
      <c r="D4152" s="219">
        <v>1.0</v>
      </c>
      <c r="E4152" s="218">
        <v>400.0</v>
      </c>
      <c r="G4152" s="220">
        <v>43491.0</v>
      </c>
    </row>
    <row r="4153">
      <c r="A4153" s="217">
        <v>43491.694597361115</v>
      </c>
      <c r="B4153" s="218" t="s">
        <v>5184</v>
      </c>
      <c r="C4153" s="218" t="s">
        <v>6001</v>
      </c>
      <c r="D4153" s="219">
        <v>1.0</v>
      </c>
      <c r="E4153" s="218">
        <v>500.0</v>
      </c>
      <c r="G4153" s="220">
        <v>43491.0</v>
      </c>
    </row>
    <row r="4154">
      <c r="A4154" s="217">
        <v>43491.69514952546</v>
      </c>
      <c r="B4154" s="218" t="s">
        <v>5184</v>
      </c>
      <c r="C4154" s="218" t="s">
        <v>6053</v>
      </c>
      <c r="D4154" s="219">
        <v>1.0</v>
      </c>
      <c r="E4154" s="218">
        <v>300.0</v>
      </c>
      <c r="G4154" s="220">
        <v>43491.0</v>
      </c>
    </row>
    <row r="4155">
      <c r="A4155" s="217">
        <v>43491.695664837964</v>
      </c>
      <c r="B4155" s="218" t="s">
        <v>5184</v>
      </c>
      <c r="C4155" s="218" t="s">
        <v>5786</v>
      </c>
      <c r="D4155" s="219">
        <v>1.0</v>
      </c>
      <c r="E4155" s="218">
        <v>300.0</v>
      </c>
      <c r="G4155" s="220">
        <v>43491.0</v>
      </c>
    </row>
    <row r="4156">
      <c r="A4156" s="217">
        <v>43491.69626261574</v>
      </c>
      <c r="B4156" s="218" t="s">
        <v>5184</v>
      </c>
      <c r="C4156" s="218" t="s">
        <v>6053</v>
      </c>
      <c r="D4156" s="219">
        <v>1.0</v>
      </c>
      <c r="E4156" s="218">
        <v>300.0</v>
      </c>
      <c r="G4156" s="220">
        <v>43491.0</v>
      </c>
    </row>
    <row r="4157">
      <c r="A4157" s="217">
        <v>43491.69693489584</v>
      </c>
      <c r="B4157" s="218" t="s">
        <v>5184</v>
      </c>
      <c r="C4157" s="218" t="s">
        <v>284</v>
      </c>
      <c r="D4157" s="219">
        <v>1.0</v>
      </c>
      <c r="E4157" s="218">
        <v>400.0</v>
      </c>
      <c r="G4157" s="220">
        <v>43491.0</v>
      </c>
    </row>
    <row r="4158">
      <c r="A4158" s="217">
        <v>43491.70651452546</v>
      </c>
      <c r="B4158" s="218" t="s">
        <v>5184</v>
      </c>
      <c r="C4158" s="218" t="s">
        <v>5804</v>
      </c>
      <c r="D4158" s="219">
        <v>1.0</v>
      </c>
      <c r="E4158" s="218">
        <v>300.0</v>
      </c>
      <c r="G4158" s="220">
        <v>43491.0</v>
      </c>
    </row>
    <row r="4159">
      <c r="A4159" s="217">
        <v>43491.70707276621</v>
      </c>
      <c r="B4159" s="218" t="s">
        <v>5184</v>
      </c>
      <c r="C4159" s="218" t="s">
        <v>6053</v>
      </c>
      <c r="D4159" s="219">
        <v>1.0</v>
      </c>
      <c r="E4159" s="218">
        <v>300.0</v>
      </c>
      <c r="G4159" s="220">
        <v>43491.0</v>
      </c>
    </row>
    <row r="4160">
      <c r="A4160" s="217">
        <v>43491.71021065972</v>
      </c>
      <c r="B4160" s="218" t="s">
        <v>5184</v>
      </c>
      <c r="C4160" s="218" t="s">
        <v>7877</v>
      </c>
      <c r="D4160" s="238" t="s">
        <v>7659</v>
      </c>
      <c r="E4160" s="218">
        <v>300.0</v>
      </c>
      <c r="G4160" s="220">
        <v>43491.0</v>
      </c>
    </row>
    <row r="4161">
      <c r="A4161" s="217">
        <v>43491.730487685185</v>
      </c>
      <c r="B4161" s="218" t="s">
        <v>5092</v>
      </c>
      <c r="C4161" s="218" t="s">
        <v>7806</v>
      </c>
      <c r="D4161" s="219">
        <v>13.5</v>
      </c>
      <c r="E4161" s="218">
        <v>600.0</v>
      </c>
      <c r="G4161" s="220">
        <v>43491.0</v>
      </c>
    </row>
    <row r="4162">
      <c r="A4162" s="217">
        <v>43491.731440937496</v>
      </c>
      <c r="B4162" s="218" t="s">
        <v>5092</v>
      </c>
      <c r="C4162" s="218" t="s">
        <v>284</v>
      </c>
      <c r="D4162" s="219">
        <v>7.0</v>
      </c>
      <c r="E4162" s="218">
        <v>400.0</v>
      </c>
      <c r="G4162" s="220">
        <v>43491.0</v>
      </c>
    </row>
    <row r="4163">
      <c r="A4163" s="217">
        <v>43491.73206784722</v>
      </c>
      <c r="B4163" s="218" t="s">
        <v>5092</v>
      </c>
      <c r="C4163" s="218" t="s">
        <v>284</v>
      </c>
      <c r="D4163" s="219">
        <v>6.5</v>
      </c>
      <c r="E4163" s="218">
        <v>400.0</v>
      </c>
      <c r="G4163" s="220">
        <v>43491.0</v>
      </c>
    </row>
    <row r="4164">
      <c r="A4164" s="217">
        <v>43491.73255314815</v>
      </c>
      <c r="B4164" s="218" t="s">
        <v>5092</v>
      </c>
      <c r="C4164" s="218" t="s">
        <v>6053</v>
      </c>
      <c r="D4164" s="219">
        <v>10.0</v>
      </c>
      <c r="E4164" s="218">
        <v>300.0</v>
      </c>
      <c r="G4164" s="220">
        <v>43491.0</v>
      </c>
    </row>
    <row r="4165">
      <c r="A4165" s="217">
        <v>43491.73310440972</v>
      </c>
      <c r="B4165" s="218" t="s">
        <v>5092</v>
      </c>
      <c r="C4165" s="218" t="s">
        <v>6053</v>
      </c>
      <c r="D4165" s="219">
        <v>4.0</v>
      </c>
      <c r="E4165" s="218">
        <v>300.0</v>
      </c>
      <c r="G4165" s="220">
        <v>43491.0</v>
      </c>
    </row>
    <row r="4166">
      <c r="A4166" s="217">
        <v>43491.73357552083</v>
      </c>
      <c r="B4166" s="218" t="s">
        <v>5092</v>
      </c>
      <c r="C4166" s="218" t="s">
        <v>244</v>
      </c>
      <c r="D4166" s="219">
        <v>1.0</v>
      </c>
      <c r="E4166" s="218">
        <v>400.0</v>
      </c>
      <c r="G4166" s="220">
        <v>43491.0</v>
      </c>
    </row>
    <row r="4167">
      <c r="A4167" s="217">
        <v>43491.733969803245</v>
      </c>
      <c r="B4167" s="218" t="s">
        <v>5092</v>
      </c>
      <c r="C4167" s="218" t="s">
        <v>244</v>
      </c>
      <c r="D4167" s="219">
        <v>1.0</v>
      </c>
      <c r="E4167" s="218">
        <v>400.0</v>
      </c>
      <c r="G4167" s="220">
        <v>43491.0</v>
      </c>
    </row>
    <row r="4168">
      <c r="A4168" s="217">
        <v>43491.73461435185</v>
      </c>
      <c r="B4168" s="218" t="s">
        <v>5092</v>
      </c>
      <c r="C4168" s="218" t="s">
        <v>6053</v>
      </c>
      <c r="D4168" s="219">
        <v>1.0</v>
      </c>
      <c r="E4168" s="218">
        <v>300.0</v>
      </c>
      <c r="G4168" s="220">
        <v>43490.0</v>
      </c>
    </row>
    <row r="4169">
      <c r="A4169" s="217">
        <v>43491.73588893519</v>
      </c>
      <c r="B4169" s="218" t="s">
        <v>5092</v>
      </c>
      <c r="C4169" s="218" t="s">
        <v>7879</v>
      </c>
      <c r="D4169" s="219" t="s">
        <v>7880</v>
      </c>
      <c r="E4169" s="218">
        <v>20.0</v>
      </c>
      <c r="G4169" s="220">
        <v>43490.0</v>
      </c>
    </row>
    <row r="4170">
      <c r="A4170" s="217">
        <v>43491.73718667824</v>
      </c>
      <c r="B4170" s="218" t="s">
        <v>5092</v>
      </c>
      <c r="C4170" s="218" t="s">
        <v>7881</v>
      </c>
      <c r="D4170" s="219">
        <v>1.0</v>
      </c>
      <c r="E4170" s="218">
        <v>2000.0</v>
      </c>
      <c r="G4170" s="220">
        <v>43490.0</v>
      </c>
    </row>
    <row r="4171">
      <c r="A4171" s="217">
        <v>43493.62996177083</v>
      </c>
      <c r="B4171" s="218" t="s">
        <v>5184</v>
      </c>
      <c r="C4171" s="218" t="s">
        <v>6053</v>
      </c>
      <c r="D4171" s="219">
        <v>1.0</v>
      </c>
      <c r="E4171" s="218">
        <v>300.0</v>
      </c>
      <c r="G4171" s="220">
        <v>43493.0</v>
      </c>
    </row>
    <row r="4172">
      <c r="A4172" s="217">
        <v>43493.630938877315</v>
      </c>
      <c r="B4172" s="218" t="s">
        <v>5184</v>
      </c>
      <c r="C4172" s="218" t="s">
        <v>6053</v>
      </c>
      <c r="D4172" s="219">
        <v>1.0</v>
      </c>
      <c r="E4172" s="218">
        <v>300.0</v>
      </c>
      <c r="G4172" s="220">
        <v>43493.0</v>
      </c>
    </row>
    <row r="4173">
      <c r="A4173" s="217">
        <v>43493.63197120371</v>
      </c>
      <c r="B4173" s="218" t="s">
        <v>5184</v>
      </c>
      <c r="C4173" s="218" t="s">
        <v>7800</v>
      </c>
      <c r="D4173" s="219">
        <v>1.0</v>
      </c>
      <c r="E4173" s="218">
        <v>300.0</v>
      </c>
      <c r="G4173" s="220">
        <v>43493.0</v>
      </c>
    </row>
    <row r="4174">
      <c r="A4174" s="217">
        <v>43493.63305204861</v>
      </c>
      <c r="B4174" s="218" t="s">
        <v>5184</v>
      </c>
      <c r="C4174" s="218" t="s">
        <v>6053</v>
      </c>
      <c r="D4174" s="219">
        <v>1.0</v>
      </c>
      <c r="E4174" s="218">
        <v>300.0</v>
      </c>
      <c r="G4174" s="220">
        <v>43493.0</v>
      </c>
    </row>
    <row r="4175">
      <c r="A4175" s="217">
        <v>43493.69186104166</v>
      </c>
      <c r="B4175" s="218" t="s">
        <v>5184</v>
      </c>
      <c r="C4175" s="218" t="s">
        <v>7884</v>
      </c>
      <c r="D4175" s="219">
        <v>1.0</v>
      </c>
      <c r="E4175" s="218">
        <v>300.0</v>
      </c>
      <c r="G4175" s="220">
        <v>43490.0</v>
      </c>
    </row>
    <row r="4176">
      <c r="A4176" s="217">
        <v>43493.6944541088</v>
      </c>
      <c r="B4176" s="218" t="s">
        <v>5184</v>
      </c>
      <c r="C4176" s="218" t="s">
        <v>2710</v>
      </c>
      <c r="D4176" s="219">
        <v>1.0</v>
      </c>
      <c r="E4176" s="218">
        <v>200.0</v>
      </c>
      <c r="G4176" s="220">
        <v>43492.0</v>
      </c>
    </row>
    <row r="4177">
      <c r="A4177" s="217">
        <v>43493.69726299768</v>
      </c>
      <c r="B4177" s="218" t="s">
        <v>5184</v>
      </c>
      <c r="C4177" s="218" t="s">
        <v>7884</v>
      </c>
      <c r="D4177" s="219">
        <v>1.0</v>
      </c>
      <c r="E4177" s="218">
        <v>300.0</v>
      </c>
      <c r="G4177" s="220">
        <v>43492.0</v>
      </c>
    </row>
    <row r="4178">
      <c r="A4178" s="217">
        <v>43493.69916870371</v>
      </c>
      <c r="B4178" s="218" t="s">
        <v>5184</v>
      </c>
      <c r="C4178" s="218" t="s">
        <v>7884</v>
      </c>
      <c r="D4178" s="219">
        <v>1.0</v>
      </c>
      <c r="E4178" s="218">
        <v>300.0</v>
      </c>
      <c r="G4178" s="220">
        <v>43493.0</v>
      </c>
    </row>
    <row r="4179">
      <c r="A4179" s="217">
        <v>43494.47901234953</v>
      </c>
      <c r="B4179" s="218" t="s">
        <v>5092</v>
      </c>
      <c r="C4179" s="218" t="s">
        <v>7806</v>
      </c>
      <c r="D4179" s="219" t="s">
        <v>7887</v>
      </c>
      <c r="E4179" s="218">
        <v>300.0</v>
      </c>
      <c r="G4179" s="220">
        <v>43493.0</v>
      </c>
    </row>
    <row r="4180">
      <c r="A4180" s="217">
        <v>43494.48086766204</v>
      </c>
      <c r="B4180" s="218" t="s">
        <v>5092</v>
      </c>
      <c r="C4180" s="218" t="s">
        <v>7806</v>
      </c>
      <c r="D4180" s="219" t="s">
        <v>7888</v>
      </c>
      <c r="E4180" s="218">
        <v>300.0</v>
      </c>
      <c r="G4180" s="220">
        <v>43493.0</v>
      </c>
    </row>
    <row r="4181">
      <c r="A4181" s="217">
        <v>43494.481877094906</v>
      </c>
      <c r="B4181" s="218" t="s">
        <v>5092</v>
      </c>
      <c r="C4181" s="218" t="s">
        <v>6053</v>
      </c>
      <c r="D4181" s="219" t="s">
        <v>7889</v>
      </c>
      <c r="E4181" s="218">
        <v>300.0</v>
      </c>
      <c r="G4181" s="220">
        <v>43493.0</v>
      </c>
    </row>
    <row r="4182">
      <c r="A4182" s="217">
        <v>43494.49496490741</v>
      </c>
      <c r="B4182" s="218" t="s">
        <v>5092</v>
      </c>
      <c r="C4182" s="218" t="s">
        <v>244</v>
      </c>
      <c r="D4182" s="219" t="s">
        <v>7890</v>
      </c>
      <c r="E4182" s="218">
        <v>300.0</v>
      </c>
      <c r="G4182" s="220">
        <v>43493.0</v>
      </c>
    </row>
    <row r="4183">
      <c r="A4183" s="217">
        <v>43494.56237104167</v>
      </c>
      <c r="B4183" s="218" t="s">
        <v>5092</v>
      </c>
      <c r="C4183" s="218" t="s">
        <v>244</v>
      </c>
      <c r="D4183" s="219" t="s">
        <v>7887</v>
      </c>
      <c r="E4183" s="218">
        <v>300.0</v>
      </c>
      <c r="G4183" s="220">
        <v>43493.0</v>
      </c>
    </row>
    <row r="4184">
      <c r="A4184" s="217">
        <v>43494.56410592592</v>
      </c>
      <c r="B4184" s="218" t="s">
        <v>5092</v>
      </c>
      <c r="C4184" s="218" t="s">
        <v>7754</v>
      </c>
      <c r="D4184" s="219">
        <v>1.0</v>
      </c>
      <c r="E4184" s="218">
        <v>600.0</v>
      </c>
      <c r="G4184" s="220">
        <v>43493.0</v>
      </c>
    </row>
    <row r="4185">
      <c r="A4185" s="217">
        <v>43494.56512427083</v>
      </c>
      <c r="B4185" s="218" t="s">
        <v>5092</v>
      </c>
      <c r="C4185" s="218" t="s">
        <v>244</v>
      </c>
      <c r="D4185" s="219" t="s">
        <v>7887</v>
      </c>
      <c r="E4185" s="218">
        <v>300.0</v>
      </c>
      <c r="G4185" s="220">
        <v>43493.0</v>
      </c>
    </row>
    <row r="4186">
      <c r="A4186" s="217">
        <v>43494.566176504624</v>
      </c>
      <c r="B4186" s="218" t="s">
        <v>5092</v>
      </c>
      <c r="C4186" s="218" t="s">
        <v>244</v>
      </c>
      <c r="D4186" s="219" t="s">
        <v>7887</v>
      </c>
      <c r="E4186" s="218">
        <v>300.0</v>
      </c>
      <c r="G4186" s="220">
        <v>43493.0</v>
      </c>
    </row>
    <row r="4187">
      <c r="A4187" s="217">
        <v>43494.57321082176</v>
      </c>
      <c r="B4187" s="218" t="s">
        <v>5092</v>
      </c>
      <c r="C4187" s="218" t="s">
        <v>244</v>
      </c>
      <c r="D4187" s="219" t="s">
        <v>7887</v>
      </c>
      <c r="E4187" s="218">
        <v>300.0</v>
      </c>
      <c r="G4187" s="220">
        <v>43493.0</v>
      </c>
    </row>
    <row r="4188">
      <c r="A4188" s="217">
        <v>43494.65169697917</v>
      </c>
      <c r="B4188" s="218" t="s">
        <v>5184</v>
      </c>
      <c r="C4188" s="218" t="s">
        <v>1857</v>
      </c>
      <c r="D4188" s="219">
        <v>1.0</v>
      </c>
      <c r="E4188" s="218">
        <v>7490.0</v>
      </c>
      <c r="G4188" s="220">
        <v>43494.0</v>
      </c>
    </row>
    <row r="4189">
      <c r="A4189" s="217">
        <v>43494.65326211805</v>
      </c>
      <c r="B4189" s="218" t="s">
        <v>5184</v>
      </c>
      <c r="C4189" s="218" t="s">
        <v>6291</v>
      </c>
      <c r="D4189" s="219">
        <v>1.0</v>
      </c>
      <c r="E4189" s="218">
        <v>6490.0</v>
      </c>
      <c r="G4189" s="220">
        <v>43494.0</v>
      </c>
    </row>
    <row r="4190">
      <c r="A4190" s="217">
        <v>43494.698631747684</v>
      </c>
      <c r="B4190" s="218" t="s">
        <v>5184</v>
      </c>
      <c r="C4190" s="218" t="s">
        <v>7891</v>
      </c>
      <c r="D4190" s="219">
        <v>1.0</v>
      </c>
      <c r="E4190" s="218">
        <v>1000.0</v>
      </c>
      <c r="G4190" s="220">
        <v>43494.0</v>
      </c>
    </row>
    <row r="4191">
      <c r="A4191" s="217">
        <v>43494.70008898148</v>
      </c>
      <c r="B4191" s="218" t="s">
        <v>5184</v>
      </c>
      <c r="C4191" s="218" t="s">
        <v>6053</v>
      </c>
      <c r="D4191" s="219">
        <v>1.0</v>
      </c>
      <c r="E4191" s="218">
        <v>300.0</v>
      </c>
      <c r="G4191" s="220">
        <v>43494.0</v>
      </c>
    </row>
    <row r="4192">
      <c r="A4192" s="217">
        <v>43494.70080056713</v>
      </c>
      <c r="B4192" s="218" t="s">
        <v>5184</v>
      </c>
      <c r="C4192" s="218" t="s">
        <v>6053</v>
      </c>
      <c r="D4192" s="219">
        <v>1.0</v>
      </c>
      <c r="E4192" s="218">
        <v>300.0</v>
      </c>
      <c r="G4192" s="220">
        <v>43494.0</v>
      </c>
    </row>
    <row r="4193">
      <c r="A4193" s="217">
        <v>43495.48453256945</v>
      </c>
      <c r="B4193" s="218" t="s">
        <v>5184</v>
      </c>
      <c r="C4193" s="218" t="s">
        <v>5789</v>
      </c>
      <c r="D4193" s="219">
        <v>1.0</v>
      </c>
      <c r="E4193" s="218">
        <v>400.0</v>
      </c>
      <c r="G4193" s="220">
        <v>43495.0</v>
      </c>
    </row>
    <row r="4194">
      <c r="A4194" s="217">
        <v>43495.486616759255</v>
      </c>
      <c r="B4194" s="218" t="s">
        <v>5184</v>
      </c>
      <c r="C4194" s="218" t="s">
        <v>284</v>
      </c>
      <c r="D4194" s="219">
        <v>1.0</v>
      </c>
      <c r="E4194" s="218">
        <v>400.0</v>
      </c>
      <c r="G4194" s="220">
        <v>43495.0</v>
      </c>
    </row>
    <row r="4195">
      <c r="A4195" s="217">
        <v>43495.48743216435</v>
      </c>
      <c r="B4195" s="218" t="s">
        <v>5184</v>
      </c>
      <c r="C4195" s="218" t="s">
        <v>5786</v>
      </c>
      <c r="D4195" s="219">
        <v>1.0</v>
      </c>
      <c r="E4195" s="218">
        <v>300.0</v>
      </c>
      <c r="G4195" s="220">
        <v>43495.0</v>
      </c>
    </row>
    <row r="4196">
      <c r="A4196" s="217">
        <v>43495.57045712963</v>
      </c>
      <c r="B4196" s="218" t="s">
        <v>5184</v>
      </c>
      <c r="C4196" s="218" t="s">
        <v>5786</v>
      </c>
      <c r="D4196" s="219">
        <v>1.0</v>
      </c>
      <c r="E4196" s="218">
        <v>300.0</v>
      </c>
      <c r="G4196" s="220">
        <v>43495.0</v>
      </c>
    </row>
    <row r="4197">
      <c r="A4197" s="217">
        <v>43495.57112712963</v>
      </c>
      <c r="B4197" s="218" t="s">
        <v>5184</v>
      </c>
      <c r="C4197" s="218" t="s">
        <v>6053</v>
      </c>
      <c r="D4197" s="219">
        <v>1.0</v>
      </c>
      <c r="E4197" s="218">
        <v>300.0</v>
      </c>
      <c r="G4197" s="220">
        <v>43495.0</v>
      </c>
    </row>
    <row r="4198">
      <c r="A4198" s="217">
        <v>43495.57411869213</v>
      </c>
      <c r="B4198" s="218" t="s">
        <v>5184</v>
      </c>
      <c r="C4198" s="218" t="s">
        <v>7800</v>
      </c>
      <c r="D4198" s="219">
        <v>1.0</v>
      </c>
      <c r="E4198" s="218">
        <v>300.0</v>
      </c>
      <c r="G4198" s="220">
        <v>43495.0</v>
      </c>
    </row>
    <row r="4199">
      <c r="A4199" s="217">
        <v>43495.575554560186</v>
      </c>
      <c r="B4199" s="218" t="s">
        <v>5184</v>
      </c>
      <c r="C4199" s="218" t="s">
        <v>244</v>
      </c>
      <c r="D4199" s="219">
        <v>1.0</v>
      </c>
      <c r="E4199" s="218">
        <v>600.0</v>
      </c>
      <c r="G4199" s="220">
        <v>43495.0</v>
      </c>
    </row>
    <row r="4200">
      <c r="A4200" s="217">
        <v>43495.70717797454</v>
      </c>
      <c r="B4200" s="218" t="s">
        <v>5184</v>
      </c>
      <c r="C4200" s="218" t="s">
        <v>5789</v>
      </c>
      <c r="D4200" s="219">
        <v>1.0</v>
      </c>
      <c r="E4200" s="218">
        <v>400.0</v>
      </c>
      <c r="G4200" s="220">
        <v>43495.0</v>
      </c>
    </row>
    <row r="4201">
      <c r="A4201" s="217">
        <v>43495.70933391203</v>
      </c>
      <c r="B4201" s="218" t="s">
        <v>5184</v>
      </c>
      <c r="C4201" s="218" t="s">
        <v>6053</v>
      </c>
      <c r="D4201" s="219">
        <v>1.0</v>
      </c>
      <c r="E4201" s="218">
        <v>300.0</v>
      </c>
      <c r="G4201" s="220">
        <v>43495.0</v>
      </c>
    </row>
    <row r="4202">
      <c r="A4202" s="217">
        <v>43495.7100278125</v>
      </c>
      <c r="B4202" s="218" t="s">
        <v>5184</v>
      </c>
      <c r="C4202" s="218" t="s">
        <v>6053</v>
      </c>
      <c r="D4202" s="219">
        <v>1.0</v>
      </c>
      <c r="E4202" s="218">
        <v>300.0</v>
      </c>
      <c r="G4202" s="220">
        <v>43495.0</v>
      </c>
    </row>
    <row r="4203">
      <c r="A4203" s="217">
        <v>43496.441813576384</v>
      </c>
      <c r="B4203" s="218" t="s">
        <v>5092</v>
      </c>
      <c r="C4203" s="218" t="s">
        <v>845</v>
      </c>
      <c r="D4203" s="219" t="s">
        <v>7695</v>
      </c>
      <c r="E4203" s="218">
        <v>400.0</v>
      </c>
      <c r="G4203" s="220">
        <v>43495.0</v>
      </c>
    </row>
    <row r="4204">
      <c r="A4204" s="217">
        <v>43496.4433853125</v>
      </c>
      <c r="B4204" s="218" t="s">
        <v>5092</v>
      </c>
      <c r="C4204" s="218" t="s">
        <v>7806</v>
      </c>
      <c r="D4204" s="219" t="s">
        <v>7547</v>
      </c>
      <c r="E4204" s="218">
        <v>300.0</v>
      </c>
      <c r="G4204" s="220">
        <v>43495.0</v>
      </c>
    </row>
    <row r="4205">
      <c r="A4205" s="217">
        <v>43496.44420896991</v>
      </c>
      <c r="B4205" s="218" t="s">
        <v>5092</v>
      </c>
      <c r="C4205" s="218" t="s">
        <v>7897</v>
      </c>
      <c r="D4205" s="219">
        <v>1.0</v>
      </c>
      <c r="E4205" s="218">
        <v>600.0</v>
      </c>
      <c r="G4205" s="220">
        <v>43495.0</v>
      </c>
    </row>
    <row r="4206">
      <c r="A4206" s="217">
        <v>43496.445151817126</v>
      </c>
      <c r="B4206" s="218" t="s">
        <v>5092</v>
      </c>
      <c r="C4206" s="218" t="s">
        <v>6053</v>
      </c>
      <c r="D4206" s="219" t="s">
        <v>7652</v>
      </c>
      <c r="E4206" s="218">
        <v>300.0</v>
      </c>
      <c r="G4206" s="220">
        <v>43495.0</v>
      </c>
    </row>
    <row r="4207">
      <c r="A4207" s="217">
        <v>43496.44565663194</v>
      </c>
      <c r="B4207" s="218" t="s">
        <v>5092</v>
      </c>
      <c r="C4207" s="218" t="s">
        <v>244</v>
      </c>
      <c r="D4207" s="219">
        <v>1.0</v>
      </c>
      <c r="E4207" s="218">
        <v>600.0</v>
      </c>
      <c r="G4207" s="220">
        <v>43495.0</v>
      </c>
    </row>
    <row r="4208">
      <c r="A4208" s="217">
        <v>43496.44624168982</v>
      </c>
      <c r="B4208" s="218" t="s">
        <v>5092</v>
      </c>
      <c r="C4208" s="218" t="s">
        <v>284</v>
      </c>
      <c r="D4208" s="219">
        <v>1.0</v>
      </c>
      <c r="E4208" s="218">
        <v>400.0</v>
      </c>
      <c r="G4208" s="220">
        <v>43495.0</v>
      </c>
    </row>
    <row r="4209">
      <c r="A4209" s="217">
        <v>43496.48980090278</v>
      </c>
      <c r="B4209" s="218" t="s">
        <v>5184</v>
      </c>
      <c r="C4209" s="218" t="s">
        <v>6053</v>
      </c>
      <c r="D4209" s="219">
        <v>1.0</v>
      </c>
      <c r="E4209" s="218">
        <v>300.0</v>
      </c>
      <c r="G4209" s="220">
        <v>43496.0</v>
      </c>
    </row>
    <row r="4210">
      <c r="A4210" s="217">
        <v>43496.49060672453</v>
      </c>
      <c r="B4210" s="218" t="s">
        <v>5184</v>
      </c>
      <c r="C4210" s="218" t="s">
        <v>7792</v>
      </c>
      <c r="D4210" s="219">
        <v>1.0</v>
      </c>
      <c r="E4210" s="218">
        <v>400.0</v>
      </c>
      <c r="G4210" s="220">
        <v>43496.0</v>
      </c>
    </row>
    <row r="4211">
      <c r="A4211" s="217">
        <v>43496.49116340278</v>
      </c>
      <c r="B4211" s="218" t="s">
        <v>5184</v>
      </c>
      <c r="C4211" s="218" t="s">
        <v>284</v>
      </c>
      <c r="D4211" s="219">
        <v>1.0</v>
      </c>
      <c r="E4211" s="218">
        <v>400.0</v>
      </c>
      <c r="G4211" s="220">
        <v>43496.0</v>
      </c>
    </row>
    <row r="4212">
      <c r="A4212" s="217">
        <v>43496.608196354166</v>
      </c>
      <c r="B4212" s="218" t="s">
        <v>5184</v>
      </c>
      <c r="C4212" s="218" t="s">
        <v>5786</v>
      </c>
      <c r="D4212" s="219">
        <v>1.0</v>
      </c>
      <c r="E4212" s="218">
        <v>300.0</v>
      </c>
      <c r="G4212" s="220">
        <v>43496.0</v>
      </c>
    </row>
    <row r="4213">
      <c r="A4213" s="217">
        <v>43496.60872307871</v>
      </c>
      <c r="B4213" s="218" t="s">
        <v>5184</v>
      </c>
      <c r="C4213" s="218" t="s">
        <v>6053</v>
      </c>
      <c r="D4213" s="219">
        <v>1.0</v>
      </c>
      <c r="E4213" s="218">
        <v>300.0</v>
      </c>
      <c r="G4213" s="220">
        <v>43496.0</v>
      </c>
    </row>
    <row r="4214">
      <c r="A4214" s="217">
        <v>43497.5126472338</v>
      </c>
      <c r="B4214" s="218" t="s">
        <v>5184</v>
      </c>
      <c r="C4214" s="218" t="s">
        <v>6053</v>
      </c>
      <c r="D4214" s="219" t="s">
        <v>7547</v>
      </c>
      <c r="E4214" s="218">
        <v>150.0</v>
      </c>
      <c r="G4214" s="220">
        <v>43497.0</v>
      </c>
    </row>
    <row r="4215">
      <c r="A4215" s="217">
        <v>43497.66182075231</v>
      </c>
      <c r="B4215" s="218" t="s">
        <v>5184</v>
      </c>
      <c r="C4215" s="218" t="s">
        <v>5976</v>
      </c>
      <c r="D4215" s="219">
        <v>1.0</v>
      </c>
      <c r="E4215" s="218">
        <v>200.0</v>
      </c>
      <c r="G4215" s="220">
        <v>43497.0</v>
      </c>
    </row>
    <row r="4216">
      <c r="A4216" s="217">
        <v>43497.662428854164</v>
      </c>
      <c r="B4216" s="218" t="s">
        <v>5184</v>
      </c>
      <c r="C4216" s="218" t="s">
        <v>6053</v>
      </c>
      <c r="D4216" s="219">
        <v>1.0</v>
      </c>
      <c r="E4216" s="218">
        <v>300.0</v>
      </c>
      <c r="G4216" s="220">
        <v>43497.0</v>
      </c>
    </row>
    <row r="4217">
      <c r="A4217" s="217">
        <v>43497.75797900463</v>
      </c>
      <c r="B4217" s="218" t="s">
        <v>2322</v>
      </c>
      <c r="C4217" s="218" t="s">
        <v>4648</v>
      </c>
      <c r="D4217" s="219">
        <v>1.0</v>
      </c>
      <c r="E4217" s="218">
        <v>695.0</v>
      </c>
      <c r="G4217" s="220">
        <v>43497.0</v>
      </c>
    </row>
    <row r="4218">
      <c r="A4218" s="217">
        <v>43498.53199931713</v>
      </c>
      <c r="B4218" s="218" t="s">
        <v>5184</v>
      </c>
      <c r="C4218" s="218" t="s">
        <v>6053</v>
      </c>
      <c r="D4218" s="219">
        <v>1.0</v>
      </c>
      <c r="E4218" s="218">
        <v>300.0</v>
      </c>
      <c r="G4218" s="220">
        <v>43498.0</v>
      </c>
    </row>
    <row r="4219">
      <c r="A4219" s="217">
        <v>43498.56428097222</v>
      </c>
      <c r="B4219" s="218" t="s">
        <v>5184</v>
      </c>
      <c r="C4219" s="218" t="s">
        <v>2086</v>
      </c>
      <c r="D4219" s="219">
        <v>1.0</v>
      </c>
      <c r="E4219" s="218">
        <v>250.0</v>
      </c>
      <c r="G4219" s="220">
        <v>43498.0</v>
      </c>
    </row>
    <row r="4220">
      <c r="A4220" s="217">
        <v>43498.56512782407</v>
      </c>
      <c r="B4220" s="218" t="s">
        <v>5184</v>
      </c>
      <c r="C4220" s="218" t="s">
        <v>6053</v>
      </c>
      <c r="D4220" s="219">
        <v>1.0</v>
      </c>
      <c r="E4220" s="218">
        <v>300.0</v>
      </c>
      <c r="G4220" s="220">
        <v>43498.0</v>
      </c>
    </row>
    <row r="4221">
      <c r="A4221" s="217">
        <v>43498.56783177084</v>
      </c>
      <c r="B4221" s="218" t="s">
        <v>5184</v>
      </c>
      <c r="C4221" s="218" t="s">
        <v>5976</v>
      </c>
      <c r="D4221" s="219">
        <v>1.0</v>
      </c>
      <c r="E4221" s="218">
        <v>200.0</v>
      </c>
      <c r="G4221" s="220">
        <v>43498.0</v>
      </c>
    </row>
    <row r="4222">
      <c r="A4222" s="217">
        <v>43498.568516099534</v>
      </c>
      <c r="B4222" s="218" t="s">
        <v>5184</v>
      </c>
      <c r="C4222" s="218" t="s">
        <v>7797</v>
      </c>
      <c r="D4222" s="219">
        <v>1.0</v>
      </c>
      <c r="E4222" s="218">
        <v>600.0</v>
      </c>
      <c r="G4222" s="220">
        <v>43498.0</v>
      </c>
    </row>
    <row r="4223">
      <c r="A4223" s="217">
        <v>43498.56984916667</v>
      </c>
      <c r="B4223" s="218" t="s">
        <v>5184</v>
      </c>
      <c r="C4223" s="218" t="s">
        <v>5786</v>
      </c>
      <c r="D4223" s="219">
        <v>1.0</v>
      </c>
      <c r="E4223" s="218">
        <v>300.0</v>
      </c>
      <c r="G4223" s="220">
        <v>43498.0</v>
      </c>
    </row>
    <row r="4224">
      <c r="A4224" s="217">
        <v>43498.570586863425</v>
      </c>
      <c r="B4224" s="218" t="s">
        <v>5184</v>
      </c>
      <c r="C4224" s="218" t="s">
        <v>244</v>
      </c>
      <c r="D4224" s="219">
        <v>1.0</v>
      </c>
      <c r="E4224" s="218">
        <v>400.0</v>
      </c>
      <c r="G4224" s="220">
        <v>43498.0</v>
      </c>
    </row>
    <row r="4225">
      <c r="A4225" s="217">
        <v>43498.57163089121</v>
      </c>
      <c r="B4225" s="218" t="s">
        <v>5184</v>
      </c>
      <c r="C4225" s="218" t="s">
        <v>6053</v>
      </c>
      <c r="D4225" s="219">
        <v>1.0</v>
      </c>
      <c r="E4225" s="218">
        <v>300.0</v>
      </c>
      <c r="G4225" s="220">
        <v>43498.0</v>
      </c>
    </row>
    <row r="4226">
      <c r="A4226" s="217">
        <v>43498.57290775463</v>
      </c>
      <c r="B4226" s="218" t="s">
        <v>5184</v>
      </c>
      <c r="C4226" s="218" t="s">
        <v>5786</v>
      </c>
      <c r="D4226" s="219">
        <v>1.0</v>
      </c>
      <c r="E4226" s="218">
        <v>200.0</v>
      </c>
      <c r="G4226" s="220">
        <v>43498.0</v>
      </c>
    </row>
    <row r="4227">
      <c r="A4227" s="217">
        <v>43498.57350423611</v>
      </c>
      <c r="B4227" s="218" t="s">
        <v>5184</v>
      </c>
      <c r="C4227" s="218" t="s">
        <v>6053</v>
      </c>
      <c r="D4227" s="219">
        <v>1.0</v>
      </c>
      <c r="E4227" s="218">
        <v>300.0</v>
      </c>
      <c r="G4227" s="220">
        <v>43498.0</v>
      </c>
    </row>
    <row r="4228">
      <c r="A4228" s="217">
        <v>43498.57504318287</v>
      </c>
      <c r="B4228" s="218" t="s">
        <v>5184</v>
      </c>
      <c r="C4228" s="218" t="s">
        <v>7806</v>
      </c>
      <c r="D4228" s="219">
        <v>1.0</v>
      </c>
      <c r="E4228" s="218">
        <v>600.0</v>
      </c>
      <c r="G4228" s="220">
        <v>43498.0</v>
      </c>
    </row>
    <row r="4229">
      <c r="A4229" s="217">
        <v>43498.64602783565</v>
      </c>
      <c r="B4229" s="218" t="s">
        <v>5184</v>
      </c>
      <c r="C4229" s="218" t="s">
        <v>6053</v>
      </c>
      <c r="D4229" s="219" t="s">
        <v>7547</v>
      </c>
      <c r="E4229" s="218">
        <v>150.0</v>
      </c>
      <c r="G4229" s="220">
        <v>43498.0</v>
      </c>
    </row>
    <row r="4230">
      <c r="A4230" s="217">
        <v>43498.64679954862</v>
      </c>
      <c r="B4230" s="218" t="s">
        <v>5184</v>
      </c>
      <c r="C4230" s="218" t="s">
        <v>7800</v>
      </c>
      <c r="D4230" s="219">
        <v>1.0</v>
      </c>
      <c r="E4230" s="218">
        <v>300.0</v>
      </c>
      <c r="G4230" s="220">
        <v>43498.0</v>
      </c>
    </row>
    <row r="4231">
      <c r="A4231" s="217">
        <v>43498.64743710648</v>
      </c>
      <c r="B4231" s="218" t="s">
        <v>5184</v>
      </c>
      <c r="C4231" s="218" t="s">
        <v>6053</v>
      </c>
      <c r="D4231" s="219">
        <v>1.0</v>
      </c>
      <c r="E4231" s="218">
        <v>300.0</v>
      </c>
      <c r="G4231" s="220">
        <v>43498.0</v>
      </c>
    </row>
    <row r="4232">
      <c r="A4232" s="217">
        <v>43498.64885143518</v>
      </c>
      <c r="B4232" s="218" t="s">
        <v>5184</v>
      </c>
      <c r="C4232" s="218" t="s">
        <v>6053</v>
      </c>
      <c r="D4232" s="219" t="s">
        <v>7547</v>
      </c>
      <c r="E4232" s="218">
        <v>150.0</v>
      </c>
      <c r="G4232" s="220">
        <v>43498.0</v>
      </c>
    </row>
    <row r="4233">
      <c r="A4233" s="217">
        <v>43498.64977340278</v>
      </c>
      <c r="B4233" s="218" t="s">
        <v>5184</v>
      </c>
      <c r="C4233" s="218" t="s">
        <v>5786</v>
      </c>
      <c r="D4233" s="219">
        <v>1.0</v>
      </c>
      <c r="E4233" s="218">
        <v>300.0</v>
      </c>
      <c r="G4233" s="220">
        <v>43498.0</v>
      </c>
    </row>
    <row r="4234">
      <c r="A4234" s="217">
        <v>43498.65046509259</v>
      </c>
      <c r="B4234" s="218" t="s">
        <v>5184</v>
      </c>
      <c r="C4234" s="218" t="s">
        <v>6053</v>
      </c>
      <c r="D4234" s="219">
        <v>1.0</v>
      </c>
      <c r="E4234" s="218">
        <v>300.0</v>
      </c>
      <c r="G4234" s="220">
        <v>43498.0</v>
      </c>
    </row>
    <row r="4235">
      <c r="A4235" s="217">
        <v>43498.67133040509</v>
      </c>
      <c r="B4235" s="218" t="s">
        <v>5184</v>
      </c>
      <c r="C4235" s="218" t="s">
        <v>5786</v>
      </c>
      <c r="D4235" s="219">
        <v>1.0</v>
      </c>
      <c r="E4235" s="218">
        <v>200.0</v>
      </c>
      <c r="G4235" s="220">
        <v>43498.0</v>
      </c>
    </row>
    <row r="4236">
      <c r="A4236" s="217">
        <v>43498.672890636575</v>
      </c>
      <c r="B4236" s="218" t="s">
        <v>5184</v>
      </c>
      <c r="C4236" s="218" t="s">
        <v>7913</v>
      </c>
      <c r="D4236" s="219">
        <v>1.0</v>
      </c>
      <c r="E4236" s="218">
        <v>1995.0</v>
      </c>
      <c r="G4236" s="220">
        <v>43498.0</v>
      </c>
    </row>
    <row r="4237">
      <c r="A4237" s="217">
        <v>43498.67711863426</v>
      </c>
      <c r="B4237" s="218" t="s">
        <v>5184</v>
      </c>
      <c r="C4237" s="218" t="s">
        <v>7915</v>
      </c>
      <c r="D4237" s="219">
        <v>1.0</v>
      </c>
      <c r="E4237" s="218">
        <v>1200.0</v>
      </c>
      <c r="G4237" s="220">
        <v>43498.0</v>
      </c>
    </row>
    <row r="4238">
      <c r="A4238" s="217">
        <v>43498.68315326389</v>
      </c>
      <c r="B4238" s="218" t="s">
        <v>5184</v>
      </c>
      <c r="C4238" s="218" t="s">
        <v>5976</v>
      </c>
      <c r="D4238" s="219">
        <v>1.0</v>
      </c>
      <c r="E4238" s="218">
        <v>200.0</v>
      </c>
      <c r="G4238" s="220">
        <v>43497.0</v>
      </c>
    </row>
    <row r="4239">
      <c r="A4239" s="217">
        <v>43498.68564736111</v>
      </c>
      <c r="B4239" s="218" t="s">
        <v>5092</v>
      </c>
      <c r="C4239" s="218" t="s">
        <v>834</v>
      </c>
      <c r="D4239" s="219" t="s">
        <v>7917</v>
      </c>
      <c r="E4239" s="218">
        <v>2000.0</v>
      </c>
      <c r="G4239" s="220">
        <v>43497.0</v>
      </c>
    </row>
    <row r="4240">
      <c r="A4240" s="217">
        <v>43498.68672802083</v>
      </c>
      <c r="B4240" s="218" t="s">
        <v>5092</v>
      </c>
      <c r="C4240" s="218" t="s">
        <v>284</v>
      </c>
      <c r="D4240" s="219">
        <v>1.0</v>
      </c>
      <c r="E4240" s="218">
        <v>400.0</v>
      </c>
      <c r="G4240" s="220">
        <v>43497.0</v>
      </c>
    </row>
    <row r="4241">
      <c r="A4241" s="217">
        <v>43499.56465399306</v>
      </c>
      <c r="B4241" s="218" t="s">
        <v>5184</v>
      </c>
      <c r="C4241" s="218" t="s">
        <v>5786</v>
      </c>
      <c r="D4241" s="219">
        <v>1.0</v>
      </c>
      <c r="E4241" s="218">
        <v>300.0</v>
      </c>
      <c r="G4241" s="220">
        <v>43499.0</v>
      </c>
    </row>
    <row r="4242">
      <c r="A4242" s="217">
        <v>43499.565487245374</v>
      </c>
      <c r="B4242" s="218" t="s">
        <v>5184</v>
      </c>
      <c r="C4242" s="218" t="s">
        <v>284</v>
      </c>
      <c r="D4242" s="219">
        <v>1.0</v>
      </c>
      <c r="E4242" s="218">
        <v>400.0</v>
      </c>
      <c r="G4242" s="220">
        <v>43499.0</v>
      </c>
    </row>
    <row r="4243">
      <c r="A4243" s="217">
        <v>43500.72872712963</v>
      </c>
      <c r="B4243" s="218" t="s">
        <v>5184</v>
      </c>
      <c r="C4243" s="218" t="s">
        <v>5786</v>
      </c>
      <c r="D4243" s="219">
        <v>1.0</v>
      </c>
      <c r="E4243" s="218">
        <v>300.0</v>
      </c>
      <c r="G4243" s="220">
        <v>43500.0</v>
      </c>
    </row>
    <row r="4244">
      <c r="A4244" s="217">
        <v>43500.72928134259</v>
      </c>
      <c r="B4244" s="218" t="s">
        <v>5184</v>
      </c>
      <c r="C4244" s="218" t="s">
        <v>6053</v>
      </c>
      <c r="D4244" s="219">
        <v>1.0</v>
      </c>
      <c r="E4244" s="218">
        <v>300.0</v>
      </c>
      <c r="G4244" s="220">
        <v>43500.0</v>
      </c>
    </row>
    <row r="4245">
      <c r="A4245" s="217">
        <v>43500.72981877315</v>
      </c>
      <c r="B4245" s="218" t="s">
        <v>5184</v>
      </c>
      <c r="C4245" s="218" t="s">
        <v>5976</v>
      </c>
      <c r="D4245" s="219">
        <v>1.0</v>
      </c>
      <c r="E4245" s="218">
        <v>200.0</v>
      </c>
      <c r="G4245" s="220">
        <v>43500.0</v>
      </c>
    </row>
    <row r="4246">
      <c r="A4246" s="217">
        <v>43500.73963553241</v>
      </c>
      <c r="B4246" s="218" t="s">
        <v>5184</v>
      </c>
      <c r="C4246" s="218" t="s">
        <v>7920</v>
      </c>
      <c r="D4246" s="219">
        <v>1.0</v>
      </c>
      <c r="E4246" s="218">
        <v>8905.0</v>
      </c>
      <c r="G4246" s="220">
        <v>43500.0</v>
      </c>
    </row>
    <row r="4247">
      <c r="A4247" s="217">
        <v>43500.741008530094</v>
      </c>
      <c r="B4247" s="218" t="s">
        <v>5184</v>
      </c>
      <c r="C4247" s="218" t="s">
        <v>6053</v>
      </c>
      <c r="D4247" s="219">
        <v>1.0</v>
      </c>
      <c r="E4247" s="218">
        <v>300.0</v>
      </c>
      <c r="G4247" s="220">
        <v>43500.0</v>
      </c>
    </row>
    <row r="4248">
      <c r="A4248" s="217">
        <v>43501.71059783565</v>
      </c>
      <c r="B4248" s="218" t="s">
        <v>5184</v>
      </c>
      <c r="C4248" s="218" t="s">
        <v>284</v>
      </c>
      <c r="D4248" s="219">
        <v>1.0</v>
      </c>
      <c r="E4248" s="218">
        <v>400.0</v>
      </c>
      <c r="G4248" s="220">
        <v>43501.0</v>
      </c>
    </row>
    <row r="4249">
      <c r="A4249" s="217">
        <v>43501.71124135416</v>
      </c>
      <c r="B4249" s="218" t="s">
        <v>5184</v>
      </c>
      <c r="C4249" s="218" t="s">
        <v>6053</v>
      </c>
      <c r="D4249" s="219">
        <v>1.0</v>
      </c>
      <c r="E4249" s="218">
        <v>300.0</v>
      </c>
      <c r="G4249" s="220">
        <v>43501.0</v>
      </c>
    </row>
    <row r="4250">
      <c r="A4250" s="217">
        <v>43501.71583372685</v>
      </c>
      <c r="B4250" s="218" t="s">
        <v>5184</v>
      </c>
      <c r="C4250" s="218" t="s">
        <v>5848</v>
      </c>
      <c r="D4250" s="219">
        <v>1.0</v>
      </c>
      <c r="E4250" s="218">
        <v>1000.0</v>
      </c>
      <c r="G4250" s="220">
        <v>43501.0</v>
      </c>
    </row>
    <row r="4251">
      <c r="A4251" s="217">
        <v>43501.717012974535</v>
      </c>
      <c r="B4251" s="218" t="s">
        <v>5184</v>
      </c>
      <c r="C4251" s="218" t="s">
        <v>244</v>
      </c>
      <c r="D4251" s="219">
        <v>1.0</v>
      </c>
      <c r="E4251" s="218">
        <v>800.0</v>
      </c>
      <c r="G4251" s="220">
        <v>43501.0</v>
      </c>
    </row>
    <row r="4252">
      <c r="A4252" s="217">
        <v>43501.74591155093</v>
      </c>
      <c r="B4252" s="218" t="s">
        <v>5184</v>
      </c>
      <c r="C4252" s="218" t="s">
        <v>4818</v>
      </c>
      <c r="D4252" s="219">
        <v>1.0</v>
      </c>
      <c r="E4252" s="218">
        <v>1695.0</v>
      </c>
      <c r="G4252" s="220">
        <v>43501.0</v>
      </c>
    </row>
    <row r="4253">
      <c r="A4253" s="217">
        <v>43501.746783807874</v>
      </c>
      <c r="B4253" s="218" t="s">
        <v>5184</v>
      </c>
      <c r="C4253" s="218" t="s">
        <v>5309</v>
      </c>
      <c r="D4253" s="219">
        <v>1.0</v>
      </c>
      <c r="E4253" s="218">
        <v>7500.0</v>
      </c>
      <c r="G4253" s="220">
        <v>43501.0</v>
      </c>
    </row>
    <row r="4254">
      <c r="A4254" s="217">
        <v>43502.48945032408</v>
      </c>
      <c r="B4254" s="218" t="s">
        <v>5184</v>
      </c>
      <c r="C4254" s="218" t="s">
        <v>7925</v>
      </c>
      <c r="D4254" s="219">
        <v>1.0</v>
      </c>
      <c r="E4254" s="218">
        <v>2090.0</v>
      </c>
      <c r="G4254" s="220">
        <v>43501.0</v>
      </c>
    </row>
    <row r="4255">
      <c r="A4255" s="217">
        <v>43502.491243807875</v>
      </c>
      <c r="B4255" s="218" t="s">
        <v>5184</v>
      </c>
      <c r="C4255" s="218" t="s">
        <v>7526</v>
      </c>
      <c r="D4255" s="219">
        <v>1.0</v>
      </c>
      <c r="E4255" s="218">
        <v>1000.0</v>
      </c>
      <c r="G4255" s="220">
        <v>43502.0</v>
      </c>
    </row>
    <row r="4256">
      <c r="A4256" s="217">
        <v>43502.54534483796</v>
      </c>
      <c r="B4256" s="218" t="s">
        <v>5184</v>
      </c>
      <c r="C4256" s="218" t="s">
        <v>1868</v>
      </c>
      <c r="D4256" s="219">
        <v>1.0</v>
      </c>
      <c r="E4256" s="218">
        <v>6490.0</v>
      </c>
      <c r="G4256" s="220">
        <v>43502.0</v>
      </c>
    </row>
    <row r="4257">
      <c r="A4257" s="217">
        <v>43502.54848921296</v>
      </c>
      <c r="B4257" s="218" t="s">
        <v>5184</v>
      </c>
      <c r="C4257" s="218" t="s">
        <v>5848</v>
      </c>
      <c r="D4257" s="219">
        <v>1.0</v>
      </c>
      <c r="E4257" s="218">
        <v>1000.0</v>
      </c>
      <c r="G4257" s="220">
        <v>43502.0</v>
      </c>
    </row>
    <row r="4258">
      <c r="A4258" s="217">
        <v>43502.54925090278</v>
      </c>
      <c r="B4258" s="218" t="s">
        <v>5184</v>
      </c>
      <c r="C4258" s="218" t="s">
        <v>284</v>
      </c>
      <c r="D4258" s="219">
        <v>1.0</v>
      </c>
      <c r="E4258" s="218">
        <v>400.0</v>
      </c>
      <c r="G4258" s="220">
        <v>43502.0</v>
      </c>
    </row>
    <row r="4259">
      <c r="A4259" s="217">
        <v>43502.55141652778</v>
      </c>
      <c r="B4259" s="218" t="s">
        <v>5184</v>
      </c>
      <c r="C4259" s="218" t="s">
        <v>7767</v>
      </c>
      <c r="D4259" s="219">
        <v>12.0</v>
      </c>
      <c r="E4259" s="218">
        <v>100.0</v>
      </c>
      <c r="G4259" s="220">
        <v>43502.0</v>
      </c>
    </row>
    <row r="4260">
      <c r="A4260" s="217">
        <v>43502.72929811342</v>
      </c>
      <c r="B4260" s="218" t="s">
        <v>5184</v>
      </c>
      <c r="C4260" s="218" t="s">
        <v>5789</v>
      </c>
      <c r="D4260" s="219">
        <v>1.0</v>
      </c>
      <c r="E4260" s="218">
        <v>400.0</v>
      </c>
      <c r="G4260" s="220">
        <v>43502.0</v>
      </c>
    </row>
    <row r="4261">
      <c r="A4261" s="217">
        <v>43502.72994472222</v>
      </c>
      <c r="B4261" s="218" t="s">
        <v>5184</v>
      </c>
      <c r="C4261" s="218" t="s">
        <v>6053</v>
      </c>
      <c r="D4261" s="219">
        <v>1.0</v>
      </c>
      <c r="E4261" s="218">
        <v>300.0</v>
      </c>
      <c r="G4261" s="220">
        <v>43502.0</v>
      </c>
    </row>
    <row r="4262">
      <c r="A4262" s="217">
        <v>43502.73200178241</v>
      </c>
      <c r="B4262" s="218" t="s">
        <v>5184</v>
      </c>
      <c r="C4262" s="218" t="s">
        <v>845</v>
      </c>
      <c r="D4262" s="219">
        <v>1.0</v>
      </c>
      <c r="E4262" s="218">
        <v>400.0</v>
      </c>
      <c r="G4262" s="220">
        <v>43502.0</v>
      </c>
    </row>
    <row r="4263">
      <c r="A4263" s="217">
        <v>43502.76303722222</v>
      </c>
      <c r="B4263" s="218" t="s">
        <v>5092</v>
      </c>
      <c r="C4263" s="218" t="s">
        <v>834</v>
      </c>
      <c r="D4263" s="219">
        <v>1.0</v>
      </c>
      <c r="E4263" s="218">
        <v>1900.0</v>
      </c>
      <c r="G4263" s="220">
        <v>43502.0</v>
      </c>
    </row>
    <row r="4264">
      <c r="A4264" s="217">
        <v>43502.76377686343</v>
      </c>
      <c r="B4264" s="218" t="s">
        <v>5092</v>
      </c>
      <c r="C4264" s="218" t="s">
        <v>244</v>
      </c>
      <c r="D4264" s="219">
        <v>1.0</v>
      </c>
      <c r="E4264" s="218">
        <v>600.0</v>
      </c>
      <c r="G4264" s="220">
        <v>43502.0</v>
      </c>
    </row>
    <row r="4265">
      <c r="A4265" s="217">
        <v>43502.764397280094</v>
      </c>
      <c r="B4265" s="218" t="s">
        <v>5092</v>
      </c>
      <c r="C4265" s="218" t="s">
        <v>6053</v>
      </c>
      <c r="D4265" s="219" t="s">
        <v>7547</v>
      </c>
      <c r="E4265" s="218">
        <v>150.0</v>
      </c>
      <c r="G4265" s="220">
        <v>43502.0</v>
      </c>
    </row>
    <row r="4266">
      <c r="A4266" s="217">
        <v>43502.76611370371</v>
      </c>
      <c r="B4266" s="218" t="s">
        <v>5092</v>
      </c>
      <c r="C4266" s="218" t="s">
        <v>6053</v>
      </c>
      <c r="D4266" s="219" t="s">
        <v>7547</v>
      </c>
      <c r="E4266" s="218">
        <v>150.0</v>
      </c>
      <c r="G4266" s="220">
        <v>43502.0</v>
      </c>
    </row>
    <row r="4267">
      <c r="A4267" s="217">
        <v>43502.76674364583</v>
      </c>
      <c r="B4267" s="218" t="s">
        <v>5092</v>
      </c>
      <c r="C4267" s="218" t="s">
        <v>6053</v>
      </c>
      <c r="D4267" s="219" t="s">
        <v>7547</v>
      </c>
      <c r="E4267" s="218">
        <v>150.0</v>
      </c>
      <c r="G4267" s="220">
        <v>43502.0</v>
      </c>
    </row>
    <row r="4268">
      <c r="A4268" s="217">
        <v>43502.76753217593</v>
      </c>
      <c r="B4268" s="218" t="s">
        <v>5092</v>
      </c>
      <c r="C4268" s="218" t="s">
        <v>6053</v>
      </c>
      <c r="D4268" s="219" t="s">
        <v>7547</v>
      </c>
      <c r="E4268" s="218">
        <v>150.0</v>
      </c>
      <c r="G4268" s="220">
        <v>43502.0</v>
      </c>
    </row>
    <row r="4269">
      <c r="A4269" s="217">
        <v>43502.768137060186</v>
      </c>
      <c r="B4269" s="218" t="s">
        <v>5092</v>
      </c>
      <c r="C4269" s="218" t="s">
        <v>7526</v>
      </c>
      <c r="D4269" s="219">
        <v>1.0</v>
      </c>
      <c r="E4269" s="218">
        <v>1000.0</v>
      </c>
      <c r="G4269" s="220">
        <v>43502.0</v>
      </c>
    </row>
    <row r="4270">
      <c r="A4270" s="217">
        <v>43502.7687771412</v>
      </c>
      <c r="B4270" s="218" t="s">
        <v>5092</v>
      </c>
      <c r="C4270" s="218" t="s">
        <v>284</v>
      </c>
      <c r="D4270" s="219">
        <v>1.0</v>
      </c>
      <c r="E4270" s="218">
        <v>400.0</v>
      </c>
      <c r="G4270" s="220">
        <v>43502.0</v>
      </c>
    </row>
    <row r="4271">
      <c r="A4271" s="217">
        <v>43502.769235196756</v>
      </c>
      <c r="B4271" s="218" t="s">
        <v>5092</v>
      </c>
      <c r="C4271" s="218" t="s">
        <v>6053</v>
      </c>
      <c r="D4271" s="219">
        <v>1.0</v>
      </c>
      <c r="E4271" s="218">
        <v>300.0</v>
      </c>
      <c r="G4271" s="220">
        <v>43502.0</v>
      </c>
    </row>
    <row r="4272">
      <c r="A4272" s="217">
        <v>43503.69491453704</v>
      </c>
      <c r="B4272" s="218" t="s">
        <v>5184</v>
      </c>
      <c r="C4272" s="218" t="s">
        <v>5766</v>
      </c>
      <c r="D4272" s="219">
        <v>1.0</v>
      </c>
      <c r="E4272" s="218">
        <v>1800.0</v>
      </c>
      <c r="G4272" s="220">
        <v>43503.0</v>
      </c>
    </row>
    <row r="4273">
      <c r="A4273" s="217">
        <v>43503.69602329861</v>
      </c>
      <c r="B4273" s="218" t="s">
        <v>5184</v>
      </c>
      <c r="C4273" s="218" t="s">
        <v>7806</v>
      </c>
      <c r="D4273" s="219">
        <v>1.0</v>
      </c>
      <c r="E4273" s="218">
        <v>600.0</v>
      </c>
      <c r="G4273" s="220">
        <v>43503.0</v>
      </c>
    </row>
    <row r="4274">
      <c r="A4274" s="217">
        <v>43503.6985228125</v>
      </c>
      <c r="B4274" s="218" t="s">
        <v>5184</v>
      </c>
      <c r="C4274" s="218" t="s">
        <v>7800</v>
      </c>
      <c r="D4274" s="219">
        <v>1.0</v>
      </c>
      <c r="E4274" s="218">
        <v>300.0</v>
      </c>
      <c r="G4274" s="220">
        <v>43503.0</v>
      </c>
    </row>
    <row r="4275">
      <c r="A4275" s="217">
        <v>43503.6996406713</v>
      </c>
      <c r="B4275" s="218" t="s">
        <v>5184</v>
      </c>
      <c r="C4275" s="218" t="s">
        <v>284</v>
      </c>
      <c r="D4275" s="219">
        <v>1.0</v>
      </c>
      <c r="E4275" s="218">
        <v>400.0</v>
      </c>
      <c r="G4275" s="220">
        <v>43503.0</v>
      </c>
    </row>
    <row r="4276">
      <c r="A4276" s="217">
        <v>43503.70286394676</v>
      </c>
      <c r="B4276" s="218" t="s">
        <v>5184</v>
      </c>
      <c r="C4276" s="218" t="s">
        <v>5789</v>
      </c>
      <c r="D4276" s="219">
        <v>1.0</v>
      </c>
      <c r="E4276" s="218">
        <v>400.0</v>
      </c>
      <c r="G4276" s="220">
        <v>43503.0</v>
      </c>
    </row>
    <row r="4277">
      <c r="A4277" s="217">
        <v>43503.70387416666</v>
      </c>
      <c r="B4277" s="218" t="s">
        <v>5184</v>
      </c>
      <c r="C4277" s="218" t="s">
        <v>244</v>
      </c>
      <c r="D4277" s="219">
        <v>1.0</v>
      </c>
      <c r="E4277" s="218">
        <v>600.0</v>
      </c>
      <c r="G4277" s="220">
        <v>43503.0</v>
      </c>
    </row>
    <row r="4278">
      <c r="A4278" s="217">
        <v>43504.43666082176</v>
      </c>
      <c r="B4278" s="218" t="s">
        <v>5184</v>
      </c>
      <c r="C4278" s="218" t="s">
        <v>7171</v>
      </c>
      <c r="D4278" s="219">
        <v>1.0</v>
      </c>
      <c r="E4278" s="218">
        <v>2450.0</v>
      </c>
      <c r="G4278" s="220">
        <v>43502.0</v>
      </c>
    </row>
    <row r="4279">
      <c r="A4279" s="217">
        <v>43504.43802267361</v>
      </c>
      <c r="B4279" s="218" t="s">
        <v>5184</v>
      </c>
      <c r="C4279" s="218" t="s">
        <v>847</v>
      </c>
      <c r="D4279" s="219">
        <v>1.0</v>
      </c>
      <c r="E4279" s="218">
        <v>1400.0</v>
      </c>
      <c r="G4279" s="220">
        <v>43502.0</v>
      </c>
    </row>
    <row r="4280">
      <c r="A4280" s="217">
        <v>43504.438571921295</v>
      </c>
      <c r="B4280" s="218" t="s">
        <v>5184</v>
      </c>
      <c r="C4280" s="218" t="s">
        <v>6053</v>
      </c>
      <c r="D4280" s="219">
        <v>1.0</v>
      </c>
      <c r="E4280" s="218">
        <v>300.0</v>
      </c>
      <c r="G4280" s="220">
        <v>43502.0</v>
      </c>
    </row>
    <row r="4281">
      <c r="A4281" s="217">
        <v>43504.44091319444</v>
      </c>
      <c r="B4281" s="218" t="s">
        <v>5184</v>
      </c>
      <c r="C4281" s="218" t="s">
        <v>5818</v>
      </c>
      <c r="D4281" s="219">
        <v>1.0</v>
      </c>
      <c r="E4281" s="218">
        <v>300.0</v>
      </c>
      <c r="G4281" s="220">
        <v>43502.0</v>
      </c>
    </row>
    <row r="4282">
      <c r="A4282" s="217">
        <v>43504.44148996528</v>
      </c>
      <c r="B4282" s="218" t="s">
        <v>5184</v>
      </c>
      <c r="C4282" s="218" t="s">
        <v>6053</v>
      </c>
      <c r="D4282" s="219">
        <v>1.0</v>
      </c>
      <c r="E4282" s="218">
        <v>300.0</v>
      </c>
      <c r="G4282" s="220">
        <v>43502.0</v>
      </c>
    </row>
    <row r="4283">
      <c r="A4283" s="217">
        <v>43504.44976870371</v>
      </c>
      <c r="B4283" s="218" t="s">
        <v>5184</v>
      </c>
      <c r="C4283" s="218" t="s">
        <v>7496</v>
      </c>
      <c r="D4283" s="219">
        <v>1.0</v>
      </c>
      <c r="E4283" s="218">
        <v>300.0</v>
      </c>
      <c r="G4283" s="220">
        <v>43503.0</v>
      </c>
    </row>
    <row r="4284">
      <c r="A4284" s="217">
        <v>43504.45034935186</v>
      </c>
      <c r="B4284" s="218" t="s">
        <v>5184</v>
      </c>
      <c r="C4284" s="218" t="s">
        <v>6036</v>
      </c>
      <c r="D4284" s="219">
        <v>1.0</v>
      </c>
      <c r="E4284" s="218">
        <v>600.0</v>
      </c>
      <c r="G4284" s="220">
        <v>43503.0</v>
      </c>
    </row>
    <row r="4285">
      <c r="A4285" s="217">
        <v>43504.48787660879</v>
      </c>
      <c r="B4285" s="218" t="s">
        <v>5184</v>
      </c>
      <c r="C4285" s="218" t="s">
        <v>5804</v>
      </c>
      <c r="D4285" s="219">
        <v>1.0</v>
      </c>
      <c r="E4285" s="218" t="s">
        <v>894</v>
      </c>
      <c r="G4285" s="220">
        <v>43504.0</v>
      </c>
    </row>
    <row r="4286">
      <c r="A4286" s="217">
        <v>43504.4884462037</v>
      </c>
      <c r="B4286" s="218" t="s">
        <v>5184</v>
      </c>
      <c r="C4286" s="218" t="s">
        <v>6053</v>
      </c>
      <c r="D4286" s="219">
        <v>1.0</v>
      </c>
      <c r="E4286" s="218">
        <v>300.0</v>
      </c>
      <c r="G4286" s="220">
        <v>43504.0</v>
      </c>
    </row>
    <row r="4287">
      <c r="A4287" s="217">
        <v>43505.43590752315</v>
      </c>
      <c r="B4287" s="218" t="s">
        <v>5092</v>
      </c>
      <c r="C4287" s="218" t="s">
        <v>6053</v>
      </c>
      <c r="D4287" s="219" t="s">
        <v>7936</v>
      </c>
      <c r="E4287" s="218">
        <v>300.0</v>
      </c>
      <c r="G4287" s="220">
        <v>43504.0</v>
      </c>
    </row>
    <row r="4288">
      <c r="A4288" s="217">
        <v>43505.47738106482</v>
      </c>
      <c r="B4288" s="218" t="s">
        <v>5184</v>
      </c>
      <c r="C4288" s="218" t="s">
        <v>4818</v>
      </c>
      <c r="D4288" s="219">
        <v>1.0</v>
      </c>
      <c r="E4288" s="218">
        <v>1695.0</v>
      </c>
      <c r="G4288" s="220">
        <v>43505.0</v>
      </c>
    </row>
    <row r="4289">
      <c r="A4289" s="217">
        <v>43505.548861435185</v>
      </c>
      <c r="B4289" s="218" t="s">
        <v>5184</v>
      </c>
      <c r="C4289" s="218" t="s">
        <v>6553</v>
      </c>
      <c r="D4289" s="219">
        <v>1.0</v>
      </c>
      <c r="E4289" s="218">
        <v>7410.0</v>
      </c>
      <c r="G4289" s="220">
        <v>43503.0</v>
      </c>
    </row>
    <row r="4290">
      <c r="A4290" s="217">
        <v>43505.551707164355</v>
      </c>
      <c r="B4290" s="218" t="s">
        <v>5092</v>
      </c>
      <c r="C4290" s="218" t="s">
        <v>6053</v>
      </c>
      <c r="D4290" s="219">
        <v>1.0</v>
      </c>
      <c r="E4290" s="218">
        <v>300.0</v>
      </c>
      <c r="G4290" s="220">
        <v>43503.0</v>
      </c>
    </row>
    <row r="4291">
      <c r="A4291" s="217">
        <v>43505.55254138889</v>
      </c>
      <c r="B4291" s="218" t="s">
        <v>5092</v>
      </c>
      <c r="C4291" s="218" t="s">
        <v>6053</v>
      </c>
      <c r="D4291" s="219">
        <v>1.0</v>
      </c>
      <c r="E4291" s="218">
        <v>300.0</v>
      </c>
      <c r="G4291" s="220">
        <v>43505.0</v>
      </c>
    </row>
    <row r="4292">
      <c r="A4292" s="217">
        <v>43505.55348555556</v>
      </c>
      <c r="B4292" s="218" t="s">
        <v>5092</v>
      </c>
      <c r="C4292" s="218" t="s">
        <v>244</v>
      </c>
      <c r="D4292" s="219">
        <v>1.0</v>
      </c>
      <c r="E4292" s="218">
        <v>600.0</v>
      </c>
      <c r="G4292" s="220">
        <v>43505.0</v>
      </c>
    </row>
    <row r="4293">
      <c r="A4293" s="217">
        <v>43505.55405909722</v>
      </c>
      <c r="B4293" s="218" t="s">
        <v>5092</v>
      </c>
      <c r="C4293" s="218" t="s">
        <v>244</v>
      </c>
      <c r="D4293" s="219">
        <v>1.0</v>
      </c>
      <c r="E4293" s="218">
        <v>600.0</v>
      </c>
      <c r="G4293" s="220">
        <v>43505.0</v>
      </c>
    </row>
    <row r="4294">
      <c r="A4294" s="217">
        <v>43505.560786539354</v>
      </c>
      <c r="B4294" s="218" t="s">
        <v>5184</v>
      </c>
      <c r="C4294" s="218" t="s">
        <v>244</v>
      </c>
      <c r="D4294" s="219">
        <v>1.0</v>
      </c>
      <c r="E4294" s="218">
        <v>600.0</v>
      </c>
      <c r="G4294" s="220">
        <v>43505.0</v>
      </c>
    </row>
    <row r="4295">
      <c r="A4295" s="217">
        <v>43505.561763854166</v>
      </c>
      <c r="B4295" s="218" t="s">
        <v>5184</v>
      </c>
      <c r="C4295" s="218" t="s">
        <v>7938</v>
      </c>
      <c r="D4295" s="219">
        <v>1.0</v>
      </c>
      <c r="E4295" s="218">
        <v>400.0</v>
      </c>
      <c r="G4295" s="220">
        <v>43505.0</v>
      </c>
    </row>
    <row r="4296">
      <c r="A4296" s="217">
        <v>43505.562888229164</v>
      </c>
      <c r="B4296" s="218" t="s">
        <v>5184</v>
      </c>
      <c r="C4296" s="218" t="s">
        <v>7312</v>
      </c>
      <c r="D4296" s="219">
        <v>1.0</v>
      </c>
      <c r="E4296" s="218">
        <v>600.0</v>
      </c>
      <c r="G4296" s="220">
        <v>43505.0</v>
      </c>
    </row>
    <row r="4297">
      <c r="A4297" s="217">
        <v>43505.56391957176</v>
      </c>
      <c r="B4297" s="218" t="s">
        <v>5184</v>
      </c>
      <c r="C4297" s="218" t="s">
        <v>5786</v>
      </c>
      <c r="D4297" s="219">
        <v>1.0</v>
      </c>
      <c r="E4297" s="218">
        <v>300.0</v>
      </c>
      <c r="G4297" s="220">
        <v>43505.0</v>
      </c>
    </row>
    <row r="4298">
      <c r="A4298" s="217">
        <v>43505.564708425925</v>
      </c>
      <c r="B4298" s="218" t="s">
        <v>5184</v>
      </c>
      <c r="C4298" s="218" t="s">
        <v>6053</v>
      </c>
      <c r="D4298" s="219">
        <v>1.0</v>
      </c>
      <c r="E4298" s="218">
        <v>300.0</v>
      </c>
      <c r="G4298" s="220">
        <v>43505.0</v>
      </c>
    </row>
    <row r="4299">
      <c r="A4299" s="217">
        <v>43505.56582210648</v>
      </c>
      <c r="B4299" s="218" t="s">
        <v>5184</v>
      </c>
      <c r="C4299" s="218" t="s">
        <v>7408</v>
      </c>
      <c r="D4299" s="219">
        <v>1.0</v>
      </c>
      <c r="E4299" s="218">
        <v>200.0</v>
      </c>
      <c r="G4299" s="220">
        <v>43505.0</v>
      </c>
    </row>
    <row r="4300">
      <c r="A4300" s="217">
        <v>43505.5670694213</v>
      </c>
      <c r="B4300" s="218" t="s">
        <v>5184</v>
      </c>
      <c r="C4300" s="218" t="s">
        <v>6053</v>
      </c>
      <c r="D4300" s="219">
        <v>1.0</v>
      </c>
      <c r="E4300" s="218">
        <v>300.0</v>
      </c>
      <c r="G4300" s="220">
        <v>43505.0</v>
      </c>
    </row>
    <row r="4301">
      <c r="A4301" s="217">
        <v>43505.56837313657</v>
      </c>
      <c r="B4301" s="218" t="s">
        <v>5184</v>
      </c>
      <c r="C4301" s="218" t="s">
        <v>5976</v>
      </c>
      <c r="D4301" s="219">
        <v>1.0</v>
      </c>
      <c r="E4301" s="218">
        <v>150.0</v>
      </c>
      <c r="G4301" s="220">
        <v>43505.0</v>
      </c>
    </row>
    <row r="4302">
      <c r="A4302" s="217">
        <v>43505.571755972225</v>
      </c>
      <c r="B4302" s="218" t="s">
        <v>5184</v>
      </c>
      <c r="C4302" s="218" t="s">
        <v>6053</v>
      </c>
      <c r="D4302" s="219">
        <v>1.0</v>
      </c>
      <c r="E4302" s="218">
        <v>300.0</v>
      </c>
      <c r="G4302" s="220">
        <v>43505.0</v>
      </c>
    </row>
    <row r="4303">
      <c r="A4303" s="217">
        <v>43505.75751123842</v>
      </c>
      <c r="B4303" s="218" t="s">
        <v>5184</v>
      </c>
      <c r="C4303" s="218" t="s">
        <v>7943</v>
      </c>
      <c r="D4303" s="219">
        <v>1.0</v>
      </c>
      <c r="E4303" s="218">
        <v>7400.0</v>
      </c>
      <c r="G4303" s="220">
        <v>43508.0</v>
      </c>
    </row>
    <row r="4304">
      <c r="A4304" s="217">
        <v>43507.74422886574</v>
      </c>
      <c r="B4304" s="218" t="s">
        <v>5184</v>
      </c>
      <c r="C4304" s="218" t="s">
        <v>6053</v>
      </c>
      <c r="D4304" s="219">
        <v>1.0</v>
      </c>
      <c r="E4304" s="218">
        <v>300.0</v>
      </c>
      <c r="G4304" s="220">
        <v>43507.0</v>
      </c>
    </row>
    <row r="4305">
      <c r="A4305" s="217">
        <v>43507.744992893524</v>
      </c>
      <c r="B4305" s="218" t="s">
        <v>5184</v>
      </c>
      <c r="C4305" s="218" t="s">
        <v>7496</v>
      </c>
      <c r="D4305" s="219">
        <v>1.0</v>
      </c>
      <c r="E4305" s="218">
        <v>250.0</v>
      </c>
      <c r="G4305" s="220">
        <v>43507.0</v>
      </c>
    </row>
    <row r="4306">
      <c r="A4306" s="217">
        <v>43507.75019085648</v>
      </c>
      <c r="B4306" s="218" t="s">
        <v>5184</v>
      </c>
      <c r="C4306" s="218" t="s">
        <v>6053</v>
      </c>
      <c r="D4306" s="219">
        <v>1.0</v>
      </c>
      <c r="E4306" s="218">
        <v>300.0</v>
      </c>
      <c r="G4306" s="220">
        <v>43507.0</v>
      </c>
    </row>
    <row r="4307">
      <c r="A4307" s="217">
        <v>43507.75121905093</v>
      </c>
      <c r="B4307" s="218" t="s">
        <v>5184</v>
      </c>
      <c r="C4307" s="218" t="s">
        <v>5786</v>
      </c>
      <c r="D4307" s="219">
        <v>1.0</v>
      </c>
      <c r="E4307" s="218">
        <v>300.0</v>
      </c>
      <c r="G4307" s="220">
        <v>43507.0</v>
      </c>
    </row>
    <row r="4308">
      <c r="A4308" s="217">
        <v>43507.75195175926</v>
      </c>
      <c r="B4308" s="218" t="s">
        <v>5184</v>
      </c>
      <c r="C4308" s="218" t="s">
        <v>5789</v>
      </c>
      <c r="D4308" s="219">
        <v>1.0</v>
      </c>
      <c r="E4308" s="218">
        <v>400.0</v>
      </c>
      <c r="G4308" s="220">
        <v>43507.0</v>
      </c>
    </row>
    <row r="4309">
      <c r="A4309" s="217">
        <v>43507.75254878472</v>
      </c>
      <c r="B4309" s="218" t="s">
        <v>5184</v>
      </c>
      <c r="C4309" s="218" t="s">
        <v>6053</v>
      </c>
      <c r="D4309" s="219">
        <v>1.0</v>
      </c>
      <c r="E4309" s="218">
        <v>300.0</v>
      </c>
      <c r="G4309" s="220">
        <v>43507.0</v>
      </c>
    </row>
    <row r="4310">
      <c r="A4310" s="217">
        <v>43507.753638124996</v>
      </c>
      <c r="B4310" s="218" t="s">
        <v>5184</v>
      </c>
      <c r="C4310" s="218" t="s">
        <v>5804</v>
      </c>
      <c r="D4310" s="219">
        <v>1.0</v>
      </c>
      <c r="E4310" s="218">
        <v>300.0</v>
      </c>
      <c r="G4310" s="220">
        <v>43507.0</v>
      </c>
    </row>
    <row r="4311">
      <c r="A4311" s="217">
        <v>43507.75428925926</v>
      </c>
      <c r="B4311" s="218" t="s">
        <v>5184</v>
      </c>
      <c r="C4311" s="218" t="s">
        <v>6053</v>
      </c>
      <c r="D4311" s="219">
        <v>1.0</v>
      </c>
      <c r="E4311" s="218">
        <v>300.0</v>
      </c>
      <c r="G4311" s="220">
        <v>43507.0</v>
      </c>
    </row>
    <row r="4312">
      <c r="A4312" s="217">
        <v>43507.75500762732</v>
      </c>
      <c r="B4312" s="218" t="s">
        <v>5184</v>
      </c>
      <c r="C4312" s="218" t="s">
        <v>7427</v>
      </c>
      <c r="D4312" s="219">
        <v>1.0</v>
      </c>
      <c r="E4312" s="218">
        <v>150.0</v>
      </c>
      <c r="G4312" s="220">
        <v>43507.0</v>
      </c>
    </row>
    <row r="4313">
      <c r="A4313" s="217">
        <v>43507.75573719907</v>
      </c>
      <c r="B4313" s="218" t="s">
        <v>5184</v>
      </c>
      <c r="C4313" s="218" t="s">
        <v>6053</v>
      </c>
      <c r="D4313" s="219">
        <v>1.0</v>
      </c>
      <c r="E4313" s="218">
        <v>300.0</v>
      </c>
      <c r="G4313" s="220">
        <v>43507.0</v>
      </c>
    </row>
    <row r="4314">
      <c r="A4314" s="217">
        <v>43508.505277916665</v>
      </c>
      <c r="B4314" s="218" t="s">
        <v>5184</v>
      </c>
      <c r="C4314" s="218" t="s">
        <v>6558</v>
      </c>
      <c r="D4314" s="219">
        <v>1.0</v>
      </c>
      <c r="E4314" s="218">
        <v>7670.0</v>
      </c>
      <c r="G4314" s="220">
        <v>43508.0</v>
      </c>
    </row>
    <row r="4315">
      <c r="A4315" s="217">
        <v>43508.51546416667</v>
      </c>
      <c r="B4315" s="218" t="s">
        <v>5184</v>
      </c>
      <c r="C4315" s="218" t="s">
        <v>5786</v>
      </c>
      <c r="D4315" s="219">
        <v>1.0</v>
      </c>
      <c r="E4315" s="218">
        <v>400.0</v>
      </c>
      <c r="G4315" s="220">
        <v>43507.0</v>
      </c>
    </row>
    <row r="4316">
      <c r="A4316" s="217">
        <v>43508.52234119213</v>
      </c>
      <c r="B4316" s="218" t="s">
        <v>5184</v>
      </c>
      <c r="C4316" s="218" t="s">
        <v>284</v>
      </c>
      <c r="D4316" s="219">
        <v>1.0</v>
      </c>
      <c r="E4316" s="218">
        <v>400.0</v>
      </c>
      <c r="G4316" s="220">
        <v>43507.0</v>
      </c>
    </row>
    <row r="4317">
      <c r="A4317" s="217">
        <v>43508.52895773148</v>
      </c>
      <c r="B4317" s="218" t="s">
        <v>5092</v>
      </c>
      <c r="C4317" s="218" t="s">
        <v>7427</v>
      </c>
      <c r="D4317" s="219">
        <v>1.0</v>
      </c>
      <c r="E4317" s="218">
        <v>150.0</v>
      </c>
      <c r="G4317" s="220">
        <v>43507.0</v>
      </c>
    </row>
    <row r="4318">
      <c r="A4318" s="217">
        <v>43508.532050671296</v>
      </c>
      <c r="B4318" s="218" t="s">
        <v>5092</v>
      </c>
      <c r="C4318" s="218" t="s">
        <v>6053</v>
      </c>
      <c r="D4318" s="219" t="s">
        <v>7950</v>
      </c>
      <c r="E4318" s="218">
        <v>300.0</v>
      </c>
      <c r="G4318" s="220">
        <v>43507.0</v>
      </c>
    </row>
    <row r="4319">
      <c r="A4319" s="217">
        <v>43508.539244444444</v>
      </c>
      <c r="B4319" s="218" t="s">
        <v>5092</v>
      </c>
      <c r="C4319" s="218" t="s">
        <v>284</v>
      </c>
      <c r="D4319" s="219" t="s">
        <v>7951</v>
      </c>
      <c r="E4319" s="218">
        <v>400.0</v>
      </c>
      <c r="G4319" s="220">
        <v>43507.0</v>
      </c>
    </row>
    <row r="4320">
      <c r="A4320" s="217">
        <v>43508.54105017361</v>
      </c>
      <c r="B4320" s="218" t="s">
        <v>5092</v>
      </c>
      <c r="C4320" s="218" t="s">
        <v>284</v>
      </c>
      <c r="D4320" s="219" t="s">
        <v>7952</v>
      </c>
      <c r="E4320" s="218">
        <v>400.0</v>
      </c>
      <c r="G4320" s="220">
        <v>43507.0</v>
      </c>
    </row>
    <row r="4321">
      <c r="A4321" s="217">
        <v>43508.54307619213</v>
      </c>
      <c r="B4321" s="218" t="s">
        <v>5092</v>
      </c>
      <c r="C4321" s="218" t="s">
        <v>6053</v>
      </c>
      <c r="D4321" s="219" t="s">
        <v>7953</v>
      </c>
      <c r="E4321" s="218">
        <v>300.0</v>
      </c>
      <c r="G4321" s="220">
        <v>43507.0</v>
      </c>
    </row>
    <row r="4322">
      <c r="A4322" s="217">
        <v>43508.544170740744</v>
      </c>
      <c r="B4322" s="218" t="s">
        <v>5092</v>
      </c>
      <c r="C4322" s="218" t="s">
        <v>6053</v>
      </c>
      <c r="D4322" s="219" t="s">
        <v>7954</v>
      </c>
      <c r="E4322" s="218">
        <v>300.0</v>
      </c>
      <c r="G4322" s="220">
        <v>43507.0</v>
      </c>
    </row>
    <row r="4323">
      <c r="A4323" s="217">
        <v>43508.54555180555</v>
      </c>
      <c r="B4323" s="218" t="s">
        <v>5092</v>
      </c>
      <c r="C4323" s="218" t="s">
        <v>244</v>
      </c>
      <c r="D4323" s="219">
        <v>1.0</v>
      </c>
      <c r="E4323" s="218">
        <v>300.0</v>
      </c>
      <c r="G4323" s="220">
        <v>43507.0</v>
      </c>
    </row>
    <row r="4324">
      <c r="A4324" s="217">
        <v>43508.54647717593</v>
      </c>
      <c r="B4324" s="218" t="s">
        <v>5092</v>
      </c>
      <c r="C4324" s="218" t="s">
        <v>7806</v>
      </c>
      <c r="D4324" s="219" t="s">
        <v>7955</v>
      </c>
      <c r="E4324" s="218">
        <v>600.0</v>
      </c>
      <c r="G4324" s="220">
        <v>43507.0</v>
      </c>
    </row>
    <row r="4325">
      <c r="A4325" s="217">
        <v>43508.740719884256</v>
      </c>
      <c r="B4325" s="218" t="s">
        <v>5184</v>
      </c>
      <c r="C4325" s="218" t="s">
        <v>7792</v>
      </c>
      <c r="D4325" s="219">
        <v>1.0</v>
      </c>
      <c r="E4325" s="218">
        <v>400.0</v>
      </c>
      <c r="G4325" s="220">
        <v>43508.0</v>
      </c>
    </row>
    <row r="4326">
      <c r="A4326" s="217">
        <v>43508.74134097222</v>
      </c>
      <c r="B4326" s="218" t="s">
        <v>5184</v>
      </c>
      <c r="C4326" s="218" t="s">
        <v>284</v>
      </c>
      <c r="D4326" s="219">
        <v>1.0</v>
      </c>
      <c r="E4326" s="218">
        <v>400.0</v>
      </c>
      <c r="G4326" s="220">
        <v>43508.0</v>
      </c>
    </row>
    <row r="4327">
      <c r="A4327" s="217">
        <v>43509.523864456016</v>
      </c>
      <c r="B4327" s="218" t="s">
        <v>5184</v>
      </c>
      <c r="C4327" s="218" t="s">
        <v>6053</v>
      </c>
      <c r="D4327" s="219">
        <v>1.0</v>
      </c>
      <c r="E4327" s="218">
        <v>300.0</v>
      </c>
      <c r="G4327" s="220">
        <v>43509.0</v>
      </c>
    </row>
    <row r="4328">
      <c r="A4328" s="217">
        <v>43509.52499924769</v>
      </c>
      <c r="B4328" s="218" t="s">
        <v>5184</v>
      </c>
      <c r="C4328" s="218" t="s">
        <v>6053</v>
      </c>
      <c r="D4328" s="219">
        <v>1.0</v>
      </c>
      <c r="E4328" s="218">
        <v>300.0</v>
      </c>
      <c r="G4328" s="220">
        <v>43509.0</v>
      </c>
    </row>
    <row r="4329">
      <c r="A4329" s="217">
        <v>43509.525744502316</v>
      </c>
      <c r="B4329" s="218" t="s">
        <v>5184</v>
      </c>
      <c r="C4329" s="218" t="s">
        <v>7800</v>
      </c>
      <c r="D4329" s="219">
        <v>1.0</v>
      </c>
      <c r="E4329" s="218">
        <v>200.0</v>
      </c>
      <c r="G4329" s="220">
        <v>43509.0</v>
      </c>
    </row>
    <row r="4330">
      <c r="A4330" s="217">
        <v>43509.52680091435</v>
      </c>
      <c r="B4330" s="218" t="s">
        <v>5184</v>
      </c>
      <c r="C4330" s="218" t="s">
        <v>7806</v>
      </c>
      <c r="D4330" s="219">
        <v>1.0</v>
      </c>
      <c r="E4330" s="218">
        <v>600.0</v>
      </c>
      <c r="G4330" s="220">
        <v>43509.0</v>
      </c>
    </row>
    <row r="4331">
      <c r="A4331" s="217">
        <v>43509.5274328125</v>
      </c>
      <c r="B4331" s="218" t="s">
        <v>5184</v>
      </c>
      <c r="C4331" s="218" t="s">
        <v>6053</v>
      </c>
      <c r="D4331" s="219">
        <v>1.0</v>
      </c>
      <c r="E4331" s="218">
        <v>300.0</v>
      </c>
      <c r="G4331" s="220">
        <v>43509.0</v>
      </c>
    </row>
    <row r="4332">
      <c r="A4332" s="217">
        <v>43509.53117957176</v>
      </c>
      <c r="B4332" s="218" t="s">
        <v>5184</v>
      </c>
      <c r="C4332" s="218" t="s">
        <v>847</v>
      </c>
      <c r="D4332" s="219">
        <v>1.0</v>
      </c>
      <c r="E4332" s="218">
        <v>1000.0</v>
      </c>
      <c r="G4332" s="220">
        <v>43509.0</v>
      </c>
    </row>
    <row r="4333">
      <c r="A4333" s="217">
        <v>43509.5768757176</v>
      </c>
      <c r="B4333" s="218" t="s">
        <v>5184</v>
      </c>
      <c r="C4333" s="218" t="s">
        <v>6565</v>
      </c>
      <c r="D4333" s="219">
        <v>1.0</v>
      </c>
      <c r="E4333" s="218">
        <v>6650.0</v>
      </c>
      <c r="G4333" s="220">
        <v>43509.0</v>
      </c>
    </row>
    <row r="4334">
      <c r="A4334" s="217">
        <v>43509.59537405093</v>
      </c>
      <c r="B4334" s="218" t="s">
        <v>5184</v>
      </c>
      <c r="C4334" s="218" t="s">
        <v>7800</v>
      </c>
      <c r="D4334" s="219">
        <v>1.0</v>
      </c>
      <c r="E4334" s="218">
        <v>300.0</v>
      </c>
      <c r="G4334" s="220">
        <v>43509.0</v>
      </c>
    </row>
    <row r="4335">
      <c r="A4335" s="217">
        <v>43509.59633467592</v>
      </c>
      <c r="B4335" s="218" t="s">
        <v>5184</v>
      </c>
      <c r="C4335" s="218" t="s">
        <v>6053</v>
      </c>
      <c r="D4335" s="219">
        <v>1.0</v>
      </c>
      <c r="E4335" s="218">
        <v>300.0</v>
      </c>
      <c r="G4335" s="220">
        <v>43509.0</v>
      </c>
    </row>
    <row r="4336">
      <c r="A4336" s="217">
        <v>43509.59806965278</v>
      </c>
      <c r="B4336" s="218" t="s">
        <v>5184</v>
      </c>
      <c r="C4336" s="218" t="s">
        <v>7754</v>
      </c>
      <c r="D4336" s="219">
        <v>1.0</v>
      </c>
      <c r="E4336" s="218">
        <v>600.0</v>
      </c>
      <c r="G4336" s="220">
        <v>43509.0</v>
      </c>
    </row>
    <row r="4337">
      <c r="A4337" s="217">
        <v>43509.605946435186</v>
      </c>
      <c r="B4337" s="218" t="s">
        <v>5184</v>
      </c>
      <c r="C4337" s="218" t="s">
        <v>5786</v>
      </c>
      <c r="D4337" s="219">
        <v>1.0</v>
      </c>
      <c r="E4337" s="218">
        <v>300.0</v>
      </c>
      <c r="G4337" s="220">
        <v>43509.0</v>
      </c>
    </row>
    <row r="4338">
      <c r="A4338" s="217">
        <v>43509.60684070602</v>
      </c>
      <c r="B4338" s="218" t="s">
        <v>5184</v>
      </c>
      <c r="C4338" s="218" t="s">
        <v>6053</v>
      </c>
      <c r="D4338" s="219">
        <v>1.0</v>
      </c>
      <c r="E4338" s="218">
        <v>300.0</v>
      </c>
      <c r="G4338" s="220">
        <v>43509.0</v>
      </c>
    </row>
    <row r="4339">
      <c r="A4339" s="217">
        <v>43509.71532640046</v>
      </c>
      <c r="B4339" s="218" t="s">
        <v>5184</v>
      </c>
      <c r="C4339" s="218" t="s">
        <v>6197</v>
      </c>
      <c r="D4339" s="219">
        <v>1.0</v>
      </c>
      <c r="E4339" s="218">
        <v>7690.0</v>
      </c>
      <c r="G4339" s="220">
        <v>43509.0</v>
      </c>
    </row>
    <row r="4340">
      <c r="A4340" s="217">
        <v>43510.61273126157</v>
      </c>
      <c r="B4340" s="218" t="s">
        <v>5184</v>
      </c>
      <c r="C4340" s="218" t="s">
        <v>244</v>
      </c>
      <c r="D4340" s="219">
        <v>1.0</v>
      </c>
      <c r="E4340" s="218">
        <v>400.0</v>
      </c>
      <c r="G4340" s="220">
        <v>43507.0</v>
      </c>
    </row>
    <row r="4341">
      <c r="A4341" s="217">
        <v>43510.61425745371</v>
      </c>
      <c r="B4341" s="218" t="s">
        <v>5184</v>
      </c>
      <c r="C4341" s="218" t="s">
        <v>5674</v>
      </c>
      <c r="D4341" s="219">
        <v>1.0</v>
      </c>
      <c r="E4341" s="218">
        <v>2000.0</v>
      </c>
      <c r="G4341" s="220">
        <v>43507.0</v>
      </c>
    </row>
    <row r="4342">
      <c r="A4342" s="217">
        <v>43510.620030578706</v>
      </c>
      <c r="B4342" s="218" t="s">
        <v>5184</v>
      </c>
      <c r="C4342" s="218" t="s">
        <v>6053</v>
      </c>
      <c r="D4342" s="219">
        <v>1.0</v>
      </c>
      <c r="E4342" s="218">
        <v>300.0</v>
      </c>
      <c r="G4342" s="220">
        <v>43507.0</v>
      </c>
    </row>
    <row r="4343">
      <c r="A4343" s="217">
        <v>43510.621407604165</v>
      </c>
      <c r="B4343" s="218" t="s">
        <v>5184</v>
      </c>
      <c r="C4343" s="218" t="s">
        <v>5669</v>
      </c>
      <c r="D4343" s="219">
        <v>1.0</v>
      </c>
      <c r="E4343" s="218">
        <v>2000.0</v>
      </c>
      <c r="G4343" s="220">
        <v>43507.0</v>
      </c>
    </row>
    <row r="4344">
      <c r="A4344" s="217">
        <v>43510.622074803236</v>
      </c>
      <c r="B4344" s="218" t="s">
        <v>5184</v>
      </c>
      <c r="C4344" s="218" t="s">
        <v>6053</v>
      </c>
      <c r="D4344" s="219">
        <v>1.0</v>
      </c>
      <c r="E4344" s="218">
        <v>300.0</v>
      </c>
      <c r="G4344" s="220">
        <v>43507.0</v>
      </c>
    </row>
    <row r="4345">
      <c r="A4345" s="217">
        <v>43510.62364248843</v>
      </c>
      <c r="B4345" s="218" t="s">
        <v>5184</v>
      </c>
      <c r="C4345" s="218" t="s">
        <v>7967</v>
      </c>
      <c r="D4345" s="219">
        <v>1.0</v>
      </c>
      <c r="E4345" s="218">
        <v>3490.0</v>
      </c>
      <c r="G4345" s="220">
        <v>43507.0</v>
      </c>
    </row>
    <row r="4346">
      <c r="A4346" s="217">
        <v>43510.75058466435</v>
      </c>
      <c r="B4346" s="218" t="s">
        <v>5184</v>
      </c>
      <c r="C4346" s="218" t="s">
        <v>284</v>
      </c>
      <c r="D4346" s="219">
        <v>1.0</v>
      </c>
      <c r="E4346" s="218">
        <v>400.0</v>
      </c>
      <c r="G4346" s="220">
        <v>43510.0</v>
      </c>
    </row>
    <row r="4347">
      <c r="A4347" s="217">
        <v>43510.76277627315</v>
      </c>
      <c r="B4347" s="218" t="s">
        <v>5184</v>
      </c>
      <c r="C4347" s="218" t="s">
        <v>284</v>
      </c>
      <c r="D4347" s="219">
        <v>1.0</v>
      </c>
      <c r="E4347" s="218">
        <v>400.0</v>
      </c>
      <c r="G4347" s="220">
        <v>43510.0</v>
      </c>
    </row>
    <row r="4348">
      <c r="A4348" s="217">
        <v>43510.76787972222</v>
      </c>
      <c r="B4348" s="218" t="s">
        <v>5092</v>
      </c>
      <c r="C4348" s="218" t="s">
        <v>7970</v>
      </c>
      <c r="D4348" s="219">
        <v>1.0</v>
      </c>
      <c r="E4348" s="218">
        <v>1400.0</v>
      </c>
      <c r="G4348" s="220">
        <v>43508.0</v>
      </c>
    </row>
    <row r="4349">
      <c r="A4349" s="217">
        <v>43510.76911421296</v>
      </c>
      <c r="B4349" s="218" t="s">
        <v>5092</v>
      </c>
      <c r="C4349" s="218" t="s">
        <v>7970</v>
      </c>
      <c r="D4349" s="219">
        <v>1.0</v>
      </c>
      <c r="E4349" s="218">
        <v>1400.0</v>
      </c>
      <c r="G4349" s="220">
        <v>43508.0</v>
      </c>
    </row>
    <row r="4350">
      <c r="A4350" s="217">
        <v>43511.76812597222</v>
      </c>
      <c r="B4350" s="218" t="s">
        <v>5184</v>
      </c>
      <c r="C4350" s="218" t="s">
        <v>6053</v>
      </c>
      <c r="D4350" s="219">
        <v>1.0</v>
      </c>
      <c r="E4350" s="218">
        <v>300.0</v>
      </c>
      <c r="G4350" s="220">
        <v>43511.0</v>
      </c>
    </row>
    <row r="4351">
      <c r="A4351" s="217">
        <v>43511.76942143519</v>
      </c>
      <c r="B4351" s="218" t="s">
        <v>5184</v>
      </c>
      <c r="C4351" s="218" t="s">
        <v>7792</v>
      </c>
      <c r="D4351" s="219">
        <v>1.0</v>
      </c>
      <c r="E4351" s="218">
        <v>400.0</v>
      </c>
      <c r="G4351" s="220">
        <v>43511.0</v>
      </c>
    </row>
    <row r="4352">
      <c r="A4352" s="217">
        <v>43511.77050131944</v>
      </c>
      <c r="B4352" s="218" t="s">
        <v>5184</v>
      </c>
      <c r="C4352" s="218" t="s">
        <v>7973</v>
      </c>
      <c r="D4352" s="219">
        <v>1.0</v>
      </c>
      <c r="E4352" s="218">
        <v>1000.0</v>
      </c>
      <c r="G4352" s="220">
        <v>43511.0</v>
      </c>
    </row>
    <row r="4353">
      <c r="A4353" s="217">
        <v>43511.77209653935</v>
      </c>
      <c r="B4353" s="218" t="s">
        <v>5184</v>
      </c>
      <c r="C4353" s="218" t="s">
        <v>5603</v>
      </c>
      <c r="D4353" s="219">
        <v>1.0</v>
      </c>
      <c r="E4353" s="218">
        <v>2150.0</v>
      </c>
      <c r="G4353" s="220">
        <v>43511.0</v>
      </c>
    </row>
    <row r="4354">
      <c r="A4354" s="217">
        <v>43511.77345728009</v>
      </c>
      <c r="B4354" s="218" t="s">
        <v>5184</v>
      </c>
      <c r="C4354" s="218" t="s">
        <v>7973</v>
      </c>
      <c r="D4354" s="219">
        <v>1.0</v>
      </c>
      <c r="E4354" s="218">
        <v>1000.0</v>
      </c>
      <c r="G4354" s="220">
        <v>43511.0</v>
      </c>
    </row>
    <row r="4355">
      <c r="A4355" s="217">
        <v>43511.78247361111</v>
      </c>
      <c r="B4355" s="218" t="s">
        <v>5184</v>
      </c>
      <c r="C4355" s="218" t="s">
        <v>6131</v>
      </c>
      <c r="D4355" s="219">
        <v>1.0</v>
      </c>
      <c r="E4355" s="218">
        <v>1600.0</v>
      </c>
      <c r="G4355" s="220">
        <v>43511.0</v>
      </c>
    </row>
    <row r="4356">
      <c r="A4356" s="217">
        <v>43511.78304065972</v>
      </c>
      <c r="B4356" s="218" t="s">
        <v>5184</v>
      </c>
      <c r="C4356" s="218" t="s">
        <v>7973</v>
      </c>
      <c r="D4356" s="219">
        <v>1.0</v>
      </c>
      <c r="E4356" s="218">
        <v>1000.0</v>
      </c>
      <c r="G4356" s="220">
        <v>43511.0</v>
      </c>
    </row>
    <row r="4357">
      <c r="A4357" s="217">
        <v>43511.78391953703</v>
      </c>
      <c r="B4357" s="218" t="s">
        <v>5184</v>
      </c>
      <c r="C4357" s="218" t="s">
        <v>7976</v>
      </c>
      <c r="D4357" s="219">
        <v>1.0</v>
      </c>
      <c r="E4357" s="218">
        <v>1600.0</v>
      </c>
      <c r="G4357" s="220">
        <v>43511.0</v>
      </c>
    </row>
    <row r="4358">
      <c r="A4358" s="217">
        <v>43511.7847725926</v>
      </c>
      <c r="B4358" s="218" t="s">
        <v>5184</v>
      </c>
      <c r="C4358" s="218" t="s">
        <v>7973</v>
      </c>
      <c r="D4358" s="219">
        <v>1.0</v>
      </c>
      <c r="E4358" s="218">
        <v>1000.0</v>
      </c>
      <c r="G4358" s="220">
        <v>43511.0</v>
      </c>
    </row>
    <row r="4359">
      <c r="A4359" s="217">
        <v>43511.78581508102</v>
      </c>
      <c r="B4359" s="218" t="s">
        <v>5184</v>
      </c>
      <c r="C4359" s="218" t="s">
        <v>7977</v>
      </c>
      <c r="D4359" s="219">
        <v>1.0</v>
      </c>
      <c r="E4359" s="218">
        <v>2800.0</v>
      </c>
      <c r="G4359" s="220">
        <v>43511.0</v>
      </c>
    </row>
    <row r="4360">
      <c r="A4360" s="217">
        <v>43512.574379108795</v>
      </c>
      <c r="B4360" s="218" t="s">
        <v>5184</v>
      </c>
      <c r="C4360" s="218" t="s">
        <v>7800</v>
      </c>
      <c r="D4360" s="219">
        <v>1.0</v>
      </c>
      <c r="E4360" s="218">
        <v>300.0</v>
      </c>
      <c r="G4360" s="220">
        <v>43512.0</v>
      </c>
    </row>
    <row r="4361">
      <c r="A4361" s="217">
        <v>43512.57498467593</v>
      </c>
      <c r="B4361" s="218" t="s">
        <v>5184</v>
      </c>
      <c r="C4361" s="218" t="s">
        <v>6053</v>
      </c>
      <c r="D4361" s="219">
        <v>1.0</v>
      </c>
      <c r="E4361" s="218">
        <v>300.0</v>
      </c>
      <c r="G4361" s="220">
        <v>43512.0</v>
      </c>
    </row>
    <row r="4362">
      <c r="A4362" s="217">
        <v>43512.57640603009</v>
      </c>
      <c r="B4362" s="218" t="s">
        <v>5184</v>
      </c>
      <c r="C4362" s="218" t="s">
        <v>5786</v>
      </c>
      <c r="D4362" s="219">
        <v>1.0</v>
      </c>
      <c r="E4362" s="218">
        <v>300.0</v>
      </c>
      <c r="G4362" s="220">
        <v>43512.0</v>
      </c>
    </row>
    <row r="4363">
      <c r="A4363" s="217">
        <v>43512.5771558912</v>
      </c>
      <c r="B4363" s="218" t="s">
        <v>5184</v>
      </c>
      <c r="C4363" s="218" t="s">
        <v>284</v>
      </c>
      <c r="D4363" s="219">
        <v>1.0</v>
      </c>
      <c r="E4363" s="218">
        <v>400.0</v>
      </c>
      <c r="G4363" s="220">
        <v>43512.0</v>
      </c>
    </row>
    <row r="4364">
      <c r="A4364" s="217">
        <v>43512.57787371528</v>
      </c>
      <c r="B4364" s="218" t="s">
        <v>5184</v>
      </c>
      <c r="C4364" s="218" t="s">
        <v>7408</v>
      </c>
      <c r="D4364" s="219">
        <v>1.0</v>
      </c>
      <c r="E4364" s="218">
        <v>300.0</v>
      </c>
      <c r="G4364" s="220">
        <v>43512.0</v>
      </c>
    </row>
    <row r="4365">
      <c r="A4365" s="217">
        <v>43512.57936230324</v>
      </c>
      <c r="B4365" s="218" t="s">
        <v>5184</v>
      </c>
      <c r="C4365" s="218" t="s">
        <v>7800</v>
      </c>
      <c r="D4365" s="219">
        <v>1.0</v>
      </c>
      <c r="E4365" s="218">
        <v>300.0</v>
      </c>
      <c r="G4365" s="220">
        <v>43512.0</v>
      </c>
    </row>
    <row r="4366">
      <c r="A4366" s="217">
        <v>43512.58031314815</v>
      </c>
      <c r="B4366" s="218" t="s">
        <v>5184</v>
      </c>
      <c r="C4366" s="218" t="s">
        <v>6053</v>
      </c>
      <c r="D4366" s="219">
        <v>1.0</v>
      </c>
      <c r="E4366" s="218">
        <v>300.0</v>
      </c>
      <c r="G4366" s="220">
        <v>43512.0</v>
      </c>
    </row>
    <row r="4367">
      <c r="A4367" s="217">
        <v>43512.583901666665</v>
      </c>
      <c r="B4367" s="218" t="s">
        <v>5184</v>
      </c>
      <c r="C4367" s="218" t="s">
        <v>5976</v>
      </c>
      <c r="D4367" s="219">
        <v>1.0</v>
      </c>
      <c r="E4367" s="218">
        <v>400.0</v>
      </c>
      <c r="G4367" s="220">
        <v>43512.0</v>
      </c>
    </row>
    <row r="4368">
      <c r="A4368" s="217">
        <v>43512.58536979167</v>
      </c>
      <c r="B4368" s="218" t="s">
        <v>5184</v>
      </c>
      <c r="C4368" s="218" t="s">
        <v>284</v>
      </c>
      <c r="D4368" s="219">
        <v>1.0</v>
      </c>
      <c r="E4368" s="218">
        <v>400.0</v>
      </c>
      <c r="G4368" s="220">
        <v>43512.0</v>
      </c>
    </row>
    <row r="4369">
      <c r="A4369" s="217">
        <v>43512.58635943287</v>
      </c>
      <c r="B4369" s="218" t="s">
        <v>5184</v>
      </c>
      <c r="C4369" s="218" t="s">
        <v>284</v>
      </c>
      <c r="D4369" s="219">
        <v>1.0</v>
      </c>
      <c r="E4369" s="218">
        <v>400.0</v>
      </c>
      <c r="G4369" s="220">
        <v>43512.0</v>
      </c>
    </row>
    <row r="4370">
      <c r="A4370" s="217">
        <v>43512.59140696759</v>
      </c>
      <c r="B4370" s="218" t="s">
        <v>5184</v>
      </c>
      <c r="C4370" s="218" t="s">
        <v>4659</v>
      </c>
      <c r="D4370" s="219">
        <v>1.0</v>
      </c>
      <c r="E4370" s="218">
        <v>995.0</v>
      </c>
      <c r="G4370" s="220">
        <v>43512.0</v>
      </c>
    </row>
    <row r="4371">
      <c r="A4371" s="217">
        <v>43512.59295180556</v>
      </c>
      <c r="B4371" s="218" t="s">
        <v>5184</v>
      </c>
      <c r="C4371" s="218" t="s">
        <v>5976</v>
      </c>
      <c r="D4371" s="219">
        <v>1.0</v>
      </c>
      <c r="E4371" s="218">
        <v>400.0</v>
      </c>
      <c r="G4371" s="220">
        <v>43512.0</v>
      </c>
    </row>
    <row r="4372">
      <c r="A4372" s="217">
        <v>43512.593818877314</v>
      </c>
      <c r="B4372" s="218" t="s">
        <v>5184</v>
      </c>
      <c r="C4372" s="218" t="s">
        <v>7987</v>
      </c>
      <c r="D4372" s="219">
        <v>1.0</v>
      </c>
      <c r="E4372" s="218">
        <v>1200.0</v>
      </c>
      <c r="G4372" s="220">
        <v>43512.0</v>
      </c>
    </row>
    <row r="4373">
      <c r="A4373" s="217">
        <v>43512.668967627316</v>
      </c>
      <c r="B4373" s="218" t="s">
        <v>5184</v>
      </c>
      <c r="C4373" s="218" t="s">
        <v>244</v>
      </c>
      <c r="D4373" s="219">
        <v>1.0</v>
      </c>
      <c r="E4373" s="218">
        <v>400.0</v>
      </c>
      <c r="G4373" s="220">
        <v>43512.0</v>
      </c>
    </row>
    <row r="4374">
      <c r="A4374" s="217">
        <v>43512.68493203704</v>
      </c>
      <c r="B4374" s="218" t="s">
        <v>5184</v>
      </c>
      <c r="C4374" s="218" t="s">
        <v>7408</v>
      </c>
      <c r="D4374" s="219">
        <v>1.0</v>
      </c>
      <c r="E4374" s="218">
        <v>300.0</v>
      </c>
      <c r="G4374" s="220">
        <v>43512.0</v>
      </c>
    </row>
    <row r="4375">
      <c r="A4375" s="217">
        <v>43512.72029460648</v>
      </c>
      <c r="B4375" s="218" t="s">
        <v>5184</v>
      </c>
      <c r="C4375" s="218" t="s">
        <v>2117</v>
      </c>
      <c r="D4375" s="219">
        <v>1.0</v>
      </c>
      <c r="E4375" s="218">
        <v>4290.0</v>
      </c>
      <c r="G4375" s="220">
        <v>43512.0</v>
      </c>
    </row>
    <row r="4376">
      <c r="A4376" s="217">
        <v>43512.722444189814</v>
      </c>
      <c r="B4376" s="218" t="s">
        <v>5184</v>
      </c>
      <c r="C4376" s="218" t="s">
        <v>244</v>
      </c>
      <c r="D4376" s="219">
        <v>1.0</v>
      </c>
      <c r="E4376" s="218">
        <v>400.0</v>
      </c>
      <c r="G4376" s="220">
        <v>43512.0</v>
      </c>
    </row>
    <row r="4377">
      <c r="A4377" s="217">
        <v>43513.5188203125</v>
      </c>
      <c r="B4377" s="218" t="s">
        <v>5184</v>
      </c>
      <c r="C4377" s="218" t="s">
        <v>7859</v>
      </c>
      <c r="D4377" s="219">
        <v>1.0</v>
      </c>
      <c r="E4377" s="218">
        <v>300.0</v>
      </c>
      <c r="G4377" s="220">
        <v>43510.0</v>
      </c>
    </row>
    <row r="4378">
      <c r="A4378" s="217">
        <v>43513.52034891203</v>
      </c>
      <c r="B4378" s="218" t="s">
        <v>5184</v>
      </c>
      <c r="C4378" s="218" t="s">
        <v>6053</v>
      </c>
      <c r="D4378" s="219">
        <v>1.0</v>
      </c>
      <c r="E4378" s="218">
        <v>300.0</v>
      </c>
      <c r="G4378" s="220">
        <v>43510.0</v>
      </c>
    </row>
    <row r="4379">
      <c r="A4379" s="217">
        <v>43513.52323864584</v>
      </c>
      <c r="B4379" s="218" t="s">
        <v>5184</v>
      </c>
      <c r="C4379" s="218" t="s">
        <v>5786</v>
      </c>
      <c r="D4379" s="219">
        <v>1.0</v>
      </c>
      <c r="E4379" s="218">
        <v>300.0</v>
      </c>
      <c r="G4379" s="220">
        <v>43513.0</v>
      </c>
    </row>
    <row r="4380">
      <c r="A4380" s="217">
        <v>43513.52471158565</v>
      </c>
      <c r="B4380" s="218" t="s">
        <v>5184</v>
      </c>
      <c r="C4380" s="218" t="s">
        <v>244</v>
      </c>
      <c r="D4380" s="219">
        <v>1.0</v>
      </c>
      <c r="E4380" s="218">
        <v>400.0</v>
      </c>
      <c r="G4380" s="220">
        <v>43513.0</v>
      </c>
    </row>
    <row r="4381">
      <c r="A4381" s="217">
        <v>43513.52812440972</v>
      </c>
      <c r="B4381" s="218" t="s">
        <v>5184</v>
      </c>
      <c r="C4381" s="218" t="s">
        <v>845</v>
      </c>
      <c r="D4381" s="219">
        <v>1.0</v>
      </c>
      <c r="E4381" s="218">
        <v>400.0</v>
      </c>
      <c r="G4381" s="220">
        <v>43513.0</v>
      </c>
    </row>
    <row r="4382">
      <c r="A4382" s="217">
        <v>43513.52898959491</v>
      </c>
      <c r="B4382" s="218" t="s">
        <v>5184</v>
      </c>
      <c r="C4382" s="218" t="s">
        <v>5786</v>
      </c>
      <c r="D4382" s="219">
        <v>1.0</v>
      </c>
      <c r="E4382" s="218">
        <v>300.0</v>
      </c>
      <c r="G4382" s="220">
        <v>43513.0</v>
      </c>
    </row>
    <row r="4383">
      <c r="A4383" s="217">
        <v>43513.529500613426</v>
      </c>
      <c r="B4383" s="218" t="s">
        <v>5184</v>
      </c>
      <c r="C4383" s="218" t="s">
        <v>244</v>
      </c>
      <c r="D4383" s="219">
        <v>1.0</v>
      </c>
      <c r="E4383" s="218">
        <v>400.0</v>
      </c>
      <c r="G4383" s="220">
        <v>43513.0</v>
      </c>
    </row>
    <row r="4384">
      <c r="A4384" s="217">
        <v>43513.53099008102</v>
      </c>
      <c r="B4384" s="218" t="s">
        <v>5184</v>
      </c>
      <c r="C4384" s="218" t="s">
        <v>5786</v>
      </c>
      <c r="D4384" s="219">
        <v>1.0</v>
      </c>
      <c r="E4384" s="218">
        <v>300.0</v>
      </c>
      <c r="G4384" s="220">
        <v>43513.0</v>
      </c>
    </row>
    <row r="4385">
      <c r="A4385" s="217">
        <v>43513.53197725695</v>
      </c>
      <c r="B4385" s="218" t="s">
        <v>5184</v>
      </c>
      <c r="C4385" s="218" t="s">
        <v>244</v>
      </c>
      <c r="D4385" s="219">
        <v>1.0</v>
      </c>
      <c r="E4385" s="218">
        <v>400.0</v>
      </c>
      <c r="G4385" s="220">
        <v>43513.0</v>
      </c>
    </row>
    <row r="4386">
      <c r="A4386" s="217">
        <v>43513.53395019676</v>
      </c>
      <c r="B4386" s="218" t="s">
        <v>5184</v>
      </c>
      <c r="C4386" s="218" t="s">
        <v>7792</v>
      </c>
      <c r="D4386" s="219">
        <v>1.0</v>
      </c>
      <c r="E4386" s="218">
        <v>400.0</v>
      </c>
      <c r="G4386" s="220">
        <v>43513.0</v>
      </c>
    </row>
    <row r="4387">
      <c r="A4387" s="217">
        <v>43513.53486668981</v>
      </c>
      <c r="B4387" s="218" t="s">
        <v>5184</v>
      </c>
      <c r="C4387" s="218" t="s">
        <v>7970</v>
      </c>
      <c r="D4387" s="219">
        <v>1.0</v>
      </c>
      <c r="E4387" s="218">
        <v>1000.0</v>
      </c>
      <c r="G4387" s="220">
        <v>43513.0</v>
      </c>
    </row>
    <row r="4388">
      <c r="A4388" s="217">
        <v>43513.54615446759</v>
      </c>
      <c r="B4388" s="218" t="s">
        <v>5184</v>
      </c>
      <c r="C4388" s="218" t="s">
        <v>8002</v>
      </c>
      <c r="D4388" s="219">
        <v>1.0</v>
      </c>
      <c r="E4388" s="218">
        <v>1000.0</v>
      </c>
      <c r="G4388" s="220">
        <v>43513.0</v>
      </c>
    </row>
    <row r="4389">
      <c r="A4389" s="217">
        <v>43513.56316788195</v>
      </c>
      <c r="B4389" s="218" t="s">
        <v>5184</v>
      </c>
      <c r="C4389" s="218" t="s">
        <v>7970</v>
      </c>
      <c r="D4389" s="219">
        <v>1.0</v>
      </c>
      <c r="E4389" s="218">
        <v>1000.0</v>
      </c>
      <c r="G4389" s="220">
        <v>43513.0</v>
      </c>
    </row>
    <row r="4390">
      <c r="A4390" s="217">
        <v>43513.56471039352</v>
      </c>
      <c r="B4390" s="218" t="s">
        <v>5184</v>
      </c>
      <c r="C4390" s="218" t="s">
        <v>7792</v>
      </c>
      <c r="D4390" s="219">
        <v>1.0</v>
      </c>
      <c r="E4390" s="218">
        <v>400.0</v>
      </c>
      <c r="G4390" s="220">
        <v>43513.0</v>
      </c>
    </row>
    <row r="4391">
      <c r="A4391" s="217">
        <v>43513.56627226852</v>
      </c>
      <c r="B4391" s="218" t="s">
        <v>5184</v>
      </c>
      <c r="C4391" s="218" t="s">
        <v>7526</v>
      </c>
      <c r="D4391" s="219">
        <v>1.0</v>
      </c>
      <c r="E4391" s="218">
        <v>1000.0</v>
      </c>
      <c r="G4391" s="220">
        <v>43513.0</v>
      </c>
    </row>
    <row r="4392">
      <c r="A4392" s="217">
        <v>43513.56810541666</v>
      </c>
      <c r="B4392" s="218" t="s">
        <v>5184</v>
      </c>
      <c r="C4392" s="218" t="s">
        <v>6053</v>
      </c>
      <c r="D4392" s="219">
        <v>1.0</v>
      </c>
      <c r="E4392" s="218">
        <v>300.0</v>
      </c>
      <c r="G4392" s="220">
        <v>43511.0</v>
      </c>
    </row>
    <row r="4393">
      <c r="A4393" s="217">
        <v>43513.6075025926</v>
      </c>
      <c r="B4393" s="218" t="s">
        <v>5184</v>
      </c>
      <c r="C4393" s="218" t="s">
        <v>7792</v>
      </c>
      <c r="D4393" s="219">
        <v>1.0</v>
      </c>
      <c r="E4393" s="218">
        <v>400.0</v>
      </c>
      <c r="G4393" s="220">
        <v>43513.0</v>
      </c>
    </row>
    <row r="4394">
      <c r="A4394" s="217">
        <v>43513.60900439815</v>
      </c>
      <c r="B4394" s="218" t="s">
        <v>5184</v>
      </c>
      <c r="C4394" s="218" t="s">
        <v>284</v>
      </c>
      <c r="D4394" s="219">
        <v>1.0</v>
      </c>
      <c r="E4394" s="218">
        <v>500.0</v>
      </c>
      <c r="G4394" s="220">
        <v>43513.0</v>
      </c>
    </row>
    <row r="4395">
      <c r="A4395" s="217">
        <v>43513.60982431713</v>
      </c>
      <c r="B4395" s="218" t="s">
        <v>5184</v>
      </c>
      <c r="C4395" s="218" t="s">
        <v>7859</v>
      </c>
      <c r="D4395" s="219">
        <v>1.0</v>
      </c>
      <c r="E4395" s="218">
        <v>300.0</v>
      </c>
      <c r="G4395" s="220">
        <v>43513.0</v>
      </c>
    </row>
    <row r="4396">
      <c r="A4396" s="217">
        <v>43514.603351550926</v>
      </c>
      <c r="B4396" s="218" t="s">
        <v>5184</v>
      </c>
      <c r="C4396" s="218" t="s">
        <v>6053</v>
      </c>
      <c r="D4396" s="219">
        <v>1.0</v>
      </c>
      <c r="E4396" s="218">
        <v>300.0</v>
      </c>
      <c r="G4396" s="220">
        <v>43514.0</v>
      </c>
    </row>
    <row r="4397">
      <c r="A4397" s="217">
        <v>43514.70195746528</v>
      </c>
      <c r="B4397" s="218" t="s">
        <v>5184</v>
      </c>
      <c r="C4397" s="218" t="s">
        <v>5786</v>
      </c>
      <c r="D4397" s="219">
        <v>1.0</v>
      </c>
      <c r="E4397" s="218">
        <v>300.0</v>
      </c>
      <c r="G4397" s="220">
        <v>43514.0</v>
      </c>
    </row>
    <row r="4398">
      <c r="A4398" s="217">
        <v>43514.70555909722</v>
      </c>
      <c r="B4398" s="218" t="s">
        <v>5184</v>
      </c>
      <c r="C4398" s="218" t="s">
        <v>7408</v>
      </c>
      <c r="D4398" s="219">
        <v>1.0</v>
      </c>
      <c r="E4398" s="218">
        <v>400.0</v>
      </c>
      <c r="G4398" s="220">
        <v>43514.0</v>
      </c>
    </row>
    <row r="4399">
      <c r="A4399" s="217">
        <v>43514.706226435184</v>
      </c>
      <c r="B4399" s="218" t="s">
        <v>5184</v>
      </c>
      <c r="C4399" s="218" t="s">
        <v>7408</v>
      </c>
      <c r="D4399" s="219">
        <v>1.0</v>
      </c>
      <c r="E4399" s="218">
        <v>400.0</v>
      </c>
      <c r="G4399" s="220">
        <v>43514.0</v>
      </c>
    </row>
    <row r="4400">
      <c r="A4400" s="217">
        <v>43514.713863425925</v>
      </c>
      <c r="B4400" s="218" t="s">
        <v>5184</v>
      </c>
      <c r="C4400" s="218" t="s">
        <v>845</v>
      </c>
      <c r="D4400" s="219">
        <v>1.0</v>
      </c>
      <c r="E4400" s="218">
        <v>600.0</v>
      </c>
      <c r="G4400" s="220">
        <v>43514.0</v>
      </c>
    </row>
    <row r="4401">
      <c r="A4401" s="217">
        <v>43514.730320393515</v>
      </c>
      <c r="B4401" s="218" t="s">
        <v>5184</v>
      </c>
      <c r="C4401" s="218" t="s">
        <v>7792</v>
      </c>
      <c r="D4401" s="219">
        <v>1.0</v>
      </c>
      <c r="E4401" s="218">
        <v>400.0</v>
      </c>
      <c r="G4401" s="220">
        <v>43514.0</v>
      </c>
    </row>
    <row r="4402">
      <c r="A4402" s="217">
        <v>43514.73095681713</v>
      </c>
      <c r="B4402" s="218" t="s">
        <v>5184</v>
      </c>
      <c r="C4402" s="218" t="s">
        <v>284</v>
      </c>
      <c r="D4402" s="219">
        <v>1.0</v>
      </c>
      <c r="E4402" s="218">
        <v>400.0</v>
      </c>
      <c r="G4402" s="220">
        <v>43514.0</v>
      </c>
    </row>
    <row r="4403">
      <c r="A4403" s="217">
        <v>43514.7576824537</v>
      </c>
      <c r="B4403" s="218" t="s">
        <v>5184</v>
      </c>
      <c r="C4403" s="218" t="s">
        <v>6001</v>
      </c>
      <c r="D4403" s="219">
        <v>1.0</v>
      </c>
      <c r="E4403" s="218">
        <v>500.0</v>
      </c>
      <c r="G4403" s="220">
        <v>43514.0</v>
      </c>
    </row>
    <row r="4404">
      <c r="A4404" s="217">
        <v>43514.758474953705</v>
      </c>
      <c r="B4404" s="218" t="s">
        <v>5184</v>
      </c>
      <c r="C4404" s="218" t="s">
        <v>8016</v>
      </c>
      <c r="D4404" s="219">
        <v>1.0</v>
      </c>
      <c r="E4404" s="218">
        <v>1000.0</v>
      </c>
      <c r="G4404" s="220">
        <v>43514.0</v>
      </c>
    </row>
    <row r="4405">
      <c r="A4405" s="217">
        <v>43515.707047812495</v>
      </c>
      <c r="B4405" s="218" t="s">
        <v>5184</v>
      </c>
      <c r="C4405" s="218" t="s">
        <v>8019</v>
      </c>
      <c r="D4405" s="219">
        <v>1.0</v>
      </c>
      <c r="E4405" s="218">
        <v>300.0</v>
      </c>
      <c r="G4405" s="220">
        <v>43515.0</v>
      </c>
    </row>
    <row r="4406">
      <c r="A4406" s="217">
        <v>43515.70875091435</v>
      </c>
      <c r="B4406" s="218" t="s">
        <v>5184</v>
      </c>
      <c r="C4406" s="218" t="s">
        <v>284</v>
      </c>
      <c r="D4406" s="219">
        <v>1.0</v>
      </c>
      <c r="E4406" s="218">
        <v>500.0</v>
      </c>
      <c r="G4406" s="220">
        <v>43515.0</v>
      </c>
    </row>
    <row r="4407">
      <c r="A4407" s="217">
        <v>43515.71044271991</v>
      </c>
      <c r="B4407" s="218" t="s">
        <v>5184</v>
      </c>
      <c r="C4407" s="218" t="s">
        <v>6122</v>
      </c>
      <c r="D4407" s="219">
        <v>1.0</v>
      </c>
      <c r="E4407" s="218">
        <v>1600.0</v>
      </c>
      <c r="G4407" s="220">
        <v>43515.0</v>
      </c>
    </row>
    <row r="4408">
      <c r="A4408" s="217">
        <v>43515.71139658565</v>
      </c>
      <c r="B4408" s="218" t="s">
        <v>5184</v>
      </c>
      <c r="C4408" s="218" t="s">
        <v>7987</v>
      </c>
      <c r="D4408" s="219">
        <v>1.0</v>
      </c>
      <c r="E4408" s="218">
        <v>1000.0</v>
      </c>
      <c r="G4408" s="220">
        <v>43515.0</v>
      </c>
    </row>
    <row r="4409">
      <c r="A4409" s="217">
        <v>43515.714326284724</v>
      </c>
      <c r="B4409" s="218" t="s">
        <v>5184</v>
      </c>
      <c r="C4409" s="218" t="s">
        <v>8022</v>
      </c>
      <c r="D4409" s="219">
        <v>1.0</v>
      </c>
      <c r="E4409" s="218">
        <v>1000.0</v>
      </c>
      <c r="G4409" s="220">
        <v>43515.0</v>
      </c>
    </row>
    <row r="4410">
      <c r="A4410" s="217">
        <v>43515.71589025463</v>
      </c>
      <c r="B4410" s="218" t="s">
        <v>5184</v>
      </c>
      <c r="C4410" s="218" t="s">
        <v>8025</v>
      </c>
      <c r="D4410" s="219">
        <v>1.0</v>
      </c>
      <c r="E4410" s="218">
        <v>400.0</v>
      </c>
      <c r="G4410" s="220">
        <v>43515.0</v>
      </c>
    </row>
    <row r="4411">
      <c r="A4411" s="217">
        <v>43515.7165995949</v>
      </c>
      <c r="B4411" s="218" t="s">
        <v>5184</v>
      </c>
      <c r="C4411" s="218" t="s">
        <v>244</v>
      </c>
      <c r="D4411" s="219">
        <v>1.0</v>
      </c>
      <c r="E4411" s="218">
        <v>600.0</v>
      </c>
      <c r="G4411" s="220">
        <v>43515.0</v>
      </c>
    </row>
    <row r="4412">
      <c r="A4412" s="217">
        <v>43515.727542569446</v>
      </c>
      <c r="B4412" s="218" t="s">
        <v>5184</v>
      </c>
      <c r="C4412" s="218" t="s">
        <v>6053</v>
      </c>
      <c r="D4412" s="219">
        <v>1.0</v>
      </c>
      <c r="E4412" s="218">
        <v>300.0</v>
      </c>
      <c r="G4412" s="220">
        <v>43515.0</v>
      </c>
    </row>
    <row r="4413">
      <c r="A4413" s="217">
        <v>43515.729057268516</v>
      </c>
      <c r="B4413" s="218" t="s">
        <v>5184</v>
      </c>
      <c r="C4413" s="218" t="s">
        <v>5789</v>
      </c>
      <c r="D4413" s="219">
        <v>1.0</v>
      </c>
      <c r="E4413" s="218">
        <v>400.0</v>
      </c>
      <c r="G4413" s="220">
        <v>43515.0</v>
      </c>
    </row>
    <row r="4414">
      <c r="A4414" s="217">
        <v>43515.73076219908</v>
      </c>
      <c r="B4414" s="218" t="s">
        <v>5184</v>
      </c>
      <c r="C4414" s="218" t="s">
        <v>834</v>
      </c>
      <c r="D4414" s="219">
        <v>1.0</v>
      </c>
      <c r="E4414" s="218">
        <v>2000.0</v>
      </c>
      <c r="G4414" s="220">
        <v>43515.0</v>
      </c>
    </row>
    <row r="4415">
      <c r="A4415" s="217">
        <v>43515.731500740745</v>
      </c>
      <c r="B4415" s="218" t="s">
        <v>5184</v>
      </c>
      <c r="C4415" s="218" t="s">
        <v>6053</v>
      </c>
      <c r="D4415" s="219">
        <v>1.0</v>
      </c>
      <c r="E4415" s="218">
        <v>300.0</v>
      </c>
      <c r="G4415" s="220">
        <v>43515.0</v>
      </c>
    </row>
    <row r="4416">
      <c r="A4416" s="217">
        <v>43515.739376157406</v>
      </c>
      <c r="B4416" s="218" t="s">
        <v>5184</v>
      </c>
      <c r="C4416" s="218" t="s">
        <v>8031</v>
      </c>
      <c r="D4416" s="219">
        <v>1.0</v>
      </c>
      <c r="E4416" s="218">
        <v>1200.0</v>
      </c>
      <c r="G4416" s="220">
        <v>43515.0</v>
      </c>
    </row>
    <row r="4417">
      <c r="A4417" s="217">
        <v>43515.74072104167</v>
      </c>
      <c r="B4417" s="218" t="s">
        <v>5184</v>
      </c>
      <c r="C4417" s="218" t="s">
        <v>5848</v>
      </c>
      <c r="D4417" s="219">
        <v>1.0</v>
      </c>
      <c r="E4417" s="218">
        <v>1000.0</v>
      </c>
      <c r="G4417" s="220">
        <v>43515.0</v>
      </c>
    </row>
    <row r="4418">
      <c r="A4418" s="217">
        <v>43515.747724988425</v>
      </c>
      <c r="B4418" s="218" t="s">
        <v>5184</v>
      </c>
      <c r="C4418" s="218" t="s">
        <v>6053</v>
      </c>
      <c r="D4418" s="219" t="s">
        <v>7547</v>
      </c>
      <c r="E4418" s="218">
        <v>150.0</v>
      </c>
      <c r="G4418" s="220">
        <v>43515.0</v>
      </c>
    </row>
    <row r="4419">
      <c r="A4419" s="217">
        <v>43515.74874090278</v>
      </c>
      <c r="B4419" s="218" t="s">
        <v>5184</v>
      </c>
      <c r="C4419" s="218" t="s">
        <v>5976</v>
      </c>
      <c r="D4419" s="219">
        <v>1.0</v>
      </c>
      <c r="E4419" s="218">
        <v>200.0</v>
      </c>
      <c r="G4419" s="220">
        <v>43515.0</v>
      </c>
    </row>
    <row r="4420">
      <c r="A4420" s="217">
        <v>43515.749395590276</v>
      </c>
      <c r="B4420" s="218" t="s">
        <v>5184</v>
      </c>
      <c r="C4420" s="218" t="s">
        <v>7800</v>
      </c>
      <c r="D4420" s="219">
        <v>1.0</v>
      </c>
      <c r="E4420" s="218">
        <v>300.0</v>
      </c>
      <c r="G4420" s="220">
        <v>43515.0</v>
      </c>
    </row>
    <row r="4421">
      <c r="A4421" s="217">
        <v>43515.75020734954</v>
      </c>
      <c r="B4421" s="218" t="s">
        <v>5184</v>
      </c>
      <c r="C4421" s="218" t="s">
        <v>284</v>
      </c>
      <c r="D4421" s="219">
        <v>1.0</v>
      </c>
      <c r="E4421" s="218">
        <v>500.0</v>
      </c>
      <c r="G4421" s="220">
        <v>43515.0</v>
      </c>
    </row>
    <row r="4422">
      <c r="A4422" s="217">
        <v>43515.75085005787</v>
      </c>
      <c r="B4422" s="218" t="s">
        <v>5184</v>
      </c>
      <c r="C4422" s="218" t="s">
        <v>5786</v>
      </c>
      <c r="D4422" s="219">
        <v>1.0</v>
      </c>
      <c r="E4422" s="218">
        <v>200.0</v>
      </c>
      <c r="G4422" s="220">
        <v>43515.0</v>
      </c>
    </row>
    <row r="4423">
      <c r="A4423" s="217">
        <v>43515.751644351854</v>
      </c>
      <c r="B4423" s="218" t="s">
        <v>5184</v>
      </c>
      <c r="C4423" s="218" t="s">
        <v>6053</v>
      </c>
      <c r="D4423" s="219">
        <v>1.0</v>
      </c>
      <c r="E4423" s="218">
        <v>300.0</v>
      </c>
      <c r="G4423" s="220">
        <v>43515.0</v>
      </c>
    </row>
    <row r="4424">
      <c r="A4424" s="217">
        <v>43516.43851141204</v>
      </c>
      <c r="B4424" s="218" t="s">
        <v>5092</v>
      </c>
      <c r="C4424" s="218" t="s">
        <v>8016</v>
      </c>
      <c r="D4424" s="219">
        <v>1.0</v>
      </c>
      <c r="E4424" s="218">
        <v>1000.0</v>
      </c>
      <c r="G4424" s="220">
        <v>43516.0</v>
      </c>
    </row>
    <row r="4425">
      <c r="A4425" s="217">
        <v>43516.439281053244</v>
      </c>
      <c r="B4425" s="218" t="s">
        <v>5092</v>
      </c>
      <c r="C4425" s="218" t="s">
        <v>6053</v>
      </c>
      <c r="D4425" s="219" t="s">
        <v>8040</v>
      </c>
      <c r="E4425" s="218">
        <v>300.0</v>
      </c>
      <c r="G4425" s="220">
        <v>43516.0</v>
      </c>
    </row>
    <row r="4426">
      <c r="A4426" s="217">
        <v>43516.43976988426</v>
      </c>
      <c r="B4426" s="218" t="s">
        <v>5092</v>
      </c>
      <c r="C4426" s="218" t="s">
        <v>284</v>
      </c>
      <c r="D4426" s="219">
        <v>1.0</v>
      </c>
      <c r="E4426" s="218">
        <v>500.0</v>
      </c>
      <c r="G4426" s="220">
        <v>43516.0</v>
      </c>
    </row>
    <row r="4427">
      <c r="A4427" s="217">
        <v>43516.44037391203</v>
      </c>
      <c r="B4427" s="218" t="s">
        <v>5092</v>
      </c>
      <c r="C4427" s="218" t="s">
        <v>834</v>
      </c>
      <c r="D4427" s="219">
        <v>1.0</v>
      </c>
      <c r="E4427" s="218">
        <v>2000.0</v>
      </c>
      <c r="G4427" s="220">
        <v>43516.0</v>
      </c>
    </row>
    <row r="4428">
      <c r="A4428" s="217">
        <v>43516.44398640047</v>
      </c>
      <c r="B4428" s="218" t="s">
        <v>5092</v>
      </c>
      <c r="C4428" s="218" t="s">
        <v>6053</v>
      </c>
      <c r="D4428" s="219">
        <v>1.0</v>
      </c>
      <c r="E4428" s="218">
        <v>300.0</v>
      </c>
      <c r="G4428" s="220">
        <v>43516.0</v>
      </c>
    </row>
    <row r="4429">
      <c r="A4429" s="217">
        <v>43516.44441128473</v>
      </c>
      <c r="B4429" s="218" t="s">
        <v>5092</v>
      </c>
      <c r="C4429" s="218" t="s">
        <v>284</v>
      </c>
      <c r="D4429" s="219">
        <v>1.0</v>
      </c>
      <c r="E4429" s="218">
        <v>500.0</v>
      </c>
      <c r="G4429" s="220">
        <v>43516.0</v>
      </c>
    </row>
    <row r="4430">
      <c r="A4430" s="217">
        <v>43516.44500613426</v>
      </c>
      <c r="B4430" s="218" t="s">
        <v>5092</v>
      </c>
      <c r="C4430" s="218" t="s">
        <v>244</v>
      </c>
      <c r="D4430" s="219">
        <v>1.0</v>
      </c>
      <c r="E4430" s="218">
        <v>600.0</v>
      </c>
      <c r="G4430" s="220">
        <v>43516.0</v>
      </c>
    </row>
    <row r="4431">
      <c r="A4431" s="217">
        <v>43516.44565224537</v>
      </c>
      <c r="B4431" s="218" t="s">
        <v>5092</v>
      </c>
      <c r="C4431" s="218" t="s">
        <v>6053</v>
      </c>
      <c r="D4431" s="219" t="s">
        <v>7547</v>
      </c>
      <c r="E4431" s="218">
        <v>150.0</v>
      </c>
      <c r="G4431" s="220">
        <v>43516.0</v>
      </c>
    </row>
    <row r="4432">
      <c r="A4432" s="217">
        <v>43516.44609657407</v>
      </c>
      <c r="B4432" s="218" t="s">
        <v>5092</v>
      </c>
      <c r="C4432" s="218" t="s">
        <v>6053</v>
      </c>
      <c r="D4432" s="219" t="s">
        <v>7547</v>
      </c>
      <c r="E4432" s="218">
        <v>150.0</v>
      </c>
      <c r="G4432" s="220">
        <v>43516.0</v>
      </c>
    </row>
    <row r="4433">
      <c r="A4433" s="217">
        <v>43516.448571863424</v>
      </c>
      <c r="B4433" s="218" t="s">
        <v>5184</v>
      </c>
      <c r="C4433" s="218" t="s">
        <v>6053</v>
      </c>
      <c r="D4433" s="219">
        <v>1.0</v>
      </c>
      <c r="E4433" s="218">
        <v>300.0</v>
      </c>
      <c r="G4433" s="220">
        <v>43516.0</v>
      </c>
    </row>
    <row r="4434">
      <c r="A4434" s="217">
        <v>43516.44929684028</v>
      </c>
      <c r="B4434" s="218" t="s">
        <v>5184</v>
      </c>
      <c r="C4434" s="218" t="s">
        <v>6053</v>
      </c>
      <c r="D4434" s="219">
        <v>1.0</v>
      </c>
      <c r="E4434" s="218">
        <v>300.0</v>
      </c>
      <c r="G4434" s="220">
        <v>43516.0</v>
      </c>
    </row>
    <row r="4435">
      <c r="A4435" s="217">
        <v>43516.44979501158</v>
      </c>
      <c r="B4435" s="218" t="s">
        <v>5184</v>
      </c>
      <c r="C4435" s="218" t="s">
        <v>5789</v>
      </c>
      <c r="D4435" s="219">
        <v>1.0</v>
      </c>
      <c r="E4435" s="218">
        <v>400.0</v>
      </c>
      <c r="G4435" s="220">
        <v>43516.0</v>
      </c>
    </row>
    <row r="4436">
      <c r="A4436" s="217">
        <v>43516.72802164352</v>
      </c>
      <c r="B4436" s="218" t="s">
        <v>5184</v>
      </c>
      <c r="C4436" s="218" t="s">
        <v>6053</v>
      </c>
      <c r="D4436" s="219">
        <v>1.0</v>
      </c>
      <c r="E4436" s="218">
        <v>300.0</v>
      </c>
      <c r="G4436" s="220">
        <v>43516.0</v>
      </c>
    </row>
    <row r="4437">
      <c r="A4437" s="217">
        <v>43516.72850091435</v>
      </c>
      <c r="B4437" s="218" t="s">
        <v>5184</v>
      </c>
      <c r="C4437" s="218" t="s">
        <v>6053</v>
      </c>
      <c r="D4437" s="219">
        <v>1.0</v>
      </c>
      <c r="E4437" s="218">
        <v>300.0</v>
      </c>
      <c r="G4437" s="220">
        <v>43516.0</v>
      </c>
    </row>
    <row r="4438">
      <c r="A4438" s="217">
        <v>43518.44739587963</v>
      </c>
      <c r="B4438" s="218" t="s">
        <v>5184</v>
      </c>
      <c r="C4438" s="218" t="s">
        <v>6053</v>
      </c>
      <c r="D4438" s="219">
        <v>1.0</v>
      </c>
      <c r="E4438" s="218">
        <v>300.0</v>
      </c>
      <c r="G4438" s="220">
        <v>43516.0</v>
      </c>
    </row>
    <row r="4439">
      <c r="A4439" s="217">
        <v>43518.448594155096</v>
      </c>
      <c r="B4439" s="218" t="s">
        <v>5184</v>
      </c>
      <c r="C4439" s="218" t="s">
        <v>6053</v>
      </c>
      <c r="D4439" s="219">
        <v>1.0</v>
      </c>
      <c r="E4439" s="218">
        <v>300.0</v>
      </c>
      <c r="G4439" s="220">
        <v>43517.0</v>
      </c>
    </row>
    <row r="4440">
      <c r="A4440" s="217">
        <v>43518.44916013889</v>
      </c>
      <c r="B4440" s="218" t="s">
        <v>5184</v>
      </c>
      <c r="C4440" s="218" t="s">
        <v>5786</v>
      </c>
      <c r="D4440" s="219">
        <v>1.0</v>
      </c>
      <c r="E4440" s="218">
        <v>200.0</v>
      </c>
      <c r="G4440" s="220">
        <v>43517.0</v>
      </c>
    </row>
    <row r="4441">
      <c r="A4441" s="217">
        <v>43518.45037769676</v>
      </c>
      <c r="B4441" s="218" t="s">
        <v>5184</v>
      </c>
      <c r="C4441" s="218" t="s">
        <v>7408</v>
      </c>
      <c r="D4441" s="219">
        <v>1.0</v>
      </c>
      <c r="E4441" s="218">
        <v>400.0</v>
      </c>
      <c r="G4441" s="220">
        <v>43517.0</v>
      </c>
    </row>
    <row r="4442">
      <c r="A4442" s="217">
        <v>43518.45171793981</v>
      </c>
      <c r="B4442" s="218" t="s">
        <v>5184</v>
      </c>
      <c r="C4442" s="218" t="s">
        <v>244</v>
      </c>
      <c r="D4442" s="219">
        <v>1.0</v>
      </c>
      <c r="E4442" s="218">
        <v>400.0</v>
      </c>
      <c r="G4442" s="220">
        <v>43516.0</v>
      </c>
    </row>
    <row r="4443">
      <c r="A4443" s="217">
        <v>43518.46063469908</v>
      </c>
      <c r="B4443" s="218" t="s">
        <v>5184</v>
      </c>
      <c r="C4443" s="218" t="s">
        <v>6053</v>
      </c>
      <c r="D4443" s="219">
        <v>1.0</v>
      </c>
      <c r="E4443" s="218">
        <v>300.0</v>
      </c>
      <c r="G4443" s="220">
        <v>43517.0</v>
      </c>
    </row>
    <row r="4444">
      <c r="A4444" s="217">
        <v>43518.46441622685</v>
      </c>
      <c r="B4444" s="218" t="s">
        <v>5184</v>
      </c>
      <c r="C4444" s="218" t="s">
        <v>7970</v>
      </c>
      <c r="D4444" s="219">
        <v>1.0</v>
      </c>
      <c r="E4444" s="218">
        <v>1000.0</v>
      </c>
      <c r="G4444" s="220">
        <v>43513.0</v>
      </c>
    </row>
    <row r="4445">
      <c r="A4445" s="217">
        <v>43518.46498564815</v>
      </c>
      <c r="B4445" s="218" t="s">
        <v>5184</v>
      </c>
      <c r="C4445" s="218" t="s">
        <v>7800</v>
      </c>
      <c r="D4445" s="219">
        <v>1.0</v>
      </c>
      <c r="E4445" s="218">
        <v>300.0</v>
      </c>
      <c r="G4445" s="220">
        <v>43513.0</v>
      </c>
    </row>
    <row r="4446">
      <c r="A4446" s="217">
        <v>43518.466243125</v>
      </c>
      <c r="B4446" s="218" t="s">
        <v>5184</v>
      </c>
      <c r="C4446" s="218" t="s">
        <v>7421</v>
      </c>
      <c r="D4446" s="219">
        <v>1.0</v>
      </c>
      <c r="E4446" s="218">
        <v>400.0</v>
      </c>
      <c r="G4446" s="220">
        <v>43517.0</v>
      </c>
    </row>
    <row r="4447">
      <c r="A4447" s="217">
        <v>43518.466810937505</v>
      </c>
      <c r="B4447" s="218" t="s">
        <v>5184</v>
      </c>
      <c r="C4447" s="218" t="s">
        <v>5789</v>
      </c>
      <c r="D4447" s="219">
        <v>1.0</v>
      </c>
      <c r="E4447" s="218">
        <v>400.0</v>
      </c>
      <c r="G4447" s="220">
        <v>43517.0</v>
      </c>
    </row>
    <row r="4448">
      <c r="A4448" s="217">
        <v>43518.46792177083</v>
      </c>
      <c r="B4448" s="218" t="s">
        <v>5184</v>
      </c>
      <c r="C4448" s="218" t="s">
        <v>7421</v>
      </c>
      <c r="D4448" s="219">
        <v>1.0</v>
      </c>
      <c r="E4448" s="218">
        <v>400.0</v>
      </c>
      <c r="G4448" s="220">
        <v>43517.0</v>
      </c>
    </row>
    <row r="4449">
      <c r="A4449" s="217">
        <v>43518.4687774537</v>
      </c>
      <c r="B4449" s="218" t="s">
        <v>5184</v>
      </c>
      <c r="C4449" s="218" t="s">
        <v>6053</v>
      </c>
      <c r="D4449" s="219">
        <v>1.0</v>
      </c>
      <c r="E4449" s="218">
        <v>300.0</v>
      </c>
      <c r="G4449" s="220">
        <v>43517.0</v>
      </c>
    </row>
    <row r="4450">
      <c r="A4450" s="217">
        <v>43518.47130600695</v>
      </c>
      <c r="B4450" s="218" t="s">
        <v>5092</v>
      </c>
      <c r="C4450" s="218" t="s">
        <v>847</v>
      </c>
      <c r="D4450" s="219">
        <v>1.0</v>
      </c>
      <c r="E4450" s="218">
        <v>1000.0</v>
      </c>
      <c r="G4450" s="220">
        <v>43518.0</v>
      </c>
    </row>
    <row r="4451">
      <c r="A4451" s="217">
        <v>43518.471928009254</v>
      </c>
      <c r="B4451" s="218" t="s">
        <v>5092</v>
      </c>
      <c r="C4451" s="218" t="s">
        <v>6053</v>
      </c>
      <c r="D4451" s="219">
        <v>2.0</v>
      </c>
      <c r="E4451" s="218">
        <v>300.0</v>
      </c>
      <c r="G4451" s="220">
        <v>43518.0</v>
      </c>
    </row>
    <row r="4452">
      <c r="A4452" s="217">
        <v>43518.4724240162</v>
      </c>
      <c r="B4452" s="218" t="s">
        <v>5092</v>
      </c>
      <c r="C4452" s="218" t="s">
        <v>6053</v>
      </c>
      <c r="D4452" s="219">
        <v>1.5</v>
      </c>
      <c r="E4452" s="218">
        <v>300.0</v>
      </c>
      <c r="G4452" s="220">
        <v>43518.0</v>
      </c>
    </row>
    <row r="4453">
      <c r="A4453" s="217">
        <v>43518.473083784724</v>
      </c>
      <c r="B4453" s="218" t="s">
        <v>5092</v>
      </c>
      <c r="C4453" s="218" t="s">
        <v>284</v>
      </c>
      <c r="D4453" s="219">
        <v>1.0</v>
      </c>
      <c r="E4453" s="218">
        <v>500.0</v>
      </c>
      <c r="G4453" s="220">
        <v>43518.0</v>
      </c>
    </row>
    <row r="4454">
      <c r="A4454" s="217">
        <v>43518.47359375</v>
      </c>
      <c r="B4454" s="218" t="s">
        <v>5092</v>
      </c>
      <c r="C4454" s="218" t="s">
        <v>6053</v>
      </c>
      <c r="D4454" s="219">
        <v>1.0</v>
      </c>
      <c r="E4454" s="218">
        <v>300.0</v>
      </c>
      <c r="G4454" s="220">
        <v>43518.0</v>
      </c>
    </row>
    <row r="4455">
      <c r="A4455" s="217">
        <v>43518.474120300925</v>
      </c>
      <c r="B4455" s="218" t="s">
        <v>5092</v>
      </c>
      <c r="C4455" s="218" t="s">
        <v>6053</v>
      </c>
      <c r="D4455" s="219">
        <v>0.5</v>
      </c>
      <c r="E4455" s="218">
        <v>150.0</v>
      </c>
      <c r="G4455" s="220">
        <v>43518.0</v>
      </c>
    </row>
    <row r="4456">
      <c r="A4456" s="217">
        <v>43518.47456418982</v>
      </c>
      <c r="B4456" s="218" t="s">
        <v>5092</v>
      </c>
      <c r="C4456" s="218" t="s">
        <v>7421</v>
      </c>
      <c r="D4456" s="219">
        <v>1.0</v>
      </c>
      <c r="E4456" s="218">
        <v>400.0</v>
      </c>
      <c r="G4456" s="220">
        <v>43518.0</v>
      </c>
    </row>
    <row r="4457">
      <c r="A4457" s="217">
        <v>43518.74806604166</v>
      </c>
      <c r="B4457" s="218" t="s">
        <v>5184</v>
      </c>
      <c r="C4457" s="218" t="s">
        <v>6053</v>
      </c>
      <c r="D4457" s="219">
        <v>1.0</v>
      </c>
      <c r="E4457" s="218">
        <v>300.0</v>
      </c>
      <c r="G4457" s="220">
        <v>43518.0</v>
      </c>
    </row>
    <row r="4458">
      <c r="A4458" s="217">
        <v>43518.74851837963</v>
      </c>
      <c r="B4458" s="218" t="s">
        <v>5184</v>
      </c>
      <c r="C4458" s="218" t="s">
        <v>6053</v>
      </c>
      <c r="D4458" s="219">
        <v>1.0</v>
      </c>
      <c r="E4458" s="218">
        <v>300.0</v>
      </c>
      <c r="G4458" s="220">
        <v>43518.0</v>
      </c>
    </row>
    <row r="4459">
      <c r="A4459" s="217">
        <v>43518.749031886575</v>
      </c>
      <c r="B4459" s="218" t="s">
        <v>5184</v>
      </c>
      <c r="C4459" s="218" t="s">
        <v>5786</v>
      </c>
      <c r="D4459" s="219">
        <v>1.0</v>
      </c>
      <c r="E4459" s="218">
        <v>200.0</v>
      </c>
      <c r="G4459" s="220">
        <v>43518.0</v>
      </c>
    </row>
    <row r="4460">
      <c r="A4460" s="217">
        <v>43518.749616898145</v>
      </c>
      <c r="B4460" s="218" t="s">
        <v>5184</v>
      </c>
      <c r="C4460" s="218" t="s">
        <v>284</v>
      </c>
      <c r="D4460" s="219">
        <v>1.0</v>
      </c>
      <c r="E4460" s="218">
        <v>500.0</v>
      </c>
      <c r="G4460" s="220">
        <v>43518.0</v>
      </c>
    </row>
    <row r="4461">
      <c r="A4461" s="217">
        <v>43518.75005510417</v>
      </c>
      <c r="B4461" s="218" t="s">
        <v>5184</v>
      </c>
      <c r="C4461" s="218" t="s">
        <v>5789</v>
      </c>
      <c r="D4461" s="219">
        <v>1.0</v>
      </c>
      <c r="E4461" s="218">
        <v>400.0</v>
      </c>
      <c r="G4461" s="220">
        <v>43518.0</v>
      </c>
    </row>
    <row r="4462">
      <c r="A4462" s="217">
        <v>43518.751185138884</v>
      </c>
      <c r="B4462" s="218" t="s">
        <v>5184</v>
      </c>
      <c r="C4462" s="218" t="s">
        <v>7806</v>
      </c>
      <c r="D4462" s="219">
        <v>1.0</v>
      </c>
      <c r="E4462" s="218">
        <v>600.0</v>
      </c>
      <c r="G4462" s="220">
        <v>43518.0</v>
      </c>
    </row>
    <row r="4463">
      <c r="A4463" s="217">
        <v>43518.7517231713</v>
      </c>
      <c r="B4463" s="218" t="s">
        <v>5184</v>
      </c>
      <c r="C4463" s="218" t="s">
        <v>5786</v>
      </c>
      <c r="D4463" s="219">
        <v>1.0</v>
      </c>
      <c r="E4463" s="218">
        <v>200.0</v>
      </c>
      <c r="G4463" s="220">
        <v>43518.0</v>
      </c>
    </row>
    <row r="4464">
      <c r="A4464" s="217">
        <v>43519.43491327546</v>
      </c>
      <c r="B4464" s="218" t="s">
        <v>5184</v>
      </c>
      <c r="C4464" s="218" t="s">
        <v>7767</v>
      </c>
      <c r="D4464" s="219">
        <v>8.0</v>
      </c>
      <c r="E4464" s="218">
        <v>100.0</v>
      </c>
      <c r="G4464" s="220">
        <v>43515.0</v>
      </c>
    </row>
    <row r="4465">
      <c r="A4465" s="217">
        <v>43519.43758290509</v>
      </c>
      <c r="B4465" s="218" t="s">
        <v>5092</v>
      </c>
      <c r="C4465" s="218" t="s">
        <v>284</v>
      </c>
      <c r="D4465" s="219">
        <v>1.0</v>
      </c>
      <c r="E4465" s="218">
        <v>400.0</v>
      </c>
      <c r="G4465" s="220">
        <v>43518.0</v>
      </c>
    </row>
    <row r="4466">
      <c r="A4466" s="217">
        <v>43519.43841520834</v>
      </c>
      <c r="B4466" s="218" t="s">
        <v>5092</v>
      </c>
      <c r="C4466" s="218" t="s">
        <v>6053</v>
      </c>
      <c r="D4466" s="219">
        <v>1.0</v>
      </c>
      <c r="E4466" s="218">
        <v>300.0</v>
      </c>
      <c r="G4466" s="220">
        <v>43518.0</v>
      </c>
    </row>
    <row r="4467">
      <c r="A4467" s="217">
        <v>43519.439205856484</v>
      </c>
      <c r="B4467" s="218" t="s">
        <v>5092</v>
      </c>
      <c r="C4467" s="218" t="s">
        <v>7884</v>
      </c>
      <c r="D4467" s="219" t="s">
        <v>7547</v>
      </c>
      <c r="E4467" s="218">
        <v>150.0</v>
      </c>
      <c r="G4467" s="220">
        <v>43518.0</v>
      </c>
    </row>
    <row r="4468">
      <c r="A4468" s="217">
        <v>43519.44051429398</v>
      </c>
      <c r="B4468" s="218" t="s">
        <v>5092</v>
      </c>
      <c r="C4468" s="218" t="s">
        <v>8055</v>
      </c>
      <c r="D4468" s="219">
        <v>1.0</v>
      </c>
      <c r="E4468" s="218">
        <v>600.0</v>
      </c>
      <c r="G4468" s="220">
        <v>43518.0</v>
      </c>
    </row>
    <row r="4469">
      <c r="A4469" s="217">
        <v>43519.493041469905</v>
      </c>
      <c r="B4469" s="218" t="s">
        <v>5184</v>
      </c>
      <c r="C4469" s="218" t="s">
        <v>7767</v>
      </c>
      <c r="D4469" s="219">
        <v>2.0</v>
      </c>
      <c r="E4469" s="218">
        <v>100.0</v>
      </c>
      <c r="G4469" s="220">
        <v>43518.0</v>
      </c>
    </row>
    <row r="4470">
      <c r="A4470" s="217">
        <v>43519.626190104165</v>
      </c>
      <c r="B4470" s="218" t="s">
        <v>5184</v>
      </c>
      <c r="C4470" s="218" t="s">
        <v>4648</v>
      </c>
      <c r="D4470" s="219">
        <v>1.0</v>
      </c>
      <c r="E4470" s="218">
        <v>695.0</v>
      </c>
      <c r="G4470" s="220">
        <v>43519.0</v>
      </c>
    </row>
    <row r="4471">
      <c r="A4471" s="217">
        <v>43519.627206018515</v>
      </c>
      <c r="B4471" s="218" t="s">
        <v>5184</v>
      </c>
      <c r="C4471" s="218" t="s">
        <v>284</v>
      </c>
      <c r="D4471" s="219">
        <v>1.0</v>
      </c>
      <c r="E4471" s="218">
        <v>400.0</v>
      </c>
      <c r="G4471" s="220">
        <v>43519.0</v>
      </c>
    </row>
    <row r="4472">
      <c r="A4472" s="217">
        <v>43519.63026255787</v>
      </c>
      <c r="B4472" s="218" t="s">
        <v>5184</v>
      </c>
      <c r="C4472" s="218" t="s">
        <v>7806</v>
      </c>
      <c r="D4472" s="219">
        <v>1.0</v>
      </c>
      <c r="E4472" s="218">
        <v>600.0</v>
      </c>
      <c r="G4472" s="220">
        <v>43519.0</v>
      </c>
    </row>
    <row r="4473">
      <c r="A4473" s="217">
        <v>43519.63272878472</v>
      </c>
      <c r="B4473" s="218" t="s">
        <v>5184</v>
      </c>
      <c r="C4473" s="218" t="s">
        <v>7806</v>
      </c>
      <c r="D4473" s="219">
        <v>1.0</v>
      </c>
      <c r="E4473" s="218">
        <v>600.0</v>
      </c>
      <c r="G4473" s="220">
        <v>43519.0</v>
      </c>
    </row>
    <row r="4474">
      <c r="A4474" s="217">
        <v>43519.63340841435</v>
      </c>
      <c r="B4474" s="218" t="s">
        <v>5184</v>
      </c>
      <c r="C4474" s="218" t="s">
        <v>6053</v>
      </c>
      <c r="D4474" s="219">
        <v>1.0</v>
      </c>
      <c r="E4474" s="218">
        <v>300.0</v>
      </c>
      <c r="G4474" s="220">
        <v>43519.0</v>
      </c>
    </row>
    <row r="4475">
      <c r="A4475" s="217">
        <v>43519.63994995371</v>
      </c>
      <c r="B4475" s="218" t="s">
        <v>5184</v>
      </c>
      <c r="C4475" s="218" t="s">
        <v>5786</v>
      </c>
      <c r="D4475" s="219">
        <v>1.0</v>
      </c>
      <c r="E4475" s="218">
        <v>300.0</v>
      </c>
      <c r="G4475" s="220">
        <v>43519.0</v>
      </c>
    </row>
    <row r="4476">
      <c r="A4476" s="217">
        <v>43519.640927175926</v>
      </c>
      <c r="B4476" s="218" t="s">
        <v>5184</v>
      </c>
      <c r="C4476" s="218" t="s">
        <v>284</v>
      </c>
      <c r="D4476" s="219">
        <v>1.0</v>
      </c>
      <c r="E4476" s="218">
        <v>400.0</v>
      </c>
      <c r="G4476" s="220">
        <v>43519.0</v>
      </c>
    </row>
    <row r="4477">
      <c r="A4477" s="217">
        <v>43519.642256527775</v>
      </c>
      <c r="B4477" s="218" t="s">
        <v>5184</v>
      </c>
      <c r="C4477" s="218" t="s">
        <v>6053</v>
      </c>
      <c r="D4477" s="219">
        <v>1.0</v>
      </c>
      <c r="E4477" s="218">
        <v>300.0</v>
      </c>
      <c r="G4477" s="220">
        <v>43519.0</v>
      </c>
    </row>
    <row r="4478">
      <c r="A4478" s="217">
        <v>43519.64365534722</v>
      </c>
      <c r="B4478" s="218" t="s">
        <v>5184</v>
      </c>
      <c r="C4478" s="218" t="s">
        <v>5786</v>
      </c>
      <c r="D4478" s="219">
        <v>1.0</v>
      </c>
      <c r="E4478" s="218">
        <v>300.0</v>
      </c>
      <c r="G4478" s="220">
        <v>43519.0</v>
      </c>
    </row>
    <row r="4479">
      <c r="A4479" s="217">
        <v>43519.64469494213</v>
      </c>
      <c r="B4479" s="218" t="s">
        <v>5184</v>
      </c>
      <c r="C4479" s="218" t="s">
        <v>284</v>
      </c>
      <c r="D4479" s="219">
        <v>1.0</v>
      </c>
      <c r="E4479" s="218">
        <v>400.0</v>
      </c>
      <c r="G4479" s="220">
        <v>43519.0</v>
      </c>
    </row>
    <row r="4480">
      <c r="A4480" s="217">
        <v>43519.647162395835</v>
      </c>
      <c r="B4480" s="218" t="s">
        <v>5184</v>
      </c>
      <c r="C4480" s="218" t="s">
        <v>5786</v>
      </c>
      <c r="D4480" s="219">
        <v>1.0</v>
      </c>
      <c r="E4480" s="218">
        <v>300.0</v>
      </c>
      <c r="G4480" s="220">
        <v>43519.0</v>
      </c>
    </row>
    <row r="4481">
      <c r="A4481" s="217">
        <v>43519.64803337963</v>
      </c>
      <c r="B4481" s="218" t="s">
        <v>5184</v>
      </c>
      <c r="C4481" s="218" t="s">
        <v>6053</v>
      </c>
      <c r="D4481" s="219">
        <v>1.0</v>
      </c>
      <c r="E4481" s="218">
        <v>300.0</v>
      </c>
      <c r="G4481" s="220">
        <v>43519.0</v>
      </c>
    </row>
    <row r="4482">
      <c r="A4482" s="217">
        <v>43519.65070728009</v>
      </c>
      <c r="B4482" s="218" t="s">
        <v>5184</v>
      </c>
      <c r="C4482" s="218" t="s">
        <v>5786</v>
      </c>
      <c r="D4482" s="219">
        <v>1.0</v>
      </c>
      <c r="E4482" s="218">
        <v>300.0</v>
      </c>
      <c r="G4482" s="220">
        <v>43519.0</v>
      </c>
    </row>
    <row r="4483">
      <c r="A4483" s="217">
        <v>43519.65167107639</v>
      </c>
      <c r="B4483" s="218" t="s">
        <v>5184</v>
      </c>
      <c r="C4483" s="218" t="s">
        <v>8061</v>
      </c>
      <c r="D4483" s="219">
        <v>1.0</v>
      </c>
      <c r="E4483" s="218">
        <v>1000.0</v>
      </c>
      <c r="G4483" s="220">
        <v>43519.0</v>
      </c>
    </row>
    <row r="4484">
      <c r="A4484" s="217">
        <v>43519.72870346065</v>
      </c>
      <c r="B4484" s="218" t="s">
        <v>5184</v>
      </c>
      <c r="C4484" s="218" t="s">
        <v>7408</v>
      </c>
      <c r="D4484" s="219">
        <v>1.0</v>
      </c>
      <c r="E4484" s="218">
        <v>400.0</v>
      </c>
      <c r="G4484" s="220">
        <v>43519.0</v>
      </c>
    </row>
    <row r="4485">
      <c r="A4485" s="217">
        <v>43520.431359803246</v>
      </c>
      <c r="B4485" s="218" t="s">
        <v>5092</v>
      </c>
      <c r="C4485" s="218" t="s">
        <v>6053</v>
      </c>
      <c r="D4485" s="219" t="s">
        <v>7547</v>
      </c>
      <c r="E4485" s="218">
        <v>150.0</v>
      </c>
      <c r="G4485" s="220">
        <v>43519.0</v>
      </c>
    </row>
    <row r="4486">
      <c r="A4486" s="217">
        <v>43520.432541828704</v>
      </c>
      <c r="B4486" s="218" t="s">
        <v>5092</v>
      </c>
      <c r="C4486" s="218" t="s">
        <v>6053</v>
      </c>
      <c r="D4486" s="219" t="s">
        <v>7936</v>
      </c>
      <c r="E4486" s="218">
        <v>300.0</v>
      </c>
      <c r="G4486" s="220">
        <v>43519.0</v>
      </c>
    </row>
    <row r="4487">
      <c r="A4487" s="217">
        <v>43520.433362627315</v>
      </c>
      <c r="B4487" s="218" t="s">
        <v>5092</v>
      </c>
      <c r="C4487" s="218" t="s">
        <v>6053</v>
      </c>
      <c r="D4487" s="219">
        <v>1.0</v>
      </c>
      <c r="E4487" s="218">
        <v>300.0</v>
      </c>
      <c r="G4487" s="220">
        <v>43519.0</v>
      </c>
    </row>
    <row r="4488">
      <c r="A4488" s="217">
        <v>43520.43421136574</v>
      </c>
      <c r="B4488" s="218" t="s">
        <v>5092</v>
      </c>
      <c r="C4488" s="218" t="s">
        <v>6053</v>
      </c>
      <c r="D4488" s="219" t="s">
        <v>7652</v>
      </c>
      <c r="E4488" s="218">
        <v>300.0</v>
      </c>
      <c r="G4488" s="220">
        <v>43519.0</v>
      </c>
    </row>
    <row r="4489">
      <c r="A4489" s="217">
        <v>43520.435344618054</v>
      </c>
      <c r="B4489" s="218" t="s">
        <v>5092</v>
      </c>
      <c r="C4489" s="218" t="s">
        <v>244</v>
      </c>
      <c r="D4489" s="219">
        <v>1.0</v>
      </c>
      <c r="E4489" s="218">
        <v>600.0</v>
      </c>
      <c r="G4489" s="220">
        <v>43519.0</v>
      </c>
    </row>
    <row r="4490">
      <c r="A4490" s="217">
        <v>43520.43625144676</v>
      </c>
      <c r="B4490" s="218" t="s">
        <v>5092</v>
      </c>
      <c r="C4490" s="218" t="s">
        <v>847</v>
      </c>
      <c r="D4490" s="219">
        <v>1.0</v>
      </c>
      <c r="E4490" s="218">
        <v>1000.0</v>
      </c>
      <c r="G4490" s="220">
        <v>43519.0</v>
      </c>
    </row>
    <row r="4491">
      <c r="A4491" s="217">
        <v>43520.55271074074</v>
      </c>
      <c r="B4491" s="218" t="s">
        <v>5184</v>
      </c>
      <c r="C4491" s="218" t="s">
        <v>5789</v>
      </c>
      <c r="D4491" s="219">
        <v>1.0</v>
      </c>
      <c r="E4491" s="218">
        <v>400.0</v>
      </c>
      <c r="G4491" s="220">
        <v>43520.0</v>
      </c>
    </row>
    <row r="4492">
      <c r="A4492" s="217">
        <v>43520.55324146991</v>
      </c>
      <c r="B4492" s="218" t="s">
        <v>5184</v>
      </c>
      <c r="C4492" s="218" t="s">
        <v>6053</v>
      </c>
      <c r="D4492" s="219">
        <v>1.0</v>
      </c>
      <c r="E4492" s="218">
        <v>300.0</v>
      </c>
      <c r="G4492" s="220">
        <v>43520.0</v>
      </c>
    </row>
    <row r="4493">
      <c r="A4493" s="217">
        <v>43520.5686765162</v>
      </c>
      <c r="B4493" s="218" t="s">
        <v>5184</v>
      </c>
      <c r="C4493" s="218" t="s">
        <v>7754</v>
      </c>
      <c r="D4493" s="219">
        <v>1.0</v>
      </c>
      <c r="E4493" s="218">
        <v>800.0</v>
      </c>
      <c r="G4493" s="220">
        <v>43520.0</v>
      </c>
    </row>
    <row r="4494">
      <c r="A4494" s="217">
        <v>43520.56963049769</v>
      </c>
      <c r="B4494" s="218" t="s">
        <v>5184</v>
      </c>
      <c r="C4494" s="218" t="s">
        <v>5789</v>
      </c>
      <c r="D4494" s="219">
        <v>1.0</v>
      </c>
      <c r="E4494" s="218">
        <v>400.0</v>
      </c>
      <c r="G4494" s="220">
        <v>43520.0</v>
      </c>
    </row>
    <row r="4495">
      <c r="A4495" s="217">
        <v>43520.728485740736</v>
      </c>
      <c r="B4495" s="218" t="s">
        <v>5184</v>
      </c>
      <c r="C4495" s="218" t="s">
        <v>6053</v>
      </c>
      <c r="D4495" s="219">
        <v>1.0</v>
      </c>
      <c r="E4495" s="218">
        <v>300.0</v>
      </c>
      <c r="G4495" s="220">
        <v>43520.0</v>
      </c>
    </row>
    <row r="4496">
      <c r="A4496" s="217">
        <v>43520.72953460648</v>
      </c>
      <c r="B4496" s="218" t="s">
        <v>5184</v>
      </c>
      <c r="C4496" s="218" t="s">
        <v>7859</v>
      </c>
      <c r="D4496" s="219">
        <v>1.0</v>
      </c>
      <c r="E4496" s="218">
        <v>300.0</v>
      </c>
      <c r="G4496" s="220">
        <v>43520.0</v>
      </c>
    </row>
    <row r="4497">
      <c r="A4497" s="217">
        <v>43521.63332206018</v>
      </c>
      <c r="B4497" s="218" t="s">
        <v>5184</v>
      </c>
      <c r="C4497" s="218" t="s">
        <v>5786</v>
      </c>
      <c r="D4497" s="219">
        <v>1.0</v>
      </c>
      <c r="E4497" s="218">
        <v>300.0</v>
      </c>
      <c r="G4497" s="220">
        <v>43521.0</v>
      </c>
    </row>
    <row r="4498">
      <c r="A4498" s="217">
        <v>43521.633990092596</v>
      </c>
      <c r="B4498" s="218" t="s">
        <v>5184</v>
      </c>
      <c r="C4498" s="218" t="s">
        <v>6053</v>
      </c>
      <c r="D4498" s="219">
        <v>1.0</v>
      </c>
      <c r="E4498" s="218">
        <v>300.0</v>
      </c>
      <c r="G4498" s="220">
        <v>43521.0</v>
      </c>
    </row>
    <row r="4499">
      <c r="A4499" s="217">
        <v>43521.63585199074</v>
      </c>
      <c r="B4499" s="218" t="s">
        <v>5184</v>
      </c>
      <c r="C4499" s="218" t="s">
        <v>7496</v>
      </c>
      <c r="D4499" s="219">
        <v>1.0</v>
      </c>
      <c r="E4499" s="218">
        <v>400.0</v>
      </c>
      <c r="G4499" s="220">
        <v>43521.0</v>
      </c>
    </row>
    <row r="4500">
      <c r="A4500" s="217">
        <v>43521.63689637731</v>
      </c>
      <c r="B4500" s="218" t="s">
        <v>5184</v>
      </c>
      <c r="C4500" s="218" t="s">
        <v>8016</v>
      </c>
      <c r="D4500" s="219">
        <v>1.0</v>
      </c>
      <c r="E4500" s="218">
        <v>1000.0</v>
      </c>
      <c r="G4500" s="220">
        <v>43521.0</v>
      </c>
    </row>
    <row r="4501">
      <c r="A4501" s="217">
        <v>43521.638042962964</v>
      </c>
      <c r="B4501" s="218" t="s">
        <v>5184</v>
      </c>
      <c r="C4501" s="218" t="s">
        <v>284</v>
      </c>
      <c r="D4501" s="219" t="s">
        <v>7547</v>
      </c>
      <c r="E4501" s="218">
        <v>200.0</v>
      </c>
      <c r="G4501" s="220">
        <v>43521.0</v>
      </c>
    </row>
    <row r="4502">
      <c r="A4502" s="217">
        <v>43521.72128650463</v>
      </c>
      <c r="B4502" s="218" t="s">
        <v>5184</v>
      </c>
      <c r="C4502" s="218" t="s">
        <v>8072</v>
      </c>
      <c r="D4502" s="219">
        <v>1.0</v>
      </c>
      <c r="E4502" s="218">
        <v>500.0</v>
      </c>
      <c r="G4502" s="220">
        <v>43521.0</v>
      </c>
    </row>
    <row r="4503">
      <c r="A4503" s="217">
        <v>43521.722742812504</v>
      </c>
      <c r="B4503" s="218" t="s">
        <v>5184</v>
      </c>
      <c r="C4503" s="218" t="s">
        <v>284</v>
      </c>
      <c r="D4503" s="219">
        <v>1.0</v>
      </c>
      <c r="E4503" s="218">
        <v>400.0</v>
      </c>
      <c r="G4503" s="220">
        <v>43521.0</v>
      </c>
    </row>
    <row r="4504">
      <c r="A4504" s="217">
        <v>43521.724312199076</v>
      </c>
      <c r="B4504" s="218" t="s">
        <v>5184</v>
      </c>
      <c r="C4504" s="218" t="s">
        <v>4726</v>
      </c>
      <c r="D4504" s="219">
        <v>1.0</v>
      </c>
      <c r="E4504" s="218">
        <v>2250.0</v>
      </c>
      <c r="G4504" s="220">
        <v>43521.0</v>
      </c>
    </row>
    <row r="4505">
      <c r="A4505" s="217">
        <v>43521.725309733796</v>
      </c>
      <c r="B4505" s="218" t="s">
        <v>5184</v>
      </c>
      <c r="C4505" s="218" t="s">
        <v>1228</v>
      </c>
      <c r="D4505" s="219">
        <v>1.0</v>
      </c>
      <c r="E4505" s="218">
        <v>9500.0</v>
      </c>
      <c r="G4505" s="220">
        <v>43521.0</v>
      </c>
    </row>
    <row r="4506">
      <c r="A4506" s="217">
        <v>43521.72623270833</v>
      </c>
      <c r="B4506" s="218" t="s">
        <v>5184</v>
      </c>
      <c r="C4506" s="218" t="s">
        <v>5255</v>
      </c>
      <c r="D4506" s="219">
        <v>1.0</v>
      </c>
      <c r="E4506" s="218">
        <v>11000.0</v>
      </c>
      <c r="G4506" s="220">
        <v>43521.0</v>
      </c>
    </row>
    <row r="4507">
      <c r="A4507" s="217">
        <v>43523.396113194445</v>
      </c>
      <c r="B4507" s="218" t="s">
        <v>5184</v>
      </c>
      <c r="C4507" s="218" t="s">
        <v>6053</v>
      </c>
      <c r="D4507" s="219">
        <v>1.0</v>
      </c>
      <c r="E4507" s="218">
        <v>300.0</v>
      </c>
      <c r="G4507" s="220">
        <v>43522.0</v>
      </c>
    </row>
    <row r="4508">
      <c r="A4508" s="217">
        <v>43523.39675400463</v>
      </c>
      <c r="B4508" s="218" t="s">
        <v>5184</v>
      </c>
      <c r="C4508" s="218" t="s">
        <v>284</v>
      </c>
      <c r="D4508" s="219">
        <v>1.0</v>
      </c>
      <c r="E4508" s="218">
        <v>500.0</v>
      </c>
      <c r="G4508" s="220">
        <v>43521.0</v>
      </c>
    </row>
    <row r="4509">
      <c r="A4509" s="217">
        <v>43523.397775185185</v>
      </c>
      <c r="B4509" s="218" t="s">
        <v>5184</v>
      </c>
      <c r="C4509" s="218" t="s">
        <v>6053</v>
      </c>
      <c r="D4509" s="219">
        <v>1.0</v>
      </c>
      <c r="E4509" s="218">
        <v>300.0</v>
      </c>
      <c r="G4509" s="220">
        <v>43521.0</v>
      </c>
    </row>
    <row r="4510">
      <c r="A4510" s="217">
        <v>43523.39968248842</v>
      </c>
      <c r="B4510" s="218" t="s">
        <v>5184</v>
      </c>
      <c r="C4510" s="218" t="s">
        <v>8076</v>
      </c>
      <c r="D4510" s="219">
        <v>1.0</v>
      </c>
      <c r="E4510" s="218">
        <v>400.0</v>
      </c>
      <c r="G4510" s="220">
        <v>43521.0</v>
      </c>
    </row>
    <row r="4511">
      <c r="A4511" s="217">
        <v>43523.4016878125</v>
      </c>
      <c r="B4511" s="218" t="s">
        <v>5184</v>
      </c>
      <c r="C4511" s="218" t="s">
        <v>6053</v>
      </c>
      <c r="D4511" s="219">
        <v>2.0</v>
      </c>
      <c r="E4511" s="218">
        <v>600.0</v>
      </c>
      <c r="G4511" s="220">
        <v>43522.0</v>
      </c>
    </row>
    <row r="4512">
      <c r="A4512" s="217">
        <v>43523.40638236111</v>
      </c>
      <c r="B4512" s="218" t="s">
        <v>5184</v>
      </c>
      <c r="C4512" s="218" t="s">
        <v>6053</v>
      </c>
      <c r="D4512" s="219">
        <v>1.0</v>
      </c>
      <c r="E4512" s="218">
        <v>300.0</v>
      </c>
      <c r="G4512" s="220">
        <v>43521.0</v>
      </c>
    </row>
    <row r="4513">
      <c r="A4513" s="217">
        <v>43523.40755336806</v>
      </c>
      <c r="B4513" s="218" t="s">
        <v>5184</v>
      </c>
      <c r="C4513" s="218" t="s">
        <v>6053</v>
      </c>
      <c r="D4513" s="219">
        <v>1.0</v>
      </c>
      <c r="E4513" s="218">
        <v>300.0</v>
      </c>
      <c r="G4513" s="220">
        <v>43522.0</v>
      </c>
    </row>
    <row r="4514">
      <c r="A4514" s="217">
        <v>43523.4086534838</v>
      </c>
      <c r="B4514" s="218" t="s">
        <v>5184</v>
      </c>
      <c r="C4514" s="218" t="s">
        <v>6053</v>
      </c>
      <c r="D4514" s="219">
        <v>1.0</v>
      </c>
      <c r="E4514" s="218">
        <v>300.0</v>
      </c>
      <c r="G4514" s="220">
        <v>43521.0</v>
      </c>
    </row>
    <row r="4515">
      <c r="A4515" s="217">
        <v>43523.40925064815</v>
      </c>
      <c r="B4515" s="218" t="s">
        <v>5184</v>
      </c>
      <c r="C4515" s="218" t="s">
        <v>5786</v>
      </c>
      <c r="D4515" s="219">
        <v>1.0</v>
      </c>
      <c r="E4515" s="218">
        <v>300.0</v>
      </c>
      <c r="G4515" s="220">
        <v>43521.0</v>
      </c>
    </row>
    <row r="4516">
      <c r="A4516" s="217">
        <v>43523.41078144676</v>
      </c>
      <c r="B4516" s="218" t="s">
        <v>5184</v>
      </c>
      <c r="C4516" s="218" t="s">
        <v>6053</v>
      </c>
      <c r="D4516" s="219">
        <v>1.0</v>
      </c>
      <c r="E4516" s="218">
        <v>300.0</v>
      </c>
      <c r="G4516" s="220">
        <v>43521.0</v>
      </c>
    </row>
    <row r="4517">
      <c r="A4517" s="217">
        <v>43523.41339125</v>
      </c>
      <c r="B4517" s="218" t="s">
        <v>5092</v>
      </c>
      <c r="C4517" s="218" t="s">
        <v>6053</v>
      </c>
      <c r="D4517" s="219">
        <v>3.0</v>
      </c>
      <c r="E4517" s="218">
        <v>300.0</v>
      </c>
      <c r="G4517" s="220">
        <v>43522.0</v>
      </c>
    </row>
    <row r="4518">
      <c r="A4518" s="217">
        <v>43523.4146777662</v>
      </c>
      <c r="B4518" s="218" t="s">
        <v>5092</v>
      </c>
      <c r="C4518" s="218" t="s">
        <v>7754</v>
      </c>
      <c r="D4518" s="219">
        <v>1.0</v>
      </c>
      <c r="E4518" s="218">
        <v>800.0</v>
      </c>
      <c r="G4518" s="220">
        <v>43522.0</v>
      </c>
    </row>
    <row r="4519">
      <c r="A4519" s="217">
        <v>43523.41520427083</v>
      </c>
      <c r="B4519" s="218" t="s">
        <v>5092</v>
      </c>
      <c r="C4519" s="218" t="s">
        <v>6053</v>
      </c>
      <c r="D4519" s="219">
        <v>1.0</v>
      </c>
      <c r="E4519" s="218">
        <v>300.0</v>
      </c>
      <c r="G4519" s="220">
        <v>43522.0</v>
      </c>
    </row>
    <row r="4520">
      <c r="A4520" s="217">
        <v>43523.41634141204</v>
      </c>
      <c r="B4520" s="218" t="s">
        <v>5092</v>
      </c>
      <c r="C4520" s="218" t="s">
        <v>7754</v>
      </c>
      <c r="D4520" s="219" t="s">
        <v>7547</v>
      </c>
      <c r="E4520" s="218">
        <v>400.0</v>
      </c>
      <c r="G4520" s="220">
        <v>43522.0</v>
      </c>
    </row>
    <row r="4521">
      <c r="A4521" s="217">
        <v>43523.41688076389</v>
      </c>
      <c r="B4521" s="218" t="s">
        <v>5092</v>
      </c>
      <c r="C4521" s="218" t="s">
        <v>6053</v>
      </c>
      <c r="D4521" s="219">
        <v>1.0</v>
      </c>
      <c r="E4521" s="218">
        <v>300.0</v>
      </c>
      <c r="G4521" s="220">
        <v>43522.0</v>
      </c>
    </row>
    <row r="4522">
      <c r="A4522" s="217">
        <v>43523.41736841435</v>
      </c>
      <c r="B4522" s="218" t="s">
        <v>5092</v>
      </c>
      <c r="C4522" s="218" t="s">
        <v>7754</v>
      </c>
      <c r="D4522" s="219" t="s">
        <v>7547</v>
      </c>
      <c r="E4522" s="218">
        <v>400.0</v>
      </c>
      <c r="G4522" s="220">
        <v>43522.0</v>
      </c>
    </row>
    <row r="4523">
      <c r="A4523" s="217">
        <v>43523.43641155092</v>
      </c>
      <c r="B4523" s="218" t="s">
        <v>5184</v>
      </c>
      <c r="C4523" s="218" t="s">
        <v>6053</v>
      </c>
      <c r="D4523" s="219">
        <v>1.0</v>
      </c>
      <c r="E4523" s="218">
        <v>300.0</v>
      </c>
      <c r="G4523" s="220">
        <v>43523.0</v>
      </c>
    </row>
    <row r="4524">
      <c r="A4524" s="217">
        <v>43523.43719300926</v>
      </c>
      <c r="B4524" s="218" t="s">
        <v>5184</v>
      </c>
      <c r="C4524" s="218" t="s">
        <v>7800</v>
      </c>
      <c r="D4524" s="219">
        <v>1.0</v>
      </c>
      <c r="E4524" s="218">
        <v>300.0</v>
      </c>
      <c r="G4524" s="220">
        <v>43523.0</v>
      </c>
    </row>
    <row r="4525">
      <c r="A4525" s="217">
        <v>43524.57634050926</v>
      </c>
      <c r="B4525" s="218" t="s">
        <v>5184</v>
      </c>
      <c r="C4525" s="218" t="s">
        <v>5786</v>
      </c>
      <c r="D4525" s="219">
        <v>1.0</v>
      </c>
      <c r="E4525" s="218">
        <v>300.0</v>
      </c>
      <c r="G4525" s="220">
        <v>43523.0</v>
      </c>
    </row>
    <row r="4526">
      <c r="A4526" s="217">
        <v>43524.57821386574</v>
      </c>
      <c r="B4526" s="218" t="s">
        <v>5184</v>
      </c>
      <c r="C4526" s="218" t="s">
        <v>7312</v>
      </c>
      <c r="D4526" s="219">
        <v>1.0</v>
      </c>
      <c r="E4526" s="218">
        <v>400.0</v>
      </c>
      <c r="G4526" s="220">
        <v>43523.0</v>
      </c>
    </row>
    <row r="4527">
      <c r="A4527" s="217">
        <v>43524.58177965278</v>
      </c>
      <c r="B4527" s="218" t="s">
        <v>5184</v>
      </c>
      <c r="C4527" s="218" t="s">
        <v>5786</v>
      </c>
      <c r="D4527" s="219">
        <v>1.0</v>
      </c>
      <c r="E4527" s="218">
        <v>200.0</v>
      </c>
      <c r="G4527" s="220">
        <v>43523.0</v>
      </c>
    </row>
    <row r="4528">
      <c r="A4528" s="217">
        <v>43524.58242601852</v>
      </c>
      <c r="B4528" s="218" t="s">
        <v>5184</v>
      </c>
      <c r="C4528" s="218" t="s">
        <v>6053</v>
      </c>
      <c r="D4528" s="219">
        <v>1.0</v>
      </c>
      <c r="E4528" s="218">
        <v>300.0</v>
      </c>
      <c r="G4528" s="220">
        <v>43523.0</v>
      </c>
    </row>
    <row r="4529">
      <c r="A4529" s="217">
        <v>43524.59837083334</v>
      </c>
      <c r="B4529" s="218" t="s">
        <v>5184</v>
      </c>
      <c r="C4529" s="218" t="s">
        <v>5848</v>
      </c>
      <c r="D4529" s="219">
        <v>1.0</v>
      </c>
      <c r="E4529" s="218">
        <v>1000.0</v>
      </c>
      <c r="G4529" s="220">
        <v>43523.0</v>
      </c>
    </row>
    <row r="4530">
      <c r="A4530" s="217">
        <v>43524.59954074074</v>
      </c>
      <c r="B4530" s="218" t="s">
        <v>5184</v>
      </c>
      <c r="C4530" s="218" t="s">
        <v>244</v>
      </c>
      <c r="D4530" s="219">
        <v>1.0</v>
      </c>
      <c r="E4530" s="218">
        <v>600.0</v>
      </c>
      <c r="G4530" s="220">
        <v>43523.0</v>
      </c>
    </row>
    <row r="4531">
      <c r="A4531" s="217">
        <v>43524.606792719904</v>
      </c>
      <c r="B4531" s="218" t="s">
        <v>5184</v>
      </c>
      <c r="C4531" s="218" t="s">
        <v>5976</v>
      </c>
      <c r="D4531" s="219">
        <v>1.0</v>
      </c>
      <c r="E4531" s="218">
        <v>200.0</v>
      </c>
      <c r="G4531" s="220">
        <v>43523.0</v>
      </c>
    </row>
    <row r="4532">
      <c r="A4532" s="217">
        <v>43524.60752539352</v>
      </c>
      <c r="B4532" s="218" t="s">
        <v>5184</v>
      </c>
      <c r="C4532" s="218" t="s">
        <v>244</v>
      </c>
      <c r="D4532" s="219">
        <v>1.0</v>
      </c>
      <c r="E4532" s="218">
        <v>600.0</v>
      </c>
      <c r="G4532" s="220">
        <v>43523.0</v>
      </c>
    </row>
    <row r="4533">
      <c r="A4533" s="217">
        <v>43524.608481539355</v>
      </c>
      <c r="B4533" s="218" t="s">
        <v>5184</v>
      </c>
      <c r="C4533" s="218" t="s">
        <v>6053</v>
      </c>
      <c r="D4533" s="219">
        <v>1.0</v>
      </c>
      <c r="E4533" s="218">
        <v>300.0</v>
      </c>
      <c r="G4533" s="220">
        <v>43523.0</v>
      </c>
    </row>
    <row r="4534">
      <c r="A4534" s="217">
        <v>43524.60974284723</v>
      </c>
      <c r="B4534" s="218" t="s">
        <v>5184</v>
      </c>
      <c r="C4534" s="218" t="s">
        <v>5789</v>
      </c>
      <c r="D4534" s="219">
        <v>1.0</v>
      </c>
      <c r="E4534" s="218">
        <v>400.0</v>
      </c>
      <c r="G4534" s="220">
        <v>43523.0</v>
      </c>
    </row>
    <row r="4535">
      <c r="A4535" s="217">
        <v>43524.610417083335</v>
      </c>
      <c r="B4535" s="218" t="s">
        <v>5184</v>
      </c>
      <c r="C4535" s="218" t="s">
        <v>6053</v>
      </c>
      <c r="D4535" s="219">
        <v>1.0</v>
      </c>
      <c r="E4535" s="218">
        <v>300.0</v>
      </c>
      <c r="G4535" s="220">
        <v>43523.0</v>
      </c>
    </row>
    <row r="4536">
      <c r="A4536" s="217">
        <v>43524.62683896991</v>
      </c>
      <c r="B4536" s="218" t="s">
        <v>5184</v>
      </c>
      <c r="C4536" s="218" t="s">
        <v>7800</v>
      </c>
      <c r="D4536" s="219">
        <v>1.0</v>
      </c>
      <c r="E4536" s="218">
        <v>300.0</v>
      </c>
      <c r="G4536" s="220">
        <v>43523.0</v>
      </c>
    </row>
    <row r="4537">
      <c r="A4537" s="217">
        <v>43524.62770273148</v>
      </c>
      <c r="B4537" s="218" t="s">
        <v>5184</v>
      </c>
      <c r="C4537" s="218" t="s">
        <v>244</v>
      </c>
      <c r="D4537" s="219">
        <v>1.0</v>
      </c>
      <c r="E4537" s="218">
        <v>400.0</v>
      </c>
      <c r="G4537" s="220">
        <v>43523.0</v>
      </c>
    </row>
    <row r="4538">
      <c r="A4538" s="217">
        <v>43524.67135561343</v>
      </c>
      <c r="B4538" s="218" t="s">
        <v>5184</v>
      </c>
      <c r="C4538" s="218" t="s">
        <v>7792</v>
      </c>
      <c r="D4538" s="219">
        <v>1.0</v>
      </c>
      <c r="E4538" s="218">
        <v>400.0</v>
      </c>
      <c r="G4538" s="220">
        <v>43517.0</v>
      </c>
    </row>
    <row r="4539">
      <c r="A4539" s="217">
        <v>43524.67272615741</v>
      </c>
      <c r="B4539" s="218" t="s">
        <v>5184</v>
      </c>
      <c r="C4539" s="218" t="s">
        <v>284</v>
      </c>
      <c r="D4539" s="219">
        <v>1.0</v>
      </c>
      <c r="E4539" s="218">
        <v>400.0</v>
      </c>
      <c r="G4539" s="220">
        <v>43517.0</v>
      </c>
    </row>
    <row r="4540">
      <c r="A4540" s="217">
        <v>43524.67430583334</v>
      </c>
      <c r="B4540" s="218" t="s">
        <v>5184</v>
      </c>
      <c r="C4540" s="218" t="s">
        <v>5786</v>
      </c>
      <c r="D4540" s="219">
        <v>1.0</v>
      </c>
      <c r="E4540" s="218">
        <v>200.0</v>
      </c>
      <c r="G4540" s="220">
        <v>43524.0</v>
      </c>
    </row>
    <row r="4541">
      <c r="A4541" s="217">
        <v>43524.674807476855</v>
      </c>
      <c r="B4541" s="218" t="s">
        <v>5184</v>
      </c>
      <c r="C4541" s="218" t="s">
        <v>6053</v>
      </c>
      <c r="D4541" s="219">
        <v>1.0</v>
      </c>
      <c r="E4541" s="218">
        <v>300.0</v>
      </c>
      <c r="G4541" s="220">
        <v>43524.0</v>
      </c>
    </row>
    <row r="4542">
      <c r="A4542" s="217">
        <v>43524.67597707176</v>
      </c>
      <c r="B4542" s="218" t="s">
        <v>5184</v>
      </c>
      <c r="C4542" s="218" t="s">
        <v>7806</v>
      </c>
      <c r="D4542" s="219">
        <v>1.0</v>
      </c>
      <c r="E4542" s="218">
        <v>600.0</v>
      </c>
      <c r="G4542" s="220">
        <v>43524.0</v>
      </c>
    </row>
    <row r="4543">
      <c r="A4543" s="217">
        <v>43524.67703537037</v>
      </c>
      <c r="B4543" s="218" t="s">
        <v>5184</v>
      </c>
      <c r="C4543" s="218" t="s">
        <v>6053</v>
      </c>
      <c r="D4543" s="219">
        <v>1.0</v>
      </c>
      <c r="E4543" s="218">
        <v>300.0</v>
      </c>
      <c r="G4543" s="220">
        <v>43524.0</v>
      </c>
    </row>
    <row r="4544">
      <c r="A4544" s="217">
        <v>43524.678269641205</v>
      </c>
      <c r="B4544" s="218" t="s">
        <v>5184</v>
      </c>
      <c r="C4544" s="218" t="s">
        <v>5786</v>
      </c>
      <c r="D4544" s="219">
        <v>1.0</v>
      </c>
      <c r="E4544" s="218">
        <v>300.0</v>
      </c>
      <c r="G4544" s="220">
        <v>43524.0</v>
      </c>
    </row>
    <row r="4545">
      <c r="A4545" s="217">
        <v>43524.67890866898</v>
      </c>
      <c r="B4545" s="218" t="s">
        <v>5184</v>
      </c>
      <c r="C4545" s="218" t="s">
        <v>244</v>
      </c>
      <c r="D4545" s="219">
        <v>1.0</v>
      </c>
      <c r="E4545" s="218">
        <v>600.0</v>
      </c>
      <c r="G4545" s="220">
        <v>43524.0</v>
      </c>
    </row>
    <row r="4546">
      <c r="A4546" s="217">
        <v>43524.689205</v>
      </c>
      <c r="B4546" s="218" t="s">
        <v>5184</v>
      </c>
      <c r="C4546" s="218" t="s">
        <v>7408</v>
      </c>
      <c r="D4546" s="219">
        <v>1.0</v>
      </c>
      <c r="E4546" s="218">
        <v>300.0</v>
      </c>
      <c r="G4546" s="220">
        <v>43524.0</v>
      </c>
    </row>
    <row r="4547">
      <c r="A4547" s="217">
        <v>43524.706900219906</v>
      </c>
      <c r="B4547" s="218" t="s">
        <v>5184</v>
      </c>
      <c r="C4547" s="218" t="s">
        <v>7496</v>
      </c>
      <c r="D4547" s="219">
        <v>1.0</v>
      </c>
      <c r="E4547" s="218">
        <v>50.0</v>
      </c>
      <c r="G4547" s="220">
        <v>43524.0</v>
      </c>
    </row>
    <row r="4548">
      <c r="A4548" s="217">
        <v>43525.493398402774</v>
      </c>
      <c r="B4548" s="218" t="s">
        <v>5184</v>
      </c>
      <c r="C4548" s="218" t="s">
        <v>5786</v>
      </c>
      <c r="D4548" s="219">
        <v>1.0</v>
      </c>
      <c r="E4548" s="218">
        <v>300.0</v>
      </c>
      <c r="G4548" s="220">
        <v>43525.0</v>
      </c>
    </row>
    <row r="4549">
      <c r="A4549" s="217">
        <v>43525.4949591551</v>
      </c>
      <c r="B4549" s="218" t="s">
        <v>5184</v>
      </c>
      <c r="C4549" s="218" t="s">
        <v>6053</v>
      </c>
      <c r="D4549" s="219">
        <v>1.0</v>
      </c>
      <c r="E4549" s="218">
        <v>300.0</v>
      </c>
      <c r="G4549" s="220">
        <v>43525.0</v>
      </c>
    </row>
    <row r="4550">
      <c r="A4550" s="217">
        <v>43525.63687809028</v>
      </c>
      <c r="B4550" s="218" t="s">
        <v>5184</v>
      </c>
      <c r="C4550" s="218" t="s">
        <v>6001</v>
      </c>
      <c r="D4550" s="219">
        <v>1.0</v>
      </c>
      <c r="E4550" s="218">
        <v>500.0</v>
      </c>
      <c r="G4550" s="220">
        <v>43525.0</v>
      </c>
    </row>
    <row r="4551">
      <c r="A4551" s="217">
        <v>43525.63946976852</v>
      </c>
      <c r="B4551" s="218" t="s">
        <v>5184</v>
      </c>
      <c r="C4551" s="218" t="s">
        <v>8100</v>
      </c>
      <c r="D4551" s="219">
        <v>1.0</v>
      </c>
      <c r="E4551" s="218">
        <v>1000.0</v>
      </c>
      <c r="G4551" s="220">
        <v>43525.0</v>
      </c>
    </row>
    <row r="4552">
      <c r="A4552" s="217">
        <v>43525.64259501157</v>
      </c>
      <c r="B4552" s="218" t="s">
        <v>5184</v>
      </c>
      <c r="C4552" s="218" t="s">
        <v>7792</v>
      </c>
      <c r="D4552" s="219">
        <v>1.0</v>
      </c>
      <c r="E4552" s="218">
        <v>400.0</v>
      </c>
      <c r="G4552" s="220">
        <v>43525.0</v>
      </c>
    </row>
    <row r="4553">
      <c r="A4553" s="217">
        <v>43525.64313369213</v>
      </c>
      <c r="B4553" s="218" t="s">
        <v>5184</v>
      </c>
      <c r="C4553" s="218" t="s">
        <v>244</v>
      </c>
      <c r="D4553" s="219">
        <v>1.0</v>
      </c>
      <c r="E4553" s="218">
        <v>600.0</v>
      </c>
      <c r="G4553" s="220">
        <v>43525.0</v>
      </c>
    </row>
    <row r="4554">
      <c r="A4554" s="217">
        <v>43525.74779451389</v>
      </c>
      <c r="B4554" s="218" t="s">
        <v>5184</v>
      </c>
      <c r="C4554" s="218" t="s">
        <v>7987</v>
      </c>
      <c r="D4554" s="219">
        <v>1.0</v>
      </c>
      <c r="E4554" s="218">
        <v>1000.0</v>
      </c>
      <c r="G4554" s="220">
        <v>43525.0</v>
      </c>
    </row>
    <row r="4555">
      <c r="A4555" s="217">
        <v>43525.748337592595</v>
      </c>
      <c r="B4555" s="218" t="s">
        <v>5184</v>
      </c>
      <c r="C4555" s="218" t="s">
        <v>5976</v>
      </c>
      <c r="D4555" s="219">
        <v>1.0</v>
      </c>
      <c r="E4555" s="218">
        <v>400.0</v>
      </c>
      <c r="G4555" s="220">
        <v>43525.0</v>
      </c>
    </row>
    <row r="4556">
      <c r="A4556" s="217">
        <v>43525.749733703706</v>
      </c>
      <c r="B4556" s="218" t="s">
        <v>5184</v>
      </c>
      <c r="C4556" s="218" t="s">
        <v>7800</v>
      </c>
      <c r="D4556" s="219">
        <v>1.0</v>
      </c>
      <c r="E4556" s="218">
        <v>300.0</v>
      </c>
      <c r="G4556" s="220">
        <v>43525.0</v>
      </c>
    </row>
    <row r="4557">
      <c r="A4557" s="217">
        <v>43525.75023539352</v>
      </c>
      <c r="B4557" s="218" t="s">
        <v>5184</v>
      </c>
      <c r="C4557" s="218" t="s">
        <v>7806</v>
      </c>
      <c r="D4557" s="219">
        <v>1.0</v>
      </c>
      <c r="E4557" s="218">
        <v>600.0</v>
      </c>
      <c r="G4557" s="220">
        <v>43525.0</v>
      </c>
    </row>
    <row r="4558">
      <c r="A4558" s="217">
        <v>43525.75135040509</v>
      </c>
      <c r="B4558" s="218" t="s">
        <v>5184</v>
      </c>
      <c r="C4558" s="218" t="s">
        <v>8103</v>
      </c>
      <c r="D4558" s="219">
        <v>1.0</v>
      </c>
      <c r="E4558" s="218">
        <v>300.0</v>
      </c>
      <c r="G4558" s="220">
        <v>43525.0</v>
      </c>
    </row>
    <row r="4559">
      <c r="A4559" s="217">
        <v>43525.752206944446</v>
      </c>
      <c r="B4559" s="218" t="s">
        <v>5184</v>
      </c>
      <c r="C4559" s="218" t="s">
        <v>284</v>
      </c>
      <c r="D4559" s="219">
        <v>1.0</v>
      </c>
      <c r="E4559" s="218">
        <v>500.0</v>
      </c>
      <c r="G4559" s="220">
        <v>43525.0</v>
      </c>
    </row>
    <row r="4560">
      <c r="A4560" s="217">
        <v>43526.62625016204</v>
      </c>
      <c r="B4560" s="218" t="s">
        <v>5184</v>
      </c>
      <c r="C4560" s="218" t="s">
        <v>8104</v>
      </c>
      <c r="D4560" s="219">
        <v>1.0</v>
      </c>
      <c r="E4560" s="218">
        <v>1000.0</v>
      </c>
      <c r="G4560" s="220">
        <v>43525.0</v>
      </c>
    </row>
    <row r="4561">
      <c r="A4561" s="217">
        <v>43526.627275555555</v>
      </c>
      <c r="B4561" s="218" t="s">
        <v>5184</v>
      </c>
      <c r="C4561" s="218" t="s">
        <v>422</v>
      </c>
      <c r="D4561" s="219">
        <v>1.0</v>
      </c>
      <c r="E4561" s="218">
        <v>1000.0</v>
      </c>
      <c r="G4561" s="220">
        <v>43525.0</v>
      </c>
    </row>
    <row r="4562">
      <c r="A4562" s="217">
        <v>43526.62817188658</v>
      </c>
      <c r="B4562" s="218" t="s">
        <v>5184</v>
      </c>
      <c r="C4562" s="218" t="s">
        <v>8106</v>
      </c>
      <c r="D4562" s="219">
        <v>1.0</v>
      </c>
      <c r="E4562" s="218">
        <v>300.0</v>
      </c>
      <c r="G4562" s="220">
        <v>43525.0</v>
      </c>
    </row>
    <row r="4563">
      <c r="A4563" s="217">
        <v>43526.62915665509</v>
      </c>
      <c r="B4563" s="218" t="s">
        <v>5184</v>
      </c>
      <c r="C4563" s="218" t="s">
        <v>7526</v>
      </c>
      <c r="D4563" s="219">
        <v>1.0</v>
      </c>
      <c r="E4563" s="218">
        <v>1000.0</v>
      </c>
      <c r="G4563" s="220">
        <v>43525.0</v>
      </c>
    </row>
    <row r="4564">
      <c r="A4564" s="217">
        <v>43526.63111150463</v>
      </c>
      <c r="B4564" s="218" t="s">
        <v>5184</v>
      </c>
      <c r="C4564" s="218" t="s">
        <v>7754</v>
      </c>
      <c r="D4564" s="219">
        <v>1.0</v>
      </c>
      <c r="E4564" s="218">
        <v>1000.0</v>
      </c>
      <c r="G4564" s="220">
        <v>43525.0</v>
      </c>
    </row>
    <row r="4565">
      <c r="A4565" s="217">
        <v>43526.63303474537</v>
      </c>
      <c r="B4565" s="218" t="s">
        <v>5184</v>
      </c>
      <c r="C4565" s="218" t="s">
        <v>5789</v>
      </c>
      <c r="D4565" s="219">
        <v>1.0</v>
      </c>
      <c r="E4565" s="218">
        <v>400.0</v>
      </c>
      <c r="G4565" s="220">
        <v>43526.0</v>
      </c>
    </row>
    <row r="4566">
      <c r="A4566" s="217">
        <v>43526.63387872685</v>
      </c>
      <c r="B4566" s="218" t="s">
        <v>5184</v>
      </c>
      <c r="C4566" s="218" t="s">
        <v>244</v>
      </c>
      <c r="D4566" s="219">
        <v>1.0</v>
      </c>
      <c r="E4566" s="218">
        <v>600.0</v>
      </c>
      <c r="G4566" s="220">
        <v>43526.0</v>
      </c>
    </row>
    <row r="4567">
      <c r="A4567" s="217">
        <v>43526.635081712964</v>
      </c>
      <c r="B4567" s="218" t="s">
        <v>5184</v>
      </c>
      <c r="C4567" s="218" t="s">
        <v>7792</v>
      </c>
      <c r="D4567" s="219">
        <v>1.0</v>
      </c>
      <c r="E4567" s="218">
        <v>400.0</v>
      </c>
      <c r="G4567" s="220">
        <v>43526.0</v>
      </c>
    </row>
    <row r="4568">
      <c r="A4568" s="217">
        <v>43526.63572194445</v>
      </c>
      <c r="B4568" s="218" t="s">
        <v>5184</v>
      </c>
      <c r="C4568" s="218" t="s">
        <v>284</v>
      </c>
      <c r="D4568" s="219">
        <v>1.0</v>
      </c>
      <c r="E4568" s="218">
        <v>400.0</v>
      </c>
      <c r="G4568" s="220">
        <v>43526.0</v>
      </c>
    </row>
    <row r="4569">
      <c r="A4569" s="217">
        <v>43526.63673164352</v>
      </c>
      <c r="B4569" s="218" t="s">
        <v>5184</v>
      </c>
      <c r="C4569" s="218" t="s">
        <v>6053</v>
      </c>
      <c r="D4569" s="219" t="s">
        <v>7547</v>
      </c>
      <c r="E4569" s="218">
        <v>150.0</v>
      </c>
      <c r="G4569" s="220">
        <v>43526.0</v>
      </c>
    </row>
    <row r="4570">
      <c r="A4570" s="217">
        <v>43526.63753476852</v>
      </c>
      <c r="B4570" s="218" t="s">
        <v>5184</v>
      </c>
      <c r="C4570" s="218" t="s">
        <v>7408</v>
      </c>
      <c r="D4570" s="219">
        <v>1.0</v>
      </c>
      <c r="E4570" s="218">
        <v>300.0</v>
      </c>
      <c r="G4570" s="220">
        <v>43526.0</v>
      </c>
    </row>
    <row r="4571">
      <c r="A4571" s="217">
        <v>43526.63847942129</v>
      </c>
      <c r="B4571" s="218" t="s">
        <v>5184</v>
      </c>
      <c r="C4571" s="218" t="s">
        <v>7408</v>
      </c>
      <c r="D4571" s="219">
        <v>1.0</v>
      </c>
      <c r="E4571" s="218">
        <v>300.0</v>
      </c>
      <c r="G4571" s="220">
        <v>43526.0</v>
      </c>
    </row>
    <row r="4572">
      <c r="A4572" s="217">
        <v>43526.63918825232</v>
      </c>
      <c r="B4572" s="218" t="s">
        <v>5184</v>
      </c>
      <c r="C4572" s="218" t="s">
        <v>284</v>
      </c>
      <c r="D4572" s="219">
        <v>1.0</v>
      </c>
      <c r="E4572" s="218">
        <v>400.0</v>
      </c>
      <c r="G4572" s="220">
        <v>43526.0</v>
      </c>
    </row>
    <row r="4573">
      <c r="A4573" s="217">
        <v>43526.64065652778</v>
      </c>
      <c r="B4573" s="218" t="s">
        <v>5184</v>
      </c>
      <c r="C4573" s="218" t="s">
        <v>5786</v>
      </c>
      <c r="D4573" s="219">
        <v>1.0</v>
      </c>
      <c r="E4573" s="218">
        <v>200.0</v>
      </c>
      <c r="G4573" s="220">
        <v>43526.0</v>
      </c>
    </row>
    <row r="4574">
      <c r="A4574" s="217">
        <v>43526.64127357639</v>
      </c>
      <c r="B4574" s="218" t="s">
        <v>5184</v>
      </c>
      <c r="C4574" s="218" t="s">
        <v>6053</v>
      </c>
      <c r="D4574" s="219">
        <v>1.0</v>
      </c>
      <c r="E4574" s="218">
        <v>300.0</v>
      </c>
      <c r="G4574" s="220">
        <v>43526.0</v>
      </c>
    </row>
    <row r="4575">
      <c r="A4575" s="217">
        <v>43526.642170520834</v>
      </c>
      <c r="B4575" s="218" t="s">
        <v>5184</v>
      </c>
      <c r="C4575" s="218" t="s">
        <v>5786</v>
      </c>
      <c r="D4575" s="219">
        <v>1.0</v>
      </c>
      <c r="E4575" s="218">
        <v>300.0</v>
      </c>
      <c r="G4575" s="220">
        <v>43526.0</v>
      </c>
    </row>
    <row r="4576">
      <c r="A4576" s="217">
        <v>43526.64286335648</v>
      </c>
      <c r="B4576" s="218" t="s">
        <v>5184</v>
      </c>
      <c r="C4576" s="218" t="s">
        <v>244</v>
      </c>
      <c r="D4576" s="219">
        <v>1.0</v>
      </c>
      <c r="E4576" s="218">
        <v>600.0</v>
      </c>
      <c r="G4576" s="220">
        <v>43526.0</v>
      </c>
    </row>
    <row r="4577">
      <c r="A4577" s="217">
        <v>43526.643536041665</v>
      </c>
      <c r="B4577" s="218" t="s">
        <v>5184</v>
      </c>
      <c r="C4577" s="218" t="s">
        <v>244</v>
      </c>
      <c r="D4577" s="219">
        <v>1.0</v>
      </c>
      <c r="E4577" s="218">
        <v>600.0</v>
      </c>
      <c r="G4577" s="220">
        <v>43526.0</v>
      </c>
    </row>
    <row r="4578">
      <c r="A4578" s="217">
        <v>43526.64458269676</v>
      </c>
      <c r="B4578" s="218" t="s">
        <v>5184</v>
      </c>
      <c r="C4578" s="218" t="s">
        <v>7800</v>
      </c>
      <c r="D4578" s="219">
        <v>1.0</v>
      </c>
      <c r="E4578" s="218">
        <v>300.0</v>
      </c>
      <c r="G4578" s="220">
        <v>43526.0</v>
      </c>
    </row>
    <row r="4579">
      <c r="A4579" s="217">
        <v>43526.64509333333</v>
      </c>
      <c r="B4579" s="218" t="s">
        <v>5184</v>
      </c>
      <c r="C4579" s="218" t="s">
        <v>7427</v>
      </c>
      <c r="D4579" s="219">
        <v>1.0</v>
      </c>
      <c r="E4579" s="218">
        <v>150.0</v>
      </c>
      <c r="G4579" s="220">
        <v>43526.0</v>
      </c>
    </row>
    <row r="4580">
      <c r="A4580" s="217">
        <v>43527.556156886574</v>
      </c>
      <c r="B4580" s="218" t="s">
        <v>5184</v>
      </c>
      <c r="C4580" s="218" t="s">
        <v>7792</v>
      </c>
      <c r="D4580" s="219">
        <v>1.0</v>
      </c>
      <c r="E4580" s="218">
        <v>400.0</v>
      </c>
      <c r="G4580" s="220">
        <v>43527.0</v>
      </c>
    </row>
    <row r="4581">
      <c r="A4581" s="217">
        <v>43527.55695153935</v>
      </c>
      <c r="B4581" s="218" t="s">
        <v>5184</v>
      </c>
      <c r="C4581" s="218" t="s">
        <v>284</v>
      </c>
      <c r="D4581" s="219">
        <v>1.0</v>
      </c>
      <c r="E4581" s="218">
        <v>400.0</v>
      </c>
      <c r="G4581" s="220">
        <v>43527.0</v>
      </c>
    </row>
    <row r="4582">
      <c r="A4582" s="217">
        <v>43527.55795545139</v>
      </c>
      <c r="B4582" s="218" t="s">
        <v>5184</v>
      </c>
      <c r="C4582" s="218" t="s">
        <v>5786</v>
      </c>
      <c r="D4582" s="219">
        <v>1.0</v>
      </c>
      <c r="E4582" s="218">
        <v>200.0</v>
      </c>
      <c r="G4582" s="220">
        <v>43527.0</v>
      </c>
    </row>
    <row r="4583">
      <c r="A4583" s="217">
        <v>43527.5585722338</v>
      </c>
      <c r="B4583" s="218" t="s">
        <v>5184</v>
      </c>
      <c r="C4583" s="218" t="s">
        <v>6053</v>
      </c>
      <c r="D4583" s="219">
        <v>1.0</v>
      </c>
      <c r="E4583" s="218">
        <v>300.0</v>
      </c>
      <c r="G4583" s="220">
        <v>43527.0</v>
      </c>
    </row>
    <row r="4584">
      <c r="A4584" s="217">
        <v>43527.559460335644</v>
      </c>
      <c r="B4584" s="218" t="s">
        <v>5184</v>
      </c>
      <c r="C4584" s="218" t="s">
        <v>5786</v>
      </c>
      <c r="D4584" s="219">
        <v>1.0</v>
      </c>
      <c r="E4584" s="218">
        <v>200.0</v>
      </c>
      <c r="G4584" s="220">
        <v>43527.0</v>
      </c>
    </row>
    <row r="4585">
      <c r="A4585" s="217">
        <v>43527.56003627315</v>
      </c>
      <c r="B4585" s="218" t="s">
        <v>5184</v>
      </c>
      <c r="C4585" s="218" t="s">
        <v>6053</v>
      </c>
      <c r="D4585" s="219">
        <v>1.0</v>
      </c>
      <c r="E4585" s="218">
        <v>300.0</v>
      </c>
      <c r="G4585" s="220">
        <v>43527.0</v>
      </c>
    </row>
    <row r="4586">
      <c r="A4586" s="217">
        <v>43529.420960937496</v>
      </c>
      <c r="B4586" s="218" t="s">
        <v>5184</v>
      </c>
      <c r="C4586" s="218" t="s">
        <v>7792</v>
      </c>
      <c r="D4586" s="219">
        <v>1.0</v>
      </c>
      <c r="E4586" s="218">
        <v>400.0</v>
      </c>
      <c r="G4586" s="220">
        <v>43528.0</v>
      </c>
    </row>
    <row r="4587">
      <c r="A4587" s="217">
        <v>43529.42169150463</v>
      </c>
      <c r="B4587" s="218" t="s">
        <v>5184</v>
      </c>
      <c r="C4587" s="218" t="s">
        <v>6053</v>
      </c>
      <c r="D4587" s="219">
        <v>1.0</v>
      </c>
      <c r="E4587" s="218">
        <v>300.0</v>
      </c>
      <c r="G4587" s="220">
        <v>43528.0</v>
      </c>
    </row>
    <row r="4588">
      <c r="A4588" s="217">
        <v>43529.42288342593</v>
      </c>
      <c r="B4588" s="218" t="s">
        <v>5184</v>
      </c>
      <c r="C4588" s="218" t="s">
        <v>8128</v>
      </c>
      <c r="D4588" s="219">
        <v>1.0</v>
      </c>
      <c r="E4588" s="218">
        <v>400.0</v>
      </c>
      <c r="G4588" s="220">
        <v>43528.0</v>
      </c>
    </row>
    <row r="4589">
      <c r="A4589" s="217">
        <v>43529.42391355324</v>
      </c>
      <c r="B4589" s="218" t="s">
        <v>5184</v>
      </c>
      <c r="C4589" s="218" t="s">
        <v>284</v>
      </c>
      <c r="D4589" s="219">
        <v>1.0</v>
      </c>
      <c r="E4589" s="218">
        <v>400.0</v>
      </c>
      <c r="G4589" s="220">
        <v>43528.0</v>
      </c>
    </row>
    <row r="4590">
      <c r="A4590" s="217">
        <v>43529.42786055556</v>
      </c>
      <c r="B4590" s="218" t="s">
        <v>5184</v>
      </c>
      <c r="C4590" s="218" t="s">
        <v>7496</v>
      </c>
      <c r="D4590" s="219">
        <v>1.0</v>
      </c>
      <c r="E4590" s="218">
        <v>300.0</v>
      </c>
      <c r="G4590" s="220">
        <v>43528.0</v>
      </c>
    </row>
    <row r="4591">
      <c r="A4591" s="217">
        <v>43529.42896427083</v>
      </c>
      <c r="B4591" s="218" t="s">
        <v>5184</v>
      </c>
      <c r="C4591" s="218" t="s">
        <v>244</v>
      </c>
      <c r="D4591" s="219">
        <v>1.0</v>
      </c>
      <c r="E4591" s="218">
        <v>600.0</v>
      </c>
      <c r="G4591" s="220">
        <v>43528.0</v>
      </c>
    </row>
    <row r="4592">
      <c r="A4592" s="217">
        <v>43529.42995762732</v>
      </c>
      <c r="B4592" s="218" t="s">
        <v>5184</v>
      </c>
      <c r="C4592" s="218" t="s">
        <v>7800</v>
      </c>
      <c r="D4592" s="219">
        <v>1.0</v>
      </c>
      <c r="E4592" s="218">
        <v>200.0</v>
      </c>
      <c r="G4592" s="220">
        <v>43528.0</v>
      </c>
    </row>
    <row r="4593">
      <c r="A4593" s="217">
        <v>43529.43072517361</v>
      </c>
      <c r="B4593" s="218" t="s">
        <v>5184</v>
      </c>
      <c r="C4593" s="218" t="s">
        <v>6053</v>
      </c>
      <c r="D4593" s="219">
        <v>1.0</v>
      </c>
      <c r="E4593" s="218">
        <v>300.0</v>
      </c>
      <c r="G4593" s="220">
        <v>43528.0</v>
      </c>
    </row>
    <row r="4594">
      <c r="A4594" s="217">
        <v>43529.431696851854</v>
      </c>
      <c r="B4594" s="218" t="s">
        <v>5184</v>
      </c>
      <c r="C4594" s="218" t="s">
        <v>7800</v>
      </c>
      <c r="D4594" s="219">
        <v>1.0</v>
      </c>
      <c r="E4594" s="218">
        <v>200.0</v>
      </c>
      <c r="G4594" s="220">
        <v>43528.0</v>
      </c>
    </row>
    <row r="4595">
      <c r="A4595" s="217">
        <v>43529.43250972222</v>
      </c>
      <c r="B4595" s="218" t="s">
        <v>5184</v>
      </c>
      <c r="C4595" s="218" t="s">
        <v>6053</v>
      </c>
      <c r="D4595" s="219">
        <v>1.0</v>
      </c>
      <c r="E4595" s="218">
        <v>300.0</v>
      </c>
      <c r="G4595" s="220">
        <v>43528.0</v>
      </c>
    </row>
    <row r="4596">
      <c r="A4596" s="217">
        <v>43529.43316373843</v>
      </c>
      <c r="B4596" s="218" t="s">
        <v>5184</v>
      </c>
      <c r="C4596" s="218" t="s">
        <v>6053</v>
      </c>
      <c r="D4596" s="219">
        <v>1.0</v>
      </c>
      <c r="E4596" s="218">
        <v>300.0</v>
      </c>
      <c r="G4596" s="220">
        <v>43528.0</v>
      </c>
    </row>
    <row r="4597">
      <c r="A4597" s="217">
        <v>43529.434107071764</v>
      </c>
      <c r="B4597" s="218" t="s">
        <v>5184</v>
      </c>
      <c r="C4597" s="218" t="s">
        <v>5789</v>
      </c>
      <c r="D4597" s="219">
        <v>1.0</v>
      </c>
      <c r="E4597" s="218">
        <v>400.0</v>
      </c>
      <c r="G4597" s="220">
        <v>43528.0</v>
      </c>
    </row>
    <row r="4598">
      <c r="A4598" s="217">
        <v>43529.434669571754</v>
      </c>
      <c r="B4598" s="218" t="s">
        <v>5184</v>
      </c>
      <c r="C4598" s="218" t="s">
        <v>284</v>
      </c>
      <c r="D4598" s="219">
        <v>1.0</v>
      </c>
      <c r="E4598" s="218">
        <v>400.0</v>
      </c>
      <c r="G4598" s="220">
        <v>43528.0</v>
      </c>
    </row>
    <row r="4599">
      <c r="A4599" s="217">
        <v>43529.43636732639</v>
      </c>
      <c r="B4599" s="218" t="s">
        <v>5184</v>
      </c>
      <c r="C4599" s="218" t="s">
        <v>7859</v>
      </c>
      <c r="D4599" s="219">
        <v>1.0</v>
      </c>
      <c r="E4599" s="218">
        <v>300.0</v>
      </c>
      <c r="G4599" s="220">
        <v>43528.0</v>
      </c>
    </row>
    <row r="4600">
      <c r="A4600" s="217">
        <v>43529.442913900464</v>
      </c>
      <c r="B4600" s="218" t="s">
        <v>5184</v>
      </c>
      <c r="C4600" s="218" t="s">
        <v>6053</v>
      </c>
      <c r="D4600" s="219">
        <v>1.0</v>
      </c>
      <c r="E4600" s="218">
        <v>300.0</v>
      </c>
      <c r="G4600" s="220">
        <v>43528.0</v>
      </c>
    </row>
    <row r="4601">
      <c r="A4601" s="217">
        <v>43529.44580339121</v>
      </c>
      <c r="B4601" s="218" t="s">
        <v>5184</v>
      </c>
      <c r="C4601" s="218" t="s">
        <v>8072</v>
      </c>
      <c r="D4601" s="219">
        <v>1.0</v>
      </c>
      <c r="E4601" s="218">
        <v>500.0</v>
      </c>
      <c r="G4601" s="220">
        <v>43528.0</v>
      </c>
    </row>
    <row r="4602">
      <c r="A4602" s="217">
        <v>43529.44663373842</v>
      </c>
      <c r="B4602" s="218" t="s">
        <v>5184</v>
      </c>
      <c r="C4602" s="218" t="s">
        <v>847</v>
      </c>
      <c r="D4602" s="219">
        <v>1.0</v>
      </c>
      <c r="E4602" s="218">
        <v>1000.0</v>
      </c>
      <c r="G4602" s="220">
        <v>43528.0</v>
      </c>
    </row>
    <row r="4603">
      <c r="A4603" s="217">
        <v>43529.4493265162</v>
      </c>
      <c r="B4603" s="218" t="s">
        <v>5184</v>
      </c>
      <c r="C4603" s="218" t="s">
        <v>6001</v>
      </c>
      <c r="D4603" s="219">
        <v>1.0</v>
      </c>
      <c r="E4603" s="218">
        <v>500.0</v>
      </c>
      <c r="G4603" s="220">
        <v>43528.0</v>
      </c>
    </row>
    <row r="4604">
      <c r="A4604" s="217">
        <v>43529.449813796295</v>
      </c>
      <c r="B4604" s="218" t="s">
        <v>5184</v>
      </c>
      <c r="C4604" s="218" t="s">
        <v>284</v>
      </c>
      <c r="D4604" s="219">
        <v>1.0</v>
      </c>
      <c r="E4604" s="218">
        <v>400.0</v>
      </c>
      <c r="G4604" s="220">
        <v>43528.0</v>
      </c>
    </row>
    <row r="4605">
      <c r="A4605" s="217">
        <v>43529.45131800926</v>
      </c>
      <c r="B4605" s="218" t="s">
        <v>5184</v>
      </c>
      <c r="C4605" s="218" t="s">
        <v>1022</v>
      </c>
      <c r="D4605" s="219">
        <v>1.0</v>
      </c>
      <c r="E4605" s="218">
        <v>1000.0</v>
      </c>
      <c r="G4605" s="220">
        <v>43528.0</v>
      </c>
    </row>
    <row r="4606">
      <c r="A4606" s="217">
        <v>43529.451779131945</v>
      </c>
      <c r="B4606" s="218" t="s">
        <v>5184</v>
      </c>
      <c r="C4606" s="218" t="s">
        <v>6053</v>
      </c>
      <c r="D4606" s="219">
        <v>1.0</v>
      </c>
      <c r="E4606" s="218">
        <v>300.0</v>
      </c>
      <c r="G4606" s="220">
        <v>43528.0</v>
      </c>
    </row>
    <row r="4607">
      <c r="A4607" s="217">
        <v>43529.596015937495</v>
      </c>
      <c r="B4607" s="218" t="s">
        <v>5184</v>
      </c>
      <c r="C4607" s="218" t="s">
        <v>7792</v>
      </c>
      <c r="D4607" s="219">
        <v>1.0</v>
      </c>
      <c r="E4607" s="218">
        <v>400.0</v>
      </c>
      <c r="G4607" s="220">
        <v>43529.0</v>
      </c>
    </row>
    <row r="4608">
      <c r="A4608" s="217">
        <v>43529.59742456018</v>
      </c>
      <c r="B4608" s="218" t="s">
        <v>5184</v>
      </c>
      <c r="C4608" s="218" t="s">
        <v>284</v>
      </c>
      <c r="D4608" s="219">
        <v>1.0</v>
      </c>
      <c r="E4608" s="218">
        <v>400.0</v>
      </c>
      <c r="G4608" s="220">
        <v>43529.0</v>
      </c>
    </row>
    <row r="4609">
      <c r="A4609" s="217">
        <v>43529.59855174768</v>
      </c>
      <c r="B4609" s="218" t="s">
        <v>5184</v>
      </c>
      <c r="C4609" s="218" t="s">
        <v>6053</v>
      </c>
      <c r="D4609" s="219">
        <v>1.0</v>
      </c>
      <c r="E4609" s="218">
        <v>300.0</v>
      </c>
      <c r="G4609" s="220">
        <v>43529.0</v>
      </c>
    </row>
    <row r="4610">
      <c r="A4610" s="217">
        <v>43529.599563842596</v>
      </c>
      <c r="B4610" s="218" t="s">
        <v>5184</v>
      </c>
      <c r="C4610" s="218" t="s">
        <v>284</v>
      </c>
      <c r="D4610" s="219">
        <v>1.0</v>
      </c>
      <c r="E4610" s="218">
        <v>400.0</v>
      </c>
      <c r="G4610" s="220">
        <v>43529.0</v>
      </c>
    </row>
    <row r="4611">
      <c r="A4611" s="217">
        <v>43534.646750995365</v>
      </c>
      <c r="B4611" s="218" t="s">
        <v>5184</v>
      </c>
      <c r="C4611" s="218" t="s">
        <v>7800</v>
      </c>
      <c r="D4611" s="219">
        <v>1.0</v>
      </c>
      <c r="E4611" s="218">
        <v>400.0</v>
      </c>
      <c r="G4611" s="220">
        <v>43529.0</v>
      </c>
    </row>
    <row r="4612">
      <c r="A4612" s="217">
        <v>43534.6502277199</v>
      </c>
      <c r="B4612" s="218" t="s">
        <v>5184</v>
      </c>
      <c r="C4612" s="218" t="s">
        <v>7800</v>
      </c>
      <c r="D4612" s="219">
        <v>1.0</v>
      </c>
      <c r="E4612" s="218">
        <v>400.0</v>
      </c>
      <c r="G4612" s="220">
        <v>43529.0</v>
      </c>
    </row>
    <row r="4613">
      <c r="A4613" s="217">
        <v>43534.65151401621</v>
      </c>
      <c r="B4613" s="218" t="s">
        <v>5184</v>
      </c>
      <c r="C4613" s="218" t="s">
        <v>7987</v>
      </c>
      <c r="D4613" s="219">
        <v>1.0</v>
      </c>
      <c r="E4613" s="218">
        <v>1000.0</v>
      </c>
      <c r="G4613" s="220">
        <v>43529.0</v>
      </c>
    </row>
    <row r="4614">
      <c r="A4614" s="217">
        <v>43534.654437743055</v>
      </c>
      <c r="B4614" s="218" t="s">
        <v>5184</v>
      </c>
      <c r="C4614" s="218" t="s">
        <v>6053</v>
      </c>
      <c r="D4614" s="219">
        <v>1.0</v>
      </c>
      <c r="E4614" s="218">
        <v>300.0</v>
      </c>
      <c r="G4614" s="220">
        <v>43531.0</v>
      </c>
    </row>
    <row r="4615">
      <c r="A4615" s="217">
        <v>43534.65716488426</v>
      </c>
      <c r="B4615" s="218" t="s">
        <v>5184</v>
      </c>
      <c r="C4615" s="218" t="s">
        <v>6053</v>
      </c>
      <c r="D4615" s="219" t="s">
        <v>7547</v>
      </c>
      <c r="E4615" s="218">
        <v>150.0</v>
      </c>
      <c r="G4615" s="220">
        <v>43531.0</v>
      </c>
    </row>
    <row r="4616">
      <c r="A4616" s="217">
        <v>43534.65935534722</v>
      </c>
      <c r="B4616" s="218" t="s">
        <v>5184</v>
      </c>
      <c r="C4616" s="218" t="s">
        <v>7408</v>
      </c>
      <c r="D4616" s="219">
        <v>1.0</v>
      </c>
      <c r="E4616" s="218">
        <v>300.0</v>
      </c>
      <c r="G4616" s="220">
        <v>43532.0</v>
      </c>
    </row>
    <row r="4617">
      <c r="A4617" s="217">
        <v>43534.6606405787</v>
      </c>
      <c r="B4617" s="218" t="s">
        <v>5184</v>
      </c>
      <c r="C4617" s="218" t="s">
        <v>7496</v>
      </c>
      <c r="D4617" s="219">
        <v>1.0</v>
      </c>
      <c r="E4617" s="218">
        <v>300.0</v>
      </c>
      <c r="G4617" s="220">
        <v>43532.0</v>
      </c>
    </row>
    <row r="4618">
      <c r="A4618" s="217">
        <v>43534.66134116898</v>
      </c>
      <c r="B4618" s="218" t="s">
        <v>5184</v>
      </c>
      <c r="C4618" s="218" t="s">
        <v>7496</v>
      </c>
      <c r="D4618" s="219">
        <v>1.0</v>
      </c>
      <c r="E4618" s="218">
        <v>400.0</v>
      </c>
      <c r="G4618" s="220">
        <v>43532.0</v>
      </c>
    </row>
    <row r="4619">
      <c r="A4619" s="217">
        <v>43534.66247996528</v>
      </c>
      <c r="B4619" s="218" t="s">
        <v>5184</v>
      </c>
      <c r="C4619" s="218" t="s">
        <v>6053</v>
      </c>
      <c r="D4619" s="219">
        <v>1.0</v>
      </c>
      <c r="E4619" s="218">
        <v>300.0</v>
      </c>
      <c r="G4619" s="220">
        <v>43531.0</v>
      </c>
    </row>
    <row r="4620">
      <c r="A4620" s="217">
        <v>43534.67017641204</v>
      </c>
      <c r="B4620" s="218" t="s">
        <v>5184</v>
      </c>
      <c r="C4620" s="218" t="s">
        <v>7800</v>
      </c>
      <c r="D4620" s="219">
        <v>1.0</v>
      </c>
      <c r="E4620" s="218">
        <v>200.0</v>
      </c>
      <c r="G4620" s="220">
        <v>43531.0</v>
      </c>
    </row>
    <row r="4621">
      <c r="A4621" s="217">
        <v>43534.67391596065</v>
      </c>
      <c r="B4621" s="218" t="s">
        <v>5184</v>
      </c>
      <c r="C4621" s="218" t="s">
        <v>7806</v>
      </c>
      <c r="D4621" s="219">
        <v>1.0</v>
      </c>
      <c r="E4621" s="218">
        <v>600.0</v>
      </c>
      <c r="G4621" s="220">
        <v>43532.0</v>
      </c>
    </row>
    <row r="4622">
      <c r="A4622" s="217">
        <v>43534.67468111111</v>
      </c>
      <c r="B4622" s="218" t="s">
        <v>5184</v>
      </c>
      <c r="C4622" s="218" t="s">
        <v>7800</v>
      </c>
      <c r="D4622" s="219">
        <v>1.0</v>
      </c>
      <c r="E4622" s="218">
        <v>200.0</v>
      </c>
      <c r="G4622" s="220">
        <v>43532.0</v>
      </c>
    </row>
    <row r="4623">
      <c r="A4623" s="217">
        <v>43534.67605394676</v>
      </c>
      <c r="B4623" s="218" t="s">
        <v>5184</v>
      </c>
      <c r="C4623" s="218" t="s">
        <v>5786</v>
      </c>
      <c r="D4623" s="219">
        <v>1.0</v>
      </c>
      <c r="E4623" s="218">
        <v>300.0</v>
      </c>
      <c r="G4623" s="220">
        <v>43532.0</v>
      </c>
    </row>
    <row r="4624">
      <c r="A4624" s="217">
        <v>43534.67696175926</v>
      </c>
      <c r="B4624" s="218" t="s">
        <v>5184</v>
      </c>
      <c r="C4624" s="218" t="s">
        <v>6053</v>
      </c>
      <c r="D4624" s="219">
        <v>1.0</v>
      </c>
      <c r="E4624" s="218">
        <v>300.0</v>
      </c>
      <c r="G4624" s="220">
        <v>43532.0</v>
      </c>
    </row>
    <row r="4625">
      <c r="A4625" s="217">
        <v>43534.678178125</v>
      </c>
      <c r="B4625" s="218" t="s">
        <v>5184</v>
      </c>
      <c r="C4625" s="218" t="s">
        <v>7427</v>
      </c>
      <c r="D4625" s="219" t="s">
        <v>7547</v>
      </c>
      <c r="E4625" s="218">
        <v>75.0</v>
      </c>
      <c r="G4625" s="220">
        <v>43532.0</v>
      </c>
    </row>
    <row r="4626">
      <c r="A4626" s="217">
        <v>43534.68008576389</v>
      </c>
      <c r="B4626" s="218" t="s">
        <v>5184</v>
      </c>
      <c r="C4626" s="218" t="s">
        <v>5848</v>
      </c>
      <c r="D4626" s="219">
        <v>1.0</v>
      </c>
      <c r="E4626" s="218">
        <v>1000.0</v>
      </c>
      <c r="G4626" s="220">
        <v>43532.0</v>
      </c>
    </row>
    <row r="4627">
      <c r="A4627" s="217">
        <v>43534.6806243287</v>
      </c>
      <c r="B4627" s="218" t="s">
        <v>5184</v>
      </c>
      <c r="C4627" s="218" t="s">
        <v>6053</v>
      </c>
      <c r="D4627" s="219">
        <v>1.0</v>
      </c>
      <c r="E4627" s="218">
        <v>300.0</v>
      </c>
      <c r="G4627" s="220">
        <v>43532.0</v>
      </c>
    </row>
    <row r="4628">
      <c r="A4628" s="217">
        <v>43534.6818827199</v>
      </c>
      <c r="B4628" s="218" t="s">
        <v>5184</v>
      </c>
      <c r="C4628" s="218" t="s">
        <v>6053</v>
      </c>
      <c r="D4628" s="219">
        <v>1.0</v>
      </c>
      <c r="E4628" s="218">
        <v>150.0</v>
      </c>
      <c r="G4628" s="220">
        <v>43533.0</v>
      </c>
    </row>
    <row r="4629">
      <c r="A4629" s="217">
        <v>43534.68301429398</v>
      </c>
      <c r="B4629" s="218" t="s">
        <v>5184</v>
      </c>
      <c r="C4629" s="218" t="s">
        <v>7408</v>
      </c>
      <c r="D4629" s="219">
        <v>1.0</v>
      </c>
      <c r="E4629" s="218">
        <v>200.0</v>
      </c>
      <c r="G4629" s="220">
        <v>43534.0</v>
      </c>
    </row>
    <row r="4630">
      <c r="A4630" s="217">
        <v>43534.71227</v>
      </c>
      <c r="B4630" s="218" t="s">
        <v>5184</v>
      </c>
      <c r="C4630" s="218" t="s">
        <v>7792</v>
      </c>
      <c r="D4630" s="219">
        <v>1.0</v>
      </c>
      <c r="E4630" s="218">
        <v>400.0</v>
      </c>
      <c r="G4630" s="220">
        <v>43534.0</v>
      </c>
    </row>
    <row r="4631">
      <c r="A4631" s="217">
        <v>43534.71568599537</v>
      </c>
      <c r="B4631" s="218" t="s">
        <v>5184</v>
      </c>
      <c r="C4631" s="218" t="s">
        <v>6053</v>
      </c>
      <c r="D4631" s="219">
        <v>1.0</v>
      </c>
      <c r="E4631" s="218">
        <v>400.0</v>
      </c>
      <c r="G4631" s="220">
        <v>43534.0</v>
      </c>
    </row>
    <row r="4632">
      <c r="A4632" s="217">
        <v>43534.73322368055</v>
      </c>
      <c r="B4632" s="218" t="s">
        <v>5184</v>
      </c>
      <c r="C4632" s="218" t="s">
        <v>8072</v>
      </c>
      <c r="D4632" s="219">
        <v>1.0</v>
      </c>
      <c r="E4632" s="218">
        <v>500.0</v>
      </c>
      <c r="G4632" s="220">
        <v>43534.0</v>
      </c>
    </row>
    <row r="4633">
      <c r="A4633" s="217">
        <v>43534.733897303246</v>
      </c>
      <c r="B4633" s="218" t="s">
        <v>5184</v>
      </c>
      <c r="C4633" s="218" t="s">
        <v>6053</v>
      </c>
      <c r="D4633" s="219">
        <v>1.0</v>
      </c>
      <c r="E4633" s="218">
        <v>300.0</v>
      </c>
      <c r="G4633" s="220">
        <v>43534.0</v>
      </c>
    </row>
    <row r="4634">
      <c r="A4634" s="217">
        <v>43535.55976591435</v>
      </c>
      <c r="B4634" s="218" t="s">
        <v>5184</v>
      </c>
      <c r="C4634" s="218" t="s">
        <v>7767</v>
      </c>
      <c r="D4634" s="219">
        <v>11.0</v>
      </c>
      <c r="E4634" s="218">
        <v>100.0</v>
      </c>
      <c r="G4634" s="220">
        <v>43529.0</v>
      </c>
    </row>
    <row r="4635">
      <c r="A4635" s="217">
        <v>43535.560870625</v>
      </c>
      <c r="B4635" s="218" t="s">
        <v>5184</v>
      </c>
      <c r="C4635" s="218" t="s">
        <v>7767</v>
      </c>
      <c r="D4635" s="219">
        <v>4.0</v>
      </c>
      <c r="E4635" s="218">
        <v>100.0</v>
      </c>
      <c r="G4635" s="220">
        <v>43533.0</v>
      </c>
    </row>
    <row r="4636">
      <c r="A4636" s="217">
        <v>43535.63089731481</v>
      </c>
      <c r="B4636" s="218" t="s">
        <v>5092</v>
      </c>
      <c r="C4636" s="218" t="s">
        <v>8161</v>
      </c>
      <c r="D4636" s="219">
        <v>36.0</v>
      </c>
      <c r="E4636" s="218">
        <v>300.0</v>
      </c>
      <c r="G4636" s="220">
        <v>43531.0</v>
      </c>
    </row>
    <row r="4637">
      <c r="A4637" s="217">
        <v>43535.632289270834</v>
      </c>
      <c r="B4637" s="218" t="s">
        <v>5092</v>
      </c>
      <c r="C4637" s="218" t="s">
        <v>8164</v>
      </c>
      <c r="D4637" s="219">
        <v>120.0</v>
      </c>
      <c r="E4637" s="218">
        <v>300.0</v>
      </c>
      <c r="G4637" s="220">
        <v>43531.0</v>
      </c>
    </row>
    <row r="4638">
      <c r="A4638" s="217">
        <v>43535.65034789352</v>
      </c>
      <c r="B4638" s="218" t="s">
        <v>5092</v>
      </c>
      <c r="C4638" s="218" t="s">
        <v>8165</v>
      </c>
      <c r="D4638" s="219">
        <v>204.0</v>
      </c>
      <c r="E4638" s="218">
        <v>100.0</v>
      </c>
      <c r="G4638" s="220">
        <v>43531.0</v>
      </c>
    </row>
    <row r="4639">
      <c r="A4639" s="217">
        <v>43535.6741044213</v>
      </c>
      <c r="B4639" s="218" t="s">
        <v>5184</v>
      </c>
      <c r="C4639" s="218" t="s">
        <v>6053</v>
      </c>
      <c r="D4639" s="219">
        <v>1.0</v>
      </c>
      <c r="E4639" s="218">
        <v>300.0</v>
      </c>
      <c r="G4639" s="220">
        <v>43531.0</v>
      </c>
    </row>
    <row r="4640">
      <c r="A4640" s="217">
        <v>43535.67499542824</v>
      </c>
      <c r="B4640" s="218" t="s">
        <v>5184</v>
      </c>
      <c r="C4640" s="218" t="s">
        <v>7800</v>
      </c>
      <c r="D4640" s="219">
        <v>1.0</v>
      </c>
      <c r="E4640" s="218">
        <v>300.0</v>
      </c>
      <c r="G4640" s="220">
        <v>43531.0</v>
      </c>
    </row>
    <row r="4641">
      <c r="A4641" s="217">
        <v>43535.677256192124</v>
      </c>
      <c r="B4641" s="218" t="s">
        <v>5184</v>
      </c>
      <c r="C4641" s="218" t="s">
        <v>6572</v>
      </c>
      <c r="D4641" s="219">
        <v>1.0</v>
      </c>
      <c r="E4641" s="218">
        <v>3000.0</v>
      </c>
      <c r="G4641" s="220">
        <v>43531.0</v>
      </c>
    </row>
    <row r="4642">
      <c r="A4642" s="217">
        <v>43535.68086783565</v>
      </c>
      <c r="B4642" s="218" t="s">
        <v>5184</v>
      </c>
      <c r="C4642" s="218" t="s">
        <v>834</v>
      </c>
      <c r="D4642" s="219">
        <v>1.0</v>
      </c>
      <c r="E4642" s="218">
        <v>2000.0</v>
      </c>
      <c r="G4642" s="220">
        <v>43531.0</v>
      </c>
    </row>
    <row r="4643">
      <c r="A4643" s="217">
        <v>43535.68251518518</v>
      </c>
      <c r="B4643" s="218" t="s">
        <v>5184</v>
      </c>
      <c r="C4643" s="218" t="s">
        <v>2351</v>
      </c>
      <c r="D4643" s="219">
        <v>1.0</v>
      </c>
      <c r="E4643" s="218">
        <v>2100.0</v>
      </c>
      <c r="G4643" s="220">
        <v>43531.0</v>
      </c>
    </row>
    <row r="4644">
      <c r="A4644" s="217">
        <v>43535.68398729167</v>
      </c>
      <c r="B4644" s="218" t="s">
        <v>5184</v>
      </c>
      <c r="C4644" s="218" t="s">
        <v>7526</v>
      </c>
      <c r="D4644" s="219">
        <v>1.0</v>
      </c>
      <c r="E4644" s="218">
        <v>1000.0</v>
      </c>
      <c r="G4644" s="220">
        <v>43531.0</v>
      </c>
    </row>
    <row r="4645">
      <c r="A4645" s="217">
        <v>43535.68506023148</v>
      </c>
      <c r="B4645" s="218" t="s">
        <v>5184</v>
      </c>
      <c r="C4645" s="218" t="s">
        <v>7231</v>
      </c>
      <c r="D4645" s="219">
        <v>1.0</v>
      </c>
      <c r="E4645" s="218">
        <v>2250.0</v>
      </c>
      <c r="G4645" s="220">
        <v>43531.0</v>
      </c>
    </row>
    <row r="4646">
      <c r="A4646" s="217">
        <v>43535.68599655092</v>
      </c>
      <c r="B4646" s="218" t="s">
        <v>5184</v>
      </c>
      <c r="C4646" s="218" t="s">
        <v>834</v>
      </c>
      <c r="D4646" s="219">
        <v>1.0</v>
      </c>
      <c r="E4646" s="218">
        <v>2000.0</v>
      </c>
      <c r="G4646" s="220">
        <v>43531.0</v>
      </c>
    </row>
    <row r="4647">
      <c r="A4647" s="217">
        <v>43535.68727098379</v>
      </c>
      <c r="B4647" s="218" t="s">
        <v>5184</v>
      </c>
      <c r="C4647" s="218" t="s">
        <v>6053</v>
      </c>
      <c r="D4647" s="219">
        <v>1.0</v>
      </c>
      <c r="E4647" s="218">
        <v>300.0</v>
      </c>
      <c r="G4647" s="220">
        <v>43535.0</v>
      </c>
    </row>
    <row r="4648">
      <c r="A4648" s="217">
        <v>43535.69037087963</v>
      </c>
      <c r="B4648" s="218" t="s">
        <v>5184</v>
      </c>
      <c r="C4648" s="218" t="s">
        <v>7408</v>
      </c>
      <c r="D4648" s="219">
        <v>1.0</v>
      </c>
      <c r="E4648" s="218">
        <v>400.0</v>
      </c>
      <c r="G4648" s="220">
        <v>43535.0</v>
      </c>
    </row>
    <row r="4649">
      <c r="A4649" s="217">
        <v>43535.691818113424</v>
      </c>
      <c r="B4649" s="218" t="s">
        <v>5184</v>
      </c>
      <c r="C4649" s="218" t="s">
        <v>6145</v>
      </c>
      <c r="D4649" s="219">
        <v>1.0</v>
      </c>
      <c r="E4649" s="218">
        <v>1800.0</v>
      </c>
      <c r="G4649" s="220">
        <v>43535.0</v>
      </c>
    </row>
    <row r="4650">
      <c r="A4650" s="217">
        <v>43535.692522337966</v>
      </c>
      <c r="B4650" s="218" t="s">
        <v>5184</v>
      </c>
      <c r="C4650" s="218" t="s">
        <v>834</v>
      </c>
      <c r="D4650" s="219">
        <v>1.0</v>
      </c>
      <c r="E4650" s="218">
        <v>2000.0</v>
      </c>
      <c r="G4650" s="220">
        <v>43535.0</v>
      </c>
    </row>
    <row r="4651">
      <c r="A4651" s="217">
        <v>43535.69416491898</v>
      </c>
      <c r="B4651" s="218" t="s">
        <v>5184</v>
      </c>
      <c r="C4651" s="218" t="s">
        <v>244</v>
      </c>
      <c r="D4651" s="219">
        <v>1.0</v>
      </c>
      <c r="E4651" s="218">
        <v>400.0</v>
      </c>
      <c r="G4651" s="220">
        <v>43535.0</v>
      </c>
    </row>
    <row r="4652">
      <c r="A4652" s="217">
        <v>43535.695075138894</v>
      </c>
      <c r="B4652" s="218" t="s">
        <v>5184</v>
      </c>
      <c r="C4652" s="218" t="s">
        <v>6053</v>
      </c>
      <c r="D4652" s="219">
        <v>1.0</v>
      </c>
      <c r="E4652" s="218">
        <v>300.0</v>
      </c>
      <c r="G4652" s="220">
        <v>43535.0</v>
      </c>
    </row>
    <row r="4653">
      <c r="A4653" s="217">
        <v>43535.703115439814</v>
      </c>
      <c r="B4653" s="218" t="s">
        <v>5184</v>
      </c>
      <c r="C4653" s="218" t="s">
        <v>5186</v>
      </c>
      <c r="D4653" s="219">
        <v>2.0</v>
      </c>
      <c r="E4653" s="218">
        <v>4490.0</v>
      </c>
      <c r="G4653" s="220">
        <v>43529.0</v>
      </c>
    </row>
    <row r="4654">
      <c r="A4654" s="217">
        <v>43535.705008495366</v>
      </c>
      <c r="B4654" s="218" t="s">
        <v>5184</v>
      </c>
      <c r="C4654" s="218" t="s">
        <v>1915</v>
      </c>
      <c r="D4654" s="219">
        <v>2.0</v>
      </c>
      <c r="E4654" s="218">
        <v>3390.0</v>
      </c>
      <c r="G4654" s="220">
        <v>43529.0</v>
      </c>
    </row>
    <row r="4655">
      <c r="A4655" s="217">
        <v>43535.707116307865</v>
      </c>
      <c r="B4655" s="218" t="s">
        <v>5184</v>
      </c>
      <c r="C4655" s="218" t="s">
        <v>6591</v>
      </c>
      <c r="D4655" s="219">
        <v>1.0</v>
      </c>
      <c r="E4655" s="218">
        <v>7590.0</v>
      </c>
      <c r="G4655" s="220">
        <v>43529.0</v>
      </c>
    </row>
    <row r="4656">
      <c r="A4656" s="217">
        <v>43535.70872230324</v>
      </c>
      <c r="B4656" s="218" t="s">
        <v>5184</v>
      </c>
      <c r="C4656" s="218" t="s">
        <v>8175</v>
      </c>
      <c r="D4656" s="219">
        <v>1.0</v>
      </c>
      <c r="E4656" s="218">
        <v>3500.0</v>
      </c>
      <c r="G4656" s="220">
        <v>43532.0</v>
      </c>
    </row>
    <row r="4657">
      <c r="A4657" s="217">
        <v>43535.71069849537</v>
      </c>
      <c r="B4657" s="218" t="s">
        <v>5184</v>
      </c>
      <c r="C4657" s="218" t="s">
        <v>6308</v>
      </c>
      <c r="D4657" s="219">
        <v>1.0</v>
      </c>
      <c r="E4657" s="218">
        <v>6885.0</v>
      </c>
      <c r="G4657" s="220">
        <v>43534.0</v>
      </c>
    </row>
    <row r="4658">
      <c r="A4658" s="217">
        <v>43535.71342326389</v>
      </c>
      <c r="B4658" s="218" t="s">
        <v>5184</v>
      </c>
      <c r="C4658" s="218" t="s">
        <v>6053</v>
      </c>
      <c r="D4658" s="219" t="s">
        <v>7547</v>
      </c>
      <c r="E4658" s="218">
        <v>150.0</v>
      </c>
      <c r="G4658" s="220">
        <v>43535.0</v>
      </c>
    </row>
    <row r="4659">
      <c r="A4659" s="217">
        <v>43535.73008206018</v>
      </c>
      <c r="B4659" s="218" t="s">
        <v>5184</v>
      </c>
      <c r="C4659" s="218" t="s">
        <v>6053</v>
      </c>
      <c r="D4659" s="219">
        <v>1.0</v>
      </c>
      <c r="E4659" s="218">
        <v>300.0</v>
      </c>
      <c r="G4659" s="220">
        <v>43535.0</v>
      </c>
    </row>
    <row r="4660">
      <c r="A4660" s="217">
        <v>43535.7306241551</v>
      </c>
      <c r="B4660" s="218" t="s">
        <v>5184</v>
      </c>
      <c r="C4660" s="218" t="s">
        <v>5786</v>
      </c>
      <c r="D4660" s="219">
        <v>1.0</v>
      </c>
      <c r="E4660" s="218">
        <v>300.0</v>
      </c>
      <c r="G4660" s="220">
        <v>43535.0</v>
      </c>
    </row>
    <row r="4661">
      <c r="A4661" s="217">
        <v>43535.75072563658</v>
      </c>
      <c r="B4661" s="218" t="s">
        <v>5184</v>
      </c>
      <c r="C4661" s="218" t="s">
        <v>284</v>
      </c>
      <c r="D4661" s="219">
        <v>1.0</v>
      </c>
      <c r="E4661" s="218">
        <v>400.0</v>
      </c>
      <c r="G4661" s="220">
        <v>43535.0</v>
      </c>
    </row>
    <row r="4662">
      <c r="A4662" s="217">
        <v>43536.591158043986</v>
      </c>
      <c r="B4662" s="218" t="s">
        <v>5184</v>
      </c>
      <c r="C4662" s="218" t="s">
        <v>8179</v>
      </c>
      <c r="D4662" s="219">
        <v>1.0</v>
      </c>
      <c r="E4662" s="218">
        <v>600.0</v>
      </c>
      <c r="G4662" s="220">
        <v>43535.0</v>
      </c>
    </row>
    <row r="4663">
      <c r="A4663" s="217">
        <v>43536.59193790509</v>
      </c>
      <c r="B4663" s="218" t="s">
        <v>5184</v>
      </c>
      <c r="C4663" s="218" t="s">
        <v>5786</v>
      </c>
      <c r="D4663" s="219">
        <v>1.0</v>
      </c>
      <c r="E4663" s="218">
        <v>300.0</v>
      </c>
      <c r="G4663" s="220">
        <v>43535.0</v>
      </c>
    </row>
    <row r="4664">
      <c r="A4664" s="217">
        <v>43536.599707326386</v>
      </c>
      <c r="B4664" s="218" t="s">
        <v>5184</v>
      </c>
      <c r="C4664" s="218" t="s">
        <v>5848</v>
      </c>
      <c r="D4664" s="219">
        <v>1.0</v>
      </c>
      <c r="E4664" s="218">
        <v>1000.0</v>
      </c>
      <c r="G4664" s="220">
        <v>43535.0</v>
      </c>
    </row>
    <row r="4665">
      <c r="A4665" s="217">
        <v>43536.601369895834</v>
      </c>
      <c r="B4665" s="218" t="s">
        <v>5184</v>
      </c>
      <c r="C4665" s="218" t="s">
        <v>834</v>
      </c>
      <c r="D4665" s="219">
        <v>1.0</v>
      </c>
      <c r="E4665" s="218">
        <v>2000.0</v>
      </c>
      <c r="G4665" s="220">
        <v>43535.0</v>
      </c>
    </row>
    <row r="4666">
      <c r="A4666" s="217">
        <v>43536.60261016204</v>
      </c>
      <c r="B4666" s="218" t="s">
        <v>5184</v>
      </c>
      <c r="C4666" s="218" t="s">
        <v>5786</v>
      </c>
      <c r="D4666" s="219">
        <v>1.0</v>
      </c>
      <c r="E4666" s="218">
        <v>300.0</v>
      </c>
      <c r="G4666" s="220">
        <v>43536.0</v>
      </c>
    </row>
    <row r="4667">
      <c r="A4667" s="217">
        <v>43536.60333831019</v>
      </c>
      <c r="B4667" s="218" t="s">
        <v>5184</v>
      </c>
      <c r="C4667" s="218" t="s">
        <v>6053</v>
      </c>
      <c r="D4667" s="219">
        <v>1.0</v>
      </c>
      <c r="E4667" s="218">
        <v>300.0</v>
      </c>
      <c r="G4667" s="220">
        <v>43536.0</v>
      </c>
    </row>
    <row r="4668">
      <c r="A4668" s="217">
        <v>43536.604135636575</v>
      </c>
      <c r="B4668" s="218" t="s">
        <v>5184</v>
      </c>
      <c r="C4668" s="218" t="s">
        <v>7408</v>
      </c>
      <c r="D4668" s="219">
        <v>1.0</v>
      </c>
      <c r="E4668" s="218">
        <v>400.0</v>
      </c>
      <c r="G4668" s="220">
        <v>43536.0</v>
      </c>
    </row>
    <row r="4669">
      <c r="A4669" s="217">
        <v>43536.61347138889</v>
      </c>
      <c r="B4669" s="218" t="s">
        <v>5184</v>
      </c>
      <c r="C4669" s="218" t="s">
        <v>6053</v>
      </c>
      <c r="D4669" s="219" t="s">
        <v>7547</v>
      </c>
      <c r="E4669" s="218">
        <v>150.0</v>
      </c>
      <c r="G4669" s="220">
        <v>43536.0</v>
      </c>
    </row>
    <row r="4670">
      <c r="A4670" s="217">
        <v>43536.639599409726</v>
      </c>
      <c r="B4670" s="218" t="s">
        <v>5184</v>
      </c>
      <c r="C4670" s="218" t="s">
        <v>5786</v>
      </c>
      <c r="D4670" s="219">
        <v>1.0</v>
      </c>
      <c r="E4670" s="218">
        <v>300.0</v>
      </c>
      <c r="G4670" s="220">
        <v>43536.0</v>
      </c>
    </row>
    <row r="4671">
      <c r="A4671" s="217">
        <v>43536.64141216435</v>
      </c>
      <c r="B4671" s="218" t="s">
        <v>5184</v>
      </c>
      <c r="C4671" s="218" t="s">
        <v>7806</v>
      </c>
      <c r="D4671" s="219">
        <v>1.0</v>
      </c>
      <c r="E4671" s="218">
        <v>600.0</v>
      </c>
      <c r="G4671" s="220">
        <v>43536.0</v>
      </c>
    </row>
    <row r="4672">
      <c r="A4672" s="217">
        <v>43536.64387157407</v>
      </c>
      <c r="B4672" s="218" t="s">
        <v>5184</v>
      </c>
      <c r="C4672" s="218" t="s">
        <v>5786</v>
      </c>
      <c r="D4672" s="219">
        <v>1.0</v>
      </c>
      <c r="E4672" s="218">
        <v>300.0</v>
      </c>
      <c r="G4672" s="220">
        <v>43536.0</v>
      </c>
    </row>
    <row r="4673">
      <c r="A4673" s="217">
        <v>43536.64458399305</v>
      </c>
      <c r="B4673" s="218" t="s">
        <v>5184</v>
      </c>
      <c r="C4673" s="218" t="s">
        <v>244</v>
      </c>
      <c r="D4673" s="219">
        <v>1.0</v>
      </c>
      <c r="E4673" s="218">
        <v>400.0</v>
      </c>
      <c r="G4673" s="220">
        <v>43536.0</v>
      </c>
    </row>
    <row r="4674">
      <c r="A4674" s="217">
        <v>43536.64534449074</v>
      </c>
      <c r="B4674" s="218" t="s">
        <v>5184</v>
      </c>
      <c r="C4674" s="218" t="s">
        <v>6053</v>
      </c>
      <c r="D4674" s="219">
        <v>1.0</v>
      </c>
      <c r="E4674" s="218">
        <v>300.0</v>
      </c>
      <c r="G4674" s="220">
        <v>43536.0</v>
      </c>
    </row>
    <row r="4675">
      <c r="A4675" s="217">
        <v>43536.64739380787</v>
      </c>
      <c r="B4675" s="218" t="s">
        <v>5184</v>
      </c>
      <c r="C4675" s="218" t="s">
        <v>7800</v>
      </c>
      <c r="D4675" s="219">
        <v>1.0</v>
      </c>
      <c r="E4675" s="218">
        <v>300.0</v>
      </c>
      <c r="G4675" s="220">
        <v>43536.0</v>
      </c>
    </row>
    <row r="4676">
      <c r="A4676" s="217">
        <v>43536.647980625</v>
      </c>
      <c r="B4676" s="218" t="s">
        <v>5184</v>
      </c>
      <c r="C4676" s="218" t="s">
        <v>244</v>
      </c>
      <c r="D4676" s="219">
        <v>1.0</v>
      </c>
      <c r="E4676" s="218">
        <v>400.0</v>
      </c>
      <c r="G4676" s="220">
        <v>43536.0</v>
      </c>
    </row>
    <row r="4677">
      <c r="A4677" s="217">
        <v>43536.64898467592</v>
      </c>
      <c r="B4677" s="218" t="s">
        <v>5184</v>
      </c>
      <c r="C4677" s="218" t="s">
        <v>7496</v>
      </c>
      <c r="D4677" s="219">
        <v>1.0</v>
      </c>
      <c r="E4677" s="218">
        <v>300.0</v>
      </c>
      <c r="G4677" s="220">
        <v>43536.0</v>
      </c>
    </row>
    <row r="4678">
      <c r="A4678" s="217">
        <v>43536.64959699074</v>
      </c>
      <c r="B4678" s="218" t="s">
        <v>5184</v>
      </c>
      <c r="C4678" s="218" t="s">
        <v>7806</v>
      </c>
      <c r="D4678" s="219">
        <v>1.0</v>
      </c>
      <c r="E4678" s="218">
        <v>600.0</v>
      </c>
      <c r="G4678" s="220">
        <v>43536.0</v>
      </c>
    </row>
    <row r="4679">
      <c r="A4679" s="217">
        <v>43536.65072428241</v>
      </c>
      <c r="B4679" s="218" t="s">
        <v>5184</v>
      </c>
      <c r="C4679" s="218" t="s">
        <v>5786</v>
      </c>
      <c r="D4679" s="219">
        <v>1.0</v>
      </c>
      <c r="E4679" s="218">
        <v>300.0</v>
      </c>
      <c r="G4679" s="220">
        <v>43536.0</v>
      </c>
    </row>
    <row r="4680">
      <c r="A4680" s="217">
        <v>43536.65175575232</v>
      </c>
      <c r="B4680" s="218" t="s">
        <v>5184</v>
      </c>
      <c r="C4680" s="218" t="s">
        <v>6053</v>
      </c>
      <c r="D4680" s="219">
        <v>1.0</v>
      </c>
      <c r="E4680" s="218">
        <v>300.0</v>
      </c>
      <c r="G4680" s="220">
        <v>43536.0</v>
      </c>
    </row>
    <row r="4681">
      <c r="A4681" s="217">
        <v>43536.653716064815</v>
      </c>
      <c r="B4681" s="218" t="s">
        <v>5184</v>
      </c>
      <c r="C4681" s="218" t="s">
        <v>7408</v>
      </c>
      <c r="D4681" s="219">
        <v>1.0</v>
      </c>
      <c r="E4681" s="218">
        <v>400.0</v>
      </c>
      <c r="G4681" s="220">
        <v>43536.0</v>
      </c>
    </row>
    <row r="4682">
      <c r="A4682" s="217">
        <v>43536.74030873843</v>
      </c>
      <c r="B4682" s="218" t="s">
        <v>5184</v>
      </c>
      <c r="C4682" s="218" t="s">
        <v>7408</v>
      </c>
      <c r="D4682" s="219">
        <v>1.0</v>
      </c>
      <c r="E4682" s="218">
        <v>400.0</v>
      </c>
      <c r="G4682" s="220">
        <v>43536.0</v>
      </c>
    </row>
    <row r="4683">
      <c r="A4683" s="217">
        <v>43536.74322496528</v>
      </c>
      <c r="B4683" s="218" t="s">
        <v>5184</v>
      </c>
      <c r="C4683" s="218" t="s">
        <v>4726</v>
      </c>
      <c r="D4683" s="219">
        <v>1.0</v>
      </c>
      <c r="E4683" s="218">
        <v>2250.0</v>
      </c>
      <c r="G4683" s="220">
        <v>43536.0</v>
      </c>
    </row>
    <row r="4684">
      <c r="A4684" s="217">
        <v>43536.74497659723</v>
      </c>
      <c r="B4684" s="218" t="s">
        <v>5184</v>
      </c>
      <c r="C4684" s="218" t="s">
        <v>6181</v>
      </c>
      <c r="D4684" s="219">
        <v>1.0</v>
      </c>
      <c r="E4684" s="218">
        <v>7790.0</v>
      </c>
      <c r="G4684" s="220">
        <v>43536.0</v>
      </c>
    </row>
    <row r="4685">
      <c r="A4685" s="217">
        <v>43536.746430914354</v>
      </c>
      <c r="B4685" s="218" t="s">
        <v>5184</v>
      </c>
      <c r="C4685" s="218" t="s">
        <v>8195</v>
      </c>
      <c r="D4685" s="219">
        <v>1.0</v>
      </c>
      <c r="E4685" s="218">
        <v>9390.0</v>
      </c>
      <c r="G4685" s="220">
        <v>43536.0</v>
      </c>
    </row>
    <row r="4686">
      <c r="A4686" s="217">
        <v>43536.747713854165</v>
      </c>
      <c r="B4686" s="218" t="s">
        <v>5184</v>
      </c>
      <c r="C4686" s="218" t="s">
        <v>6675</v>
      </c>
      <c r="D4686" s="219">
        <v>1.0</v>
      </c>
      <c r="E4686" s="218">
        <v>7990.0</v>
      </c>
      <c r="G4686" s="220">
        <v>43536.0</v>
      </c>
    </row>
    <row r="4687">
      <c r="A4687" s="217">
        <v>43536.748702847224</v>
      </c>
      <c r="B4687" s="218" t="s">
        <v>5184</v>
      </c>
      <c r="C4687" s="218" t="s">
        <v>5186</v>
      </c>
      <c r="D4687" s="219">
        <v>1.0</v>
      </c>
      <c r="E4687" s="218">
        <v>4490.0</v>
      </c>
      <c r="G4687" s="220">
        <v>43536.0</v>
      </c>
    </row>
    <row r="4688">
      <c r="A4688" s="217">
        <v>43537.52708422454</v>
      </c>
      <c r="B4688" s="218" t="s">
        <v>5184</v>
      </c>
      <c r="C4688" s="218" t="s">
        <v>6053</v>
      </c>
      <c r="D4688" s="219">
        <v>1.0</v>
      </c>
      <c r="E4688" s="218">
        <v>300.0</v>
      </c>
      <c r="G4688" s="220">
        <v>43537.0</v>
      </c>
    </row>
    <row r="4689">
      <c r="A4689" s="217">
        <v>43537.52778643518</v>
      </c>
      <c r="B4689" s="218" t="s">
        <v>5184</v>
      </c>
      <c r="C4689" s="218" t="s">
        <v>5786</v>
      </c>
      <c r="D4689" s="219">
        <v>1.0</v>
      </c>
      <c r="E4689" s="218">
        <v>300.0</v>
      </c>
      <c r="G4689" s="220">
        <v>43537.0</v>
      </c>
    </row>
    <row r="4690">
      <c r="A4690" s="217">
        <v>43537.52848489583</v>
      </c>
      <c r="B4690" s="218" t="s">
        <v>5184</v>
      </c>
      <c r="C4690" s="218" t="s">
        <v>6053</v>
      </c>
      <c r="D4690" s="219">
        <v>1.0</v>
      </c>
      <c r="E4690" s="218">
        <v>300.0</v>
      </c>
      <c r="G4690" s="220">
        <v>43537.0</v>
      </c>
    </row>
    <row r="4691">
      <c r="A4691" s="217">
        <v>43537.52936489583</v>
      </c>
      <c r="B4691" s="218" t="s">
        <v>5184</v>
      </c>
      <c r="C4691" s="218" t="s">
        <v>6001</v>
      </c>
      <c r="D4691" s="219">
        <v>1.0</v>
      </c>
      <c r="E4691" s="218">
        <v>500.0</v>
      </c>
      <c r="G4691" s="220">
        <v>43537.0</v>
      </c>
    </row>
    <row r="4692">
      <c r="A4692" s="217">
        <v>43537.53065313658</v>
      </c>
      <c r="B4692" s="218" t="s">
        <v>5184</v>
      </c>
      <c r="C4692" s="218" t="s">
        <v>284</v>
      </c>
      <c r="D4692" s="219">
        <v>1.0</v>
      </c>
      <c r="E4692" s="218">
        <v>400.0</v>
      </c>
      <c r="G4692" s="220">
        <v>43537.0</v>
      </c>
    </row>
    <row r="4693">
      <c r="A4693" s="217">
        <v>43537.599884375</v>
      </c>
      <c r="B4693" s="218" t="s">
        <v>5184</v>
      </c>
      <c r="C4693" s="218" t="s">
        <v>6053</v>
      </c>
      <c r="D4693" s="219">
        <v>1.0</v>
      </c>
      <c r="E4693" s="218">
        <v>300.0</v>
      </c>
      <c r="G4693" s="220">
        <v>43537.0</v>
      </c>
    </row>
    <row r="4694">
      <c r="A4694" s="217">
        <v>43537.78062866898</v>
      </c>
      <c r="B4694" s="218" t="s">
        <v>5184</v>
      </c>
      <c r="C4694" s="218" t="s">
        <v>244</v>
      </c>
      <c r="D4694" s="219">
        <v>1.0</v>
      </c>
      <c r="E4694" s="218">
        <v>600.0</v>
      </c>
      <c r="G4694" s="220">
        <v>43537.0</v>
      </c>
    </row>
    <row r="4695">
      <c r="A4695" s="217">
        <v>43537.7817780787</v>
      </c>
      <c r="B4695" s="218" t="s">
        <v>5184</v>
      </c>
      <c r="C4695" s="218" t="s">
        <v>244</v>
      </c>
      <c r="D4695" s="219">
        <v>1.0</v>
      </c>
      <c r="E4695" s="218">
        <v>400.0</v>
      </c>
      <c r="G4695" s="220">
        <v>43537.0</v>
      </c>
    </row>
    <row r="4696">
      <c r="A4696" s="217">
        <v>43537.782446446756</v>
      </c>
      <c r="B4696" s="218" t="s">
        <v>5184</v>
      </c>
      <c r="C4696" s="218" t="s">
        <v>5848</v>
      </c>
      <c r="D4696" s="219">
        <v>1.0</v>
      </c>
      <c r="E4696" s="218">
        <v>1000.0</v>
      </c>
      <c r="G4696" s="220">
        <v>43537.0</v>
      </c>
    </row>
    <row r="4697">
      <c r="A4697" s="217">
        <v>43537.782894710646</v>
      </c>
      <c r="B4697" s="218" t="s">
        <v>5184</v>
      </c>
      <c r="C4697" s="218" t="s">
        <v>6053</v>
      </c>
      <c r="D4697" s="219">
        <v>1.0</v>
      </c>
      <c r="E4697" s="218">
        <v>300.0</v>
      </c>
      <c r="G4697" s="220">
        <v>43537.0</v>
      </c>
    </row>
    <row r="4698">
      <c r="A4698" s="217">
        <v>43539.615145891206</v>
      </c>
      <c r="B4698" s="218" t="s">
        <v>5092</v>
      </c>
      <c r="C4698" s="218" t="s">
        <v>6053</v>
      </c>
      <c r="D4698" s="219">
        <v>19.5</v>
      </c>
      <c r="E4698" s="218">
        <v>300.0</v>
      </c>
      <c r="G4698" s="220">
        <v>43537.0</v>
      </c>
    </row>
    <row r="4699">
      <c r="A4699" s="217">
        <v>43539.62174793982</v>
      </c>
      <c r="B4699" s="218" t="s">
        <v>5092</v>
      </c>
      <c r="C4699" s="218" t="s">
        <v>6053</v>
      </c>
      <c r="D4699" s="219">
        <v>21.5</v>
      </c>
      <c r="E4699" s="218">
        <v>860.0</v>
      </c>
      <c r="G4699" s="220">
        <v>43537.0</v>
      </c>
    </row>
    <row r="4700">
      <c r="A4700" s="217">
        <v>43539.62263759259</v>
      </c>
      <c r="B4700" s="218" t="s">
        <v>5092</v>
      </c>
      <c r="C4700" s="218" t="s">
        <v>6053</v>
      </c>
      <c r="D4700" s="219">
        <v>5.0</v>
      </c>
      <c r="E4700" s="218">
        <v>300.0</v>
      </c>
      <c r="G4700" s="220">
        <v>43537.0</v>
      </c>
    </row>
    <row r="4701">
      <c r="A4701" s="217">
        <v>43539.62663888889</v>
      </c>
      <c r="B4701" s="218" t="s">
        <v>5092</v>
      </c>
      <c r="C4701" s="218" t="s">
        <v>6053</v>
      </c>
      <c r="D4701" s="219" t="s">
        <v>7652</v>
      </c>
      <c r="E4701" s="218">
        <v>300.0</v>
      </c>
      <c r="G4701" s="220">
        <v>43537.0</v>
      </c>
    </row>
    <row r="4702">
      <c r="A4702" s="217">
        <v>43539.62775850695</v>
      </c>
      <c r="B4702" s="218" t="s">
        <v>5092</v>
      </c>
      <c r="C4702" s="218" t="s">
        <v>7806</v>
      </c>
      <c r="D4702" s="219">
        <v>1.0</v>
      </c>
      <c r="E4702" s="218">
        <v>600.0</v>
      </c>
      <c r="G4702" s="220">
        <v>43537.0</v>
      </c>
    </row>
    <row r="4703">
      <c r="A4703" s="217">
        <v>43539.6292503125</v>
      </c>
      <c r="B4703" s="218" t="s">
        <v>5092</v>
      </c>
      <c r="C4703" s="218" t="s">
        <v>244</v>
      </c>
      <c r="D4703" s="219">
        <v>1.0</v>
      </c>
      <c r="E4703" s="218">
        <v>400.0</v>
      </c>
      <c r="G4703" s="220">
        <v>43537.0</v>
      </c>
    </row>
    <row r="4704">
      <c r="A4704" s="217">
        <v>43539.630114479165</v>
      </c>
      <c r="B4704" s="218" t="s">
        <v>5092</v>
      </c>
      <c r="C4704" s="218" t="s">
        <v>6053</v>
      </c>
      <c r="D4704" s="219">
        <v>1.0</v>
      </c>
      <c r="E4704" s="218">
        <v>300.0</v>
      </c>
      <c r="G4704" s="220">
        <v>43537.0</v>
      </c>
    </row>
    <row r="4705">
      <c r="A4705" s="217">
        <v>43539.63201405093</v>
      </c>
      <c r="B4705" s="218" t="s">
        <v>5092</v>
      </c>
      <c r="C4705" s="218" t="s">
        <v>284</v>
      </c>
      <c r="D4705" s="219" t="s">
        <v>8203</v>
      </c>
      <c r="E4705" s="218">
        <v>400.0</v>
      </c>
      <c r="G4705" s="220">
        <v>43537.0</v>
      </c>
    </row>
    <row r="4706">
      <c r="A4706" s="217">
        <v>43539.63595181713</v>
      </c>
      <c r="B4706" s="218" t="s">
        <v>5092</v>
      </c>
      <c r="C4706" s="218" t="s">
        <v>834</v>
      </c>
      <c r="D4706" s="219">
        <v>2.0</v>
      </c>
      <c r="E4706" s="218">
        <v>2000.0</v>
      </c>
      <c r="G4706" s="220">
        <v>43537.0</v>
      </c>
    </row>
    <row r="4707">
      <c r="A4707" s="217">
        <v>43539.644951793976</v>
      </c>
      <c r="B4707" s="218" t="s">
        <v>5092</v>
      </c>
      <c r="C4707" s="218" t="s">
        <v>6053</v>
      </c>
      <c r="D4707" s="219" t="s">
        <v>8204</v>
      </c>
      <c r="E4707" s="218">
        <v>300.0</v>
      </c>
      <c r="G4707" s="220">
        <v>43537.0</v>
      </c>
    </row>
    <row r="4708">
      <c r="A4708" s="217">
        <v>43539.67016173611</v>
      </c>
      <c r="B4708" s="218" t="s">
        <v>5184</v>
      </c>
      <c r="C4708" s="218" t="s">
        <v>284</v>
      </c>
      <c r="D4708" s="219">
        <v>1.0</v>
      </c>
      <c r="E4708" s="218">
        <v>400.0</v>
      </c>
      <c r="G4708" s="220">
        <v>43539.0</v>
      </c>
    </row>
    <row r="4709">
      <c r="A4709" s="217">
        <v>43539.67088513889</v>
      </c>
      <c r="B4709" s="218" t="s">
        <v>5184</v>
      </c>
      <c r="C4709" s="218" t="s">
        <v>5786</v>
      </c>
      <c r="D4709" s="219">
        <v>1.0</v>
      </c>
      <c r="E4709" s="218">
        <v>300.0</v>
      </c>
      <c r="G4709" s="220">
        <v>43539.0</v>
      </c>
    </row>
    <row r="4710">
      <c r="A4710" s="217">
        <v>43540.61315921297</v>
      </c>
      <c r="B4710" s="218" t="s">
        <v>5184</v>
      </c>
      <c r="C4710" s="218" t="s">
        <v>6053</v>
      </c>
      <c r="D4710" s="219">
        <v>1.0</v>
      </c>
      <c r="E4710" s="218">
        <v>300.0</v>
      </c>
      <c r="G4710" s="220">
        <v>43539.0</v>
      </c>
    </row>
    <row r="4711">
      <c r="A4711" s="217">
        <v>43540.643380277776</v>
      </c>
      <c r="B4711" s="218" t="s">
        <v>5184</v>
      </c>
      <c r="C4711" s="218" t="s">
        <v>5786</v>
      </c>
      <c r="D4711" s="219">
        <v>1.0</v>
      </c>
      <c r="E4711" s="218">
        <v>300.0</v>
      </c>
      <c r="G4711" s="220">
        <v>43540.0</v>
      </c>
    </row>
    <row r="4712">
      <c r="A4712" s="217">
        <v>43540.644527916666</v>
      </c>
      <c r="B4712" s="218" t="s">
        <v>5184</v>
      </c>
      <c r="C4712" s="218" t="s">
        <v>244</v>
      </c>
      <c r="D4712" s="219">
        <v>1.0</v>
      </c>
      <c r="E4712" s="218">
        <v>400.0</v>
      </c>
      <c r="G4712" s="220">
        <v>43540.0</v>
      </c>
    </row>
    <row r="4713">
      <c r="A4713" s="217">
        <v>43540.65110826389</v>
      </c>
      <c r="B4713" s="218" t="s">
        <v>5184</v>
      </c>
      <c r="C4713" s="218" t="s">
        <v>6053</v>
      </c>
      <c r="D4713" s="219">
        <v>1.0</v>
      </c>
      <c r="E4713" s="218">
        <v>300.0</v>
      </c>
      <c r="G4713" s="220">
        <v>43540.0</v>
      </c>
    </row>
    <row r="4714">
      <c r="A4714" s="217">
        <v>43540.6526671412</v>
      </c>
      <c r="B4714" s="218" t="s">
        <v>5184</v>
      </c>
      <c r="C4714" s="218" t="s">
        <v>5786</v>
      </c>
      <c r="D4714" s="219">
        <v>1.0</v>
      </c>
      <c r="E4714" s="218">
        <v>300.0</v>
      </c>
      <c r="G4714" s="220">
        <v>43540.0</v>
      </c>
    </row>
    <row r="4715">
      <c r="A4715" s="217">
        <v>43540.65322599537</v>
      </c>
      <c r="B4715" s="218" t="s">
        <v>5184</v>
      </c>
      <c r="C4715" s="218" t="s">
        <v>284</v>
      </c>
      <c r="D4715" s="219">
        <v>1.0</v>
      </c>
      <c r="E4715" s="218">
        <v>400.0</v>
      </c>
      <c r="G4715" s="220">
        <v>43540.0</v>
      </c>
    </row>
    <row r="4716">
      <c r="A4716" s="217">
        <v>43540.654532465276</v>
      </c>
      <c r="B4716" s="218" t="s">
        <v>5184</v>
      </c>
      <c r="C4716" s="218" t="s">
        <v>5786</v>
      </c>
      <c r="D4716" s="219">
        <v>1.0</v>
      </c>
      <c r="E4716" s="218">
        <v>300.0</v>
      </c>
      <c r="G4716" s="220">
        <v>43540.0</v>
      </c>
    </row>
    <row r="4717">
      <c r="A4717" s="217">
        <v>43540.65509947916</v>
      </c>
      <c r="B4717" s="218" t="s">
        <v>5184</v>
      </c>
      <c r="C4717" s="218" t="s">
        <v>244</v>
      </c>
      <c r="D4717" s="219">
        <v>1.0</v>
      </c>
      <c r="E4717" s="218">
        <v>400.0</v>
      </c>
      <c r="G4717" s="220">
        <v>43540.0</v>
      </c>
    </row>
    <row r="4718">
      <c r="A4718" s="217">
        <v>43540.65619356481</v>
      </c>
      <c r="B4718" s="218" t="s">
        <v>5184</v>
      </c>
      <c r="C4718" s="218" t="s">
        <v>7800</v>
      </c>
      <c r="D4718" s="219">
        <v>1.0</v>
      </c>
      <c r="E4718" s="218">
        <v>300.0</v>
      </c>
      <c r="G4718" s="220">
        <v>43540.0</v>
      </c>
    </row>
    <row r="4719">
      <c r="A4719" s="217">
        <v>43540.657713912035</v>
      </c>
      <c r="B4719" s="218" t="s">
        <v>5184</v>
      </c>
      <c r="C4719" s="218" t="s">
        <v>244</v>
      </c>
      <c r="D4719" s="219">
        <v>1.0</v>
      </c>
      <c r="E4719" s="218">
        <v>400.0</v>
      </c>
      <c r="G4719" s="220">
        <v>43540.0</v>
      </c>
    </row>
    <row r="4720">
      <c r="A4720" s="217">
        <v>43540.70533427084</v>
      </c>
      <c r="B4720" s="218" t="s">
        <v>5184</v>
      </c>
      <c r="C4720" s="218" t="s">
        <v>7800</v>
      </c>
      <c r="D4720" s="219">
        <v>1.0</v>
      </c>
      <c r="E4720" s="218">
        <v>300.0</v>
      </c>
      <c r="G4720" s="220">
        <v>43540.0</v>
      </c>
    </row>
    <row r="4721">
      <c r="A4721" s="217">
        <v>43540.705891307865</v>
      </c>
      <c r="B4721" s="218" t="s">
        <v>5184</v>
      </c>
      <c r="C4721" s="218" t="s">
        <v>244</v>
      </c>
      <c r="D4721" s="219">
        <v>1.0</v>
      </c>
      <c r="E4721" s="218">
        <v>400.0</v>
      </c>
      <c r="G4721" s="220">
        <v>43540.0</v>
      </c>
    </row>
    <row r="4722">
      <c r="A4722" s="217">
        <v>43540.706603541665</v>
      </c>
      <c r="B4722" s="218" t="s">
        <v>5184</v>
      </c>
      <c r="C4722" s="218" t="s">
        <v>7496</v>
      </c>
      <c r="D4722" s="219">
        <v>1.0</v>
      </c>
      <c r="E4722" s="218">
        <v>300.0</v>
      </c>
      <c r="G4722" s="220">
        <v>43540.0</v>
      </c>
    </row>
    <row r="4723">
      <c r="A4723" s="217">
        <v>43540.70734572917</v>
      </c>
      <c r="B4723" s="218" t="s">
        <v>5184</v>
      </c>
      <c r="C4723" s="218" t="s">
        <v>7806</v>
      </c>
      <c r="D4723" s="219">
        <v>1.0</v>
      </c>
      <c r="E4723" s="218">
        <v>600.0</v>
      </c>
      <c r="G4723" s="220">
        <v>43540.0</v>
      </c>
    </row>
    <row r="4724">
      <c r="A4724" s="217">
        <v>43540.70879125</v>
      </c>
      <c r="B4724" s="218" t="s">
        <v>5184</v>
      </c>
      <c r="C4724" s="218" t="s">
        <v>7800</v>
      </c>
      <c r="D4724" s="219">
        <v>1.0</v>
      </c>
      <c r="E4724" s="218">
        <v>300.0</v>
      </c>
      <c r="G4724" s="220">
        <v>43540.0</v>
      </c>
    </row>
    <row r="4725">
      <c r="A4725" s="217">
        <v>43540.70932511574</v>
      </c>
      <c r="B4725" s="218" t="s">
        <v>5184</v>
      </c>
      <c r="C4725" s="218" t="s">
        <v>6053</v>
      </c>
      <c r="D4725" s="219">
        <v>1.0</v>
      </c>
      <c r="E4725" s="218">
        <v>300.0</v>
      </c>
      <c r="G4725" s="220">
        <v>43540.0</v>
      </c>
    </row>
    <row r="4726">
      <c r="A4726" s="217">
        <v>43540.70992847222</v>
      </c>
      <c r="B4726" s="218" t="s">
        <v>5184</v>
      </c>
      <c r="C4726" s="218" t="s">
        <v>6053</v>
      </c>
      <c r="D4726" s="219">
        <v>1.0</v>
      </c>
      <c r="E4726" s="218">
        <v>300.0</v>
      </c>
      <c r="G4726" s="220">
        <v>43540.0</v>
      </c>
    </row>
    <row r="4727">
      <c r="A4727" s="217">
        <v>43540.710582858796</v>
      </c>
      <c r="B4727" s="218" t="s">
        <v>5184</v>
      </c>
      <c r="C4727" s="218" t="s">
        <v>5786</v>
      </c>
      <c r="D4727" s="219">
        <v>1.0</v>
      </c>
      <c r="E4727" s="218">
        <v>300.0</v>
      </c>
      <c r="G4727" s="220">
        <v>43540.0</v>
      </c>
    </row>
    <row r="4728">
      <c r="A4728" s="217">
        <v>43540.711345613425</v>
      </c>
      <c r="B4728" s="218" t="s">
        <v>5184</v>
      </c>
      <c r="C4728" s="218" t="s">
        <v>244</v>
      </c>
      <c r="D4728" s="219">
        <v>1.0</v>
      </c>
      <c r="E4728" s="218">
        <v>400.0</v>
      </c>
      <c r="G4728" s="220">
        <v>43540.0</v>
      </c>
    </row>
    <row r="4729">
      <c r="A4729" s="217">
        <v>43540.71208626157</v>
      </c>
      <c r="B4729" s="218" t="s">
        <v>5184</v>
      </c>
      <c r="C4729" s="218" t="s">
        <v>5848</v>
      </c>
      <c r="D4729" s="219">
        <v>1.0</v>
      </c>
      <c r="E4729" s="218">
        <v>1000.0</v>
      </c>
      <c r="G4729" s="220">
        <v>43540.0</v>
      </c>
    </row>
    <row r="4730">
      <c r="A4730" s="217">
        <v>43540.71258122685</v>
      </c>
      <c r="B4730" s="218" t="s">
        <v>5184</v>
      </c>
      <c r="C4730" s="218" t="s">
        <v>244</v>
      </c>
      <c r="D4730" s="219">
        <v>1.0</v>
      </c>
      <c r="E4730" s="218">
        <v>400.0</v>
      </c>
      <c r="G4730" s="220">
        <v>43540.0</v>
      </c>
    </row>
    <row r="4731">
      <c r="A4731" s="217">
        <v>43540.713499062505</v>
      </c>
      <c r="B4731" s="218" t="s">
        <v>5184</v>
      </c>
      <c r="C4731" s="218" t="s">
        <v>5786</v>
      </c>
      <c r="D4731" s="219">
        <v>1.0</v>
      </c>
      <c r="E4731" s="218">
        <v>300.0</v>
      </c>
      <c r="G4731" s="220">
        <v>43540.0</v>
      </c>
    </row>
    <row r="4732">
      <c r="A4732" s="217">
        <v>43540.7142371875</v>
      </c>
      <c r="B4732" s="218" t="s">
        <v>5184</v>
      </c>
      <c r="C4732" s="218" t="s">
        <v>7800</v>
      </c>
      <c r="D4732" s="219">
        <v>1.0</v>
      </c>
      <c r="E4732" s="218">
        <v>300.0</v>
      </c>
      <c r="G4732" s="220">
        <v>43540.0</v>
      </c>
    </row>
    <row r="4733">
      <c r="A4733" s="217">
        <v>43540.714847372685</v>
      </c>
      <c r="B4733" s="218" t="s">
        <v>5184</v>
      </c>
      <c r="C4733" s="218" t="s">
        <v>6053</v>
      </c>
      <c r="D4733" s="219">
        <v>1.0</v>
      </c>
      <c r="E4733" s="218">
        <v>300.0</v>
      </c>
      <c r="G4733" s="220">
        <v>43540.0</v>
      </c>
    </row>
    <row r="4734">
      <c r="A4734" s="217">
        <v>43540.71654480324</v>
      </c>
      <c r="B4734" s="218" t="s">
        <v>5184</v>
      </c>
      <c r="C4734" s="218" t="s">
        <v>284</v>
      </c>
      <c r="D4734" s="219">
        <v>1.0</v>
      </c>
      <c r="E4734" s="218">
        <v>400.0</v>
      </c>
      <c r="G4734" s="220">
        <v>43540.0</v>
      </c>
    </row>
    <row r="4735">
      <c r="A4735" s="217">
        <v>43540.71803907407</v>
      </c>
      <c r="B4735" s="218" t="s">
        <v>5184</v>
      </c>
      <c r="C4735" s="218" t="s">
        <v>6053</v>
      </c>
      <c r="D4735" s="219">
        <v>1.0</v>
      </c>
      <c r="E4735" s="218">
        <v>300.0</v>
      </c>
      <c r="G4735" s="220">
        <v>43540.0</v>
      </c>
    </row>
    <row r="4736">
      <c r="A4736" s="217">
        <v>43540.71943769676</v>
      </c>
      <c r="B4736" s="218" t="s">
        <v>5184</v>
      </c>
      <c r="C4736" s="218" t="s">
        <v>7800</v>
      </c>
      <c r="D4736" s="219">
        <v>1.0</v>
      </c>
      <c r="E4736" s="218">
        <v>300.0</v>
      </c>
      <c r="G4736" s="220">
        <v>43540.0</v>
      </c>
    </row>
    <row r="4737">
      <c r="A4737" s="217">
        <v>43540.719977835644</v>
      </c>
      <c r="B4737" s="218" t="s">
        <v>5184</v>
      </c>
      <c r="C4737" s="218" t="s">
        <v>6053</v>
      </c>
      <c r="D4737" s="219">
        <v>1.0</v>
      </c>
      <c r="E4737" s="218">
        <v>300.0</v>
      </c>
      <c r="G4737" s="220">
        <v>43540.0</v>
      </c>
    </row>
    <row r="4738">
      <c r="A4738" s="217">
        <v>43540.72070032408</v>
      </c>
      <c r="B4738" s="218" t="s">
        <v>5184</v>
      </c>
      <c r="C4738" s="218" t="s">
        <v>6053</v>
      </c>
      <c r="D4738" s="219" t="s">
        <v>7547</v>
      </c>
      <c r="E4738" s="218">
        <v>150.0</v>
      </c>
      <c r="G4738" s="220">
        <v>43540.0</v>
      </c>
    </row>
    <row r="4739">
      <c r="A4739" s="217">
        <v>43540.72133480324</v>
      </c>
      <c r="B4739" s="218" t="s">
        <v>5184</v>
      </c>
      <c r="C4739" s="218" t="s">
        <v>7408</v>
      </c>
      <c r="D4739" s="219">
        <v>1.0</v>
      </c>
      <c r="E4739" s="218">
        <v>400.0</v>
      </c>
      <c r="G4739" s="220">
        <v>43540.0</v>
      </c>
    </row>
    <row r="4740">
      <c r="A4740" s="217">
        <v>43540.72220480324</v>
      </c>
      <c r="B4740" s="218" t="s">
        <v>5184</v>
      </c>
      <c r="C4740" s="218" t="s">
        <v>6053</v>
      </c>
      <c r="D4740" s="219">
        <v>1.0</v>
      </c>
      <c r="E4740" s="218">
        <v>300.0</v>
      </c>
      <c r="G4740" s="220">
        <v>43540.0</v>
      </c>
    </row>
    <row r="4741">
      <c r="A4741" s="217">
        <v>43540.72308609953</v>
      </c>
      <c r="B4741" s="218" t="s">
        <v>5184</v>
      </c>
      <c r="C4741" s="218" t="s">
        <v>7800</v>
      </c>
      <c r="D4741" s="219">
        <v>1.0</v>
      </c>
      <c r="E4741" s="218">
        <v>300.0</v>
      </c>
      <c r="G4741" s="220">
        <v>43540.0</v>
      </c>
    </row>
    <row r="4742">
      <c r="A4742" s="217">
        <v>43540.72676503472</v>
      </c>
      <c r="B4742" s="218" t="s">
        <v>5184</v>
      </c>
      <c r="C4742" s="218" t="s">
        <v>6053</v>
      </c>
      <c r="D4742" s="219">
        <v>1.0</v>
      </c>
      <c r="E4742" s="218">
        <v>300.0</v>
      </c>
      <c r="G4742" s="220">
        <v>43540.0</v>
      </c>
    </row>
    <row r="4743">
      <c r="A4743" s="217">
        <v>43540.73104747685</v>
      </c>
      <c r="B4743" s="218" t="s">
        <v>5184</v>
      </c>
      <c r="C4743" s="218" t="s">
        <v>7800</v>
      </c>
      <c r="D4743" s="219">
        <v>1.0</v>
      </c>
      <c r="E4743" s="218">
        <v>300.0</v>
      </c>
      <c r="G4743" s="220">
        <v>43540.0</v>
      </c>
    </row>
    <row r="4744">
      <c r="A4744" s="217">
        <v>43540.73155275463</v>
      </c>
      <c r="B4744" s="218" t="s">
        <v>5184</v>
      </c>
      <c r="C4744" s="218" t="s">
        <v>6053</v>
      </c>
      <c r="D4744" s="219">
        <v>1.0</v>
      </c>
      <c r="E4744" s="218">
        <v>300.0</v>
      </c>
      <c r="G4744" s="220">
        <v>43540.0</v>
      </c>
    </row>
    <row r="4745">
      <c r="A4745" s="217">
        <v>43540.756805613426</v>
      </c>
      <c r="B4745" s="218" t="s">
        <v>5092</v>
      </c>
      <c r="C4745" s="218" t="s">
        <v>8228</v>
      </c>
      <c r="D4745" s="219">
        <v>1.0</v>
      </c>
      <c r="E4745" s="218">
        <v>1180.0</v>
      </c>
      <c r="G4745" s="220">
        <v>43540.0</v>
      </c>
    </row>
    <row r="4746">
      <c r="A4746" s="217">
        <v>43541.73745947916</v>
      </c>
      <c r="B4746" s="218" t="s">
        <v>5184</v>
      </c>
      <c r="C4746" s="218" t="s">
        <v>5789</v>
      </c>
      <c r="D4746" s="219">
        <v>1.0</v>
      </c>
      <c r="E4746" s="218">
        <v>400.0</v>
      </c>
      <c r="G4746" s="220">
        <v>43541.0</v>
      </c>
    </row>
    <row r="4747">
      <c r="A4747" s="217">
        <v>43541.7379994213</v>
      </c>
      <c r="B4747" s="218" t="s">
        <v>5184</v>
      </c>
      <c r="C4747" s="218" t="s">
        <v>284</v>
      </c>
      <c r="D4747" s="219">
        <v>1.0</v>
      </c>
      <c r="E4747" s="218">
        <v>400.0</v>
      </c>
      <c r="G4747" s="220">
        <v>43541.0</v>
      </c>
    </row>
    <row r="4748">
      <c r="A4748" s="217">
        <v>43541.73951157407</v>
      </c>
      <c r="B4748" s="218" t="s">
        <v>5184</v>
      </c>
      <c r="C4748" s="218" t="s">
        <v>7800</v>
      </c>
      <c r="D4748" s="219">
        <v>1.0</v>
      </c>
      <c r="E4748" s="218">
        <v>300.0</v>
      </c>
      <c r="G4748" s="220">
        <v>43541.0</v>
      </c>
    </row>
    <row r="4749">
      <c r="A4749" s="217">
        <v>43541.740501493055</v>
      </c>
      <c r="B4749" s="218" t="s">
        <v>5184</v>
      </c>
      <c r="C4749" s="218" t="s">
        <v>7754</v>
      </c>
      <c r="D4749" s="219">
        <v>1.0</v>
      </c>
      <c r="E4749" s="218">
        <v>600.0</v>
      </c>
      <c r="G4749" s="220">
        <v>43541.0</v>
      </c>
    </row>
    <row r="4750">
      <c r="A4750" s="217">
        <v>43542.48903211806</v>
      </c>
      <c r="B4750" s="218" t="s">
        <v>5184</v>
      </c>
      <c r="C4750" s="218" t="s">
        <v>7800</v>
      </c>
      <c r="D4750" s="219">
        <v>1.0</v>
      </c>
      <c r="E4750" s="218">
        <v>200.0</v>
      </c>
      <c r="G4750" s="220">
        <v>43541.0</v>
      </c>
    </row>
    <row r="4751">
      <c r="A4751" s="217">
        <v>43542.49002932871</v>
      </c>
      <c r="B4751" s="218" t="s">
        <v>5184</v>
      </c>
      <c r="C4751" s="218" t="s">
        <v>6053</v>
      </c>
      <c r="D4751" s="219">
        <v>1.0</v>
      </c>
      <c r="E4751" s="218">
        <v>300.0</v>
      </c>
      <c r="G4751" s="220">
        <v>43542.0</v>
      </c>
    </row>
    <row r="4752">
      <c r="A4752" s="217">
        <v>43542.491348275464</v>
      </c>
      <c r="B4752" s="218" t="s">
        <v>5184</v>
      </c>
      <c r="C4752" s="218" t="s">
        <v>5786</v>
      </c>
      <c r="D4752" s="219">
        <v>1.0</v>
      </c>
      <c r="E4752" s="218">
        <v>300.0</v>
      </c>
      <c r="G4752" s="220">
        <v>43542.0</v>
      </c>
    </row>
    <row r="4753">
      <c r="A4753" s="217">
        <v>43542.49196128472</v>
      </c>
      <c r="B4753" s="218" t="s">
        <v>5184</v>
      </c>
      <c r="C4753" s="218" t="s">
        <v>7806</v>
      </c>
      <c r="D4753" s="219">
        <v>1.0</v>
      </c>
      <c r="E4753" s="218">
        <v>600.0</v>
      </c>
      <c r="G4753" s="220">
        <v>43542.0</v>
      </c>
    </row>
    <row r="4754">
      <c r="A4754" s="217">
        <v>43542.497965138886</v>
      </c>
      <c r="B4754" s="218" t="s">
        <v>5184</v>
      </c>
      <c r="C4754" s="218" t="s">
        <v>6053</v>
      </c>
      <c r="D4754" s="219">
        <v>1.0</v>
      </c>
      <c r="E4754" s="218">
        <v>300.0</v>
      </c>
      <c r="G4754" s="220">
        <v>43542.0</v>
      </c>
    </row>
    <row r="4755">
      <c r="A4755" s="217">
        <v>43542.68244497685</v>
      </c>
      <c r="B4755" s="218" t="s">
        <v>5184</v>
      </c>
      <c r="C4755" s="218" t="s">
        <v>5786</v>
      </c>
      <c r="D4755" s="219">
        <v>1.0</v>
      </c>
      <c r="E4755" s="218">
        <v>300.0</v>
      </c>
      <c r="G4755" s="220">
        <v>43542.0</v>
      </c>
    </row>
    <row r="4756">
      <c r="A4756" s="217">
        <v>43542.682940416664</v>
      </c>
      <c r="B4756" s="218" t="s">
        <v>5184</v>
      </c>
      <c r="C4756" s="218" t="s">
        <v>6053</v>
      </c>
      <c r="D4756" s="219">
        <v>1.0</v>
      </c>
      <c r="E4756" s="218">
        <v>300.0</v>
      </c>
      <c r="G4756" s="220">
        <v>43542.0</v>
      </c>
    </row>
    <row r="4757">
      <c r="A4757" s="217">
        <v>43542.68364552083</v>
      </c>
      <c r="B4757" s="218" t="s">
        <v>5184</v>
      </c>
      <c r="C4757" s="218" t="s">
        <v>7496</v>
      </c>
      <c r="D4757" s="219">
        <v>1.0</v>
      </c>
      <c r="E4757" s="218">
        <v>300.0</v>
      </c>
      <c r="G4757" s="220">
        <v>43542.0</v>
      </c>
    </row>
    <row r="4758">
      <c r="A4758" s="217">
        <v>43542.684557256944</v>
      </c>
      <c r="B4758" s="218" t="s">
        <v>5184</v>
      </c>
      <c r="C4758" s="218" t="s">
        <v>7806</v>
      </c>
      <c r="D4758" s="219">
        <v>1.0</v>
      </c>
      <c r="E4758" s="218">
        <v>600.0</v>
      </c>
      <c r="G4758" s="220">
        <v>43542.0</v>
      </c>
    </row>
    <row r="4759">
      <c r="A4759" s="217">
        <v>43542.68706844907</v>
      </c>
      <c r="B4759" s="218" t="s">
        <v>5184</v>
      </c>
      <c r="C4759" s="218" t="s">
        <v>5786</v>
      </c>
      <c r="D4759" s="219">
        <v>1.0</v>
      </c>
      <c r="E4759" s="218">
        <v>300.0</v>
      </c>
      <c r="G4759" s="220">
        <v>43542.0</v>
      </c>
    </row>
    <row r="4760">
      <c r="A4760" s="217">
        <v>43542.688227499995</v>
      </c>
      <c r="B4760" s="218" t="s">
        <v>5184</v>
      </c>
      <c r="C4760" s="218" t="s">
        <v>7754</v>
      </c>
      <c r="D4760" s="219">
        <v>1.0</v>
      </c>
      <c r="E4760" s="218">
        <v>1000.0</v>
      </c>
      <c r="G4760" s="220">
        <v>43542.0</v>
      </c>
    </row>
    <row r="4761">
      <c r="A4761" s="217">
        <v>43542.688859016205</v>
      </c>
      <c r="B4761" s="218" t="s">
        <v>5184</v>
      </c>
      <c r="C4761" s="218" t="s">
        <v>7800</v>
      </c>
      <c r="D4761" s="219">
        <v>1.0</v>
      </c>
      <c r="E4761" s="218">
        <v>200.0</v>
      </c>
      <c r="G4761" s="220">
        <v>43542.0</v>
      </c>
    </row>
    <row r="4762">
      <c r="A4762" s="217">
        <v>43542.689457870365</v>
      </c>
      <c r="B4762" s="218" t="s">
        <v>5184</v>
      </c>
      <c r="C4762" s="218" t="s">
        <v>845</v>
      </c>
      <c r="D4762" s="219">
        <v>1.0</v>
      </c>
      <c r="E4762" s="218">
        <v>400.0</v>
      </c>
      <c r="G4762" s="220">
        <v>43542.0</v>
      </c>
    </row>
    <row r="4763">
      <c r="A4763" s="217">
        <v>43543.45688237269</v>
      </c>
      <c r="B4763" s="218" t="s">
        <v>5184</v>
      </c>
      <c r="C4763" s="218" t="s">
        <v>6657</v>
      </c>
      <c r="D4763" s="219">
        <v>1.0</v>
      </c>
      <c r="E4763" s="218">
        <v>5990.0</v>
      </c>
      <c r="G4763" s="220">
        <v>43543.0</v>
      </c>
    </row>
    <row r="4764">
      <c r="A4764" s="217">
        <v>43543.458517453706</v>
      </c>
      <c r="B4764" s="218" t="s">
        <v>5184</v>
      </c>
      <c r="C4764" s="218" t="s">
        <v>8240</v>
      </c>
      <c r="D4764" s="219">
        <v>1.0</v>
      </c>
      <c r="E4764" s="218">
        <v>2250.0</v>
      </c>
      <c r="G4764" s="220">
        <v>43543.0</v>
      </c>
    </row>
    <row r="4765">
      <c r="A4765" s="217">
        <v>43543.4595930787</v>
      </c>
      <c r="B4765" s="218" t="s">
        <v>5184</v>
      </c>
      <c r="C4765" s="218" t="s">
        <v>6309</v>
      </c>
      <c r="D4765" s="219">
        <v>1.0</v>
      </c>
      <c r="E4765" s="218">
        <v>6885.0</v>
      </c>
      <c r="G4765" s="220">
        <v>43543.0</v>
      </c>
    </row>
    <row r="4766">
      <c r="A4766" s="217">
        <v>43543.46057991898</v>
      </c>
      <c r="B4766" s="218" t="s">
        <v>5184</v>
      </c>
      <c r="C4766" s="218" t="s">
        <v>5316</v>
      </c>
      <c r="D4766" s="219">
        <v>1.0</v>
      </c>
      <c r="E4766" s="218">
        <v>7500.0</v>
      </c>
      <c r="G4766" s="220">
        <v>43543.0</v>
      </c>
    </row>
    <row r="4767">
      <c r="A4767" s="217">
        <v>43543.46247159722</v>
      </c>
      <c r="B4767" s="218" t="s">
        <v>5184</v>
      </c>
      <c r="C4767" s="218" t="s">
        <v>5315</v>
      </c>
      <c r="D4767" s="219">
        <v>1.0</v>
      </c>
      <c r="E4767" s="218">
        <v>6885.0</v>
      </c>
      <c r="G4767" s="220">
        <v>43543.0</v>
      </c>
    </row>
    <row r="4768">
      <c r="A4768" s="217">
        <v>43543.46375800926</v>
      </c>
      <c r="B4768" s="218" t="s">
        <v>5184</v>
      </c>
      <c r="C4768" s="218" t="s">
        <v>6312</v>
      </c>
      <c r="D4768" s="219">
        <v>1.0</v>
      </c>
      <c r="E4768" s="218">
        <v>6885.0</v>
      </c>
      <c r="G4768" s="220">
        <v>43543.0</v>
      </c>
    </row>
    <row r="4769">
      <c r="A4769" s="217">
        <v>43543.46671127315</v>
      </c>
      <c r="B4769" s="218" t="s">
        <v>5184</v>
      </c>
      <c r="C4769" s="218" t="s">
        <v>6567</v>
      </c>
      <c r="D4769" s="219">
        <v>1.0</v>
      </c>
      <c r="E4769" s="218">
        <v>7400.0</v>
      </c>
      <c r="G4769" s="220">
        <v>43543.0</v>
      </c>
    </row>
    <row r="4770">
      <c r="A4770" s="217">
        <v>43543.46794825231</v>
      </c>
      <c r="B4770" s="218" t="s">
        <v>5184</v>
      </c>
      <c r="C4770" s="218" t="s">
        <v>5346</v>
      </c>
      <c r="D4770" s="219">
        <v>1.0</v>
      </c>
      <c r="E4770" s="218">
        <v>8415.0</v>
      </c>
      <c r="G4770" s="220">
        <v>43543.0</v>
      </c>
    </row>
    <row r="4771">
      <c r="A4771" s="217">
        <v>43543.46919938657</v>
      </c>
      <c r="B4771" s="218" t="s">
        <v>5184</v>
      </c>
      <c r="C4771" s="218" t="s">
        <v>6564</v>
      </c>
      <c r="D4771" s="219">
        <v>1.0</v>
      </c>
      <c r="E4771" s="218">
        <v>6685.0</v>
      </c>
      <c r="G4771" s="220">
        <v>43543.0</v>
      </c>
    </row>
    <row r="4772">
      <c r="A4772" s="217">
        <v>43543.47121719907</v>
      </c>
      <c r="B4772" s="218" t="s">
        <v>5184</v>
      </c>
      <c r="C4772" s="218" t="s">
        <v>4665</v>
      </c>
      <c r="D4772" s="219">
        <v>1.0</v>
      </c>
      <c r="E4772" s="218">
        <v>895.0</v>
      </c>
      <c r="G4772" s="220">
        <v>43543.0</v>
      </c>
    </row>
    <row r="4773">
      <c r="A4773" s="217">
        <v>43543.746015613426</v>
      </c>
      <c r="B4773" s="218" t="s">
        <v>5184</v>
      </c>
      <c r="C4773" s="218" t="s">
        <v>7800</v>
      </c>
      <c r="D4773" s="219">
        <v>1.0</v>
      </c>
      <c r="E4773" s="218">
        <v>200.0</v>
      </c>
      <c r="G4773" s="220">
        <v>43543.0</v>
      </c>
    </row>
    <row r="4774">
      <c r="A4774" s="217">
        <v>43543.746567002316</v>
      </c>
      <c r="B4774" s="218" t="s">
        <v>5184</v>
      </c>
      <c r="C4774" s="218" t="s">
        <v>6053</v>
      </c>
      <c r="D4774" s="219">
        <v>1.0</v>
      </c>
      <c r="E4774" s="218">
        <v>300.0</v>
      </c>
      <c r="G4774" s="220">
        <v>43543.0</v>
      </c>
    </row>
    <row r="4775">
      <c r="A4775" s="217">
        <v>43543.74708915509</v>
      </c>
      <c r="B4775" s="218" t="s">
        <v>5184</v>
      </c>
      <c r="C4775" s="218" t="s">
        <v>6053</v>
      </c>
      <c r="D4775" s="219">
        <v>1.0</v>
      </c>
      <c r="E4775" s="218">
        <v>300.0</v>
      </c>
      <c r="G4775" s="220">
        <v>43543.0</v>
      </c>
    </row>
    <row r="4776">
      <c r="A4776" s="217">
        <v>43543.74774190973</v>
      </c>
      <c r="B4776" s="218" t="s">
        <v>5184</v>
      </c>
      <c r="C4776" s="218" t="s">
        <v>5786</v>
      </c>
      <c r="D4776" s="219">
        <v>1.0</v>
      </c>
      <c r="E4776" s="218">
        <v>300.0</v>
      </c>
      <c r="G4776" s="220">
        <v>43543.0</v>
      </c>
    </row>
    <row r="4777">
      <c r="A4777" s="217">
        <v>43543.74843262731</v>
      </c>
      <c r="B4777" s="218" t="s">
        <v>5184</v>
      </c>
      <c r="C4777" s="218" t="s">
        <v>6053</v>
      </c>
      <c r="D4777" s="219">
        <v>1.0</v>
      </c>
      <c r="E4777" s="218">
        <v>300.0</v>
      </c>
      <c r="G4777" s="220">
        <v>43543.0</v>
      </c>
    </row>
    <row r="4778">
      <c r="A4778" s="217">
        <v>43543.74932939815</v>
      </c>
      <c r="B4778" s="218" t="s">
        <v>5184</v>
      </c>
      <c r="C4778" s="218" t="s">
        <v>244</v>
      </c>
      <c r="D4778" s="219">
        <v>1.0</v>
      </c>
      <c r="E4778" s="218">
        <v>400.0</v>
      </c>
      <c r="G4778" s="220">
        <v>43543.0</v>
      </c>
    </row>
    <row r="4779">
      <c r="A4779" s="217">
        <v>43543.75033494213</v>
      </c>
      <c r="B4779" s="218" t="s">
        <v>5184</v>
      </c>
      <c r="C4779" s="218" t="s">
        <v>6053</v>
      </c>
      <c r="D4779" s="219">
        <v>1.0</v>
      </c>
      <c r="E4779" s="218">
        <v>300.0</v>
      </c>
      <c r="G4779" s="220">
        <v>43543.0</v>
      </c>
    </row>
    <row r="4780">
      <c r="A4780" s="217">
        <v>43543.75097790509</v>
      </c>
      <c r="B4780" s="218" t="s">
        <v>5184</v>
      </c>
      <c r="C4780" s="218" t="s">
        <v>6001</v>
      </c>
      <c r="D4780" s="219">
        <v>1.0</v>
      </c>
      <c r="E4780" s="218">
        <v>500.0</v>
      </c>
      <c r="G4780" s="220">
        <v>43543.0</v>
      </c>
    </row>
    <row r="4781">
      <c r="A4781" s="217">
        <v>43543.75280739584</v>
      </c>
      <c r="B4781" s="218" t="s">
        <v>5184</v>
      </c>
      <c r="C4781" s="218" t="s">
        <v>7800</v>
      </c>
      <c r="D4781" s="219">
        <v>1.0</v>
      </c>
      <c r="E4781" s="218">
        <v>200.0</v>
      </c>
      <c r="G4781" s="220">
        <v>43543.0</v>
      </c>
    </row>
    <row r="4782">
      <c r="A4782" s="217">
        <v>43543.75350261574</v>
      </c>
      <c r="B4782" s="218" t="s">
        <v>5184</v>
      </c>
      <c r="C4782" s="218" t="s">
        <v>6053</v>
      </c>
      <c r="D4782" s="219">
        <v>1.0</v>
      </c>
      <c r="E4782" s="218">
        <v>300.0</v>
      </c>
      <c r="G4782" s="220">
        <v>43543.0</v>
      </c>
    </row>
    <row r="4783">
      <c r="A4783" s="217">
        <v>43543.75490940972</v>
      </c>
      <c r="B4783" s="218" t="s">
        <v>5184</v>
      </c>
      <c r="C4783" s="218" t="s">
        <v>7800</v>
      </c>
      <c r="D4783" s="219">
        <v>1.0</v>
      </c>
      <c r="E4783" s="218">
        <v>200.0</v>
      </c>
      <c r="G4783" s="220">
        <v>43543.0</v>
      </c>
    </row>
    <row r="4784">
      <c r="A4784" s="217">
        <v>43543.75580554398</v>
      </c>
      <c r="B4784" s="218" t="s">
        <v>5184</v>
      </c>
      <c r="C4784" s="218" t="s">
        <v>284</v>
      </c>
      <c r="D4784" s="219">
        <v>1.0</v>
      </c>
      <c r="E4784" s="218">
        <v>400.0</v>
      </c>
      <c r="G4784" s="220">
        <v>43543.0</v>
      </c>
    </row>
    <row r="4785">
      <c r="A4785" s="217">
        <v>43543.763056261574</v>
      </c>
      <c r="B4785" s="218" t="s">
        <v>5184</v>
      </c>
      <c r="C4785" s="218" t="s">
        <v>6053</v>
      </c>
      <c r="D4785" s="219" t="s">
        <v>7547</v>
      </c>
      <c r="E4785" s="218">
        <v>150.0</v>
      </c>
      <c r="G4785" s="220">
        <v>43543.0</v>
      </c>
    </row>
    <row r="4786">
      <c r="A4786" s="217">
        <v>43544.59140972223</v>
      </c>
      <c r="B4786" s="218" t="s">
        <v>5092</v>
      </c>
      <c r="C4786" s="218" t="s">
        <v>7806</v>
      </c>
      <c r="D4786" s="219">
        <v>1.0</v>
      </c>
      <c r="E4786" s="218">
        <v>700.0</v>
      </c>
      <c r="G4786" s="220">
        <v>43542.0</v>
      </c>
    </row>
    <row r="4787">
      <c r="A4787" s="217">
        <v>43544.594055995374</v>
      </c>
      <c r="B4787" s="218" t="s">
        <v>5184</v>
      </c>
      <c r="C4787" s="218" t="s">
        <v>7800</v>
      </c>
      <c r="D4787" s="219">
        <v>1.0</v>
      </c>
      <c r="E4787" s="218">
        <v>200.0</v>
      </c>
      <c r="G4787" s="220">
        <v>43544.0</v>
      </c>
    </row>
    <row r="4788">
      <c r="A4788" s="217">
        <v>43544.59467697916</v>
      </c>
      <c r="B4788" s="218" t="s">
        <v>5184</v>
      </c>
      <c r="C4788" s="218" t="s">
        <v>6053</v>
      </c>
      <c r="D4788" s="219">
        <v>1.0</v>
      </c>
      <c r="E4788" s="218">
        <v>300.0</v>
      </c>
      <c r="G4788" s="220">
        <v>43544.0</v>
      </c>
    </row>
    <row r="4789">
      <c r="A4789" s="217">
        <v>43544.595486307866</v>
      </c>
      <c r="B4789" s="218" t="s">
        <v>5184</v>
      </c>
      <c r="C4789" s="218" t="s">
        <v>5786</v>
      </c>
      <c r="D4789" s="219">
        <v>1.0</v>
      </c>
      <c r="E4789" s="218">
        <v>300.0</v>
      </c>
      <c r="G4789" s="220">
        <v>43544.0</v>
      </c>
    </row>
    <row r="4790">
      <c r="A4790" s="217">
        <v>43544.596752881946</v>
      </c>
      <c r="B4790" s="218" t="s">
        <v>5184</v>
      </c>
      <c r="C4790" s="218" t="s">
        <v>8100</v>
      </c>
      <c r="D4790" s="219">
        <v>1.0</v>
      </c>
      <c r="E4790" s="218">
        <v>1000.0</v>
      </c>
      <c r="G4790" s="220">
        <v>43544.0</v>
      </c>
    </row>
    <row r="4791">
      <c r="A4791" s="217">
        <v>43544.59793881944</v>
      </c>
      <c r="B4791" s="218" t="s">
        <v>5184</v>
      </c>
      <c r="C4791" s="218" t="s">
        <v>7496</v>
      </c>
      <c r="D4791" s="219">
        <v>1.0</v>
      </c>
      <c r="E4791" s="218">
        <v>250.0</v>
      </c>
      <c r="G4791" s="220">
        <v>43544.0</v>
      </c>
    </row>
    <row r="4792">
      <c r="A4792" s="217">
        <v>43545.65736648148</v>
      </c>
      <c r="B4792" s="218" t="s">
        <v>5184</v>
      </c>
      <c r="C4792" s="218" t="s">
        <v>6001</v>
      </c>
      <c r="D4792" s="219">
        <v>1.0</v>
      </c>
      <c r="E4792" s="218">
        <v>500.0</v>
      </c>
      <c r="G4792" s="220">
        <v>43544.0</v>
      </c>
    </row>
    <row r="4793">
      <c r="A4793" s="217">
        <v>43545.66065856481</v>
      </c>
      <c r="B4793" s="218" t="s">
        <v>5184</v>
      </c>
      <c r="C4793" s="218" t="s">
        <v>244</v>
      </c>
      <c r="D4793" s="219">
        <v>1.0</v>
      </c>
      <c r="E4793" s="218">
        <v>400.0</v>
      </c>
      <c r="G4793" s="220">
        <v>43544.0</v>
      </c>
    </row>
    <row r="4794">
      <c r="A4794" s="217">
        <v>43545.66184320602</v>
      </c>
      <c r="B4794" s="218" t="s">
        <v>5184</v>
      </c>
      <c r="C4794" s="218" t="s">
        <v>5789</v>
      </c>
      <c r="D4794" s="219">
        <v>1.0</v>
      </c>
      <c r="E4794" s="218">
        <v>400.0</v>
      </c>
      <c r="G4794" s="220">
        <v>43545.0</v>
      </c>
    </row>
    <row r="4795">
      <c r="A4795" s="217">
        <v>43545.662978368055</v>
      </c>
      <c r="B4795" s="218" t="s">
        <v>5184</v>
      </c>
      <c r="C4795" s="218" t="s">
        <v>284</v>
      </c>
      <c r="D4795" s="219">
        <v>1.0</v>
      </c>
      <c r="E4795" s="218">
        <v>400.0</v>
      </c>
      <c r="G4795" s="220">
        <v>43545.0</v>
      </c>
    </row>
    <row r="4796">
      <c r="A4796" s="217">
        <v>43545.664190254625</v>
      </c>
      <c r="B4796" s="218" t="s">
        <v>5184</v>
      </c>
      <c r="C4796" s="218" t="s">
        <v>7526</v>
      </c>
      <c r="D4796" s="219">
        <v>1.0</v>
      </c>
      <c r="E4796" s="218">
        <v>1000.0</v>
      </c>
      <c r="G4796" s="220">
        <v>43545.0</v>
      </c>
    </row>
    <row r="4797">
      <c r="A4797" s="217">
        <v>43545.66527814815</v>
      </c>
      <c r="B4797" s="218" t="s">
        <v>5184</v>
      </c>
      <c r="C4797" s="218" t="s">
        <v>7800</v>
      </c>
      <c r="D4797" s="219">
        <v>1.0</v>
      </c>
      <c r="E4797" s="218">
        <v>150.0</v>
      </c>
      <c r="G4797" s="220">
        <v>43545.0</v>
      </c>
    </row>
    <row r="4798">
      <c r="A4798" s="217">
        <v>43545.665880706016</v>
      </c>
      <c r="B4798" s="218" t="s">
        <v>5184</v>
      </c>
      <c r="C4798" s="218" t="s">
        <v>6053</v>
      </c>
      <c r="D4798" s="219">
        <v>1.0</v>
      </c>
      <c r="E4798" s="218">
        <v>300.0</v>
      </c>
      <c r="G4798" s="220">
        <v>43545.0</v>
      </c>
    </row>
    <row r="4799">
      <c r="A4799" s="217">
        <v>43545.6672624537</v>
      </c>
      <c r="B4799" s="218" t="s">
        <v>5184</v>
      </c>
      <c r="C4799" s="218" t="s">
        <v>7800</v>
      </c>
      <c r="D4799" s="219">
        <v>1.0</v>
      </c>
      <c r="E4799" s="218">
        <v>200.0</v>
      </c>
      <c r="G4799" s="220">
        <v>43545.0</v>
      </c>
    </row>
    <row r="4800">
      <c r="A4800" s="217">
        <v>43545.66787916666</v>
      </c>
      <c r="B4800" s="218" t="s">
        <v>5184</v>
      </c>
      <c r="C4800" s="218" t="s">
        <v>6053</v>
      </c>
      <c r="D4800" s="219">
        <v>1.0</v>
      </c>
      <c r="E4800" s="218">
        <v>400.0</v>
      </c>
      <c r="G4800" s="220">
        <v>43545.0</v>
      </c>
    </row>
    <row r="4801">
      <c r="A4801" s="217">
        <v>43546.57536849537</v>
      </c>
      <c r="B4801" s="218" t="s">
        <v>5184</v>
      </c>
      <c r="C4801" s="218" t="s">
        <v>5789</v>
      </c>
      <c r="D4801" s="219">
        <v>1.0</v>
      </c>
      <c r="E4801" s="218">
        <v>400.0</v>
      </c>
      <c r="G4801" s="220">
        <v>43546.0</v>
      </c>
    </row>
    <row r="4802">
      <c r="A4802" s="217">
        <v>43546.57777334491</v>
      </c>
      <c r="B4802" s="218" t="s">
        <v>5184</v>
      </c>
      <c r="C4802" s="218" t="s">
        <v>6053</v>
      </c>
      <c r="D4802" s="219">
        <v>1.0</v>
      </c>
      <c r="E4802" s="218">
        <v>300.0</v>
      </c>
      <c r="G4802" s="220">
        <v>43546.0</v>
      </c>
    </row>
    <row r="4803">
      <c r="A4803" s="217">
        <v>43546.578464108796</v>
      </c>
      <c r="B4803" s="218" t="s">
        <v>5184</v>
      </c>
      <c r="C4803" s="218" t="s">
        <v>7800</v>
      </c>
      <c r="D4803" s="219">
        <v>1.0</v>
      </c>
      <c r="E4803" s="218">
        <v>200.0</v>
      </c>
      <c r="G4803" s="220">
        <v>43546.0</v>
      </c>
    </row>
    <row r="4804">
      <c r="A4804" s="217">
        <v>43546.579002557875</v>
      </c>
      <c r="B4804" s="218" t="s">
        <v>5184</v>
      </c>
      <c r="C4804" s="218" t="s">
        <v>6053</v>
      </c>
      <c r="D4804" s="219">
        <v>1.0</v>
      </c>
      <c r="E4804" s="218">
        <v>300.0</v>
      </c>
      <c r="G4804" s="220">
        <v>43546.0</v>
      </c>
    </row>
    <row r="4805">
      <c r="A4805" s="217">
        <v>43546.633891261576</v>
      </c>
      <c r="B4805" s="218" t="s">
        <v>5184</v>
      </c>
      <c r="C4805" s="218" t="s">
        <v>7800</v>
      </c>
      <c r="D4805" s="219">
        <v>1.0</v>
      </c>
      <c r="E4805" s="218">
        <v>200.0</v>
      </c>
      <c r="G4805" s="220">
        <v>43541.0</v>
      </c>
    </row>
    <row r="4806">
      <c r="A4806" s="217">
        <v>43546.634548726855</v>
      </c>
      <c r="B4806" s="218" t="s">
        <v>5184</v>
      </c>
      <c r="C4806" s="218" t="s">
        <v>6053</v>
      </c>
      <c r="D4806" s="219">
        <v>1.0</v>
      </c>
      <c r="E4806" s="218">
        <v>300.0</v>
      </c>
      <c r="G4806" s="220">
        <v>43541.0</v>
      </c>
    </row>
    <row r="4807">
      <c r="A4807" s="217">
        <v>43546.63617131945</v>
      </c>
      <c r="B4807" s="218" t="s">
        <v>5184</v>
      </c>
      <c r="C4807" s="218" t="s">
        <v>244</v>
      </c>
      <c r="D4807" s="219">
        <v>1.0</v>
      </c>
      <c r="E4807" s="218">
        <v>400.0</v>
      </c>
      <c r="G4807" s="220">
        <v>43543.0</v>
      </c>
    </row>
    <row r="4808">
      <c r="A4808" s="217">
        <v>43546.63741413194</v>
      </c>
      <c r="B4808" s="218" t="s">
        <v>5184</v>
      </c>
      <c r="C4808" s="218" t="s">
        <v>6053</v>
      </c>
      <c r="D4808" s="219">
        <v>1.0</v>
      </c>
      <c r="E4808" s="218">
        <v>300.0</v>
      </c>
      <c r="G4808" s="220">
        <v>43543.0</v>
      </c>
    </row>
    <row r="4809">
      <c r="A4809" s="217">
        <v>43546.72630517361</v>
      </c>
      <c r="B4809" s="218" t="s">
        <v>5184</v>
      </c>
      <c r="C4809" s="218" t="s">
        <v>6053</v>
      </c>
      <c r="D4809" s="219">
        <v>1.0</v>
      </c>
      <c r="E4809" s="218">
        <v>300.0</v>
      </c>
      <c r="G4809" s="220">
        <v>43546.0</v>
      </c>
    </row>
    <row r="4810">
      <c r="A4810" s="217">
        <v>43547.44349091435</v>
      </c>
      <c r="B4810" s="218" t="s">
        <v>5184</v>
      </c>
      <c r="C4810" s="218" t="s">
        <v>6053</v>
      </c>
      <c r="D4810" s="219">
        <v>1.0</v>
      </c>
      <c r="E4810" s="218">
        <v>300.0</v>
      </c>
      <c r="G4810" s="220">
        <v>43547.0</v>
      </c>
    </row>
    <row r="4811">
      <c r="A4811" s="217">
        <v>43547.444104849536</v>
      </c>
      <c r="B4811" s="218" t="s">
        <v>5184</v>
      </c>
      <c r="C4811" s="218" t="s">
        <v>6053</v>
      </c>
      <c r="D4811" s="219">
        <v>1.0</v>
      </c>
      <c r="E4811" s="218">
        <v>300.0</v>
      </c>
      <c r="G4811" s="220">
        <v>43547.0</v>
      </c>
    </row>
    <row r="4812">
      <c r="A4812" s="217">
        <v>43547.444651770835</v>
      </c>
      <c r="B4812" s="218" t="s">
        <v>5184</v>
      </c>
      <c r="C4812" s="218" t="s">
        <v>5786</v>
      </c>
      <c r="D4812" s="219">
        <v>1.0</v>
      </c>
      <c r="E4812" s="218">
        <v>300.0</v>
      </c>
      <c r="G4812" s="220">
        <v>43547.0</v>
      </c>
    </row>
    <row r="4813">
      <c r="A4813" s="217">
        <v>43547.44911627314</v>
      </c>
      <c r="B4813" s="218" t="s">
        <v>5184</v>
      </c>
      <c r="C4813" s="218" t="s">
        <v>7754</v>
      </c>
      <c r="D4813" s="219">
        <v>1.0</v>
      </c>
      <c r="E4813" s="218">
        <v>600.0</v>
      </c>
      <c r="G4813" s="220">
        <v>43547.0</v>
      </c>
    </row>
    <row r="4814">
      <c r="A4814" s="217">
        <v>43547.60175678241</v>
      </c>
      <c r="B4814" s="218" t="s">
        <v>5184</v>
      </c>
      <c r="C4814" s="218" t="s">
        <v>1235</v>
      </c>
      <c r="D4814" s="219">
        <v>1.0</v>
      </c>
      <c r="E4814" s="218">
        <v>650.0</v>
      </c>
      <c r="G4814" s="220">
        <v>43546.0</v>
      </c>
    </row>
    <row r="4815">
      <c r="A4815" s="217">
        <v>43547.602233495374</v>
      </c>
      <c r="B4815" s="218" t="s">
        <v>5184</v>
      </c>
      <c r="C4815" s="218" t="s">
        <v>6053</v>
      </c>
      <c r="D4815" s="219">
        <v>1.0</v>
      </c>
      <c r="E4815" s="218">
        <v>300.0</v>
      </c>
      <c r="G4815" s="220">
        <v>43546.0</v>
      </c>
    </row>
    <row r="4816">
      <c r="A4816" s="217">
        <v>43547.60495626157</v>
      </c>
      <c r="B4816" s="218" t="s">
        <v>5184</v>
      </c>
      <c r="C4816" s="218" t="s">
        <v>7800</v>
      </c>
      <c r="D4816" s="219">
        <v>1.0</v>
      </c>
      <c r="E4816" s="218">
        <v>150.0</v>
      </c>
      <c r="G4816" s="220">
        <v>43547.0</v>
      </c>
    </row>
    <row r="4817">
      <c r="A4817" s="217">
        <v>43547.60558533565</v>
      </c>
      <c r="B4817" s="218" t="s">
        <v>5184</v>
      </c>
      <c r="C4817" s="218" t="s">
        <v>6053</v>
      </c>
      <c r="D4817" s="219">
        <v>1.0</v>
      </c>
      <c r="E4817" s="218">
        <v>300.0</v>
      </c>
      <c r="G4817" s="220">
        <v>43547.0</v>
      </c>
    </row>
    <row r="4818">
      <c r="A4818" s="217">
        <v>43548.4369491088</v>
      </c>
      <c r="B4818" s="218" t="s">
        <v>5092</v>
      </c>
      <c r="C4818" s="218" t="s">
        <v>7754</v>
      </c>
      <c r="D4818" s="219">
        <v>1.0</v>
      </c>
      <c r="E4818" s="218">
        <v>600.0</v>
      </c>
      <c r="G4818" s="220">
        <v>43547.0</v>
      </c>
    </row>
    <row r="4819">
      <c r="A4819" s="217">
        <v>43548.439150624996</v>
      </c>
      <c r="B4819" s="218" t="s">
        <v>5092</v>
      </c>
      <c r="C4819" s="218" t="s">
        <v>7754</v>
      </c>
      <c r="D4819" s="219">
        <v>2.0</v>
      </c>
      <c r="E4819" s="218">
        <v>600.0</v>
      </c>
      <c r="G4819" s="220">
        <v>43547.0</v>
      </c>
    </row>
    <row r="4820">
      <c r="A4820" s="217">
        <v>43548.440298333335</v>
      </c>
      <c r="B4820" s="218" t="s">
        <v>5092</v>
      </c>
      <c r="C4820" s="218" t="s">
        <v>847</v>
      </c>
      <c r="D4820" s="219">
        <v>1.0</v>
      </c>
      <c r="E4820" s="218">
        <v>1000.0</v>
      </c>
      <c r="G4820" s="220">
        <v>43547.0</v>
      </c>
    </row>
    <row r="4821">
      <c r="A4821" s="217">
        <v>43548.4409321412</v>
      </c>
      <c r="B4821" s="218" t="s">
        <v>5092</v>
      </c>
      <c r="C4821" s="218" t="s">
        <v>244</v>
      </c>
      <c r="D4821" s="219">
        <v>1.0</v>
      </c>
      <c r="E4821" s="218">
        <v>300.0</v>
      </c>
      <c r="G4821" s="220">
        <v>43547.0</v>
      </c>
    </row>
    <row r="4822">
      <c r="A4822" s="217">
        <v>43548.44193273148</v>
      </c>
      <c r="B4822" s="218" t="s">
        <v>5092</v>
      </c>
      <c r="C4822" s="218" t="s">
        <v>244</v>
      </c>
      <c r="D4822" s="219">
        <v>1.0</v>
      </c>
      <c r="E4822" s="218">
        <v>400.0</v>
      </c>
      <c r="G4822" s="220">
        <v>43547.0</v>
      </c>
    </row>
    <row r="4823">
      <c r="A4823" s="217">
        <v>43548.44283678241</v>
      </c>
      <c r="B4823" s="218" t="s">
        <v>5092</v>
      </c>
      <c r="C4823" s="218" t="s">
        <v>7526</v>
      </c>
      <c r="D4823" s="219">
        <v>1.0</v>
      </c>
      <c r="E4823" s="218">
        <v>1000.0</v>
      </c>
      <c r="G4823" s="220">
        <v>43547.0</v>
      </c>
    </row>
    <row r="4824">
      <c r="A4824" s="217">
        <v>43548.4436984375</v>
      </c>
      <c r="B4824" s="218" t="s">
        <v>5092</v>
      </c>
      <c r="C4824" s="218" t="s">
        <v>6053</v>
      </c>
      <c r="D4824" s="219">
        <v>2.0</v>
      </c>
      <c r="E4824" s="218">
        <v>300.0</v>
      </c>
      <c r="G4824" s="220">
        <v>43547.0</v>
      </c>
    </row>
    <row r="4825">
      <c r="A4825" s="217">
        <v>43549.73519465278</v>
      </c>
      <c r="B4825" s="218" t="s">
        <v>5184</v>
      </c>
      <c r="C4825" s="218" t="s">
        <v>5786</v>
      </c>
      <c r="D4825" s="219">
        <v>1.0</v>
      </c>
      <c r="E4825" s="218">
        <v>300.0</v>
      </c>
      <c r="G4825" s="220">
        <v>43549.0</v>
      </c>
    </row>
    <row r="4826">
      <c r="A4826" s="217">
        <v>43549.73604011574</v>
      </c>
      <c r="B4826" s="218" t="s">
        <v>5184</v>
      </c>
      <c r="C4826" s="218" t="s">
        <v>7800</v>
      </c>
      <c r="D4826" s="219">
        <v>1.0</v>
      </c>
      <c r="E4826" s="218">
        <v>300.0</v>
      </c>
      <c r="G4826" s="220">
        <v>43549.0</v>
      </c>
    </row>
    <row r="4827">
      <c r="A4827" s="217">
        <v>43549.736605300925</v>
      </c>
      <c r="B4827" s="218" t="s">
        <v>5184</v>
      </c>
      <c r="C4827" s="218" t="s">
        <v>244</v>
      </c>
      <c r="D4827" s="219">
        <v>1.0</v>
      </c>
      <c r="E4827" s="218">
        <v>400.0</v>
      </c>
      <c r="G4827" s="220">
        <v>43549.0</v>
      </c>
    </row>
    <row r="4828">
      <c r="A4828" s="217">
        <v>43549.745286481484</v>
      </c>
      <c r="B4828" s="218" t="s">
        <v>5092</v>
      </c>
      <c r="C4828" s="218" t="s">
        <v>6053</v>
      </c>
      <c r="D4828" s="219" t="s">
        <v>8263</v>
      </c>
      <c r="E4828" s="218">
        <v>300.0</v>
      </c>
      <c r="G4828" s="220">
        <v>43549.0</v>
      </c>
    </row>
    <row r="4829">
      <c r="A4829" s="217">
        <v>43549.74646945602</v>
      </c>
      <c r="B4829" s="218" t="s">
        <v>5092</v>
      </c>
      <c r="C4829" s="218" t="s">
        <v>6053</v>
      </c>
      <c r="D4829" s="219" t="s">
        <v>8264</v>
      </c>
      <c r="E4829" s="218">
        <v>300.0</v>
      </c>
      <c r="G4829" s="220">
        <v>43549.0</v>
      </c>
    </row>
    <row r="4830">
      <c r="A4830" s="217">
        <v>43549.747000625</v>
      </c>
      <c r="B4830" s="218" t="s">
        <v>5092</v>
      </c>
      <c r="C4830" s="218" t="s">
        <v>6053</v>
      </c>
      <c r="D4830" s="219">
        <v>1.0</v>
      </c>
      <c r="E4830" s="218">
        <v>300.0</v>
      </c>
      <c r="G4830" s="220">
        <v>43549.0</v>
      </c>
    </row>
    <row r="4831">
      <c r="A4831" s="217">
        <v>43549.74777664352</v>
      </c>
      <c r="B4831" s="218" t="s">
        <v>5092</v>
      </c>
      <c r="C4831" s="218" t="s">
        <v>244</v>
      </c>
      <c r="D4831" s="219" t="s">
        <v>8265</v>
      </c>
      <c r="E4831" s="218">
        <v>400.0</v>
      </c>
      <c r="G4831" s="220">
        <v>43549.0</v>
      </c>
    </row>
    <row r="4832">
      <c r="A4832" s="217">
        <v>43549.748625555556</v>
      </c>
      <c r="B4832" s="218" t="s">
        <v>5092</v>
      </c>
      <c r="C4832" s="218" t="s">
        <v>6053</v>
      </c>
      <c r="D4832" s="219" t="s">
        <v>8266</v>
      </c>
      <c r="E4832" s="218">
        <v>300.0</v>
      </c>
      <c r="G4832" s="220">
        <v>43549.0</v>
      </c>
    </row>
    <row r="4833">
      <c r="A4833" s="217">
        <v>43549.74955818287</v>
      </c>
      <c r="B4833" s="218" t="s">
        <v>5092</v>
      </c>
      <c r="C4833" s="218" t="s">
        <v>7806</v>
      </c>
      <c r="D4833" s="219" t="s">
        <v>8267</v>
      </c>
      <c r="E4833" s="218">
        <v>600.0</v>
      </c>
      <c r="G4833" s="220">
        <v>43549.0</v>
      </c>
    </row>
    <row r="4834">
      <c r="A4834" s="217">
        <v>43551.41668834491</v>
      </c>
      <c r="B4834" s="218" t="s">
        <v>5184</v>
      </c>
      <c r="C4834" s="218" t="s">
        <v>7800</v>
      </c>
      <c r="D4834" s="219">
        <v>1.0</v>
      </c>
      <c r="E4834" s="218">
        <v>300.0</v>
      </c>
      <c r="G4834" s="220">
        <v>43550.0</v>
      </c>
    </row>
    <row r="4835">
      <c r="A4835" s="217">
        <v>43551.41762246528</v>
      </c>
      <c r="B4835" s="218" t="s">
        <v>5184</v>
      </c>
      <c r="C4835" s="218" t="s">
        <v>6053</v>
      </c>
      <c r="D4835" s="219">
        <v>1.0</v>
      </c>
      <c r="E4835" s="218">
        <v>300.0</v>
      </c>
      <c r="G4835" s="220">
        <v>43551.0</v>
      </c>
    </row>
    <row r="4836">
      <c r="A4836" s="217">
        <v>43551.41898578704</v>
      </c>
      <c r="B4836" s="218" t="s">
        <v>5184</v>
      </c>
      <c r="C4836" s="218" t="s">
        <v>5848</v>
      </c>
      <c r="D4836" s="219">
        <v>1.0</v>
      </c>
      <c r="E4836" s="218">
        <v>1000.0</v>
      </c>
      <c r="G4836" s="220">
        <v>43550.0</v>
      </c>
    </row>
    <row r="4837">
      <c r="A4837" s="217">
        <v>43551.419526122685</v>
      </c>
      <c r="B4837" s="218" t="s">
        <v>5184</v>
      </c>
      <c r="C4837" s="218" t="s">
        <v>284</v>
      </c>
      <c r="D4837" s="219">
        <v>1.0</v>
      </c>
      <c r="E4837" s="218">
        <v>500.0</v>
      </c>
      <c r="G4837" s="220">
        <v>43550.0</v>
      </c>
    </row>
    <row r="4838">
      <c r="A4838" s="217">
        <v>43551.42647309028</v>
      </c>
      <c r="B4838" s="218" t="s">
        <v>5184</v>
      </c>
      <c r="C4838" s="218" t="s">
        <v>284</v>
      </c>
      <c r="D4838" s="219">
        <v>1.0</v>
      </c>
      <c r="E4838" s="218">
        <v>400.0</v>
      </c>
      <c r="G4838" s="220">
        <v>43550.0</v>
      </c>
    </row>
    <row r="4839">
      <c r="A4839" s="217">
        <v>43551.42950590278</v>
      </c>
      <c r="B4839" s="218" t="s">
        <v>5184</v>
      </c>
      <c r="C4839" s="218" t="s">
        <v>7408</v>
      </c>
      <c r="D4839" s="219">
        <v>1.0</v>
      </c>
      <c r="E4839" s="218">
        <v>300.0</v>
      </c>
      <c r="G4839" s="220">
        <v>43550.0</v>
      </c>
    </row>
    <row r="4840">
      <c r="A4840" s="217">
        <v>43551.43085372685</v>
      </c>
      <c r="B4840" s="218" t="s">
        <v>5184</v>
      </c>
      <c r="C4840" s="218" t="s">
        <v>6053</v>
      </c>
      <c r="D4840" s="219">
        <v>1.0</v>
      </c>
      <c r="E4840" s="218">
        <v>300.0</v>
      </c>
      <c r="G4840" s="220">
        <v>43550.0</v>
      </c>
    </row>
    <row r="4841">
      <c r="A4841" s="217">
        <v>43551.43158344907</v>
      </c>
      <c r="B4841" s="218" t="s">
        <v>5184</v>
      </c>
      <c r="C4841" s="218" t="s">
        <v>6053</v>
      </c>
      <c r="D4841" s="219">
        <v>1.0</v>
      </c>
      <c r="E4841" s="218">
        <v>300.0</v>
      </c>
      <c r="G4841" s="220">
        <v>43550.0</v>
      </c>
    </row>
    <row r="4842">
      <c r="A4842" s="217">
        <v>43551.49506221065</v>
      </c>
      <c r="B4842" s="218" t="s">
        <v>5184</v>
      </c>
      <c r="C4842" s="218" t="s">
        <v>5786</v>
      </c>
      <c r="D4842" s="219">
        <v>1.0</v>
      </c>
      <c r="E4842" s="218">
        <v>300.0</v>
      </c>
      <c r="G4842" s="220">
        <v>43551.0</v>
      </c>
    </row>
    <row r="4843">
      <c r="A4843" s="217">
        <v>43551.49634694445</v>
      </c>
      <c r="B4843" s="218" t="s">
        <v>5184</v>
      </c>
      <c r="C4843" s="218" t="s">
        <v>6053</v>
      </c>
      <c r="D4843" s="219">
        <v>1.0</v>
      </c>
      <c r="E4843" s="218">
        <v>300.0</v>
      </c>
      <c r="G4843" s="220">
        <v>43551.0</v>
      </c>
    </row>
    <row r="4844">
      <c r="A4844" s="217">
        <v>43551.49882083334</v>
      </c>
      <c r="B4844" s="218" t="s">
        <v>5184</v>
      </c>
      <c r="C4844" s="218" t="s">
        <v>5786</v>
      </c>
      <c r="D4844" s="219">
        <v>1.0</v>
      </c>
      <c r="E4844" s="218">
        <v>300.0</v>
      </c>
      <c r="G4844" s="220">
        <v>43551.0</v>
      </c>
    </row>
    <row r="4845">
      <c r="A4845" s="217">
        <v>43551.499839537035</v>
      </c>
      <c r="B4845" s="218" t="s">
        <v>5184</v>
      </c>
      <c r="C4845" s="218" t="s">
        <v>6053</v>
      </c>
      <c r="D4845" s="219">
        <v>1.0</v>
      </c>
      <c r="E4845" s="218">
        <v>300.0</v>
      </c>
      <c r="G4845" s="220">
        <v>43551.0</v>
      </c>
    </row>
    <row r="4846">
      <c r="A4846" s="217">
        <v>43551.5008994213</v>
      </c>
      <c r="B4846" s="218" t="s">
        <v>5184</v>
      </c>
      <c r="C4846" s="218" t="s">
        <v>7800</v>
      </c>
      <c r="D4846" s="219">
        <v>1.0</v>
      </c>
      <c r="E4846" s="218">
        <v>300.0</v>
      </c>
      <c r="G4846" s="220">
        <v>43551.0</v>
      </c>
    </row>
    <row r="4847">
      <c r="A4847" s="217">
        <v>43551.50228425926</v>
      </c>
      <c r="B4847" s="218" t="s">
        <v>5184</v>
      </c>
      <c r="C4847" s="218" t="s">
        <v>244</v>
      </c>
      <c r="D4847" s="219">
        <v>1.0</v>
      </c>
      <c r="E4847" s="218">
        <v>400.0</v>
      </c>
      <c r="G4847" s="220">
        <v>43551.0</v>
      </c>
    </row>
    <row r="4848">
      <c r="A4848" s="217">
        <v>43551.50463950232</v>
      </c>
      <c r="B4848" s="218" t="s">
        <v>5184</v>
      </c>
      <c r="C4848" s="218" t="s">
        <v>5786</v>
      </c>
      <c r="D4848" s="219">
        <v>1.0</v>
      </c>
      <c r="E4848" s="218">
        <v>300.0</v>
      </c>
      <c r="G4848" s="220">
        <v>43551.0</v>
      </c>
    </row>
    <row r="4849">
      <c r="A4849" s="217">
        <v>43551.51037965278</v>
      </c>
      <c r="B4849" s="218" t="s">
        <v>5184</v>
      </c>
      <c r="C4849" s="218" t="s">
        <v>6053</v>
      </c>
      <c r="D4849" s="219">
        <v>1.0</v>
      </c>
      <c r="E4849" s="24"/>
      <c r="G4849" s="220">
        <v>43551.0</v>
      </c>
    </row>
    <row r="4850">
      <c r="A4850" s="217">
        <v>43551.51148349537</v>
      </c>
      <c r="B4850" s="218" t="s">
        <v>5184</v>
      </c>
      <c r="C4850" s="218" t="s">
        <v>8276</v>
      </c>
      <c r="D4850" s="219">
        <v>1.0</v>
      </c>
      <c r="E4850" s="218">
        <v>1560.0</v>
      </c>
      <c r="G4850" s="220">
        <v>43551.0</v>
      </c>
    </row>
    <row r="4851">
      <c r="A4851" s="217">
        <v>43551.51276278935</v>
      </c>
      <c r="B4851" s="218" t="s">
        <v>5184</v>
      </c>
      <c r="C4851" s="218" t="s">
        <v>284</v>
      </c>
      <c r="D4851" s="219">
        <v>1.0</v>
      </c>
      <c r="E4851" s="218">
        <v>400.0</v>
      </c>
      <c r="G4851" s="220">
        <v>43551.0</v>
      </c>
    </row>
    <row r="4852">
      <c r="A4852" s="217">
        <v>43551.54476805555</v>
      </c>
      <c r="B4852" s="218" t="s">
        <v>5184</v>
      </c>
      <c r="C4852" s="218" t="s">
        <v>5786</v>
      </c>
      <c r="D4852" s="219">
        <v>1.0</v>
      </c>
      <c r="E4852" s="218">
        <v>300.0</v>
      </c>
      <c r="G4852" s="220">
        <v>43551.0</v>
      </c>
    </row>
    <row r="4853">
      <c r="A4853" s="217">
        <v>43551.54548178241</v>
      </c>
      <c r="B4853" s="218" t="s">
        <v>5184</v>
      </c>
      <c r="C4853" s="218" t="s">
        <v>6053</v>
      </c>
      <c r="D4853" s="219">
        <v>1.0</v>
      </c>
      <c r="E4853" s="218">
        <v>300.0</v>
      </c>
      <c r="G4853" s="220">
        <v>43551.0</v>
      </c>
    </row>
    <row r="4854">
      <c r="A4854" s="217">
        <v>43551.58434025463</v>
      </c>
      <c r="B4854" s="218" t="s">
        <v>5184</v>
      </c>
      <c r="C4854" s="218" t="s">
        <v>5786</v>
      </c>
      <c r="D4854" s="219">
        <v>1.0</v>
      </c>
      <c r="E4854" s="218">
        <v>300.0</v>
      </c>
      <c r="G4854" s="220">
        <v>43551.0</v>
      </c>
    </row>
    <row r="4855">
      <c r="A4855" s="217">
        <v>43551.5850100463</v>
      </c>
      <c r="B4855" s="218" t="s">
        <v>5184</v>
      </c>
      <c r="C4855" s="218" t="s">
        <v>847</v>
      </c>
      <c r="D4855" s="219">
        <v>1.0</v>
      </c>
      <c r="E4855" s="218">
        <v>1000.0</v>
      </c>
      <c r="G4855" s="220">
        <v>43551.0</v>
      </c>
    </row>
    <row r="4856">
      <c r="A4856" s="217">
        <v>43551.651628796295</v>
      </c>
      <c r="B4856" s="218" t="s">
        <v>5184</v>
      </c>
      <c r="C4856" s="218" t="s">
        <v>244</v>
      </c>
      <c r="D4856" s="219">
        <v>1.0</v>
      </c>
      <c r="E4856" s="218">
        <v>400.0</v>
      </c>
      <c r="G4856" s="220">
        <v>43551.0</v>
      </c>
    </row>
    <row r="4857">
      <c r="A4857" s="217">
        <v>43551.65271427084</v>
      </c>
      <c r="B4857" s="218" t="s">
        <v>5184</v>
      </c>
      <c r="C4857" s="218" t="s">
        <v>244</v>
      </c>
      <c r="D4857" s="219">
        <v>1.0</v>
      </c>
      <c r="E4857" s="218">
        <v>400.0</v>
      </c>
      <c r="G4857" s="220">
        <v>43551.0</v>
      </c>
    </row>
    <row r="4858">
      <c r="A4858" s="217">
        <v>43551.65409077547</v>
      </c>
      <c r="B4858" s="218" t="s">
        <v>5184</v>
      </c>
      <c r="C4858" s="218" t="s">
        <v>6317</v>
      </c>
      <c r="D4858" s="219">
        <v>1.0</v>
      </c>
      <c r="E4858" s="218">
        <v>4790.0</v>
      </c>
      <c r="G4858" s="220">
        <v>43529.0</v>
      </c>
    </row>
    <row r="4859">
      <c r="A4859" s="217">
        <v>43552.427197638885</v>
      </c>
      <c r="B4859" s="218" t="s">
        <v>5184</v>
      </c>
      <c r="C4859" s="218" t="s">
        <v>1248</v>
      </c>
      <c r="D4859" s="219">
        <v>1.0</v>
      </c>
      <c r="E4859" s="218">
        <v>2150.0</v>
      </c>
      <c r="G4859" s="220">
        <v>43552.0</v>
      </c>
    </row>
    <row r="4860">
      <c r="A4860" s="217">
        <v>43552.428585497684</v>
      </c>
      <c r="B4860" s="218" t="s">
        <v>5184</v>
      </c>
      <c r="C4860" s="218" t="s">
        <v>6287</v>
      </c>
      <c r="D4860" s="219">
        <v>1.0</v>
      </c>
      <c r="E4860" s="218">
        <v>6290.0</v>
      </c>
      <c r="G4860" s="220">
        <v>43552.0</v>
      </c>
    </row>
    <row r="4861">
      <c r="A4861" s="217">
        <v>43552.429750462965</v>
      </c>
      <c r="B4861" s="218" t="s">
        <v>5184</v>
      </c>
      <c r="C4861" s="218" t="s">
        <v>8283</v>
      </c>
      <c r="D4861" s="219">
        <v>1.0</v>
      </c>
      <c r="E4861" s="218">
        <v>5790.0</v>
      </c>
      <c r="G4861" s="220">
        <v>43552.0</v>
      </c>
    </row>
    <row r="4862">
      <c r="A4862" s="217">
        <v>43552.58522075231</v>
      </c>
      <c r="B4862" s="218" t="s">
        <v>5184</v>
      </c>
      <c r="C4862" s="218" t="s">
        <v>244</v>
      </c>
      <c r="D4862" s="219">
        <v>1.0</v>
      </c>
      <c r="E4862" s="218">
        <v>400.0</v>
      </c>
      <c r="G4862" s="220">
        <v>43552.0</v>
      </c>
    </row>
    <row r="4863">
      <c r="A4863" s="217">
        <v>43552.58625591436</v>
      </c>
      <c r="B4863" s="218" t="s">
        <v>5184</v>
      </c>
      <c r="C4863" s="218" t="s">
        <v>5786</v>
      </c>
      <c r="D4863" s="219">
        <v>1.0</v>
      </c>
      <c r="E4863" s="218">
        <v>300.0</v>
      </c>
      <c r="G4863" s="220">
        <v>43552.0</v>
      </c>
    </row>
    <row r="4864">
      <c r="A4864" s="217">
        <v>43552.5868652662</v>
      </c>
      <c r="B4864" s="218" t="s">
        <v>5184</v>
      </c>
      <c r="C4864" s="218" t="s">
        <v>6053</v>
      </c>
      <c r="D4864" s="219">
        <v>1.0</v>
      </c>
      <c r="E4864" s="218">
        <v>300.0</v>
      </c>
      <c r="G4864" s="220">
        <v>43552.0</v>
      </c>
    </row>
    <row r="4865">
      <c r="A4865" s="217">
        <v>43552.58890524306</v>
      </c>
      <c r="B4865" s="218" t="s">
        <v>5184</v>
      </c>
      <c r="C4865" s="218" t="s">
        <v>7806</v>
      </c>
      <c r="D4865" s="219">
        <v>1.0</v>
      </c>
      <c r="E4865" s="218">
        <v>600.0</v>
      </c>
      <c r="G4865" s="220">
        <v>43552.0</v>
      </c>
    </row>
    <row r="4866">
      <c r="A4866" s="217">
        <v>43552.58989657408</v>
      </c>
      <c r="B4866" s="218" t="s">
        <v>5184</v>
      </c>
      <c r="C4866" s="218" t="s">
        <v>7800</v>
      </c>
      <c r="D4866" s="219">
        <v>1.0</v>
      </c>
      <c r="E4866" s="218">
        <v>200.0</v>
      </c>
      <c r="G4866" s="220">
        <v>43552.0</v>
      </c>
    </row>
    <row r="4867">
      <c r="A4867" s="217">
        <v>43552.59154734954</v>
      </c>
      <c r="B4867" s="218" t="s">
        <v>5184</v>
      </c>
      <c r="C4867" s="218" t="s">
        <v>6053</v>
      </c>
      <c r="D4867" s="219">
        <v>1.0</v>
      </c>
      <c r="E4867" s="218">
        <v>300.0</v>
      </c>
      <c r="G4867" s="220">
        <v>43552.0</v>
      </c>
    </row>
    <row r="4868">
      <c r="A4868" s="217">
        <v>43552.62583582176</v>
      </c>
      <c r="B4868" s="218" t="s">
        <v>5184</v>
      </c>
      <c r="C4868" s="218" t="s">
        <v>7767</v>
      </c>
      <c r="D4868" s="219">
        <v>17.0</v>
      </c>
      <c r="E4868" s="218">
        <v>100.0</v>
      </c>
      <c r="G4868" s="220">
        <v>43550.0</v>
      </c>
    </row>
    <row r="4869">
      <c r="A4869" s="217">
        <v>43552.709768009256</v>
      </c>
      <c r="B4869" s="218" t="s">
        <v>2322</v>
      </c>
      <c r="C4869" s="218" t="s">
        <v>8228</v>
      </c>
      <c r="D4869" s="219">
        <v>1.0</v>
      </c>
      <c r="E4869" s="218">
        <v>1180.0</v>
      </c>
      <c r="G4869" s="220">
        <v>43551.0</v>
      </c>
    </row>
    <row r="4870">
      <c r="A4870" s="217">
        <v>43552.713365972224</v>
      </c>
      <c r="B4870" s="218" t="s">
        <v>5184</v>
      </c>
      <c r="C4870" s="218" t="s">
        <v>5786</v>
      </c>
      <c r="D4870" s="219">
        <v>1.0</v>
      </c>
      <c r="E4870" s="218">
        <v>300.0</v>
      </c>
      <c r="G4870" s="220">
        <v>43552.0</v>
      </c>
    </row>
    <row r="4871">
      <c r="A4871" s="217">
        <v>43552.713851458335</v>
      </c>
      <c r="B4871" s="218" t="s">
        <v>5184</v>
      </c>
      <c r="C4871" s="218" t="s">
        <v>284</v>
      </c>
      <c r="D4871" s="219">
        <v>1.0</v>
      </c>
      <c r="E4871" s="218">
        <v>400.0</v>
      </c>
      <c r="G4871" s="220">
        <v>43552.0</v>
      </c>
    </row>
    <row r="4872">
      <c r="A4872" s="217">
        <v>43552.73240770833</v>
      </c>
      <c r="B4872" s="218" t="s">
        <v>5184</v>
      </c>
      <c r="C4872" s="218" t="s">
        <v>7496</v>
      </c>
      <c r="D4872" s="219">
        <v>1.0</v>
      </c>
      <c r="E4872" s="218">
        <v>300.0</v>
      </c>
      <c r="G4872" s="220">
        <v>43552.0</v>
      </c>
    </row>
    <row r="4873">
      <c r="A4873" s="217">
        <v>43552.73308478009</v>
      </c>
      <c r="B4873" s="218" t="s">
        <v>5184</v>
      </c>
      <c r="C4873" s="218" t="s">
        <v>7312</v>
      </c>
      <c r="D4873" s="219">
        <v>1.0</v>
      </c>
      <c r="E4873" s="218">
        <v>600.0</v>
      </c>
      <c r="G4873" s="220">
        <v>43552.0</v>
      </c>
    </row>
    <row r="4874">
      <c r="A4874" s="217">
        <v>43553.52257332176</v>
      </c>
      <c r="B4874" s="218" t="s">
        <v>5184</v>
      </c>
      <c r="C4874" s="218" t="s">
        <v>6053</v>
      </c>
      <c r="D4874" s="219">
        <v>1.0</v>
      </c>
      <c r="E4874" s="218">
        <v>300.0</v>
      </c>
      <c r="G4874" s="220">
        <v>43553.0</v>
      </c>
    </row>
    <row r="4875">
      <c r="A4875" s="217">
        <v>43553.524498425926</v>
      </c>
      <c r="B4875" s="218" t="s">
        <v>5184</v>
      </c>
      <c r="C4875" s="218" t="s">
        <v>5786</v>
      </c>
      <c r="D4875" s="219">
        <v>1.0</v>
      </c>
      <c r="E4875" s="218">
        <v>300.0</v>
      </c>
      <c r="G4875" s="220">
        <v>43553.0</v>
      </c>
    </row>
    <row r="4876">
      <c r="A4876" s="217">
        <v>43553.52512528935</v>
      </c>
      <c r="B4876" s="218" t="s">
        <v>5184</v>
      </c>
      <c r="C4876" s="218" t="s">
        <v>6053</v>
      </c>
      <c r="D4876" s="219">
        <v>1.0</v>
      </c>
      <c r="E4876" s="218">
        <v>300.0</v>
      </c>
      <c r="G4876" s="220">
        <v>43553.0</v>
      </c>
    </row>
    <row r="4877">
      <c r="A4877" s="217">
        <v>43553.526885983796</v>
      </c>
      <c r="B4877" s="218" t="s">
        <v>5184</v>
      </c>
      <c r="C4877" s="218" t="s">
        <v>7408</v>
      </c>
      <c r="D4877" s="219">
        <v>1.0</v>
      </c>
      <c r="E4877" s="218">
        <v>200.0</v>
      </c>
      <c r="G4877" s="220">
        <v>43553.0</v>
      </c>
    </row>
    <row r="4878">
      <c r="A4878" s="217">
        <v>43553.56360490741</v>
      </c>
      <c r="B4878" s="218" t="s">
        <v>5184</v>
      </c>
      <c r="C4878" s="218" t="s">
        <v>7408</v>
      </c>
      <c r="D4878" s="219">
        <v>1.0</v>
      </c>
      <c r="E4878" s="218">
        <v>200.0</v>
      </c>
      <c r="G4878" s="220">
        <v>43553.0</v>
      </c>
    </row>
    <row r="4879">
      <c r="A4879" s="217">
        <v>43553.57073864584</v>
      </c>
      <c r="B4879" s="218" t="s">
        <v>5184</v>
      </c>
      <c r="C4879" s="218" t="s">
        <v>7800</v>
      </c>
      <c r="D4879" s="219">
        <v>1.0</v>
      </c>
      <c r="E4879" s="218">
        <v>200.0</v>
      </c>
      <c r="G4879" s="220">
        <v>43553.0</v>
      </c>
    </row>
    <row r="4880">
      <c r="A4880" s="217">
        <v>43553.57187377315</v>
      </c>
      <c r="B4880" s="218" t="s">
        <v>5184</v>
      </c>
      <c r="C4880" s="218" t="s">
        <v>6038</v>
      </c>
      <c r="D4880" s="219">
        <v>1.0</v>
      </c>
      <c r="E4880" s="218">
        <v>400.0</v>
      </c>
      <c r="G4880" s="220">
        <v>43553.0</v>
      </c>
    </row>
    <row r="4881">
      <c r="A4881" s="217">
        <v>43553.582345312505</v>
      </c>
      <c r="B4881" s="218" t="s">
        <v>5184</v>
      </c>
      <c r="C4881" s="218" t="s">
        <v>7800</v>
      </c>
      <c r="D4881" s="219">
        <v>1.0</v>
      </c>
      <c r="E4881" s="218">
        <v>300.0</v>
      </c>
      <c r="G4881" s="220">
        <v>43553.0</v>
      </c>
    </row>
    <row r="4882">
      <c r="A4882" s="217">
        <v>43553.583035069445</v>
      </c>
      <c r="B4882" s="218" t="s">
        <v>5184</v>
      </c>
      <c r="C4882" s="218" t="s">
        <v>6053</v>
      </c>
      <c r="D4882" s="219">
        <v>1.0</v>
      </c>
      <c r="E4882" s="218">
        <v>300.0</v>
      </c>
      <c r="G4882" s="220">
        <v>43553.0</v>
      </c>
    </row>
    <row r="4883">
      <c r="A4883" s="217">
        <v>43553.591205185185</v>
      </c>
      <c r="B4883" s="218" t="s">
        <v>5184</v>
      </c>
      <c r="C4883" s="218" t="s">
        <v>5786</v>
      </c>
      <c r="D4883" s="219">
        <v>1.0</v>
      </c>
      <c r="E4883" s="218">
        <v>300.0</v>
      </c>
      <c r="G4883" s="220">
        <v>43553.0</v>
      </c>
    </row>
    <row r="4884">
      <c r="A4884" s="217">
        <v>43553.591745937505</v>
      </c>
      <c r="B4884" s="218" t="s">
        <v>5184</v>
      </c>
      <c r="C4884" s="218" t="s">
        <v>6053</v>
      </c>
      <c r="D4884" s="219">
        <v>1.0</v>
      </c>
      <c r="E4884" s="218">
        <v>300.0</v>
      </c>
      <c r="G4884" s="220">
        <v>43553.0</v>
      </c>
    </row>
    <row r="4885">
      <c r="A4885" s="217">
        <v>43553.637149780094</v>
      </c>
      <c r="B4885" s="218" t="s">
        <v>5184</v>
      </c>
      <c r="C4885" s="218" t="s">
        <v>5786</v>
      </c>
      <c r="D4885" s="219">
        <v>1.0</v>
      </c>
      <c r="E4885" s="218">
        <v>300.0</v>
      </c>
      <c r="G4885" s="220">
        <v>43546.0</v>
      </c>
    </row>
    <row r="4886">
      <c r="A4886" s="217">
        <v>43553.641340497685</v>
      </c>
      <c r="B4886" s="218" t="s">
        <v>5184</v>
      </c>
      <c r="C4886" s="218" t="s">
        <v>7754</v>
      </c>
      <c r="D4886" s="219">
        <v>1.0</v>
      </c>
      <c r="E4886" s="218">
        <v>600.0</v>
      </c>
      <c r="G4886" s="220">
        <v>43553.0</v>
      </c>
    </row>
    <row r="4887">
      <c r="A4887" s="217">
        <v>43553.66570538194</v>
      </c>
      <c r="B4887" s="218" t="s">
        <v>5184</v>
      </c>
      <c r="C4887" s="218" t="s">
        <v>7800</v>
      </c>
      <c r="D4887" s="219">
        <v>1.0</v>
      </c>
      <c r="E4887" s="218">
        <v>300.0</v>
      </c>
      <c r="G4887" s="220">
        <v>43553.0</v>
      </c>
    </row>
    <row r="4888">
      <c r="A4888" s="217">
        <v>43553.66670275463</v>
      </c>
      <c r="B4888" s="218" t="s">
        <v>5184</v>
      </c>
      <c r="C4888" s="218" t="s">
        <v>284</v>
      </c>
      <c r="D4888" s="219">
        <v>1.0</v>
      </c>
      <c r="E4888" s="218">
        <v>400.0</v>
      </c>
      <c r="G4888" s="220">
        <v>43553.0</v>
      </c>
    </row>
    <row r="4889">
      <c r="A4889" s="217">
        <v>43554.42696855324</v>
      </c>
      <c r="B4889" s="218" t="s">
        <v>5184</v>
      </c>
      <c r="C4889" s="218" t="s">
        <v>6053</v>
      </c>
      <c r="D4889" s="219">
        <v>1.0</v>
      </c>
      <c r="E4889" s="218">
        <v>300.0</v>
      </c>
      <c r="G4889" s="220">
        <v>43553.0</v>
      </c>
    </row>
    <row r="4890">
      <c r="A4890" s="217">
        <v>43554.627332476855</v>
      </c>
      <c r="B4890" s="218" t="s">
        <v>5184</v>
      </c>
      <c r="C4890" s="218" t="s">
        <v>5786</v>
      </c>
      <c r="D4890" s="219">
        <v>1.0</v>
      </c>
      <c r="E4890" s="218">
        <v>300.0</v>
      </c>
      <c r="G4890" s="220">
        <v>43554.0</v>
      </c>
    </row>
    <row r="4891">
      <c r="A4891" s="217">
        <v>43554.63565405093</v>
      </c>
      <c r="B4891" s="218" t="s">
        <v>5184</v>
      </c>
      <c r="C4891" s="218" t="s">
        <v>6053</v>
      </c>
      <c r="D4891" s="219">
        <v>1.0</v>
      </c>
      <c r="E4891" s="218">
        <v>300.0</v>
      </c>
      <c r="G4891" s="220">
        <v>43554.0</v>
      </c>
    </row>
    <row r="4892">
      <c r="A4892" s="217">
        <v>43554.637757488425</v>
      </c>
      <c r="B4892" s="218" t="s">
        <v>5184</v>
      </c>
      <c r="C4892" s="218" t="s">
        <v>7408</v>
      </c>
      <c r="D4892" s="219">
        <v>1.0</v>
      </c>
      <c r="E4892" s="218">
        <v>300.0</v>
      </c>
      <c r="G4892" s="220">
        <v>43554.0</v>
      </c>
    </row>
    <row r="4893">
      <c r="A4893" s="217">
        <v>43554.63933614583</v>
      </c>
      <c r="B4893" s="218" t="s">
        <v>5184</v>
      </c>
      <c r="C4893" s="218" t="s">
        <v>6053</v>
      </c>
      <c r="D4893" s="219">
        <v>1.0</v>
      </c>
      <c r="E4893" s="218">
        <v>300.0</v>
      </c>
      <c r="G4893" s="220">
        <v>43554.0</v>
      </c>
    </row>
    <row r="4894">
      <c r="A4894" s="217">
        <v>43554.64106347223</v>
      </c>
      <c r="B4894" s="218" t="s">
        <v>5184</v>
      </c>
      <c r="C4894" s="218" t="s">
        <v>7800</v>
      </c>
      <c r="D4894" s="219">
        <v>1.0</v>
      </c>
      <c r="E4894" s="218">
        <v>200.0</v>
      </c>
      <c r="G4894" s="220">
        <v>43554.0</v>
      </c>
    </row>
    <row r="4895">
      <c r="A4895" s="217">
        <v>43554.64695969908</v>
      </c>
      <c r="B4895" s="218" t="s">
        <v>5184</v>
      </c>
      <c r="C4895" s="218" t="s">
        <v>6053</v>
      </c>
      <c r="D4895" s="219">
        <v>1.0</v>
      </c>
      <c r="E4895" s="218">
        <v>300.0</v>
      </c>
      <c r="G4895" s="220">
        <v>43554.0</v>
      </c>
    </row>
    <row r="4896">
      <c r="A4896" s="217">
        <v>43554.6494187037</v>
      </c>
      <c r="B4896" s="218" t="s">
        <v>5184</v>
      </c>
      <c r="C4896" s="218" t="s">
        <v>6053</v>
      </c>
      <c r="D4896" s="219">
        <v>1.0</v>
      </c>
      <c r="E4896" s="218">
        <v>300.0</v>
      </c>
      <c r="G4896" s="220">
        <v>43554.0</v>
      </c>
    </row>
    <row r="4897">
      <c r="A4897" s="217">
        <v>43554.65109128472</v>
      </c>
      <c r="B4897" s="218" t="s">
        <v>5184</v>
      </c>
      <c r="C4897" s="218" t="s">
        <v>7800</v>
      </c>
      <c r="D4897" s="219">
        <v>1.0</v>
      </c>
      <c r="E4897" s="218">
        <v>200.0</v>
      </c>
      <c r="G4897" s="220">
        <v>43554.0</v>
      </c>
    </row>
    <row r="4898">
      <c r="A4898" s="217">
        <v>43554.652388159724</v>
      </c>
      <c r="B4898" s="218" t="s">
        <v>5184</v>
      </c>
      <c r="C4898" s="218" t="s">
        <v>6053</v>
      </c>
      <c r="D4898" s="219">
        <v>1.0</v>
      </c>
      <c r="E4898" s="218">
        <v>300.0</v>
      </c>
      <c r="G4898" s="220">
        <v>43554.0</v>
      </c>
    </row>
    <row r="4899">
      <c r="A4899" s="217">
        <v>43554.65366707176</v>
      </c>
      <c r="B4899" s="218" t="s">
        <v>5184</v>
      </c>
      <c r="C4899" s="218" t="s">
        <v>6053</v>
      </c>
      <c r="D4899" s="219">
        <v>1.0</v>
      </c>
      <c r="E4899" s="218">
        <v>300.0</v>
      </c>
      <c r="G4899" s="220">
        <v>43554.0</v>
      </c>
    </row>
    <row r="4900">
      <c r="A4900" s="217">
        <v>43554.65511129629</v>
      </c>
      <c r="B4900" s="218" t="s">
        <v>5184</v>
      </c>
      <c r="C4900" s="218" t="s">
        <v>7800</v>
      </c>
      <c r="D4900" s="219">
        <v>1.0</v>
      </c>
      <c r="E4900" s="218">
        <v>200.0</v>
      </c>
      <c r="G4900" s="220">
        <v>43554.0</v>
      </c>
    </row>
    <row r="4901">
      <c r="A4901" s="217">
        <v>43554.65644946759</v>
      </c>
      <c r="B4901" s="218" t="s">
        <v>5184</v>
      </c>
      <c r="C4901" s="218" t="s">
        <v>284</v>
      </c>
      <c r="D4901" s="219">
        <v>1.0</v>
      </c>
      <c r="E4901" s="218">
        <v>400.0</v>
      </c>
      <c r="G4901" s="220">
        <v>43554.0</v>
      </c>
    </row>
    <row r="4902">
      <c r="A4902" s="217">
        <v>43554.65764233796</v>
      </c>
      <c r="B4902" s="218" t="s">
        <v>5184</v>
      </c>
      <c r="C4902" s="218" t="s">
        <v>8072</v>
      </c>
      <c r="D4902" s="219">
        <v>1.0</v>
      </c>
      <c r="E4902" s="218">
        <v>500.0</v>
      </c>
      <c r="G4902" s="220">
        <v>43554.0</v>
      </c>
    </row>
    <row r="4903">
      <c r="A4903" s="217">
        <v>43554.65821721064</v>
      </c>
      <c r="B4903" s="218" t="s">
        <v>5184</v>
      </c>
      <c r="C4903" s="218" t="s">
        <v>6053</v>
      </c>
      <c r="D4903" s="219">
        <v>1.0</v>
      </c>
      <c r="E4903" s="218">
        <v>300.0</v>
      </c>
      <c r="G4903" s="220">
        <v>43554.0</v>
      </c>
    </row>
    <row r="4904">
      <c r="A4904" s="217">
        <v>43554.65959127314</v>
      </c>
      <c r="B4904" s="218" t="s">
        <v>5184</v>
      </c>
      <c r="C4904" s="218" t="s">
        <v>7800</v>
      </c>
      <c r="D4904" s="219">
        <v>1.0</v>
      </c>
      <c r="E4904" s="218">
        <v>200.0</v>
      </c>
      <c r="G4904" s="220">
        <v>43554.0</v>
      </c>
    </row>
    <row r="4905">
      <c r="A4905" s="217">
        <v>43554.66005884259</v>
      </c>
      <c r="B4905" s="218" t="s">
        <v>5184</v>
      </c>
      <c r="C4905" s="218" t="s">
        <v>6053</v>
      </c>
      <c r="D4905" s="219">
        <v>1.0</v>
      </c>
      <c r="E4905" s="218">
        <v>300.0</v>
      </c>
      <c r="G4905" s="220">
        <v>43554.0</v>
      </c>
    </row>
    <row r="4906">
      <c r="A4906" s="217">
        <v>43554.66124641204</v>
      </c>
      <c r="B4906" s="218" t="s">
        <v>5184</v>
      </c>
      <c r="C4906" s="218" t="s">
        <v>7800</v>
      </c>
      <c r="D4906" s="219">
        <v>1.0</v>
      </c>
      <c r="E4906" s="218">
        <v>200.0</v>
      </c>
      <c r="G4906" s="220">
        <v>43554.0</v>
      </c>
    </row>
    <row r="4907">
      <c r="A4907" s="217">
        <v>43554.66186928241</v>
      </c>
      <c r="B4907" s="218" t="s">
        <v>5184</v>
      </c>
      <c r="C4907" s="218" t="s">
        <v>6053</v>
      </c>
      <c r="D4907" s="219">
        <v>1.0</v>
      </c>
      <c r="E4907" s="218">
        <v>300.0</v>
      </c>
      <c r="G4907" s="220">
        <v>43554.0</v>
      </c>
    </row>
    <row r="4908">
      <c r="A4908" s="217">
        <v>43554.66300842592</v>
      </c>
      <c r="B4908" s="218" t="s">
        <v>5184</v>
      </c>
      <c r="C4908" s="218" t="s">
        <v>7800</v>
      </c>
      <c r="D4908" s="219">
        <v>1.0</v>
      </c>
      <c r="E4908" s="218">
        <v>200.0</v>
      </c>
      <c r="G4908" s="220">
        <v>43554.0</v>
      </c>
    </row>
    <row r="4909">
      <c r="A4909" s="217">
        <v>43554.66359210648</v>
      </c>
      <c r="B4909" s="218" t="s">
        <v>5184</v>
      </c>
      <c r="C4909" s="218" t="s">
        <v>6053</v>
      </c>
      <c r="D4909" s="219">
        <v>1.0</v>
      </c>
      <c r="E4909" s="218">
        <v>300.0</v>
      </c>
      <c r="G4909" s="220">
        <v>43554.0</v>
      </c>
    </row>
    <row r="4910">
      <c r="A4910" s="217">
        <v>43554.68118002315</v>
      </c>
      <c r="B4910" s="218" t="s">
        <v>5184</v>
      </c>
      <c r="C4910" s="218" t="s">
        <v>5786</v>
      </c>
      <c r="D4910" s="219">
        <v>1.0</v>
      </c>
      <c r="E4910" s="218">
        <v>200.0</v>
      </c>
      <c r="G4910" s="220">
        <v>43554.0</v>
      </c>
    </row>
    <row r="4911">
      <c r="A4911" s="217">
        <v>43554.68170686343</v>
      </c>
      <c r="B4911" s="218" t="s">
        <v>5184</v>
      </c>
      <c r="C4911" s="218" t="s">
        <v>6053</v>
      </c>
      <c r="D4911" s="219">
        <v>1.0</v>
      </c>
      <c r="E4911" s="218">
        <v>300.0</v>
      </c>
      <c r="G4911" s="220">
        <v>43554.0</v>
      </c>
    </row>
    <row r="4912">
      <c r="A4912" s="217">
        <v>43554.68330230324</v>
      </c>
      <c r="B4912" s="218" t="s">
        <v>5184</v>
      </c>
      <c r="C4912" s="218" t="s">
        <v>5789</v>
      </c>
      <c r="D4912" s="219">
        <v>1.0</v>
      </c>
      <c r="E4912" s="218">
        <v>400.0</v>
      </c>
      <c r="G4912" s="220">
        <v>43554.0</v>
      </c>
    </row>
    <row r="4913">
      <c r="A4913" s="217">
        <v>43554.68430359954</v>
      </c>
      <c r="B4913" s="218" t="s">
        <v>5184</v>
      </c>
      <c r="C4913" s="218" t="s">
        <v>6053</v>
      </c>
      <c r="D4913" s="219">
        <v>1.0</v>
      </c>
      <c r="E4913" s="218">
        <v>300.0</v>
      </c>
      <c r="G4913" s="220">
        <v>43554.0</v>
      </c>
    </row>
    <row r="4914">
      <c r="A4914" s="217">
        <v>43554.688844027776</v>
      </c>
      <c r="B4914" s="218" t="s">
        <v>5184</v>
      </c>
      <c r="C4914" s="218" t="s">
        <v>6053</v>
      </c>
      <c r="D4914" s="219">
        <v>1.0</v>
      </c>
      <c r="E4914" s="218">
        <v>300.0</v>
      </c>
      <c r="G4914" s="220">
        <v>43554.0</v>
      </c>
    </row>
    <row r="4915">
      <c r="A4915" s="217">
        <v>43554.6906181713</v>
      </c>
      <c r="B4915" s="218" t="s">
        <v>5184</v>
      </c>
      <c r="C4915" s="218" t="s">
        <v>5786</v>
      </c>
      <c r="D4915" s="219">
        <v>1.0</v>
      </c>
      <c r="E4915" s="218">
        <v>300.0</v>
      </c>
      <c r="G4915" s="220">
        <v>43554.0</v>
      </c>
    </row>
    <row r="4916">
      <c r="A4916" s="217">
        <v>43554.694775509255</v>
      </c>
      <c r="B4916" s="218" t="s">
        <v>5184</v>
      </c>
      <c r="C4916" s="218" t="s">
        <v>244</v>
      </c>
      <c r="D4916" s="219">
        <v>1.0</v>
      </c>
      <c r="E4916" s="218">
        <v>400.0</v>
      </c>
      <c r="G4916" s="220">
        <v>43554.0</v>
      </c>
    </row>
    <row r="4917">
      <c r="A4917" s="217">
        <v>43554.69690313657</v>
      </c>
      <c r="B4917" s="218" t="s">
        <v>5184</v>
      </c>
      <c r="C4917" s="218" t="s">
        <v>244</v>
      </c>
      <c r="D4917" s="219" t="s">
        <v>7547</v>
      </c>
      <c r="E4917" s="218">
        <v>200.0</v>
      </c>
      <c r="G4917" s="220">
        <v>43554.0</v>
      </c>
    </row>
    <row r="4918">
      <c r="A4918" s="217">
        <v>43554.698857511576</v>
      </c>
      <c r="B4918" s="218" t="s">
        <v>5184</v>
      </c>
      <c r="C4918" s="218" t="s">
        <v>5786</v>
      </c>
      <c r="D4918" s="219">
        <v>1.0</v>
      </c>
      <c r="E4918" s="218">
        <v>300.0</v>
      </c>
      <c r="G4918" s="220">
        <v>43554.0</v>
      </c>
    </row>
    <row r="4919">
      <c r="A4919" s="217">
        <v>43554.700588067135</v>
      </c>
      <c r="B4919" s="218" t="s">
        <v>5184</v>
      </c>
      <c r="C4919" s="218" t="s">
        <v>244</v>
      </c>
      <c r="D4919" s="219">
        <v>1.0</v>
      </c>
      <c r="E4919" s="218">
        <v>400.0</v>
      </c>
      <c r="G4919" s="220">
        <v>43554.0</v>
      </c>
    </row>
    <row r="4920">
      <c r="A4920" s="217">
        <v>43554.702035995375</v>
      </c>
      <c r="B4920" s="218" t="s">
        <v>5184</v>
      </c>
      <c r="C4920" s="218" t="s">
        <v>5786</v>
      </c>
      <c r="D4920" s="219">
        <v>1.0</v>
      </c>
      <c r="E4920" s="218">
        <v>300.0</v>
      </c>
      <c r="G4920" s="220">
        <v>43554.0</v>
      </c>
    </row>
    <row r="4921">
      <c r="A4921" s="217">
        <v>43554.702658877315</v>
      </c>
      <c r="B4921" s="218" t="s">
        <v>5184</v>
      </c>
      <c r="C4921" s="218" t="s">
        <v>6053</v>
      </c>
      <c r="D4921" s="219">
        <v>1.0</v>
      </c>
      <c r="E4921" s="218">
        <v>300.0</v>
      </c>
      <c r="G4921" s="220">
        <v>43554.0</v>
      </c>
    </row>
    <row r="4922">
      <c r="A4922" s="217">
        <v>43554.70439518518</v>
      </c>
      <c r="B4922" s="218" t="s">
        <v>5184</v>
      </c>
      <c r="C4922" s="218" t="s">
        <v>7800</v>
      </c>
      <c r="D4922" s="219">
        <v>1.0</v>
      </c>
      <c r="E4922" s="218">
        <v>200.0</v>
      </c>
      <c r="G4922" s="220">
        <v>43554.0</v>
      </c>
    </row>
    <row r="4923">
      <c r="A4923" s="217">
        <v>43554.704942199074</v>
      </c>
      <c r="B4923" s="218" t="s">
        <v>5184</v>
      </c>
      <c r="C4923" s="218" t="s">
        <v>6053</v>
      </c>
      <c r="D4923" s="219">
        <v>1.0</v>
      </c>
      <c r="E4923" s="218">
        <v>300.0</v>
      </c>
      <c r="G4923" s="220">
        <v>43554.0</v>
      </c>
    </row>
    <row r="4924">
      <c r="A4924" s="217">
        <v>43554.709294189815</v>
      </c>
      <c r="B4924" s="218" t="s">
        <v>5184</v>
      </c>
      <c r="C4924" s="218" t="s">
        <v>7800</v>
      </c>
      <c r="D4924" s="219">
        <v>1.0</v>
      </c>
      <c r="E4924" s="218">
        <v>200.0</v>
      </c>
      <c r="G4924" s="220">
        <v>43554.0</v>
      </c>
    </row>
    <row r="4925">
      <c r="A4925" s="217">
        <v>43554.71092002315</v>
      </c>
      <c r="B4925" s="218" t="s">
        <v>5184</v>
      </c>
      <c r="C4925" s="218" t="s">
        <v>6053</v>
      </c>
      <c r="D4925" s="219">
        <v>1.0</v>
      </c>
      <c r="E4925" s="218">
        <v>300.0</v>
      </c>
      <c r="G4925" s="220">
        <v>43554.0</v>
      </c>
    </row>
    <row r="4926">
      <c r="A4926" s="217">
        <v>43554.71332998843</v>
      </c>
      <c r="B4926" s="218" t="s">
        <v>5184</v>
      </c>
      <c r="C4926" s="218" t="s">
        <v>6053</v>
      </c>
      <c r="D4926" s="219">
        <v>1.0</v>
      </c>
      <c r="E4926" s="218">
        <v>300.0</v>
      </c>
      <c r="G4926" s="220">
        <v>43554.0</v>
      </c>
    </row>
    <row r="4927">
      <c r="A4927" s="217">
        <v>43554.71568541667</v>
      </c>
      <c r="B4927" s="218" t="s">
        <v>5184</v>
      </c>
      <c r="C4927" s="218" t="s">
        <v>7800</v>
      </c>
      <c r="D4927" s="219">
        <v>1.0</v>
      </c>
      <c r="E4927" s="218">
        <v>200.0</v>
      </c>
      <c r="G4927" s="220">
        <v>43554.0</v>
      </c>
    </row>
    <row r="4928">
      <c r="A4928" s="217">
        <v>43554.71618333334</v>
      </c>
      <c r="B4928" s="218" t="s">
        <v>5184</v>
      </c>
      <c r="C4928" s="218" t="s">
        <v>6053</v>
      </c>
      <c r="D4928" s="219">
        <v>1.0</v>
      </c>
      <c r="E4928" s="218">
        <v>300.0</v>
      </c>
      <c r="G4928" s="220">
        <v>43554.0</v>
      </c>
    </row>
    <row r="4929">
      <c r="A4929" s="217">
        <v>43554.717808229165</v>
      </c>
      <c r="B4929" s="218" t="s">
        <v>5184</v>
      </c>
      <c r="C4929" s="218" t="s">
        <v>8318</v>
      </c>
      <c r="D4929" s="219">
        <v>1.0</v>
      </c>
      <c r="E4929" s="218">
        <v>200.0</v>
      </c>
      <c r="G4929" s="220">
        <v>43554.0</v>
      </c>
    </row>
    <row r="4930">
      <c r="A4930" s="217">
        <v>43554.718947939815</v>
      </c>
      <c r="B4930" s="218" t="s">
        <v>5184</v>
      </c>
      <c r="C4930" s="218" t="s">
        <v>6053</v>
      </c>
      <c r="D4930" s="219">
        <v>1.0</v>
      </c>
      <c r="E4930" s="218">
        <v>300.0</v>
      </c>
      <c r="G4930" s="220">
        <v>43554.0</v>
      </c>
    </row>
    <row r="4931">
      <c r="A4931" s="217">
        <v>43554.720532962965</v>
      </c>
      <c r="B4931" s="218" t="s">
        <v>5184</v>
      </c>
      <c r="C4931" s="218" t="s">
        <v>7496</v>
      </c>
      <c r="D4931" s="219">
        <v>1.0</v>
      </c>
      <c r="E4931" s="218">
        <v>200.0</v>
      </c>
      <c r="G4931" s="220">
        <v>43554.0</v>
      </c>
    </row>
    <row r="4932">
      <c r="A4932" s="217">
        <v>43554.72121216435</v>
      </c>
      <c r="B4932" s="218" t="s">
        <v>5184</v>
      </c>
      <c r="C4932" s="218" t="s">
        <v>7806</v>
      </c>
      <c r="D4932" s="219">
        <v>1.0</v>
      </c>
      <c r="E4932" s="218">
        <v>600.0</v>
      </c>
      <c r="G4932" s="220">
        <v>43554.0</v>
      </c>
    </row>
    <row r="4933">
      <c r="A4933" s="217">
        <v>43554.72300008102</v>
      </c>
      <c r="B4933" s="218" t="s">
        <v>5184</v>
      </c>
      <c r="C4933" s="218" t="s">
        <v>7800</v>
      </c>
      <c r="D4933" s="219">
        <v>1.0</v>
      </c>
      <c r="E4933" s="218">
        <v>300.0</v>
      </c>
      <c r="G4933" s="220">
        <v>43554.0</v>
      </c>
    </row>
    <row r="4934">
      <c r="A4934" s="217">
        <v>43554.72357376157</v>
      </c>
      <c r="B4934" s="218" t="s">
        <v>5184</v>
      </c>
      <c r="C4934" s="218" t="s">
        <v>6053</v>
      </c>
      <c r="D4934" s="219">
        <v>1.0</v>
      </c>
      <c r="E4934" s="218">
        <v>300.0</v>
      </c>
      <c r="G4934" s="220">
        <v>43554.0</v>
      </c>
    </row>
    <row r="4935">
      <c r="A4935" s="217">
        <v>43554.72473747685</v>
      </c>
      <c r="B4935" s="218" t="s">
        <v>5184</v>
      </c>
      <c r="C4935" s="218" t="s">
        <v>7800</v>
      </c>
      <c r="D4935" s="219">
        <v>1.0</v>
      </c>
      <c r="E4935" s="218">
        <v>300.0</v>
      </c>
      <c r="G4935" s="220">
        <v>43554.0</v>
      </c>
    </row>
    <row r="4936">
      <c r="A4936" s="217">
        <v>43554.725268078706</v>
      </c>
      <c r="B4936" s="218" t="s">
        <v>5184</v>
      </c>
      <c r="C4936" s="218" t="s">
        <v>6053</v>
      </c>
      <c r="D4936" s="219">
        <v>1.0</v>
      </c>
      <c r="E4936" s="218">
        <v>300.0</v>
      </c>
      <c r="G4936" s="220">
        <v>43554.0</v>
      </c>
    </row>
    <row r="4937">
      <c r="A4937" s="217">
        <v>43554.72831167824</v>
      </c>
      <c r="B4937" s="218" t="s">
        <v>5184</v>
      </c>
      <c r="C4937" s="218" t="s">
        <v>5786</v>
      </c>
      <c r="D4937" s="219">
        <v>1.0</v>
      </c>
      <c r="E4937" s="218">
        <v>300.0</v>
      </c>
      <c r="G4937" s="220">
        <v>43554.0</v>
      </c>
    </row>
    <row r="4938">
      <c r="A4938" s="217">
        <v>43554.729005127316</v>
      </c>
      <c r="B4938" s="218" t="s">
        <v>5184</v>
      </c>
      <c r="C4938" s="218" t="s">
        <v>244</v>
      </c>
      <c r="D4938" s="219">
        <v>1.0</v>
      </c>
      <c r="E4938" s="218">
        <v>400.0</v>
      </c>
      <c r="G4938" s="220">
        <v>43554.0</v>
      </c>
    </row>
    <row r="4939">
      <c r="A4939" s="217">
        <v>43554.73273849537</v>
      </c>
      <c r="B4939" s="218" t="s">
        <v>5184</v>
      </c>
      <c r="C4939" s="218" t="s">
        <v>7496</v>
      </c>
      <c r="D4939" s="219">
        <v>1.0</v>
      </c>
      <c r="E4939" s="218">
        <v>200.0</v>
      </c>
      <c r="G4939" s="220">
        <v>43554.0</v>
      </c>
    </row>
    <row r="4940">
      <c r="A4940" s="217">
        <v>43554.73340081019</v>
      </c>
      <c r="B4940" s="218" t="s">
        <v>5184</v>
      </c>
      <c r="C4940" s="218" t="s">
        <v>284</v>
      </c>
      <c r="D4940" s="219">
        <v>1.0</v>
      </c>
      <c r="E4940" s="218">
        <v>400.0</v>
      </c>
      <c r="G4940" s="220">
        <v>43554.0</v>
      </c>
    </row>
    <row r="4941">
      <c r="A4941" s="217">
        <v>43554.737378460646</v>
      </c>
      <c r="B4941" s="218" t="s">
        <v>5184</v>
      </c>
      <c r="C4941" s="218" t="s">
        <v>7800</v>
      </c>
      <c r="D4941" s="219">
        <v>1.0</v>
      </c>
      <c r="E4941" s="218">
        <v>200.0</v>
      </c>
      <c r="G4941" s="220">
        <v>43554.0</v>
      </c>
    </row>
    <row r="4942">
      <c r="A4942" s="217">
        <v>43554.73789278935</v>
      </c>
      <c r="B4942" s="218" t="s">
        <v>5184</v>
      </c>
      <c r="C4942" s="218" t="s">
        <v>6053</v>
      </c>
      <c r="D4942" s="219">
        <v>1.0</v>
      </c>
      <c r="E4942" s="218">
        <v>300.0</v>
      </c>
      <c r="G4942" s="220">
        <v>43554.0</v>
      </c>
    </row>
    <row r="4943">
      <c r="A4943" s="217">
        <v>43554.76002988426</v>
      </c>
      <c r="B4943" s="218" t="s">
        <v>5184</v>
      </c>
      <c r="C4943" s="218" t="s">
        <v>6053</v>
      </c>
      <c r="D4943" s="219">
        <v>1.0</v>
      </c>
      <c r="E4943" s="218">
        <v>300.0</v>
      </c>
      <c r="G4943" s="220">
        <v>43554.0</v>
      </c>
    </row>
    <row r="4944">
      <c r="A4944" s="217">
        <v>43555.45408247685</v>
      </c>
      <c r="B4944" s="218" t="s">
        <v>5092</v>
      </c>
      <c r="C4944" s="218" t="s">
        <v>7806</v>
      </c>
      <c r="D4944" s="219">
        <v>1.0</v>
      </c>
      <c r="E4944" s="218">
        <v>600.0</v>
      </c>
      <c r="G4944" s="220">
        <v>43554.0</v>
      </c>
    </row>
    <row r="4945">
      <c r="A4945" s="217">
        <v>43555.45499322917</v>
      </c>
      <c r="B4945" s="218" t="s">
        <v>5092</v>
      </c>
      <c r="C4945" s="218" t="s">
        <v>284</v>
      </c>
      <c r="D4945" s="219">
        <v>1.0</v>
      </c>
      <c r="E4945" s="218">
        <v>400.0</v>
      </c>
      <c r="G4945" s="220">
        <v>43554.0</v>
      </c>
    </row>
    <row r="4946">
      <c r="A4946" s="217">
        <v>43555.45601925926</v>
      </c>
      <c r="B4946" s="218" t="s">
        <v>5092</v>
      </c>
      <c r="C4946" s="218" t="s">
        <v>7806</v>
      </c>
      <c r="D4946" s="219">
        <v>1.0</v>
      </c>
      <c r="E4946" s="218">
        <v>600.0</v>
      </c>
      <c r="G4946" s="220">
        <v>43554.0</v>
      </c>
    </row>
    <row r="4947">
      <c r="A4947" s="217">
        <v>43555.457052638885</v>
      </c>
      <c r="B4947" s="218" t="s">
        <v>5092</v>
      </c>
      <c r="C4947" s="218" t="s">
        <v>244</v>
      </c>
      <c r="D4947" s="219" t="s">
        <v>7547</v>
      </c>
      <c r="E4947" s="218">
        <v>200.0</v>
      </c>
      <c r="G4947" s="220">
        <v>43554.0</v>
      </c>
    </row>
    <row r="4948">
      <c r="A4948" s="217">
        <v>43555.459666435185</v>
      </c>
      <c r="B4948" s="218" t="s">
        <v>5092</v>
      </c>
      <c r="C4948" s="218" t="s">
        <v>244</v>
      </c>
      <c r="D4948" s="219" t="s">
        <v>8265</v>
      </c>
      <c r="E4948" s="218">
        <v>400.0</v>
      </c>
      <c r="G4948" s="220">
        <v>43554.0</v>
      </c>
    </row>
    <row r="4949">
      <c r="A4949" s="217">
        <v>43555.46056815972</v>
      </c>
      <c r="B4949" s="218" t="s">
        <v>5092</v>
      </c>
      <c r="C4949" s="218" t="s">
        <v>244</v>
      </c>
      <c r="D4949" s="219" t="s">
        <v>7547</v>
      </c>
      <c r="E4949" s="218">
        <v>200.0</v>
      </c>
      <c r="G4949" s="220">
        <v>43554.0</v>
      </c>
    </row>
    <row r="4950">
      <c r="A4950" s="217">
        <v>43555.461427766204</v>
      </c>
      <c r="B4950" s="218" t="s">
        <v>5092</v>
      </c>
      <c r="C4950" s="218" t="s">
        <v>244</v>
      </c>
      <c r="D4950" s="219" t="s">
        <v>7547</v>
      </c>
      <c r="E4950" s="218">
        <v>200.0</v>
      </c>
      <c r="G4950" s="220">
        <v>43554.0</v>
      </c>
    </row>
    <row r="4951">
      <c r="A4951" s="217">
        <v>43555.46272297454</v>
      </c>
      <c r="B4951" s="218" t="s">
        <v>5092</v>
      </c>
      <c r="C4951" s="218" t="s">
        <v>6053</v>
      </c>
      <c r="D4951" s="219" t="s">
        <v>8325</v>
      </c>
      <c r="E4951" s="218">
        <v>300.0</v>
      </c>
      <c r="G4951" s="220">
        <v>43554.0</v>
      </c>
    </row>
    <row r="4952">
      <c r="A4952" s="217">
        <v>43555.465595752314</v>
      </c>
      <c r="B4952" s="218" t="s">
        <v>5092</v>
      </c>
      <c r="C4952" s="218" t="s">
        <v>6053</v>
      </c>
      <c r="D4952" s="219" t="s">
        <v>7955</v>
      </c>
      <c r="E4952" s="218">
        <v>300.0</v>
      </c>
      <c r="G4952" s="220">
        <v>43554.0</v>
      </c>
    </row>
    <row r="4953">
      <c r="A4953" s="217">
        <v>43555.46715953704</v>
      </c>
      <c r="B4953" s="218" t="s">
        <v>5092</v>
      </c>
      <c r="C4953" s="218" t="s">
        <v>6053</v>
      </c>
      <c r="D4953" s="219" t="s">
        <v>8326</v>
      </c>
      <c r="E4953" s="218">
        <v>300.0</v>
      </c>
      <c r="G4953" s="220">
        <v>43554.0</v>
      </c>
    </row>
    <row r="4954">
      <c r="A4954" s="217">
        <v>43555.46799793981</v>
      </c>
      <c r="B4954" s="218" t="s">
        <v>5092</v>
      </c>
      <c r="C4954" s="218" t="s">
        <v>244</v>
      </c>
      <c r="D4954" s="219" t="s">
        <v>7547</v>
      </c>
      <c r="E4954" s="218">
        <v>200.0</v>
      </c>
      <c r="G4954" s="220">
        <v>43554.0</v>
      </c>
    </row>
    <row r="4955">
      <c r="A4955" s="217">
        <v>43555.47262043982</v>
      </c>
      <c r="B4955" s="218" t="s">
        <v>5184</v>
      </c>
      <c r="C4955" s="218" t="s">
        <v>8327</v>
      </c>
      <c r="D4955" s="219">
        <v>1.0</v>
      </c>
      <c r="E4955" s="218">
        <v>8200.0</v>
      </c>
      <c r="G4955" s="220">
        <v>43554.0</v>
      </c>
    </row>
    <row r="4956">
      <c r="A4956" s="217">
        <v>43555.474056736115</v>
      </c>
      <c r="B4956" s="218" t="s">
        <v>5184</v>
      </c>
      <c r="C4956" s="218" t="s">
        <v>2764</v>
      </c>
      <c r="D4956" s="219">
        <v>1.0</v>
      </c>
      <c r="E4956" s="218">
        <v>7650.0</v>
      </c>
      <c r="G4956" s="220">
        <v>43554.0</v>
      </c>
    </row>
    <row r="4957">
      <c r="A4957" s="217">
        <v>43555.47783251158</v>
      </c>
      <c r="B4957" s="218" t="s">
        <v>5184</v>
      </c>
      <c r="C4957" s="218" t="s">
        <v>5384</v>
      </c>
      <c r="D4957" s="219">
        <v>1.0</v>
      </c>
      <c r="E4957" s="218">
        <v>7650.0</v>
      </c>
      <c r="G4957" s="220">
        <v>43554.0</v>
      </c>
    </row>
    <row r="4958">
      <c r="A4958" s="217">
        <v>43555.479144791665</v>
      </c>
      <c r="B4958" s="218" t="s">
        <v>5184</v>
      </c>
      <c r="C4958" s="218" t="s">
        <v>8327</v>
      </c>
      <c r="D4958" s="219">
        <v>1.0</v>
      </c>
      <c r="E4958" s="218">
        <v>8200.0</v>
      </c>
      <c r="G4958" s="220">
        <v>43554.0</v>
      </c>
    </row>
    <row r="4959">
      <c r="A4959" s="217">
        <v>43555.48227796296</v>
      </c>
      <c r="B4959" s="218" t="s">
        <v>5184</v>
      </c>
      <c r="C4959" s="218" t="s">
        <v>6347</v>
      </c>
      <c r="D4959" s="219">
        <v>1.0</v>
      </c>
      <c r="E4959" s="218">
        <v>3990.0</v>
      </c>
      <c r="G4959" s="220">
        <v>43555.0</v>
      </c>
    </row>
    <row r="4960">
      <c r="A4960" s="217">
        <v>43555.48415293981</v>
      </c>
      <c r="B4960" s="218" t="s">
        <v>5184</v>
      </c>
      <c r="C4960" s="218" t="s">
        <v>6348</v>
      </c>
      <c r="D4960" s="219">
        <v>2.0</v>
      </c>
      <c r="E4960" s="218">
        <v>3990.0</v>
      </c>
      <c r="G4960" s="220">
        <v>43555.0</v>
      </c>
    </row>
    <row r="4961">
      <c r="A4961" s="217">
        <v>43555.485498344904</v>
      </c>
      <c r="B4961" s="218" t="s">
        <v>5184</v>
      </c>
      <c r="C4961" s="218" t="s">
        <v>2266</v>
      </c>
      <c r="D4961" s="219">
        <v>1.0</v>
      </c>
      <c r="E4961" s="218">
        <v>3790.0</v>
      </c>
      <c r="G4961" s="220">
        <v>43555.0</v>
      </c>
    </row>
    <row r="4962">
      <c r="A4962" s="217">
        <v>43555.48646519676</v>
      </c>
      <c r="B4962" s="218" t="s">
        <v>5184</v>
      </c>
      <c r="C4962" s="218" t="s">
        <v>2214</v>
      </c>
      <c r="D4962" s="219">
        <v>1.0</v>
      </c>
      <c r="E4962" s="218">
        <v>3790.0</v>
      </c>
      <c r="G4962" s="220">
        <v>43555.0</v>
      </c>
    </row>
    <row r="4963">
      <c r="A4963" s="217">
        <v>43555.48763278935</v>
      </c>
      <c r="B4963" s="218" t="s">
        <v>5184</v>
      </c>
      <c r="C4963" s="218" t="s">
        <v>5786</v>
      </c>
      <c r="D4963" s="219">
        <v>1.0</v>
      </c>
      <c r="E4963" s="218">
        <v>300.0</v>
      </c>
      <c r="G4963" s="220">
        <v>43555.0</v>
      </c>
    </row>
    <row r="4964">
      <c r="A4964" s="217">
        <v>43555.48853106481</v>
      </c>
      <c r="B4964" s="218" t="s">
        <v>5184</v>
      </c>
      <c r="C4964" s="218" t="s">
        <v>284</v>
      </c>
      <c r="D4964" s="219">
        <v>1.0</v>
      </c>
      <c r="E4964" s="218">
        <v>400.0</v>
      </c>
      <c r="G4964" s="220">
        <v>43555.0</v>
      </c>
    </row>
    <row r="4965">
      <c r="A4965" s="217">
        <v>43555.48932260417</v>
      </c>
      <c r="B4965" s="218" t="s">
        <v>5184</v>
      </c>
      <c r="C4965" s="218" t="s">
        <v>8072</v>
      </c>
      <c r="D4965" s="219">
        <v>1.0</v>
      </c>
      <c r="E4965" s="218">
        <v>500.0</v>
      </c>
      <c r="G4965" s="220">
        <v>43555.0</v>
      </c>
    </row>
    <row r="4966">
      <c r="A4966" s="217">
        <v>43555.48985048611</v>
      </c>
      <c r="B4966" s="218" t="s">
        <v>5184</v>
      </c>
      <c r="C4966" s="218" t="s">
        <v>284</v>
      </c>
      <c r="D4966" s="219">
        <v>1.0</v>
      </c>
      <c r="E4966" s="218">
        <v>400.0</v>
      </c>
      <c r="G4966" s="220">
        <v>43555.0</v>
      </c>
    </row>
    <row r="4967">
      <c r="A4967" s="217">
        <v>43555.49408790509</v>
      </c>
      <c r="B4967" s="218" t="s">
        <v>5184</v>
      </c>
      <c r="C4967" s="218" t="s">
        <v>8331</v>
      </c>
      <c r="D4967" s="219">
        <v>1.0</v>
      </c>
      <c r="E4967" s="218">
        <v>3990.0</v>
      </c>
      <c r="G4967" s="220">
        <v>43555.0</v>
      </c>
    </row>
    <row r="4968">
      <c r="A4968" s="217">
        <v>43555.497888425925</v>
      </c>
      <c r="B4968" s="218" t="s">
        <v>5184</v>
      </c>
      <c r="C4968" s="218" t="s">
        <v>6053</v>
      </c>
      <c r="D4968" s="219">
        <v>1.0</v>
      </c>
      <c r="E4968" s="218">
        <v>300.0</v>
      </c>
      <c r="G4968" s="220">
        <v>43555.0</v>
      </c>
    </row>
    <row r="4969">
      <c r="A4969" s="217">
        <v>43556.42279768518</v>
      </c>
      <c r="B4969" s="218" t="s">
        <v>5184</v>
      </c>
      <c r="C4969" s="218" t="s">
        <v>7800</v>
      </c>
      <c r="D4969" s="219">
        <v>1.0</v>
      </c>
      <c r="E4969" s="218">
        <v>300.0</v>
      </c>
      <c r="G4969" s="220">
        <v>43555.0</v>
      </c>
    </row>
    <row r="4970">
      <c r="A4970" s="217">
        <v>43556.42407415509</v>
      </c>
      <c r="B4970" s="218" t="s">
        <v>5184</v>
      </c>
      <c r="C4970" s="218" t="s">
        <v>284</v>
      </c>
      <c r="D4970" s="219">
        <v>1.0</v>
      </c>
      <c r="E4970" s="218">
        <v>400.0</v>
      </c>
      <c r="G4970" s="220">
        <v>43555.0</v>
      </c>
    </row>
    <row r="4971">
      <c r="A4971" s="217">
        <v>43556.59185034722</v>
      </c>
      <c r="B4971" s="218" t="s">
        <v>5184</v>
      </c>
      <c r="C4971" s="218" t="s">
        <v>6053</v>
      </c>
      <c r="D4971" s="219">
        <v>1.0</v>
      </c>
      <c r="E4971" s="218">
        <v>300.0</v>
      </c>
      <c r="G4971" s="220">
        <v>43556.0</v>
      </c>
    </row>
    <row r="4972">
      <c r="A4972" s="217">
        <v>43556.590840902776</v>
      </c>
      <c r="B4972" s="218" t="s">
        <v>5292</v>
      </c>
      <c r="C4972" s="218" t="s">
        <v>5786</v>
      </c>
      <c r="D4972" s="219">
        <v>1.0</v>
      </c>
      <c r="E4972" s="218">
        <v>300.0</v>
      </c>
      <c r="G4972" s="220">
        <v>43556.0</v>
      </c>
    </row>
    <row r="4973">
      <c r="A4973" s="217">
        <v>43556.61009126157</v>
      </c>
      <c r="B4973" s="218" t="s">
        <v>5184</v>
      </c>
      <c r="C4973" s="218" t="s">
        <v>6053</v>
      </c>
      <c r="D4973" s="219">
        <v>1.0</v>
      </c>
      <c r="E4973" s="218">
        <v>300.0</v>
      </c>
      <c r="G4973" s="220">
        <v>43556.0</v>
      </c>
    </row>
    <row r="4974">
      <c r="A4974" s="217">
        <v>43556.61401870371</v>
      </c>
      <c r="B4974" s="218" t="s">
        <v>5184</v>
      </c>
      <c r="C4974" s="218" t="s">
        <v>6053</v>
      </c>
      <c r="D4974" s="219">
        <v>1.0</v>
      </c>
      <c r="E4974" s="218">
        <v>300.0</v>
      </c>
      <c r="G4974" s="220">
        <v>43556.0</v>
      </c>
    </row>
    <row r="4975">
      <c r="A4975" s="217">
        <v>43556.61773736111</v>
      </c>
      <c r="B4975" s="218" t="s">
        <v>5184</v>
      </c>
      <c r="C4975" s="218" t="s">
        <v>5786</v>
      </c>
      <c r="D4975" s="219">
        <v>1.0</v>
      </c>
      <c r="E4975" s="218">
        <v>300.0</v>
      </c>
      <c r="G4975" s="220">
        <v>43556.0</v>
      </c>
    </row>
    <row r="4976">
      <c r="A4976" s="217">
        <v>43556.61884538195</v>
      </c>
      <c r="B4976" s="218" t="s">
        <v>5184</v>
      </c>
      <c r="C4976" s="218" t="s">
        <v>6053</v>
      </c>
      <c r="D4976" s="219">
        <v>1.0</v>
      </c>
      <c r="E4976" s="218">
        <v>300.0</v>
      </c>
      <c r="G4976" s="220">
        <v>43556.0</v>
      </c>
    </row>
    <row r="4977">
      <c r="A4977" s="217">
        <v>43556.638855509256</v>
      </c>
      <c r="B4977" s="218" t="s">
        <v>5184</v>
      </c>
      <c r="C4977" s="218" t="s">
        <v>6053</v>
      </c>
      <c r="D4977" s="219">
        <v>1.0</v>
      </c>
      <c r="E4977" s="218">
        <v>300.0</v>
      </c>
      <c r="G4977" s="220">
        <v>43556.0</v>
      </c>
    </row>
    <row r="4978">
      <c r="A4978" s="217">
        <v>43556.64107748843</v>
      </c>
      <c r="B4978" s="218" t="s">
        <v>5184</v>
      </c>
      <c r="C4978" s="218" t="s">
        <v>7800</v>
      </c>
      <c r="D4978" s="219">
        <v>1.0</v>
      </c>
      <c r="E4978" s="218">
        <v>200.0</v>
      </c>
      <c r="G4978" s="220">
        <v>43556.0</v>
      </c>
    </row>
    <row r="4979">
      <c r="A4979" s="217">
        <v>43556.65058512731</v>
      </c>
      <c r="B4979" s="218" t="s">
        <v>5184</v>
      </c>
      <c r="C4979" s="218" t="s">
        <v>6053</v>
      </c>
      <c r="D4979" s="219">
        <v>1.0</v>
      </c>
      <c r="E4979" s="218">
        <v>300.0</v>
      </c>
      <c r="G4979" s="220">
        <v>43556.0</v>
      </c>
    </row>
    <row r="4980">
      <c r="A4980" s="217">
        <v>43556.669643506946</v>
      </c>
      <c r="B4980" s="218" t="s">
        <v>5184</v>
      </c>
      <c r="C4980" s="218" t="s">
        <v>7800</v>
      </c>
      <c r="D4980" s="219">
        <v>1.0</v>
      </c>
      <c r="E4980" s="218">
        <v>200.0</v>
      </c>
      <c r="G4980" s="220">
        <v>43556.0</v>
      </c>
    </row>
    <row r="4981">
      <c r="A4981" s="217">
        <v>43556.6707612037</v>
      </c>
      <c r="B4981" s="218" t="s">
        <v>5184</v>
      </c>
      <c r="C4981" s="218" t="s">
        <v>6053</v>
      </c>
      <c r="D4981" s="219">
        <v>1.0</v>
      </c>
      <c r="E4981" s="218">
        <v>300.0</v>
      </c>
      <c r="G4981" s="220">
        <v>43556.0</v>
      </c>
    </row>
    <row r="4982">
      <c r="A4982" s="217">
        <v>43556.672135347224</v>
      </c>
      <c r="B4982" s="218" t="s">
        <v>5184</v>
      </c>
      <c r="C4982" s="218" t="s">
        <v>6053</v>
      </c>
      <c r="D4982" s="219">
        <v>1.0</v>
      </c>
      <c r="E4982" s="218">
        <v>300.0</v>
      </c>
      <c r="G4982" s="220">
        <v>43556.0</v>
      </c>
    </row>
    <row r="4983">
      <c r="A4983" s="217">
        <v>43556.67655969907</v>
      </c>
      <c r="B4983" s="218" t="s">
        <v>5184</v>
      </c>
      <c r="C4983" s="218" t="s">
        <v>5786</v>
      </c>
      <c r="D4983" s="219">
        <v>1.0</v>
      </c>
      <c r="E4983" s="218">
        <v>300.0</v>
      </c>
      <c r="G4983" s="220">
        <v>43556.0</v>
      </c>
    </row>
    <row r="4984">
      <c r="A4984" s="217">
        <v>43556.67721359954</v>
      </c>
      <c r="B4984" s="218" t="s">
        <v>5184</v>
      </c>
      <c r="C4984" s="218" t="s">
        <v>6053</v>
      </c>
      <c r="D4984" s="219">
        <v>1.0</v>
      </c>
      <c r="E4984" s="218">
        <v>300.0</v>
      </c>
      <c r="G4984" s="220">
        <v>43556.0</v>
      </c>
    </row>
    <row r="4985">
      <c r="A4985" s="217">
        <v>43556.67785689815</v>
      </c>
      <c r="B4985" s="218" t="s">
        <v>5184</v>
      </c>
      <c r="C4985" s="218" t="s">
        <v>7800</v>
      </c>
      <c r="D4985" s="219">
        <v>1.0</v>
      </c>
      <c r="E4985" s="218">
        <v>200.0</v>
      </c>
      <c r="G4985" s="220">
        <v>43556.0</v>
      </c>
    </row>
    <row r="4986">
      <c r="A4986" s="217">
        <v>43556.6784066088</v>
      </c>
      <c r="B4986" s="218" t="s">
        <v>5184</v>
      </c>
      <c r="C4986" s="218" t="s">
        <v>6053</v>
      </c>
      <c r="D4986" s="219">
        <v>1.0</v>
      </c>
      <c r="E4986" s="218">
        <v>300.0</v>
      </c>
      <c r="G4986" s="220">
        <v>43556.0</v>
      </c>
    </row>
    <row r="4987">
      <c r="A4987" s="217">
        <v>43556.67910978009</v>
      </c>
      <c r="B4987" s="218" t="s">
        <v>5184</v>
      </c>
      <c r="C4987" s="218" t="s">
        <v>6053</v>
      </c>
      <c r="D4987" s="219">
        <v>1.0</v>
      </c>
      <c r="E4987" s="218">
        <v>300.0</v>
      </c>
      <c r="G4987" s="220">
        <v>43556.0</v>
      </c>
    </row>
    <row r="4988">
      <c r="A4988" s="217">
        <v>43556.67979256944</v>
      </c>
      <c r="B4988" s="218" t="s">
        <v>5184</v>
      </c>
      <c r="C4988" s="218" t="s">
        <v>7800</v>
      </c>
      <c r="D4988" s="219">
        <v>1.0</v>
      </c>
      <c r="E4988" s="218">
        <v>200.0</v>
      </c>
      <c r="G4988" s="220">
        <v>43556.0</v>
      </c>
    </row>
    <row r="4989">
      <c r="A4989" s="217">
        <v>43556.6802278588</v>
      </c>
      <c r="B4989" s="218" t="s">
        <v>5184</v>
      </c>
      <c r="C4989" s="218" t="s">
        <v>6053</v>
      </c>
      <c r="D4989" s="219">
        <v>1.0</v>
      </c>
      <c r="E4989" s="218">
        <v>300.0</v>
      </c>
      <c r="G4989" s="220">
        <v>43556.0</v>
      </c>
    </row>
    <row r="4990">
      <c r="A4990" s="217">
        <v>43556.68096322917</v>
      </c>
      <c r="B4990" s="218" t="s">
        <v>5184</v>
      </c>
      <c r="C4990" s="218" t="s">
        <v>7800</v>
      </c>
      <c r="D4990" s="219">
        <v>1.0</v>
      </c>
      <c r="E4990" s="218">
        <v>200.0</v>
      </c>
      <c r="G4990" s="220">
        <v>43556.0</v>
      </c>
    </row>
    <row r="4991">
      <c r="A4991" s="217">
        <v>43556.68163528935</v>
      </c>
      <c r="B4991" s="218" t="s">
        <v>5184</v>
      </c>
      <c r="C4991" s="218" t="s">
        <v>6053</v>
      </c>
      <c r="D4991" s="219">
        <v>1.0</v>
      </c>
      <c r="E4991" s="218">
        <v>300.0</v>
      </c>
      <c r="G4991" s="220">
        <v>43556.0</v>
      </c>
    </row>
    <row r="4992">
      <c r="A4992" s="217">
        <v>43556.682886469905</v>
      </c>
      <c r="B4992" s="218" t="s">
        <v>5184</v>
      </c>
      <c r="C4992" s="218" t="s">
        <v>7800</v>
      </c>
      <c r="D4992" s="219">
        <v>1.0</v>
      </c>
      <c r="E4992" s="218">
        <v>200.0</v>
      </c>
      <c r="G4992" s="220">
        <v>43556.0</v>
      </c>
    </row>
    <row r="4993">
      <c r="A4993" s="217">
        <v>43556.68342295139</v>
      </c>
      <c r="B4993" s="218" t="s">
        <v>5184</v>
      </c>
      <c r="C4993" s="218" t="s">
        <v>6053</v>
      </c>
      <c r="D4993" s="219">
        <v>1.0</v>
      </c>
      <c r="E4993" s="218">
        <v>300.0</v>
      </c>
      <c r="G4993" s="220">
        <v>43556.0</v>
      </c>
    </row>
    <row r="4994">
      <c r="A4994" s="217">
        <v>43556.684066851856</v>
      </c>
      <c r="B4994" s="218" t="s">
        <v>5184</v>
      </c>
      <c r="C4994" s="218" t="s">
        <v>6053</v>
      </c>
      <c r="D4994" s="219">
        <v>1.0</v>
      </c>
      <c r="E4994" s="218">
        <v>300.0</v>
      </c>
      <c r="G4994" s="220">
        <v>43556.0</v>
      </c>
    </row>
    <row r="4995">
      <c r="A4995" s="217">
        <v>43556.68475380787</v>
      </c>
      <c r="B4995" s="218" t="s">
        <v>5184</v>
      </c>
      <c r="C4995" s="218" t="s">
        <v>5786</v>
      </c>
      <c r="D4995" s="219">
        <v>1.0</v>
      </c>
      <c r="E4995" s="218">
        <v>300.0</v>
      </c>
      <c r="G4995" s="220">
        <v>43556.0</v>
      </c>
    </row>
    <row r="4996">
      <c r="A4996" s="217">
        <v>43556.68528979167</v>
      </c>
      <c r="B4996" s="218" t="s">
        <v>5184</v>
      </c>
      <c r="C4996" s="218" t="s">
        <v>6053</v>
      </c>
      <c r="D4996" s="219">
        <v>1.0</v>
      </c>
      <c r="E4996" s="218">
        <v>300.0</v>
      </c>
      <c r="G4996" s="220">
        <v>43556.0</v>
      </c>
    </row>
    <row r="4997">
      <c r="A4997" s="217">
        <v>43556.68626141203</v>
      </c>
      <c r="B4997" s="218" t="s">
        <v>5184</v>
      </c>
      <c r="C4997" s="218" t="s">
        <v>6053</v>
      </c>
      <c r="D4997" s="219" t="s">
        <v>7547</v>
      </c>
      <c r="E4997" s="218">
        <v>150.0</v>
      </c>
      <c r="G4997" s="220">
        <v>43556.0</v>
      </c>
    </row>
    <row r="4998">
      <c r="A4998" s="217">
        <v>43556.69918311342</v>
      </c>
      <c r="B4998" s="218" t="s">
        <v>5184</v>
      </c>
      <c r="C4998" s="218" t="s">
        <v>5786</v>
      </c>
      <c r="D4998" s="219">
        <v>1.0</v>
      </c>
      <c r="E4998" s="218">
        <v>300.0</v>
      </c>
      <c r="G4998" s="220">
        <v>43556.0</v>
      </c>
    </row>
    <row r="4999">
      <c r="A4999" s="217">
        <v>43556.699754699075</v>
      </c>
      <c r="B4999" s="218" t="s">
        <v>5184</v>
      </c>
      <c r="C4999" s="218" t="s">
        <v>6053</v>
      </c>
      <c r="D4999" s="219">
        <v>1.0</v>
      </c>
      <c r="E4999" s="218">
        <v>300.0</v>
      </c>
      <c r="G4999" s="220">
        <v>43556.0</v>
      </c>
    </row>
    <row r="5000">
      <c r="A5000" s="217">
        <v>43557.5244409838</v>
      </c>
      <c r="B5000" s="218" t="s">
        <v>5184</v>
      </c>
      <c r="C5000" s="218" t="s">
        <v>7800</v>
      </c>
      <c r="D5000" s="219">
        <v>1.0</v>
      </c>
      <c r="E5000" s="218">
        <v>300.0</v>
      </c>
      <c r="G5000" s="220">
        <v>43557.0</v>
      </c>
    </row>
    <row r="5001">
      <c r="A5001" s="217">
        <v>43557.525536493056</v>
      </c>
      <c r="B5001" s="218" t="s">
        <v>5184</v>
      </c>
      <c r="C5001" s="218" t="s">
        <v>284</v>
      </c>
      <c r="D5001" s="219">
        <v>1.0</v>
      </c>
      <c r="E5001" s="218">
        <v>400.0</v>
      </c>
      <c r="G5001" s="220">
        <v>43557.0</v>
      </c>
    </row>
    <row r="5002">
      <c r="A5002" s="217">
        <v>43557.52685591435</v>
      </c>
      <c r="B5002" s="218" t="s">
        <v>5184</v>
      </c>
      <c r="C5002" s="218" t="s">
        <v>6053</v>
      </c>
      <c r="D5002" s="219">
        <v>1.0</v>
      </c>
      <c r="E5002" s="218">
        <v>300.0</v>
      </c>
      <c r="G5002" s="220">
        <v>43557.0</v>
      </c>
    </row>
    <row r="5003">
      <c r="A5003" s="217">
        <v>43557.52851979167</v>
      </c>
      <c r="B5003" s="218" t="s">
        <v>5184</v>
      </c>
      <c r="C5003" s="218" t="s">
        <v>7800</v>
      </c>
      <c r="D5003" s="219">
        <v>1.0</v>
      </c>
      <c r="E5003" s="218">
        <v>200.0</v>
      </c>
      <c r="G5003" s="220">
        <v>43557.0</v>
      </c>
    </row>
    <row r="5004">
      <c r="A5004" s="217">
        <v>43557.52943633102</v>
      </c>
      <c r="B5004" s="218" t="s">
        <v>5184</v>
      </c>
      <c r="C5004" s="218" t="s">
        <v>6053</v>
      </c>
      <c r="D5004" s="219">
        <v>1.0</v>
      </c>
      <c r="E5004" s="218">
        <v>300.0</v>
      </c>
      <c r="G5004" s="220">
        <v>43557.0</v>
      </c>
    </row>
    <row r="5005">
      <c r="A5005" s="217">
        <v>43557.53168185185</v>
      </c>
      <c r="B5005" s="218" t="s">
        <v>5184</v>
      </c>
      <c r="C5005" s="218" t="s">
        <v>7800</v>
      </c>
      <c r="D5005" s="219">
        <v>1.0</v>
      </c>
      <c r="E5005" s="218">
        <v>300.0</v>
      </c>
      <c r="G5005" s="220">
        <v>43557.0</v>
      </c>
    </row>
    <row r="5006">
      <c r="A5006" s="217">
        <v>43557.532275289355</v>
      </c>
      <c r="B5006" s="218" t="s">
        <v>5184</v>
      </c>
      <c r="C5006" s="218" t="s">
        <v>6053</v>
      </c>
      <c r="D5006" s="219">
        <v>1.0</v>
      </c>
      <c r="E5006" s="218">
        <v>300.0</v>
      </c>
      <c r="G5006" s="220">
        <v>43557.0</v>
      </c>
    </row>
    <row r="5007">
      <c r="A5007" s="217">
        <v>43557.53313851852</v>
      </c>
      <c r="B5007" s="218" t="s">
        <v>5184</v>
      </c>
      <c r="C5007" s="218" t="s">
        <v>5789</v>
      </c>
      <c r="D5007" s="219">
        <v>1.0</v>
      </c>
      <c r="E5007" s="218">
        <v>400.0</v>
      </c>
      <c r="G5007" s="220">
        <v>43557.0</v>
      </c>
    </row>
    <row r="5008">
      <c r="A5008" s="217">
        <v>43557.53365761574</v>
      </c>
      <c r="B5008" s="218" t="s">
        <v>5184</v>
      </c>
      <c r="C5008" s="218" t="s">
        <v>6053</v>
      </c>
      <c r="D5008" s="219">
        <v>1.0</v>
      </c>
      <c r="E5008" s="218">
        <v>300.0</v>
      </c>
      <c r="G5008" s="220">
        <v>43557.0</v>
      </c>
    </row>
    <row r="5009">
      <c r="A5009" s="217">
        <v>43557.53468946759</v>
      </c>
      <c r="B5009" s="218" t="s">
        <v>5184</v>
      </c>
      <c r="C5009" s="218" t="s">
        <v>6001</v>
      </c>
      <c r="D5009" s="219">
        <v>1.0</v>
      </c>
      <c r="E5009" s="218">
        <v>500.0</v>
      </c>
      <c r="G5009" s="220">
        <v>43557.0</v>
      </c>
    </row>
    <row r="5010">
      <c r="A5010" s="217">
        <v>43557.53520643519</v>
      </c>
      <c r="B5010" s="218" t="s">
        <v>5184</v>
      </c>
      <c r="C5010" s="218" t="s">
        <v>6053</v>
      </c>
      <c r="D5010" s="219">
        <v>1.0</v>
      </c>
      <c r="E5010" s="218">
        <v>300.0</v>
      </c>
      <c r="G5010" s="220">
        <v>43557.0</v>
      </c>
    </row>
    <row r="5011">
      <c r="A5011" s="217">
        <v>43557.58073552084</v>
      </c>
      <c r="B5011" s="218" t="s">
        <v>5184</v>
      </c>
      <c r="C5011" s="218" t="s">
        <v>4506</v>
      </c>
      <c r="D5011" s="219">
        <v>2.0</v>
      </c>
      <c r="E5011" s="218">
        <v>1850.0</v>
      </c>
      <c r="G5011" s="220">
        <v>43556.0</v>
      </c>
    </row>
    <row r="5012">
      <c r="A5012" s="217">
        <v>43557.5827003125</v>
      </c>
      <c r="B5012" s="218" t="s">
        <v>5184</v>
      </c>
      <c r="C5012" s="218" t="s">
        <v>1257</v>
      </c>
      <c r="D5012" s="219">
        <v>1.0</v>
      </c>
      <c r="E5012" s="218">
        <v>995.0</v>
      </c>
      <c r="G5012" s="220">
        <v>43556.0</v>
      </c>
    </row>
    <row r="5013">
      <c r="A5013" s="217">
        <v>43557.58430935185</v>
      </c>
      <c r="B5013" s="218" t="s">
        <v>5184</v>
      </c>
      <c r="C5013" s="218" t="s">
        <v>4611</v>
      </c>
      <c r="D5013" s="219">
        <v>1.0</v>
      </c>
      <c r="E5013" s="218">
        <v>895.0</v>
      </c>
      <c r="G5013" s="220">
        <v>43556.0</v>
      </c>
    </row>
    <row r="5014">
      <c r="A5014" s="217">
        <v>43557.58575063657</v>
      </c>
      <c r="B5014" s="218" t="s">
        <v>5184</v>
      </c>
      <c r="C5014" s="218" t="s">
        <v>5377</v>
      </c>
      <c r="D5014" s="219">
        <v>1.0</v>
      </c>
      <c r="E5014" s="218">
        <v>8750.0</v>
      </c>
      <c r="G5014" s="220">
        <v>43556.0</v>
      </c>
    </row>
    <row r="5015">
      <c r="A5015" s="217">
        <v>43557.58709405093</v>
      </c>
      <c r="B5015" s="218" t="s">
        <v>5184</v>
      </c>
      <c r="C5015" s="218" t="s">
        <v>6295</v>
      </c>
      <c r="D5015" s="219">
        <v>1.0</v>
      </c>
      <c r="E5015" s="218">
        <v>7690.0</v>
      </c>
      <c r="G5015" s="220">
        <v>43556.0</v>
      </c>
    </row>
    <row r="5016">
      <c r="A5016" s="217">
        <v>43557.58857655093</v>
      </c>
      <c r="B5016" s="218" t="s">
        <v>5184</v>
      </c>
      <c r="C5016" s="218" t="s">
        <v>1789</v>
      </c>
      <c r="D5016" s="219">
        <v>1.0</v>
      </c>
      <c r="E5016" s="218">
        <v>800.0</v>
      </c>
      <c r="G5016" s="220">
        <v>43556.0</v>
      </c>
    </row>
    <row r="5017">
      <c r="A5017" s="217">
        <v>43557.5893974537</v>
      </c>
      <c r="B5017" s="218" t="s">
        <v>5184</v>
      </c>
      <c r="C5017" s="218" t="s">
        <v>6053</v>
      </c>
      <c r="D5017" s="219">
        <v>1.0</v>
      </c>
      <c r="E5017" s="218">
        <v>300.0</v>
      </c>
      <c r="G5017" s="220">
        <v>43557.0</v>
      </c>
    </row>
    <row r="5018">
      <c r="A5018" s="217">
        <v>43557.72862018518</v>
      </c>
      <c r="B5018" s="218" t="s">
        <v>5184</v>
      </c>
      <c r="C5018" s="218" t="s">
        <v>7408</v>
      </c>
      <c r="D5018" s="219">
        <v>1.0</v>
      </c>
      <c r="E5018" s="218">
        <v>200.0</v>
      </c>
      <c r="G5018" s="220">
        <v>43557.0</v>
      </c>
    </row>
    <row r="5019">
      <c r="A5019" s="217">
        <v>43558.56436606482</v>
      </c>
      <c r="B5019" s="218" t="s">
        <v>5184</v>
      </c>
      <c r="C5019" s="218" t="s">
        <v>284</v>
      </c>
      <c r="D5019" s="219">
        <v>1.0</v>
      </c>
      <c r="E5019" s="218">
        <v>400.0</v>
      </c>
      <c r="G5019" s="220">
        <v>43557.0</v>
      </c>
    </row>
    <row r="5020">
      <c r="A5020" s="217">
        <v>43558.56514935185</v>
      </c>
      <c r="B5020" s="218" t="s">
        <v>5184</v>
      </c>
      <c r="C5020" s="218" t="s">
        <v>7800</v>
      </c>
      <c r="D5020" s="219">
        <v>1.0</v>
      </c>
      <c r="E5020" s="218">
        <v>300.0</v>
      </c>
      <c r="G5020" s="220">
        <v>43557.0</v>
      </c>
    </row>
    <row r="5021">
      <c r="A5021" s="217">
        <v>43558.565907129625</v>
      </c>
      <c r="B5021" s="218" t="s">
        <v>5184</v>
      </c>
      <c r="C5021" s="218" t="s">
        <v>7806</v>
      </c>
      <c r="D5021" s="219">
        <v>1.0</v>
      </c>
      <c r="E5021" s="218">
        <v>600.0</v>
      </c>
      <c r="G5021" s="220">
        <v>43557.0</v>
      </c>
    </row>
    <row r="5022">
      <c r="A5022" s="217">
        <v>43558.57618739583</v>
      </c>
      <c r="B5022" s="218" t="s">
        <v>5184</v>
      </c>
      <c r="C5022" s="218" t="s">
        <v>6053</v>
      </c>
      <c r="D5022" s="219">
        <v>1.0</v>
      </c>
      <c r="E5022" s="218">
        <v>300.0</v>
      </c>
      <c r="G5022" s="220">
        <v>43558.0</v>
      </c>
    </row>
    <row r="5023">
      <c r="A5023" s="217">
        <v>43558.579258032405</v>
      </c>
      <c r="B5023" s="218" t="s">
        <v>5184</v>
      </c>
      <c r="C5023" s="218" t="s">
        <v>7800</v>
      </c>
      <c r="D5023" s="219">
        <v>1.0</v>
      </c>
      <c r="E5023" s="218">
        <v>200.0</v>
      </c>
      <c r="G5023" s="220">
        <v>43558.0</v>
      </c>
    </row>
    <row r="5024">
      <c r="A5024" s="217">
        <v>43558.579967349535</v>
      </c>
      <c r="B5024" s="218" t="s">
        <v>5184</v>
      </c>
      <c r="C5024" s="218" t="s">
        <v>6053</v>
      </c>
      <c r="D5024" s="219">
        <v>1.0</v>
      </c>
      <c r="E5024" s="218">
        <v>300.0</v>
      </c>
      <c r="G5024" s="220">
        <v>43558.0</v>
      </c>
    </row>
    <row r="5025">
      <c r="A5025" s="217">
        <v>43558.581971736116</v>
      </c>
      <c r="B5025" s="218" t="s">
        <v>5184</v>
      </c>
      <c r="C5025" s="218" t="s">
        <v>5786</v>
      </c>
      <c r="D5025" s="219">
        <v>1.0</v>
      </c>
      <c r="E5025" s="218">
        <v>300.0</v>
      </c>
      <c r="G5025" s="220">
        <v>43558.0</v>
      </c>
    </row>
    <row r="5026">
      <c r="A5026" s="217">
        <v>43558.582574479165</v>
      </c>
      <c r="B5026" s="218" t="s">
        <v>5184</v>
      </c>
      <c r="C5026" s="218" t="s">
        <v>244</v>
      </c>
      <c r="D5026" s="219">
        <v>1.0</v>
      </c>
      <c r="E5026" s="218">
        <v>400.0</v>
      </c>
      <c r="G5026" s="220">
        <v>43558.0</v>
      </c>
    </row>
    <row r="5027">
      <c r="A5027" s="217">
        <v>43558.583387094906</v>
      </c>
      <c r="B5027" s="218" t="s">
        <v>5184</v>
      </c>
      <c r="C5027" s="218" t="s">
        <v>5848</v>
      </c>
      <c r="D5027" s="219">
        <v>1.0</v>
      </c>
      <c r="E5027" s="218">
        <v>1000.0</v>
      </c>
      <c r="G5027" s="220">
        <v>43558.0</v>
      </c>
    </row>
    <row r="5028">
      <c r="A5028" s="217">
        <v>43558.585113622685</v>
      </c>
      <c r="B5028" s="218" t="s">
        <v>5184</v>
      </c>
      <c r="C5028" s="218" t="s">
        <v>284</v>
      </c>
      <c r="D5028" s="219">
        <v>1.0</v>
      </c>
      <c r="E5028" s="218">
        <v>400.0</v>
      </c>
      <c r="G5028" s="220">
        <v>43558.0</v>
      </c>
    </row>
    <row r="5029">
      <c r="A5029" s="217">
        <v>43558.58685047454</v>
      </c>
      <c r="B5029" s="218" t="s">
        <v>5184</v>
      </c>
      <c r="C5029" s="218" t="s">
        <v>8072</v>
      </c>
      <c r="D5029" s="219">
        <v>1.0</v>
      </c>
      <c r="E5029" s="218">
        <v>500.0</v>
      </c>
      <c r="G5029" s="220">
        <v>43558.0</v>
      </c>
    </row>
    <row r="5030">
      <c r="A5030" s="217">
        <v>43558.58761418982</v>
      </c>
      <c r="B5030" s="218" t="s">
        <v>5184</v>
      </c>
      <c r="C5030" s="218" t="s">
        <v>6053</v>
      </c>
      <c r="D5030" s="219">
        <v>1.0</v>
      </c>
      <c r="E5030" s="218">
        <v>300.0</v>
      </c>
      <c r="G5030" s="220">
        <v>43558.0</v>
      </c>
    </row>
    <row r="5031">
      <c r="A5031" s="217">
        <v>43558.59140230324</v>
      </c>
      <c r="B5031" s="218" t="s">
        <v>5184</v>
      </c>
      <c r="C5031" s="218" t="s">
        <v>6053</v>
      </c>
      <c r="D5031" s="219">
        <v>1.0</v>
      </c>
      <c r="E5031" s="218">
        <v>300.0</v>
      </c>
      <c r="G5031" s="220">
        <v>43558.0</v>
      </c>
    </row>
    <row r="5032">
      <c r="A5032" s="217">
        <v>43559.5751918287</v>
      </c>
      <c r="B5032" s="218" t="s">
        <v>5184</v>
      </c>
      <c r="C5032" s="218" t="s">
        <v>6053</v>
      </c>
      <c r="D5032" s="219">
        <v>1.0</v>
      </c>
      <c r="E5032" s="218">
        <v>300.0</v>
      </c>
      <c r="G5032" s="220">
        <v>43558.0</v>
      </c>
    </row>
    <row r="5033">
      <c r="A5033" s="217">
        <v>43559.57818261574</v>
      </c>
      <c r="B5033" s="218" t="s">
        <v>5092</v>
      </c>
      <c r="C5033" s="218" t="s">
        <v>284</v>
      </c>
      <c r="D5033" s="219">
        <v>2.0</v>
      </c>
      <c r="E5033" s="218">
        <v>400.0</v>
      </c>
      <c r="G5033" s="220">
        <v>43558.0</v>
      </c>
    </row>
    <row r="5034">
      <c r="A5034" s="217">
        <v>43559.58036712963</v>
      </c>
      <c r="B5034" s="218" t="s">
        <v>5092</v>
      </c>
      <c r="C5034" s="218" t="s">
        <v>6053</v>
      </c>
      <c r="D5034" s="219" t="s">
        <v>7955</v>
      </c>
      <c r="E5034" s="218">
        <v>300.0</v>
      </c>
      <c r="G5034" s="220">
        <v>43558.0</v>
      </c>
    </row>
    <row r="5035">
      <c r="A5035" s="217">
        <v>43559.58555157407</v>
      </c>
      <c r="B5035" s="218" t="s">
        <v>5092</v>
      </c>
      <c r="C5035" s="218" t="s">
        <v>6053</v>
      </c>
      <c r="D5035" s="219">
        <v>1.0</v>
      </c>
      <c r="E5035" s="218">
        <v>300.0</v>
      </c>
      <c r="G5035" s="220">
        <v>43558.0</v>
      </c>
    </row>
    <row r="5036">
      <c r="A5036" s="217">
        <v>43559.58650619213</v>
      </c>
      <c r="B5036" s="218" t="s">
        <v>5092</v>
      </c>
      <c r="C5036" s="218" t="s">
        <v>828</v>
      </c>
      <c r="D5036" s="219" t="s">
        <v>7652</v>
      </c>
      <c r="E5036" s="218">
        <v>400.0</v>
      </c>
      <c r="G5036" s="220">
        <v>43558.0</v>
      </c>
    </row>
    <row r="5037">
      <c r="A5037" s="217">
        <v>43559.588635844906</v>
      </c>
      <c r="B5037" s="218" t="s">
        <v>5092</v>
      </c>
      <c r="C5037" s="218" t="s">
        <v>7806</v>
      </c>
      <c r="D5037" s="219">
        <v>2.0</v>
      </c>
      <c r="E5037" s="218">
        <v>600.0</v>
      </c>
      <c r="G5037" s="220">
        <v>43558.0</v>
      </c>
    </row>
    <row r="5038">
      <c r="A5038" s="217">
        <v>43559.589853171296</v>
      </c>
      <c r="B5038" s="218" t="s">
        <v>5092</v>
      </c>
      <c r="C5038" s="218" t="s">
        <v>244</v>
      </c>
      <c r="D5038" s="219" t="s">
        <v>7652</v>
      </c>
      <c r="E5038" s="218">
        <v>400.0</v>
      </c>
      <c r="G5038" s="220">
        <v>43558.0</v>
      </c>
    </row>
    <row r="5039">
      <c r="A5039" s="217">
        <v>43559.59439295139</v>
      </c>
      <c r="B5039" s="218" t="s">
        <v>5184</v>
      </c>
      <c r="C5039" s="218" t="s">
        <v>6554</v>
      </c>
      <c r="D5039" s="219">
        <v>1.0</v>
      </c>
      <c r="E5039" s="218">
        <v>6650.0</v>
      </c>
      <c r="G5039" s="220">
        <v>43559.0</v>
      </c>
    </row>
    <row r="5040">
      <c r="A5040" s="217">
        <v>43559.59576930555</v>
      </c>
      <c r="B5040" s="218" t="s">
        <v>5184</v>
      </c>
      <c r="C5040" s="218" t="s">
        <v>5313</v>
      </c>
      <c r="D5040" s="219">
        <v>1.0</v>
      </c>
      <c r="E5040" s="218">
        <v>7500.0</v>
      </c>
      <c r="G5040" s="220">
        <v>43559.0</v>
      </c>
    </row>
    <row r="5041">
      <c r="A5041" s="217">
        <v>43559.59852934028</v>
      </c>
      <c r="B5041" s="218" t="s">
        <v>5184</v>
      </c>
      <c r="C5041" s="218" t="s">
        <v>6555</v>
      </c>
      <c r="D5041" s="219">
        <v>1.0</v>
      </c>
      <c r="E5041" s="218">
        <v>6650.0</v>
      </c>
      <c r="G5041" s="220">
        <v>43559.0</v>
      </c>
    </row>
    <row r="5042">
      <c r="A5042" s="217">
        <v>43559.60063349537</v>
      </c>
      <c r="B5042" s="218" t="s">
        <v>5184</v>
      </c>
      <c r="C5042" s="218" t="s">
        <v>1452</v>
      </c>
      <c r="D5042" s="219">
        <v>1.0</v>
      </c>
      <c r="E5042" s="218">
        <v>2450.0</v>
      </c>
      <c r="G5042" s="220">
        <v>43559.0</v>
      </c>
    </row>
    <row r="5043">
      <c r="A5043" s="217">
        <v>43559.60214729166</v>
      </c>
      <c r="B5043" s="218" t="s">
        <v>5184</v>
      </c>
      <c r="C5043" s="218" t="s">
        <v>8362</v>
      </c>
      <c r="D5043" s="219">
        <v>1.0</v>
      </c>
      <c r="E5043" s="218">
        <v>4890.0</v>
      </c>
      <c r="G5043" s="220">
        <v>43559.0</v>
      </c>
    </row>
    <row r="5044">
      <c r="A5044" s="217">
        <v>43559.61289142361</v>
      </c>
      <c r="B5044" s="218" t="s">
        <v>5184</v>
      </c>
      <c r="C5044" s="218" t="s">
        <v>5386</v>
      </c>
      <c r="D5044" s="219">
        <v>1.0</v>
      </c>
      <c r="E5044" s="218">
        <v>7650.0</v>
      </c>
      <c r="G5044" s="220">
        <v>43554.0</v>
      </c>
    </row>
    <row r="5045">
      <c r="A5045" s="217">
        <v>43559.624205127315</v>
      </c>
      <c r="B5045" s="218" t="s">
        <v>5184</v>
      </c>
      <c r="C5045" s="218" t="s">
        <v>6053</v>
      </c>
      <c r="D5045" s="219">
        <v>1.0</v>
      </c>
      <c r="E5045" s="218">
        <v>300.0</v>
      </c>
      <c r="G5045" s="220">
        <v>43559.0</v>
      </c>
    </row>
    <row r="5046">
      <c r="A5046" s="217">
        <v>43559.625264490736</v>
      </c>
      <c r="B5046" s="218" t="s">
        <v>5184</v>
      </c>
      <c r="C5046" s="218" t="s">
        <v>7800</v>
      </c>
      <c r="D5046" s="219">
        <v>1.0</v>
      </c>
      <c r="E5046" s="218">
        <v>200.0</v>
      </c>
      <c r="G5046" s="220">
        <v>43559.0</v>
      </c>
    </row>
    <row r="5047">
      <c r="A5047" s="217">
        <v>43559.626027997685</v>
      </c>
      <c r="B5047" s="218" t="s">
        <v>5184</v>
      </c>
      <c r="C5047" s="218" t="s">
        <v>6053</v>
      </c>
      <c r="D5047" s="219">
        <v>1.0</v>
      </c>
      <c r="E5047" s="218">
        <v>300.0</v>
      </c>
      <c r="G5047" s="220">
        <v>43559.0</v>
      </c>
    </row>
    <row r="5048">
      <c r="A5048" s="217">
        <v>43559.62918498843</v>
      </c>
      <c r="B5048" s="218" t="s">
        <v>5184</v>
      </c>
      <c r="C5048" s="218" t="s">
        <v>7800</v>
      </c>
      <c r="D5048" s="219">
        <v>1.0</v>
      </c>
      <c r="E5048" s="218">
        <v>200.0</v>
      </c>
      <c r="G5048" s="220">
        <v>43559.0</v>
      </c>
    </row>
    <row r="5049">
      <c r="A5049" s="217">
        <v>43559.62971891204</v>
      </c>
      <c r="B5049" s="218" t="s">
        <v>5184</v>
      </c>
      <c r="C5049" s="218" t="s">
        <v>6053</v>
      </c>
      <c r="D5049" s="219">
        <v>1.0</v>
      </c>
      <c r="E5049" s="218">
        <v>300.0</v>
      </c>
      <c r="G5049" s="220">
        <v>43559.0</v>
      </c>
    </row>
    <row r="5050">
      <c r="A5050" s="217">
        <v>43559.631105162036</v>
      </c>
      <c r="B5050" s="218" t="s">
        <v>5184</v>
      </c>
      <c r="C5050" s="218" t="s">
        <v>7800</v>
      </c>
      <c r="D5050" s="219">
        <v>1.0</v>
      </c>
      <c r="E5050" s="218">
        <v>200.0</v>
      </c>
      <c r="G5050" s="220">
        <v>43559.0</v>
      </c>
    </row>
    <row r="5051">
      <c r="A5051" s="217">
        <v>43559.631924189816</v>
      </c>
      <c r="B5051" s="218" t="s">
        <v>5184</v>
      </c>
      <c r="C5051" s="218" t="s">
        <v>6053</v>
      </c>
      <c r="D5051" s="219">
        <v>1.0</v>
      </c>
      <c r="E5051" s="218">
        <v>300.0</v>
      </c>
      <c r="G5051" s="220">
        <v>43559.0</v>
      </c>
    </row>
    <row r="5052">
      <c r="A5052" s="217">
        <v>43559.6388431713</v>
      </c>
      <c r="B5052" s="218" t="s">
        <v>5184</v>
      </c>
      <c r="C5052" s="218" t="s">
        <v>6053</v>
      </c>
      <c r="D5052" s="219">
        <v>1.0</v>
      </c>
      <c r="E5052" s="218">
        <v>300.0</v>
      </c>
      <c r="G5052" s="220">
        <v>43559.0</v>
      </c>
    </row>
    <row r="5053">
      <c r="A5053" s="217">
        <v>43559.639738275466</v>
      </c>
      <c r="B5053" s="218" t="s">
        <v>5184</v>
      </c>
      <c r="C5053" s="218" t="s">
        <v>7800</v>
      </c>
      <c r="D5053" s="219">
        <v>1.0</v>
      </c>
      <c r="E5053" s="218">
        <v>200.0</v>
      </c>
      <c r="G5053" s="220">
        <v>43559.0</v>
      </c>
    </row>
    <row r="5054">
      <c r="A5054" s="217">
        <v>43559.6449468287</v>
      </c>
      <c r="B5054" s="218" t="s">
        <v>5184</v>
      </c>
      <c r="C5054" s="218" t="s">
        <v>6053</v>
      </c>
      <c r="D5054" s="219">
        <v>1.0</v>
      </c>
      <c r="E5054" s="218">
        <v>300.0</v>
      </c>
      <c r="G5054" s="220">
        <v>43559.0</v>
      </c>
    </row>
    <row r="5055">
      <c r="A5055" s="217">
        <v>43559.646788541664</v>
      </c>
      <c r="B5055" s="218" t="s">
        <v>5184</v>
      </c>
      <c r="C5055" s="218" t="s">
        <v>5786</v>
      </c>
      <c r="D5055" s="219">
        <v>1.0</v>
      </c>
      <c r="E5055" s="218">
        <v>300.0</v>
      </c>
      <c r="G5055" s="220">
        <v>43559.0</v>
      </c>
    </row>
    <row r="5056">
      <c r="A5056" s="217">
        <v>43559.64759702546</v>
      </c>
      <c r="B5056" s="218" t="s">
        <v>5184</v>
      </c>
      <c r="C5056" s="218" t="s">
        <v>6053</v>
      </c>
      <c r="D5056" s="219">
        <v>1.0</v>
      </c>
      <c r="E5056" s="218">
        <v>300.0</v>
      </c>
      <c r="G5056" s="220">
        <v>43559.0</v>
      </c>
    </row>
    <row r="5057">
      <c r="A5057" s="217">
        <v>43559.64946893518</v>
      </c>
      <c r="B5057" s="218" t="s">
        <v>5184</v>
      </c>
      <c r="C5057" s="218" t="s">
        <v>5786</v>
      </c>
      <c r="D5057" s="219">
        <v>1.0</v>
      </c>
      <c r="E5057" s="218">
        <v>300.0</v>
      </c>
      <c r="G5057" s="220">
        <v>43559.0</v>
      </c>
    </row>
    <row r="5058">
      <c r="A5058" s="217">
        <v>43559.650485624996</v>
      </c>
      <c r="B5058" s="218" t="s">
        <v>5184</v>
      </c>
      <c r="C5058" s="218" t="s">
        <v>6053</v>
      </c>
      <c r="D5058" s="219">
        <v>1.0</v>
      </c>
      <c r="E5058" s="218">
        <v>300.0</v>
      </c>
      <c r="G5058" s="220">
        <v>43559.0</v>
      </c>
    </row>
    <row r="5059">
      <c r="A5059" s="217">
        <v>43559.67137684028</v>
      </c>
      <c r="B5059" s="218" t="s">
        <v>5184</v>
      </c>
      <c r="C5059" s="218" t="s">
        <v>7800</v>
      </c>
      <c r="D5059" s="219">
        <v>1.0</v>
      </c>
      <c r="E5059" s="218">
        <v>200.0</v>
      </c>
      <c r="G5059" s="220">
        <v>43559.0</v>
      </c>
    </row>
    <row r="5060">
      <c r="A5060" s="217">
        <v>43559.671983437496</v>
      </c>
      <c r="B5060" s="218" t="s">
        <v>5184</v>
      </c>
      <c r="C5060" s="218" t="s">
        <v>6053</v>
      </c>
      <c r="D5060" s="219">
        <v>1.0</v>
      </c>
      <c r="E5060" s="218">
        <v>300.0</v>
      </c>
      <c r="G5060" s="220">
        <v>43559.0</v>
      </c>
    </row>
    <row r="5061">
      <c r="A5061" s="217">
        <v>43559.67688958334</v>
      </c>
      <c r="B5061" s="218" t="s">
        <v>5184</v>
      </c>
      <c r="C5061" s="218" t="s">
        <v>8369</v>
      </c>
      <c r="D5061" s="219">
        <v>1.0</v>
      </c>
      <c r="E5061" s="218">
        <v>200.0</v>
      </c>
      <c r="G5061" s="220">
        <v>43559.0</v>
      </c>
    </row>
    <row r="5062">
      <c r="A5062" s="217">
        <v>43559.67749984954</v>
      </c>
      <c r="B5062" s="218" t="s">
        <v>5184</v>
      </c>
      <c r="C5062" s="218" t="s">
        <v>6053</v>
      </c>
      <c r="D5062" s="219">
        <v>1.0</v>
      </c>
      <c r="E5062" s="218">
        <v>300.0</v>
      </c>
      <c r="G5062" s="220">
        <v>43559.0</v>
      </c>
    </row>
    <row r="5063">
      <c r="A5063" s="217">
        <v>43559.68022634259</v>
      </c>
      <c r="B5063" s="218" t="s">
        <v>5184</v>
      </c>
      <c r="C5063" s="218" t="s">
        <v>8371</v>
      </c>
      <c r="D5063" s="219">
        <v>1.0</v>
      </c>
      <c r="E5063" s="218">
        <v>1000.0</v>
      </c>
      <c r="G5063" s="220">
        <v>43559.0</v>
      </c>
    </row>
    <row r="5064">
      <c r="A5064" s="217">
        <v>43559.71630554398</v>
      </c>
      <c r="B5064" s="218" t="s">
        <v>5184</v>
      </c>
      <c r="C5064" s="218" t="s">
        <v>7987</v>
      </c>
      <c r="D5064" s="219">
        <v>1.0</v>
      </c>
      <c r="E5064" s="218">
        <v>1000.0</v>
      </c>
      <c r="G5064" s="220">
        <v>43559.0</v>
      </c>
    </row>
    <row r="5065">
      <c r="A5065" s="217">
        <v>43559.71686061342</v>
      </c>
      <c r="B5065" s="218" t="s">
        <v>5184</v>
      </c>
      <c r="C5065" s="218" t="s">
        <v>7800</v>
      </c>
      <c r="D5065" s="219">
        <v>1.0</v>
      </c>
      <c r="E5065" s="218">
        <v>300.0</v>
      </c>
      <c r="G5065" s="220">
        <v>43559.0</v>
      </c>
    </row>
    <row r="5066">
      <c r="A5066" s="217">
        <v>43559.71855863426</v>
      </c>
      <c r="B5066" s="218" t="s">
        <v>5184</v>
      </c>
      <c r="C5066" s="218" t="s">
        <v>6053</v>
      </c>
      <c r="D5066" s="219">
        <v>1.0</v>
      </c>
      <c r="E5066" s="218">
        <v>300.0</v>
      </c>
      <c r="G5066" s="220">
        <v>43559.0</v>
      </c>
    </row>
    <row r="5067">
      <c r="A5067" s="217">
        <v>43559.720914375</v>
      </c>
      <c r="B5067" s="218" t="s">
        <v>5184</v>
      </c>
      <c r="C5067" s="218" t="s">
        <v>7800</v>
      </c>
      <c r="D5067" s="219">
        <v>1.0</v>
      </c>
      <c r="E5067" s="218">
        <v>200.0</v>
      </c>
      <c r="G5067" s="220">
        <v>43559.0</v>
      </c>
    </row>
    <row r="5068">
      <c r="A5068" s="217">
        <v>43559.72163425926</v>
      </c>
      <c r="B5068" s="218" t="s">
        <v>5184</v>
      </c>
      <c r="C5068" s="218" t="s">
        <v>6053</v>
      </c>
      <c r="D5068" s="219">
        <v>1.0</v>
      </c>
      <c r="E5068" s="218">
        <v>300.0</v>
      </c>
      <c r="G5068" s="220">
        <v>43559.0</v>
      </c>
    </row>
    <row r="5069">
      <c r="A5069" s="217">
        <v>43559.7229496875</v>
      </c>
      <c r="B5069" s="218" t="s">
        <v>5184</v>
      </c>
      <c r="C5069" s="218" t="s">
        <v>284</v>
      </c>
      <c r="D5069" s="219">
        <v>1.0</v>
      </c>
      <c r="E5069" s="218">
        <v>400.0</v>
      </c>
      <c r="G5069" s="220">
        <v>43559.0</v>
      </c>
    </row>
    <row r="5070">
      <c r="A5070" s="217">
        <v>43559.72827074074</v>
      </c>
      <c r="B5070" s="218" t="s">
        <v>5184</v>
      </c>
      <c r="C5070" s="218" t="s">
        <v>7800</v>
      </c>
      <c r="D5070" s="219">
        <v>1.0</v>
      </c>
      <c r="E5070" s="218">
        <v>200.0</v>
      </c>
      <c r="G5070" s="220">
        <v>43559.0</v>
      </c>
    </row>
    <row r="5071">
      <c r="A5071" s="217">
        <v>43559.72877825232</v>
      </c>
      <c r="B5071" s="218" t="s">
        <v>5184</v>
      </c>
      <c r="C5071" s="218" t="s">
        <v>6053</v>
      </c>
      <c r="D5071" s="219">
        <v>1.0</v>
      </c>
      <c r="E5071" s="218">
        <v>300.0</v>
      </c>
      <c r="G5071" s="220">
        <v>43559.0</v>
      </c>
    </row>
    <row r="5072">
      <c r="A5072" s="217">
        <v>43559.7300850926</v>
      </c>
      <c r="B5072" s="218" t="s">
        <v>5184</v>
      </c>
      <c r="C5072" s="218" t="s">
        <v>5786</v>
      </c>
      <c r="D5072" s="219">
        <v>1.0</v>
      </c>
      <c r="E5072" s="218">
        <v>300.0</v>
      </c>
      <c r="G5072" s="220">
        <v>43559.0</v>
      </c>
    </row>
    <row r="5073">
      <c r="A5073" s="217">
        <v>43559.73058613426</v>
      </c>
      <c r="B5073" s="218" t="s">
        <v>5184</v>
      </c>
      <c r="C5073" s="218" t="s">
        <v>6053</v>
      </c>
      <c r="D5073" s="219">
        <v>1.0</v>
      </c>
      <c r="E5073" s="218">
        <v>300.0</v>
      </c>
      <c r="G5073" s="220">
        <v>43559.0</v>
      </c>
    </row>
    <row r="5074">
      <c r="A5074" s="217">
        <v>43559.752986736115</v>
      </c>
      <c r="B5074" s="218" t="s">
        <v>5184</v>
      </c>
      <c r="C5074" s="218" t="s">
        <v>5786</v>
      </c>
      <c r="D5074" s="219">
        <v>1.0</v>
      </c>
      <c r="E5074" s="218">
        <v>200.0</v>
      </c>
      <c r="G5074" s="220">
        <v>43559.0</v>
      </c>
    </row>
    <row r="5075">
      <c r="A5075" s="217">
        <v>43559.7534950463</v>
      </c>
      <c r="B5075" s="218" t="s">
        <v>5184</v>
      </c>
      <c r="C5075" s="218" t="s">
        <v>6053</v>
      </c>
      <c r="D5075" s="219">
        <v>1.0</v>
      </c>
      <c r="E5075" s="218">
        <v>300.0</v>
      </c>
      <c r="G5075" s="220">
        <v>43559.0</v>
      </c>
    </row>
    <row r="5076">
      <c r="A5076" s="217">
        <v>43559.754236249995</v>
      </c>
      <c r="B5076" s="218" t="s">
        <v>5184</v>
      </c>
      <c r="C5076" s="218" t="s">
        <v>5786</v>
      </c>
      <c r="D5076" s="219">
        <v>1.0</v>
      </c>
      <c r="E5076" s="218">
        <v>300.0</v>
      </c>
      <c r="G5076" s="220">
        <v>43559.0</v>
      </c>
    </row>
    <row r="5077">
      <c r="A5077" s="217">
        <v>43559.75489173611</v>
      </c>
      <c r="B5077" s="218" t="s">
        <v>5184</v>
      </c>
      <c r="C5077" s="218" t="s">
        <v>7754</v>
      </c>
      <c r="D5077" s="219">
        <v>1.0</v>
      </c>
      <c r="E5077" s="218">
        <v>1000.0</v>
      </c>
      <c r="G5077" s="220">
        <v>43559.0</v>
      </c>
    </row>
    <row r="5078">
      <c r="A5078" s="217">
        <v>43559.75638840278</v>
      </c>
      <c r="B5078" s="218" t="s">
        <v>5184</v>
      </c>
      <c r="C5078" s="218" t="s">
        <v>7800</v>
      </c>
      <c r="D5078" s="219">
        <v>1.0</v>
      </c>
      <c r="E5078" s="218">
        <v>200.0</v>
      </c>
      <c r="G5078" s="220">
        <v>43559.0</v>
      </c>
    </row>
    <row r="5079">
      <c r="A5079" s="217">
        <v>43559.75680633102</v>
      </c>
      <c r="B5079" s="218" t="s">
        <v>5184</v>
      </c>
      <c r="C5079" s="218" t="s">
        <v>6053</v>
      </c>
      <c r="D5079" s="219">
        <v>1.0</v>
      </c>
      <c r="E5079" s="218">
        <v>300.0</v>
      </c>
      <c r="G5079" s="220">
        <v>43559.0</v>
      </c>
    </row>
    <row r="5080">
      <c r="A5080" s="217">
        <v>43559.758028344906</v>
      </c>
      <c r="B5080" s="218" t="s">
        <v>5184</v>
      </c>
      <c r="C5080" s="218" t="s">
        <v>7800</v>
      </c>
      <c r="D5080" s="219">
        <v>1.0</v>
      </c>
      <c r="E5080" s="218">
        <v>200.0</v>
      </c>
      <c r="G5080" s="220">
        <v>43559.0</v>
      </c>
    </row>
    <row r="5081">
      <c r="A5081" s="217">
        <v>43559.7585378125</v>
      </c>
      <c r="B5081" s="218" t="s">
        <v>5184</v>
      </c>
      <c r="C5081" s="218" t="s">
        <v>6053</v>
      </c>
      <c r="D5081" s="219">
        <v>1.0</v>
      </c>
      <c r="E5081" s="218">
        <v>300.0</v>
      </c>
      <c r="G5081" s="220">
        <v>43559.0</v>
      </c>
    </row>
    <row r="5082">
      <c r="A5082" s="217">
        <v>43559.76005268519</v>
      </c>
      <c r="B5082" s="218" t="s">
        <v>5184</v>
      </c>
      <c r="C5082" s="218" t="s">
        <v>6053</v>
      </c>
      <c r="D5082" s="219">
        <v>1.0</v>
      </c>
      <c r="E5082" s="218">
        <v>300.0</v>
      </c>
      <c r="G5082" s="220">
        <v>43559.0</v>
      </c>
    </row>
    <row r="5083">
      <c r="A5083" s="217">
        <v>43559.76095439815</v>
      </c>
      <c r="B5083" s="218" t="s">
        <v>5184</v>
      </c>
      <c r="C5083" s="218" t="s">
        <v>5786</v>
      </c>
      <c r="D5083" s="219">
        <v>1.0</v>
      </c>
      <c r="E5083" s="218">
        <v>300.0</v>
      </c>
      <c r="G5083" s="220">
        <v>43559.0</v>
      </c>
    </row>
    <row r="5084">
      <c r="A5084" s="217">
        <v>43559.761539328705</v>
      </c>
      <c r="B5084" s="218" t="s">
        <v>5184</v>
      </c>
      <c r="C5084" s="218" t="s">
        <v>6053</v>
      </c>
      <c r="D5084" s="219">
        <v>1.0</v>
      </c>
      <c r="E5084" s="218">
        <v>300.0</v>
      </c>
      <c r="G5084" s="220">
        <v>43559.0</v>
      </c>
    </row>
    <row r="5085">
      <c r="A5085" s="217">
        <v>43559.76409239583</v>
      </c>
      <c r="B5085" s="218" t="s">
        <v>5184</v>
      </c>
      <c r="C5085" s="218" t="s">
        <v>5786</v>
      </c>
      <c r="D5085" s="219">
        <v>1.0</v>
      </c>
      <c r="E5085" s="218">
        <v>300.0</v>
      </c>
      <c r="G5085" s="220">
        <v>43559.0</v>
      </c>
    </row>
    <row r="5086">
      <c r="A5086" s="217">
        <v>43559.76462944444</v>
      </c>
      <c r="B5086" s="218" t="s">
        <v>5184</v>
      </c>
      <c r="C5086" s="218" t="s">
        <v>7806</v>
      </c>
      <c r="D5086" s="219">
        <v>1.0</v>
      </c>
      <c r="E5086" s="218">
        <v>600.0</v>
      </c>
      <c r="G5086" s="220">
        <v>43559.0</v>
      </c>
    </row>
    <row r="5087">
      <c r="A5087" s="217">
        <v>43559.76570383101</v>
      </c>
      <c r="B5087" s="218" t="s">
        <v>5184</v>
      </c>
      <c r="C5087" s="218" t="s">
        <v>7897</v>
      </c>
      <c r="D5087" s="219">
        <v>1.0</v>
      </c>
      <c r="E5087" s="218">
        <v>600.0</v>
      </c>
      <c r="G5087" s="220">
        <v>43559.0</v>
      </c>
    </row>
    <row r="5088">
      <c r="A5088" s="217">
        <v>43560.59138875</v>
      </c>
      <c r="B5088" s="218" t="s">
        <v>5184</v>
      </c>
      <c r="C5088" s="218" t="s">
        <v>7800</v>
      </c>
      <c r="D5088" s="219">
        <v>1.0</v>
      </c>
      <c r="E5088" s="218">
        <v>200.0</v>
      </c>
      <c r="G5088" s="220">
        <v>43560.0</v>
      </c>
    </row>
    <row r="5089">
      <c r="A5089" s="217">
        <v>43560.59214099537</v>
      </c>
      <c r="B5089" s="218" t="s">
        <v>5184</v>
      </c>
      <c r="C5089" s="218" t="s">
        <v>6053</v>
      </c>
      <c r="D5089" s="219">
        <v>1.0</v>
      </c>
      <c r="E5089" s="218">
        <v>300.0</v>
      </c>
      <c r="G5089" s="220">
        <v>43560.0</v>
      </c>
    </row>
    <row r="5090">
      <c r="A5090" s="217">
        <v>43560.593561030095</v>
      </c>
      <c r="B5090" s="218" t="s">
        <v>5184</v>
      </c>
      <c r="C5090" s="218" t="s">
        <v>7800</v>
      </c>
      <c r="D5090" s="219">
        <v>1.0</v>
      </c>
      <c r="E5090" s="218">
        <v>200.0</v>
      </c>
      <c r="G5090" s="220">
        <v>43560.0</v>
      </c>
    </row>
    <row r="5091">
      <c r="A5091" s="217">
        <v>43560.59401732639</v>
      </c>
      <c r="B5091" s="218" t="s">
        <v>5184</v>
      </c>
      <c r="C5091" s="218" t="s">
        <v>6053</v>
      </c>
      <c r="D5091" s="219">
        <v>1.0</v>
      </c>
      <c r="E5091" s="218">
        <v>300.0</v>
      </c>
      <c r="G5091" s="220">
        <v>43560.0</v>
      </c>
    </row>
    <row r="5092">
      <c r="A5092" s="217">
        <v>43560.59532777777</v>
      </c>
      <c r="B5092" s="218" t="s">
        <v>5184</v>
      </c>
      <c r="C5092" s="218" t="s">
        <v>6053</v>
      </c>
      <c r="D5092" s="219" t="s">
        <v>7547</v>
      </c>
      <c r="E5092" s="218">
        <v>150.0</v>
      </c>
      <c r="G5092" s="220">
        <v>43560.0</v>
      </c>
    </row>
    <row r="5093">
      <c r="A5093" s="217">
        <v>43560.59655988426</v>
      </c>
      <c r="B5093" s="218" t="s">
        <v>5184</v>
      </c>
      <c r="C5093" s="218" t="s">
        <v>7800</v>
      </c>
      <c r="D5093" s="219">
        <v>1.0</v>
      </c>
      <c r="E5093" s="218">
        <v>300.0</v>
      </c>
      <c r="G5093" s="220">
        <v>43560.0</v>
      </c>
    </row>
    <row r="5094">
      <c r="A5094" s="217">
        <v>43560.59722645833</v>
      </c>
      <c r="B5094" s="218" t="s">
        <v>5184</v>
      </c>
      <c r="C5094" s="218" t="s">
        <v>6053</v>
      </c>
      <c r="D5094" s="219">
        <v>1.0</v>
      </c>
      <c r="E5094" s="218">
        <v>300.0</v>
      </c>
      <c r="G5094" s="220">
        <v>43560.0</v>
      </c>
    </row>
    <row r="5095">
      <c r="A5095" s="217">
        <v>43560.59860006944</v>
      </c>
      <c r="B5095" s="218" t="s">
        <v>5184</v>
      </c>
      <c r="C5095" s="218" t="s">
        <v>7496</v>
      </c>
      <c r="D5095" s="219">
        <v>1.0</v>
      </c>
      <c r="E5095" s="218">
        <v>300.0</v>
      </c>
      <c r="G5095" s="220">
        <v>43560.0</v>
      </c>
    </row>
    <row r="5096">
      <c r="A5096" s="217">
        <v>43560.59919011574</v>
      </c>
      <c r="B5096" s="218" t="s">
        <v>5184</v>
      </c>
      <c r="C5096" s="218" t="s">
        <v>7806</v>
      </c>
      <c r="D5096" s="219">
        <v>1.0</v>
      </c>
      <c r="E5096" s="218">
        <v>600.0</v>
      </c>
      <c r="G5096" s="220">
        <v>43560.0</v>
      </c>
    </row>
    <row r="5097">
      <c r="A5097" s="217">
        <v>43560.60081371528</v>
      </c>
      <c r="B5097" s="218" t="s">
        <v>5184</v>
      </c>
      <c r="C5097" s="218" t="s">
        <v>5786</v>
      </c>
      <c r="D5097" s="219">
        <v>1.0</v>
      </c>
      <c r="E5097" s="218">
        <v>200.0</v>
      </c>
      <c r="G5097" s="220">
        <v>43560.0</v>
      </c>
    </row>
    <row r="5098">
      <c r="A5098" s="217">
        <v>43560.62621598379</v>
      </c>
      <c r="B5098" s="218" t="s">
        <v>5184</v>
      </c>
      <c r="C5098" s="218" t="s">
        <v>7496</v>
      </c>
      <c r="D5098" s="219">
        <v>1.0</v>
      </c>
      <c r="E5098" s="218">
        <v>100.0</v>
      </c>
      <c r="G5098" s="220">
        <v>43560.0</v>
      </c>
    </row>
    <row r="5099">
      <c r="A5099" s="217">
        <v>43560.62666001158</v>
      </c>
      <c r="B5099" s="218" t="s">
        <v>5184</v>
      </c>
      <c r="C5099" s="218" t="s">
        <v>7806</v>
      </c>
      <c r="D5099" s="219">
        <v>1.0</v>
      </c>
      <c r="E5099" s="218">
        <v>600.0</v>
      </c>
      <c r="G5099" s="220">
        <v>43560.0</v>
      </c>
    </row>
    <row r="5100">
      <c r="A5100" s="217">
        <v>43560.63582575231</v>
      </c>
      <c r="B5100" s="218" t="s">
        <v>5184</v>
      </c>
      <c r="C5100" s="218" t="s">
        <v>7800</v>
      </c>
      <c r="D5100" s="219">
        <v>1.0</v>
      </c>
      <c r="E5100" s="218">
        <v>200.0</v>
      </c>
      <c r="G5100" s="220">
        <v>43560.0</v>
      </c>
    </row>
    <row r="5101">
      <c r="A5101" s="217">
        <v>43560.63749309028</v>
      </c>
      <c r="B5101" s="218" t="s">
        <v>5184</v>
      </c>
      <c r="C5101" s="218" t="s">
        <v>6053</v>
      </c>
      <c r="D5101" s="219">
        <v>1.0</v>
      </c>
      <c r="E5101" s="218">
        <v>300.0</v>
      </c>
      <c r="G5101" s="220">
        <v>43560.0</v>
      </c>
    </row>
    <row r="5102">
      <c r="A5102" s="217">
        <v>43560.64017295139</v>
      </c>
      <c r="B5102" s="218" t="s">
        <v>5184</v>
      </c>
      <c r="C5102" s="218" t="s">
        <v>5786</v>
      </c>
      <c r="D5102" s="219">
        <v>1.0</v>
      </c>
      <c r="E5102" s="218">
        <v>200.0</v>
      </c>
      <c r="G5102" s="220">
        <v>43560.0</v>
      </c>
    </row>
    <row r="5103">
      <c r="A5103" s="217">
        <v>43560.64113365741</v>
      </c>
      <c r="B5103" s="218" t="s">
        <v>5184</v>
      </c>
      <c r="C5103" s="218" t="s">
        <v>6053</v>
      </c>
      <c r="D5103" s="219">
        <v>1.0</v>
      </c>
      <c r="E5103" s="218">
        <v>300.0</v>
      </c>
      <c r="G5103" s="220">
        <v>43560.0</v>
      </c>
    </row>
    <row r="5104">
      <c r="A5104" s="217">
        <v>43560.65900100695</v>
      </c>
      <c r="B5104" s="218" t="s">
        <v>5184</v>
      </c>
      <c r="C5104" s="218" t="s">
        <v>5786</v>
      </c>
      <c r="D5104" s="219">
        <v>1.0</v>
      </c>
      <c r="E5104" s="218">
        <v>300.0</v>
      </c>
      <c r="G5104" s="220">
        <v>43560.0</v>
      </c>
    </row>
    <row r="5105">
      <c r="A5105" s="217">
        <v>43560.65951039352</v>
      </c>
      <c r="B5105" s="218" t="s">
        <v>5184</v>
      </c>
      <c r="C5105" s="218" t="s">
        <v>6053</v>
      </c>
      <c r="D5105" s="219">
        <v>1.0</v>
      </c>
      <c r="E5105" s="218">
        <v>300.0</v>
      </c>
      <c r="G5105" s="220">
        <v>43560.0</v>
      </c>
    </row>
    <row r="5106">
      <c r="A5106" s="217">
        <v>43560.67003435185</v>
      </c>
      <c r="B5106" s="218" t="s">
        <v>5184</v>
      </c>
      <c r="C5106" s="218" t="s">
        <v>7496</v>
      </c>
      <c r="D5106" s="219">
        <v>1.0</v>
      </c>
      <c r="E5106" s="218">
        <v>300.0</v>
      </c>
      <c r="G5106" s="220">
        <v>43560.0</v>
      </c>
    </row>
    <row r="5107">
      <c r="A5107" s="217">
        <v>43560.67066805555</v>
      </c>
      <c r="B5107" s="218" t="s">
        <v>5184</v>
      </c>
      <c r="C5107" s="218" t="s">
        <v>6053</v>
      </c>
      <c r="D5107" s="219">
        <v>1.0</v>
      </c>
      <c r="E5107" s="218">
        <v>300.0</v>
      </c>
      <c r="G5107" s="220">
        <v>43560.0</v>
      </c>
    </row>
    <row r="5108">
      <c r="A5108" s="217">
        <v>43560.67220793982</v>
      </c>
      <c r="B5108" s="218" t="s">
        <v>5184</v>
      </c>
      <c r="C5108" s="218" t="s">
        <v>7800</v>
      </c>
      <c r="D5108" s="219">
        <v>1.0</v>
      </c>
      <c r="E5108" s="218">
        <v>200.0</v>
      </c>
      <c r="G5108" s="220">
        <v>43560.0</v>
      </c>
    </row>
    <row r="5109">
      <c r="A5109" s="217">
        <v>43560.672908900466</v>
      </c>
      <c r="B5109" s="218" t="s">
        <v>5184</v>
      </c>
      <c r="C5109" s="218" t="s">
        <v>6053</v>
      </c>
      <c r="D5109" s="219">
        <v>1.0</v>
      </c>
      <c r="E5109" s="218">
        <v>300.0</v>
      </c>
      <c r="G5109" s="220">
        <v>43560.0</v>
      </c>
    </row>
    <row r="5110">
      <c r="A5110" s="217">
        <v>43560.67509795139</v>
      </c>
      <c r="B5110" s="218" t="s">
        <v>5184</v>
      </c>
      <c r="C5110" s="218" t="s">
        <v>6053</v>
      </c>
      <c r="D5110" s="219">
        <v>1.0</v>
      </c>
      <c r="E5110" s="218">
        <v>300.0</v>
      </c>
      <c r="G5110" s="220">
        <v>43560.0</v>
      </c>
    </row>
    <row r="5111">
      <c r="A5111" s="217">
        <v>43560.676697083334</v>
      </c>
      <c r="B5111" s="218" t="s">
        <v>5184</v>
      </c>
      <c r="C5111" s="218" t="s">
        <v>7789</v>
      </c>
      <c r="D5111" s="219">
        <v>1.0</v>
      </c>
      <c r="E5111" s="218">
        <v>300.0</v>
      </c>
      <c r="G5111" s="220">
        <v>43560.0</v>
      </c>
    </row>
    <row r="5112">
      <c r="A5112" s="217">
        <v>43560.67818079861</v>
      </c>
      <c r="B5112" s="218" t="s">
        <v>5184</v>
      </c>
      <c r="C5112" s="218" t="s">
        <v>284</v>
      </c>
      <c r="D5112" s="219">
        <v>1.0</v>
      </c>
      <c r="E5112" s="218">
        <v>400.0</v>
      </c>
      <c r="G5112" s="220">
        <v>43560.0</v>
      </c>
    </row>
    <row r="5113">
      <c r="A5113" s="217">
        <v>43560.6800521875</v>
      </c>
      <c r="B5113" s="218" t="s">
        <v>5184</v>
      </c>
      <c r="C5113" s="218" t="s">
        <v>7800</v>
      </c>
      <c r="D5113" s="219">
        <v>1.0</v>
      </c>
      <c r="E5113" s="218">
        <v>200.0</v>
      </c>
      <c r="G5113" s="220">
        <v>43560.0</v>
      </c>
    </row>
    <row r="5114">
      <c r="A5114" s="217">
        <v>43560.68050070602</v>
      </c>
      <c r="B5114" s="218" t="s">
        <v>5184</v>
      </c>
      <c r="C5114" s="218" t="s">
        <v>6053</v>
      </c>
      <c r="D5114" s="219">
        <v>1.0</v>
      </c>
      <c r="E5114" s="218">
        <v>300.0</v>
      </c>
      <c r="G5114" s="220">
        <v>43560.0</v>
      </c>
    </row>
    <row r="5115">
      <c r="A5115" s="217">
        <v>43560.681801921295</v>
      </c>
      <c r="B5115" s="218" t="s">
        <v>5184</v>
      </c>
      <c r="C5115" s="218" t="s">
        <v>8393</v>
      </c>
      <c r="D5115" s="219">
        <v>1.0</v>
      </c>
      <c r="E5115" s="218">
        <v>200.0</v>
      </c>
      <c r="G5115" s="220">
        <v>43560.0</v>
      </c>
    </row>
    <row r="5116">
      <c r="A5116" s="217">
        <v>43560.68244077546</v>
      </c>
      <c r="B5116" s="218" t="s">
        <v>5184</v>
      </c>
      <c r="C5116" s="218" t="s">
        <v>6053</v>
      </c>
      <c r="D5116" s="219">
        <v>1.0</v>
      </c>
      <c r="E5116" s="218">
        <v>300.0</v>
      </c>
      <c r="G5116" s="220">
        <v>43560.0</v>
      </c>
    </row>
    <row r="5117">
      <c r="A5117" s="217">
        <v>43560.68468576389</v>
      </c>
      <c r="B5117" s="218" t="s">
        <v>5184</v>
      </c>
      <c r="C5117" s="218" t="s">
        <v>5786</v>
      </c>
      <c r="D5117" s="219">
        <v>1.0</v>
      </c>
      <c r="E5117" s="218">
        <v>300.0</v>
      </c>
      <c r="G5117" s="220">
        <v>43560.0</v>
      </c>
    </row>
    <row r="5118">
      <c r="A5118" s="217">
        <v>43560.685364641206</v>
      </c>
      <c r="B5118" s="218" t="s">
        <v>5184</v>
      </c>
      <c r="C5118" s="218" t="s">
        <v>6053</v>
      </c>
      <c r="D5118" s="219">
        <v>1.0</v>
      </c>
      <c r="E5118" s="218">
        <v>300.0</v>
      </c>
      <c r="G5118" s="220">
        <v>43560.0</v>
      </c>
    </row>
    <row r="5119">
      <c r="A5119" s="217">
        <v>43560.69569021991</v>
      </c>
      <c r="B5119" s="218" t="s">
        <v>5184</v>
      </c>
      <c r="C5119" s="218" t="s">
        <v>5786</v>
      </c>
      <c r="D5119" s="219">
        <v>1.0</v>
      </c>
      <c r="E5119" s="218">
        <v>200.0</v>
      </c>
      <c r="G5119" s="220">
        <v>43560.0</v>
      </c>
    </row>
    <row r="5120">
      <c r="A5120" s="217">
        <v>43560.69636138889</v>
      </c>
      <c r="B5120" s="218" t="s">
        <v>5184</v>
      </c>
      <c r="C5120" s="218" t="s">
        <v>6053</v>
      </c>
      <c r="D5120" s="219">
        <v>1.0</v>
      </c>
      <c r="E5120" s="218">
        <v>300.0</v>
      </c>
      <c r="G5120" s="220">
        <v>43560.0</v>
      </c>
    </row>
    <row r="5121">
      <c r="A5121" s="217">
        <v>43560.69929525463</v>
      </c>
      <c r="B5121" s="218" t="s">
        <v>5184</v>
      </c>
      <c r="C5121" s="218" t="s">
        <v>7800</v>
      </c>
      <c r="D5121" s="219">
        <v>1.0</v>
      </c>
      <c r="E5121" s="218">
        <v>200.0</v>
      </c>
      <c r="G5121" s="220">
        <v>43560.0</v>
      </c>
    </row>
    <row r="5122">
      <c r="A5122" s="217">
        <v>43560.69978866898</v>
      </c>
      <c r="B5122" s="218" t="s">
        <v>5184</v>
      </c>
      <c r="C5122" s="218" t="s">
        <v>6053</v>
      </c>
      <c r="D5122" s="219">
        <v>1.0</v>
      </c>
      <c r="E5122" s="218">
        <v>300.0</v>
      </c>
      <c r="G5122" s="220">
        <v>43560.0</v>
      </c>
    </row>
    <row r="5123">
      <c r="A5123" s="217">
        <v>43560.70151616898</v>
      </c>
      <c r="B5123" s="218" t="s">
        <v>5184</v>
      </c>
      <c r="C5123" s="218" t="s">
        <v>6053</v>
      </c>
      <c r="D5123" s="219">
        <v>1.0</v>
      </c>
      <c r="E5123" s="218">
        <v>300.0</v>
      </c>
      <c r="G5123" s="220">
        <v>43560.0</v>
      </c>
    </row>
    <row r="5124">
      <c r="A5124" s="217">
        <v>43560.70275452547</v>
      </c>
      <c r="B5124" s="218" t="s">
        <v>5184</v>
      </c>
      <c r="C5124" s="218" t="s">
        <v>7800</v>
      </c>
      <c r="D5124" s="219">
        <v>1.0</v>
      </c>
      <c r="E5124" s="218">
        <v>300.0</v>
      </c>
      <c r="G5124" s="220">
        <v>43560.0</v>
      </c>
    </row>
    <row r="5125">
      <c r="A5125" s="217">
        <v>43560.714791226856</v>
      </c>
      <c r="B5125" s="218" t="s">
        <v>5184</v>
      </c>
      <c r="C5125" s="218" t="s">
        <v>6053</v>
      </c>
      <c r="D5125" s="219">
        <v>1.0</v>
      </c>
      <c r="E5125" s="218">
        <v>300.0</v>
      </c>
      <c r="G5125" s="220">
        <v>43560.0</v>
      </c>
    </row>
    <row r="5126">
      <c r="A5126" s="217">
        <v>43560.71720478009</v>
      </c>
      <c r="B5126" s="218" t="s">
        <v>5184</v>
      </c>
      <c r="C5126" s="218" t="s">
        <v>7800</v>
      </c>
      <c r="D5126" s="219">
        <v>1.0</v>
      </c>
      <c r="E5126" s="218">
        <v>200.0</v>
      </c>
      <c r="G5126" s="220">
        <v>43560.0</v>
      </c>
    </row>
    <row r="5127">
      <c r="A5127" s="217">
        <v>43560.71816866898</v>
      </c>
      <c r="B5127" s="218" t="s">
        <v>5184</v>
      </c>
      <c r="C5127" s="218" t="s">
        <v>6053</v>
      </c>
      <c r="D5127" s="219">
        <v>1.0</v>
      </c>
      <c r="E5127" s="218">
        <v>300.0</v>
      </c>
      <c r="G5127" s="220">
        <v>43560.0</v>
      </c>
    </row>
    <row r="5128">
      <c r="A5128" s="217">
        <v>43560.71833524306</v>
      </c>
      <c r="B5128" s="218" t="s">
        <v>5184</v>
      </c>
      <c r="C5128" s="218" t="s">
        <v>6053</v>
      </c>
      <c r="D5128" s="219">
        <v>1.0</v>
      </c>
      <c r="E5128" s="218">
        <v>300.0</v>
      </c>
      <c r="G5128" s="220">
        <v>43560.0</v>
      </c>
    </row>
    <row r="5129">
      <c r="A5129" s="217">
        <v>43560.72455170139</v>
      </c>
      <c r="B5129" s="218" t="s">
        <v>5184</v>
      </c>
      <c r="C5129" s="218" t="s">
        <v>5786</v>
      </c>
      <c r="D5129" s="219">
        <v>1.0</v>
      </c>
      <c r="E5129" s="218">
        <v>300.0</v>
      </c>
      <c r="G5129" s="220">
        <v>43560.0</v>
      </c>
    </row>
    <row r="5130">
      <c r="A5130" s="217">
        <v>43560.72971513889</v>
      </c>
      <c r="B5130" s="218" t="s">
        <v>5184</v>
      </c>
      <c r="C5130" s="218" t="s">
        <v>284</v>
      </c>
      <c r="D5130" s="219">
        <v>1.0</v>
      </c>
      <c r="E5130" s="218">
        <v>400.0</v>
      </c>
      <c r="G5130" s="220">
        <v>43560.0</v>
      </c>
    </row>
    <row r="5131">
      <c r="A5131" s="217">
        <v>43560.73132229167</v>
      </c>
      <c r="B5131" s="218" t="s">
        <v>5184</v>
      </c>
      <c r="C5131" s="218" t="s">
        <v>5786</v>
      </c>
      <c r="D5131" s="219">
        <v>1.0</v>
      </c>
      <c r="E5131" s="218">
        <v>200.0</v>
      </c>
      <c r="G5131" s="220">
        <v>43560.0</v>
      </c>
    </row>
    <row r="5132">
      <c r="A5132" s="217">
        <v>43560.73174803241</v>
      </c>
      <c r="B5132" s="218" t="s">
        <v>5184</v>
      </c>
      <c r="C5132" s="218" t="s">
        <v>6053</v>
      </c>
      <c r="D5132" s="219">
        <v>1.0</v>
      </c>
      <c r="E5132" s="218">
        <v>300.0</v>
      </c>
      <c r="G5132" s="220">
        <v>43560.0</v>
      </c>
    </row>
    <row r="5133">
      <c r="A5133" s="217">
        <v>43561.60318421296</v>
      </c>
      <c r="B5133" s="218" t="s">
        <v>5184</v>
      </c>
      <c r="C5133" s="218" t="s">
        <v>6053</v>
      </c>
      <c r="D5133" s="219">
        <v>1.0</v>
      </c>
      <c r="E5133" s="218">
        <v>300.0</v>
      </c>
      <c r="G5133" s="220">
        <v>43560.0</v>
      </c>
    </row>
    <row r="5134">
      <c r="A5134" s="217">
        <v>43561.604653159724</v>
      </c>
      <c r="B5134" s="218" t="s">
        <v>5184</v>
      </c>
      <c r="C5134" s="218" t="s">
        <v>5786</v>
      </c>
      <c r="D5134" s="219">
        <v>1.0</v>
      </c>
      <c r="E5134" s="218">
        <v>200.0</v>
      </c>
      <c r="G5134" s="220">
        <v>43561.0</v>
      </c>
    </row>
    <row r="5135">
      <c r="A5135" s="217">
        <v>43561.60517207176</v>
      </c>
      <c r="B5135" s="218" t="s">
        <v>5184</v>
      </c>
      <c r="C5135" s="218" t="s">
        <v>6053</v>
      </c>
      <c r="D5135" s="219">
        <v>1.0</v>
      </c>
      <c r="E5135" s="218">
        <v>300.0</v>
      </c>
      <c r="G5135" s="220">
        <v>43561.0</v>
      </c>
    </row>
    <row r="5136">
      <c r="A5136" s="217">
        <v>43561.60690900463</v>
      </c>
      <c r="B5136" s="218" t="s">
        <v>5184</v>
      </c>
      <c r="C5136" s="218" t="s">
        <v>6053</v>
      </c>
      <c r="D5136" s="219">
        <v>1.0</v>
      </c>
      <c r="E5136" s="218">
        <v>300.0</v>
      </c>
      <c r="G5136" s="220">
        <v>43561.0</v>
      </c>
    </row>
    <row r="5137">
      <c r="A5137" s="217">
        <v>43561.62194104167</v>
      </c>
      <c r="B5137" s="218" t="s">
        <v>5184</v>
      </c>
      <c r="C5137" s="218" t="s">
        <v>7806</v>
      </c>
      <c r="D5137" s="219">
        <v>1.0</v>
      </c>
      <c r="E5137" s="218">
        <v>600.0</v>
      </c>
      <c r="G5137" s="220">
        <v>43559.0</v>
      </c>
    </row>
    <row r="5138">
      <c r="A5138" s="217">
        <v>43561.62274924769</v>
      </c>
      <c r="B5138" s="218" t="s">
        <v>5184</v>
      </c>
      <c r="C5138" s="218" t="s">
        <v>6053</v>
      </c>
      <c r="D5138" s="219">
        <v>1.0</v>
      </c>
      <c r="E5138" s="218">
        <v>300.0</v>
      </c>
      <c r="G5138" s="220">
        <v>43561.0</v>
      </c>
    </row>
    <row r="5139">
      <c r="A5139" s="217">
        <v>43561.638157615744</v>
      </c>
      <c r="B5139" s="218" t="s">
        <v>5184</v>
      </c>
      <c r="C5139" s="218" t="s">
        <v>7800</v>
      </c>
      <c r="D5139" s="219">
        <v>1.0</v>
      </c>
      <c r="E5139" s="218">
        <v>200.0</v>
      </c>
      <c r="G5139" s="220">
        <v>43561.0</v>
      </c>
    </row>
    <row r="5140">
      <c r="A5140" s="217">
        <v>43561.646349305556</v>
      </c>
      <c r="B5140" s="218" t="s">
        <v>5184</v>
      </c>
      <c r="C5140" s="218" t="s">
        <v>6053</v>
      </c>
      <c r="D5140" s="219">
        <v>1.0</v>
      </c>
      <c r="E5140" s="218">
        <v>300.0</v>
      </c>
      <c r="G5140" s="220">
        <v>43561.0</v>
      </c>
    </row>
    <row r="5141">
      <c r="A5141" s="217">
        <v>43561.647584398146</v>
      </c>
      <c r="B5141" s="218" t="s">
        <v>5184</v>
      </c>
      <c r="C5141" s="218" t="s">
        <v>5786</v>
      </c>
      <c r="D5141" s="219">
        <v>1.0</v>
      </c>
      <c r="E5141" s="218">
        <v>300.0</v>
      </c>
      <c r="G5141" s="220">
        <v>43561.0</v>
      </c>
    </row>
    <row r="5142">
      <c r="A5142" s="217">
        <v>43561.648109016205</v>
      </c>
      <c r="B5142" s="218" t="s">
        <v>5184</v>
      </c>
      <c r="C5142" s="218" t="s">
        <v>6053</v>
      </c>
      <c r="D5142" s="219">
        <v>1.0</v>
      </c>
      <c r="E5142" s="218">
        <v>300.0</v>
      </c>
      <c r="G5142" s="220">
        <v>43561.0</v>
      </c>
    </row>
    <row r="5143">
      <c r="A5143" s="217">
        <v>43561.64948939814</v>
      </c>
      <c r="B5143" s="218" t="s">
        <v>5184</v>
      </c>
      <c r="C5143" s="218" t="s">
        <v>845</v>
      </c>
      <c r="D5143" s="219">
        <v>1.0</v>
      </c>
      <c r="E5143" s="218">
        <v>400.0</v>
      </c>
      <c r="G5143" s="220">
        <v>43561.0</v>
      </c>
    </row>
    <row r="5144">
      <c r="A5144" s="217">
        <v>43561.65097613426</v>
      </c>
      <c r="B5144" s="218" t="s">
        <v>5184</v>
      </c>
      <c r="C5144" s="218" t="s">
        <v>7496</v>
      </c>
      <c r="D5144" s="219">
        <v>1.0</v>
      </c>
      <c r="E5144" s="218">
        <v>100.0</v>
      </c>
      <c r="G5144" s="220">
        <v>43561.0</v>
      </c>
    </row>
    <row r="5145">
      <c r="A5145" s="217">
        <v>43561.651886886575</v>
      </c>
      <c r="B5145" s="218" t="s">
        <v>5184</v>
      </c>
      <c r="C5145" s="218" t="s">
        <v>6053</v>
      </c>
      <c r="D5145" s="219">
        <v>1.0</v>
      </c>
      <c r="E5145" s="218">
        <v>300.0</v>
      </c>
      <c r="G5145" s="220">
        <v>43561.0</v>
      </c>
    </row>
    <row r="5146">
      <c r="A5146" s="217">
        <v>43561.65340732639</v>
      </c>
      <c r="B5146" s="218" t="s">
        <v>5184</v>
      </c>
      <c r="C5146" s="218" t="s">
        <v>5789</v>
      </c>
      <c r="D5146" s="219">
        <v>1.0</v>
      </c>
      <c r="E5146" s="218">
        <v>400.0</v>
      </c>
      <c r="G5146" s="220">
        <v>43561.0</v>
      </c>
    </row>
    <row r="5147">
      <c r="A5147" s="217">
        <v>43561.65400222222</v>
      </c>
      <c r="B5147" s="218" t="s">
        <v>5184</v>
      </c>
      <c r="C5147" s="218" t="s">
        <v>6053</v>
      </c>
      <c r="D5147" s="219">
        <v>1.0</v>
      </c>
      <c r="E5147" s="218">
        <v>300.0</v>
      </c>
      <c r="G5147" s="220">
        <v>43561.0</v>
      </c>
    </row>
    <row r="5148">
      <c r="A5148" s="217">
        <v>43561.65546085648</v>
      </c>
      <c r="B5148" s="218" t="s">
        <v>5184</v>
      </c>
      <c r="C5148" s="218" t="s">
        <v>5786</v>
      </c>
      <c r="D5148" s="219">
        <v>1.0</v>
      </c>
      <c r="E5148" s="218">
        <v>200.0</v>
      </c>
      <c r="G5148" s="220">
        <v>43561.0</v>
      </c>
    </row>
    <row r="5149">
      <c r="A5149" s="217">
        <v>43561.65604243056</v>
      </c>
      <c r="B5149" s="218" t="s">
        <v>5184</v>
      </c>
      <c r="C5149" s="218" t="s">
        <v>6053</v>
      </c>
      <c r="D5149" s="219">
        <v>1.0</v>
      </c>
      <c r="E5149" s="218">
        <v>300.0</v>
      </c>
      <c r="G5149" s="220">
        <v>43561.0</v>
      </c>
    </row>
    <row r="5150">
      <c r="A5150" s="217">
        <v>43561.657335208336</v>
      </c>
      <c r="B5150" s="218" t="s">
        <v>5184</v>
      </c>
      <c r="C5150" s="218" t="s">
        <v>5786</v>
      </c>
      <c r="D5150" s="219">
        <v>1.0</v>
      </c>
      <c r="E5150" s="218">
        <v>300.0</v>
      </c>
      <c r="G5150" s="220">
        <v>43561.0</v>
      </c>
    </row>
    <row r="5151">
      <c r="A5151" s="217">
        <v>43561.65793641204</v>
      </c>
      <c r="B5151" s="218" t="s">
        <v>5184</v>
      </c>
      <c r="C5151" s="218" t="s">
        <v>6053</v>
      </c>
      <c r="D5151" s="219">
        <v>1.0</v>
      </c>
      <c r="E5151" s="218">
        <v>300.0</v>
      </c>
      <c r="G5151" s="220">
        <v>43561.0</v>
      </c>
    </row>
    <row r="5152">
      <c r="A5152" s="217">
        <v>43561.65922417824</v>
      </c>
      <c r="B5152" s="218" t="s">
        <v>5184</v>
      </c>
      <c r="C5152" s="218" t="s">
        <v>7800</v>
      </c>
      <c r="D5152" s="219">
        <v>1.0</v>
      </c>
      <c r="E5152" s="218">
        <v>200.0</v>
      </c>
      <c r="G5152" s="220">
        <v>43561.0</v>
      </c>
    </row>
    <row r="5153">
      <c r="A5153" s="217">
        <v>43561.659761331015</v>
      </c>
      <c r="B5153" s="218" t="s">
        <v>5184</v>
      </c>
      <c r="C5153" s="218" t="s">
        <v>6053</v>
      </c>
      <c r="D5153" s="219">
        <v>1.0</v>
      </c>
      <c r="E5153" s="218">
        <v>300.0</v>
      </c>
      <c r="G5153" s="220">
        <v>43561.0</v>
      </c>
    </row>
    <row r="5154">
      <c r="A5154" s="217">
        <v>43561.66116696759</v>
      </c>
      <c r="B5154" s="218" t="s">
        <v>5184</v>
      </c>
      <c r="C5154" s="218" t="s">
        <v>7496</v>
      </c>
      <c r="D5154" s="219">
        <v>1.0</v>
      </c>
      <c r="E5154" s="218">
        <v>300.0</v>
      </c>
      <c r="G5154" s="220">
        <v>43561.0</v>
      </c>
    </row>
    <row r="5155">
      <c r="A5155" s="217">
        <v>43561.661852916666</v>
      </c>
      <c r="B5155" s="218" t="s">
        <v>5184</v>
      </c>
      <c r="C5155" s="218" t="s">
        <v>7806</v>
      </c>
      <c r="D5155" s="219">
        <v>1.0</v>
      </c>
      <c r="E5155" s="218">
        <v>700.0</v>
      </c>
      <c r="G5155" s="220">
        <v>43561.0</v>
      </c>
    </row>
    <row r="5156">
      <c r="A5156" s="217">
        <v>43561.66313394676</v>
      </c>
      <c r="B5156" s="218" t="s">
        <v>5184</v>
      </c>
      <c r="C5156" s="218" t="s">
        <v>6053</v>
      </c>
      <c r="D5156" s="219">
        <v>1.0</v>
      </c>
      <c r="E5156" s="218">
        <v>300.0</v>
      </c>
      <c r="G5156" s="220">
        <v>43561.0</v>
      </c>
    </row>
    <row r="5157">
      <c r="A5157" s="217">
        <v>43561.664785127316</v>
      </c>
      <c r="B5157" s="218" t="s">
        <v>5184</v>
      </c>
      <c r="C5157" s="218" t="s">
        <v>6001</v>
      </c>
      <c r="D5157" s="219">
        <v>1.0</v>
      </c>
      <c r="E5157" s="218">
        <v>500.0</v>
      </c>
      <c r="G5157" s="220">
        <v>43561.0</v>
      </c>
    </row>
    <row r="5158">
      <c r="A5158" s="217">
        <v>43561.665548564815</v>
      </c>
      <c r="B5158" s="218" t="s">
        <v>5184</v>
      </c>
      <c r="C5158" s="218" t="s">
        <v>284</v>
      </c>
      <c r="D5158" s="219">
        <v>1.0</v>
      </c>
      <c r="E5158" s="218">
        <v>400.0</v>
      </c>
      <c r="G5158" s="220">
        <v>43561.0</v>
      </c>
    </row>
    <row r="5159">
      <c r="A5159" s="217">
        <v>43561.6669975463</v>
      </c>
      <c r="B5159" s="218" t="s">
        <v>5184</v>
      </c>
      <c r="C5159" s="218" t="s">
        <v>5786</v>
      </c>
      <c r="D5159" s="219">
        <v>1.0</v>
      </c>
      <c r="E5159" s="218">
        <v>300.0</v>
      </c>
      <c r="G5159" s="220">
        <v>43561.0</v>
      </c>
    </row>
    <row r="5160">
      <c r="A5160" s="217">
        <v>43561.66756072917</v>
      </c>
      <c r="B5160" s="218" t="s">
        <v>5184</v>
      </c>
      <c r="C5160" s="218" t="s">
        <v>6053</v>
      </c>
      <c r="D5160" s="219">
        <v>1.0</v>
      </c>
      <c r="E5160" s="218">
        <v>300.0</v>
      </c>
      <c r="G5160" s="220">
        <v>43561.0</v>
      </c>
    </row>
    <row r="5161">
      <c r="A5161" s="217">
        <v>43561.72793569445</v>
      </c>
      <c r="B5161" s="218" t="s">
        <v>5184</v>
      </c>
      <c r="C5161" s="218" t="s">
        <v>7800</v>
      </c>
      <c r="D5161" s="219">
        <v>1.0</v>
      </c>
      <c r="E5161" s="218">
        <v>300.0</v>
      </c>
      <c r="G5161" s="220">
        <v>43561.0</v>
      </c>
    </row>
    <row r="5162">
      <c r="A5162" s="217">
        <v>43561.72879432871</v>
      </c>
      <c r="B5162" s="218" t="s">
        <v>5184</v>
      </c>
      <c r="C5162" s="218" t="s">
        <v>6053</v>
      </c>
      <c r="D5162" s="219">
        <v>1.0</v>
      </c>
      <c r="E5162" s="218">
        <v>300.0</v>
      </c>
      <c r="G5162" s="220">
        <v>43561.0</v>
      </c>
    </row>
    <row r="5163">
      <c r="A5163" s="217">
        <v>43562.49081232639</v>
      </c>
      <c r="B5163" s="218" t="s">
        <v>5092</v>
      </c>
      <c r="C5163" s="218" t="s">
        <v>6053</v>
      </c>
      <c r="D5163" s="219">
        <v>2.0</v>
      </c>
      <c r="E5163" s="218">
        <v>300.0</v>
      </c>
      <c r="G5163" s="220">
        <v>43560.0</v>
      </c>
    </row>
    <row r="5164">
      <c r="A5164" s="217">
        <v>43562.46584146991</v>
      </c>
      <c r="B5164" s="218" t="s">
        <v>5092</v>
      </c>
      <c r="C5164" s="218" t="s">
        <v>6053</v>
      </c>
      <c r="D5164" s="219">
        <v>1.0</v>
      </c>
      <c r="E5164" s="218">
        <v>300.0</v>
      </c>
      <c r="G5164" s="220">
        <v>43560.0</v>
      </c>
    </row>
    <row r="5165">
      <c r="A5165" s="217">
        <v>43562.476112916665</v>
      </c>
      <c r="B5165" s="218" t="s">
        <v>5092</v>
      </c>
      <c r="C5165" s="218" t="s">
        <v>6053</v>
      </c>
      <c r="D5165" s="219">
        <v>11.0</v>
      </c>
      <c r="E5165" s="218">
        <v>300.0</v>
      </c>
      <c r="G5165" s="220">
        <v>43560.0</v>
      </c>
    </row>
    <row r="5166">
      <c r="A5166" s="217">
        <v>43562.48393541666</v>
      </c>
      <c r="B5166" s="218" t="s">
        <v>5092</v>
      </c>
      <c r="C5166" s="218" t="s">
        <v>6053</v>
      </c>
      <c r="D5166" s="219">
        <v>2.0</v>
      </c>
      <c r="E5166" s="218">
        <v>300.0</v>
      </c>
      <c r="G5166" s="220">
        <v>43560.0</v>
      </c>
    </row>
    <row r="5167">
      <c r="A5167" s="217">
        <v>43562.48526973379</v>
      </c>
      <c r="B5167" s="218" t="s">
        <v>5092</v>
      </c>
      <c r="C5167" s="218" t="s">
        <v>6053</v>
      </c>
      <c r="D5167" s="219">
        <v>34.0</v>
      </c>
      <c r="E5167" s="218">
        <v>300.0</v>
      </c>
      <c r="G5167" s="220">
        <v>43560.0</v>
      </c>
    </row>
    <row r="5168">
      <c r="A5168" s="217">
        <v>43562.4861240162</v>
      </c>
      <c r="B5168" s="218" t="s">
        <v>5092</v>
      </c>
      <c r="C5168" s="218" t="s">
        <v>6053</v>
      </c>
      <c r="D5168" s="219">
        <v>1.0</v>
      </c>
      <c r="E5168" s="218">
        <v>300.0</v>
      </c>
      <c r="G5168" s="220">
        <v>43560.0</v>
      </c>
    </row>
    <row r="5169">
      <c r="A5169" s="217">
        <v>43562.48705923611</v>
      </c>
      <c r="B5169" s="218" t="s">
        <v>5092</v>
      </c>
      <c r="C5169" s="218" t="s">
        <v>6053</v>
      </c>
      <c r="D5169" s="219">
        <v>2.0</v>
      </c>
      <c r="E5169" s="218">
        <v>300.0</v>
      </c>
      <c r="G5169" s="220">
        <v>43560.0</v>
      </c>
    </row>
    <row r="5170">
      <c r="A5170" s="217">
        <v>43562.48808592593</v>
      </c>
      <c r="B5170" s="218" t="s">
        <v>5092</v>
      </c>
      <c r="C5170" s="218" t="s">
        <v>6053</v>
      </c>
      <c r="D5170" s="219">
        <v>1.0</v>
      </c>
      <c r="E5170" s="218">
        <v>300.0</v>
      </c>
      <c r="G5170" s="220">
        <v>43560.0</v>
      </c>
    </row>
    <row r="5171">
      <c r="A5171" s="217">
        <v>43562.48935981482</v>
      </c>
      <c r="B5171" s="218" t="s">
        <v>5092</v>
      </c>
      <c r="C5171" s="218" t="s">
        <v>6053</v>
      </c>
      <c r="D5171" s="219">
        <v>1.0</v>
      </c>
      <c r="E5171" s="218">
        <v>300.0</v>
      </c>
      <c r="G5171" s="220">
        <v>43560.0</v>
      </c>
    </row>
    <row r="5172">
      <c r="A5172" s="217">
        <v>43562.49754761574</v>
      </c>
      <c r="B5172" s="218" t="s">
        <v>5092</v>
      </c>
      <c r="C5172" s="218" t="s">
        <v>244</v>
      </c>
      <c r="D5172" s="219">
        <v>2.0</v>
      </c>
      <c r="E5172" s="218">
        <v>400.0</v>
      </c>
      <c r="G5172" s="220">
        <v>43560.0</v>
      </c>
    </row>
    <row r="5173">
      <c r="A5173" s="217">
        <v>43562.49885416667</v>
      </c>
      <c r="B5173" s="218" t="s">
        <v>5092</v>
      </c>
      <c r="C5173" s="218" t="s">
        <v>7806</v>
      </c>
      <c r="D5173" s="219">
        <v>4.0</v>
      </c>
      <c r="E5173" s="218">
        <v>600.0</v>
      </c>
      <c r="G5173" s="220">
        <v>43560.0</v>
      </c>
    </row>
    <row r="5174">
      <c r="A5174" s="217">
        <v>43562.501568692125</v>
      </c>
      <c r="B5174" s="218" t="s">
        <v>5092</v>
      </c>
      <c r="C5174" s="218" t="s">
        <v>6053</v>
      </c>
      <c r="D5174" s="219">
        <v>1.0</v>
      </c>
      <c r="E5174" s="218">
        <v>300.0</v>
      </c>
      <c r="G5174" s="220">
        <v>43561.0</v>
      </c>
    </row>
    <row r="5175">
      <c r="A5175" s="217">
        <v>43562.50314381944</v>
      </c>
      <c r="B5175" s="218" t="s">
        <v>5092</v>
      </c>
      <c r="C5175" s="218" t="s">
        <v>6053</v>
      </c>
      <c r="D5175" s="219">
        <v>1.0</v>
      </c>
      <c r="E5175" s="218">
        <v>300.0</v>
      </c>
      <c r="G5175" s="220">
        <v>43561.0</v>
      </c>
    </row>
    <row r="5176">
      <c r="A5176" s="217">
        <v>43562.50404597222</v>
      </c>
      <c r="B5176" s="218" t="s">
        <v>5092</v>
      </c>
      <c r="C5176" s="218" t="s">
        <v>6053</v>
      </c>
      <c r="D5176" s="219">
        <v>1.0</v>
      </c>
      <c r="E5176" s="218">
        <v>300.0</v>
      </c>
      <c r="G5176" s="220">
        <v>43561.0</v>
      </c>
    </row>
    <row r="5177">
      <c r="A5177" s="217">
        <v>43562.50469611111</v>
      </c>
      <c r="B5177" s="218" t="s">
        <v>5092</v>
      </c>
      <c r="C5177" s="218" t="s">
        <v>6053</v>
      </c>
      <c r="D5177" s="219">
        <v>1.0</v>
      </c>
      <c r="E5177" s="218">
        <v>300.0</v>
      </c>
      <c r="G5177" s="220">
        <v>43561.0</v>
      </c>
    </row>
    <row r="5178">
      <c r="A5178" s="217">
        <v>43562.5068555787</v>
      </c>
      <c r="B5178" s="218" t="s">
        <v>5092</v>
      </c>
      <c r="C5178" s="218" t="s">
        <v>6053</v>
      </c>
      <c r="D5178" s="219">
        <v>4.0</v>
      </c>
      <c r="E5178" s="218">
        <v>300.0</v>
      </c>
      <c r="G5178" s="220">
        <v>43561.0</v>
      </c>
    </row>
    <row r="5179">
      <c r="A5179" s="217">
        <v>43562.5079771412</v>
      </c>
      <c r="B5179" s="218" t="s">
        <v>5092</v>
      </c>
      <c r="C5179" s="218" t="s">
        <v>6053</v>
      </c>
      <c r="D5179" s="219">
        <v>15.0</v>
      </c>
      <c r="E5179" s="218">
        <v>300.0</v>
      </c>
      <c r="G5179" s="220">
        <v>43561.0</v>
      </c>
    </row>
    <row r="5180">
      <c r="A5180" s="217">
        <v>43562.509055208335</v>
      </c>
      <c r="B5180" s="218" t="s">
        <v>5092</v>
      </c>
      <c r="C5180" s="218" t="s">
        <v>6053</v>
      </c>
      <c r="D5180" s="219">
        <v>1.0</v>
      </c>
      <c r="E5180" s="218">
        <v>300.0</v>
      </c>
      <c r="G5180" s="220">
        <v>43561.0</v>
      </c>
    </row>
    <row r="5181">
      <c r="A5181" s="217">
        <v>43562.50998509259</v>
      </c>
      <c r="B5181" s="218" t="s">
        <v>5092</v>
      </c>
      <c r="C5181" s="218" t="s">
        <v>7806</v>
      </c>
      <c r="D5181" s="219">
        <v>1.0</v>
      </c>
      <c r="E5181" s="218">
        <v>600.0</v>
      </c>
      <c r="G5181" s="220">
        <v>43561.0</v>
      </c>
    </row>
    <row r="5182">
      <c r="A5182" s="217">
        <v>43562.5109127662</v>
      </c>
      <c r="B5182" s="218" t="s">
        <v>5092</v>
      </c>
      <c r="C5182" s="218" t="s">
        <v>932</v>
      </c>
      <c r="D5182" s="219">
        <v>15.0</v>
      </c>
      <c r="E5182" s="218">
        <v>300.0</v>
      </c>
      <c r="G5182" s="220">
        <v>43561.0</v>
      </c>
    </row>
    <row r="5183">
      <c r="A5183" s="217">
        <v>43562.51169907408</v>
      </c>
      <c r="B5183" s="218" t="s">
        <v>5092</v>
      </c>
      <c r="C5183" s="218" t="s">
        <v>7806</v>
      </c>
      <c r="D5183" s="219">
        <v>1.0</v>
      </c>
      <c r="E5183" s="218">
        <v>300.0</v>
      </c>
      <c r="G5183" s="220">
        <v>43561.0</v>
      </c>
    </row>
    <row r="5184">
      <c r="A5184" s="217">
        <v>43562.56779917824</v>
      </c>
      <c r="B5184" s="218" t="s">
        <v>5184</v>
      </c>
      <c r="C5184" s="218" t="s">
        <v>8413</v>
      </c>
      <c r="D5184" s="219">
        <v>2.0</v>
      </c>
      <c r="E5184" s="218">
        <v>5390.0</v>
      </c>
      <c r="G5184" s="220">
        <v>43562.0</v>
      </c>
    </row>
    <row r="5185">
      <c r="A5185" s="217">
        <v>43562.569990937496</v>
      </c>
      <c r="B5185" s="218" t="s">
        <v>5184</v>
      </c>
      <c r="C5185" s="218" t="s">
        <v>8415</v>
      </c>
      <c r="D5185" s="219">
        <v>1.0</v>
      </c>
      <c r="E5185" s="218">
        <v>2450.0</v>
      </c>
      <c r="G5185" s="220">
        <v>43562.0</v>
      </c>
    </row>
    <row r="5186">
      <c r="A5186" s="217">
        <v>43562.571695624996</v>
      </c>
      <c r="B5186" s="218" t="s">
        <v>5184</v>
      </c>
      <c r="C5186" s="218" t="s">
        <v>8417</v>
      </c>
      <c r="D5186" s="219">
        <v>1.0</v>
      </c>
      <c r="E5186" s="218">
        <v>2450.0</v>
      </c>
      <c r="G5186" s="220">
        <v>43562.0</v>
      </c>
    </row>
    <row r="5187">
      <c r="A5187" s="217">
        <v>43562.572963900464</v>
      </c>
      <c r="B5187" s="218" t="s">
        <v>5184</v>
      </c>
      <c r="C5187" s="218" t="s">
        <v>1422</v>
      </c>
      <c r="D5187" s="219">
        <v>1.0</v>
      </c>
      <c r="E5187" s="218">
        <v>2450.0</v>
      </c>
      <c r="G5187" s="220">
        <v>43562.0</v>
      </c>
    </row>
    <row r="5188">
      <c r="A5188" s="217">
        <v>43562.58109553241</v>
      </c>
      <c r="B5188" s="218" t="s">
        <v>5184</v>
      </c>
      <c r="C5188" s="218" t="s">
        <v>8418</v>
      </c>
      <c r="D5188" s="219">
        <v>1.0</v>
      </c>
      <c r="E5188" s="218">
        <v>2450.0</v>
      </c>
      <c r="G5188" s="220">
        <v>43562.0</v>
      </c>
    </row>
    <row r="5189">
      <c r="A5189" s="217">
        <v>43562.73226232639</v>
      </c>
      <c r="B5189" s="218" t="s">
        <v>5184</v>
      </c>
      <c r="C5189" s="218" t="s">
        <v>6053</v>
      </c>
      <c r="D5189" s="219">
        <v>1.0</v>
      </c>
      <c r="E5189" s="218">
        <v>300.0</v>
      </c>
      <c r="G5189" s="220">
        <v>43562.0</v>
      </c>
    </row>
    <row r="5190">
      <c r="A5190" s="217">
        <v>43563.618504108796</v>
      </c>
      <c r="B5190" s="218" t="s">
        <v>5184</v>
      </c>
      <c r="C5190" s="218" t="s">
        <v>7408</v>
      </c>
      <c r="D5190" s="219">
        <v>1.0</v>
      </c>
      <c r="E5190" s="218">
        <v>400.0</v>
      </c>
      <c r="G5190" s="220">
        <v>43563.0</v>
      </c>
    </row>
    <row r="5191">
      <c r="A5191" s="217">
        <v>43563.6214124074</v>
      </c>
      <c r="B5191" s="218" t="s">
        <v>5184</v>
      </c>
      <c r="C5191" s="218" t="s">
        <v>5848</v>
      </c>
      <c r="D5191" s="219">
        <v>1.0</v>
      </c>
      <c r="E5191" s="218">
        <v>1000.0</v>
      </c>
      <c r="G5191" s="220">
        <v>43563.0</v>
      </c>
    </row>
    <row r="5192">
      <c r="A5192" s="217">
        <v>43563.62185618056</v>
      </c>
      <c r="B5192" s="218" t="s">
        <v>5184</v>
      </c>
      <c r="C5192" s="218" t="s">
        <v>7806</v>
      </c>
      <c r="D5192" s="219">
        <v>1.0</v>
      </c>
      <c r="E5192" s="218">
        <v>1000.0</v>
      </c>
      <c r="G5192" s="220">
        <v>43532.0</v>
      </c>
    </row>
    <row r="5193">
      <c r="A5193" s="217">
        <v>43563.62253945602</v>
      </c>
      <c r="B5193" s="218" t="s">
        <v>5184</v>
      </c>
      <c r="C5193" s="218" t="s">
        <v>7496</v>
      </c>
      <c r="D5193" s="219">
        <v>1.0</v>
      </c>
      <c r="E5193" s="218">
        <v>250.0</v>
      </c>
      <c r="G5193" s="220">
        <v>43563.0</v>
      </c>
    </row>
    <row r="5194">
      <c r="A5194" s="217">
        <v>43563.6231534838</v>
      </c>
      <c r="B5194" s="218" t="s">
        <v>5184</v>
      </c>
      <c r="C5194" s="218" t="s">
        <v>6053</v>
      </c>
      <c r="D5194" s="219">
        <v>1.0</v>
      </c>
      <c r="E5194" s="218">
        <v>300.0</v>
      </c>
      <c r="G5194" s="220">
        <v>43563.0</v>
      </c>
    </row>
    <row r="5195">
      <c r="A5195" s="217">
        <v>43563.62422865741</v>
      </c>
      <c r="B5195" s="218" t="s">
        <v>5184</v>
      </c>
      <c r="C5195" s="218" t="s">
        <v>7800</v>
      </c>
      <c r="D5195" s="219">
        <v>1.0</v>
      </c>
      <c r="E5195" s="218">
        <v>300.0</v>
      </c>
      <c r="G5195" s="220">
        <v>43563.0</v>
      </c>
    </row>
    <row r="5196">
      <c r="A5196" s="217">
        <v>43563.625019548606</v>
      </c>
      <c r="B5196" s="218" t="s">
        <v>5184</v>
      </c>
      <c r="C5196" s="218" t="s">
        <v>6053</v>
      </c>
      <c r="D5196" s="219">
        <v>1.0</v>
      </c>
      <c r="E5196" s="218">
        <v>300.0</v>
      </c>
      <c r="G5196" s="220">
        <v>43563.0</v>
      </c>
    </row>
    <row r="5197">
      <c r="A5197" s="217">
        <v>43563.62595851852</v>
      </c>
      <c r="B5197" s="218" t="s">
        <v>5184</v>
      </c>
      <c r="C5197" s="218" t="s">
        <v>5786</v>
      </c>
      <c r="D5197" s="219">
        <v>1.0</v>
      </c>
      <c r="E5197" s="218">
        <v>300.0</v>
      </c>
      <c r="G5197" s="220">
        <v>43563.0</v>
      </c>
    </row>
    <row r="5198">
      <c r="A5198" s="217">
        <v>43563.62639614583</v>
      </c>
      <c r="B5198" s="218" t="s">
        <v>5184</v>
      </c>
      <c r="C5198" s="218" t="s">
        <v>6053</v>
      </c>
      <c r="D5198" s="219">
        <v>1.0</v>
      </c>
      <c r="E5198" s="218">
        <v>300.0</v>
      </c>
      <c r="G5198" s="220">
        <v>43563.0</v>
      </c>
    </row>
    <row r="5199">
      <c r="A5199" s="217">
        <v>43563.6272837037</v>
      </c>
      <c r="B5199" s="218" t="s">
        <v>5184</v>
      </c>
      <c r="C5199" s="218" t="s">
        <v>5789</v>
      </c>
      <c r="D5199" s="219">
        <v>1.0</v>
      </c>
      <c r="E5199" s="218">
        <v>400.0</v>
      </c>
      <c r="G5199" s="220">
        <v>43563.0</v>
      </c>
    </row>
    <row r="5200">
      <c r="A5200" s="217">
        <v>43563.62772604167</v>
      </c>
      <c r="B5200" s="218" t="s">
        <v>5184</v>
      </c>
      <c r="C5200" s="218" t="s">
        <v>6053</v>
      </c>
      <c r="D5200" s="219">
        <v>1.0</v>
      </c>
      <c r="E5200" s="218">
        <v>300.0</v>
      </c>
      <c r="G5200" s="220">
        <v>43563.0</v>
      </c>
    </row>
    <row r="5201">
      <c r="A5201" s="217">
        <v>43563.62844425926</v>
      </c>
      <c r="B5201" s="218" t="s">
        <v>5184</v>
      </c>
      <c r="C5201" s="218" t="s">
        <v>7800</v>
      </c>
      <c r="D5201" s="219">
        <v>1.0</v>
      </c>
      <c r="E5201" s="218">
        <v>200.0</v>
      </c>
      <c r="G5201" s="220">
        <v>43563.0</v>
      </c>
    </row>
    <row r="5202">
      <c r="A5202" s="217">
        <v>43563.628874490736</v>
      </c>
      <c r="B5202" s="218" t="s">
        <v>5184</v>
      </c>
      <c r="C5202" s="218" t="s">
        <v>6053</v>
      </c>
      <c r="D5202" s="219">
        <v>1.0</v>
      </c>
      <c r="E5202" s="218">
        <v>300.0</v>
      </c>
      <c r="G5202" s="220">
        <v>43563.0</v>
      </c>
    </row>
    <row r="5203">
      <c r="A5203" s="217">
        <v>43563.63424719908</v>
      </c>
      <c r="B5203" s="218" t="s">
        <v>5184</v>
      </c>
      <c r="C5203" s="218" t="s">
        <v>5786</v>
      </c>
      <c r="D5203" s="219">
        <v>1.0</v>
      </c>
      <c r="E5203" s="218">
        <v>300.0</v>
      </c>
      <c r="G5203" s="220">
        <v>43561.0</v>
      </c>
    </row>
    <row r="5204">
      <c r="A5204" s="217">
        <v>43563.63492592593</v>
      </c>
      <c r="B5204" s="218" t="s">
        <v>5184</v>
      </c>
      <c r="C5204" s="218" t="s">
        <v>6053</v>
      </c>
      <c r="D5204" s="219">
        <v>1.0</v>
      </c>
      <c r="E5204" s="218">
        <v>500.0</v>
      </c>
      <c r="G5204" s="220">
        <v>43561.0</v>
      </c>
    </row>
    <row r="5205">
      <c r="A5205" s="217">
        <v>43563.63570458333</v>
      </c>
      <c r="B5205" s="218" t="s">
        <v>5184</v>
      </c>
      <c r="C5205" s="218" t="s">
        <v>7800</v>
      </c>
      <c r="D5205" s="219">
        <v>1.0</v>
      </c>
      <c r="E5205" s="218">
        <v>200.0</v>
      </c>
      <c r="G5205" s="220">
        <v>43563.0</v>
      </c>
    </row>
    <row r="5206">
      <c r="A5206" s="217">
        <v>43563.636630381945</v>
      </c>
      <c r="B5206" s="218" t="s">
        <v>5184</v>
      </c>
      <c r="C5206" s="218" t="s">
        <v>7800</v>
      </c>
      <c r="D5206" s="219">
        <v>1.0</v>
      </c>
      <c r="E5206" s="218">
        <v>250.0</v>
      </c>
      <c r="G5206" s="220">
        <v>43562.0</v>
      </c>
    </row>
    <row r="5207">
      <c r="A5207" s="217">
        <v>43563.63710065972</v>
      </c>
      <c r="B5207" s="218" t="s">
        <v>5184</v>
      </c>
      <c r="C5207" s="218" t="s">
        <v>6053</v>
      </c>
      <c r="D5207" s="219">
        <v>1.0</v>
      </c>
      <c r="E5207" s="218">
        <v>300.0</v>
      </c>
      <c r="G5207" s="220">
        <v>43563.0</v>
      </c>
    </row>
    <row r="5208">
      <c r="A5208" s="217">
        <v>43563.638091076384</v>
      </c>
      <c r="B5208" s="218" t="s">
        <v>5184</v>
      </c>
      <c r="C5208" s="218" t="s">
        <v>5786</v>
      </c>
      <c r="D5208" s="219">
        <v>1.0</v>
      </c>
      <c r="E5208" s="218">
        <v>300.0</v>
      </c>
      <c r="G5208" s="220">
        <v>43561.0</v>
      </c>
    </row>
    <row r="5209">
      <c r="A5209" s="217">
        <v>43563.63881092593</v>
      </c>
      <c r="B5209" s="218" t="s">
        <v>5184</v>
      </c>
      <c r="C5209" s="218" t="s">
        <v>7806</v>
      </c>
      <c r="D5209" s="219">
        <v>1.0</v>
      </c>
      <c r="E5209" s="218">
        <v>600.0</v>
      </c>
      <c r="G5209" s="220">
        <v>43561.0</v>
      </c>
    </row>
    <row r="5210">
      <c r="A5210" s="217">
        <v>43563.63950837963</v>
      </c>
      <c r="B5210" s="218" t="s">
        <v>5184</v>
      </c>
      <c r="C5210" s="218" t="s">
        <v>6053</v>
      </c>
      <c r="D5210" s="219">
        <v>1.0</v>
      </c>
      <c r="E5210" s="218">
        <v>300.0</v>
      </c>
      <c r="G5210" s="220">
        <v>43562.0</v>
      </c>
    </row>
    <row r="5211">
      <c r="A5211" s="217">
        <v>43563.656876180554</v>
      </c>
      <c r="B5211" s="218" t="s">
        <v>5184</v>
      </c>
      <c r="C5211" s="218" t="s">
        <v>5848</v>
      </c>
      <c r="D5211" s="219">
        <v>1.0</v>
      </c>
      <c r="E5211" s="218">
        <v>1000.0</v>
      </c>
      <c r="G5211" s="220">
        <v>43563.0</v>
      </c>
    </row>
    <row r="5212">
      <c r="A5212" s="217">
        <v>43563.65758833333</v>
      </c>
      <c r="B5212" s="218" t="s">
        <v>5184</v>
      </c>
      <c r="C5212" s="218" t="s">
        <v>8427</v>
      </c>
      <c r="D5212" s="219">
        <v>1.0</v>
      </c>
      <c r="E5212" s="218">
        <v>400.0</v>
      </c>
      <c r="G5212" s="220">
        <v>43563.0</v>
      </c>
    </row>
    <row r="5213">
      <c r="A5213" s="217">
        <v>43563.66058581018</v>
      </c>
      <c r="B5213" s="218" t="s">
        <v>5184</v>
      </c>
      <c r="C5213" s="218" t="s">
        <v>8428</v>
      </c>
      <c r="D5213" s="219">
        <v>1.0</v>
      </c>
      <c r="E5213" s="218">
        <v>3800.0</v>
      </c>
      <c r="G5213" s="220">
        <v>43563.0</v>
      </c>
    </row>
    <row r="5214">
      <c r="A5214" s="217">
        <v>43563.66227223379</v>
      </c>
      <c r="B5214" s="218" t="s">
        <v>5184</v>
      </c>
      <c r="C5214" s="218" t="s">
        <v>7806</v>
      </c>
      <c r="D5214" s="219">
        <v>1.0</v>
      </c>
      <c r="E5214" s="218">
        <v>1000.0</v>
      </c>
      <c r="G5214" s="220">
        <v>43563.0</v>
      </c>
    </row>
    <row r="5215">
      <c r="A5215" s="217">
        <v>43563.67441011574</v>
      </c>
      <c r="B5215" s="218" t="s">
        <v>5184</v>
      </c>
      <c r="C5215" s="218" t="s">
        <v>8429</v>
      </c>
      <c r="D5215" s="219">
        <v>1.0</v>
      </c>
      <c r="E5215" s="218">
        <v>6190.0</v>
      </c>
      <c r="G5215" s="220">
        <v>43563.0</v>
      </c>
    </row>
    <row r="5216">
      <c r="A5216" s="217">
        <v>43563.67695238426</v>
      </c>
      <c r="B5216" s="218" t="s">
        <v>5184</v>
      </c>
      <c r="C5216" s="218" t="s">
        <v>8430</v>
      </c>
      <c r="D5216" s="219">
        <v>1.0</v>
      </c>
      <c r="E5216" s="218">
        <v>1273.0</v>
      </c>
      <c r="G5216" s="220">
        <v>43563.0</v>
      </c>
    </row>
    <row r="5217">
      <c r="A5217" s="217">
        <v>43563.6825478588</v>
      </c>
      <c r="B5217" s="218" t="s">
        <v>5184</v>
      </c>
      <c r="C5217" s="218" t="s">
        <v>8432</v>
      </c>
      <c r="D5217" s="219">
        <v>1.0</v>
      </c>
      <c r="E5217" s="218">
        <v>2380.0</v>
      </c>
      <c r="G5217" s="220">
        <v>43563.0</v>
      </c>
    </row>
    <row r="5218">
      <c r="A5218" s="217">
        <v>43563.68357840278</v>
      </c>
      <c r="B5218" s="218" t="s">
        <v>5184</v>
      </c>
      <c r="C5218" s="218" t="s">
        <v>8433</v>
      </c>
      <c r="D5218" s="219">
        <v>1.0</v>
      </c>
      <c r="E5218" s="218">
        <v>2280.0</v>
      </c>
      <c r="G5218" s="220">
        <v>43563.0</v>
      </c>
    </row>
    <row r="5219">
      <c r="A5219" s="217">
        <v>43563.68483760417</v>
      </c>
      <c r="B5219" s="218" t="s">
        <v>5184</v>
      </c>
      <c r="C5219" s="218" t="s">
        <v>6681</v>
      </c>
      <c r="D5219" s="219">
        <v>1.0</v>
      </c>
      <c r="E5219" s="218">
        <v>4890.0</v>
      </c>
      <c r="G5219" s="220">
        <v>43563.0</v>
      </c>
    </row>
    <row r="5220">
      <c r="A5220" s="217">
        <v>43564.74204269676</v>
      </c>
      <c r="B5220" s="218" t="s">
        <v>5184</v>
      </c>
      <c r="C5220" s="218" t="s">
        <v>8072</v>
      </c>
      <c r="D5220" s="219">
        <v>1.0</v>
      </c>
      <c r="E5220" s="218">
        <v>500.0</v>
      </c>
      <c r="G5220" s="220">
        <v>43564.0</v>
      </c>
    </row>
    <row r="5221">
      <c r="A5221" s="217">
        <v>43564.74394946759</v>
      </c>
      <c r="B5221" s="218" t="s">
        <v>5184</v>
      </c>
      <c r="C5221" s="218" t="s">
        <v>6053</v>
      </c>
      <c r="D5221" s="219">
        <v>1.0</v>
      </c>
      <c r="E5221" s="218">
        <v>300.0</v>
      </c>
      <c r="G5221" s="220">
        <v>43564.0</v>
      </c>
    </row>
    <row r="5222">
      <c r="A5222" s="217">
        <v>43564.74672805556</v>
      </c>
      <c r="B5222" s="218" t="s">
        <v>5184</v>
      </c>
      <c r="C5222" s="218" t="s">
        <v>5786</v>
      </c>
      <c r="D5222" s="219">
        <v>1.0</v>
      </c>
      <c r="E5222" s="218">
        <v>300.0</v>
      </c>
      <c r="G5222" s="220">
        <v>43564.0</v>
      </c>
    </row>
    <row r="5223">
      <c r="A5223" s="217">
        <v>43564.747646874996</v>
      </c>
      <c r="B5223" s="218" t="s">
        <v>5184</v>
      </c>
      <c r="C5223" s="218" t="s">
        <v>6053</v>
      </c>
      <c r="D5223" s="219">
        <v>1.0</v>
      </c>
      <c r="E5223" s="218">
        <v>300.0</v>
      </c>
      <c r="G5223" s="220">
        <v>43564.0</v>
      </c>
    </row>
    <row r="5224">
      <c r="A5224" s="217">
        <v>43565.44595646991</v>
      </c>
      <c r="B5224" s="218" t="s">
        <v>5184</v>
      </c>
      <c r="C5224" s="218" t="s">
        <v>7496</v>
      </c>
      <c r="D5224" s="219">
        <v>1.0</v>
      </c>
      <c r="E5224" s="218">
        <v>200.0</v>
      </c>
      <c r="G5224" s="220">
        <v>43564.0</v>
      </c>
    </row>
    <row r="5225">
      <c r="A5225" s="217">
        <v>43565.44706100694</v>
      </c>
      <c r="B5225" s="218" t="s">
        <v>5184</v>
      </c>
      <c r="C5225" s="218" t="s">
        <v>7800</v>
      </c>
      <c r="D5225" s="219">
        <v>1.0</v>
      </c>
      <c r="E5225" s="218">
        <v>200.0</v>
      </c>
      <c r="G5225" s="220">
        <v>43564.0</v>
      </c>
    </row>
    <row r="5226">
      <c r="A5226" s="217">
        <v>43565.44802657407</v>
      </c>
      <c r="B5226" s="218" t="s">
        <v>5184</v>
      </c>
      <c r="C5226" s="218" t="s">
        <v>6053</v>
      </c>
      <c r="D5226" s="219">
        <v>1.0</v>
      </c>
      <c r="E5226" s="218">
        <v>300.0</v>
      </c>
      <c r="G5226" s="220">
        <v>43564.0</v>
      </c>
    </row>
    <row r="5227">
      <c r="A5227" s="217">
        <v>43565.44931582176</v>
      </c>
      <c r="B5227" s="218" t="s">
        <v>5184</v>
      </c>
      <c r="C5227" s="218" t="s">
        <v>6053</v>
      </c>
      <c r="D5227" s="219">
        <v>1.0</v>
      </c>
      <c r="E5227" s="218">
        <v>300.0</v>
      </c>
      <c r="G5227" s="220">
        <v>43564.0</v>
      </c>
    </row>
    <row r="5228">
      <c r="A5228" s="217">
        <v>43565.45119998843</v>
      </c>
      <c r="B5228" s="218" t="s">
        <v>5184</v>
      </c>
      <c r="C5228" s="218" t="s">
        <v>6053</v>
      </c>
      <c r="D5228" s="219" t="s">
        <v>7652</v>
      </c>
      <c r="E5228" s="218">
        <v>300.0</v>
      </c>
      <c r="G5228" s="220">
        <v>43564.0</v>
      </c>
    </row>
    <row r="5229">
      <c r="A5229" s="217">
        <v>43565.4528305787</v>
      </c>
      <c r="B5229" s="218" t="s">
        <v>5184</v>
      </c>
      <c r="C5229" s="218" t="s">
        <v>8438</v>
      </c>
      <c r="D5229" s="219">
        <v>1.0</v>
      </c>
      <c r="E5229" s="218">
        <v>400.0</v>
      </c>
      <c r="G5229" s="220">
        <v>43564.0</v>
      </c>
    </row>
    <row r="5230">
      <c r="A5230" s="217">
        <v>43565.45351517361</v>
      </c>
      <c r="B5230" s="218" t="s">
        <v>5184</v>
      </c>
      <c r="C5230" s="218" t="s">
        <v>7806</v>
      </c>
      <c r="D5230" s="219">
        <v>1.0</v>
      </c>
      <c r="E5230" s="218">
        <v>600.0</v>
      </c>
      <c r="G5230" s="220">
        <v>43564.0</v>
      </c>
    </row>
    <row r="5231">
      <c r="A5231" s="217">
        <v>43565.45473216435</v>
      </c>
      <c r="B5231" s="218" t="s">
        <v>5092</v>
      </c>
      <c r="C5231" s="218" t="s">
        <v>244</v>
      </c>
      <c r="D5231" s="219">
        <v>2.0</v>
      </c>
      <c r="E5231" s="218">
        <v>400.0</v>
      </c>
      <c r="G5231" s="220">
        <v>43563.0</v>
      </c>
    </row>
    <row r="5232">
      <c r="A5232" s="217">
        <v>43565.45609894676</v>
      </c>
      <c r="B5232" s="218" t="s">
        <v>5092</v>
      </c>
      <c r="C5232" s="218" t="s">
        <v>8371</v>
      </c>
      <c r="D5232" s="219">
        <v>2.0</v>
      </c>
      <c r="E5232" s="218">
        <v>1000.0</v>
      </c>
      <c r="G5232" s="220">
        <v>43564.0</v>
      </c>
    </row>
    <row r="5233">
      <c r="A5233" s="217">
        <v>43565.457374861115</v>
      </c>
      <c r="B5233" s="218" t="s">
        <v>5092</v>
      </c>
      <c r="C5233" s="218" t="s">
        <v>7754</v>
      </c>
      <c r="D5233" s="219">
        <v>2.0</v>
      </c>
      <c r="E5233" s="218">
        <v>600.0</v>
      </c>
      <c r="G5233" s="220">
        <v>43564.0</v>
      </c>
    </row>
    <row r="5234">
      <c r="A5234" s="217">
        <v>43565.45889309028</v>
      </c>
      <c r="B5234" s="218" t="s">
        <v>5092</v>
      </c>
      <c r="C5234" s="218" t="s">
        <v>7806</v>
      </c>
      <c r="D5234" s="219">
        <v>1.0</v>
      </c>
      <c r="E5234" s="218">
        <v>300.0</v>
      </c>
      <c r="G5234" s="220">
        <v>43564.0</v>
      </c>
    </row>
    <row r="5235">
      <c r="A5235" s="217">
        <v>43565.459589942126</v>
      </c>
      <c r="B5235" s="218" t="s">
        <v>5092</v>
      </c>
      <c r="C5235" s="218" t="s">
        <v>7806</v>
      </c>
      <c r="D5235" s="219">
        <v>1.0</v>
      </c>
      <c r="E5235" s="218">
        <v>300.0</v>
      </c>
      <c r="G5235" s="220">
        <v>43564.0</v>
      </c>
    </row>
    <row r="5236">
      <c r="A5236" s="217">
        <v>43565.497518125005</v>
      </c>
      <c r="B5236" s="218" t="s">
        <v>5184</v>
      </c>
      <c r="C5236" s="218" t="s">
        <v>7800</v>
      </c>
      <c r="D5236" s="219">
        <v>1.0</v>
      </c>
      <c r="E5236" s="218">
        <v>300.0</v>
      </c>
      <c r="G5236" s="220">
        <v>43565.0</v>
      </c>
    </row>
    <row r="5237">
      <c r="A5237" s="217">
        <v>43565.498111030094</v>
      </c>
      <c r="B5237" s="218" t="s">
        <v>5184</v>
      </c>
      <c r="C5237" s="218" t="s">
        <v>6053</v>
      </c>
      <c r="D5237" s="219">
        <v>1.0</v>
      </c>
      <c r="E5237" s="218">
        <v>300.0</v>
      </c>
      <c r="G5237" s="220">
        <v>43565.0</v>
      </c>
    </row>
    <row r="5238">
      <c r="A5238" s="217">
        <v>43565.50557922454</v>
      </c>
      <c r="B5238" s="218" t="s">
        <v>5184</v>
      </c>
      <c r="C5238" s="218" t="s">
        <v>7800</v>
      </c>
      <c r="D5238" s="219">
        <v>1.0</v>
      </c>
      <c r="E5238" s="218">
        <v>200.0</v>
      </c>
      <c r="G5238" s="220">
        <v>43565.0</v>
      </c>
    </row>
    <row r="5239">
      <c r="A5239" s="217">
        <v>43565.50614293982</v>
      </c>
      <c r="B5239" s="218" t="s">
        <v>5184</v>
      </c>
      <c r="C5239" s="218" t="s">
        <v>284</v>
      </c>
      <c r="D5239" s="219">
        <v>1.0</v>
      </c>
      <c r="E5239" s="218">
        <v>400.0</v>
      </c>
      <c r="G5239" s="220">
        <v>43565.0</v>
      </c>
    </row>
    <row r="5240">
      <c r="A5240" s="217">
        <v>43565.53764325232</v>
      </c>
      <c r="B5240" s="218" t="s">
        <v>5184</v>
      </c>
      <c r="C5240" s="218" t="s">
        <v>7800</v>
      </c>
      <c r="D5240" s="219">
        <v>1.0</v>
      </c>
      <c r="E5240" s="218">
        <v>300.0</v>
      </c>
      <c r="G5240" s="220">
        <v>43565.0</v>
      </c>
    </row>
    <row r="5241">
      <c r="A5241" s="217">
        <v>43565.538168680556</v>
      </c>
      <c r="B5241" s="218" t="s">
        <v>5184</v>
      </c>
      <c r="C5241" s="218" t="s">
        <v>6053</v>
      </c>
      <c r="D5241" s="219">
        <v>1.0</v>
      </c>
      <c r="E5241" s="218">
        <v>300.0</v>
      </c>
      <c r="G5241" s="220">
        <v>43565.0</v>
      </c>
    </row>
    <row r="5242">
      <c r="A5242" s="217">
        <v>43565.53920608797</v>
      </c>
      <c r="B5242" s="218" t="s">
        <v>5184</v>
      </c>
      <c r="C5242" s="218" t="s">
        <v>284</v>
      </c>
      <c r="D5242" s="219">
        <v>1.0</v>
      </c>
      <c r="E5242" s="218">
        <v>400.0</v>
      </c>
      <c r="G5242" s="220">
        <v>43565.0</v>
      </c>
    </row>
    <row r="5243">
      <c r="A5243" s="217">
        <v>43565.54010824074</v>
      </c>
      <c r="B5243" s="218" t="s">
        <v>5184</v>
      </c>
      <c r="C5243" s="218" t="s">
        <v>284</v>
      </c>
      <c r="D5243" s="219">
        <v>1.0</v>
      </c>
      <c r="E5243" s="218">
        <v>400.0</v>
      </c>
      <c r="G5243" s="220">
        <v>43565.0</v>
      </c>
    </row>
    <row r="5244">
      <c r="A5244" s="217">
        <v>43565.54173641204</v>
      </c>
      <c r="B5244" s="218" t="s">
        <v>5184</v>
      </c>
      <c r="C5244" s="218" t="s">
        <v>1453</v>
      </c>
      <c r="D5244" s="219">
        <v>1.0</v>
      </c>
      <c r="E5244" s="218">
        <v>200.0</v>
      </c>
      <c r="G5244" s="220">
        <v>43565.0</v>
      </c>
    </row>
    <row r="5245">
      <c r="A5245" s="217">
        <v>43565.54259311342</v>
      </c>
      <c r="B5245" s="218" t="s">
        <v>5184</v>
      </c>
      <c r="C5245" s="218" t="s">
        <v>7806</v>
      </c>
      <c r="D5245" s="219" t="s">
        <v>7547</v>
      </c>
      <c r="E5245" s="218">
        <v>300.0</v>
      </c>
      <c r="G5245" s="220">
        <v>43565.0</v>
      </c>
    </row>
    <row r="5246">
      <c r="A5246" s="217">
        <v>43565.597688912036</v>
      </c>
      <c r="B5246" s="218" t="s">
        <v>5184</v>
      </c>
      <c r="C5246" s="218" t="s">
        <v>1248</v>
      </c>
      <c r="D5246" s="219">
        <v>1.0</v>
      </c>
      <c r="E5246" s="218">
        <v>2150.0</v>
      </c>
      <c r="G5246" s="220">
        <v>43564.0</v>
      </c>
    </row>
    <row r="5247">
      <c r="A5247" s="217">
        <v>43565.601668020834</v>
      </c>
      <c r="B5247" s="218" t="s">
        <v>5184</v>
      </c>
      <c r="C5247" s="218" t="s">
        <v>244</v>
      </c>
      <c r="D5247" s="219">
        <v>1.0</v>
      </c>
      <c r="E5247" s="218">
        <v>400.0</v>
      </c>
      <c r="G5247" s="220">
        <v>43564.0</v>
      </c>
    </row>
    <row r="5248">
      <c r="A5248" s="217">
        <v>43565.603616736116</v>
      </c>
      <c r="B5248" s="218" t="s">
        <v>5184</v>
      </c>
      <c r="C5248" s="218" t="s">
        <v>7496</v>
      </c>
      <c r="D5248" s="219">
        <v>1.0</v>
      </c>
      <c r="E5248" s="218">
        <v>200.0</v>
      </c>
      <c r="G5248" s="220">
        <v>43565.0</v>
      </c>
    </row>
    <row r="5249">
      <c r="A5249" s="217">
        <v>43565.604234074075</v>
      </c>
      <c r="B5249" s="218" t="s">
        <v>5184</v>
      </c>
      <c r="C5249" s="218" t="s">
        <v>7806</v>
      </c>
      <c r="D5249" s="219">
        <v>1.0</v>
      </c>
      <c r="E5249" s="218">
        <v>600.0</v>
      </c>
      <c r="G5249" s="220">
        <v>43565.0</v>
      </c>
    </row>
    <row r="5250">
      <c r="A5250" s="217">
        <v>43565.605053402775</v>
      </c>
      <c r="B5250" s="218" t="s">
        <v>5184</v>
      </c>
      <c r="C5250" s="218" t="s">
        <v>6053</v>
      </c>
      <c r="D5250" s="219">
        <v>1.0</v>
      </c>
      <c r="E5250" s="218">
        <v>300.0</v>
      </c>
      <c r="G5250" s="220">
        <v>43565.0</v>
      </c>
    </row>
    <row r="5251">
      <c r="A5251" s="217">
        <v>43565.6312887963</v>
      </c>
      <c r="B5251" s="218" t="s">
        <v>5184</v>
      </c>
      <c r="C5251" s="218" t="s">
        <v>845</v>
      </c>
      <c r="D5251" s="219">
        <v>1.0</v>
      </c>
      <c r="E5251" s="218">
        <v>400.0</v>
      </c>
      <c r="G5251" s="220">
        <v>43564.0</v>
      </c>
    </row>
    <row r="5252">
      <c r="A5252" s="217">
        <v>43565.63320561343</v>
      </c>
      <c r="B5252" s="218" t="s">
        <v>5184</v>
      </c>
      <c r="C5252" s="218" t="s">
        <v>5789</v>
      </c>
      <c r="D5252" s="219">
        <v>1.0</v>
      </c>
      <c r="E5252" s="218">
        <v>400.0</v>
      </c>
      <c r="G5252" s="220">
        <v>43564.0</v>
      </c>
    </row>
    <row r="5253">
      <c r="A5253" s="217">
        <v>43565.63376394676</v>
      </c>
      <c r="B5253" s="218" t="s">
        <v>5184</v>
      </c>
      <c r="C5253" s="218" t="s">
        <v>6053</v>
      </c>
      <c r="D5253" s="219">
        <v>1.0</v>
      </c>
      <c r="E5253" s="218">
        <v>300.0</v>
      </c>
      <c r="G5253" s="220">
        <v>43564.0</v>
      </c>
    </row>
    <row r="5254">
      <c r="A5254" s="217">
        <v>43566.475929409724</v>
      </c>
      <c r="B5254" s="218" t="s">
        <v>5184</v>
      </c>
      <c r="C5254" s="218" t="s">
        <v>5174</v>
      </c>
      <c r="D5254" s="219">
        <v>2.0</v>
      </c>
      <c r="E5254" s="218">
        <v>4490.0</v>
      </c>
      <c r="G5254" s="220">
        <v>43566.0</v>
      </c>
    </row>
    <row r="5255">
      <c r="A5255" s="217">
        <v>43566.4785958912</v>
      </c>
      <c r="B5255" s="218" t="s">
        <v>5184</v>
      </c>
      <c r="C5255" s="218" t="s">
        <v>1887</v>
      </c>
      <c r="D5255" s="219">
        <v>2.0</v>
      </c>
      <c r="E5255" s="218">
        <v>5290.0</v>
      </c>
      <c r="G5255" s="220">
        <v>43566.0</v>
      </c>
    </row>
    <row r="5256">
      <c r="A5256" s="217">
        <v>43566.49502564815</v>
      </c>
      <c r="B5256" s="218" t="s">
        <v>5184</v>
      </c>
      <c r="C5256" s="218" t="s">
        <v>8451</v>
      </c>
      <c r="D5256" s="219">
        <v>1.0</v>
      </c>
      <c r="E5256" s="218">
        <v>2450.0</v>
      </c>
      <c r="G5256" s="220">
        <v>43566.0</v>
      </c>
    </row>
    <row r="5257">
      <c r="A5257" s="217">
        <v>43566.496899687496</v>
      </c>
      <c r="B5257" s="218" t="s">
        <v>5184</v>
      </c>
      <c r="C5257" s="218" t="s">
        <v>5177</v>
      </c>
      <c r="D5257" s="219">
        <v>2.0</v>
      </c>
      <c r="E5257" s="218">
        <v>5290.0</v>
      </c>
      <c r="G5257" s="220">
        <v>43565.0</v>
      </c>
    </row>
    <row r="5258">
      <c r="A5258" s="217">
        <v>43566.4982371875</v>
      </c>
      <c r="B5258" s="218" t="s">
        <v>5184</v>
      </c>
      <c r="C5258" s="218" t="s">
        <v>728</v>
      </c>
      <c r="D5258" s="219">
        <v>1.0</v>
      </c>
      <c r="E5258" s="218">
        <v>2450.0</v>
      </c>
      <c r="G5258" s="220">
        <v>43565.0</v>
      </c>
    </row>
    <row r="5259">
      <c r="A5259" s="217">
        <v>43566.4995475926</v>
      </c>
      <c r="B5259" s="218" t="s">
        <v>5184</v>
      </c>
      <c r="C5259" s="218" t="s">
        <v>1412</v>
      </c>
      <c r="D5259" s="219">
        <v>1.0</v>
      </c>
      <c r="E5259" s="218">
        <v>2590.0</v>
      </c>
      <c r="G5259" s="220">
        <v>43565.0</v>
      </c>
    </row>
    <row r="5260">
      <c r="A5260" s="217">
        <v>43566.52039521991</v>
      </c>
      <c r="B5260" s="218" t="s">
        <v>5184</v>
      </c>
      <c r="C5260" s="218" t="s">
        <v>5786</v>
      </c>
      <c r="D5260" s="219">
        <v>1.0</v>
      </c>
      <c r="E5260" s="218">
        <v>300.0</v>
      </c>
      <c r="G5260" s="220">
        <v>43565.0</v>
      </c>
    </row>
    <row r="5261">
      <c r="A5261" s="217">
        <v>43566.52139337963</v>
      </c>
      <c r="B5261" s="218" t="s">
        <v>5184</v>
      </c>
      <c r="C5261" s="218" t="s">
        <v>7806</v>
      </c>
      <c r="D5261" s="219">
        <v>1.0</v>
      </c>
      <c r="E5261" s="218">
        <v>600.0</v>
      </c>
      <c r="G5261" s="220">
        <v>43565.0</v>
      </c>
    </row>
    <row r="5262">
      <c r="A5262" s="217">
        <v>43566.52785719908</v>
      </c>
      <c r="B5262" s="218" t="s">
        <v>5184</v>
      </c>
      <c r="C5262" s="218" t="s">
        <v>6001</v>
      </c>
      <c r="D5262" s="219">
        <v>1.0</v>
      </c>
      <c r="E5262" s="218">
        <v>500.0</v>
      </c>
      <c r="G5262" s="220">
        <v>43565.0</v>
      </c>
    </row>
    <row r="5263">
      <c r="A5263" s="217">
        <v>43566.5283372338</v>
      </c>
      <c r="B5263" s="218" t="s">
        <v>5184</v>
      </c>
      <c r="C5263" s="218" t="s">
        <v>7806</v>
      </c>
      <c r="D5263" s="219">
        <v>1.0</v>
      </c>
      <c r="E5263" s="218">
        <v>700.0</v>
      </c>
      <c r="G5263" s="220">
        <v>43565.0</v>
      </c>
    </row>
    <row r="5264">
      <c r="A5264" s="217">
        <v>43566.53048342593</v>
      </c>
      <c r="B5264" s="218" t="s">
        <v>5184</v>
      </c>
      <c r="C5264" s="218" t="s">
        <v>7800</v>
      </c>
      <c r="D5264" s="219">
        <v>1.0</v>
      </c>
      <c r="E5264" s="218">
        <v>200.0</v>
      </c>
      <c r="G5264" s="220">
        <v>43565.0</v>
      </c>
    </row>
    <row r="5265">
      <c r="A5265" s="217">
        <v>43566.531004641205</v>
      </c>
      <c r="B5265" s="218" t="s">
        <v>5184</v>
      </c>
      <c r="C5265" s="218" t="s">
        <v>6053</v>
      </c>
      <c r="D5265" s="219">
        <v>1.0</v>
      </c>
      <c r="E5265" s="218">
        <v>300.0</v>
      </c>
      <c r="G5265" s="220">
        <v>43565.0</v>
      </c>
    </row>
    <row r="5266">
      <c r="A5266" s="217">
        <v>43566.531789976856</v>
      </c>
      <c r="B5266" s="218" t="s">
        <v>5184</v>
      </c>
      <c r="C5266" s="218" t="s">
        <v>6053</v>
      </c>
      <c r="D5266" s="238" t="s">
        <v>7659</v>
      </c>
      <c r="E5266" s="218">
        <v>150.0</v>
      </c>
      <c r="G5266" s="220">
        <v>43565.0</v>
      </c>
    </row>
    <row r="5267">
      <c r="A5267" s="217">
        <v>43566.53443767361</v>
      </c>
      <c r="B5267" s="218" t="s">
        <v>5184</v>
      </c>
      <c r="C5267" s="218" t="s">
        <v>5786</v>
      </c>
      <c r="D5267" s="219">
        <v>1.0</v>
      </c>
      <c r="E5267" s="218">
        <v>300.0</v>
      </c>
      <c r="G5267" s="220">
        <v>43565.0</v>
      </c>
    </row>
    <row r="5268">
      <c r="A5268" s="217">
        <v>43566.535479074075</v>
      </c>
      <c r="B5268" s="218" t="s">
        <v>5184</v>
      </c>
      <c r="C5268" s="218" t="s">
        <v>7987</v>
      </c>
      <c r="D5268" s="219">
        <v>1.0</v>
      </c>
      <c r="E5268" s="218">
        <v>1000.0</v>
      </c>
      <c r="G5268" s="220">
        <v>43565.0</v>
      </c>
    </row>
    <row r="5269">
      <c r="A5269" s="217">
        <v>43566.55052260417</v>
      </c>
      <c r="B5269" s="218" t="s">
        <v>5184</v>
      </c>
      <c r="C5269" s="218" t="s">
        <v>6053</v>
      </c>
      <c r="D5269" s="219">
        <v>1.0</v>
      </c>
      <c r="E5269" s="218">
        <v>300.0</v>
      </c>
      <c r="G5269" s="220">
        <v>43566.0</v>
      </c>
    </row>
    <row r="5270">
      <c r="A5270" s="217">
        <v>43567.50836770833</v>
      </c>
      <c r="B5270" s="218" t="s">
        <v>5184</v>
      </c>
      <c r="C5270" s="218" t="s">
        <v>6053</v>
      </c>
      <c r="D5270" s="238" t="s">
        <v>7659</v>
      </c>
      <c r="E5270" s="218">
        <v>150.0</v>
      </c>
      <c r="G5270" s="220">
        <v>43567.0</v>
      </c>
    </row>
    <row r="5271">
      <c r="A5271" s="217">
        <v>43567.511735057866</v>
      </c>
      <c r="B5271" s="218" t="s">
        <v>5184</v>
      </c>
      <c r="C5271" s="218" t="s">
        <v>8456</v>
      </c>
      <c r="D5271" s="219">
        <v>1.0</v>
      </c>
      <c r="E5271" s="218">
        <v>5490.0</v>
      </c>
      <c r="G5271" s="220">
        <v>43567.0</v>
      </c>
    </row>
    <row r="5272">
      <c r="A5272" s="217">
        <v>43567.51337072917</v>
      </c>
      <c r="B5272" s="218" t="s">
        <v>5184</v>
      </c>
      <c r="C5272" s="218" t="s">
        <v>5278</v>
      </c>
      <c r="D5272" s="219">
        <v>1.0</v>
      </c>
      <c r="E5272" s="218">
        <v>5990.0</v>
      </c>
      <c r="G5272" s="220">
        <v>43567.0</v>
      </c>
    </row>
    <row r="5273">
      <c r="A5273" s="217">
        <v>43567.52245472222</v>
      </c>
      <c r="B5273" s="218" t="s">
        <v>5184</v>
      </c>
      <c r="C5273" s="218" t="s">
        <v>6053</v>
      </c>
      <c r="D5273" s="238" t="s">
        <v>7659</v>
      </c>
      <c r="E5273" s="218">
        <v>150.0</v>
      </c>
      <c r="G5273" s="220">
        <v>43567.0</v>
      </c>
    </row>
    <row r="5274">
      <c r="A5274" s="217">
        <v>43567.52802789352</v>
      </c>
      <c r="B5274" s="218" t="s">
        <v>5184</v>
      </c>
      <c r="C5274" s="218" t="s">
        <v>7800</v>
      </c>
      <c r="D5274" s="219">
        <v>1.0</v>
      </c>
      <c r="E5274" s="218">
        <v>200.0</v>
      </c>
      <c r="G5274" s="220">
        <v>43566.0</v>
      </c>
    </row>
    <row r="5275">
      <c r="A5275" s="217">
        <v>43567.52859325231</v>
      </c>
      <c r="B5275" s="218" t="s">
        <v>5184</v>
      </c>
      <c r="C5275" s="218" t="s">
        <v>6053</v>
      </c>
      <c r="D5275" s="219">
        <v>1.0</v>
      </c>
      <c r="E5275" s="218">
        <v>300.0</v>
      </c>
      <c r="G5275" s="220">
        <v>43566.0</v>
      </c>
    </row>
    <row r="5276">
      <c r="A5276" s="217">
        <v>43567.67083858796</v>
      </c>
      <c r="B5276" s="218" t="s">
        <v>5184</v>
      </c>
      <c r="C5276" s="218" t="s">
        <v>7411</v>
      </c>
      <c r="D5276" s="219">
        <v>1.0</v>
      </c>
      <c r="E5276" s="218">
        <v>150.0</v>
      </c>
      <c r="G5276" s="220">
        <v>43567.0</v>
      </c>
    </row>
    <row r="5277">
      <c r="A5277" s="217">
        <v>43568.48393645833</v>
      </c>
      <c r="B5277" s="218" t="s">
        <v>5184</v>
      </c>
      <c r="C5277" s="218" t="s">
        <v>8072</v>
      </c>
      <c r="D5277" s="219">
        <v>1.0</v>
      </c>
      <c r="E5277" s="218">
        <v>500.0</v>
      </c>
      <c r="G5277" s="220">
        <v>43568.0</v>
      </c>
    </row>
    <row r="5278">
      <c r="A5278" s="217">
        <v>43568.48471101852</v>
      </c>
      <c r="B5278" s="218" t="s">
        <v>5184</v>
      </c>
      <c r="C5278" s="218" t="s">
        <v>6053</v>
      </c>
      <c r="D5278" s="219">
        <v>1.0</v>
      </c>
      <c r="E5278" s="218">
        <v>300.0</v>
      </c>
      <c r="G5278" s="220">
        <v>43568.0</v>
      </c>
    </row>
    <row r="5279">
      <c r="A5279" s="217">
        <v>43568.48574068287</v>
      </c>
      <c r="B5279" s="218" t="s">
        <v>5184</v>
      </c>
      <c r="C5279" s="218" t="s">
        <v>7800</v>
      </c>
      <c r="D5279" s="219">
        <v>1.0</v>
      </c>
      <c r="E5279" s="218">
        <v>150.0</v>
      </c>
      <c r="G5279" s="220">
        <v>43568.0</v>
      </c>
    </row>
    <row r="5280">
      <c r="A5280" s="217">
        <v>43568.48730582176</v>
      </c>
      <c r="B5280" s="218" t="s">
        <v>5184</v>
      </c>
      <c r="C5280" s="218" t="s">
        <v>6053</v>
      </c>
      <c r="D5280" s="219">
        <v>1.0</v>
      </c>
      <c r="E5280" s="218">
        <v>300.0</v>
      </c>
      <c r="G5280" s="220">
        <v>43568.0</v>
      </c>
    </row>
    <row r="5281">
      <c r="A5281" s="217">
        <v>43568.48819366898</v>
      </c>
      <c r="B5281" s="218" t="s">
        <v>5184</v>
      </c>
      <c r="C5281" s="218" t="s">
        <v>5786</v>
      </c>
      <c r="D5281" s="219">
        <v>1.0</v>
      </c>
      <c r="E5281" s="218">
        <v>300.0</v>
      </c>
      <c r="G5281" s="220">
        <v>43568.0</v>
      </c>
    </row>
    <row r="5282">
      <c r="A5282" s="217">
        <v>43568.48929265046</v>
      </c>
      <c r="B5282" s="218" t="s">
        <v>5184</v>
      </c>
      <c r="C5282" s="218" t="s">
        <v>7806</v>
      </c>
      <c r="D5282" s="219">
        <v>1.0</v>
      </c>
      <c r="E5282" s="218">
        <v>600.0</v>
      </c>
      <c r="G5282" s="220">
        <v>43568.0</v>
      </c>
    </row>
    <row r="5283">
      <c r="A5283" s="217">
        <v>43568.49084140046</v>
      </c>
      <c r="B5283" s="218" t="s">
        <v>5184</v>
      </c>
      <c r="C5283" s="218" t="s">
        <v>7800</v>
      </c>
      <c r="D5283" s="219">
        <v>1.0</v>
      </c>
      <c r="E5283" s="218">
        <v>200.0</v>
      </c>
      <c r="G5283" s="220">
        <v>43568.0</v>
      </c>
    </row>
    <row r="5284">
      <c r="A5284" s="217">
        <v>43568.491199537035</v>
      </c>
      <c r="B5284" s="218" t="s">
        <v>5184</v>
      </c>
      <c r="C5284" s="218" t="s">
        <v>7800</v>
      </c>
      <c r="D5284" s="219">
        <v>1.0</v>
      </c>
      <c r="E5284" s="218">
        <v>200.0</v>
      </c>
      <c r="G5284" s="220">
        <v>43568.0</v>
      </c>
    </row>
    <row r="5285">
      <c r="A5285" s="217">
        <v>43568.49229850694</v>
      </c>
      <c r="B5285" s="218" t="s">
        <v>5184</v>
      </c>
      <c r="C5285" s="218" t="s">
        <v>6053</v>
      </c>
      <c r="D5285" s="219">
        <v>1.0</v>
      </c>
      <c r="E5285" s="218">
        <v>300.0</v>
      </c>
      <c r="G5285" s="220">
        <v>43568.0</v>
      </c>
    </row>
    <row r="5286">
      <c r="A5286" s="217">
        <v>43568.49244108796</v>
      </c>
      <c r="B5286" s="218" t="s">
        <v>5184</v>
      </c>
      <c r="C5286" s="218" t="s">
        <v>6053</v>
      </c>
      <c r="D5286" s="219">
        <v>1.0</v>
      </c>
      <c r="E5286" s="218">
        <v>300.0</v>
      </c>
      <c r="G5286" s="220">
        <v>43568.0</v>
      </c>
    </row>
    <row r="5287">
      <c r="A5287" s="217">
        <v>43568.49361186342</v>
      </c>
      <c r="B5287" s="218" t="s">
        <v>5184</v>
      </c>
      <c r="C5287" s="218" t="s">
        <v>7800</v>
      </c>
      <c r="D5287" s="219">
        <v>1.0</v>
      </c>
      <c r="E5287" s="218">
        <v>200.0</v>
      </c>
      <c r="G5287" s="220">
        <v>43568.0</v>
      </c>
    </row>
    <row r="5288">
      <c r="A5288" s="217">
        <v>43568.494153692125</v>
      </c>
      <c r="B5288" s="218" t="s">
        <v>5184</v>
      </c>
      <c r="C5288" s="218" t="s">
        <v>6053</v>
      </c>
      <c r="D5288" s="219">
        <v>1.0</v>
      </c>
      <c r="E5288" s="218">
        <v>300.0</v>
      </c>
      <c r="G5288" s="220">
        <v>43568.0</v>
      </c>
    </row>
    <row r="5289">
      <c r="A5289" s="217">
        <v>43568.52337523148</v>
      </c>
      <c r="B5289" s="218" t="s">
        <v>5184</v>
      </c>
      <c r="C5289" s="218" t="s">
        <v>7408</v>
      </c>
      <c r="D5289" s="219">
        <v>1.0</v>
      </c>
      <c r="E5289" s="218">
        <v>300.0</v>
      </c>
      <c r="G5289" s="220">
        <v>43568.0</v>
      </c>
    </row>
    <row r="5290">
      <c r="A5290" s="217">
        <v>43568.52893136574</v>
      </c>
      <c r="B5290" s="218" t="s">
        <v>5184</v>
      </c>
      <c r="C5290" s="218" t="s">
        <v>6053</v>
      </c>
      <c r="D5290" s="219">
        <v>1.0</v>
      </c>
      <c r="E5290" s="218">
        <v>300.0</v>
      </c>
      <c r="G5290" s="220">
        <v>43565.0</v>
      </c>
    </row>
    <row r="5291">
      <c r="A5291" s="217">
        <v>43568.68583994213</v>
      </c>
      <c r="B5291" s="218" t="s">
        <v>5184</v>
      </c>
      <c r="C5291" s="218" t="s">
        <v>6053</v>
      </c>
      <c r="D5291" s="219">
        <v>1.0</v>
      </c>
      <c r="E5291" s="218">
        <v>300.0</v>
      </c>
      <c r="G5291" s="220">
        <v>43568.0</v>
      </c>
    </row>
    <row r="5292">
      <c r="A5292" s="217">
        <v>43568.69052415509</v>
      </c>
      <c r="B5292" s="218" t="s">
        <v>5184</v>
      </c>
      <c r="C5292" s="218" t="s">
        <v>8467</v>
      </c>
      <c r="D5292" s="219">
        <v>1.0</v>
      </c>
      <c r="E5292" s="218">
        <v>300.0</v>
      </c>
      <c r="G5292" s="220">
        <v>43568.0</v>
      </c>
    </row>
    <row r="5293">
      <c r="A5293" s="217">
        <v>43568.69211346065</v>
      </c>
      <c r="B5293" s="218" t="s">
        <v>5184</v>
      </c>
      <c r="C5293" s="218" t="s">
        <v>6053</v>
      </c>
      <c r="D5293" s="219">
        <v>1.0</v>
      </c>
      <c r="E5293" s="218">
        <v>300.0</v>
      </c>
      <c r="G5293" s="220">
        <v>43568.0</v>
      </c>
    </row>
    <row r="5294">
      <c r="A5294" s="217">
        <v>43568.693408506944</v>
      </c>
      <c r="B5294" s="218" t="s">
        <v>5184</v>
      </c>
      <c r="C5294" s="218" t="s">
        <v>7800</v>
      </c>
      <c r="D5294" s="219">
        <v>1.0</v>
      </c>
      <c r="E5294" s="218">
        <v>200.0</v>
      </c>
      <c r="G5294" s="220">
        <v>43568.0</v>
      </c>
    </row>
    <row r="5295">
      <c r="A5295" s="217">
        <v>43568.69430662037</v>
      </c>
      <c r="B5295" s="218" t="s">
        <v>5184</v>
      </c>
      <c r="C5295" s="218" t="s">
        <v>6053</v>
      </c>
      <c r="D5295" s="219">
        <v>1.0</v>
      </c>
      <c r="E5295" s="218">
        <v>300.0</v>
      </c>
      <c r="G5295" s="220">
        <v>43568.0</v>
      </c>
    </row>
    <row r="5296">
      <c r="A5296" s="217">
        <v>43568.69498930556</v>
      </c>
      <c r="B5296" s="218" t="s">
        <v>5184</v>
      </c>
      <c r="C5296" s="218" t="s">
        <v>6053</v>
      </c>
      <c r="D5296" s="219">
        <v>1.0</v>
      </c>
      <c r="E5296" s="218">
        <v>300.0</v>
      </c>
      <c r="G5296" s="220">
        <v>43568.0</v>
      </c>
    </row>
    <row r="5297">
      <c r="A5297" s="217">
        <v>43569.66863646991</v>
      </c>
      <c r="B5297" s="218" t="s">
        <v>5184</v>
      </c>
      <c r="C5297" s="218" t="s">
        <v>6665</v>
      </c>
      <c r="D5297" s="219">
        <v>1.0</v>
      </c>
      <c r="E5297" s="218">
        <v>6390.0</v>
      </c>
      <c r="G5297" s="220">
        <v>43568.0</v>
      </c>
    </row>
    <row r="5298">
      <c r="A5298" s="217">
        <v>43569.67081045139</v>
      </c>
      <c r="B5298" s="218" t="s">
        <v>5184</v>
      </c>
      <c r="C5298" s="218" t="s">
        <v>8470</v>
      </c>
      <c r="D5298" s="219">
        <v>1.0</v>
      </c>
      <c r="E5298" s="218">
        <v>2450.0</v>
      </c>
      <c r="G5298" s="220">
        <v>43568.0</v>
      </c>
    </row>
    <row r="5299">
      <c r="A5299" s="217">
        <v>43569.672281631945</v>
      </c>
      <c r="B5299" s="218" t="s">
        <v>5184</v>
      </c>
      <c r="C5299" s="218" t="s">
        <v>8472</v>
      </c>
      <c r="D5299" s="219">
        <v>1.0</v>
      </c>
      <c r="E5299" s="218">
        <v>2450.0</v>
      </c>
      <c r="G5299" s="220">
        <v>43568.0</v>
      </c>
    </row>
    <row r="5300">
      <c r="A5300" s="217">
        <v>43569.67550986111</v>
      </c>
      <c r="B5300" s="218" t="s">
        <v>5184</v>
      </c>
      <c r="C5300" s="218" t="s">
        <v>6468</v>
      </c>
      <c r="D5300" s="219">
        <v>1.0</v>
      </c>
      <c r="E5300" s="218">
        <v>2590.0</v>
      </c>
      <c r="G5300" s="220">
        <v>43568.0</v>
      </c>
    </row>
    <row r="5301">
      <c r="A5301" s="217">
        <v>43569.67657118056</v>
      </c>
      <c r="B5301" s="218" t="s">
        <v>5184</v>
      </c>
      <c r="C5301" s="218" t="s">
        <v>6471</v>
      </c>
      <c r="D5301" s="219">
        <v>1.0</v>
      </c>
      <c r="E5301" s="218">
        <v>2590.0</v>
      </c>
      <c r="G5301" s="220">
        <v>43568.0</v>
      </c>
    </row>
    <row r="5302">
      <c r="A5302" s="217">
        <v>43569.67775516203</v>
      </c>
      <c r="B5302" s="218" t="s">
        <v>5184</v>
      </c>
      <c r="C5302" s="218" t="s">
        <v>6472</v>
      </c>
      <c r="D5302" s="219">
        <v>1.0</v>
      </c>
      <c r="E5302" s="218">
        <v>2590.0</v>
      </c>
      <c r="G5302" s="220">
        <v>43568.0</v>
      </c>
    </row>
    <row r="5303">
      <c r="A5303" s="217">
        <v>43569.679309432875</v>
      </c>
      <c r="B5303" s="218" t="s">
        <v>5184</v>
      </c>
      <c r="C5303" s="218" t="s">
        <v>8473</v>
      </c>
      <c r="D5303" s="219">
        <v>1.0</v>
      </c>
      <c r="E5303" s="218">
        <v>2350.0</v>
      </c>
      <c r="G5303" s="220">
        <v>43568.0</v>
      </c>
    </row>
    <row r="5304">
      <c r="A5304" s="217">
        <v>43569.681062557866</v>
      </c>
      <c r="B5304" s="218" t="s">
        <v>5184</v>
      </c>
      <c r="C5304" s="218" t="s">
        <v>8474</v>
      </c>
      <c r="D5304" s="219">
        <v>1.0</v>
      </c>
      <c r="E5304" s="218">
        <v>2350.0</v>
      </c>
      <c r="G5304" s="220">
        <v>43568.0</v>
      </c>
    </row>
    <row r="5305">
      <c r="A5305" s="217">
        <v>43570.5260025</v>
      </c>
      <c r="B5305" s="218" t="s">
        <v>5184</v>
      </c>
      <c r="C5305" s="218" t="s">
        <v>7800</v>
      </c>
      <c r="D5305" s="219">
        <v>1.0</v>
      </c>
      <c r="E5305" s="218">
        <v>300.0</v>
      </c>
      <c r="G5305" s="220">
        <v>43568.0</v>
      </c>
    </row>
    <row r="5306">
      <c r="A5306" s="217">
        <v>43570.52659702546</v>
      </c>
      <c r="B5306" s="218" t="s">
        <v>5184</v>
      </c>
      <c r="C5306" s="218" t="s">
        <v>6053</v>
      </c>
      <c r="D5306" s="219">
        <v>1.0</v>
      </c>
      <c r="E5306" s="218">
        <v>300.0</v>
      </c>
      <c r="G5306" s="220">
        <v>43568.0</v>
      </c>
    </row>
    <row r="5307">
      <c r="A5307" s="217">
        <v>43570.530212233796</v>
      </c>
      <c r="B5307" s="218" t="s">
        <v>5184</v>
      </c>
      <c r="C5307" s="218" t="s">
        <v>7800</v>
      </c>
      <c r="D5307" s="219">
        <v>1.0</v>
      </c>
      <c r="E5307" s="218">
        <v>200.0</v>
      </c>
      <c r="G5307" s="220">
        <v>43568.0</v>
      </c>
    </row>
    <row r="5308">
      <c r="A5308" s="217">
        <v>43570.53194738426</v>
      </c>
      <c r="B5308" s="218" t="s">
        <v>5184</v>
      </c>
      <c r="C5308" s="218" t="s">
        <v>7408</v>
      </c>
      <c r="D5308" s="219">
        <v>1.0</v>
      </c>
      <c r="E5308" s="218">
        <v>400.0</v>
      </c>
      <c r="G5308" s="220">
        <v>43568.0</v>
      </c>
    </row>
    <row r="5309">
      <c r="A5309" s="217">
        <v>43570.53342515047</v>
      </c>
      <c r="B5309" s="218" t="s">
        <v>5184</v>
      </c>
      <c r="C5309" s="218" t="s">
        <v>6053</v>
      </c>
      <c r="D5309" s="219">
        <v>1.0</v>
      </c>
      <c r="E5309" s="218">
        <v>300.0</v>
      </c>
      <c r="G5309" s="220">
        <v>43569.0</v>
      </c>
    </row>
    <row r="5310">
      <c r="A5310" s="217">
        <v>43570.53621844907</v>
      </c>
      <c r="B5310" s="218" t="s">
        <v>5184</v>
      </c>
      <c r="C5310" s="218" t="s">
        <v>7800</v>
      </c>
      <c r="D5310" s="219">
        <v>1.0</v>
      </c>
      <c r="E5310" s="218">
        <v>300.0</v>
      </c>
      <c r="G5310" s="220">
        <v>43569.0</v>
      </c>
    </row>
    <row r="5311">
      <c r="A5311" s="217">
        <v>43570.53697988426</v>
      </c>
      <c r="B5311" s="218" t="s">
        <v>5184</v>
      </c>
      <c r="C5311" s="218" t="s">
        <v>6053</v>
      </c>
      <c r="D5311" s="219">
        <v>1.0</v>
      </c>
      <c r="E5311" s="218">
        <v>300.0</v>
      </c>
      <c r="G5311" s="220">
        <v>43569.0</v>
      </c>
    </row>
    <row r="5312">
      <c r="A5312" s="217">
        <v>43570.58140552083</v>
      </c>
      <c r="B5312" s="218" t="s">
        <v>5184</v>
      </c>
      <c r="C5312" s="218" t="s">
        <v>7800</v>
      </c>
      <c r="D5312" s="219">
        <v>1.0</v>
      </c>
      <c r="E5312" s="218">
        <v>300.0</v>
      </c>
      <c r="G5312" s="220">
        <v>43569.0</v>
      </c>
    </row>
    <row r="5313">
      <c r="A5313" s="217">
        <v>43570.585309629634</v>
      </c>
      <c r="B5313" s="218" t="s">
        <v>5184</v>
      </c>
      <c r="C5313" s="218" t="s">
        <v>6053</v>
      </c>
      <c r="D5313" s="219">
        <v>1.0</v>
      </c>
      <c r="E5313" s="218">
        <v>300.0</v>
      </c>
      <c r="G5313" s="220">
        <v>43569.0</v>
      </c>
    </row>
    <row r="5314">
      <c r="A5314" s="217">
        <v>43570.58608761574</v>
      </c>
      <c r="B5314" s="218" t="s">
        <v>5184</v>
      </c>
      <c r="C5314" s="218" t="s">
        <v>284</v>
      </c>
      <c r="D5314" s="219">
        <v>1.0</v>
      </c>
      <c r="E5314" s="218">
        <v>400.0</v>
      </c>
      <c r="G5314" s="220">
        <v>43569.0</v>
      </c>
    </row>
    <row r="5315">
      <c r="A5315" s="217">
        <v>43570.58741050926</v>
      </c>
      <c r="B5315" s="218" t="s">
        <v>5184</v>
      </c>
      <c r="C5315" s="218" t="s">
        <v>7408</v>
      </c>
      <c r="D5315" s="219">
        <v>1.0</v>
      </c>
      <c r="E5315" s="218">
        <v>300.0</v>
      </c>
      <c r="G5315" s="220">
        <v>43569.0</v>
      </c>
    </row>
    <row r="5316">
      <c r="A5316" s="217">
        <v>43570.58889979166</v>
      </c>
      <c r="B5316" s="218" t="s">
        <v>5184</v>
      </c>
      <c r="C5316" s="218" t="s">
        <v>6053</v>
      </c>
      <c r="D5316" s="219">
        <v>1.0</v>
      </c>
      <c r="E5316" s="218">
        <v>300.0</v>
      </c>
      <c r="G5316" s="220">
        <v>43569.0</v>
      </c>
    </row>
    <row r="5317">
      <c r="A5317" s="217">
        <v>43570.59981118055</v>
      </c>
      <c r="B5317" s="218" t="s">
        <v>5184</v>
      </c>
      <c r="C5317" s="218" t="s">
        <v>6053</v>
      </c>
      <c r="D5317" s="219">
        <v>1.0</v>
      </c>
      <c r="E5317" s="218">
        <v>300.0</v>
      </c>
      <c r="G5317" s="220">
        <v>43570.0</v>
      </c>
    </row>
    <row r="5318">
      <c r="A5318" s="217">
        <v>43570.75138199074</v>
      </c>
      <c r="B5318" s="218" t="s">
        <v>5092</v>
      </c>
      <c r="C5318" s="218" t="s">
        <v>6053</v>
      </c>
      <c r="D5318" s="219" t="s">
        <v>8480</v>
      </c>
      <c r="E5318" s="218">
        <v>300.0</v>
      </c>
      <c r="G5318" s="220">
        <v>43568.0</v>
      </c>
    </row>
    <row r="5319">
      <c r="A5319" s="217">
        <v>43570.753580185185</v>
      </c>
      <c r="B5319" s="218" t="s">
        <v>5092</v>
      </c>
      <c r="C5319" s="218" t="s">
        <v>7754</v>
      </c>
      <c r="D5319" s="219" t="s">
        <v>7917</v>
      </c>
      <c r="E5319" s="218">
        <v>400.0</v>
      </c>
      <c r="G5319" s="220">
        <v>43568.0</v>
      </c>
    </row>
    <row r="5320">
      <c r="A5320" s="217">
        <v>43570.756184108795</v>
      </c>
      <c r="B5320" s="218" t="s">
        <v>5092</v>
      </c>
      <c r="C5320" s="218" t="s">
        <v>244</v>
      </c>
      <c r="D5320" s="219" t="s">
        <v>7547</v>
      </c>
      <c r="E5320" s="218">
        <v>150.0</v>
      </c>
      <c r="G5320" s="220">
        <v>43568.0</v>
      </c>
    </row>
    <row r="5321">
      <c r="A5321" s="217">
        <v>43570.75991587963</v>
      </c>
      <c r="B5321" s="218" t="s">
        <v>5092</v>
      </c>
      <c r="C5321" s="218" t="s">
        <v>244</v>
      </c>
      <c r="D5321" s="219" t="s">
        <v>7547</v>
      </c>
      <c r="E5321" s="218">
        <v>200.0</v>
      </c>
      <c r="G5321" s="220">
        <v>43568.0</v>
      </c>
    </row>
    <row r="5322">
      <c r="A5322" s="217">
        <v>43570.76606384259</v>
      </c>
      <c r="B5322" s="218" t="s">
        <v>5092</v>
      </c>
      <c r="C5322" s="218" t="s">
        <v>6053</v>
      </c>
      <c r="D5322" s="219" t="s">
        <v>7955</v>
      </c>
      <c r="E5322" s="218">
        <v>300.0</v>
      </c>
      <c r="G5322" s="220">
        <v>43568.0</v>
      </c>
    </row>
    <row r="5323">
      <c r="A5323" s="217">
        <v>43570.76674594908</v>
      </c>
      <c r="B5323" s="218" t="s">
        <v>5092</v>
      </c>
      <c r="C5323" s="218" t="s">
        <v>6053</v>
      </c>
      <c r="D5323" s="219" t="s">
        <v>8482</v>
      </c>
      <c r="E5323" s="218">
        <v>300.0</v>
      </c>
      <c r="G5323" s="220">
        <v>43568.0</v>
      </c>
    </row>
    <row r="5324">
      <c r="A5324" s="217">
        <v>43570.767428692125</v>
      </c>
      <c r="B5324" s="218" t="s">
        <v>5092</v>
      </c>
      <c r="C5324" s="218" t="s">
        <v>284</v>
      </c>
      <c r="D5324" s="219" t="s">
        <v>8326</v>
      </c>
      <c r="E5324" s="218">
        <v>400.0</v>
      </c>
      <c r="G5324" s="220">
        <v>43568.0</v>
      </c>
    </row>
    <row r="5325">
      <c r="A5325" s="217">
        <v>43570.76820982639</v>
      </c>
      <c r="B5325" s="218" t="s">
        <v>5092</v>
      </c>
      <c r="C5325" s="218" t="s">
        <v>6053</v>
      </c>
      <c r="D5325" s="219" t="s">
        <v>8264</v>
      </c>
      <c r="E5325" s="218">
        <v>300.0</v>
      </c>
      <c r="G5325" s="220">
        <v>43568.0</v>
      </c>
    </row>
    <row r="5326">
      <c r="A5326" s="217">
        <v>43570.76900905093</v>
      </c>
      <c r="B5326" s="218" t="s">
        <v>5092</v>
      </c>
      <c r="C5326" s="218" t="s">
        <v>6053</v>
      </c>
      <c r="D5326" s="219" t="s">
        <v>8483</v>
      </c>
      <c r="E5326" s="218">
        <v>300.0</v>
      </c>
      <c r="G5326" s="220">
        <v>43568.0</v>
      </c>
    </row>
    <row r="5327">
      <c r="A5327" s="217">
        <v>43570.770219108796</v>
      </c>
      <c r="B5327" s="218" t="s">
        <v>5092</v>
      </c>
      <c r="C5327" s="218" t="s">
        <v>7806</v>
      </c>
      <c r="D5327" s="219" t="s">
        <v>8484</v>
      </c>
      <c r="E5327" s="218">
        <v>600.0</v>
      </c>
      <c r="G5327" s="220">
        <v>43568.0</v>
      </c>
    </row>
    <row r="5328">
      <c r="A5328" s="217">
        <v>43570.77113386574</v>
      </c>
      <c r="B5328" s="218" t="s">
        <v>5092</v>
      </c>
      <c r="C5328" s="218" t="s">
        <v>6053</v>
      </c>
      <c r="D5328" s="219" t="s">
        <v>8486</v>
      </c>
      <c r="E5328" s="218">
        <v>300.0</v>
      </c>
      <c r="G5328" s="220">
        <v>43568.0</v>
      </c>
    </row>
    <row r="5329">
      <c r="A5329" s="217">
        <v>43571.44814680556</v>
      </c>
      <c r="B5329" s="218" t="s">
        <v>5184</v>
      </c>
      <c r="C5329" s="218" t="s">
        <v>244</v>
      </c>
      <c r="D5329" s="219">
        <v>1.0</v>
      </c>
      <c r="E5329" s="218">
        <v>400.0</v>
      </c>
      <c r="G5329" s="220">
        <v>43570.0</v>
      </c>
    </row>
    <row r="5330">
      <c r="A5330" s="217">
        <v>43571.449408217595</v>
      </c>
      <c r="B5330" s="218" t="s">
        <v>5184</v>
      </c>
      <c r="C5330" s="218" t="s">
        <v>7496</v>
      </c>
      <c r="D5330" s="219">
        <v>1.0</v>
      </c>
      <c r="E5330" s="218">
        <v>100.0</v>
      </c>
      <c r="G5330" s="220">
        <v>43570.0</v>
      </c>
    </row>
    <row r="5331">
      <c r="A5331" s="217">
        <v>43571.450486574075</v>
      </c>
      <c r="B5331" s="218" t="s">
        <v>5184</v>
      </c>
      <c r="C5331" s="218" t="s">
        <v>7800</v>
      </c>
      <c r="D5331" s="219">
        <v>1.0</v>
      </c>
      <c r="E5331" s="218">
        <v>300.0</v>
      </c>
      <c r="G5331" s="220">
        <v>43570.0</v>
      </c>
    </row>
    <row r="5332">
      <c r="A5332" s="217">
        <v>43571.45104039352</v>
      </c>
      <c r="B5332" s="218" t="s">
        <v>5184</v>
      </c>
      <c r="C5332" s="218" t="s">
        <v>6053</v>
      </c>
      <c r="D5332" s="219">
        <v>1.0</v>
      </c>
      <c r="E5332" s="218">
        <v>300.0</v>
      </c>
      <c r="G5332" s="220">
        <v>43570.0</v>
      </c>
    </row>
    <row r="5333">
      <c r="A5333" s="217">
        <v>43571.45731254629</v>
      </c>
      <c r="B5333" s="218" t="s">
        <v>5184</v>
      </c>
      <c r="C5333" s="218" t="s">
        <v>7800</v>
      </c>
      <c r="D5333" s="219">
        <v>1.0</v>
      </c>
      <c r="E5333" s="218">
        <v>200.0</v>
      </c>
      <c r="G5333" s="220">
        <v>43570.0</v>
      </c>
    </row>
    <row r="5334">
      <c r="A5334" s="217">
        <v>43571.457971180556</v>
      </c>
      <c r="B5334" s="218" t="s">
        <v>5184</v>
      </c>
      <c r="C5334" s="218" t="s">
        <v>6053</v>
      </c>
      <c r="D5334" s="219">
        <v>1.0</v>
      </c>
      <c r="E5334" s="218">
        <v>300.0</v>
      </c>
      <c r="G5334" s="220">
        <v>43570.0</v>
      </c>
    </row>
    <row r="5335">
      <c r="A5335" s="217">
        <v>43571.46031686343</v>
      </c>
      <c r="B5335" s="218" t="s">
        <v>5184</v>
      </c>
      <c r="C5335" s="218" t="s">
        <v>7800</v>
      </c>
      <c r="D5335" s="219">
        <v>1.0</v>
      </c>
      <c r="E5335" s="218">
        <v>300.0</v>
      </c>
      <c r="G5335" s="220">
        <v>43570.0</v>
      </c>
    </row>
    <row r="5336">
      <c r="A5336" s="217">
        <v>43571.46083710648</v>
      </c>
      <c r="B5336" s="218" t="s">
        <v>5184</v>
      </c>
      <c r="C5336" s="218" t="s">
        <v>6053</v>
      </c>
      <c r="D5336" s="219">
        <v>1.0</v>
      </c>
      <c r="E5336" s="218">
        <v>300.0</v>
      </c>
      <c r="G5336" s="220">
        <v>43570.0</v>
      </c>
    </row>
    <row r="5337">
      <c r="A5337" s="217">
        <v>43571.46193184028</v>
      </c>
      <c r="B5337" s="218" t="s">
        <v>5184</v>
      </c>
      <c r="C5337" s="218" t="s">
        <v>5786</v>
      </c>
      <c r="D5337" s="219">
        <v>1.0</v>
      </c>
      <c r="E5337" s="218">
        <v>300.0</v>
      </c>
      <c r="G5337" s="220">
        <v>43570.0</v>
      </c>
    </row>
    <row r="5338">
      <c r="A5338" s="217">
        <v>43571.463824039354</v>
      </c>
      <c r="B5338" s="218" t="s">
        <v>5184</v>
      </c>
      <c r="C5338" s="218" t="s">
        <v>7800</v>
      </c>
      <c r="D5338" s="219">
        <v>1.0</v>
      </c>
      <c r="E5338" s="218">
        <v>300.0</v>
      </c>
      <c r="G5338" s="220">
        <v>43570.0</v>
      </c>
    </row>
    <row r="5339">
      <c r="A5339" s="217">
        <v>43571.464913240736</v>
      </c>
      <c r="B5339" s="218" t="s">
        <v>5184</v>
      </c>
      <c r="C5339" s="218" t="s">
        <v>6053</v>
      </c>
      <c r="D5339" s="219">
        <v>1.0</v>
      </c>
      <c r="E5339" s="218">
        <v>300.0</v>
      </c>
      <c r="G5339" s="220">
        <v>43570.0</v>
      </c>
    </row>
    <row r="5340">
      <c r="A5340" s="217">
        <v>43571.465532118054</v>
      </c>
      <c r="B5340" s="218" t="s">
        <v>5184</v>
      </c>
      <c r="C5340" s="218" t="s">
        <v>6053</v>
      </c>
      <c r="D5340" s="219">
        <v>1.0</v>
      </c>
      <c r="E5340" s="218">
        <v>300.0</v>
      </c>
      <c r="G5340" s="220">
        <v>43570.0</v>
      </c>
    </row>
    <row r="5341">
      <c r="A5341" s="217">
        <v>43571.4670316088</v>
      </c>
      <c r="B5341" s="218" t="s">
        <v>5184</v>
      </c>
      <c r="C5341" s="218" t="s">
        <v>7800</v>
      </c>
      <c r="D5341" s="219">
        <v>1.0</v>
      </c>
      <c r="E5341" s="218">
        <v>200.0</v>
      </c>
      <c r="G5341" s="220">
        <v>43570.0</v>
      </c>
    </row>
    <row r="5342">
      <c r="A5342" s="217">
        <v>43571.467597106486</v>
      </c>
      <c r="B5342" s="218" t="s">
        <v>5184</v>
      </c>
      <c r="C5342" s="218" t="s">
        <v>6053</v>
      </c>
      <c r="D5342" s="219">
        <v>1.0</v>
      </c>
      <c r="E5342" s="218">
        <v>300.0</v>
      </c>
      <c r="G5342" s="220">
        <v>43570.0</v>
      </c>
    </row>
    <row r="5343">
      <c r="A5343" s="217">
        <v>43571.481584270834</v>
      </c>
      <c r="B5343" s="218" t="s">
        <v>5184</v>
      </c>
      <c r="C5343" s="218" t="s">
        <v>244</v>
      </c>
      <c r="D5343" s="219">
        <v>1.0</v>
      </c>
      <c r="E5343" s="218">
        <v>400.0</v>
      </c>
      <c r="G5343" s="220">
        <v>43570.0</v>
      </c>
    </row>
    <row r="5344">
      <c r="A5344" s="217">
        <v>43571.48263486111</v>
      </c>
      <c r="B5344" s="218" t="s">
        <v>5184</v>
      </c>
      <c r="C5344" s="218" t="s">
        <v>244</v>
      </c>
      <c r="D5344" s="219">
        <v>1.0</v>
      </c>
      <c r="E5344" s="218">
        <v>400.0</v>
      </c>
      <c r="G5344" s="220">
        <v>43570.0</v>
      </c>
    </row>
    <row r="5345">
      <c r="A5345" s="217">
        <v>43571.48422653935</v>
      </c>
      <c r="B5345" s="218" t="s">
        <v>5184</v>
      </c>
      <c r="C5345" s="218" t="s">
        <v>6053</v>
      </c>
      <c r="D5345" s="219">
        <v>1.0</v>
      </c>
      <c r="E5345" s="218">
        <v>300.0</v>
      </c>
      <c r="G5345" s="220">
        <v>43570.0</v>
      </c>
    </row>
    <row r="5346">
      <c r="A5346" s="217">
        <v>43571.4916855787</v>
      </c>
      <c r="B5346" s="218" t="s">
        <v>5184</v>
      </c>
      <c r="C5346" s="218" t="s">
        <v>7800</v>
      </c>
      <c r="D5346" s="219">
        <v>1.0</v>
      </c>
      <c r="E5346" s="218">
        <v>300.0</v>
      </c>
      <c r="G5346" s="220">
        <v>43570.0</v>
      </c>
    </row>
    <row r="5347">
      <c r="A5347" s="217">
        <v>43571.49265165509</v>
      </c>
      <c r="B5347" s="218" t="s">
        <v>5184</v>
      </c>
      <c r="C5347" s="218" t="s">
        <v>6053</v>
      </c>
      <c r="D5347" s="219">
        <v>1.0</v>
      </c>
      <c r="E5347" s="218">
        <v>300.0</v>
      </c>
      <c r="G5347" s="220">
        <v>43570.0</v>
      </c>
    </row>
    <row r="5348">
      <c r="A5348" s="217">
        <v>43571.639871377316</v>
      </c>
      <c r="B5348" s="218" t="s">
        <v>5184</v>
      </c>
      <c r="C5348" s="218" t="s">
        <v>5786</v>
      </c>
      <c r="D5348" s="219">
        <v>1.0</v>
      </c>
      <c r="E5348" s="218">
        <v>300.0</v>
      </c>
      <c r="G5348" s="220">
        <v>43567.0</v>
      </c>
    </row>
    <row r="5349">
      <c r="A5349" s="217">
        <v>43571.64132417824</v>
      </c>
      <c r="B5349" s="218" t="s">
        <v>5184</v>
      </c>
      <c r="C5349" s="218" t="s">
        <v>6053</v>
      </c>
      <c r="D5349" s="219">
        <v>1.0</v>
      </c>
      <c r="E5349" s="218">
        <v>300.0</v>
      </c>
      <c r="G5349" s="220">
        <v>43567.0</v>
      </c>
    </row>
    <row r="5350">
      <c r="A5350" s="217">
        <v>43571.64545016203</v>
      </c>
      <c r="B5350" s="218" t="s">
        <v>5184</v>
      </c>
      <c r="C5350" s="218" t="s">
        <v>6053</v>
      </c>
      <c r="D5350" s="219" t="s">
        <v>7652</v>
      </c>
      <c r="E5350" s="218">
        <v>600.0</v>
      </c>
      <c r="G5350" s="220">
        <v>43570.0</v>
      </c>
    </row>
    <row r="5351">
      <c r="A5351" s="217">
        <v>43571.648143645834</v>
      </c>
      <c r="B5351" s="218" t="s">
        <v>5184</v>
      </c>
      <c r="C5351" s="218" t="s">
        <v>6053</v>
      </c>
      <c r="D5351" s="219" t="s">
        <v>7547</v>
      </c>
      <c r="E5351" s="218">
        <v>150.0</v>
      </c>
      <c r="G5351" s="220">
        <v>43571.0</v>
      </c>
    </row>
    <row r="5352">
      <c r="A5352" s="217">
        <v>43571.648837002314</v>
      </c>
      <c r="B5352" s="218" t="s">
        <v>5184</v>
      </c>
      <c r="C5352" s="218" t="s">
        <v>6053</v>
      </c>
      <c r="D5352" s="219">
        <v>1.0</v>
      </c>
      <c r="E5352" s="218">
        <v>300.0</v>
      </c>
      <c r="G5352" s="220">
        <v>43571.0</v>
      </c>
    </row>
    <row r="5353">
      <c r="A5353" s="217">
        <v>43571.65584533565</v>
      </c>
      <c r="B5353" s="218" t="s">
        <v>5184</v>
      </c>
      <c r="C5353" s="218" t="s">
        <v>7800</v>
      </c>
      <c r="D5353" s="219">
        <v>1.0</v>
      </c>
      <c r="E5353" s="218">
        <v>300.0</v>
      </c>
      <c r="G5353" s="220">
        <v>43571.0</v>
      </c>
    </row>
    <row r="5354">
      <c r="A5354" s="217">
        <v>43571.65648474537</v>
      </c>
      <c r="B5354" s="218" t="s">
        <v>5184</v>
      </c>
      <c r="C5354" s="218" t="s">
        <v>6053</v>
      </c>
      <c r="D5354" s="219">
        <v>1.0</v>
      </c>
      <c r="E5354" s="218">
        <v>300.0</v>
      </c>
      <c r="G5354" s="220">
        <v>43571.0</v>
      </c>
    </row>
    <row r="5355">
      <c r="A5355" s="217">
        <v>43571.65938431713</v>
      </c>
      <c r="B5355" s="218" t="s">
        <v>5184</v>
      </c>
      <c r="C5355" s="218" t="s">
        <v>7800</v>
      </c>
      <c r="D5355" s="219">
        <v>1.0</v>
      </c>
      <c r="E5355" s="218">
        <v>300.0</v>
      </c>
      <c r="G5355" s="220">
        <v>43571.0</v>
      </c>
    </row>
    <row r="5356">
      <c r="A5356" s="217">
        <v>43571.659946493055</v>
      </c>
      <c r="B5356" s="218" t="s">
        <v>5184</v>
      </c>
      <c r="C5356" s="218" t="s">
        <v>7806</v>
      </c>
      <c r="D5356" s="219">
        <v>1.0</v>
      </c>
      <c r="E5356" s="218">
        <v>600.0</v>
      </c>
      <c r="G5356" s="220">
        <v>43571.0</v>
      </c>
    </row>
    <row r="5357">
      <c r="A5357" s="217">
        <v>43571.6610896875</v>
      </c>
      <c r="B5357" s="218" t="s">
        <v>5184</v>
      </c>
      <c r="C5357" s="218" t="s">
        <v>5786</v>
      </c>
      <c r="D5357" s="219">
        <v>1.0</v>
      </c>
      <c r="E5357" s="218">
        <v>300.0</v>
      </c>
      <c r="G5357" s="220">
        <v>43571.0</v>
      </c>
    </row>
    <row r="5358">
      <c r="A5358" s="217">
        <v>43571.66248305555</v>
      </c>
      <c r="B5358" s="218" t="s">
        <v>5184</v>
      </c>
      <c r="C5358" s="218" t="s">
        <v>7754</v>
      </c>
      <c r="D5358" s="219">
        <v>1.0</v>
      </c>
      <c r="E5358" s="218">
        <v>1000.0</v>
      </c>
      <c r="G5358" s="220">
        <v>43571.0</v>
      </c>
    </row>
    <row r="5359">
      <c r="A5359" s="217">
        <v>43571.663931250005</v>
      </c>
      <c r="B5359" s="218" t="s">
        <v>5184</v>
      </c>
      <c r="C5359" s="218" t="s">
        <v>6053</v>
      </c>
      <c r="D5359" s="219">
        <v>1.0</v>
      </c>
      <c r="E5359" s="218">
        <v>300.0</v>
      </c>
      <c r="G5359" s="220">
        <v>43571.0</v>
      </c>
    </row>
    <row r="5360">
      <c r="A5360" s="217">
        <v>43571.66509947917</v>
      </c>
      <c r="B5360" s="218" t="s">
        <v>5184</v>
      </c>
      <c r="C5360" s="218" t="s">
        <v>244</v>
      </c>
      <c r="D5360" s="219">
        <v>1.0</v>
      </c>
      <c r="E5360" s="218">
        <v>400.0</v>
      </c>
      <c r="G5360" s="220">
        <v>43571.0</v>
      </c>
    </row>
    <row r="5361">
      <c r="A5361" s="217">
        <v>43571.669365625</v>
      </c>
      <c r="B5361" s="218" t="s">
        <v>5184</v>
      </c>
      <c r="C5361" s="218" t="s">
        <v>5786</v>
      </c>
      <c r="D5361" s="219">
        <v>1.0</v>
      </c>
      <c r="E5361" s="218">
        <v>300.0</v>
      </c>
      <c r="G5361" s="220">
        <v>43571.0</v>
      </c>
    </row>
    <row r="5362">
      <c r="A5362" s="217">
        <v>43571.67000666667</v>
      </c>
      <c r="B5362" s="218" t="s">
        <v>5184</v>
      </c>
      <c r="C5362" s="218" t="s">
        <v>6053</v>
      </c>
      <c r="D5362" s="219">
        <v>1.0</v>
      </c>
      <c r="E5362" s="218">
        <v>300.0</v>
      </c>
      <c r="G5362" s="220">
        <v>43571.0</v>
      </c>
    </row>
    <row r="5363">
      <c r="A5363" s="217">
        <v>43571.671132187505</v>
      </c>
      <c r="B5363" s="218" t="s">
        <v>5184</v>
      </c>
      <c r="C5363" s="218" t="s">
        <v>5848</v>
      </c>
      <c r="D5363" s="219">
        <v>1.0</v>
      </c>
      <c r="E5363" s="218">
        <v>1000.0</v>
      </c>
      <c r="G5363" s="220">
        <v>43571.0</v>
      </c>
    </row>
    <row r="5364">
      <c r="A5364" s="217">
        <v>43571.67222791667</v>
      </c>
      <c r="B5364" s="218" t="s">
        <v>5184</v>
      </c>
      <c r="C5364" s="218" t="s">
        <v>7754</v>
      </c>
      <c r="D5364" s="219">
        <v>1.0</v>
      </c>
      <c r="E5364" s="218">
        <v>1000.0</v>
      </c>
      <c r="G5364" s="220">
        <v>43571.0</v>
      </c>
    </row>
    <row r="5365">
      <c r="A5365" s="217">
        <v>43572.45448685186</v>
      </c>
      <c r="B5365" s="218" t="s">
        <v>5184</v>
      </c>
      <c r="C5365" s="218" t="s">
        <v>7800</v>
      </c>
      <c r="D5365" s="219">
        <v>1.0</v>
      </c>
      <c r="E5365" s="218">
        <v>300.0</v>
      </c>
      <c r="G5365" s="220">
        <v>43571.0</v>
      </c>
    </row>
    <row r="5366">
      <c r="A5366" s="217">
        <v>43572.45500336806</v>
      </c>
      <c r="B5366" s="218" t="s">
        <v>5184</v>
      </c>
      <c r="C5366" s="218" t="s">
        <v>6053</v>
      </c>
      <c r="D5366" s="219">
        <v>1.0</v>
      </c>
      <c r="E5366" s="218">
        <v>300.0</v>
      </c>
      <c r="G5366" s="220">
        <v>43571.0</v>
      </c>
    </row>
    <row r="5367">
      <c r="A5367" s="217">
        <v>43572.52656770834</v>
      </c>
      <c r="B5367" s="218" t="s">
        <v>5184</v>
      </c>
      <c r="C5367" s="218" t="s">
        <v>244</v>
      </c>
      <c r="D5367" s="219">
        <v>1.0</v>
      </c>
      <c r="E5367" s="218">
        <v>400.0</v>
      </c>
      <c r="G5367" s="220">
        <v>43571.0</v>
      </c>
    </row>
    <row r="5368">
      <c r="A5368" s="217">
        <v>43572.59845167824</v>
      </c>
      <c r="B5368" s="218" t="s">
        <v>5184</v>
      </c>
      <c r="C5368" s="218" t="s">
        <v>284</v>
      </c>
      <c r="D5368" s="219">
        <v>1.0</v>
      </c>
      <c r="E5368" s="218">
        <v>400.0</v>
      </c>
      <c r="G5368" s="220">
        <v>43570.0</v>
      </c>
    </row>
    <row r="5369">
      <c r="A5369" s="217">
        <v>43572.654103125</v>
      </c>
      <c r="B5369" s="218" t="s">
        <v>5184</v>
      </c>
      <c r="C5369" s="218" t="s">
        <v>5789</v>
      </c>
      <c r="D5369" s="219">
        <v>1.0</v>
      </c>
      <c r="E5369" s="218">
        <v>400.0</v>
      </c>
      <c r="G5369" s="220">
        <v>43571.0</v>
      </c>
    </row>
    <row r="5370">
      <c r="A5370" s="217">
        <v>43572.654798020834</v>
      </c>
      <c r="B5370" s="218" t="s">
        <v>5184</v>
      </c>
      <c r="C5370" s="218" t="s">
        <v>284</v>
      </c>
      <c r="D5370" s="219">
        <v>1.0</v>
      </c>
      <c r="E5370" s="218">
        <v>400.0</v>
      </c>
      <c r="G5370" s="220">
        <v>43571.0</v>
      </c>
    </row>
    <row r="5371">
      <c r="A5371" s="217">
        <v>43572.656587453705</v>
      </c>
      <c r="B5371" s="218" t="s">
        <v>5184</v>
      </c>
      <c r="C5371" s="218" t="s">
        <v>5786</v>
      </c>
      <c r="D5371" s="219">
        <v>1.0</v>
      </c>
      <c r="E5371" s="218">
        <v>300.0</v>
      </c>
      <c r="G5371" s="220">
        <v>43572.0</v>
      </c>
    </row>
    <row r="5372">
      <c r="A5372" s="217">
        <v>43572.65724912037</v>
      </c>
      <c r="B5372" s="218" t="s">
        <v>5184</v>
      </c>
      <c r="C5372" s="218" t="s">
        <v>6053</v>
      </c>
      <c r="D5372" s="219">
        <v>1.0</v>
      </c>
      <c r="E5372" s="218">
        <v>300.0</v>
      </c>
      <c r="G5372" s="220">
        <v>43572.0</v>
      </c>
    </row>
    <row r="5373">
      <c r="A5373" s="217">
        <v>43573.52584533565</v>
      </c>
      <c r="B5373" s="218" t="s">
        <v>5184</v>
      </c>
      <c r="C5373" s="218" t="s">
        <v>7792</v>
      </c>
      <c r="D5373" s="219">
        <v>1.0</v>
      </c>
      <c r="E5373" s="218">
        <v>400.0</v>
      </c>
      <c r="G5373" s="220">
        <v>43573.0</v>
      </c>
    </row>
    <row r="5374">
      <c r="A5374" s="217">
        <v>43573.52662376157</v>
      </c>
      <c r="B5374" s="218" t="s">
        <v>5184</v>
      </c>
      <c r="C5374" s="218" t="s">
        <v>284</v>
      </c>
      <c r="D5374" s="219">
        <v>1.0</v>
      </c>
      <c r="E5374" s="218">
        <v>400.0</v>
      </c>
      <c r="G5374" s="220">
        <v>43573.0</v>
      </c>
    </row>
    <row r="5375">
      <c r="A5375" s="217">
        <v>43573.64321466435</v>
      </c>
      <c r="B5375" s="218" t="s">
        <v>5184</v>
      </c>
      <c r="C5375" s="218" t="s">
        <v>7800</v>
      </c>
      <c r="D5375" s="219">
        <v>1.0</v>
      </c>
      <c r="E5375" s="218">
        <v>300.0</v>
      </c>
      <c r="G5375" s="220">
        <v>43573.0</v>
      </c>
    </row>
    <row r="5376">
      <c r="A5376" s="217">
        <v>43573.64474179398</v>
      </c>
      <c r="B5376" s="218" t="s">
        <v>5184</v>
      </c>
      <c r="C5376" s="218" t="s">
        <v>8506</v>
      </c>
      <c r="D5376" s="219">
        <v>1.0</v>
      </c>
      <c r="E5376" s="218">
        <v>1200.0</v>
      </c>
      <c r="G5376" s="220">
        <v>43573.0</v>
      </c>
    </row>
    <row r="5377">
      <c r="A5377" s="217">
        <v>43573.64622112269</v>
      </c>
      <c r="B5377" s="218" t="s">
        <v>5184</v>
      </c>
      <c r="C5377" s="218" t="s">
        <v>8508</v>
      </c>
      <c r="D5377" s="219">
        <v>1.0</v>
      </c>
      <c r="E5377" s="218">
        <v>300.0</v>
      </c>
      <c r="G5377" s="220">
        <v>43573.0</v>
      </c>
    </row>
    <row r="5378">
      <c r="A5378" s="217">
        <v>43573.6470191088</v>
      </c>
      <c r="B5378" s="218" t="s">
        <v>5184</v>
      </c>
      <c r="C5378" s="218" t="s">
        <v>6053</v>
      </c>
      <c r="D5378" s="219">
        <v>1.0</v>
      </c>
      <c r="E5378" s="218">
        <v>300.0</v>
      </c>
      <c r="G5378" s="220">
        <v>43573.0</v>
      </c>
    </row>
    <row r="5379">
      <c r="A5379" s="217">
        <v>43573.64834032407</v>
      </c>
      <c r="B5379" s="218" t="s">
        <v>5184</v>
      </c>
      <c r="C5379" s="218" t="s">
        <v>5848</v>
      </c>
      <c r="D5379" s="219">
        <v>1.0</v>
      </c>
      <c r="E5379" s="218">
        <v>1000.0</v>
      </c>
      <c r="G5379" s="220">
        <v>43573.0</v>
      </c>
    </row>
    <row r="5380">
      <c r="A5380" s="217">
        <v>43573.649205497684</v>
      </c>
      <c r="B5380" s="218" t="s">
        <v>5184</v>
      </c>
      <c r="C5380" s="218" t="s">
        <v>284</v>
      </c>
      <c r="D5380" s="219">
        <v>1.0</v>
      </c>
      <c r="E5380" s="218">
        <v>400.0</v>
      </c>
      <c r="G5380" s="220">
        <v>43573.0</v>
      </c>
    </row>
    <row r="5381">
      <c r="A5381" s="217">
        <v>43574.531063518516</v>
      </c>
      <c r="B5381" s="218" t="s">
        <v>5184</v>
      </c>
      <c r="C5381" s="218" t="s">
        <v>1789</v>
      </c>
      <c r="D5381" s="219">
        <v>1.0</v>
      </c>
      <c r="E5381" s="218">
        <v>800.0</v>
      </c>
      <c r="G5381" s="220">
        <v>43573.0</v>
      </c>
    </row>
    <row r="5382">
      <c r="A5382" s="217">
        <v>43574.5320658912</v>
      </c>
      <c r="B5382" s="218" t="s">
        <v>5184</v>
      </c>
      <c r="C5382" s="218" t="s">
        <v>284</v>
      </c>
      <c r="D5382" s="219">
        <v>1.0</v>
      </c>
      <c r="E5382" s="218">
        <v>400.0</v>
      </c>
      <c r="G5382" s="220">
        <v>43573.0</v>
      </c>
    </row>
    <row r="5383">
      <c r="A5383" s="217">
        <v>43574.53694111111</v>
      </c>
      <c r="B5383" s="218" t="s">
        <v>5184</v>
      </c>
      <c r="C5383" s="218" t="s">
        <v>244</v>
      </c>
      <c r="D5383" s="219" t="s">
        <v>7652</v>
      </c>
      <c r="E5383" s="218">
        <v>800.0</v>
      </c>
      <c r="G5383" s="220">
        <v>43573.0</v>
      </c>
    </row>
    <row r="5384">
      <c r="A5384" s="217">
        <v>43574.53767100694</v>
      </c>
      <c r="B5384" s="218" t="s">
        <v>5184</v>
      </c>
      <c r="C5384" s="218" t="s">
        <v>5789</v>
      </c>
      <c r="D5384" s="219">
        <v>1.0</v>
      </c>
      <c r="E5384" s="218">
        <v>400.0</v>
      </c>
      <c r="G5384" s="220">
        <v>43573.0</v>
      </c>
    </row>
    <row r="5385">
      <c r="A5385" s="217">
        <v>43574.53976782407</v>
      </c>
      <c r="B5385" s="218" t="s">
        <v>5184</v>
      </c>
      <c r="C5385" s="218" t="s">
        <v>5786</v>
      </c>
      <c r="D5385" s="219">
        <v>1.0</v>
      </c>
      <c r="E5385" s="218">
        <v>300.0</v>
      </c>
      <c r="G5385" s="220">
        <v>43573.0</v>
      </c>
    </row>
    <row r="5386">
      <c r="A5386" s="217">
        <v>43574.54104640047</v>
      </c>
      <c r="B5386" s="218" t="s">
        <v>5184</v>
      </c>
      <c r="C5386" s="218" t="s">
        <v>244</v>
      </c>
      <c r="D5386" s="219">
        <v>1.0</v>
      </c>
      <c r="E5386" s="218">
        <v>400.0</v>
      </c>
      <c r="G5386" s="220">
        <v>43573.0</v>
      </c>
    </row>
    <row r="5387">
      <c r="A5387" s="217">
        <v>43574.54212636574</v>
      </c>
      <c r="B5387" s="218" t="s">
        <v>5184</v>
      </c>
      <c r="C5387" s="218" t="s">
        <v>7806</v>
      </c>
      <c r="D5387" s="219">
        <v>1.0</v>
      </c>
      <c r="E5387" s="218">
        <v>600.0</v>
      </c>
      <c r="G5387" s="220">
        <v>43573.0</v>
      </c>
    </row>
    <row r="5388">
      <c r="A5388" s="217">
        <v>43574.54422216435</v>
      </c>
      <c r="B5388" s="218" t="s">
        <v>5184</v>
      </c>
      <c r="C5388" s="218" t="s">
        <v>7496</v>
      </c>
      <c r="D5388" s="219">
        <v>1.0</v>
      </c>
      <c r="E5388" s="218">
        <v>400.0</v>
      </c>
      <c r="G5388" s="220">
        <v>43573.0</v>
      </c>
    </row>
    <row r="5389">
      <c r="A5389" s="217">
        <v>43574.546581585644</v>
      </c>
      <c r="B5389" s="218" t="s">
        <v>5184</v>
      </c>
      <c r="C5389" s="218" t="s">
        <v>7792</v>
      </c>
      <c r="D5389" s="219">
        <v>1.0</v>
      </c>
      <c r="E5389" s="218">
        <v>400.0</v>
      </c>
      <c r="G5389" s="220">
        <v>43573.0</v>
      </c>
    </row>
    <row r="5390">
      <c r="A5390" s="217">
        <v>43574.54713958333</v>
      </c>
      <c r="B5390" s="218" t="s">
        <v>5184</v>
      </c>
      <c r="C5390" s="218" t="s">
        <v>6053</v>
      </c>
      <c r="D5390" s="219">
        <v>1.0</v>
      </c>
      <c r="E5390" s="218">
        <v>300.0</v>
      </c>
      <c r="G5390" s="220">
        <v>43573.0</v>
      </c>
    </row>
    <row r="5391">
      <c r="A5391" s="217">
        <v>43574.54775849537</v>
      </c>
      <c r="B5391" s="218" t="s">
        <v>5184</v>
      </c>
      <c r="C5391" s="218" t="s">
        <v>8072</v>
      </c>
      <c r="D5391" s="219">
        <v>1.0</v>
      </c>
      <c r="E5391" s="218">
        <v>500.0</v>
      </c>
      <c r="G5391" s="220">
        <v>43573.0</v>
      </c>
    </row>
    <row r="5392">
      <c r="A5392" s="217">
        <v>43574.548414097226</v>
      </c>
      <c r="B5392" s="218" t="s">
        <v>5184</v>
      </c>
      <c r="C5392" s="218" t="s">
        <v>7806</v>
      </c>
      <c r="D5392" s="219">
        <v>1.0</v>
      </c>
      <c r="E5392" s="218">
        <v>600.0</v>
      </c>
      <c r="G5392" s="220">
        <v>43573.0</v>
      </c>
    </row>
    <row r="5393">
      <c r="A5393" s="217">
        <v>43574.56701138889</v>
      </c>
      <c r="B5393" s="218" t="s">
        <v>5184</v>
      </c>
      <c r="C5393" s="218" t="s">
        <v>7408</v>
      </c>
      <c r="D5393" s="219">
        <v>1.0</v>
      </c>
      <c r="E5393" s="218">
        <v>300.0</v>
      </c>
      <c r="G5393" s="220">
        <v>43574.0</v>
      </c>
    </row>
    <row r="5394">
      <c r="A5394" s="217">
        <v>43574.58410008102</v>
      </c>
      <c r="B5394" s="218" t="s">
        <v>5184</v>
      </c>
      <c r="C5394" s="218" t="s">
        <v>8516</v>
      </c>
      <c r="D5394" s="219">
        <v>1.0</v>
      </c>
      <c r="E5394" s="218">
        <v>300.0</v>
      </c>
      <c r="G5394" s="220">
        <v>43574.0</v>
      </c>
    </row>
    <row r="5395">
      <c r="A5395" s="217">
        <v>43574.58602686343</v>
      </c>
      <c r="B5395" s="218" t="s">
        <v>5184</v>
      </c>
      <c r="C5395" s="218" t="s">
        <v>6053</v>
      </c>
      <c r="D5395" s="219">
        <v>1.0</v>
      </c>
      <c r="E5395" s="218">
        <v>300.0</v>
      </c>
      <c r="G5395" s="220">
        <v>43574.0</v>
      </c>
    </row>
    <row r="5396">
      <c r="A5396" s="217">
        <v>43574.58667715278</v>
      </c>
      <c r="B5396" s="218" t="s">
        <v>5184</v>
      </c>
      <c r="C5396" s="218" t="s">
        <v>1789</v>
      </c>
      <c r="D5396" s="219">
        <v>1.0</v>
      </c>
      <c r="E5396" s="218">
        <v>800.0</v>
      </c>
      <c r="G5396" s="220">
        <v>43574.0</v>
      </c>
    </row>
    <row r="5397">
      <c r="A5397" s="217">
        <v>43574.58719737269</v>
      </c>
      <c r="B5397" s="218" t="s">
        <v>5184</v>
      </c>
      <c r="C5397" s="218" t="s">
        <v>284</v>
      </c>
      <c r="D5397" s="219">
        <v>1.0</v>
      </c>
      <c r="E5397" s="218">
        <v>400.0</v>
      </c>
      <c r="G5397" s="220">
        <v>43574.0</v>
      </c>
    </row>
    <row r="5398">
      <c r="A5398" s="217">
        <v>43574.5880397338</v>
      </c>
      <c r="B5398" s="218" t="s">
        <v>5184</v>
      </c>
      <c r="C5398" s="218" t="s">
        <v>5786</v>
      </c>
      <c r="D5398" s="219">
        <v>1.0</v>
      </c>
      <c r="E5398" s="218">
        <v>300.0</v>
      </c>
      <c r="G5398" s="220">
        <v>43574.0</v>
      </c>
    </row>
    <row r="5399">
      <c r="A5399" s="217">
        <v>43574.588835787035</v>
      </c>
      <c r="B5399" s="218" t="s">
        <v>5184</v>
      </c>
      <c r="C5399" s="218" t="s">
        <v>6053</v>
      </c>
      <c r="D5399" s="219">
        <v>1.0</v>
      </c>
      <c r="E5399" s="218">
        <v>300.0</v>
      </c>
      <c r="G5399" s="220">
        <v>43574.0</v>
      </c>
    </row>
    <row r="5400">
      <c r="A5400" s="217">
        <v>43574.59025734954</v>
      </c>
      <c r="B5400" s="218" t="s">
        <v>5184</v>
      </c>
      <c r="C5400" s="218" t="s">
        <v>7800</v>
      </c>
      <c r="D5400" s="219">
        <v>1.0</v>
      </c>
      <c r="E5400" s="218">
        <v>300.0</v>
      </c>
      <c r="G5400" s="220">
        <v>43574.0</v>
      </c>
    </row>
    <row r="5401">
      <c r="A5401" s="217">
        <v>43574.59105953704</v>
      </c>
      <c r="B5401" s="218" t="s">
        <v>5184</v>
      </c>
      <c r="C5401" s="218" t="s">
        <v>6053</v>
      </c>
      <c r="D5401" s="219">
        <v>1.0</v>
      </c>
      <c r="E5401" s="218">
        <v>300.0</v>
      </c>
      <c r="G5401" s="220">
        <v>43574.0</v>
      </c>
    </row>
    <row r="5402">
      <c r="A5402" s="217">
        <v>43574.592213923606</v>
      </c>
      <c r="B5402" s="218" t="s">
        <v>5184</v>
      </c>
      <c r="C5402" s="218" t="s">
        <v>7800</v>
      </c>
      <c r="D5402" s="219">
        <v>1.0</v>
      </c>
      <c r="E5402" s="218">
        <v>200.0</v>
      </c>
      <c r="G5402" s="220">
        <v>43574.0</v>
      </c>
    </row>
    <row r="5403">
      <c r="A5403" s="217">
        <v>43574.59295331019</v>
      </c>
      <c r="B5403" s="218" t="s">
        <v>5184</v>
      </c>
      <c r="C5403" s="218" t="s">
        <v>6053</v>
      </c>
      <c r="D5403" s="219">
        <v>1.0</v>
      </c>
      <c r="E5403" s="218">
        <v>300.0</v>
      </c>
      <c r="G5403" s="220">
        <v>43574.0</v>
      </c>
    </row>
    <row r="5404">
      <c r="A5404" s="217">
        <v>43574.59423207176</v>
      </c>
      <c r="B5404" s="218" t="s">
        <v>5184</v>
      </c>
      <c r="C5404" s="218" t="s">
        <v>5786</v>
      </c>
      <c r="D5404" s="219">
        <v>1.0</v>
      </c>
      <c r="E5404" s="218">
        <v>300.0</v>
      </c>
      <c r="G5404" s="220">
        <v>43574.0</v>
      </c>
    </row>
    <row r="5405">
      <c r="A5405" s="217">
        <v>43574.59479478009</v>
      </c>
      <c r="B5405" s="218" t="s">
        <v>5184</v>
      </c>
      <c r="C5405" s="218" t="s">
        <v>244</v>
      </c>
      <c r="D5405" s="219">
        <v>1.0</v>
      </c>
      <c r="E5405" s="218">
        <v>400.0</v>
      </c>
      <c r="G5405" s="220">
        <v>43574.0</v>
      </c>
    </row>
    <row r="5406">
      <c r="A5406" s="217">
        <v>43574.59557138889</v>
      </c>
      <c r="B5406" s="218" t="s">
        <v>5184</v>
      </c>
      <c r="C5406" s="218" t="s">
        <v>5786</v>
      </c>
      <c r="D5406" s="219">
        <v>1.0</v>
      </c>
      <c r="E5406" s="218">
        <v>300.0</v>
      </c>
      <c r="G5406" s="220">
        <v>43574.0</v>
      </c>
    </row>
    <row r="5407">
      <c r="A5407" s="217">
        <v>43574.59940724537</v>
      </c>
      <c r="B5407" s="218" t="s">
        <v>5184</v>
      </c>
      <c r="C5407" s="218" t="s">
        <v>6053</v>
      </c>
      <c r="D5407" s="219">
        <v>1.0</v>
      </c>
      <c r="E5407" s="218">
        <v>300.0</v>
      </c>
      <c r="G5407" s="220">
        <v>43574.0</v>
      </c>
    </row>
    <row r="5408">
      <c r="A5408" s="217">
        <v>43574.64246122685</v>
      </c>
      <c r="B5408" s="218" t="s">
        <v>5184</v>
      </c>
      <c r="C5408" s="218" t="s">
        <v>5789</v>
      </c>
      <c r="D5408" s="219">
        <v>1.0</v>
      </c>
      <c r="E5408" s="218">
        <v>400.0</v>
      </c>
      <c r="G5408" s="220">
        <v>43574.0</v>
      </c>
    </row>
    <row r="5409">
      <c r="A5409" s="217">
        <v>43574.6430421875</v>
      </c>
      <c r="B5409" s="218" t="s">
        <v>5184</v>
      </c>
      <c r="C5409" s="218" t="s">
        <v>284</v>
      </c>
      <c r="D5409" s="219">
        <v>1.0</v>
      </c>
      <c r="E5409" s="218">
        <v>400.0</v>
      </c>
      <c r="G5409" s="220">
        <v>43574.0</v>
      </c>
    </row>
    <row r="5410">
      <c r="A5410" s="217">
        <v>43574.64875787037</v>
      </c>
      <c r="B5410" s="218" t="s">
        <v>5184</v>
      </c>
      <c r="C5410" s="218" t="s">
        <v>5848</v>
      </c>
      <c r="D5410" s="219">
        <v>1.0</v>
      </c>
      <c r="E5410" s="218">
        <v>1000.0</v>
      </c>
      <c r="G5410" s="220">
        <v>43574.0</v>
      </c>
    </row>
    <row r="5411">
      <c r="A5411" s="217">
        <v>43574.64948699074</v>
      </c>
      <c r="B5411" s="218" t="s">
        <v>5184</v>
      </c>
      <c r="C5411" s="218" t="s">
        <v>244</v>
      </c>
      <c r="D5411" s="219">
        <v>1.0</v>
      </c>
      <c r="E5411" s="218">
        <v>400.0</v>
      </c>
      <c r="G5411" s="220">
        <v>43574.0</v>
      </c>
    </row>
    <row r="5412">
      <c r="A5412" s="217">
        <v>43574.72374502315</v>
      </c>
      <c r="B5412" s="218" t="s">
        <v>5184</v>
      </c>
      <c r="C5412" s="218" t="s">
        <v>6053</v>
      </c>
      <c r="D5412" s="219">
        <v>1.0</v>
      </c>
      <c r="E5412" s="218">
        <v>300.0</v>
      </c>
      <c r="G5412" s="220">
        <v>43574.0</v>
      </c>
    </row>
    <row r="5413">
      <c r="A5413" s="217">
        <v>43574.72438373843</v>
      </c>
      <c r="B5413" s="218" t="s">
        <v>5184</v>
      </c>
      <c r="C5413" s="218" t="s">
        <v>5786</v>
      </c>
      <c r="D5413" s="219">
        <v>1.0</v>
      </c>
      <c r="E5413" s="218">
        <v>300.0</v>
      </c>
      <c r="G5413" s="220">
        <v>43574.0</v>
      </c>
    </row>
    <row r="5414">
      <c r="A5414" s="217">
        <v>43574.72562776621</v>
      </c>
      <c r="B5414" s="218" t="s">
        <v>5184</v>
      </c>
      <c r="C5414" s="218" t="s">
        <v>6053</v>
      </c>
      <c r="D5414" s="219">
        <v>1.0</v>
      </c>
      <c r="E5414" s="218">
        <v>300.0</v>
      </c>
      <c r="G5414" s="220">
        <v>43574.0</v>
      </c>
    </row>
    <row r="5415">
      <c r="A5415" s="217">
        <v>43574.72690864583</v>
      </c>
      <c r="B5415" s="218" t="s">
        <v>5184</v>
      </c>
      <c r="C5415" s="218" t="s">
        <v>7408</v>
      </c>
      <c r="D5415" s="219">
        <v>1.0</v>
      </c>
      <c r="E5415" s="218">
        <v>400.0</v>
      </c>
      <c r="G5415" s="220">
        <v>43574.0</v>
      </c>
    </row>
    <row r="5416">
      <c r="A5416" s="217">
        <v>43575.60986892361</v>
      </c>
      <c r="B5416" s="218" t="s">
        <v>5184</v>
      </c>
      <c r="C5416" s="218" t="s">
        <v>6053</v>
      </c>
      <c r="D5416" s="219">
        <v>1.0</v>
      </c>
      <c r="E5416" s="218">
        <v>300.0</v>
      </c>
      <c r="G5416" s="220">
        <v>43575.0</v>
      </c>
    </row>
    <row r="5417">
      <c r="A5417" s="217">
        <v>43575.61325434028</v>
      </c>
      <c r="B5417" s="218" t="s">
        <v>5184</v>
      </c>
      <c r="C5417" s="218" t="s">
        <v>7496</v>
      </c>
      <c r="D5417" s="219">
        <v>1.0</v>
      </c>
      <c r="E5417" s="218">
        <v>300.0</v>
      </c>
      <c r="G5417" s="220">
        <v>43575.0</v>
      </c>
    </row>
    <row r="5418">
      <c r="A5418" s="217">
        <v>43575.61433582176</v>
      </c>
      <c r="B5418" s="218" t="s">
        <v>5184</v>
      </c>
      <c r="C5418" s="218" t="s">
        <v>7806</v>
      </c>
      <c r="D5418" s="219">
        <v>1.0</v>
      </c>
      <c r="E5418" s="218">
        <v>600.0</v>
      </c>
      <c r="G5418" s="220">
        <v>43575.0</v>
      </c>
    </row>
    <row r="5419">
      <c r="A5419" s="217">
        <v>43575.61566443287</v>
      </c>
      <c r="B5419" s="218" t="s">
        <v>5184</v>
      </c>
      <c r="C5419" s="218" t="s">
        <v>7800</v>
      </c>
      <c r="D5419" s="219">
        <v>1.0</v>
      </c>
      <c r="E5419" s="218">
        <v>200.0</v>
      </c>
      <c r="G5419" s="220">
        <v>43575.0</v>
      </c>
    </row>
    <row r="5420">
      <c r="A5420" s="217">
        <v>43575.616245405094</v>
      </c>
      <c r="B5420" s="218" t="s">
        <v>5184</v>
      </c>
      <c r="C5420" s="218" t="s">
        <v>6053</v>
      </c>
      <c r="D5420" s="219">
        <v>1.0</v>
      </c>
      <c r="E5420" s="218">
        <v>300.0</v>
      </c>
      <c r="G5420" s="220">
        <v>43575.0</v>
      </c>
    </row>
    <row r="5421">
      <c r="A5421" s="217">
        <v>43575.619489687495</v>
      </c>
      <c r="B5421" s="218" t="s">
        <v>5184</v>
      </c>
      <c r="C5421" s="218" t="s">
        <v>7800</v>
      </c>
      <c r="D5421" s="219">
        <v>1.0</v>
      </c>
      <c r="E5421" s="218">
        <v>200.0</v>
      </c>
      <c r="G5421" s="220">
        <v>43575.0</v>
      </c>
    </row>
    <row r="5422">
      <c r="A5422" s="217">
        <v>43575.620037037035</v>
      </c>
      <c r="B5422" s="218" t="s">
        <v>5184</v>
      </c>
      <c r="C5422" s="218" t="s">
        <v>6053</v>
      </c>
      <c r="D5422" s="219">
        <v>1.0</v>
      </c>
      <c r="E5422" s="218">
        <v>300.0</v>
      </c>
      <c r="G5422" s="220">
        <v>43575.0</v>
      </c>
    </row>
    <row r="5423">
      <c r="A5423" s="217">
        <v>43575.621371597226</v>
      </c>
      <c r="B5423" s="218" t="s">
        <v>5184</v>
      </c>
      <c r="C5423" s="218" t="s">
        <v>7800</v>
      </c>
      <c r="D5423" s="219">
        <v>1.0</v>
      </c>
      <c r="E5423" s="218">
        <v>300.0</v>
      </c>
      <c r="G5423" s="220">
        <v>43575.0</v>
      </c>
    </row>
    <row r="5424">
      <c r="A5424" s="217">
        <v>43575.62187451389</v>
      </c>
      <c r="B5424" s="218" t="s">
        <v>5184</v>
      </c>
      <c r="C5424" s="218" t="s">
        <v>6053</v>
      </c>
      <c r="D5424" s="219">
        <v>1.0</v>
      </c>
      <c r="E5424" s="218">
        <v>300.0</v>
      </c>
      <c r="G5424" s="220">
        <v>43575.0</v>
      </c>
    </row>
    <row r="5425">
      <c r="A5425" s="217">
        <v>43575.623932002316</v>
      </c>
      <c r="B5425" s="218" t="s">
        <v>5184</v>
      </c>
      <c r="C5425" s="218" t="s">
        <v>7800</v>
      </c>
      <c r="D5425" s="219">
        <v>1.0</v>
      </c>
      <c r="E5425" s="218">
        <v>200.0</v>
      </c>
      <c r="G5425" s="220">
        <v>43575.0</v>
      </c>
    </row>
    <row r="5426">
      <c r="A5426" s="217">
        <v>43575.62450922454</v>
      </c>
      <c r="B5426" s="218" t="s">
        <v>5184</v>
      </c>
      <c r="C5426" s="218" t="s">
        <v>6053</v>
      </c>
      <c r="D5426" s="219">
        <v>1.0</v>
      </c>
      <c r="E5426" s="218">
        <v>300.0</v>
      </c>
      <c r="G5426" s="220">
        <v>43575.0</v>
      </c>
    </row>
    <row r="5427">
      <c r="A5427" s="217">
        <v>43575.627149444445</v>
      </c>
      <c r="B5427" s="218" t="s">
        <v>5184</v>
      </c>
      <c r="C5427" s="218" t="s">
        <v>6053</v>
      </c>
      <c r="D5427" s="219">
        <v>1.0</v>
      </c>
      <c r="E5427" s="218">
        <v>300.0</v>
      </c>
      <c r="G5427" s="220">
        <v>43575.0</v>
      </c>
    </row>
    <row r="5428">
      <c r="A5428" s="217">
        <v>43575.63048636574</v>
      </c>
      <c r="B5428" s="218" t="s">
        <v>5184</v>
      </c>
      <c r="C5428" s="218" t="s">
        <v>5786</v>
      </c>
      <c r="D5428" s="219">
        <v>1.0</v>
      </c>
      <c r="E5428" s="218">
        <v>300.0</v>
      </c>
      <c r="G5428" s="220">
        <v>43575.0</v>
      </c>
    </row>
    <row r="5429">
      <c r="A5429" s="217">
        <v>43575.63106474537</v>
      </c>
      <c r="B5429" s="218" t="s">
        <v>5184</v>
      </c>
      <c r="C5429" s="218" t="s">
        <v>244</v>
      </c>
      <c r="D5429" s="219">
        <v>1.0</v>
      </c>
      <c r="E5429" s="218">
        <v>400.0</v>
      </c>
      <c r="G5429" s="220">
        <v>43575.0</v>
      </c>
    </row>
    <row r="5430">
      <c r="A5430" s="217">
        <v>43575.63275888889</v>
      </c>
      <c r="B5430" s="218" t="s">
        <v>5184</v>
      </c>
      <c r="C5430" s="218" t="s">
        <v>244</v>
      </c>
      <c r="D5430" s="219">
        <v>1.0</v>
      </c>
      <c r="E5430" s="218">
        <v>400.0</v>
      </c>
      <c r="G5430" s="220">
        <v>43575.0</v>
      </c>
    </row>
    <row r="5431">
      <c r="A5431" s="217">
        <v>43575.634664930556</v>
      </c>
      <c r="B5431" s="218" t="s">
        <v>5184</v>
      </c>
      <c r="C5431" s="218" t="s">
        <v>7800</v>
      </c>
      <c r="D5431" s="219">
        <v>1.0</v>
      </c>
      <c r="E5431" s="218">
        <v>300.0</v>
      </c>
      <c r="G5431" s="220">
        <v>43575.0</v>
      </c>
    </row>
    <row r="5432">
      <c r="A5432" s="217">
        <v>43575.635253229164</v>
      </c>
      <c r="B5432" s="218" t="s">
        <v>5184</v>
      </c>
      <c r="C5432" s="218" t="s">
        <v>244</v>
      </c>
      <c r="D5432" s="219">
        <v>1.0</v>
      </c>
      <c r="E5432" s="218">
        <v>400.0</v>
      </c>
      <c r="G5432" s="220">
        <v>43575.0</v>
      </c>
    </row>
    <row r="5433">
      <c r="A5433" s="217">
        <v>43575.63604997685</v>
      </c>
      <c r="B5433" s="218" t="s">
        <v>5184</v>
      </c>
      <c r="C5433" s="218" t="s">
        <v>5786</v>
      </c>
      <c r="D5433" s="219">
        <v>1.0</v>
      </c>
      <c r="E5433" s="218">
        <v>300.0</v>
      </c>
      <c r="G5433" s="220">
        <v>43575.0</v>
      </c>
    </row>
    <row r="5434">
      <c r="A5434" s="217">
        <v>43575.63656829861</v>
      </c>
      <c r="B5434" s="218" t="s">
        <v>5184</v>
      </c>
      <c r="C5434" s="218" t="s">
        <v>244</v>
      </c>
      <c r="D5434" s="219">
        <v>1.0</v>
      </c>
      <c r="E5434" s="218">
        <v>600.0</v>
      </c>
      <c r="G5434" s="220">
        <v>43575.0</v>
      </c>
    </row>
    <row r="5435">
      <c r="A5435" s="217">
        <v>43575.638631643524</v>
      </c>
      <c r="B5435" s="218" t="s">
        <v>5184</v>
      </c>
      <c r="C5435" s="218" t="s">
        <v>5786</v>
      </c>
      <c r="D5435" s="219">
        <v>1.0</v>
      </c>
      <c r="E5435" s="218">
        <v>200.0</v>
      </c>
      <c r="G5435" s="220">
        <v>43575.0</v>
      </c>
    </row>
    <row r="5436">
      <c r="A5436" s="217">
        <v>43575.63903361111</v>
      </c>
      <c r="B5436" s="218" t="s">
        <v>5184</v>
      </c>
      <c r="C5436" s="218" t="s">
        <v>6053</v>
      </c>
      <c r="D5436" s="219">
        <v>1.0</v>
      </c>
      <c r="E5436" s="218">
        <v>300.0</v>
      </c>
      <c r="G5436" s="220">
        <v>43575.0</v>
      </c>
    </row>
    <row r="5437">
      <c r="A5437" s="217">
        <v>43575.63979189815</v>
      </c>
      <c r="B5437" s="218" t="s">
        <v>5184</v>
      </c>
      <c r="C5437" s="218" t="s">
        <v>7408</v>
      </c>
      <c r="D5437" s="219">
        <v>1.0</v>
      </c>
      <c r="E5437" s="218">
        <v>300.0</v>
      </c>
      <c r="G5437" s="220">
        <v>43575.0</v>
      </c>
    </row>
    <row r="5438">
      <c r="A5438" s="217">
        <v>43576.46493592593</v>
      </c>
      <c r="B5438" s="218" t="s">
        <v>5184</v>
      </c>
      <c r="C5438" s="218" t="s">
        <v>6053</v>
      </c>
      <c r="D5438" s="219">
        <v>1.0</v>
      </c>
      <c r="E5438" s="218">
        <v>300.0</v>
      </c>
      <c r="G5438" s="220">
        <v>43575.0</v>
      </c>
    </row>
    <row r="5439">
      <c r="A5439" s="217">
        <v>43576.475133252316</v>
      </c>
      <c r="B5439" s="218" t="s">
        <v>5184</v>
      </c>
      <c r="C5439" s="218" t="s">
        <v>8532</v>
      </c>
      <c r="D5439" s="219">
        <v>1.0</v>
      </c>
      <c r="E5439" s="218">
        <v>2390.0</v>
      </c>
      <c r="G5439" s="220">
        <v>43575.0</v>
      </c>
    </row>
    <row r="5440">
      <c r="A5440" s="217">
        <v>43576.47630394676</v>
      </c>
      <c r="B5440" s="218" t="s">
        <v>5184</v>
      </c>
      <c r="C5440" s="218" t="s">
        <v>5658</v>
      </c>
      <c r="D5440" s="219">
        <v>1.0</v>
      </c>
      <c r="E5440" s="218">
        <v>2000.0</v>
      </c>
      <c r="G5440" s="220">
        <v>43575.0</v>
      </c>
    </row>
    <row r="5441">
      <c r="A5441" s="217">
        <v>43576.477687060185</v>
      </c>
      <c r="B5441" s="218" t="s">
        <v>5184</v>
      </c>
      <c r="C5441" s="218" t="s">
        <v>8534</v>
      </c>
      <c r="D5441" s="219">
        <v>1.0</v>
      </c>
      <c r="E5441" s="218">
        <v>1800.0</v>
      </c>
      <c r="G5441" s="220">
        <v>43575.0</v>
      </c>
    </row>
    <row r="5442">
      <c r="A5442" s="217">
        <v>43576.47865416667</v>
      </c>
      <c r="B5442" s="218" t="s">
        <v>5184</v>
      </c>
      <c r="C5442" s="218" t="s">
        <v>8535</v>
      </c>
      <c r="D5442" s="219">
        <v>1.0</v>
      </c>
      <c r="E5442" s="218">
        <v>2390.0</v>
      </c>
      <c r="G5442" s="220">
        <v>43575.0</v>
      </c>
    </row>
    <row r="5443">
      <c r="A5443" s="217">
        <v>43576.4833694213</v>
      </c>
      <c r="B5443" s="218" t="s">
        <v>5184</v>
      </c>
      <c r="C5443" s="218" t="s">
        <v>1470</v>
      </c>
      <c r="D5443" s="219">
        <v>1.0</v>
      </c>
      <c r="E5443" s="218">
        <v>2250.0</v>
      </c>
      <c r="G5443" s="220">
        <v>43568.0</v>
      </c>
    </row>
    <row r="5444">
      <c r="A5444" s="217">
        <v>43576.50307253472</v>
      </c>
      <c r="B5444" s="218" t="s">
        <v>5184</v>
      </c>
      <c r="C5444" s="218" t="s">
        <v>725</v>
      </c>
      <c r="D5444" s="219">
        <v>1.0</v>
      </c>
      <c r="E5444" s="218">
        <v>2160.0</v>
      </c>
      <c r="G5444" s="220">
        <v>43568.0</v>
      </c>
    </row>
    <row r="5445">
      <c r="A5445" s="217">
        <v>43576.50502332176</v>
      </c>
      <c r="B5445" s="218" t="s">
        <v>5184</v>
      </c>
      <c r="C5445" s="218" t="s">
        <v>1334</v>
      </c>
      <c r="D5445" s="219">
        <v>1.0</v>
      </c>
      <c r="E5445" s="218">
        <v>2000.0</v>
      </c>
      <c r="G5445" s="220">
        <v>43568.0</v>
      </c>
    </row>
    <row r="5446">
      <c r="A5446" s="217">
        <v>43576.566838969906</v>
      </c>
      <c r="B5446" s="218" t="s">
        <v>5184</v>
      </c>
      <c r="C5446" s="218" t="s">
        <v>1359</v>
      </c>
      <c r="D5446" s="219">
        <v>1.0</v>
      </c>
      <c r="E5446" s="218">
        <v>2390.0</v>
      </c>
      <c r="G5446" s="220">
        <v>43568.0</v>
      </c>
    </row>
    <row r="5447">
      <c r="A5447" s="217">
        <v>43576.569174062504</v>
      </c>
      <c r="B5447" s="218" t="s">
        <v>5184</v>
      </c>
      <c r="C5447" s="218" t="s">
        <v>724</v>
      </c>
      <c r="D5447" s="219">
        <v>1.0</v>
      </c>
      <c r="E5447" s="218">
        <v>2380.0</v>
      </c>
      <c r="G5447" s="220">
        <v>43568.0</v>
      </c>
    </row>
    <row r="5448">
      <c r="A5448" s="217">
        <v>43576.57129153935</v>
      </c>
      <c r="B5448" s="218" t="s">
        <v>5184</v>
      </c>
      <c r="C5448" s="218" t="s">
        <v>5868</v>
      </c>
      <c r="D5448" s="219">
        <v>1.0</v>
      </c>
      <c r="E5448" s="218">
        <v>1950.0</v>
      </c>
      <c r="G5448" s="220">
        <v>43568.0</v>
      </c>
    </row>
    <row r="5449">
      <c r="A5449" s="217">
        <v>43576.573230381946</v>
      </c>
      <c r="B5449" s="218" t="s">
        <v>5184</v>
      </c>
      <c r="C5449" s="218" t="s">
        <v>6899</v>
      </c>
      <c r="D5449" s="219">
        <v>1.0</v>
      </c>
      <c r="E5449" s="218">
        <v>2590.0</v>
      </c>
      <c r="G5449" s="220">
        <v>43568.0</v>
      </c>
    </row>
    <row r="5450">
      <c r="A5450" s="217">
        <v>43576.68440515046</v>
      </c>
      <c r="B5450" s="218" t="s">
        <v>5184</v>
      </c>
      <c r="C5450" s="218" t="s">
        <v>5664</v>
      </c>
      <c r="D5450" s="219">
        <v>1.0</v>
      </c>
      <c r="E5450" s="218">
        <v>2250.0</v>
      </c>
      <c r="G5450" s="220">
        <v>43568.0</v>
      </c>
    </row>
    <row r="5451">
      <c r="A5451" s="217">
        <v>43576.68641070602</v>
      </c>
      <c r="B5451" s="218" t="s">
        <v>5184</v>
      </c>
      <c r="C5451" s="218" t="s">
        <v>6900</v>
      </c>
      <c r="D5451" s="219">
        <v>1.0</v>
      </c>
      <c r="E5451" s="218">
        <v>2590.0</v>
      </c>
      <c r="G5451" s="220">
        <v>43568.0</v>
      </c>
    </row>
    <row r="5452">
      <c r="A5452" s="217">
        <v>43576.68740707176</v>
      </c>
      <c r="B5452" s="218" t="s">
        <v>5184</v>
      </c>
      <c r="C5452" s="218" t="s">
        <v>1412</v>
      </c>
      <c r="D5452" s="219">
        <v>1.0</v>
      </c>
      <c r="E5452" s="218">
        <v>2590.0</v>
      </c>
      <c r="G5452" s="220">
        <v>43568.0</v>
      </c>
    </row>
    <row r="5453">
      <c r="A5453" s="217">
        <v>43576.69566423611</v>
      </c>
      <c r="B5453" s="218" t="s">
        <v>5184</v>
      </c>
      <c r="C5453" s="218" t="s">
        <v>1382</v>
      </c>
      <c r="D5453" s="219">
        <v>1.0</v>
      </c>
      <c r="E5453" s="218">
        <v>2250.0</v>
      </c>
      <c r="G5453" s="220">
        <v>43568.0</v>
      </c>
    </row>
    <row r="5454">
      <c r="A5454" s="217">
        <v>43576.696751157404</v>
      </c>
      <c r="B5454" s="218" t="s">
        <v>5184</v>
      </c>
      <c r="C5454" s="218" t="s">
        <v>6901</v>
      </c>
      <c r="D5454" s="219">
        <v>1.0</v>
      </c>
      <c r="E5454" s="218">
        <v>2590.0</v>
      </c>
      <c r="G5454" s="220">
        <v>43568.0</v>
      </c>
    </row>
    <row r="5455">
      <c r="A5455" s="217">
        <v>43576.698208553236</v>
      </c>
      <c r="B5455" s="218" t="s">
        <v>5184</v>
      </c>
      <c r="C5455" s="218" t="s">
        <v>6921</v>
      </c>
      <c r="D5455" s="219">
        <v>1.0</v>
      </c>
      <c r="E5455" s="218">
        <v>2250.0</v>
      </c>
      <c r="G5455" s="220">
        <v>43568.0</v>
      </c>
    </row>
    <row r="5456">
      <c r="A5456" s="217">
        <v>43576.69961862269</v>
      </c>
      <c r="B5456" s="218" t="s">
        <v>5184</v>
      </c>
      <c r="C5456" s="218" t="s">
        <v>5673</v>
      </c>
      <c r="D5456" s="219">
        <v>1.0</v>
      </c>
      <c r="E5456" s="218">
        <v>2000.0</v>
      </c>
      <c r="G5456" s="220">
        <v>43568.0</v>
      </c>
    </row>
    <row r="5457">
      <c r="A5457" s="217">
        <v>43576.70265417824</v>
      </c>
      <c r="B5457" s="218" t="s">
        <v>5184</v>
      </c>
      <c r="C5457" s="218" t="s">
        <v>8537</v>
      </c>
      <c r="D5457" s="219">
        <v>1.0</v>
      </c>
      <c r="E5457" s="218">
        <v>2450.0</v>
      </c>
      <c r="G5457" s="220">
        <v>43568.0</v>
      </c>
    </row>
    <row r="5458">
      <c r="A5458" s="217">
        <v>43576.70439896991</v>
      </c>
      <c r="B5458" s="218" t="s">
        <v>5184</v>
      </c>
      <c r="C5458" s="218" t="s">
        <v>8538</v>
      </c>
      <c r="D5458" s="219">
        <v>1.0</v>
      </c>
      <c r="E5458" s="218">
        <v>330.0</v>
      </c>
      <c r="G5458" s="220">
        <v>43568.0</v>
      </c>
    </row>
    <row r="5459">
      <c r="A5459" s="217">
        <v>43576.706978981485</v>
      </c>
      <c r="B5459" s="218" t="s">
        <v>5184</v>
      </c>
      <c r="C5459" s="218" t="s">
        <v>8539</v>
      </c>
      <c r="D5459" s="219">
        <v>1.0</v>
      </c>
      <c r="E5459" s="218">
        <v>495.0</v>
      </c>
      <c r="G5459" s="220">
        <v>43568.0</v>
      </c>
    </row>
    <row r="5460">
      <c r="A5460" s="217">
        <v>43576.70835048611</v>
      </c>
      <c r="B5460" s="218" t="s">
        <v>5184</v>
      </c>
      <c r="C5460" s="218" t="s">
        <v>8540</v>
      </c>
      <c r="D5460" s="219">
        <v>1.0</v>
      </c>
      <c r="E5460" s="218">
        <v>495.0</v>
      </c>
      <c r="G5460" s="220">
        <v>43568.0</v>
      </c>
    </row>
    <row r="5461">
      <c r="A5461" s="217">
        <v>43576.71064965278</v>
      </c>
      <c r="B5461" s="218" t="s">
        <v>5184</v>
      </c>
      <c r="C5461" s="218" t="s">
        <v>8541</v>
      </c>
      <c r="D5461" s="219">
        <v>1.0</v>
      </c>
      <c r="E5461" s="218">
        <v>545.0</v>
      </c>
      <c r="G5461" s="220">
        <v>43568.0</v>
      </c>
    </row>
    <row r="5462">
      <c r="A5462" s="217">
        <v>43576.711955949075</v>
      </c>
      <c r="B5462" s="218" t="s">
        <v>5184</v>
      </c>
      <c r="C5462" s="218" t="s">
        <v>8542</v>
      </c>
      <c r="D5462" s="219">
        <v>1.0</v>
      </c>
      <c r="E5462" s="218">
        <v>585.0</v>
      </c>
      <c r="G5462" s="220">
        <v>43568.0</v>
      </c>
    </row>
    <row r="5463">
      <c r="A5463" s="217">
        <v>43576.71311496528</v>
      </c>
      <c r="B5463" s="218" t="s">
        <v>5184</v>
      </c>
      <c r="C5463" s="218" t="s">
        <v>8543</v>
      </c>
      <c r="D5463" s="219">
        <v>1.0</v>
      </c>
      <c r="E5463" s="218">
        <v>545.0</v>
      </c>
      <c r="G5463" s="220">
        <v>43568.0</v>
      </c>
    </row>
    <row r="5464">
      <c r="A5464" s="217">
        <v>43576.71423554399</v>
      </c>
      <c r="B5464" s="218" t="s">
        <v>5184</v>
      </c>
      <c r="C5464" s="218" t="s">
        <v>8544</v>
      </c>
      <c r="D5464" s="219">
        <v>1.0</v>
      </c>
      <c r="E5464" s="218">
        <v>545.0</v>
      </c>
      <c r="G5464" s="220">
        <v>43568.0</v>
      </c>
    </row>
    <row r="5465">
      <c r="A5465" s="217">
        <v>43576.71535665509</v>
      </c>
      <c r="B5465" s="218" t="s">
        <v>5184</v>
      </c>
      <c r="C5465" s="218" t="s">
        <v>8545</v>
      </c>
      <c r="D5465" s="219">
        <v>1.0</v>
      </c>
      <c r="E5465" s="218">
        <v>495.0</v>
      </c>
      <c r="G5465" s="220">
        <v>43568.0</v>
      </c>
    </row>
    <row r="5466">
      <c r="A5466" s="217">
        <v>43576.716337986116</v>
      </c>
      <c r="B5466" s="218" t="s">
        <v>5184</v>
      </c>
      <c r="C5466" s="218" t="s">
        <v>1523</v>
      </c>
      <c r="D5466" s="219">
        <v>1.0</v>
      </c>
      <c r="E5466" s="218">
        <v>545.0</v>
      </c>
      <c r="G5466" s="220">
        <v>43568.0</v>
      </c>
    </row>
    <row r="5467">
      <c r="A5467" s="217">
        <v>43576.71993662037</v>
      </c>
      <c r="B5467" s="218" t="s">
        <v>5184</v>
      </c>
      <c r="C5467" s="218" t="s">
        <v>6678</v>
      </c>
      <c r="D5467" s="219">
        <v>2.0</v>
      </c>
      <c r="E5467" s="218">
        <v>4890.0</v>
      </c>
      <c r="G5467" s="220">
        <v>43571.0</v>
      </c>
    </row>
    <row r="5468">
      <c r="A5468" s="217">
        <v>43576.72145780093</v>
      </c>
      <c r="B5468" s="218" t="s">
        <v>5184</v>
      </c>
      <c r="C5468" s="218" t="s">
        <v>1813</v>
      </c>
      <c r="D5468" s="219">
        <v>2.0</v>
      </c>
      <c r="E5468" s="218">
        <v>6990.0</v>
      </c>
      <c r="G5468" s="220">
        <v>43571.0</v>
      </c>
    </row>
    <row r="5469">
      <c r="A5469" s="217">
        <v>43576.72702622685</v>
      </c>
      <c r="B5469" s="218" t="s">
        <v>5184</v>
      </c>
      <c r="C5469" s="218" t="s">
        <v>6326</v>
      </c>
      <c r="D5469" s="219">
        <v>1.0</v>
      </c>
      <c r="E5469" s="218">
        <v>6690.0</v>
      </c>
      <c r="G5469" s="220">
        <v>43571.0</v>
      </c>
    </row>
    <row r="5470">
      <c r="A5470" s="217">
        <v>43576.72883622685</v>
      </c>
      <c r="B5470" s="218" t="s">
        <v>5184</v>
      </c>
      <c r="C5470" s="218" t="s">
        <v>1919</v>
      </c>
      <c r="D5470" s="219">
        <v>1.0</v>
      </c>
      <c r="E5470" s="218">
        <v>3990.0</v>
      </c>
      <c r="G5470" s="220">
        <v>43573.0</v>
      </c>
    </row>
    <row r="5471">
      <c r="A5471" s="217">
        <v>43576.73008878472</v>
      </c>
      <c r="B5471" s="218" t="s">
        <v>5184</v>
      </c>
      <c r="C5471" s="218" t="s">
        <v>6677</v>
      </c>
      <c r="D5471" s="219">
        <v>1.0</v>
      </c>
      <c r="E5471" s="218">
        <v>10190.0</v>
      </c>
      <c r="G5471" s="220">
        <v>43573.0</v>
      </c>
    </row>
    <row r="5472">
      <c r="A5472" s="217">
        <v>43576.73394056713</v>
      </c>
      <c r="B5472" s="218" t="s">
        <v>5184</v>
      </c>
      <c r="C5472" s="218" t="s">
        <v>1851</v>
      </c>
      <c r="D5472" s="219" t="s">
        <v>3132</v>
      </c>
      <c r="E5472" s="218">
        <v>9790.0</v>
      </c>
      <c r="G5472" s="220">
        <v>43573.0</v>
      </c>
    </row>
    <row r="5473">
      <c r="A5473" s="217">
        <v>43576.73528741898</v>
      </c>
      <c r="B5473" s="218" t="s">
        <v>5184</v>
      </c>
      <c r="C5473" s="218" t="s">
        <v>5113</v>
      </c>
      <c r="D5473" s="219">
        <v>1.0</v>
      </c>
      <c r="E5473" s="218">
        <v>5990.0</v>
      </c>
      <c r="G5473" s="220">
        <v>43573.0</v>
      </c>
    </row>
    <row r="5474">
      <c r="A5474" s="217">
        <v>43576.73774865741</v>
      </c>
      <c r="B5474" s="218" t="s">
        <v>5184</v>
      </c>
      <c r="C5474" s="218" t="s">
        <v>5403</v>
      </c>
      <c r="D5474" s="219">
        <v>1.0</v>
      </c>
      <c r="E5474" s="218">
        <v>4990.0</v>
      </c>
      <c r="G5474" s="220">
        <v>43573.0</v>
      </c>
    </row>
    <row r="5475">
      <c r="A5475" s="217">
        <v>43576.739255567125</v>
      </c>
      <c r="B5475" s="218" t="s">
        <v>5184</v>
      </c>
      <c r="C5475" s="218" t="s">
        <v>8532</v>
      </c>
      <c r="D5475" s="219">
        <v>1.0</v>
      </c>
      <c r="E5475" s="218">
        <v>2390.0</v>
      </c>
      <c r="G5475" s="220">
        <v>43575.0</v>
      </c>
    </row>
    <row r="5476">
      <c r="A5476" s="217">
        <v>43576.7401521412</v>
      </c>
      <c r="B5476" s="218" t="s">
        <v>5184</v>
      </c>
      <c r="C5476" s="218" t="s">
        <v>5658</v>
      </c>
      <c r="D5476" s="219">
        <v>1.0</v>
      </c>
      <c r="E5476" s="218">
        <v>2000.0</v>
      </c>
      <c r="G5476" s="220">
        <v>43575.0</v>
      </c>
    </row>
    <row r="5477">
      <c r="A5477" s="241">
        <v>43576.74108811343</v>
      </c>
      <c r="B5477" s="242" t="s">
        <v>5184</v>
      </c>
      <c r="C5477" s="242" t="s">
        <v>8534</v>
      </c>
      <c r="D5477" s="243">
        <v>1.0</v>
      </c>
      <c r="E5477" s="242">
        <v>1800.0</v>
      </c>
      <c r="F5477" s="244"/>
      <c r="G5477" s="245">
        <v>43575.0</v>
      </c>
      <c r="DN5477" s="244"/>
    </row>
    <row r="5478">
      <c r="A5478" s="217">
        <v>43576.741995439814</v>
      </c>
      <c r="B5478" s="218" t="s">
        <v>5184</v>
      </c>
      <c r="C5478" s="218" t="s">
        <v>8535</v>
      </c>
      <c r="D5478" s="219">
        <v>1.0</v>
      </c>
      <c r="E5478" s="218">
        <v>2390.0</v>
      </c>
      <c r="G5478" s="220">
        <v>43575.0</v>
      </c>
    </row>
    <row r="5479">
      <c r="A5479" s="217">
        <v>43576.74466972222</v>
      </c>
      <c r="B5479" s="218" t="s">
        <v>5184</v>
      </c>
      <c r="C5479" s="218" t="s">
        <v>6053</v>
      </c>
      <c r="D5479" s="219">
        <v>1.0</v>
      </c>
      <c r="E5479" s="218">
        <v>300.0</v>
      </c>
      <c r="G5479" s="220">
        <v>43575.0</v>
      </c>
    </row>
    <row r="5480">
      <c r="A5480" s="217">
        <v>43576.74730851852</v>
      </c>
      <c r="B5480" s="218" t="s">
        <v>5184</v>
      </c>
      <c r="C5480" s="218" t="s">
        <v>8548</v>
      </c>
      <c r="D5480" s="219">
        <v>1.0</v>
      </c>
      <c r="E5480" s="218">
        <v>3800.0</v>
      </c>
      <c r="G5480" s="220">
        <v>43576.0</v>
      </c>
    </row>
    <row r="5481">
      <c r="A5481" s="217">
        <v>43576.748142337965</v>
      </c>
      <c r="B5481" s="218" t="s">
        <v>5184</v>
      </c>
      <c r="C5481" s="218" t="s">
        <v>7800</v>
      </c>
      <c r="D5481" s="219">
        <v>1.0</v>
      </c>
      <c r="E5481" s="218">
        <v>200.0</v>
      </c>
      <c r="G5481" s="220">
        <v>43576.0</v>
      </c>
    </row>
    <row r="5482">
      <c r="A5482" s="217">
        <v>43576.74861589121</v>
      </c>
      <c r="B5482" s="218" t="s">
        <v>5184</v>
      </c>
      <c r="C5482" s="218" t="s">
        <v>6053</v>
      </c>
      <c r="D5482" s="219">
        <v>1.0</v>
      </c>
      <c r="E5482" s="218">
        <v>300.0</v>
      </c>
      <c r="G5482" s="220">
        <v>43576.0</v>
      </c>
    </row>
    <row r="5483">
      <c r="A5483" s="217">
        <v>43576.749448981485</v>
      </c>
      <c r="B5483" s="218" t="s">
        <v>5184</v>
      </c>
      <c r="C5483" s="218" t="s">
        <v>8552</v>
      </c>
      <c r="D5483" s="219">
        <v>1.0</v>
      </c>
      <c r="E5483" s="218">
        <v>500.0</v>
      </c>
      <c r="G5483" s="220">
        <v>43576.0</v>
      </c>
    </row>
    <row r="5484">
      <c r="A5484" s="217">
        <v>43576.74992289352</v>
      </c>
      <c r="B5484" s="218" t="s">
        <v>5184</v>
      </c>
      <c r="C5484" s="218" t="s">
        <v>8554</v>
      </c>
      <c r="D5484" s="219">
        <v>1.0</v>
      </c>
      <c r="E5484" s="218">
        <v>500.0</v>
      </c>
      <c r="G5484" s="220">
        <v>43576.0</v>
      </c>
    </row>
    <row r="5485">
      <c r="A5485" s="217">
        <v>43576.750487997684</v>
      </c>
      <c r="B5485" s="218" t="s">
        <v>5184</v>
      </c>
      <c r="C5485" s="218" t="s">
        <v>7496</v>
      </c>
      <c r="D5485" s="219">
        <v>1.0</v>
      </c>
      <c r="E5485" s="218">
        <v>300.0</v>
      </c>
      <c r="G5485" s="220">
        <v>43576.0</v>
      </c>
    </row>
    <row r="5486">
      <c r="A5486" s="217">
        <v>43576.750988472224</v>
      </c>
      <c r="B5486" s="218" t="s">
        <v>5184</v>
      </c>
      <c r="C5486" s="218" t="s">
        <v>8371</v>
      </c>
      <c r="D5486" s="219">
        <v>1.0</v>
      </c>
      <c r="E5486" s="218">
        <v>1000.0</v>
      </c>
      <c r="G5486" s="220">
        <v>43576.0</v>
      </c>
    </row>
    <row r="5487">
      <c r="A5487" s="217">
        <v>43577.45815914352</v>
      </c>
      <c r="B5487" s="218" t="s">
        <v>5184</v>
      </c>
      <c r="C5487" s="218" t="s">
        <v>6053</v>
      </c>
      <c r="D5487" s="219">
        <v>2.0</v>
      </c>
      <c r="E5487" s="218">
        <v>600.0</v>
      </c>
      <c r="G5487" s="220">
        <v>43577.0</v>
      </c>
    </row>
    <row r="5488">
      <c r="A5488" s="217">
        <v>43577.45921543981</v>
      </c>
      <c r="B5488" s="218" t="s">
        <v>5184</v>
      </c>
      <c r="C5488" s="218" t="s">
        <v>6053</v>
      </c>
      <c r="D5488" s="219">
        <v>1.0</v>
      </c>
      <c r="E5488" s="218">
        <v>300.0</v>
      </c>
      <c r="G5488" s="220">
        <v>43577.0</v>
      </c>
    </row>
    <row r="5489">
      <c r="A5489" s="217">
        <v>43577.47385297454</v>
      </c>
      <c r="B5489" s="218" t="s">
        <v>5184</v>
      </c>
      <c r="C5489" s="218" t="s">
        <v>6987</v>
      </c>
      <c r="D5489" s="219" t="s">
        <v>7547</v>
      </c>
      <c r="E5489" s="218">
        <v>150.0</v>
      </c>
      <c r="G5489" s="220">
        <v>43577.0</v>
      </c>
    </row>
    <row r="5490">
      <c r="A5490" s="217">
        <v>43577.484298379626</v>
      </c>
      <c r="B5490" s="218" t="s">
        <v>5184</v>
      </c>
      <c r="C5490" s="218" t="s">
        <v>6053</v>
      </c>
      <c r="D5490" s="219">
        <v>1.0</v>
      </c>
      <c r="E5490" s="218">
        <v>300.0</v>
      </c>
      <c r="G5490" s="220">
        <v>43577.0</v>
      </c>
    </row>
    <row r="5491">
      <c r="A5491" s="217">
        <v>43577.54379494213</v>
      </c>
      <c r="B5491" s="218" t="s">
        <v>5184</v>
      </c>
      <c r="C5491" s="218" t="s">
        <v>5786</v>
      </c>
      <c r="D5491" s="219">
        <v>1.0</v>
      </c>
      <c r="E5491" s="218">
        <v>300.0</v>
      </c>
      <c r="G5491" s="220">
        <v>43577.0</v>
      </c>
    </row>
    <row r="5492">
      <c r="A5492" s="217">
        <v>43577.545914525464</v>
      </c>
      <c r="B5492" s="218" t="s">
        <v>5184</v>
      </c>
      <c r="C5492" s="218" t="s">
        <v>6053</v>
      </c>
      <c r="D5492" s="219">
        <v>1.0</v>
      </c>
      <c r="E5492" s="218">
        <v>300.0</v>
      </c>
      <c r="G5492" s="220">
        <v>43577.0</v>
      </c>
    </row>
    <row r="5493">
      <c r="A5493" s="217">
        <v>43577.566727094905</v>
      </c>
      <c r="B5493" s="218" t="s">
        <v>5184</v>
      </c>
      <c r="C5493" s="218" t="s">
        <v>6053</v>
      </c>
      <c r="D5493" s="219">
        <v>1.0</v>
      </c>
      <c r="E5493" s="218">
        <v>300.0</v>
      </c>
      <c r="G5493" s="220">
        <v>43577.0</v>
      </c>
    </row>
    <row r="5494">
      <c r="A5494" s="217">
        <v>43577.56769625</v>
      </c>
      <c r="B5494" s="218" t="s">
        <v>5184</v>
      </c>
      <c r="C5494" s="218" t="s">
        <v>7800</v>
      </c>
      <c r="D5494" s="219">
        <v>1.0</v>
      </c>
      <c r="E5494" s="218">
        <v>200.0</v>
      </c>
      <c r="G5494" s="220">
        <v>43577.0</v>
      </c>
    </row>
    <row r="5495">
      <c r="A5495" s="217">
        <v>43577.56893471065</v>
      </c>
      <c r="B5495" s="218" t="s">
        <v>5184</v>
      </c>
      <c r="C5495" s="218" t="s">
        <v>6053</v>
      </c>
      <c r="D5495" s="219">
        <v>1.0</v>
      </c>
      <c r="E5495" s="218">
        <v>300.0</v>
      </c>
      <c r="G5495" s="220">
        <v>43577.0</v>
      </c>
    </row>
    <row r="5496">
      <c r="A5496" s="217">
        <v>43577.72870545139</v>
      </c>
      <c r="B5496" s="218" t="s">
        <v>5184</v>
      </c>
      <c r="C5496" s="218" t="s">
        <v>6053</v>
      </c>
      <c r="D5496" s="219">
        <v>1.0</v>
      </c>
      <c r="E5496" s="218">
        <v>300.0</v>
      </c>
      <c r="G5496" s="220">
        <v>43577.0</v>
      </c>
    </row>
    <row r="5497">
      <c r="A5497" s="217">
        <v>43578.487954131946</v>
      </c>
      <c r="B5497" s="218" t="s">
        <v>5184</v>
      </c>
      <c r="C5497" s="218" t="s">
        <v>6053</v>
      </c>
      <c r="D5497" s="219">
        <v>1.0</v>
      </c>
      <c r="E5497" s="218">
        <v>300.0</v>
      </c>
      <c r="G5497" s="220">
        <v>43577.0</v>
      </c>
    </row>
    <row r="5498">
      <c r="A5498" s="217">
        <v>43578.48906107639</v>
      </c>
      <c r="B5498" s="218" t="s">
        <v>5184</v>
      </c>
      <c r="C5498" s="218" t="s">
        <v>7800</v>
      </c>
      <c r="D5498" s="219">
        <v>1.0</v>
      </c>
      <c r="E5498" s="218">
        <v>200.0</v>
      </c>
      <c r="G5498" s="220">
        <v>43577.0</v>
      </c>
    </row>
    <row r="5499">
      <c r="A5499" s="217">
        <v>43578.48995364583</v>
      </c>
      <c r="B5499" s="218" t="s">
        <v>5184</v>
      </c>
      <c r="C5499" s="218" t="s">
        <v>5786</v>
      </c>
      <c r="D5499" s="219">
        <v>1.0</v>
      </c>
      <c r="E5499" s="218">
        <v>200.0</v>
      </c>
      <c r="G5499" s="220">
        <v>43578.0</v>
      </c>
    </row>
    <row r="5500">
      <c r="A5500" s="217">
        <v>43578.546433449075</v>
      </c>
      <c r="B5500" s="218" t="s">
        <v>5184</v>
      </c>
      <c r="C5500" s="218" t="s">
        <v>5786</v>
      </c>
      <c r="D5500" s="219">
        <v>1.0</v>
      </c>
      <c r="E5500" s="218">
        <v>250.0</v>
      </c>
      <c r="G5500" s="220">
        <v>43578.0</v>
      </c>
    </row>
    <row r="5501">
      <c r="A5501" s="217">
        <v>43578.54928861111</v>
      </c>
      <c r="B5501" s="218" t="s">
        <v>5184</v>
      </c>
      <c r="C5501" s="218" t="s">
        <v>6053</v>
      </c>
      <c r="D5501" s="219">
        <v>1.0</v>
      </c>
      <c r="E5501" s="218">
        <v>300.0</v>
      </c>
      <c r="G5501" s="220">
        <v>43578.0</v>
      </c>
    </row>
    <row r="5502">
      <c r="A5502" s="217">
        <v>43578.551397083334</v>
      </c>
      <c r="B5502" s="218" t="s">
        <v>5184</v>
      </c>
      <c r="C5502" s="218" t="s">
        <v>7526</v>
      </c>
      <c r="D5502" s="219">
        <v>1.0</v>
      </c>
      <c r="E5502" s="218">
        <v>1000.0</v>
      </c>
      <c r="G5502" s="220">
        <v>43578.0</v>
      </c>
    </row>
    <row r="5503">
      <c r="A5503" s="217">
        <v>43578.555912905096</v>
      </c>
      <c r="B5503" s="218" t="s">
        <v>5184</v>
      </c>
      <c r="C5503" s="218" t="s">
        <v>7007</v>
      </c>
      <c r="D5503" s="219">
        <v>1.0</v>
      </c>
      <c r="E5503" s="218">
        <v>2000.0</v>
      </c>
      <c r="G5503" s="220">
        <v>43578.0</v>
      </c>
    </row>
    <row r="5504">
      <c r="A5504" s="217">
        <v>43578.556689432866</v>
      </c>
      <c r="B5504" s="218" t="s">
        <v>5184</v>
      </c>
      <c r="C5504" s="218" t="s">
        <v>7800</v>
      </c>
      <c r="D5504" s="219">
        <v>1.0</v>
      </c>
      <c r="E5504" s="218">
        <v>300.0</v>
      </c>
      <c r="G5504" s="220">
        <v>43578.0</v>
      </c>
    </row>
    <row r="5505">
      <c r="A5505" s="217">
        <v>43578.557175486116</v>
      </c>
      <c r="B5505" s="218" t="s">
        <v>5184</v>
      </c>
      <c r="C5505" s="218" t="s">
        <v>6053</v>
      </c>
      <c r="D5505" s="219">
        <v>1.0</v>
      </c>
      <c r="E5505" s="218">
        <v>300.0</v>
      </c>
      <c r="G5505" s="220">
        <v>43578.0</v>
      </c>
    </row>
    <row r="5506">
      <c r="A5506" s="217">
        <v>43578.55828548611</v>
      </c>
      <c r="B5506" s="218" t="s">
        <v>5184</v>
      </c>
      <c r="C5506" s="218" t="s">
        <v>7496</v>
      </c>
      <c r="D5506" s="219">
        <v>1.0</v>
      </c>
      <c r="E5506" s="218">
        <v>300.0</v>
      </c>
      <c r="G5506" s="220">
        <v>43578.0</v>
      </c>
    </row>
    <row r="5507">
      <c r="A5507" s="217">
        <v>43578.558809305556</v>
      </c>
      <c r="B5507" s="218" t="s">
        <v>5184</v>
      </c>
      <c r="C5507" s="218" t="s">
        <v>7806</v>
      </c>
      <c r="D5507" s="219">
        <v>1.0</v>
      </c>
      <c r="E5507" s="218">
        <v>600.0</v>
      </c>
      <c r="G5507" s="220">
        <v>43578.0</v>
      </c>
    </row>
    <row r="5508">
      <c r="A5508" s="217">
        <v>43578.73491090278</v>
      </c>
      <c r="B5508" s="218" t="s">
        <v>5184</v>
      </c>
      <c r="C5508" s="218" t="s">
        <v>6053</v>
      </c>
      <c r="D5508" s="219">
        <v>1.0</v>
      </c>
      <c r="E5508" s="218">
        <v>300.0</v>
      </c>
      <c r="G5508" s="220">
        <v>43578.0</v>
      </c>
    </row>
    <row r="5509">
      <c r="A5509" s="217">
        <v>43578.735340300926</v>
      </c>
      <c r="B5509" s="218" t="s">
        <v>5184</v>
      </c>
      <c r="C5509" s="218" t="s">
        <v>7496</v>
      </c>
      <c r="D5509" s="219">
        <v>1.0</v>
      </c>
      <c r="E5509" s="218">
        <v>250.0</v>
      </c>
      <c r="G5509" s="220">
        <v>43578.0</v>
      </c>
    </row>
    <row r="5510">
      <c r="A5510" s="217">
        <v>43578.75701390047</v>
      </c>
      <c r="B5510" s="218" t="s">
        <v>5184</v>
      </c>
      <c r="C5510" s="218" t="s">
        <v>284</v>
      </c>
      <c r="D5510" s="219">
        <v>1.0</v>
      </c>
      <c r="E5510" s="218">
        <v>400.0</v>
      </c>
      <c r="G5510" s="220">
        <v>43578.0</v>
      </c>
    </row>
    <row r="5511">
      <c r="A5511" s="217">
        <v>43579.518251064816</v>
      </c>
      <c r="B5511" s="218" t="s">
        <v>5184</v>
      </c>
      <c r="C5511" s="218" t="s">
        <v>5789</v>
      </c>
      <c r="D5511" s="219">
        <v>1.0</v>
      </c>
      <c r="E5511" s="218">
        <v>400.0</v>
      </c>
      <c r="G5511" s="220">
        <v>43578.0</v>
      </c>
    </row>
    <row r="5512">
      <c r="A5512" s="217">
        <v>43579.51884418981</v>
      </c>
      <c r="B5512" s="218" t="s">
        <v>5184</v>
      </c>
      <c r="C5512" s="218" t="s">
        <v>284</v>
      </c>
      <c r="D5512" s="219">
        <v>1.0</v>
      </c>
      <c r="E5512" s="218">
        <v>400.0</v>
      </c>
      <c r="G5512" s="220">
        <v>43578.0</v>
      </c>
    </row>
    <row r="5513">
      <c r="A5513" s="217">
        <v>43579.51991228009</v>
      </c>
      <c r="B5513" s="218" t="s">
        <v>5184</v>
      </c>
      <c r="C5513" s="218" t="s">
        <v>5786</v>
      </c>
      <c r="D5513" s="219">
        <v>1.0</v>
      </c>
      <c r="E5513" s="218">
        <v>300.0</v>
      </c>
      <c r="G5513" s="220">
        <v>43578.0</v>
      </c>
    </row>
    <row r="5514">
      <c r="A5514" s="217">
        <v>43579.52060604167</v>
      </c>
      <c r="B5514" s="218" t="s">
        <v>5184</v>
      </c>
      <c r="C5514" s="218" t="s">
        <v>6053</v>
      </c>
      <c r="D5514" s="219">
        <v>1.0</v>
      </c>
      <c r="E5514" s="218">
        <v>300.0</v>
      </c>
      <c r="G5514" s="220">
        <v>43578.0</v>
      </c>
    </row>
    <row r="5515">
      <c r="A5515" s="217">
        <v>43579.52372728009</v>
      </c>
      <c r="B5515" s="218" t="s">
        <v>5184</v>
      </c>
      <c r="C5515" s="218" t="s">
        <v>7800</v>
      </c>
      <c r="D5515" s="219">
        <v>1.0</v>
      </c>
      <c r="E5515" s="218">
        <v>300.0</v>
      </c>
      <c r="G5515" s="220">
        <v>43579.0</v>
      </c>
    </row>
    <row r="5516">
      <c r="A5516" s="217">
        <v>43579.5230949074</v>
      </c>
      <c r="B5516" s="218" t="s">
        <v>5184</v>
      </c>
      <c r="C5516" s="218" t="s">
        <v>7408</v>
      </c>
      <c r="D5516" s="219">
        <v>1.0</v>
      </c>
      <c r="E5516" s="218">
        <v>400.0</v>
      </c>
      <c r="G5516" s="220">
        <v>43579.0</v>
      </c>
    </row>
    <row r="5517">
      <c r="A5517" s="217">
        <v>43579.52632453704</v>
      </c>
      <c r="B5517" s="218" t="s">
        <v>5184</v>
      </c>
      <c r="C5517" s="218" t="s">
        <v>6053</v>
      </c>
      <c r="D5517" s="219">
        <v>1.0</v>
      </c>
      <c r="E5517" s="218">
        <v>300.0</v>
      </c>
      <c r="G5517" s="220">
        <v>43579.0</v>
      </c>
    </row>
    <row r="5518">
      <c r="A5518" s="217">
        <v>43579.53377214121</v>
      </c>
      <c r="B5518" s="218" t="s">
        <v>5184</v>
      </c>
      <c r="C5518" s="218" t="s">
        <v>6663</v>
      </c>
      <c r="D5518" s="219">
        <v>1.0</v>
      </c>
      <c r="E5518" s="218">
        <v>4890.0</v>
      </c>
      <c r="G5518" s="220">
        <v>43578.0</v>
      </c>
    </row>
    <row r="5519">
      <c r="A5519" s="217">
        <v>43579.53565965278</v>
      </c>
      <c r="B5519" s="218" t="s">
        <v>5184</v>
      </c>
      <c r="C5519" s="218" t="s">
        <v>8566</v>
      </c>
      <c r="D5519" s="219">
        <v>1.0</v>
      </c>
      <c r="E5519" s="218">
        <v>2390.0</v>
      </c>
      <c r="G5519" s="220">
        <v>43578.0</v>
      </c>
    </row>
    <row r="5520">
      <c r="A5520" s="217">
        <v>43579.53787510417</v>
      </c>
      <c r="B5520" s="218" t="s">
        <v>5184</v>
      </c>
      <c r="C5520" s="218" t="s">
        <v>5673</v>
      </c>
      <c r="D5520" s="219">
        <v>2.0</v>
      </c>
      <c r="E5520" s="218">
        <v>2000.0</v>
      </c>
      <c r="G5520" s="220">
        <v>43578.0</v>
      </c>
    </row>
    <row r="5521">
      <c r="A5521" s="217">
        <v>43579.53923980324</v>
      </c>
      <c r="B5521" s="218" t="s">
        <v>5184</v>
      </c>
      <c r="C5521" s="218" t="s">
        <v>1359</v>
      </c>
      <c r="D5521" s="219">
        <v>1.0</v>
      </c>
      <c r="E5521" s="218">
        <v>2390.0</v>
      </c>
      <c r="G5521" s="220">
        <v>43578.0</v>
      </c>
    </row>
    <row r="5522">
      <c r="A5522" s="217">
        <v>43579.54690996528</v>
      </c>
      <c r="B5522" s="218" t="s">
        <v>5184</v>
      </c>
      <c r="C5522" s="218" t="s">
        <v>8568</v>
      </c>
      <c r="D5522" s="219">
        <v>1.0</v>
      </c>
      <c r="E5522" s="218">
        <v>2160.0</v>
      </c>
      <c r="G5522" s="220">
        <v>43579.0</v>
      </c>
    </row>
    <row r="5523">
      <c r="A5523" s="217">
        <v>43579.54990670139</v>
      </c>
      <c r="B5523" s="218" t="s">
        <v>5184</v>
      </c>
      <c r="C5523" s="218" t="s">
        <v>1427</v>
      </c>
      <c r="D5523" s="219">
        <v>1.0</v>
      </c>
      <c r="E5523" s="218">
        <v>2450.0</v>
      </c>
      <c r="G5523" s="220">
        <v>43579.0</v>
      </c>
    </row>
    <row r="5524">
      <c r="A5524" s="217">
        <v>43579.54842446759</v>
      </c>
      <c r="B5524" s="218" t="s">
        <v>5184</v>
      </c>
      <c r="C5524" s="218" t="s">
        <v>5870</v>
      </c>
      <c r="D5524" s="219">
        <v>1.0</v>
      </c>
      <c r="E5524" s="218">
        <v>2160.0</v>
      </c>
      <c r="G5524" s="220">
        <v>43579.0</v>
      </c>
    </row>
    <row r="5525">
      <c r="A5525" s="217">
        <v>43579.55274528935</v>
      </c>
      <c r="B5525" s="218" t="s">
        <v>5184</v>
      </c>
      <c r="C5525" s="218" t="s">
        <v>5871</v>
      </c>
      <c r="D5525" s="219">
        <v>1.0</v>
      </c>
      <c r="E5525" s="218">
        <v>2160.0</v>
      </c>
      <c r="G5525" s="220">
        <v>43579.0</v>
      </c>
    </row>
    <row r="5526">
      <c r="A5526" s="217">
        <v>43579.55155746528</v>
      </c>
      <c r="B5526" s="218" t="s">
        <v>5184</v>
      </c>
      <c r="C5526" s="218" t="s">
        <v>8417</v>
      </c>
      <c r="D5526" s="219">
        <v>1.0</v>
      </c>
      <c r="E5526" s="218">
        <v>2490.0</v>
      </c>
      <c r="G5526" s="220">
        <v>43579.0</v>
      </c>
    </row>
    <row r="5527">
      <c r="A5527" s="217">
        <v>43580.5850278588</v>
      </c>
      <c r="B5527" s="218" t="s">
        <v>2322</v>
      </c>
      <c r="C5527" s="218" t="s">
        <v>5280</v>
      </c>
      <c r="D5527" s="219">
        <v>1.0</v>
      </c>
      <c r="E5527" s="218">
        <v>7090.0</v>
      </c>
      <c r="G5527" s="220">
        <v>43576.0</v>
      </c>
    </row>
    <row r="5528">
      <c r="A5528" s="217">
        <v>43580.5870637037</v>
      </c>
      <c r="B5528" s="218" t="s">
        <v>2322</v>
      </c>
      <c r="C5528" s="218" t="s">
        <v>5278</v>
      </c>
      <c r="D5528" s="219">
        <v>1.0</v>
      </c>
      <c r="E5528" s="218">
        <v>5990.0</v>
      </c>
      <c r="G5528" s="220">
        <v>43576.0</v>
      </c>
    </row>
    <row r="5529">
      <c r="A5529" s="217">
        <v>43580.59787481482</v>
      </c>
      <c r="B5529" s="218" t="s">
        <v>5184</v>
      </c>
      <c r="C5529" s="218" t="s">
        <v>7800</v>
      </c>
      <c r="D5529" s="219">
        <v>1.0</v>
      </c>
      <c r="E5529" s="218">
        <v>300.0</v>
      </c>
      <c r="G5529" s="220">
        <v>43580.0</v>
      </c>
    </row>
    <row r="5530">
      <c r="A5530" s="217">
        <v>43580.73959921296</v>
      </c>
      <c r="B5530" s="218" t="s">
        <v>5184</v>
      </c>
      <c r="C5530" s="218" t="s">
        <v>6053</v>
      </c>
      <c r="D5530" s="219">
        <v>1.0</v>
      </c>
      <c r="E5530" s="218">
        <v>300.0</v>
      </c>
      <c r="G5530" s="220">
        <v>43580.0</v>
      </c>
    </row>
    <row r="5531">
      <c r="A5531" s="217">
        <v>43580.74031847222</v>
      </c>
      <c r="B5531" s="218" t="s">
        <v>5184</v>
      </c>
      <c r="C5531" s="218" t="s">
        <v>5786</v>
      </c>
      <c r="D5531" s="219">
        <v>1.0</v>
      </c>
      <c r="E5531" s="218">
        <v>300.0</v>
      </c>
      <c r="G5531" s="220">
        <v>43580.0</v>
      </c>
    </row>
    <row r="5532">
      <c r="A5532" s="217">
        <v>43580.74078584491</v>
      </c>
      <c r="B5532" s="218" t="s">
        <v>5184</v>
      </c>
      <c r="C5532" s="218" t="s">
        <v>6053</v>
      </c>
      <c r="D5532" s="219">
        <v>1.0</v>
      </c>
      <c r="E5532" s="218">
        <v>300.0</v>
      </c>
      <c r="G5532" s="220">
        <v>43580.0</v>
      </c>
    </row>
    <row r="5533">
      <c r="A5533" s="217">
        <v>43581.471726655094</v>
      </c>
      <c r="B5533" s="218" t="s">
        <v>5184</v>
      </c>
      <c r="C5533" s="218" t="s">
        <v>5848</v>
      </c>
      <c r="D5533" s="219">
        <v>1.0</v>
      </c>
      <c r="E5533" s="218">
        <v>1000.0</v>
      </c>
      <c r="G5533" s="220">
        <v>43580.0</v>
      </c>
    </row>
    <row r="5534">
      <c r="A5534" s="217">
        <v>43581.47776098379</v>
      </c>
      <c r="B5534" s="218" t="s">
        <v>5184</v>
      </c>
      <c r="C5534" s="218" t="s">
        <v>284</v>
      </c>
      <c r="D5534" s="219">
        <v>1.0</v>
      </c>
      <c r="E5534" s="218">
        <v>400.0</v>
      </c>
      <c r="G5534" s="220">
        <v>43580.0</v>
      </c>
    </row>
    <row r="5535">
      <c r="A5535" s="217">
        <v>43581.47868961806</v>
      </c>
      <c r="B5535" s="218" t="s">
        <v>5184</v>
      </c>
      <c r="C5535" s="218" t="s">
        <v>6001</v>
      </c>
      <c r="D5535" s="219">
        <v>1.0</v>
      </c>
      <c r="E5535" s="218">
        <v>500.0</v>
      </c>
      <c r="G5535" s="220">
        <v>43580.0</v>
      </c>
    </row>
    <row r="5536">
      <c r="A5536" s="217">
        <v>43581.47921041667</v>
      </c>
      <c r="B5536" s="218" t="s">
        <v>5184</v>
      </c>
      <c r="C5536" s="218" t="s">
        <v>284</v>
      </c>
      <c r="D5536" s="219">
        <v>1.0</v>
      </c>
      <c r="E5536" s="218">
        <v>400.0</v>
      </c>
      <c r="G5536" s="220">
        <v>43580.0</v>
      </c>
    </row>
    <row r="5537">
      <c r="A5537" s="217">
        <v>43581.480531469904</v>
      </c>
      <c r="B5537" s="218" t="s">
        <v>5184</v>
      </c>
      <c r="C5537" s="218" t="s">
        <v>5848</v>
      </c>
      <c r="D5537" s="219">
        <v>1.0</v>
      </c>
      <c r="E5537" s="218">
        <v>1000.0</v>
      </c>
      <c r="G5537" s="220">
        <v>43580.0</v>
      </c>
    </row>
    <row r="5538">
      <c r="A5538" s="217">
        <v>43581.48115320602</v>
      </c>
      <c r="B5538" s="218" t="s">
        <v>5184</v>
      </c>
      <c r="C5538" s="218" t="s">
        <v>284</v>
      </c>
      <c r="D5538" s="219">
        <v>1.0</v>
      </c>
      <c r="E5538" s="218">
        <v>400.0</v>
      </c>
      <c r="G5538" s="220">
        <v>43580.0</v>
      </c>
    </row>
    <row r="5539">
      <c r="A5539" s="217">
        <v>43581.48263820602</v>
      </c>
      <c r="B5539" s="218" t="s">
        <v>5184</v>
      </c>
      <c r="C5539" s="218" t="s">
        <v>5848</v>
      </c>
      <c r="D5539" s="219">
        <v>1.0</v>
      </c>
      <c r="E5539" s="218">
        <v>1000.0</v>
      </c>
      <c r="G5539" s="220">
        <v>43580.0</v>
      </c>
    </row>
    <row r="5540">
      <c r="A5540" s="217">
        <v>43581.48338546296</v>
      </c>
      <c r="B5540" s="218" t="s">
        <v>5184</v>
      </c>
      <c r="C5540" s="218" t="s">
        <v>6053</v>
      </c>
      <c r="D5540" s="219" t="s">
        <v>7652</v>
      </c>
      <c r="E5540" s="218">
        <v>600.0</v>
      </c>
      <c r="G5540" s="220">
        <v>43580.0</v>
      </c>
    </row>
    <row r="5541">
      <c r="A5541" s="217">
        <v>43581.484181817126</v>
      </c>
      <c r="B5541" s="218" t="s">
        <v>5184</v>
      </c>
      <c r="C5541" s="218" t="s">
        <v>8574</v>
      </c>
      <c r="D5541" s="219">
        <v>1.0</v>
      </c>
      <c r="E5541" s="218">
        <v>600.0</v>
      </c>
      <c r="G5541" s="220">
        <v>43580.0</v>
      </c>
    </row>
    <row r="5542">
      <c r="A5542" s="217">
        <v>43581.49455358797</v>
      </c>
      <c r="B5542" s="218" t="s">
        <v>5184</v>
      </c>
      <c r="C5542" s="218" t="s">
        <v>7800</v>
      </c>
      <c r="D5542" s="219">
        <v>1.0</v>
      </c>
      <c r="E5542" s="218">
        <v>300.0</v>
      </c>
      <c r="G5542" s="220">
        <v>43581.0</v>
      </c>
    </row>
    <row r="5543">
      <c r="A5543" s="217">
        <v>43581.49526391204</v>
      </c>
      <c r="B5543" s="218" t="s">
        <v>5184</v>
      </c>
      <c r="C5543" s="218" t="s">
        <v>7806</v>
      </c>
      <c r="D5543" s="219">
        <v>1.0</v>
      </c>
      <c r="E5543" s="218">
        <v>600.0</v>
      </c>
      <c r="G5543" s="220">
        <v>43581.0</v>
      </c>
    </row>
    <row r="5544">
      <c r="A5544" s="217">
        <v>43581.495848715276</v>
      </c>
      <c r="B5544" s="218" t="s">
        <v>5184</v>
      </c>
      <c r="C5544" s="218" t="s">
        <v>7806</v>
      </c>
      <c r="D5544" s="219">
        <v>1.0</v>
      </c>
      <c r="E5544" s="218">
        <v>600.0</v>
      </c>
      <c r="G5544" s="220">
        <v>43581.0</v>
      </c>
    </row>
    <row r="5545">
      <c r="A5545" s="217">
        <v>43581.498114201386</v>
      </c>
      <c r="B5545" s="218" t="s">
        <v>5184</v>
      </c>
      <c r="C5545" s="218" t="s">
        <v>5786</v>
      </c>
      <c r="D5545" s="219">
        <v>1.0</v>
      </c>
      <c r="E5545" s="218">
        <v>300.0</v>
      </c>
      <c r="G5545" s="220">
        <v>43581.0</v>
      </c>
    </row>
    <row r="5546">
      <c r="A5546" s="217">
        <v>43581.49859591435</v>
      </c>
      <c r="B5546" s="218" t="s">
        <v>5184</v>
      </c>
      <c r="C5546" s="218" t="s">
        <v>7806</v>
      </c>
      <c r="D5546" s="219">
        <v>1.0</v>
      </c>
      <c r="E5546" s="218">
        <v>600.0</v>
      </c>
      <c r="G5546" s="220">
        <v>43581.0</v>
      </c>
    </row>
    <row r="5547">
      <c r="A5547" s="217">
        <v>43581.728822476856</v>
      </c>
      <c r="B5547" s="218" t="s">
        <v>5184</v>
      </c>
      <c r="C5547" s="218" t="s">
        <v>6053</v>
      </c>
      <c r="D5547" s="219" t="s">
        <v>7547</v>
      </c>
      <c r="E5547" s="218">
        <v>150.0</v>
      </c>
      <c r="G5547" s="220">
        <v>43581.0</v>
      </c>
    </row>
    <row r="5548">
      <c r="A5548" s="217">
        <v>43581.76511412037</v>
      </c>
      <c r="B5548" s="218" t="s">
        <v>5184</v>
      </c>
      <c r="C5548" s="218" t="s">
        <v>5848</v>
      </c>
      <c r="D5548" s="219">
        <v>1.0</v>
      </c>
      <c r="E5548" s="218">
        <v>1000.0</v>
      </c>
      <c r="G5548" s="220">
        <v>43581.0</v>
      </c>
    </row>
    <row r="5549">
      <c r="A5549" s="217">
        <v>43581.765536782405</v>
      </c>
      <c r="B5549" s="218" t="s">
        <v>5184</v>
      </c>
      <c r="C5549" s="218" t="s">
        <v>284</v>
      </c>
      <c r="D5549" s="219">
        <v>1.0</v>
      </c>
      <c r="E5549" s="218">
        <v>400.0</v>
      </c>
      <c r="G5549" s="220">
        <v>43581.0</v>
      </c>
    </row>
    <row r="5550">
      <c r="A5550" s="217">
        <v>43582.5680904051</v>
      </c>
      <c r="B5550" s="218" t="s">
        <v>5184</v>
      </c>
      <c r="C5550" s="218" t="s">
        <v>6347</v>
      </c>
      <c r="D5550" s="219">
        <v>1.0</v>
      </c>
      <c r="E5550" s="218">
        <v>3990.0</v>
      </c>
      <c r="G5550" s="220">
        <v>43581.0</v>
      </c>
    </row>
    <row r="5551">
      <c r="A5551" s="217">
        <v>43582.569483125</v>
      </c>
      <c r="B5551" s="218" t="s">
        <v>5184</v>
      </c>
      <c r="C5551" s="218" t="s">
        <v>5587</v>
      </c>
      <c r="D5551" s="219">
        <v>1.0</v>
      </c>
      <c r="E5551" s="218">
        <v>1800.0</v>
      </c>
      <c r="G5551" s="220">
        <v>43581.0</v>
      </c>
    </row>
    <row r="5552">
      <c r="A5552" s="217">
        <v>43582.571087743054</v>
      </c>
      <c r="B5552" s="218" t="s">
        <v>5184</v>
      </c>
      <c r="C5552" s="218" t="s">
        <v>8580</v>
      </c>
      <c r="D5552" s="219">
        <v>1.0</v>
      </c>
      <c r="E5552" s="218">
        <v>2590.0</v>
      </c>
      <c r="G5552" s="220">
        <v>43581.0</v>
      </c>
    </row>
    <row r="5553">
      <c r="A5553" s="217">
        <v>43582.57301432871</v>
      </c>
      <c r="B5553" s="218" t="s">
        <v>5184</v>
      </c>
      <c r="C5553" s="218" t="s">
        <v>8581</v>
      </c>
      <c r="D5553" s="219">
        <v>1.0</v>
      </c>
      <c r="E5553" s="218">
        <v>2590.0</v>
      </c>
      <c r="G5553" s="220">
        <v>43581.0</v>
      </c>
    </row>
    <row r="5554">
      <c r="A5554" s="217">
        <v>43582.57501202547</v>
      </c>
      <c r="B5554" s="218" t="s">
        <v>5184</v>
      </c>
      <c r="C5554" s="218" t="s">
        <v>8582</v>
      </c>
      <c r="D5554" s="219">
        <v>1.0</v>
      </c>
      <c r="E5554" s="218">
        <v>2350.0</v>
      </c>
      <c r="G5554" s="220">
        <v>43581.0</v>
      </c>
    </row>
    <row r="5555">
      <c r="A5555" s="217">
        <v>43582.576296203704</v>
      </c>
      <c r="B5555" s="218" t="s">
        <v>5184</v>
      </c>
      <c r="C5555" s="218" t="s">
        <v>8583</v>
      </c>
      <c r="D5555" s="219">
        <v>1.0</v>
      </c>
      <c r="E5555" s="218">
        <v>2590.0</v>
      </c>
      <c r="G5555" s="220">
        <v>43581.0</v>
      </c>
    </row>
    <row r="5556">
      <c r="A5556" s="217">
        <v>43582.577392349536</v>
      </c>
      <c r="B5556" s="218" t="s">
        <v>5184</v>
      </c>
      <c r="C5556" s="218" t="s">
        <v>8584</v>
      </c>
      <c r="D5556" s="219">
        <v>1.0</v>
      </c>
      <c r="E5556" s="218">
        <v>2590.0</v>
      </c>
      <c r="G5556" s="220">
        <v>43581.0</v>
      </c>
    </row>
    <row r="5557">
      <c r="A5557" s="217">
        <v>43582.57871474537</v>
      </c>
      <c r="B5557" s="218" t="s">
        <v>5184</v>
      </c>
      <c r="C5557" s="218" t="s">
        <v>8585</v>
      </c>
      <c r="D5557" s="219">
        <v>1.0</v>
      </c>
      <c r="E5557" s="218">
        <v>2950.0</v>
      </c>
      <c r="G5557" s="220">
        <v>43581.0</v>
      </c>
    </row>
    <row r="5558">
      <c r="A5558" s="217">
        <v>43582.58089670139</v>
      </c>
      <c r="B5558" s="218" t="s">
        <v>5184</v>
      </c>
      <c r="C5558" s="218" t="s">
        <v>1553</v>
      </c>
      <c r="D5558" s="219">
        <v>1.0</v>
      </c>
      <c r="E5558" s="218">
        <v>2590.0</v>
      </c>
      <c r="G5558" s="220">
        <v>43581.0</v>
      </c>
    </row>
    <row r="5559">
      <c r="A5559" s="217">
        <v>43582.58166287037</v>
      </c>
      <c r="B5559" s="218" t="s">
        <v>5184</v>
      </c>
      <c r="C5559" s="218" t="s">
        <v>1558</v>
      </c>
      <c r="D5559" s="219">
        <v>1.0</v>
      </c>
      <c r="E5559" s="218">
        <v>2590.0</v>
      </c>
      <c r="G5559" s="220">
        <v>43581.0</v>
      </c>
    </row>
    <row r="5560">
      <c r="A5560" s="217">
        <v>43582.5833312037</v>
      </c>
      <c r="B5560" s="218" t="s">
        <v>5184</v>
      </c>
      <c r="C5560" s="218" t="s">
        <v>7800</v>
      </c>
      <c r="D5560" s="219">
        <v>1.0</v>
      </c>
      <c r="E5560" s="218">
        <v>300.0</v>
      </c>
      <c r="G5560" s="220">
        <v>43582.0</v>
      </c>
    </row>
    <row r="5561">
      <c r="A5561" s="217">
        <v>43582.58407803241</v>
      </c>
      <c r="B5561" s="218" t="s">
        <v>5184</v>
      </c>
      <c r="C5561" s="218" t="s">
        <v>244</v>
      </c>
      <c r="D5561" s="219">
        <v>1.0</v>
      </c>
      <c r="E5561" s="218">
        <v>400.0</v>
      </c>
      <c r="G5561" s="220">
        <v>43582.0</v>
      </c>
    </row>
    <row r="5562">
      <c r="A5562" s="217">
        <v>43582.585009525465</v>
      </c>
      <c r="B5562" s="218" t="s">
        <v>5184</v>
      </c>
      <c r="C5562" s="218" t="s">
        <v>7800</v>
      </c>
      <c r="D5562" s="219">
        <v>1.0</v>
      </c>
      <c r="E5562" s="218">
        <v>200.0</v>
      </c>
      <c r="G5562" s="220">
        <v>43582.0</v>
      </c>
    </row>
    <row r="5563">
      <c r="A5563" s="217">
        <v>43582.5857358912</v>
      </c>
      <c r="B5563" s="218" t="s">
        <v>5184</v>
      </c>
      <c r="C5563" s="218" t="s">
        <v>6053</v>
      </c>
      <c r="D5563" s="219">
        <v>1.0</v>
      </c>
      <c r="E5563" s="218">
        <v>300.0</v>
      </c>
      <c r="G5563" s="220">
        <v>43582.0</v>
      </c>
    </row>
    <row r="5564">
      <c r="A5564" s="217">
        <v>43582.586391273144</v>
      </c>
      <c r="B5564" s="218" t="s">
        <v>5184</v>
      </c>
      <c r="C5564" s="218" t="s">
        <v>6053</v>
      </c>
      <c r="D5564" s="219">
        <v>1.0</v>
      </c>
      <c r="E5564" s="218">
        <v>300.0</v>
      </c>
      <c r="G5564" s="220">
        <v>43582.0</v>
      </c>
    </row>
    <row r="5565">
      <c r="A5565" s="217">
        <v>43582.58713483796</v>
      </c>
      <c r="B5565" s="218" t="s">
        <v>5184</v>
      </c>
      <c r="C5565" s="218" t="s">
        <v>7800</v>
      </c>
      <c r="D5565" s="219">
        <v>1.0</v>
      </c>
      <c r="E5565" s="218">
        <v>200.0</v>
      </c>
      <c r="G5565" s="220">
        <v>43582.0</v>
      </c>
    </row>
    <row r="5566">
      <c r="A5566" s="217">
        <v>43582.58773788194</v>
      </c>
      <c r="B5566" s="218" t="s">
        <v>5184</v>
      </c>
      <c r="C5566" s="218" t="s">
        <v>6053</v>
      </c>
      <c r="D5566" s="219">
        <v>1.0</v>
      </c>
      <c r="E5566" s="218">
        <v>300.0</v>
      </c>
      <c r="G5566" s="220">
        <v>43582.0</v>
      </c>
    </row>
    <row r="5567">
      <c r="A5567" s="217">
        <v>43582.588754247685</v>
      </c>
      <c r="B5567" s="218" t="s">
        <v>5184</v>
      </c>
      <c r="C5567" s="218" t="s">
        <v>1789</v>
      </c>
      <c r="D5567" s="219">
        <v>1.0</v>
      </c>
      <c r="E5567" s="218">
        <v>800.0</v>
      </c>
      <c r="G5567" s="220">
        <v>43582.0</v>
      </c>
    </row>
    <row r="5568">
      <c r="A5568" s="217">
        <v>43582.58980503472</v>
      </c>
      <c r="B5568" s="218" t="s">
        <v>5184</v>
      </c>
      <c r="C5568" s="218" t="s">
        <v>6053</v>
      </c>
      <c r="D5568" s="219">
        <v>1.0</v>
      </c>
      <c r="E5568" s="218">
        <v>300.0</v>
      </c>
      <c r="G5568" s="220">
        <v>43582.0</v>
      </c>
    </row>
    <row r="5569">
      <c r="A5569" s="217">
        <v>43582.59125053241</v>
      </c>
      <c r="B5569" s="218" t="s">
        <v>5184</v>
      </c>
      <c r="C5569" s="218" t="s">
        <v>6053</v>
      </c>
      <c r="D5569" s="219">
        <v>1.0</v>
      </c>
      <c r="E5569" s="218">
        <v>300.0</v>
      </c>
      <c r="G5569" s="220">
        <v>43582.0</v>
      </c>
    </row>
    <row r="5570">
      <c r="A5570" s="217">
        <v>43582.5921897338</v>
      </c>
      <c r="B5570" s="218" t="s">
        <v>5184</v>
      </c>
      <c r="C5570" s="218" t="s">
        <v>6053</v>
      </c>
      <c r="D5570" s="219">
        <v>1.0</v>
      </c>
      <c r="E5570" s="218">
        <v>300.0</v>
      </c>
      <c r="G5570" s="220">
        <v>43582.0</v>
      </c>
    </row>
    <row r="5571">
      <c r="A5571" s="217">
        <v>43582.59303579861</v>
      </c>
      <c r="B5571" s="218" t="s">
        <v>5184</v>
      </c>
      <c r="C5571" s="218" t="s">
        <v>7789</v>
      </c>
      <c r="D5571" s="219" t="s">
        <v>7547</v>
      </c>
      <c r="E5571" s="218">
        <v>150.0</v>
      </c>
      <c r="G5571" s="220">
        <v>43582.0</v>
      </c>
    </row>
    <row r="5572">
      <c r="A5572" s="217">
        <v>43582.59400856482</v>
      </c>
      <c r="B5572" s="218" t="s">
        <v>5184</v>
      </c>
      <c r="C5572" s="218" t="s">
        <v>7800</v>
      </c>
      <c r="D5572" s="219">
        <v>1.0</v>
      </c>
      <c r="E5572" s="218">
        <v>200.0</v>
      </c>
      <c r="G5572" s="220">
        <v>43582.0</v>
      </c>
    </row>
    <row r="5573">
      <c r="A5573" s="217">
        <v>43582.594526493056</v>
      </c>
      <c r="B5573" s="218" t="s">
        <v>5184</v>
      </c>
      <c r="C5573" s="218" t="s">
        <v>6053</v>
      </c>
      <c r="D5573" s="219">
        <v>1.0</v>
      </c>
      <c r="E5573" s="218">
        <v>300.0</v>
      </c>
      <c r="G5573" s="220">
        <v>43582.0</v>
      </c>
    </row>
    <row r="5574">
      <c r="A5574" s="217">
        <v>43582.59556159722</v>
      </c>
      <c r="B5574" s="218" t="s">
        <v>5184</v>
      </c>
      <c r="C5574" s="218" t="s">
        <v>7800</v>
      </c>
      <c r="D5574" s="219">
        <v>1.0</v>
      </c>
      <c r="E5574" s="218">
        <v>200.0</v>
      </c>
      <c r="G5574" s="220">
        <v>43582.0</v>
      </c>
    </row>
    <row r="5575">
      <c r="A5575" s="217">
        <v>43582.596125578704</v>
      </c>
      <c r="B5575" s="218" t="s">
        <v>5184</v>
      </c>
      <c r="C5575" s="218" t="s">
        <v>6053</v>
      </c>
      <c r="D5575" s="219">
        <v>1.0</v>
      </c>
      <c r="E5575" s="218">
        <v>300.0</v>
      </c>
      <c r="G5575" s="220">
        <v>43582.0</v>
      </c>
    </row>
    <row r="5576">
      <c r="A5576" s="217">
        <v>43582.599121562496</v>
      </c>
      <c r="B5576" s="218" t="s">
        <v>5184</v>
      </c>
      <c r="C5576" s="218" t="s">
        <v>7496</v>
      </c>
      <c r="D5576" s="219">
        <v>1.0</v>
      </c>
      <c r="E5576" s="218">
        <v>200.0</v>
      </c>
      <c r="G5576" s="220">
        <v>43582.0</v>
      </c>
    </row>
    <row r="5577">
      <c r="A5577" s="217">
        <v>43582.602950925924</v>
      </c>
      <c r="B5577" s="218" t="s">
        <v>5184</v>
      </c>
      <c r="C5577" s="218" t="s">
        <v>7800</v>
      </c>
      <c r="D5577" s="219">
        <v>1.0</v>
      </c>
      <c r="E5577" s="218">
        <v>300.0</v>
      </c>
      <c r="G5577" s="220">
        <v>43582.0</v>
      </c>
    </row>
    <row r="5578">
      <c r="A5578" s="217">
        <v>43582.604020046296</v>
      </c>
      <c r="B5578" s="218" t="s">
        <v>5184</v>
      </c>
      <c r="C5578" s="218" t="s">
        <v>6053</v>
      </c>
      <c r="D5578" s="219">
        <v>1.0</v>
      </c>
      <c r="E5578" s="218">
        <v>300.0</v>
      </c>
      <c r="G5578" s="220">
        <v>43582.0</v>
      </c>
    </row>
    <row r="5579">
      <c r="A5579" s="217">
        <v>43582.65939248842</v>
      </c>
      <c r="B5579" s="218" t="s">
        <v>5092</v>
      </c>
      <c r="C5579" s="218" t="s">
        <v>1324</v>
      </c>
      <c r="D5579" s="219">
        <v>1.0</v>
      </c>
      <c r="E5579" s="218">
        <v>1950.0</v>
      </c>
      <c r="G5579" s="220">
        <v>43565.0</v>
      </c>
    </row>
    <row r="5580">
      <c r="A5580" s="217">
        <v>43582.660553842594</v>
      </c>
      <c r="B5580" s="218" t="s">
        <v>5092</v>
      </c>
      <c r="C5580" s="218" t="s">
        <v>725</v>
      </c>
      <c r="D5580" s="219">
        <v>3.0</v>
      </c>
      <c r="E5580" s="218">
        <v>2160.0</v>
      </c>
      <c r="G5580" s="220">
        <v>43565.0</v>
      </c>
    </row>
    <row r="5581">
      <c r="A5581" s="217">
        <v>43582.665305925926</v>
      </c>
      <c r="B5581" s="218" t="s">
        <v>5092</v>
      </c>
      <c r="C5581" s="218" t="s">
        <v>8598</v>
      </c>
      <c r="D5581" s="219">
        <v>2.0</v>
      </c>
      <c r="E5581" s="24"/>
      <c r="G5581" s="220">
        <v>43565.0</v>
      </c>
    </row>
    <row r="5582">
      <c r="A5582" s="217">
        <v>43582.666496273145</v>
      </c>
      <c r="B5582" s="218" t="s">
        <v>5092</v>
      </c>
      <c r="C5582" s="218" t="s">
        <v>1365</v>
      </c>
      <c r="D5582" s="219">
        <v>1.0</v>
      </c>
      <c r="E5582" s="218">
        <v>2160.0</v>
      </c>
      <c r="G5582" s="220">
        <v>43565.0</v>
      </c>
    </row>
    <row r="5583">
      <c r="A5583" s="217">
        <v>43582.667069166666</v>
      </c>
      <c r="B5583" s="218" t="s">
        <v>5092</v>
      </c>
      <c r="C5583" s="218" t="s">
        <v>723</v>
      </c>
      <c r="D5583" s="219">
        <v>1.0</v>
      </c>
      <c r="E5583" s="218">
        <v>1980.0</v>
      </c>
      <c r="G5583" s="220">
        <v>43565.0</v>
      </c>
    </row>
    <row r="5584">
      <c r="A5584" s="217">
        <v>43582.66757399305</v>
      </c>
      <c r="B5584" s="218" t="s">
        <v>5092</v>
      </c>
      <c r="C5584" s="218" t="s">
        <v>5664</v>
      </c>
      <c r="D5584" s="219">
        <v>1.0</v>
      </c>
      <c r="E5584" s="218">
        <v>2250.0</v>
      </c>
      <c r="G5584" s="220">
        <v>43565.0</v>
      </c>
    </row>
    <row r="5585">
      <c r="A5585" s="217">
        <v>43582.66860444444</v>
      </c>
      <c r="B5585" s="218" t="s">
        <v>5092</v>
      </c>
      <c r="C5585" s="218" t="s">
        <v>1382</v>
      </c>
      <c r="D5585" s="219">
        <v>2.0</v>
      </c>
      <c r="E5585" s="218">
        <v>2250.0</v>
      </c>
      <c r="G5585" s="220">
        <v>43565.0</v>
      </c>
    </row>
    <row r="5586">
      <c r="A5586" s="217">
        <v>43582.669642361114</v>
      </c>
      <c r="B5586" s="218" t="s">
        <v>5092</v>
      </c>
      <c r="C5586" s="218" t="s">
        <v>1444</v>
      </c>
      <c r="D5586" s="219">
        <v>1.0</v>
      </c>
      <c r="E5586" s="218">
        <v>2450.0</v>
      </c>
      <c r="G5586" s="220">
        <v>43565.0</v>
      </c>
    </row>
    <row r="5587">
      <c r="A5587" s="217">
        <v>43582.67025018518</v>
      </c>
      <c r="B5587" s="218" t="s">
        <v>5092</v>
      </c>
      <c r="C5587" s="218" t="s">
        <v>8599</v>
      </c>
      <c r="D5587" s="219">
        <v>2.0</v>
      </c>
      <c r="E5587" s="218">
        <v>1950.0</v>
      </c>
      <c r="G5587" s="220">
        <v>43565.0</v>
      </c>
    </row>
    <row r="5588">
      <c r="A5588" s="217">
        <v>43582.67097622685</v>
      </c>
      <c r="B5588" s="218" t="s">
        <v>5092</v>
      </c>
      <c r="C5588" s="218" t="s">
        <v>1389</v>
      </c>
      <c r="D5588" s="219">
        <v>1.0</v>
      </c>
      <c r="E5588" s="218">
        <v>1950.0</v>
      </c>
      <c r="G5588" s="220">
        <v>43565.0</v>
      </c>
    </row>
    <row r="5589">
      <c r="A5589" s="217">
        <v>43582.67163136574</v>
      </c>
      <c r="B5589" s="218" t="s">
        <v>5092</v>
      </c>
      <c r="C5589" s="218" t="s">
        <v>8600</v>
      </c>
      <c r="D5589" s="219">
        <v>1.0</v>
      </c>
      <c r="E5589" s="218">
        <v>2160.0</v>
      </c>
      <c r="G5589" s="220">
        <v>43565.0</v>
      </c>
    </row>
    <row r="5590">
      <c r="A5590" s="217">
        <v>43582.67209199074</v>
      </c>
      <c r="B5590" s="218" t="s">
        <v>5092</v>
      </c>
      <c r="C5590" s="218" t="s">
        <v>6921</v>
      </c>
      <c r="D5590" s="219">
        <v>1.0</v>
      </c>
      <c r="E5590" s="218">
        <v>2250.0</v>
      </c>
      <c r="G5590" s="220">
        <v>43565.0</v>
      </c>
    </row>
    <row r="5591">
      <c r="A5591" s="217">
        <v>43582.67266322917</v>
      </c>
      <c r="B5591" s="218" t="s">
        <v>5092</v>
      </c>
      <c r="C5591" s="218" t="s">
        <v>1470</v>
      </c>
      <c r="D5591" s="219">
        <v>1.0</v>
      </c>
      <c r="E5591" s="218">
        <v>2250.0</v>
      </c>
      <c r="G5591" s="220">
        <v>43565.0</v>
      </c>
    </row>
    <row r="5592">
      <c r="A5592" s="217">
        <v>43582.67318686342</v>
      </c>
      <c r="B5592" s="218" t="s">
        <v>5092</v>
      </c>
      <c r="C5592" s="218" t="s">
        <v>724</v>
      </c>
      <c r="D5592" s="219">
        <v>1.0</v>
      </c>
      <c r="E5592" s="218">
        <v>2380.0</v>
      </c>
      <c r="G5592" s="220">
        <v>43565.0</v>
      </c>
    </row>
    <row r="5593">
      <c r="A5593" s="217">
        <v>43582.67448681713</v>
      </c>
      <c r="B5593" s="218" t="s">
        <v>5092</v>
      </c>
      <c r="C5593" s="218" t="s">
        <v>8601</v>
      </c>
      <c r="D5593" s="219">
        <v>2.0</v>
      </c>
      <c r="E5593" s="218">
        <v>2160.0</v>
      </c>
      <c r="G5593" s="220">
        <v>43565.0</v>
      </c>
    </row>
    <row r="5594">
      <c r="A5594" s="217">
        <v>43582.674886678244</v>
      </c>
      <c r="B5594" s="218" t="s">
        <v>5092</v>
      </c>
      <c r="C5594" s="218" t="s">
        <v>8600</v>
      </c>
      <c r="D5594" s="227">
        <v>2.0</v>
      </c>
      <c r="E5594" s="218">
        <v>2160.0</v>
      </c>
      <c r="G5594" s="220">
        <v>43565.0</v>
      </c>
    </row>
    <row r="5595">
      <c r="A5595" s="217">
        <v>43582.675592569445</v>
      </c>
      <c r="B5595" s="218" t="s">
        <v>5092</v>
      </c>
      <c r="C5595" s="218" t="s">
        <v>1446</v>
      </c>
      <c r="D5595" s="219">
        <v>3.0</v>
      </c>
      <c r="E5595" s="218">
        <v>2450.0</v>
      </c>
      <c r="G5595" s="220">
        <v>43534.0</v>
      </c>
    </row>
    <row r="5596">
      <c r="A5596" s="217">
        <v>43582.6766503588</v>
      </c>
      <c r="B5596" s="218" t="s">
        <v>5092</v>
      </c>
      <c r="C5596" s="218" t="s">
        <v>1374</v>
      </c>
      <c r="D5596" s="219">
        <v>3.0</v>
      </c>
      <c r="E5596" s="218">
        <v>2160.0</v>
      </c>
      <c r="G5596" s="220">
        <v>43565.0</v>
      </c>
    </row>
    <row r="5597">
      <c r="A5597" s="217">
        <v>43582.67730251157</v>
      </c>
      <c r="B5597" s="218" t="s">
        <v>5092</v>
      </c>
      <c r="C5597" s="218" t="s">
        <v>1411</v>
      </c>
      <c r="D5597" s="219">
        <v>1.0</v>
      </c>
      <c r="E5597" s="218">
        <v>2590.0</v>
      </c>
      <c r="G5597" s="220">
        <v>43565.0</v>
      </c>
    </row>
    <row r="5598">
      <c r="A5598" s="217">
        <v>43582.67810903935</v>
      </c>
      <c r="B5598" s="218" t="s">
        <v>5092</v>
      </c>
      <c r="C5598" s="218" t="s">
        <v>1395</v>
      </c>
      <c r="D5598" s="219">
        <v>1.0</v>
      </c>
      <c r="E5598" s="218">
        <v>1950.0</v>
      </c>
      <c r="G5598" s="220">
        <v>43565.0</v>
      </c>
    </row>
    <row r="5599">
      <c r="A5599" s="217">
        <v>43582.67903238426</v>
      </c>
      <c r="B5599" s="218" t="s">
        <v>5092</v>
      </c>
      <c r="C5599" s="218" t="s">
        <v>8603</v>
      </c>
      <c r="D5599" s="219">
        <v>1.0</v>
      </c>
      <c r="E5599" s="218">
        <v>2160.0</v>
      </c>
      <c r="G5599" s="220">
        <v>43565.0</v>
      </c>
    </row>
    <row r="5600">
      <c r="A5600" s="217">
        <v>43582.679593900466</v>
      </c>
      <c r="B5600" s="218" t="s">
        <v>5092</v>
      </c>
      <c r="C5600" s="218" t="s">
        <v>720</v>
      </c>
      <c r="D5600" s="219">
        <v>1.0</v>
      </c>
      <c r="E5600" s="218">
        <v>2160.0</v>
      </c>
      <c r="G5600" s="220">
        <v>43565.0</v>
      </c>
    </row>
    <row r="5601">
      <c r="A5601" s="217">
        <v>43582.68040875</v>
      </c>
      <c r="B5601" s="218" t="s">
        <v>5092</v>
      </c>
      <c r="C5601" s="218" t="s">
        <v>1405</v>
      </c>
      <c r="D5601" s="219">
        <v>3.0</v>
      </c>
      <c r="E5601" s="218">
        <v>1950.0</v>
      </c>
      <c r="G5601" s="220">
        <v>43565.0</v>
      </c>
    </row>
    <row r="5602">
      <c r="A5602" s="217">
        <v>43582.681322592594</v>
      </c>
      <c r="B5602" s="218" t="s">
        <v>5092</v>
      </c>
      <c r="C5602" s="218" t="s">
        <v>1402</v>
      </c>
      <c r="D5602" s="219">
        <v>1.0</v>
      </c>
      <c r="E5602" s="218">
        <v>1950.0</v>
      </c>
      <c r="G5602" s="220">
        <v>43565.0</v>
      </c>
    </row>
    <row r="5603">
      <c r="A5603" s="217">
        <v>43582.681887997685</v>
      </c>
      <c r="B5603" s="218" t="s">
        <v>5092</v>
      </c>
      <c r="C5603" s="218" t="s">
        <v>1393</v>
      </c>
      <c r="D5603" s="219">
        <v>1.0</v>
      </c>
      <c r="E5603" s="218">
        <v>1950.0</v>
      </c>
      <c r="G5603" s="220">
        <v>43565.0</v>
      </c>
    </row>
    <row r="5604">
      <c r="A5604" s="217">
        <v>43582.68246925926</v>
      </c>
      <c r="B5604" s="218" t="s">
        <v>5092</v>
      </c>
      <c r="C5604" s="218" t="s">
        <v>1430</v>
      </c>
      <c r="D5604" s="219">
        <v>1.0</v>
      </c>
      <c r="E5604" s="218">
        <v>2450.0</v>
      </c>
      <c r="G5604" s="220">
        <v>43565.0</v>
      </c>
    </row>
    <row r="5605">
      <c r="A5605" s="217">
        <v>43582.68344905092</v>
      </c>
      <c r="B5605" s="218" t="s">
        <v>5092</v>
      </c>
      <c r="C5605" s="218" t="s">
        <v>5868</v>
      </c>
      <c r="D5605" s="219">
        <v>2.0</v>
      </c>
      <c r="E5605" s="218">
        <v>1950.0</v>
      </c>
      <c r="G5605" s="220">
        <v>43565.0</v>
      </c>
    </row>
    <row r="5606">
      <c r="A5606" s="217">
        <v>43582.68440194444</v>
      </c>
      <c r="B5606" s="218" t="s">
        <v>5092</v>
      </c>
      <c r="C5606" s="242" t="s">
        <v>1435</v>
      </c>
      <c r="D5606" s="219">
        <v>3.0</v>
      </c>
      <c r="E5606" s="218">
        <v>2450.0</v>
      </c>
      <c r="G5606" s="220">
        <v>43565.0</v>
      </c>
    </row>
    <row r="5607">
      <c r="A5607" s="217">
        <v>43582.68516204861</v>
      </c>
      <c r="B5607" s="218" t="s">
        <v>5092</v>
      </c>
      <c r="C5607" s="218" t="s">
        <v>1408</v>
      </c>
      <c r="D5607" s="219">
        <v>2.0</v>
      </c>
      <c r="E5607" s="218">
        <v>2590.0</v>
      </c>
      <c r="G5607" s="220">
        <v>43565.0</v>
      </c>
    </row>
    <row r="5608">
      <c r="A5608" s="217">
        <v>43582.68573414352</v>
      </c>
      <c r="B5608" s="218" t="s">
        <v>5092</v>
      </c>
      <c r="C5608" s="218" t="s">
        <v>1390</v>
      </c>
      <c r="D5608" s="219">
        <v>1.0</v>
      </c>
      <c r="E5608" s="218">
        <v>1950.0</v>
      </c>
      <c r="G5608" s="220">
        <v>43565.0</v>
      </c>
    </row>
    <row r="5609">
      <c r="A5609" s="217">
        <v>43582.68626314815</v>
      </c>
      <c r="B5609" s="218" t="s">
        <v>5092</v>
      </c>
      <c r="C5609" s="218" t="s">
        <v>1418</v>
      </c>
      <c r="D5609" s="219">
        <v>1.0</v>
      </c>
      <c r="E5609" s="24"/>
      <c r="G5609" s="220">
        <v>43565.0</v>
      </c>
    </row>
    <row r="5610">
      <c r="A5610" s="217">
        <v>43582.68698362268</v>
      </c>
      <c r="B5610" s="218" t="s">
        <v>5092</v>
      </c>
      <c r="C5610" s="218" t="s">
        <v>1336</v>
      </c>
      <c r="D5610" s="219">
        <v>2.0</v>
      </c>
      <c r="E5610" s="218">
        <v>1950.0</v>
      </c>
      <c r="G5610" s="220">
        <v>43565.0</v>
      </c>
    </row>
    <row r="5611">
      <c r="A5611" s="217">
        <v>43582.687661435186</v>
      </c>
      <c r="B5611" s="218" t="s">
        <v>5092</v>
      </c>
      <c r="C5611" s="218" t="s">
        <v>1421</v>
      </c>
      <c r="D5611" s="219">
        <v>1.0</v>
      </c>
      <c r="E5611" s="24"/>
      <c r="G5611" s="220">
        <v>43565.0</v>
      </c>
    </row>
    <row r="5612">
      <c r="A5612" s="217">
        <v>43582.68819581019</v>
      </c>
      <c r="B5612" s="218" t="s">
        <v>5092</v>
      </c>
      <c r="C5612" s="218" t="s">
        <v>1397</v>
      </c>
      <c r="D5612" s="219">
        <v>1.0</v>
      </c>
      <c r="E5612" s="218">
        <v>1950.0</v>
      </c>
      <c r="G5612" s="220">
        <v>43565.0</v>
      </c>
    </row>
    <row r="5613">
      <c r="A5613" s="217">
        <v>43582.68871001157</v>
      </c>
      <c r="B5613" s="218" t="s">
        <v>5092</v>
      </c>
      <c r="C5613" s="218" t="s">
        <v>717</v>
      </c>
      <c r="D5613" s="219">
        <v>1.0</v>
      </c>
      <c r="E5613" s="218">
        <v>2450.0</v>
      </c>
      <c r="G5613" s="220">
        <v>43565.0</v>
      </c>
    </row>
    <row r="5614">
      <c r="A5614" s="217">
        <v>43582.68912413194</v>
      </c>
      <c r="B5614" s="218" t="s">
        <v>5092</v>
      </c>
      <c r="C5614" s="218" t="s">
        <v>8604</v>
      </c>
      <c r="D5614" s="219">
        <v>1.0</v>
      </c>
      <c r="E5614" s="24"/>
      <c r="G5614" s="220">
        <v>43565.0</v>
      </c>
    </row>
    <row r="5615">
      <c r="A5615" s="217">
        <v>43582.68998831019</v>
      </c>
      <c r="B5615" s="218" t="s">
        <v>5092</v>
      </c>
      <c r="C5615" s="218" t="s">
        <v>1356</v>
      </c>
      <c r="D5615" s="219">
        <v>2.0</v>
      </c>
      <c r="E5615" s="218">
        <v>2450.0</v>
      </c>
      <c r="G5615" s="220">
        <v>43565.0</v>
      </c>
    </row>
    <row r="5616">
      <c r="A5616" s="217">
        <v>43582.69077253473</v>
      </c>
      <c r="B5616" s="218" t="s">
        <v>5092</v>
      </c>
      <c r="C5616" s="218" t="s">
        <v>5673</v>
      </c>
      <c r="D5616" s="219">
        <v>2.0</v>
      </c>
      <c r="E5616" s="218">
        <v>2000.0</v>
      </c>
      <c r="G5616" s="220">
        <v>43565.0</v>
      </c>
    </row>
    <row r="5617">
      <c r="A5617" s="217">
        <v>43582.69150505787</v>
      </c>
      <c r="B5617" s="218" t="s">
        <v>5092</v>
      </c>
      <c r="C5617" s="218" t="s">
        <v>1334</v>
      </c>
      <c r="D5617" s="219">
        <v>2.0</v>
      </c>
      <c r="E5617" s="218">
        <v>2000.0</v>
      </c>
      <c r="G5617" s="220">
        <v>43565.0</v>
      </c>
    </row>
    <row r="5618">
      <c r="A5618" s="217">
        <v>43582.69214296296</v>
      </c>
      <c r="B5618" s="218" t="s">
        <v>5092</v>
      </c>
      <c r="C5618" s="218" t="s">
        <v>1359</v>
      </c>
      <c r="D5618" s="219">
        <v>2.0</v>
      </c>
      <c r="E5618" s="218">
        <v>2390.0</v>
      </c>
      <c r="G5618" s="220">
        <v>43565.0</v>
      </c>
    </row>
    <row r="5619">
      <c r="A5619" s="217">
        <v>43582.6926484375</v>
      </c>
      <c r="B5619" s="218" t="s">
        <v>5092</v>
      </c>
      <c r="C5619" s="218" t="s">
        <v>1312</v>
      </c>
      <c r="D5619" s="219">
        <v>1.0</v>
      </c>
      <c r="E5619" s="218">
        <v>2200.0</v>
      </c>
      <c r="G5619" s="220">
        <v>43565.0</v>
      </c>
    </row>
    <row r="5620">
      <c r="A5620" s="217">
        <v>43582.69338635416</v>
      </c>
      <c r="B5620" s="218" t="s">
        <v>5092</v>
      </c>
      <c r="C5620" s="218" t="s">
        <v>1404</v>
      </c>
      <c r="D5620" s="219">
        <v>1.0</v>
      </c>
      <c r="E5620" s="24"/>
      <c r="G5620" s="220">
        <v>43565.0</v>
      </c>
    </row>
    <row r="5621">
      <c r="A5621" s="217">
        <v>43582.69385952546</v>
      </c>
      <c r="B5621" s="218" t="s">
        <v>5092</v>
      </c>
      <c r="C5621" s="218" t="s">
        <v>1320</v>
      </c>
      <c r="D5621" s="219">
        <v>1.0</v>
      </c>
      <c r="E5621" s="24"/>
      <c r="G5621" s="220">
        <v>43565.0</v>
      </c>
    </row>
    <row r="5622">
      <c r="A5622" s="217">
        <v>43582.694324791664</v>
      </c>
      <c r="B5622" s="218" t="s">
        <v>5092</v>
      </c>
      <c r="C5622" s="218" t="s">
        <v>1412</v>
      </c>
      <c r="D5622" s="219">
        <v>1.0</v>
      </c>
      <c r="E5622" s="218">
        <v>2590.0</v>
      </c>
      <c r="G5622" s="220">
        <v>43565.0</v>
      </c>
    </row>
    <row r="5623">
      <c r="A5623" s="217">
        <v>43582.69485443287</v>
      </c>
      <c r="B5623" s="218" t="s">
        <v>5092</v>
      </c>
      <c r="C5623" s="218" t="s">
        <v>6921</v>
      </c>
      <c r="D5623" s="219">
        <v>1.0</v>
      </c>
      <c r="E5623" s="218">
        <v>2250.0</v>
      </c>
      <c r="G5623" s="220">
        <v>43565.0</v>
      </c>
    </row>
    <row r="5624">
      <c r="A5624" s="217">
        <v>43582.695313923614</v>
      </c>
      <c r="B5624" s="218" t="s">
        <v>5092</v>
      </c>
      <c r="C5624" s="218" t="s">
        <v>724</v>
      </c>
      <c r="D5624" s="219">
        <v>1.0</v>
      </c>
      <c r="E5624" s="218">
        <v>2380.0</v>
      </c>
      <c r="G5624" s="220">
        <v>43565.0</v>
      </c>
    </row>
    <row r="5625">
      <c r="A5625" s="217">
        <v>43582.69577575232</v>
      </c>
      <c r="B5625" s="218" t="s">
        <v>5092</v>
      </c>
      <c r="C5625" s="218" t="s">
        <v>5664</v>
      </c>
      <c r="D5625" s="219">
        <v>1.0</v>
      </c>
      <c r="E5625" s="218">
        <v>2250.0</v>
      </c>
      <c r="G5625" s="220">
        <v>43565.0</v>
      </c>
    </row>
    <row r="5626">
      <c r="A5626" s="217">
        <v>43582.696774930555</v>
      </c>
      <c r="B5626" s="218" t="s">
        <v>5092</v>
      </c>
      <c r="C5626" s="218" t="s">
        <v>6901</v>
      </c>
      <c r="D5626" s="219">
        <v>1.0</v>
      </c>
      <c r="E5626" s="218">
        <v>2590.0</v>
      </c>
      <c r="G5626" s="220">
        <v>43565.0</v>
      </c>
    </row>
    <row r="5627">
      <c r="A5627" s="217">
        <v>43582.69742163194</v>
      </c>
      <c r="B5627" s="218" t="s">
        <v>5092</v>
      </c>
      <c r="C5627" s="218" t="s">
        <v>6899</v>
      </c>
      <c r="D5627" s="219">
        <v>1.0</v>
      </c>
      <c r="E5627" s="218">
        <v>2590.0</v>
      </c>
      <c r="G5627" s="220">
        <v>43565.0</v>
      </c>
    </row>
    <row r="5628">
      <c r="A5628" s="217">
        <v>43582.698419953704</v>
      </c>
      <c r="B5628" s="218" t="s">
        <v>5092</v>
      </c>
      <c r="C5628" s="218" t="s">
        <v>1444</v>
      </c>
      <c r="D5628" s="219">
        <v>1.0</v>
      </c>
      <c r="E5628" s="218">
        <v>2450.0</v>
      </c>
      <c r="G5628" s="220">
        <v>43565.0</v>
      </c>
    </row>
    <row r="5629">
      <c r="A5629" s="217">
        <v>43582.69929309028</v>
      </c>
      <c r="B5629" s="218" t="s">
        <v>5092</v>
      </c>
      <c r="C5629" s="218" t="s">
        <v>6900</v>
      </c>
      <c r="D5629" s="219">
        <v>1.0</v>
      </c>
      <c r="E5629" s="218">
        <v>2590.0</v>
      </c>
      <c r="G5629" s="220">
        <v>43565.0</v>
      </c>
    </row>
    <row r="5630">
      <c r="A5630" s="217">
        <v>43582.70068440972</v>
      </c>
      <c r="B5630" s="218" t="s">
        <v>5092</v>
      </c>
      <c r="C5630" s="218" t="s">
        <v>1470</v>
      </c>
      <c r="D5630" s="219">
        <v>1.0</v>
      </c>
      <c r="E5630" s="218">
        <v>2250.0</v>
      </c>
      <c r="G5630" s="220">
        <v>43565.0</v>
      </c>
    </row>
    <row r="5631">
      <c r="A5631" s="217">
        <v>43582.70108489583</v>
      </c>
      <c r="B5631" s="218" t="s">
        <v>5092</v>
      </c>
      <c r="C5631" s="242" t="s">
        <v>1420</v>
      </c>
      <c r="D5631" s="219">
        <v>1.0</v>
      </c>
      <c r="E5631" s="24"/>
      <c r="G5631" s="220">
        <v>43565.0</v>
      </c>
    </row>
    <row r="5632">
      <c r="A5632" s="217">
        <v>43582.70163773149</v>
      </c>
      <c r="B5632" s="218" t="s">
        <v>5092</v>
      </c>
      <c r="C5632" s="218" t="s">
        <v>8605</v>
      </c>
      <c r="D5632" s="219">
        <v>1.0</v>
      </c>
      <c r="E5632" s="218">
        <v>2450.0</v>
      </c>
      <c r="G5632" s="220">
        <v>43565.0</v>
      </c>
    </row>
    <row r="5633">
      <c r="A5633" s="217">
        <v>43582.7152990162</v>
      </c>
      <c r="B5633" s="218" t="s">
        <v>5092</v>
      </c>
      <c r="C5633" s="218" t="s">
        <v>725</v>
      </c>
      <c r="D5633" s="219">
        <v>1.0</v>
      </c>
      <c r="E5633" s="218">
        <v>2160.0</v>
      </c>
      <c r="G5633" s="220">
        <v>43565.0</v>
      </c>
    </row>
    <row r="5634">
      <c r="A5634" s="217">
        <v>43582.71875010416</v>
      </c>
      <c r="B5634" s="218" t="s">
        <v>5184</v>
      </c>
      <c r="C5634" s="218" t="s">
        <v>7496</v>
      </c>
      <c r="D5634" s="219">
        <v>1.0</v>
      </c>
      <c r="E5634" s="218">
        <v>200.0</v>
      </c>
      <c r="G5634" s="220">
        <v>43582.0</v>
      </c>
    </row>
    <row r="5635">
      <c r="A5635" s="217">
        <v>43582.731598032406</v>
      </c>
      <c r="B5635" s="218" t="s">
        <v>5184</v>
      </c>
      <c r="C5635" s="218" t="s">
        <v>7754</v>
      </c>
      <c r="D5635" s="219">
        <v>1.0</v>
      </c>
      <c r="E5635" s="218">
        <v>1000.0</v>
      </c>
      <c r="G5635" s="220">
        <v>43582.0</v>
      </c>
    </row>
    <row r="5636">
      <c r="A5636" s="217">
        <v>43582.74554116898</v>
      </c>
      <c r="B5636" s="218" t="s">
        <v>5184</v>
      </c>
      <c r="C5636" s="218" t="s">
        <v>244</v>
      </c>
      <c r="D5636" s="219">
        <v>1.0</v>
      </c>
      <c r="E5636" s="218">
        <v>400.0</v>
      </c>
      <c r="G5636" s="220">
        <v>43582.0</v>
      </c>
    </row>
    <row r="5637">
      <c r="A5637" s="217">
        <v>43584.454242604166</v>
      </c>
      <c r="B5637" s="218" t="s">
        <v>5184</v>
      </c>
      <c r="C5637" s="218" t="s">
        <v>7800</v>
      </c>
      <c r="D5637" s="219">
        <v>1.0</v>
      </c>
      <c r="E5637" s="218">
        <v>200.0</v>
      </c>
      <c r="G5637" s="220">
        <v>43583.0</v>
      </c>
    </row>
    <row r="5638">
      <c r="A5638" s="217">
        <v>43584.45493962963</v>
      </c>
      <c r="B5638" s="218" t="s">
        <v>5184</v>
      </c>
      <c r="C5638" s="218" t="s">
        <v>6053</v>
      </c>
      <c r="D5638" s="219">
        <v>1.0</v>
      </c>
      <c r="E5638" s="218">
        <v>300.0</v>
      </c>
      <c r="G5638" s="220">
        <v>43583.0</v>
      </c>
    </row>
    <row r="5639">
      <c r="A5639" s="217">
        <v>43584.46239554398</v>
      </c>
      <c r="B5639" s="218" t="s">
        <v>5184</v>
      </c>
      <c r="C5639" s="218" t="s">
        <v>284</v>
      </c>
      <c r="D5639" s="219">
        <v>1.0</v>
      </c>
      <c r="E5639" s="218">
        <v>400.0</v>
      </c>
      <c r="G5639" s="220">
        <v>43583.0</v>
      </c>
    </row>
    <row r="5640">
      <c r="A5640" s="217">
        <v>43584.4795853588</v>
      </c>
      <c r="B5640" s="218" t="s">
        <v>5184</v>
      </c>
      <c r="C5640" s="218" t="s">
        <v>7800</v>
      </c>
      <c r="D5640" s="219">
        <v>1.0</v>
      </c>
      <c r="E5640" s="218">
        <v>300.0</v>
      </c>
      <c r="G5640" s="220">
        <v>43583.0</v>
      </c>
    </row>
    <row r="5641">
      <c r="A5641" s="217">
        <v>43584.480157060185</v>
      </c>
      <c r="B5641" s="218" t="s">
        <v>5184</v>
      </c>
      <c r="C5641" s="218" t="s">
        <v>284</v>
      </c>
      <c r="D5641" s="219">
        <v>1.0</v>
      </c>
      <c r="E5641" s="218">
        <v>400.0</v>
      </c>
      <c r="G5641" s="220">
        <v>43584.0</v>
      </c>
    </row>
    <row r="5642">
      <c r="A5642" s="217">
        <v>43584.48117925926</v>
      </c>
      <c r="B5642" s="218" t="s">
        <v>5184</v>
      </c>
      <c r="C5642" s="218" t="s">
        <v>7800</v>
      </c>
      <c r="D5642" s="219">
        <v>1.0</v>
      </c>
      <c r="E5642" s="218">
        <v>300.0</v>
      </c>
      <c r="G5642" s="220">
        <v>43584.0</v>
      </c>
    </row>
    <row r="5643">
      <c r="A5643" s="217">
        <v>43584.481596631944</v>
      </c>
      <c r="B5643" s="218" t="s">
        <v>5184</v>
      </c>
      <c r="C5643" s="218" t="s">
        <v>6053</v>
      </c>
      <c r="D5643" s="219">
        <v>1.0</v>
      </c>
      <c r="E5643" s="218">
        <v>300.0</v>
      </c>
      <c r="G5643" s="220">
        <v>43584.0</v>
      </c>
    </row>
    <row r="5644">
      <c r="A5644" s="217">
        <v>43584.48280078704</v>
      </c>
      <c r="B5644" s="218" t="s">
        <v>5184</v>
      </c>
      <c r="C5644" s="218" t="s">
        <v>7496</v>
      </c>
      <c r="D5644" s="219">
        <v>1.0</v>
      </c>
      <c r="E5644" s="218">
        <v>250.0</v>
      </c>
      <c r="G5644" s="220">
        <v>43584.0</v>
      </c>
    </row>
    <row r="5645">
      <c r="A5645" s="217">
        <v>43584.48344354167</v>
      </c>
      <c r="B5645" s="218" t="s">
        <v>5184</v>
      </c>
      <c r="C5645" s="218" t="s">
        <v>6053</v>
      </c>
      <c r="D5645" s="219">
        <v>1.0</v>
      </c>
      <c r="E5645" s="218">
        <v>300.0</v>
      </c>
      <c r="G5645" s="220">
        <v>43584.0</v>
      </c>
    </row>
    <row r="5646">
      <c r="A5646" s="224">
        <v>43584.498951747686</v>
      </c>
      <c r="B5646" s="118" t="s">
        <v>5092</v>
      </c>
      <c r="C5646" s="118" t="s">
        <v>8612</v>
      </c>
      <c r="D5646" s="227">
        <v>1.0</v>
      </c>
      <c r="E5646" s="167"/>
      <c r="F5646" s="16"/>
      <c r="G5646" s="226">
        <v>43565.0</v>
      </c>
      <c r="DN5646" s="16"/>
    </row>
    <row r="5647">
      <c r="A5647" s="217">
        <v>43584.500384768515</v>
      </c>
      <c r="B5647" s="218" t="s">
        <v>5092</v>
      </c>
      <c r="C5647" s="218" t="s">
        <v>8614</v>
      </c>
      <c r="D5647" s="219">
        <v>1.0</v>
      </c>
      <c r="E5647" s="24"/>
      <c r="G5647" s="220">
        <v>43565.0</v>
      </c>
    </row>
    <row r="5648">
      <c r="A5648" s="217">
        <v>43584.50109318287</v>
      </c>
      <c r="B5648" s="218" t="s">
        <v>5092</v>
      </c>
      <c r="C5648" s="218" t="s">
        <v>8615</v>
      </c>
      <c r="D5648" s="219">
        <v>1.0</v>
      </c>
      <c r="E5648" s="24"/>
      <c r="G5648" s="220">
        <v>43565.0</v>
      </c>
    </row>
    <row r="5649">
      <c r="A5649" s="217">
        <v>43584.5110821875</v>
      </c>
      <c r="B5649" s="218" t="s">
        <v>5092</v>
      </c>
      <c r="C5649" s="218" t="s">
        <v>8616</v>
      </c>
      <c r="D5649" s="219">
        <v>1.0</v>
      </c>
      <c r="E5649" s="24"/>
      <c r="G5649" s="220">
        <v>43565.0</v>
      </c>
    </row>
    <row r="5650">
      <c r="A5650" s="217">
        <v>43584.512880775466</v>
      </c>
      <c r="B5650" s="218" t="s">
        <v>5092</v>
      </c>
      <c r="C5650" s="218" t="s">
        <v>8617</v>
      </c>
      <c r="D5650" s="219">
        <v>1.0</v>
      </c>
      <c r="E5650" s="24"/>
      <c r="G5650" s="220">
        <v>43565.0</v>
      </c>
    </row>
    <row r="5651">
      <c r="A5651" s="217">
        <v>43584.51465340277</v>
      </c>
      <c r="B5651" s="218" t="s">
        <v>5092</v>
      </c>
      <c r="C5651" s="218" t="s">
        <v>8618</v>
      </c>
      <c r="D5651" s="219">
        <v>1.0</v>
      </c>
      <c r="E5651" s="24"/>
      <c r="G5651" s="220">
        <v>43565.0</v>
      </c>
    </row>
    <row r="5652">
      <c r="A5652" s="217">
        <v>43584.51635608796</v>
      </c>
      <c r="B5652" s="218" t="s">
        <v>5092</v>
      </c>
      <c r="C5652" s="218" t="s">
        <v>8619</v>
      </c>
      <c r="D5652" s="219">
        <v>1.0</v>
      </c>
      <c r="E5652" s="24"/>
      <c r="G5652" s="220">
        <v>43565.0</v>
      </c>
    </row>
    <row r="5653">
      <c r="A5653" s="217">
        <v>43584.51714418981</v>
      </c>
      <c r="B5653" s="218" t="s">
        <v>5092</v>
      </c>
      <c r="C5653" s="218" t="s">
        <v>8620</v>
      </c>
      <c r="D5653" s="219">
        <v>1.0</v>
      </c>
      <c r="E5653" s="24"/>
      <c r="G5653" s="220">
        <v>43565.0</v>
      </c>
    </row>
    <row r="5654">
      <c r="A5654" s="217">
        <v>43584.518821157406</v>
      </c>
      <c r="B5654" s="218" t="s">
        <v>5092</v>
      </c>
      <c r="C5654" s="218" t="s">
        <v>8621</v>
      </c>
      <c r="D5654" s="219">
        <v>1.0</v>
      </c>
      <c r="E5654" s="218">
        <v>2780.0</v>
      </c>
      <c r="G5654" s="220">
        <v>43565.0</v>
      </c>
    </row>
    <row r="5655">
      <c r="A5655" s="217">
        <v>43584.51968912037</v>
      </c>
      <c r="B5655" s="218" t="s">
        <v>5092</v>
      </c>
      <c r="C5655" s="218" t="s">
        <v>8622</v>
      </c>
      <c r="D5655" s="219">
        <v>1.0</v>
      </c>
      <c r="E5655" s="24"/>
      <c r="G5655" s="220">
        <v>43565.0</v>
      </c>
    </row>
    <row r="5656">
      <c r="A5656" s="217">
        <v>43584.52052572917</v>
      </c>
      <c r="B5656" s="218" t="s">
        <v>5092</v>
      </c>
      <c r="C5656" s="218" t="s">
        <v>6468</v>
      </c>
      <c r="D5656" s="219">
        <v>1.0</v>
      </c>
      <c r="E5656" s="218">
        <v>2590.0</v>
      </c>
      <c r="G5656" s="220">
        <v>43565.0</v>
      </c>
    </row>
    <row r="5657">
      <c r="A5657" s="217">
        <v>43584.521335185185</v>
      </c>
      <c r="B5657" s="218" t="s">
        <v>5092</v>
      </c>
      <c r="C5657" s="218" t="s">
        <v>6471</v>
      </c>
      <c r="D5657" s="219">
        <v>1.0</v>
      </c>
      <c r="E5657" s="218">
        <v>2590.0</v>
      </c>
      <c r="G5657" s="220">
        <v>43565.0</v>
      </c>
    </row>
    <row r="5658">
      <c r="A5658" s="217">
        <v>43584.52260631944</v>
      </c>
      <c r="B5658" s="218" t="s">
        <v>5092</v>
      </c>
      <c r="C5658" s="218" t="s">
        <v>6472</v>
      </c>
      <c r="D5658" s="219">
        <v>1.0</v>
      </c>
      <c r="E5658" s="218">
        <v>2590.0</v>
      </c>
      <c r="G5658" s="220">
        <v>43565.0</v>
      </c>
    </row>
    <row r="5659">
      <c r="A5659" s="217">
        <v>43584.52401658565</v>
      </c>
      <c r="B5659" s="218" t="s">
        <v>5092</v>
      </c>
      <c r="C5659" s="218" t="s">
        <v>8473</v>
      </c>
      <c r="D5659" s="219">
        <v>1.0</v>
      </c>
      <c r="E5659" s="24"/>
      <c r="G5659" s="220">
        <v>43565.0</v>
      </c>
    </row>
    <row r="5660">
      <c r="A5660" s="217">
        <v>43584.52530700232</v>
      </c>
      <c r="B5660" s="218" t="s">
        <v>5092</v>
      </c>
      <c r="C5660" s="218" t="s">
        <v>8474</v>
      </c>
      <c r="D5660" s="219">
        <v>1.0</v>
      </c>
      <c r="E5660" s="218">
        <v>2350.0</v>
      </c>
      <c r="G5660" s="220">
        <v>43565.0</v>
      </c>
    </row>
    <row r="5661">
      <c r="A5661" s="217">
        <v>43584.52611464121</v>
      </c>
      <c r="B5661" s="218" t="s">
        <v>5092</v>
      </c>
      <c r="C5661" s="218" t="s">
        <v>8538</v>
      </c>
      <c r="D5661" s="219">
        <v>1.0</v>
      </c>
      <c r="E5661" s="24"/>
      <c r="G5661" s="220">
        <v>43565.0</v>
      </c>
    </row>
    <row r="5662">
      <c r="A5662" s="217">
        <v>43584.52709590278</v>
      </c>
      <c r="B5662" s="218" t="s">
        <v>5092</v>
      </c>
      <c r="C5662" s="218" t="s">
        <v>8545</v>
      </c>
      <c r="D5662" s="219">
        <v>1.0</v>
      </c>
      <c r="E5662" s="24"/>
      <c r="G5662" s="220">
        <v>43565.0</v>
      </c>
    </row>
    <row r="5663">
      <c r="A5663" s="217">
        <v>43584.52845986111</v>
      </c>
      <c r="B5663" s="218" t="s">
        <v>5092</v>
      </c>
      <c r="C5663" s="218" t="s">
        <v>8544</v>
      </c>
      <c r="D5663" s="219">
        <v>1.0</v>
      </c>
      <c r="E5663" s="24"/>
      <c r="G5663" s="220">
        <v>43565.0</v>
      </c>
    </row>
    <row r="5664">
      <c r="A5664" s="217">
        <v>43584.5339381713</v>
      </c>
      <c r="B5664" s="218" t="s">
        <v>5092</v>
      </c>
      <c r="C5664" s="250" t="s">
        <v>8541</v>
      </c>
      <c r="D5664" s="219">
        <v>1.0</v>
      </c>
      <c r="E5664" s="24"/>
      <c r="G5664" s="220">
        <v>43565.0</v>
      </c>
    </row>
    <row r="5665">
      <c r="A5665" s="217">
        <v>43584.74026396991</v>
      </c>
      <c r="B5665" s="218" t="s">
        <v>5092</v>
      </c>
      <c r="C5665" s="218" t="s">
        <v>8623</v>
      </c>
      <c r="D5665" s="219">
        <v>1.0</v>
      </c>
      <c r="E5665" s="24"/>
      <c r="G5665" s="220">
        <v>43565.0</v>
      </c>
    </row>
    <row r="5666">
      <c r="A5666" s="217">
        <v>43584.74052572917</v>
      </c>
      <c r="B5666" s="218" t="s">
        <v>5092</v>
      </c>
      <c r="C5666" s="218" t="s">
        <v>8539</v>
      </c>
      <c r="D5666" s="219">
        <v>1.0</v>
      </c>
      <c r="E5666" s="24"/>
      <c r="G5666" s="220">
        <v>43565.0</v>
      </c>
    </row>
    <row r="5667">
      <c r="A5667" s="217">
        <v>43585.51155270833</v>
      </c>
      <c r="B5667" s="218" t="s">
        <v>5184</v>
      </c>
      <c r="C5667" s="218" t="s">
        <v>7800</v>
      </c>
      <c r="D5667" s="219">
        <v>1.0</v>
      </c>
      <c r="E5667" s="218">
        <v>200.0</v>
      </c>
      <c r="G5667" s="220">
        <v>43584.0</v>
      </c>
    </row>
    <row r="5668">
      <c r="A5668" s="217">
        <v>43585.51224924768</v>
      </c>
      <c r="B5668" s="218" t="s">
        <v>5184</v>
      </c>
      <c r="C5668" s="218" t="s">
        <v>6053</v>
      </c>
      <c r="D5668" s="219">
        <v>1.0</v>
      </c>
      <c r="E5668" s="218">
        <v>300.0</v>
      </c>
      <c r="G5668" s="220">
        <v>43584.0</v>
      </c>
    </row>
    <row r="5669">
      <c r="A5669" s="217">
        <v>43585.51291666667</v>
      </c>
      <c r="B5669" s="218" t="s">
        <v>5184</v>
      </c>
      <c r="C5669" s="218" t="s">
        <v>7800</v>
      </c>
      <c r="D5669" s="219">
        <v>1.0</v>
      </c>
      <c r="E5669" s="218">
        <v>200.0</v>
      </c>
      <c r="G5669" s="220">
        <v>43584.0</v>
      </c>
    </row>
    <row r="5670">
      <c r="A5670" s="217">
        <v>43585.51340696759</v>
      </c>
      <c r="B5670" s="218" t="s">
        <v>5184</v>
      </c>
      <c r="C5670" s="218" t="s">
        <v>6053</v>
      </c>
      <c r="D5670" s="219">
        <v>1.0</v>
      </c>
      <c r="E5670" s="218">
        <v>300.0</v>
      </c>
      <c r="G5670" s="220">
        <v>43584.0</v>
      </c>
    </row>
    <row r="5671">
      <c r="A5671" s="217">
        <v>43585.516192442126</v>
      </c>
      <c r="B5671" s="218" t="s">
        <v>5184</v>
      </c>
      <c r="C5671" s="218" t="s">
        <v>7800</v>
      </c>
      <c r="D5671" s="219">
        <v>1.0</v>
      </c>
      <c r="E5671" s="218">
        <v>250.0</v>
      </c>
      <c r="G5671" s="220">
        <v>43584.0</v>
      </c>
    </row>
    <row r="5672">
      <c r="A5672" s="217">
        <v>43585.585734733795</v>
      </c>
      <c r="B5672" s="218" t="s">
        <v>5184</v>
      </c>
      <c r="C5672" s="218" t="s">
        <v>7800</v>
      </c>
      <c r="D5672" s="219">
        <v>1.0</v>
      </c>
      <c r="E5672" s="218">
        <v>300.0</v>
      </c>
      <c r="G5672" s="220">
        <v>43584.0</v>
      </c>
    </row>
    <row r="5673">
      <c r="A5673" s="217">
        <v>43585.586400960645</v>
      </c>
      <c r="B5673" s="218" t="s">
        <v>5184</v>
      </c>
      <c r="C5673" s="218" t="s">
        <v>6053</v>
      </c>
      <c r="D5673" s="219">
        <v>1.0</v>
      </c>
      <c r="E5673" s="218">
        <v>300.0</v>
      </c>
      <c r="G5673" s="220">
        <v>43584.0</v>
      </c>
    </row>
    <row r="5674">
      <c r="A5674" s="217">
        <v>43585.58802354167</v>
      </c>
      <c r="B5674" s="218" t="s">
        <v>5184</v>
      </c>
      <c r="C5674" s="218" t="s">
        <v>7800</v>
      </c>
      <c r="D5674" s="219">
        <v>1.0</v>
      </c>
      <c r="E5674" s="218">
        <v>300.0</v>
      </c>
      <c r="G5674" s="220">
        <v>43584.0</v>
      </c>
    </row>
    <row r="5675">
      <c r="A5675" s="217">
        <v>43585.588553009264</v>
      </c>
      <c r="B5675" s="218" t="s">
        <v>5184</v>
      </c>
      <c r="C5675" s="218" t="s">
        <v>6053</v>
      </c>
      <c r="D5675" s="219">
        <v>1.0</v>
      </c>
      <c r="E5675" s="218">
        <v>300.0</v>
      </c>
      <c r="G5675" s="220">
        <v>43584.0</v>
      </c>
    </row>
    <row r="5676">
      <c r="A5676" s="217">
        <v>43585.58953827547</v>
      </c>
      <c r="B5676" s="218" t="s">
        <v>5184</v>
      </c>
      <c r="C5676" s="218" t="s">
        <v>7800</v>
      </c>
      <c r="D5676" s="219">
        <v>1.0</v>
      </c>
      <c r="E5676" s="218">
        <v>300.0</v>
      </c>
      <c r="G5676" s="220">
        <v>43584.0</v>
      </c>
    </row>
    <row r="5677">
      <c r="A5677" s="217">
        <v>43585.59011291667</v>
      </c>
      <c r="B5677" s="218" t="s">
        <v>5184</v>
      </c>
      <c r="C5677" s="218" t="s">
        <v>6053</v>
      </c>
      <c r="D5677" s="219">
        <v>1.0</v>
      </c>
      <c r="E5677" s="218">
        <v>300.0</v>
      </c>
      <c r="G5677" s="220">
        <v>43584.0</v>
      </c>
    </row>
    <row r="5678">
      <c r="A5678" s="217">
        <v>43585.59103837963</v>
      </c>
      <c r="B5678" s="218" t="s">
        <v>5184</v>
      </c>
      <c r="C5678" s="218" t="s">
        <v>7800</v>
      </c>
      <c r="D5678" s="219">
        <v>1.0</v>
      </c>
      <c r="E5678" s="218">
        <v>300.0</v>
      </c>
      <c r="G5678" s="220">
        <v>43584.0</v>
      </c>
    </row>
    <row r="5679">
      <c r="A5679" s="217">
        <v>43585.59171521991</v>
      </c>
      <c r="B5679" s="218" t="s">
        <v>5184</v>
      </c>
      <c r="C5679" s="218" t="s">
        <v>7792</v>
      </c>
      <c r="D5679" s="219">
        <v>1.0</v>
      </c>
      <c r="E5679" s="218">
        <v>400.0</v>
      </c>
      <c r="G5679" s="220">
        <v>43584.0</v>
      </c>
    </row>
    <row r="5680">
      <c r="A5680" s="217">
        <v>43585.59263659723</v>
      </c>
      <c r="B5680" s="218" t="s">
        <v>5184</v>
      </c>
      <c r="C5680" s="218" t="s">
        <v>6053</v>
      </c>
      <c r="D5680" s="219" t="s">
        <v>7652</v>
      </c>
      <c r="E5680" s="218">
        <v>600.0</v>
      </c>
      <c r="G5680" s="220">
        <v>43584.0</v>
      </c>
    </row>
    <row r="5681">
      <c r="A5681" s="217">
        <v>43585.597948888884</v>
      </c>
      <c r="B5681" s="218" t="s">
        <v>5184</v>
      </c>
      <c r="C5681" s="218" t="s">
        <v>7427</v>
      </c>
      <c r="D5681" s="219">
        <v>1.0</v>
      </c>
      <c r="E5681" s="218">
        <v>150.0</v>
      </c>
      <c r="G5681" s="220">
        <v>43585.0</v>
      </c>
    </row>
    <row r="5682">
      <c r="A5682" s="217">
        <v>43585.59924094907</v>
      </c>
      <c r="B5682" s="218" t="s">
        <v>5184</v>
      </c>
      <c r="C5682" s="218" t="s">
        <v>6053</v>
      </c>
      <c r="D5682" s="219">
        <v>1.0</v>
      </c>
      <c r="E5682" s="218">
        <v>300.0</v>
      </c>
      <c r="G5682" s="220">
        <v>43585.0</v>
      </c>
    </row>
    <row r="5683">
      <c r="A5683" s="217">
        <v>43585.59857642361</v>
      </c>
      <c r="B5683" s="218" t="s">
        <v>5184</v>
      </c>
      <c r="C5683" s="218" t="s">
        <v>244</v>
      </c>
      <c r="D5683" s="219">
        <v>1.0</v>
      </c>
      <c r="E5683" s="218">
        <v>400.0</v>
      </c>
      <c r="G5683" s="220">
        <v>43585.0</v>
      </c>
    </row>
    <row r="5684">
      <c r="A5684" s="217">
        <v>43585.60053298611</v>
      </c>
      <c r="B5684" s="218" t="s">
        <v>5184</v>
      </c>
      <c r="C5684" s="218" t="s">
        <v>7800</v>
      </c>
      <c r="D5684" s="219">
        <v>1.0</v>
      </c>
      <c r="E5684" s="218">
        <v>300.0</v>
      </c>
      <c r="G5684" s="220">
        <v>43585.0</v>
      </c>
    </row>
    <row r="5685">
      <c r="A5685" s="217">
        <v>43585.601113854165</v>
      </c>
      <c r="B5685" s="218" t="s">
        <v>5184</v>
      </c>
      <c r="C5685" s="218" t="s">
        <v>6053</v>
      </c>
      <c r="D5685" s="219">
        <v>1.0</v>
      </c>
      <c r="E5685" s="218">
        <v>300.0</v>
      </c>
      <c r="G5685" s="220">
        <v>43585.0</v>
      </c>
    </row>
    <row r="5686">
      <c r="A5686" s="217">
        <v>43585.60204583334</v>
      </c>
      <c r="B5686" s="218" t="s">
        <v>5184</v>
      </c>
      <c r="C5686" s="218" t="s">
        <v>7408</v>
      </c>
      <c r="D5686" s="219">
        <v>1.0</v>
      </c>
      <c r="E5686" s="218">
        <v>250.0</v>
      </c>
      <c r="G5686" s="220">
        <v>43585.0</v>
      </c>
    </row>
    <row r="5687">
      <c r="A5687" s="217">
        <v>43585.60291075231</v>
      </c>
      <c r="B5687" s="218" t="s">
        <v>5184</v>
      </c>
      <c r="C5687" s="218" t="s">
        <v>7800</v>
      </c>
      <c r="D5687" s="219">
        <v>1.0</v>
      </c>
      <c r="E5687" s="218">
        <v>200.0</v>
      </c>
      <c r="G5687" s="220">
        <v>43585.0</v>
      </c>
    </row>
    <row r="5688">
      <c r="A5688" s="217">
        <v>43585.60352984954</v>
      </c>
      <c r="B5688" s="218" t="s">
        <v>5184</v>
      </c>
      <c r="C5688" s="218" t="s">
        <v>6053</v>
      </c>
      <c r="D5688" s="219">
        <v>1.0</v>
      </c>
      <c r="E5688" s="218">
        <v>300.0</v>
      </c>
      <c r="G5688" s="220">
        <v>43585.0</v>
      </c>
    </row>
    <row r="5689">
      <c r="A5689" s="217">
        <v>43585.60421709491</v>
      </c>
      <c r="B5689" s="218" t="s">
        <v>5184</v>
      </c>
      <c r="C5689" s="218" t="s">
        <v>7800</v>
      </c>
      <c r="D5689" s="219">
        <v>1.0</v>
      </c>
      <c r="E5689" s="218">
        <v>300.0</v>
      </c>
      <c r="G5689" s="220">
        <v>43585.0</v>
      </c>
    </row>
    <row r="5690">
      <c r="A5690" s="217">
        <v>43585.60471023148</v>
      </c>
      <c r="B5690" s="218" t="s">
        <v>5184</v>
      </c>
      <c r="C5690" s="218" t="s">
        <v>6053</v>
      </c>
      <c r="D5690" s="219">
        <v>1.0</v>
      </c>
      <c r="E5690" s="218">
        <v>300.0</v>
      </c>
      <c r="G5690" s="220">
        <v>43585.0</v>
      </c>
    </row>
    <row r="5691">
      <c r="A5691" s="217">
        <v>43585.637798055555</v>
      </c>
      <c r="B5691" s="218" t="s">
        <v>5092</v>
      </c>
      <c r="C5691" s="218" t="s">
        <v>1523</v>
      </c>
      <c r="D5691" s="219">
        <v>1.0</v>
      </c>
      <c r="E5691" s="24"/>
      <c r="G5691" s="220">
        <v>43585.0</v>
      </c>
    </row>
    <row r="5692">
      <c r="A5692" s="217">
        <v>43585.639426747686</v>
      </c>
      <c r="B5692" s="218" t="s">
        <v>5092</v>
      </c>
      <c r="C5692" s="218" t="s">
        <v>8543</v>
      </c>
      <c r="D5692" s="219">
        <v>1.0</v>
      </c>
      <c r="E5692" s="24"/>
      <c r="G5692" s="220">
        <v>43565.0</v>
      </c>
    </row>
    <row r="5693">
      <c r="A5693" s="217">
        <v>43585.640481435184</v>
      </c>
      <c r="B5693" s="218" t="s">
        <v>5092</v>
      </c>
      <c r="C5693" s="218" t="s">
        <v>8542</v>
      </c>
      <c r="D5693" s="219">
        <v>1.0</v>
      </c>
      <c r="E5693" s="24"/>
      <c r="G5693" s="220">
        <v>43565.0</v>
      </c>
    </row>
    <row r="5694">
      <c r="A5694" s="241">
        <v>43585.641526736115</v>
      </c>
      <c r="B5694" s="242" t="s">
        <v>5092</v>
      </c>
      <c r="C5694" s="242" t="s">
        <v>8634</v>
      </c>
      <c r="D5694" s="243">
        <v>1.0</v>
      </c>
      <c r="E5694" s="246"/>
      <c r="F5694" s="244"/>
      <c r="G5694" s="245">
        <v>43565.0</v>
      </c>
      <c r="DN5694" s="244"/>
    </row>
    <row r="5695">
      <c r="A5695" s="241">
        <v>43585.6436354051</v>
      </c>
      <c r="B5695" s="242" t="s">
        <v>5092</v>
      </c>
      <c r="C5695" s="242" t="s">
        <v>8635</v>
      </c>
      <c r="D5695" s="243">
        <v>1.0</v>
      </c>
      <c r="E5695" s="242">
        <v>2780.0</v>
      </c>
      <c r="F5695" s="244"/>
      <c r="G5695" s="245">
        <v>43565.0</v>
      </c>
      <c r="DN5695" s="244"/>
    </row>
    <row r="5696">
      <c r="A5696" s="217">
        <v>43585.67331663195</v>
      </c>
      <c r="B5696" s="218" t="s">
        <v>5092</v>
      </c>
      <c r="C5696" s="218" t="s">
        <v>1501</v>
      </c>
      <c r="D5696" s="219">
        <v>1.0</v>
      </c>
      <c r="E5696" s="218">
        <v>2950.0</v>
      </c>
      <c r="G5696" s="220">
        <v>43573.0</v>
      </c>
    </row>
    <row r="5697">
      <c r="A5697" s="217">
        <v>43585.67421247685</v>
      </c>
      <c r="B5697" s="218" t="s">
        <v>5092</v>
      </c>
      <c r="C5697" s="218" t="s">
        <v>8637</v>
      </c>
      <c r="D5697" s="219">
        <v>2.0</v>
      </c>
      <c r="E5697" s="218">
        <v>2650.0</v>
      </c>
      <c r="G5697" s="220">
        <v>43573.0</v>
      </c>
    </row>
    <row r="5698">
      <c r="A5698" s="217">
        <v>43585.677688923606</v>
      </c>
      <c r="B5698" s="218" t="s">
        <v>5092</v>
      </c>
      <c r="C5698" s="218" t="s">
        <v>8638</v>
      </c>
      <c r="D5698" s="219">
        <v>4.0</v>
      </c>
      <c r="E5698" s="218">
        <v>2650.0</v>
      </c>
      <c r="G5698" s="220">
        <v>43573.0</v>
      </c>
    </row>
    <row r="5699">
      <c r="A5699" s="217">
        <v>43585.68681428241</v>
      </c>
      <c r="B5699" s="218" t="s">
        <v>5092</v>
      </c>
      <c r="C5699" s="218" t="s">
        <v>8639</v>
      </c>
      <c r="D5699" s="219">
        <v>2.0</v>
      </c>
      <c r="E5699" s="218">
        <v>2650.0</v>
      </c>
      <c r="G5699" s="220">
        <v>43573.0</v>
      </c>
    </row>
    <row r="5700">
      <c r="A5700" s="217">
        <v>43585.687748275464</v>
      </c>
      <c r="B5700" s="218" t="s">
        <v>5092</v>
      </c>
      <c r="C5700" s="218" t="s">
        <v>8640</v>
      </c>
      <c r="D5700" s="219">
        <v>2.0</v>
      </c>
      <c r="E5700" s="218">
        <v>2650.0</v>
      </c>
      <c r="G5700" s="220">
        <v>43573.0</v>
      </c>
    </row>
    <row r="5701">
      <c r="A5701" s="217">
        <v>43585.694336099536</v>
      </c>
      <c r="B5701" s="218" t="s">
        <v>5092</v>
      </c>
      <c r="C5701" s="218" t="s">
        <v>8641</v>
      </c>
      <c r="D5701" s="219">
        <v>2.0</v>
      </c>
      <c r="E5701" s="218">
        <v>2650.0</v>
      </c>
      <c r="G5701" s="220">
        <v>43573.0</v>
      </c>
    </row>
    <row r="5702">
      <c r="A5702" s="217">
        <v>43585.69518858797</v>
      </c>
      <c r="B5702" s="218" t="s">
        <v>5092</v>
      </c>
      <c r="C5702" s="218" t="s">
        <v>8642</v>
      </c>
      <c r="D5702" s="219">
        <v>2.0</v>
      </c>
      <c r="E5702" s="218">
        <v>2650.0</v>
      </c>
      <c r="G5702" s="220">
        <v>43573.0</v>
      </c>
    </row>
    <row r="5703">
      <c r="A5703" s="217">
        <v>43585.69606751157</v>
      </c>
      <c r="B5703" s="218" t="s">
        <v>5092</v>
      </c>
      <c r="C5703" s="218" t="s">
        <v>8643</v>
      </c>
      <c r="D5703" s="219">
        <v>1.0</v>
      </c>
      <c r="E5703" s="218">
        <v>2650.0</v>
      </c>
      <c r="G5703" s="220">
        <v>43573.0</v>
      </c>
    </row>
    <row r="5704">
      <c r="A5704" s="217">
        <v>43585.69721699074</v>
      </c>
      <c r="B5704" s="218" t="s">
        <v>5092</v>
      </c>
      <c r="C5704" s="218" t="s">
        <v>8644</v>
      </c>
      <c r="D5704" s="219">
        <v>1.0</v>
      </c>
      <c r="E5704" s="218">
        <v>2850.0</v>
      </c>
      <c r="G5704" s="220">
        <v>43573.0</v>
      </c>
    </row>
    <row r="5705">
      <c r="A5705" s="217">
        <v>43585.697968796296</v>
      </c>
      <c r="B5705" s="218" t="s">
        <v>5092</v>
      </c>
      <c r="C5705" s="218" t="s">
        <v>737</v>
      </c>
      <c r="D5705" s="219">
        <v>2.0</v>
      </c>
      <c r="E5705" s="218">
        <v>2850.0</v>
      </c>
      <c r="G5705" s="220">
        <v>43573.0</v>
      </c>
    </row>
    <row r="5706">
      <c r="A5706" s="217">
        <v>43585.70110119213</v>
      </c>
      <c r="B5706" s="218" t="s">
        <v>5092</v>
      </c>
      <c r="C5706" s="218" t="s">
        <v>8645</v>
      </c>
      <c r="D5706" s="219">
        <v>1.0</v>
      </c>
      <c r="E5706" s="218">
        <v>2850.0</v>
      </c>
      <c r="G5706" s="220">
        <v>43573.0</v>
      </c>
    </row>
    <row r="5707">
      <c r="A5707" s="217">
        <v>43585.72624408564</v>
      </c>
      <c r="B5707" s="218" t="s">
        <v>5092</v>
      </c>
      <c r="C5707" s="218" t="s">
        <v>738</v>
      </c>
      <c r="D5707" s="219">
        <v>2.0</v>
      </c>
      <c r="E5707" s="218">
        <v>2850.0</v>
      </c>
      <c r="G5707" s="220">
        <v>43573.0</v>
      </c>
    </row>
    <row r="5708">
      <c r="A5708" s="217">
        <v>43585.72741653935</v>
      </c>
      <c r="B5708" s="218" t="s">
        <v>5092</v>
      </c>
      <c r="C5708" s="218" t="s">
        <v>8646</v>
      </c>
      <c r="D5708" s="219">
        <v>2.0</v>
      </c>
      <c r="E5708" s="218">
        <v>2780.0</v>
      </c>
      <c r="G5708" s="220">
        <v>43573.0</v>
      </c>
    </row>
    <row r="5709">
      <c r="A5709" s="217">
        <v>43585.72825712963</v>
      </c>
      <c r="B5709" s="218" t="s">
        <v>5092</v>
      </c>
      <c r="C5709" s="218" t="s">
        <v>8647</v>
      </c>
      <c r="D5709" s="219">
        <v>2.0</v>
      </c>
      <c r="E5709" s="218">
        <v>2780.0</v>
      </c>
      <c r="G5709" s="220">
        <v>43573.0</v>
      </c>
    </row>
    <row r="5710">
      <c r="A5710" s="217">
        <v>43585.730094756946</v>
      </c>
      <c r="B5710" s="218" t="s">
        <v>5092</v>
      </c>
      <c r="C5710" s="218" t="s">
        <v>8648</v>
      </c>
      <c r="D5710" s="219">
        <v>2.0</v>
      </c>
      <c r="E5710" s="218">
        <v>2780.0</v>
      </c>
      <c r="G5710" s="220">
        <v>43573.0</v>
      </c>
    </row>
    <row r="5711">
      <c r="A5711" s="217">
        <v>43585.73093016204</v>
      </c>
      <c r="B5711" s="218" t="s">
        <v>5092</v>
      </c>
      <c r="C5711" s="218" t="s">
        <v>8649</v>
      </c>
      <c r="D5711" s="219">
        <v>1.0</v>
      </c>
      <c r="E5711" s="218">
        <v>2780.0</v>
      </c>
      <c r="G5711" s="220">
        <v>43573.0</v>
      </c>
    </row>
    <row r="5712">
      <c r="A5712" s="217">
        <v>43585.73785976852</v>
      </c>
      <c r="B5712" s="218" t="s">
        <v>5092</v>
      </c>
      <c r="C5712" s="218" t="s">
        <v>8650</v>
      </c>
      <c r="D5712" s="219">
        <v>2.0</v>
      </c>
      <c r="E5712" s="218">
        <v>2590.0</v>
      </c>
      <c r="G5712" s="220">
        <v>43573.0</v>
      </c>
    </row>
    <row r="5713">
      <c r="A5713" s="217">
        <v>43585.73934488426</v>
      </c>
      <c r="B5713" s="218" t="s">
        <v>5092</v>
      </c>
      <c r="C5713" s="218" t="s">
        <v>8651</v>
      </c>
      <c r="D5713" s="219">
        <v>2.0</v>
      </c>
      <c r="E5713" s="218">
        <v>2590.0</v>
      </c>
      <c r="G5713" s="220">
        <v>43573.0</v>
      </c>
    </row>
    <row r="5714">
      <c r="A5714" s="217">
        <v>43585.7402108449</v>
      </c>
      <c r="B5714" s="218" t="s">
        <v>5092</v>
      </c>
      <c r="C5714" s="218" t="s">
        <v>8652</v>
      </c>
      <c r="D5714" s="219">
        <v>2.0</v>
      </c>
      <c r="E5714" s="218">
        <v>2590.0</v>
      </c>
      <c r="G5714" s="220">
        <v>43573.0</v>
      </c>
    </row>
    <row r="5715">
      <c r="A5715" s="217">
        <v>43585.74133453704</v>
      </c>
      <c r="B5715" s="218" t="s">
        <v>5092</v>
      </c>
      <c r="C5715" s="218" t="s">
        <v>8580</v>
      </c>
      <c r="D5715" s="219">
        <v>2.0</v>
      </c>
      <c r="E5715" s="218">
        <v>2590.0</v>
      </c>
      <c r="G5715" s="220">
        <v>43573.0</v>
      </c>
    </row>
    <row r="5716">
      <c r="A5716" s="217">
        <v>43585.74245090278</v>
      </c>
      <c r="B5716" s="218" t="s">
        <v>5092</v>
      </c>
      <c r="C5716" s="218" t="s">
        <v>8653</v>
      </c>
      <c r="D5716" s="219">
        <v>2.0</v>
      </c>
      <c r="E5716" s="218">
        <v>2590.0</v>
      </c>
      <c r="G5716" s="220">
        <v>43573.0</v>
      </c>
    </row>
    <row r="5717">
      <c r="A5717" s="217">
        <v>43585.743852858795</v>
      </c>
      <c r="B5717" s="218" t="s">
        <v>5092</v>
      </c>
      <c r="C5717" s="218" t="s">
        <v>8654</v>
      </c>
      <c r="D5717" s="219">
        <v>2.0</v>
      </c>
      <c r="E5717" s="218">
        <v>2780.0</v>
      </c>
      <c r="G5717" s="220">
        <v>43573.0</v>
      </c>
    </row>
    <row r="5718">
      <c r="A5718" s="217">
        <v>43585.74821810186</v>
      </c>
      <c r="B5718" s="218" t="s">
        <v>5092</v>
      </c>
      <c r="C5718" s="218" t="s">
        <v>8655</v>
      </c>
      <c r="D5718" s="219">
        <v>2.0</v>
      </c>
      <c r="E5718" s="218">
        <v>2780.0</v>
      </c>
      <c r="G5718" s="220">
        <v>43573.0</v>
      </c>
    </row>
    <row r="5719">
      <c r="A5719" s="217">
        <v>43585.74913111111</v>
      </c>
      <c r="B5719" s="218" t="s">
        <v>5092</v>
      </c>
      <c r="C5719" s="218" t="s">
        <v>8656</v>
      </c>
      <c r="D5719" s="219">
        <v>2.0</v>
      </c>
      <c r="E5719" s="218">
        <v>2780.0</v>
      </c>
      <c r="G5719" s="220">
        <v>43573.0</v>
      </c>
    </row>
    <row r="5720">
      <c r="A5720" s="217">
        <v>43585.75017575231</v>
      </c>
      <c r="B5720" s="218" t="s">
        <v>5092</v>
      </c>
      <c r="C5720" s="218" t="s">
        <v>1535</v>
      </c>
      <c r="D5720" s="219">
        <v>2.0</v>
      </c>
      <c r="E5720" s="218">
        <v>2780.0</v>
      </c>
      <c r="G5720" s="220">
        <v>43573.0</v>
      </c>
    </row>
    <row r="5721">
      <c r="A5721" s="217">
        <v>43585.75144289352</v>
      </c>
      <c r="B5721" s="218" t="s">
        <v>5092</v>
      </c>
      <c r="C5721" s="218" t="s">
        <v>8657</v>
      </c>
      <c r="D5721" s="219">
        <v>1.0</v>
      </c>
      <c r="E5721" s="218">
        <v>2780.0</v>
      </c>
      <c r="G5721" s="220">
        <v>43573.0</v>
      </c>
    </row>
    <row r="5722">
      <c r="A5722" s="217">
        <v>43585.753235509255</v>
      </c>
      <c r="B5722" s="218" t="s">
        <v>5092</v>
      </c>
      <c r="C5722" s="218" t="s">
        <v>1543</v>
      </c>
      <c r="D5722" s="219">
        <v>2.0</v>
      </c>
      <c r="E5722" s="218">
        <v>2590.0</v>
      </c>
      <c r="G5722" s="220">
        <v>43573.0</v>
      </c>
    </row>
    <row r="5723">
      <c r="A5723" s="217">
        <v>43585.753977025466</v>
      </c>
      <c r="B5723" s="218" t="s">
        <v>5092</v>
      </c>
      <c r="C5723" s="218" t="s">
        <v>8658</v>
      </c>
      <c r="D5723" s="219">
        <v>2.0</v>
      </c>
      <c r="E5723" s="218">
        <v>2590.0</v>
      </c>
      <c r="G5723" s="220">
        <v>43573.0</v>
      </c>
    </row>
    <row r="5724">
      <c r="A5724" s="217">
        <v>43585.75469290509</v>
      </c>
      <c r="B5724" s="218" t="s">
        <v>5092</v>
      </c>
      <c r="C5724" s="218" t="s">
        <v>1544</v>
      </c>
      <c r="D5724" s="219">
        <v>2.0</v>
      </c>
      <c r="E5724" s="218">
        <v>2590.0</v>
      </c>
      <c r="G5724" s="220">
        <v>43573.0</v>
      </c>
    </row>
    <row r="5725">
      <c r="A5725" s="217">
        <v>43585.755419305555</v>
      </c>
      <c r="B5725" s="218" t="s">
        <v>5092</v>
      </c>
      <c r="C5725" s="218" t="s">
        <v>8659</v>
      </c>
      <c r="D5725" s="219">
        <v>2.0</v>
      </c>
      <c r="E5725" s="218">
        <v>2590.0</v>
      </c>
      <c r="G5725" s="220">
        <v>43573.0</v>
      </c>
    </row>
    <row r="5726">
      <c r="A5726" s="217">
        <v>43585.75824222222</v>
      </c>
      <c r="B5726" s="218" t="s">
        <v>5092</v>
      </c>
      <c r="C5726" s="218" t="s">
        <v>8660</v>
      </c>
      <c r="D5726" s="219">
        <v>2.0</v>
      </c>
      <c r="E5726" s="218">
        <v>2590.0</v>
      </c>
      <c r="G5726" s="220">
        <v>43573.0</v>
      </c>
    </row>
    <row r="5727">
      <c r="A5727" s="217">
        <v>43585.76022539352</v>
      </c>
      <c r="B5727" s="218" t="s">
        <v>5092</v>
      </c>
      <c r="C5727" s="218" t="s">
        <v>8661</v>
      </c>
      <c r="D5727" s="219">
        <v>2.0</v>
      </c>
      <c r="E5727" s="218">
        <v>2590.0</v>
      </c>
      <c r="G5727" s="220">
        <v>43573.0</v>
      </c>
    </row>
    <row r="5728">
      <c r="A5728" s="217">
        <v>43585.76125186343</v>
      </c>
      <c r="B5728" s="218" t="s">
        <v>5092</v>
      </c>
      <c r="C5728" s="218" t="s">
        <v>8662</v>
      </c>
      <c r="D5728" s="219">
        <v>1.0</v>
      </c>
      <c r="E5728" s="218">
        <v>2780.0</v>
      </c>
      <c r="G5728" s="220">
        <v>43573.0</v>
      </c>
    </row>
    <row r="5729">
      <c r="A5729" s="217">
        <v>43585.76246413194</v>
      </c>
      <c r="B5729" s="218" t="s">
        <v>5184</v>
      </c>
      <c r="C5729" s="218" t="s">
        <v>6053</v>
      </c>
      <c r="D5729" s="219">
        <v>1.0</v>
      </c>
      <c r="E5729" s="218">
        <v>300.0</v>
      </c>
      <c r="G5729" s="220">
        <v>43585.0</v>
      </c>
    </row>
    <row r="5730">
      <c r="A5730" s="217">
        <v>43586.43210118056</v>
      </c>
      <c r="B5730" s="218" t="s">
        <v>5092</v>
      </c>
      <c r="C5730" s="218" t="s">
        <v>8643</v>
      </c>
      <c r="D5730" s="219">
        <v>1.0</v>
      </c>
      <c r="E5730" s="218">
        <v>2650.0</v>
      </c>
      <c r="G5730" s="220">
        <v>43573.0</v>
      </c>
    </row>
    <row r="5731">
      <c r="A5731" s="217">
        <v>43586.43353289352</v>
      </c>
      <c r="B5731" s="218" t="s">
        <v>5092</v>
      </c>
      <c r="C5731" s="218" t="s">
        <v>8664</v>
      </c>
      <c r="D5731" s="219">
        <v>2.0</v>
      </c>
      <c r="E5731" s="218">
        <v>2780.0</v>
      </c>
      <c r="G5731" s="220">
        <v>43573.0</v>
      </c>
    </row>
    <row r="5732">
      <c r="A5732" s="217">
        <v>43586.48418387731</v>
      </c>
      <c r="B5732" s="218" t="s">
        <v>5092</v>
      </c>
      <c r="C5732" s="218" t="s">
        <v>8665</v>
      </c>
      <c r="D5732" s="219">
        <v>1.0</v>
      </c>
      <c r="E5732" s="218">
        <v>2780.0</v>
      </c>
      <c r="G5732" s="220">
        <v>43573.0</v>
      </c>
    </row>
    <row r="5733">
      <c r="A5733" s="217">
        <v>43586.48639922454</v>
      </c>
      <c r="B5733" s="218" t="s">
        <v>5092</v>
      </c>
      <c r="C5733" s="218" t="s">
        <v>8666</v>
      </c>
      <c r="D5733" s="219">
        <v>2.0</v>
      </c>
      <c r="E5733" s="218">
        <v>2850.0</v>
      </c>
      <c r="G5733" s="220">
        <v>43573.0</v>
      </c>
    </row>
    <row r="5734">
      <c r="A5734" s="217">
        <v>43586.48737342593</v>
      </c>
      <c r="B5734" s="218" t="s">
        <v>5092</v>
      </c>
      <c r="C5734" s="218" t="s">
        <v>1547</v>
      </c>
      <c r="D5734" s="219">
        <v>2.0</v>
      </c>
      <c r="E5734" s="218">
        <v>2780.0</v>
      </c>
      <c r="G5734" s="220">
        <v>43573.0</v>
      </c>
    </row>
    <row r="5735">
      <c r="A5735" s="217">
        <v>43586.4896502662</v>
      </c>
      <c r="B5735" s="218" t="s">
        <v>5092</v>
      </c>
      <c r="C5735" s="218" t="s">
        <v>8667</v>
      </c>
      <c r="D5735" s="219">
        <v>2.0</v>
      </c>
      <c r="E5735" s="218">
        <v>2850.0</v>
      </c>
      <c r="G5735" s="220">
        <v>43573.0</v>
      </c>
    </row>
    <row r="5736">
      <c r="A5736" s="217">
        <v>43586.49344333333</v>
      </c>
      <c r="B5736" s="218" t="s">
        <v>5092</v>
      </c>
      <c r="C5736" s="218" t="s">
        <v>8668</v>
      </c>
      <c r="D5736" s="219">
        <v>2.0</v>
      </c>
      <c r="E5736" s="218">
        <v>2850.0</v>
      </c>
      <c r="G5736" s="220">
        <v>43573.0</v>
      </c>
    </row>
    <row r="5737">
      <c r="A5737" s="217">
        <v>43586.49426553241</v>
      </c>
      <c r="B5737" s="218" t="s">
        <v>5092</v>
      </c>
      <c r="C5737" s="218" t="s">
        <v>8669</v>
      </c>
      <c r="D5737" s="219">
        <v>1.0</v>
      </c>
      <c r="E5737" s="218">
        <v>2850.0</v>
      </c>
      <c r="G5737" s="220">
        <v>43573.0</v>
      </c>
    </row>
    <row r="5738">
      <c r="A5738" s="217">
        <v>43586.497190752314</v>
      </c>
      <c r="B5738" s="218" t="s">
        <v>5092</v>
      </c>
      <c r="C5738" s="218" t="s">
        <v>8670</v>
      </c>
      <c r="D5738" s="219">
        <v>2.0</v>
      </c>
      <c r="E5738" s="218">
        <v>2850.0</v>
      </c>
      <c r="G5738" s="220">
        <v>43573.0</v>
      </c>
    </row>
    <row r="5739">
      <c r="A5739" s="217">
        <v>43586.49787303241</v>
      </c>
      <c r="B5739" s="218" t="s">
        <v>5092</v>
      </c>
      <c r="C5739" s="218" t="s">
        <v>8671</v>
      </c>
      <c r="D5739" s="219">
        <v>2.0</v>
      </c>
      <c r="E5739" s="218">
        <v>2850.0</v>
      </c>
      <c r="G5739" s="220">
        <v>43573.0</v>
      </c>
    </row>
    <row r="5740">
      <c r="A5740" s="217">
        <v>43586.49970403935</v>
      </c>
      <c r="B5740" s="218" t="s">
        <v>5092</v>
      </c>
      <c r="C5740" s="218" t="s">
        <v>8672</v>
      </c>
      <c r="D5740" s="219">
        <v>2.0</v>
      </c>
      <c r="E5740" s="218">
        <v>2850.0</v>
      </c>
      <c r="G5740" s="220">
        <v>43573.0</v>
      </c>
    </row>
    <row r="5741">
      <c r="A5741" s="217">
        <v>43586.50044853009</v>
      </c>
      <c r="B5741" s="218" t="s">
        <v>5092</v>
      </c>
      <c r="C5741" s="218" t="s">
        <v>8673</v>
      </c>
      <c r="D5741" s="219">
        <v>2.0</v>
      </c>
      <c r="E5741" s="218">
        <v>2950.0</v>
      </c>
      <c r="G5741" s="220">
        <v>43573.0</v>
      </c>
    </row>
    <row r="5742">
      <c r="A5742" s="217">
        <v>43586.50292896991</v>
      </c>
      <c r="B5742" s="218" t="s">
        <v>5092</v>
      </c>
      <c r="C5742" s="218" t="s">
        <v>8674</v>
      </c>
      <c r="D5742" s="219">
        <v>2.0</v>
      </c>
      <c r="E5742" s="218">
        <v>2350.0</v>
      </c>
      <c r="G5742" s="220">
        <v>43573.0</v>
      </c>
    </row>
    <row r="5743">
      <c r="A5743" s="217">
        <v>43586.50378144676</v>
      </c>
      <c r="B5743" s="218" t="s">
        <v>5092</v>
      </c>
      <c r="C5743" s="218" t="s">
        <v>8675</v>
      </c>
      <c r="D5743" s="219">
        <v>2.0</v>
      </c>
      <c r="E5743" s="218">
        <v>2350.0</v>
      </c>
      <c r="G5743" s="220">
        <v>43573.0</v>
      </c>
    </row>
    <row r="5744">
      <c r="A5744" s="217">
        <v>43586.505191874996</v>
      </c>
      <c r="B5744" s="218" t="s">
        <v>5092</v>
      </c>
      <c r="C5744" s="218" t="s">
        <v>8582</v>
      </c>
      <c r="D5744" s="219">
        <v>2.0</v>
      </c>
      <c r="E5744" s="218">
        <v>2350.0</v>
      </c>
      <c r="G5744" s="220">
        <v>43573.0</v>
      </c>
    </row>
    <row r="5745">
      <c r="A5745" s="217">
        <v>43586.506060694446</v>
      </c>
      <c r="B5745" s="218" t="s">
        <v>5092</v>
      </c>
      <c r="C5745" s="218" t="s">
        <v>8676</v>
      </c>
      <c r="D5745" s="219">
        <v>2.0</v>
      </c>
      <c r="E5745" s="218">
        <v>2350.0</v>
      </c>
      <c r="G5745" s="220">
        <v>43573.0</v>
      </c>
    </row>
    <row r="5746">
      <c r="A5746" s="217">
        <v>43586.507016400465</v>
      </c>
      <c r="B5746" s="218" t="s">
        <v>5092</v>
      </c>
      <c r="C5746" s="218" t="s">
        <v>8581</v>
      </c>
      <c r="D5746" s="219">
        <v>2.0</v>
      </c>
      <c r="E5746" s="218">
        <v>2590.0</v>
      </c>
      <c r="G5746" s="220">
        <v>43573.0</v>
      </c>
    </row>
    <row r="5747">
      <c r="A5747" s="217">
        <v>43586.50777113426</v>
      </c>
      <c r="B5747" s="218" t="s">
        <v>5092</v>
      </c>
      <c r="C5747" s="218" t="s">
        <v>8677</v>
      </c>
      <c r="D5747" s="219">
        <v>2.0</v>
      </c>
      <c r="E5747" s="218">
        <v>2590.0</v>
      </c>
      <c r="G5747" s="220">
        <v>43573.0</v>
      </c>
    </row>
    <row r="5748">
      <c r="A5748" s="217">
        <v>43586.508627800926</v>
      </c>
      <c r="B5748" s="218" t="s">
        <v>5092</v>
      </c>
      <c r="C5748" s="218" t="s">
        <v>1553</v>
      </c>
      <c r="D5748" s="219">
        <v>2.0</v>
      </c>
      <c r="E5748" s="218">
        <v>2590.0</v>
      </c>
      <c r="G5748" s="220">
        <v>43573.0</v>
      </c>
    </row>
    <row r="5749">
      <c r="A5749" s="217">
        <v>43586.51000767361</v>
      </c>
      <c r="B5749" s="218" t="s">
        <v>5092</v>
      </c>
      <c r="C5749" s="218" t="s">
        <v>8678</v>
      </c>
      <c r="D5749" s="219">
        <v>2.0</v>
      </c>
      <c r="E5749" s="218">
        <v>2780.0</v>
      </c>
      <c r="G5749" s="220">
        <v>43573.0</v>
      </c>
    </row>
    <row r="5750">
      <c r="A5750" s="217">
        <v>43586.51170928241</v>
      </c>
      <c r="B5750" s="218" t="s">
        <v>5092</v>
      </c>
      <c r="C5750" s="218" t="s">
        <v>8679</v>
      </c>
      <c r="D5750" s="219">
        <v>2.0</v>
      </c>
      <c r="E5750" s="218">
        <v>2350.0</v>
      </c>
      <c r="G5750" s="220">
        <v>43573.0</v>
      </c>
    </row>
    <row r="5751">
      <c r="A5751" s="217">
        <v>43586.51305584491</v>
      </c>
      <c r="B5751" s="218" t="s">
        <v>5092</v>
      </c>
      <c r="C5751" s="218" t="s">
        <v>8680</v>
      </c>
      <c r="D5751" s="219">
        <v>2.0</v>
      </c>
      <c r="E5751" s="218">
        <v>2590.0</v>
      </c>
      <c r="G5751" s="220">
        <v>43573.0</v>
      </c>
    </row>
    <row r="5752">
      <c r="A5752" s="217">
        <v>43586.52364078704</v>
      </c>
      <c r="B5752" s="218" t="s">
        <v>5092</v>
      </c>
      <c r="C5752" s="218" t="s">
        <v>8681</v>
      </c>
      <c r="D5752" s="219">
        <v>2.0</v>
      </c>
      <c r="E5752" s="218">
        <v>2350.0</v>
      </c>
      <c r="G5752" s="220">
        <v>43573.0</v>
      </c>
    </row>
    <row r="5753">
      <c r="A5753" s="217">
        <v>43586.524582743055</v>
      </c>
      <c r="B5753" s="218" t="s">
        <v>5092</v>
      </c>
      <c r="C5753" s="218" t="s">
        <v>8682</v>
      </c>
      <c r="D5753" s="219">
        <v>2.0</v>
      </c>
      <c r="E5753" s="218">
        <v>2350.0</v>
      </c>
      <c r="G5753" s="220">
        <v>43573.0</v>
      </c>
    </row>
    <row r="5754">
      <c r="A5754" s="217">
        <v>43586.52543032407</v>
      </c>
      <c r="B5754" s="218" t="s">
        <v>5092</v>
      </c>
      <c r="C5754" s="218" t="s">
        <v>8683</v>
      </c>
      <c r="D5754" s="219">
        <v>2.0</v>
      </c>
      <c r="E5754" s="218">
        <v>2590.0</v>
      </c>
      <c r="G5754" s="220">
        <v>43573.0</v>
      </c>
    </row>
    <row r="5755">
      <c r="A5755" s="217">
        <v>43586.5261959375</v>
      </c>
      <c r="B5755" s="218" t="s">
        <v>5092</v>
      </c>
      <c r="C5755" s="218" t="s">
        <v>8685</v>
      </c>
      <c r="D5755" s="219">
        <v>2.0</v>
      </c>
      <c r="E5755" s="218">
        <v>2590.0</v>
      </c>
      <c r="G5755" s="220">
        <v>43580.0</v>
      </c>
    </row>
    <row r="5756">
      <c r="A5756" s="217">
        <v>43586.526902303245</v>
      </c>
      <c r="B5756" s="218" t="s">
        <v>5092</v>
      </c>
      <c r="C5756" s="218" t="s">
        <v>8686</v>
      </c>
      <c r="D5756" s="219">
        <v>2.0</v>
      </c>
      <c r="E5756" s="218">
        <v>2780.0</v>
      </c>
      <c r="G5756" s="220">
        <v>43573.0</v>
      </c>
    </row>
    <row r="5757">
      <c r="A5757" s="217">
        <v>43586.527986180554</v>
      </c>
      <c r="B5757" s="218" t="s">
        <v>5092</v>
      </c>
      <c r="C5757" s="218" t="s">
        <v>1555</v>
      </c>
      <c r="D5757" s="219">
        <v>2.0</v>
      </c>
      <c r="E5757" s="218">
        <v>2780.0</v>
      </c>
      <c r="G5757" s="220">
        <v>43573.0</v>
      </c>
    </row>
    <row r="5758">
      <c r="A5758" s="217">
        <v>43586.52892780093</v>
      </c>
      <c r="B5758" s="218" t="s">
        <v>5092</v>
      </c>
      <c r="C5758" s="218" t="s">
        <v>8687</v>
      </c>
      <c r="D5758" s="219">
        <v>2.0</v>
      </c>
      <c r="E5758" s="218">
        <v>2780.0</v>
      </c>
      <c r="G5758" s="220">
        <v>43573.0</v>
      </c>
    </row>
    <row r="5759">
      <c r="A5759" s="217">
        <v>43586.529601898146</v>
      </c>
      <c r="B5759" s="218" t="s">
        <v>5092</v>
      </c>
      <c r="C5759" s="218" t="s">
        <v>1556</v>
      </c>
      <c r="D5759" s="219">
        <v>2.0</v>
      </c>
      <c r="E5759" s="218">
        <v>2780.0</v>
      </c>
      <c r="G5759" s="220">
        <v>43573.0</v>
      </c>
    </row>
    <row r="5760">
      <c r="A5760" s="217">
        <v>43586.531998182865</v>
      </c>
      <c r="B5760" s="218" t="s">
        <v>5092</v>
      </c>
      <c r="C5760" s="218" t="s">
        <v>8688</v>
      </c>
      <c r="D5760" s="219">
        <v>2.0</v>
      </c>
      <c r="E5760" s="218">
        <v>2590.0</v>
      </c>
      <c r="G5760" s="220">
        <v>43573.0</v>
      </c>
    </row>
    <row r="5761">
      <c r="A5761" s="217">
        <v>43586.541882418984</v>
      </c>
      <c r="B5761" s="218" t="s">
        <v>5092</v>
      </c>
      <c r="C5761" s="218" t="s">
        <v>8689</v>
      </c>
      <c r="D5761" s="219">
        <v>2.0</v>
      </c>
      <c r="E5761" s="218">
        <v>2590.0</v>
      </c>
      <c r="G5761" s="220">
        <v>43573.0</v>
      </c>
    </row>
    <row r="5762">
      <c r="A5762" s="217">
        <v>43586.54343546296</v>
      </c>
      <c r="B5762" s="218" t="s">
        <v>5092</v>
      </c>
      <c r="C5762" s="218" t="s">
        <v>8583</v>
      </c>
      <c r="D5762" s="219">
        <v>2.0</v>
      </c>
      <c r="E5762" s="218">
        <v>2590.0</v>
      </c>
      <c r="G5762" s="220">
        <v>43573.0</v>
      </c>
    </row>
    <row r="5763">
      <c r="A5763" s="217">
        <v>43586.545899675926</v>
      </c>
      <c r="B5763" s="218" t="s">
        <v>5092</v>
      </c>
      <c r="C5763" s="218" t="s">
        <v>1557</v>
      </c>
      <c r="D5763" s="219">
        <v>2.0</v>
      </c>
      <c r="E5763" s="218">
        <v>2590.0</v>
      </c>
      <c r="G5763" s="220">
        <v>43573.0</v>
      </c>
    </row>
    <row r="5764">
      <c r="A5764" s="217">
        <v>43586.5478909838</v>
      </c>
      <c r="B5764" s="218" t="s">
        <v>5092</v>
      </c>
      <c r="C5764" s="218" t="s">
        <v>8584</v>
      </c>
      <c r="D5764" s="219">
        <v>2.0</v>
      </c>
      <c r="E5764" s="218">
        <v>2590.0</v>
      </c>
      <c r="G5764" s="220">
        <v>43573.0</v>
      </c>
    </row>
    <row r="5765">
      <c r="A5765" s="217">
        <v>43586.54990859954</v>
      </c>
      <c r="B5765" s="218" t="s">
        <v>5092</v>
      </c>
      <c r="C5765" s="218" t="s">
        <v>1558</v>
      </c>
      <c r="D5765" s="219">
        <v>1.0</v>
      </c>
      <c r="E5765" s="218">
        <v>2590.0</v>
      </c>
      <c r="G5765" s="220">
        <v>43573.0</v>
      </c>
    </row>
    <row r="5766">
      <c r="A5766" s="217">
        <v>43586.55089662037</v>
      </c>
      <c r="B5766" s="218" t="s">
        <v>5092</v>
      </c>
      <c r="C5766" s="218" t="s">
        <v>8690</v>
      </c>
      <c r="D5766" s="219">
        <v>1.0</v>
      </c>
      <c r="E5766" s="218">
        <v>2590.0</v>
      </c>
      <c r="G5766" s="220">
        <v>43573.0</v>
      </c>
    </row>
    <row r="5767">
      <c r="A5767" s="217">
        <v>43586.55192172454</v>
      </c>
      <c r="B5767" s="218" t="s">
        <v>5092</v>
      </c>
      <c r="C5767" s="218" t="s">
        <v>1559</v>
      </c>
      <c r="D5767" s="219">
        <v>2.0</v>
      </c>
      <c r="E5767" s="218">
        <v>2590.0</v>
      </c>
      <c r="G5767" s="220">
        <v>43573.0</v>
      </c>
    </row>
    <row r="5768">
      <c r="A5768" s="217">
        <v>43586.55287378472</v>
      </c>
      <c r="B5768" s="218" t="s">
        <v>5092</v>
      </c>
      <c r="C5768" s="218" t="s">
        <v>8691</v>
      </c>
      <c r="D5768" s="219">
        <v>2.0</v>
      </c>
      <c r="E5768" s="218">
        <v>2350.0</v>
      </c>
      <c r="G5768" s="220">
        <v>43573.0</v>
      </c>
    </row>
    <row r="5769">
      <c r="A5769" s="217">
        <v>43586.55428945602</v>
      </c>
      <c r="B5769" s="218" t="s">
        <v>5092</v>
      </c>
      <c r="C5769" s="218" t="s">
        <v>8692</v>
      </c>
      <c r="D5769" s="219">
        <v>1.0</v>
      </c>
      <c r="E5769" s="218">
        <v>2590.0</v>
      </c>
      <c r="G5769" s="220">
        <v>43573.0</v>
      </c>
    </row>
    <row r="5770">
      <c r="A5770" s="217">
        <v>43586.55595163195</v>
      </c>
      <c r="B5770" s="218" t="s">
        <v>5092</v>
      </c>
      <c r="C5770" s="218" t="s">
        <v>8693</v>
      </c>
      <c r="D5770" s="219">
        <v>1.0</v>
      </c>
      <c r="E5770" s="218">
        <v>1098.0</v>
      </c>
      <c r="G5770" s="220">
        <v>43573.0</v>
      </c>
    </row>
    <row r="5771">
      <c r="A5771" s="217">
        <v>43586.55716096065</v>
      </c>
      <c r="B5771" s="218" t="s">
        <v>5092</v>
      </c>
      <c r="C5771" s="218" t="s">
        <v>8694</v>
      </c>
      <c r="D5771" s="219">
        <v>1.0</v>
      </c>
      <c r="E5771" s="218">
        <v>2950.0</v>
      </c>
      <c r="G5771" s="220">
        <v>43573.0</v>
      </c>
    </row>
    <row r="5772">
      <c r="A5772" s="217">
        <v>43586.55859987269</v>
      </c>
      <c r="B5772" s="218" t="s">
        <v>5092</v>
      </c>
      <c r="C5772" s="218" t="s">
        <v>8695</v>
      </c>
      <c r="D5772" s="219">
        <v>1.0</v>
      </c>
      <c r="E5772" s="218">
        <v>2950.0</v>
      </c>
      <c r="G5772" s="220">
        <v>43573.0</v>
      </c>
    </row>
    <row r="5773">
      <c r="A5773" s="217">
        <v>43586.55960178241</v>
      </c>
      <c r="B5773" s="218" t="s">
        <v>5092</v>
      </c>
      <c r="C5773" s="218" t="s">
        <v>8696</v>
      </c>
      <c r="D5773" s="219">
        <v>1.0</v>
      </c>
      <c r="E5773" s="24"/>
      <c r="G5773" s="220">
        <v>43573.0</v>
      </c>
    </row>
    <row r="5774">
      <c r="A5774" s="217">
        <v>43586.561076770835</v>
      </c>
      <c r="B5774" s="218" t="s">
        <v>5092</v>
      </c>
      <c r="C5774" s="218" t="s">
        <v>8697</v>
      </c>
      <c r="D5774" s="219">
        <v>1.0</v>
      </c>
      <c r="E5774" s="218">
        <v>2950.0</v>
      </c>
      <c r="G5774" s="220">
        <v>43573.0</v>
      </c>
    </row>
    <row r="5775">
      <c r="A5775" s="217">
        <v>43586.565528287036</v>
      </c>
      <c r="B5775" s="218" t="s">
        <v>5092</v>
      </c>
      <c r="C5775" s="218" t="s">
        <v>8585</v>
      </c>
      <c r="D5775" s="219">
        <v>1.0</v>
      </c>
      <c r="E5775" s="218">
        <v>2950.0</v>
      </c>
      <c r="G5775" s="220">
        <v>43573.0</v>
      </c>
    </row>
    <row r="5776">
      <c r="A5776" s="217">
        <v>43586.56663888889</v>
      </c>
      <c r="B5776" s="218" t="s">
        <v>5092</v>
      </c>
      <c r="C5776" s="218" t="s">
        <v>1560</v>
      </c>
      <c r="D5776" s="219">
        <v>1.0</v>
      </c>
      <c r="E5776" s="218">
        <v>2950.0</v>
      </c>
      <c r="G5776" s="220">
        <v>43573.0</v>
      </c>
    </row>
    <row r="5777">
      <c r="A5777" s="217">
        <v>43586.56752690973</v>
      </c>
      <c r="B5777" s="218" t="s">
        <v>5092</v>
      </c>
      <c r="C5777" s="218" t="s">
        <v>8698</v>
      </c>
      <c r="D5777" s="219">
        <v>1.0</v>
      </c>
      <c r="E5777" s="218">
        <v>2950.0</v>
      </c>
      <c r="G5777" s="220">
        <v>43573.0</v>
      </c>
    </row>
    <row r="5778">
      <c r="A5778" s="217">
        <v>43586.56863005787</v>
      </c>
      <c r="B5778" s="218" t="s">
        <v>5092</v>
      </c>
      <c r="C5778" s="218" t="s">
        <v>8699</v>
      </c>
      <c r="D5778" s="219">
        <v>1.0</v>
      </c>
      <c r="E5778" s="218">
        <v>2950.0</v>
      </c>
      <c r="G5778" s="220">
        <v>43573.0</v>
      </c>
    </row>
    <row r="5779">
      <c r="A5779" s="217">
        <v>43586.569766608794</v>
      </c>
      <c r="B5779" s="218" t="s">
        <v>5092</v>
      </c>
      <c r="C5779" s="218" t="s">
        <v>1566</v>
      </c>
      <c r="D5779" s="219">
        <v>2.0</v>
      </c>
      <c r="E5779" s="218">
        <v>2850.0</v>
      </c>
      <c r="G5779" s="220">
        <v>43573.0</v>
      </c>
    </row>
    <row r="5780">
      <c r="A5780" s="217">
        <v>43586.570960763886</v>
      </c>
      <c r="B5780" s="218" t="s">
        <v>5092</v>
      </c>
      <c r="C5780" s="218" t="s">
        <v>8700</v>
      </c>
      <c r="D5780" s="219">
        <v>2.0</v>
      </c>
      <c r="E5780" s="218">
        <v>2850.0</v>
      </c>
      <c r="G5780" s="220">
        <v>43573.0</v>
      </c>
    </row>
    <row r="5781">
      <c r="A5781" s="217">
        <v>43586.57752142361</v>
      </c>
      <c r="B5781" s="218" t="s">
        <v>5092</v>
      </c>
      <c r="C5781" s="218" t="s">
        <v>1568</v>
      </c>
      <c r="D5781" s="219">
        <v>2.0</v>
      </c>
      <c r="E5781" s="218">
        <v>2850.0</v>
      </c>
      <c r="G5781" s="220">
        <v>43573.0</v>
      </c>
    </row>
    <row r="5782">
      <c r="A5782" s="217">
        <v>43586.57923741898</v>
      </c>
      <c r="B5782" s="218" t="s">
        <v>5092</v>
      </c>
      <c r="C5782" s="218" t="s">
        <v>8701</v>
      </c>
      <c r="D5782" s="219">
        <v>2.0</v>
      </c>
      <c r="E5782" s="24"/>
      <c r="G5782" s="220">
        <v>43573.0</v>
      </c>
    </row>
    <row r="5783">
      <c r="A5783" s="217">
        <v>43586.58045584491</v>
      </c>
      <c r="B5783" s="218" t="s">
        <v>5092</v>
      </c>
      <c r="C5783" s="218" t="s">
        <v>8702</v>
      </c>
      <c r="D5783" s="219">
        <v>2.0</v>
      </c>
      <c r="E5783" s="218">
        <v>2850.0</v>
      </c>
      <c r="G5783" s="220">
        <v>43573.0</v>
      </c>
    </row>
    <row r="5784">
      <c r="A5784" s="217">
        <v>43586.58151503472</v>
      </c>
      <c r="B5784" s="218" t="s">
        <v>5092</v>
      </c>
      <c r="C5784" s="218" t="s">
        <v>8703</v>
      </c>
      <c r="D5784" s="219">
        <v>2.0</v>
      </c>
      <c r="E5784" s="218">
        <v>2850.0</v>
      </c>
      <c r="G5784" s="220">
        <v>43573.0</v>
      </c>
    </row>
    <row r="5785">
      <c r="A5785" s="217">
        <v>43586.58245984954</v>
      </c>
      <c r="B5785" s="218" t="s">
        <v>5092</v>
      </c>
      <c r="C5785" s="218" t="s">
        <v>8704</v>
      </c>
      <c r="D5785" s="219">
        <v>2.0</v>
      </c>
      <c r="E5785" s="218">
        <v>2850.0</v>
      </c>
      <c r="G5785" s="220">
        <v>43573.0</v>
      </c>
    </row>
    <row r="5786">
      <c r="A5786" s="217">
        <v>43586.58344743056</v>
      </c>
      <c r="B5786" s="218" t="s">
        <v>5092</v>
      </c>
      <c r="C5786" s="218" t="s">
        <v>8705</v>
      </c>
      <c r="D5786" s="219">
        <v>2.0</v>
      </c>
      <c r="E5786" s="218">
        <v>2850.0</v>
      </c>
      <c r="G5786" s="220">
        <v>43514.0</v>
      </c>
    </row>
    <row r="5787">
      <c r="A5787" s="217">
        <v>43586.67129358796</v>
      </c>
      <c r="B5787" s="218" t="s">
        <v>5092</v>
      </c>
      <c r="C5787" s="218" t="s">
        <v>8161</v>
      </c>
      <c r="D5787" s="219">
        <v>240.0</v>
      </c>
      <c r="E5787" s="218">
        <v>300.0</v>
      </c>
      <c r="G5787" s="220">
        <v>43577.0</v>
      </c>
    </row>
    <row r="5788">
      <c r="A5788" s="217">
        <v>43586.67266405093</v>
      </c>
      <c r="B5788" s="218" t="s">
        <v>5092</v>
      </c>
      <c r="C5788" s="218" t="s">
        <v>8161</v>
      </c>
      <c r="D5788" s="219">
        <v>840.0</v>
      </c>
      <c r="E5788" s="218">
        <v>300.0</v>
      </c>
      <c r="G5788" s="220">
        <v>43577.0</v>
      </c>
    </row>
    <row r="5789">
      <c r="A5789" s="217">
        <v>43586.67435061342</v>
      </c>
      <c r="B5789" s="218" t="s">
        <v>5092</v>
      </c>
      <c r="C5789" s="218" t="s">
        <v>8161</v>
      </c>
      <c r="D5789" s="219">
        <v>730.0</v>
      </c>
      <c r="E5789" s="218">
        <v>300.0</v>
      </c>
      <c r="G5789" s="220">
        <v>43577.0</v>
      </c>
    </row>
    <row r="5790">
      <c r="A5790" s="217">
        <v>43586.67617015046</v>
      </c>
      <c r="B5790" s="218" t="s">
        <v>5092</v>
      </c>
      <c r="C5790" s="218" t="s">
        <v>8161</v>
      </c>
      <c r="D5790" s="219">
        <v>225.0</v>
      </c>
      <c r="E5790" s="218">
        <v>300.0</v>
      </c>
      <c r="G5790" s="220">
        <v>43577.0</v>
      </c>
    </row>
    <row r="5791">
      <c r="A5791" s="217">
        <v>43586.678203310184</v>
      </c>
      <c r="B5791" s="218" t="s">
        <v>5092</v>
      </c>
      <c r="C5791" s="218" t="s">
        <v>8161</v>
      </c>
      <c r="D5791" s="219">
        <v>24.0</v>
      </c>
      <c r="E5791" s="218">
        <v>1000.0</v>
      </c>
      <c r="G5791" s="220">
        <v>43577.0</v>
      </c>
    </row>
    <row r="5792">
      <c r="A5792" s="217">
        <v>43586.67910951389</v>
      </c>
      <c r="B5792" s="218" t="s">
        <v>5092</v>
      </c>
      <c r="C5792" s="218" t="s">
        <v>8708</v>
      </c>
      <c r="D5792" s="219">
        <v>204.0</v>
      </c>
      <c r="E5792" s="218">
        <v>100.0</v>
      </c>
      <c r="G5792" s="220">
        <v>43577.0</v>
      </c>
    </row>
    <row r="5793">
      <c r="A5793" s="217">
        <v>43586.68775653935</v>
      </c>
      <c r="B5793" s="218" t="s">
        <v>5184</v>
      </c>
      <c r="C5793" s="218" t="s">
        <v>5848</v>
      </c>
      <c r="D5793" s="219">
        <v>1.0</v>
      </c>
      <c r="E5793" s="218">
        <v>1000.0</v>
      </c>
      <c r="G5793" s="220">
        <v>43615.0</v>
      </c>
    </row>
    <row r="5794">
      <c r="A5794" s="217">
        <v>43586.68939594907</v>
      </c>
      <c r="B5794" s="218" t="s">
        <v>5184</v>
      </c>
      <c r="C5794" s="218" t="s">
        <v>7007</v>
      </c>
      <c r="D5794" s="219">
        <v>1.0</v>
      </c>
      <c r="E5794" s="218">
        <v>2400.0</v>
      </c>
      <c r="G5794" s="220">
        <v>43585.0</v>
      </c>
    </row>
    <row r="5795">
      <c r="A5795" s="217">
        <v>43586.69177435186</v>
      </c>
      <c r="B5795" s="218" t="s">
        <v>5184</v>
      </c>
      <c r="C5795" s="218" t="s">
        <v>8072</v>
      </c>
      <c r="D5795" s="219">
        <v>1.0</v>
      </c>
      <c r="E5795" s="218">
        <v>500.0</v>
      </c>
      <c r="G5795" s="220">
        <v>43585.0</v>
      </c>
    </row>
    <row r="5796">
      <c r="A5796" s="217">
        <v>43586.69237497685</v>
      </c>
      <c r="B5796" s="218" t="s">
        <v>5184</v>
      </c>
      <c r="C5796" s="218" t="s">
        <v>7526</v>
      </c>
      <c r="D5796" s="219">
        <v>1.0</v>
      </c>
      <c r="E5796" s="218">
        <v>1000.0</v>
      </c>
      <c r="G5796" s="220">
        <v>43585.0</v>
      </c>
    </row>
    <row r="5797">
      <c r="A5797" s="217">
        <v>43586.704664351855</v>
      </c>
      <c r="B5797" s="218" t="s">
        <v>5184</v>
      </c>
      <c r="C5797" s="218" t="s">
        <v>7800</v>
      </c>
      <c r="D5797" s="219">
        <v>1.0</v>
      </c>
      <c r="E5797" s="218">
        <v>300.0</v>
      </c>
      <c r="G5797" s="220">
        <v>43586.0</v>
      </c>
    </row>
    <row r="5798">
      <c r="A5798" s="217">
        <v>43586.7052335301</v>
      </c>
      <c r="B5798" s="218" t="s">
        <v>5184</v>
      </c>
      <c r="C5798" s="218" t="s">
        <v>8713</v>
      </c>
      <c r="D5798" s="219">
        <v>1.0</v>
      </c>
      <c r="E5798" s="218">
        <v>300.0</v>
      </c>
      <c r="G5798" s="220">
        <v>43586.0</v>
      </c>
    </row>
    <row r="5799">
      <c r="A5799" s="217">
        <v>43586.70588916667</v>
      </c>
      <c r="B5799" s="218" t="s">
        <v>5184</v>
      </c>
      <c r="C5799" s="218" t="s">
        <v>7800</v>
      </c>
      <c r="D5799" s="219">
        <v>1.0</v>
      </c>
      <c r="E5799" s="218">
        <v>250.0</v>
      </c>
      <c r="G5799" s="220">
        <v>43586.0</v>
      </c>
    </row>
    <row r="5800">
      <c r="A5800" s="217">
        <v>43586.70646828704</v>
      </c>
      <c r="B5800" s="218" t="s">
        <v>5184</v>
      </c>
      <c r="C5800" s="218" t="s">
        <v>6053</v>
      </c>
      <c r="D5800" s="219">
        <v>1.0</v>
      </c>
      <c r="E5800" s="218">
        <v>300.0</v>
      </c>
      <c r="G5800" s="220">
        <v>43586.0</v>
      </c>
    </row>
    <row r="5801">
      <c r="A5801" s="217">
        <v>43586.707058761574</v>
      </c>
      <c r="B5801" s="218" t="s">
        <v>5184</v>
      </c>
      <c r="C5801" s="218" t="s">
        <v>5786</v>
      </c>
      <c r="D5801" s="219">
        <v>1.0</v>
      </c>
      <c r="E5801" s="218">
        <v>300.0</v>
      </c>
      <c r="G5801" s="220">
        <v>43586.0</v>
      </c>
    </row>
    <row r="5802">
      <c r="A5802" s="217">
        <v>43586.70750127315</v>
      </c>
      <c r="B5802" s="218" t="s">
        <v>5184</v>
      </c>
      <c r="C5802" s="218" t="s">
        <v>6053</v>
      </c>
      <c r="D5802" s="219">
        <v>1.0</v>
      </c>
      <c r="E5802" s="218">
        <v>300.0</v>
      </c>
      <c r="G5802" s="220">
        <v>43586.0</v>
      </c>
    </row>
    <row r="5803">
      <c r="A5803" s="217">
        <v>43586.734067199075</v>
      </c>
      <c r="B5803" s="218" t="s">
        <v>5092</v>
      </c>
      <c r="C5803" s="218" t="s">
        <v>1558</v>
      </c>
      <c r="D5803" s="219">
        <v>1.0</v>
      </c>
      <c r="E5803" s="218">
        <v>2590.0</v>
      </c>
      <c r="G5803" s="220">
        <v>43573.0</v>
      </c>
    </row>
    <row r="5804">
      <c r="A5804" s="217">
        <v>43586.73536892361</v>
      </c>
      <c r="B5804" s="218" t="s">
        <v>5092</v>
      </c>
      <c r="C5804" s="218" t="s">
        <v>8692</v>
      </c>
      <c r="D5804" s="219">
        <v>1.0</v>
      </c>
      <c r="E5804" s="218">
        <v>2590.0</v>
      </c>
      <c r="G5804" s="220">
        <v>43573.0</v>
      </c>
    </row>
    <row r="5805">
      <c r="A5805" s="217">
        <v>43586.75239196759</v>
      </c>
      <c r="B5805" s="218" t="s">
        <v>5184</v>
      </c>
      <c r="C5805" s="218" t="s">
        <v>7800</v>
      </c>
      <c r="D5805" s="219">
        <v>1.0</v>
      </c>
      <c r="E5805" s="218">
        <v>250.0</v>
      </c>
      <c r="G5805" s="220">
        <v>43586.0</v>
      </c>
    </row>
    <row r="5806">
      <c r="A5806" s="217">
        <v>43586.7529455787</v>
      </c>
      <c r="B5806" s="218" t="s">
        <v>5184</v>
      </c>
      <c r="C5806" s="218" t="s">
        <v>6053</v>
      </c>
      <c r="D5806" s="219">
        <v>1.0</v>
      </c>
      <c r="E5806" s="218">
        <v>300.0</v>
      </c>
      <c r="G5806" s="220">
        <v>43586.0</v>
      </c>
    </row>
    <row r="5807">
      <c r="A5807" s="217">
        <v>43586.75352076389</v>
      </c>
      <c r="B5807" s="218" t="s">
        <v>5184</v>
      </c>
      <c r="C5807" s="218" t="s">
        <v>6053</v>
      </c>
      <c r="D5807" s="219">
        <v>1.0</v>
      </c>
      <c r="E5807" s="218">
        <v>300.0</v>
      </c>
      <c r="G5807" s="220">
        <v>43586.0</v>
      </c>
    </row>
    <row r="5808">
      <c r="A5808" s="217">
        <v>43586.75442413194</v>
      </c>
      <c r="B5808" s="218" t="s">
        <v>5184</v>
      </c>
      <c r="C5808" s="218" t="s">
        <v>5786</v>
      </c>
      <c r="D5808" s="219">
        <v>1.0</v>
      </c>
      <c r="E5808" s="218">
        <v>300.0</v>
      </c>
      <c r="G5808" s="220">
        <v>43586.0</v>
      </c>
    </row>
    <row r="5809">
      <c r="A5809" s="217">
        <v>43586.75507115741</v>
      </c>
      <c r="B5809" s="218" t="s">
        <v>5184</v>
      </c>
      <c r="C5809" s="218" t="s">
        <v>7806</v>
      </c>
      <c r="D5809" s="219">
        <v>1.0</v>
      </c>
      <c r="E5809" s="218">
        <v>600.0</v>
      </c>
      <c r="G5809" s="220">
        <v>43586.0</v>
      </c>
    </row>
    <row r="5810">
      <c r="A5810" s="217">
        <v>43587.58982195602</v>
      </c>
      <c r="B5810" s="218" t="s">
        <v>5184</v>
      </c>
      <c r="C5810" s="218" t="s">
        <v>7800</v>
      </c>
      <c r="D5810" s="219">
        <v>1.0</v>
      </c>
      <c r="E5810" s="218">
        <v>200.0</v>
      </c>
      <c r="G5810" s="220">
        <v>43587.0</v>
      </c>
    </row>
    <row r="5811">
      <c r="A5811" s="217">
        <v>43587.59041721065</v>
      </c>
      <c r="B5811" s="218" t="s">
        <v>5184</v>
      </c>
      <c r="C5811" s="218" t="s">
        <v>6053</v>
      </c>
      <c r="D5811" s="219">
        <v>1.0</v>
      </c>
      <c r="E5811" s="218">
        <v>300.0</v>
      </c>
      <c r="G5811" s="220">
        <v>43587.0</v>
      </c>
    </row>
    <row r="5812">
      <c r="A5812" s="217">
        <v>43587.59202793981</v>
      </c>
      <c r="B5812" s="218" t="s">
        <v>5184</v>
      </c>
      <c r="C5812" s="218" t="s">
        <v>7800</v>
      </c>
      <c r="D5812" s="219">
        <v>1.0</v>
      </c>
      <c r="E5812" s="218">
        <v>200.0</v>
      </c>
      <c r="G5812" s="220">
        <v>43587.0</v>
      </c>
    </row>
    <row r="5813">
      <c r="A5813" s="217">
        <v>43587.59249019676</v>
      </c>
      <c r="B5813" s="218" t="s">
        <v>5184</v>
      </c>
      <c r="C5813" s="218" t="s">
        <v>6053</v>
      </c>
      <c r="D5813" s="219">
        <v>1.0</v>
      </c>
      <c r="E5813" s="218">
        <v>300.0</v>
      </c>
      <c r="G5813" s="220">
        <v>43587.0</v>
      </c>
    </row>
    <row r="5814">
      <c r="A5814" s="217">
        <v>43587.59344658565</v>
      </c>
      <c r="B5814" s="218" t="s">
        <v>5184</v>
      </c>
      <c r="C5814" s="218" t="s">
        <v>6053</v>
      </c>
      <c r="D5814" s="219" t="s">
        <v>7547</v>
      </c>
      <c r="E5814" s="218">
        <v>150.0</v>
      </c>
      <c r="G5814" s="220">
        <v>43587.0</v>
      </c>
    </row>
    <row r="5815">
      <c r="A5815" s="217">
        <v>43587.59685141203</v>
      </c>
      <c r="B5815" s="218" t="s">
        <v>5184</v>
      </c>
      <c r="C5815" s="218" t="s">
        <v>7800</v>
      </c>
      <c r="D5815" s="219">
        <v>1.0</v>
      </c>
      <c r="E5815" s="218">
        <v>250.0</v>
      </c>
      <c r="G5815" s="220">
        <v>43587.0</v>
      </c>
    </row>
    <row r="5816">
      <c r="A5816" s="217">
        <v>43587.597705532404</v>
      </c>
      <c r="B5816" s="218" t="s">
        <v>5184</v>
      </c>
      <c r="C5816" s="218" t="s">
        <v>6053</v>
      </c>
      <c r="D5816" s="219">
        <v>1.0</v>
      </c>
      <c r="E5816" s="218">
        <v>300.0</v>
      </c>
      <c r="G5816" s="220">
        <v>43587.0</v>
      </c>
    </row>
    <row r="5817">
      <c r="A5817" s="217">
        <v>43587.741309062505</v>
      </c>
      <c r="B5817" s="218" t="s">
        <v>5184</v>
      </c>
      <c r="C5817" s="218" t="s">
        <v>5786</v>
      </c>
      <c r="D5817" s="219">
        <v>1.0</v>
      </c>
      <c r="E5817" s="218">
        <v>300.0</v>
      </c>
      <c r="G5817" s="220">
        <v>43587.0</v>
      </c>
    </row>
    <row r="5818">
      <c r="A5818" s="217">
        <v>43587.742595185184</v>
      </c>
      <c r="B5818" s="218" t="s">
        <v>5184</v>
      </c>
      <c r="C5818" s="218" t="s">
        <v>6053</v>
      </c>
      <c r="D5818" s="219">
        <v>1.0</v>
      </c>
      <c r="E5818" s="218">
        <v>300.0</v>
      </c>
      <c r="G5818" s="220">
        <v>43587.0</v>
      </c>
    </row>
    <row r="5819">
      <c r="A5819" s="217">
        <v>43587.74401241898</v>
      </c>
      <c r="B5819" s="218" t="s">
        <v>5184</v>
      </c>
      <c r="C5819" s="218" t="s">
        <v>284</v>
      </c>
      <c r="D5819" s="219">
        <v>1.0</v>
      </c>
      <c r="E5819" s="218">
        <v>500.0</v>
      </c>
      <c r="G5819" s="220">
        <v>43587.0</v>
      </c>
    </row>
    <row r="5820">
      <c r="A5820" s="217">
        <v>43588.43992614583</v>
      </c>
      <c r="B5820" s="218" t="s">
        <v>5184</v>
      </c>
      <c r="C5820" s="218" t="s">
        <v>1559</v>
      </c>
      <c r="D5820" s="219">
        <v>2.0</v>
      </c>
      <c r="E5820" s="218">
        <v>2590.0</v>
      </c>
      <c r="G5820" s="220">
        <v>43584.0</v>
      </c>
    </row>
    <row r="5821">
      <c r="A5821" s="217">
        <v>43588.44172685185</v>
      </c>
      <c r="B5821" s="218" t="s">
        <v>5184</v>
      </c>
      <c r="C5821" s="218" t="s">
        <v>8724</v>
      </c>
      <c r="D5821" s="219">
        <v>2.0</v>
      </c>
      <c r="E5821" s="218">
        <v>2850.0</v>
      </c>
      <c r="G5821" s="220">
        <v>43584.0</v>
      </c>
    </row>
    <row r="5822">
      <c r="A5822" s="217">
        <v>43588.44317372685</v>
      </c>
      <c r="B5822" s="218" t="s">
        <v>5184</v>
      </c>
      <c r="C5822" s="218" t="s">
        <v>8641</v>
      </c>
      <c r="D5822" s="219">
        <v>2.0</v>
      </c>
      <c r="E5822" s="218">
        <v>2650.0</v>
      </c>
      <c r="G5822" s="220">
        <v>43584.0</v>
      </c>
    </row>
    <row r="5823">
      <c r="A5823" s="217">
        <v>43588.446219467594</v>
      </c>
      <c r="B5823" s="218" t="s">
        <v>5184</v>
      </c>
      <c r="C5823" s="218" t="s">
        <v>8677</v>
      </c>
      <c r="D5823" s="219">
        <v>1.0</v>
      </c>
      <c r="E5823" s="218">
        <v>2590.0</v>
      </c>
      <c r="G5823" s="220">
        <v>43584.0</v>
      </c>
    </row>
    <row r="5824">
      <c r="A5824" s="217">
        <v>43588.447060590275</v>
      </c>
      <c r="B5824" s="218" t="s">
        <v>5184</v>
      </c>
      <c r="C5824" s="218" t="s">
        <v>1556</v>
      </c>
      <c r="D5824" s="219">
        <v>1.0</v>
      </c>
      <c r="E5824" s="218">
        <v>2780.0</v>
      </c>
      <c r="G5824" s="220">
        <v>43584.0</v>
      </c>
    </row>
    <row r="5825">
      <c r="A5825" s="217">
        <v>43588.50652188658</v>
      </c>
      <c r="B5825" s="218" t="s">
        <v>5184</v>
      </c>
      <c r="C5825" s="218" t="s">
        <v>8691</v>
      </c>
      <c r="D5825" s="219">
        <v>2.0</v>
      </c>
      <c r="E5825" s="218">
        <v>2350.0</v>
      </c>
      <c r="G5825" s="220">
        <v>43584.0</v>
      </c>
    </row>
    <row r="5826">
      <c r="A5826" s="217">
        <v>43588.50751177083</v>
      </c>
      <c r="B5826" s="218" t="s">
        <v>5184</v>
      </c>
      <c r="C5826" s="218" t="s">
        <v>8690</v>
      </c>
      <c r="D5826" s="219">
        <v>1.0</v>
      </c>
      <c r="E5826" s="218">
        <v>2590.0</v>
      </c>
      <c r="G5826" s="220">
        <v>43584.0</v>
      </c>
    </row>
    <row r="5827">
      <c r="A5827" s="217">
        <v>43588.5087362037</v>
      </c>
      <c r="B5827" s="218" t="s">
        <v>5184</v>
      </c>
      <c r="C5827" s="218" t="s">
        <v>8583</v>
      </c>
      <c r="D5827" s="219">
        <v>1.0</v>
      </c>
      <c r="E5827" s="218">
        <v>2590.0</v>
      </c>
      <c r="G5827" s="220">
        <v>43584.0</v>
      </c>
    </row>
    <row r="5828">
      <c r="A5828" s="217">
        <v>43588.53032023148</v>
      </c>
      <c r="B5828" s="218" t="s">
        <v>5184</v>
      </c>
      <c r="C5828" s="218" t="s">
        <v>8682</v>
      </c>
      <c r="D5828" s="219">
        <v>1.0</v>
      </c>
      <c r="E5828" s="218">
        <v>2350.0</v>
      </c>
      <c r="G5828" s="220">
        <v>43584.0</v>
      </c>
    </row>
    <row r="5829">
      <c r="A5829" s="217">
        <v>43588.53117569444</v>
      </c>
      <c r="B5829" s="218" t="s">
        <v>5184</v>
      </c>
      <c r="C5829" s="218" t="s">
        <v>8681</v>
      </c>
      <c r="D5829" s="219">
        <v>1.0</v>
      </c>
      <c r="E5829" s="218">
        <v>2350.0</v>
      </c>
      <c r="G5829" s="220">
        <v>43584.0</v>
      </c>
    </row>
    <row r="5830">
      <c r="A5830" s="217">
        <v>43588.53220700231</v>
      </c>
      <c r="B5830" s="218" t="s">
        <v>5184</v>
      </c>
      <c r="C5830" s="218" t="s">
        <v>8683</v>
      </c>
      <c r="D5830" s="219">
        <v>1.0</v>
      </c>
      <c r="E5830" s="218">
        <v>2590.0</v>
      </c>
      <c r="G5830" s="220">
        <v>43584.0</v>
      </c>
    </row>
    <row r="5831">
      <c r="A5831" s="217">
        <v>43588.53337929398</v>
      </c>
      <c r="B5831" s="218" t="s">
        <v>5184</v>
      </c>
      <c r="C5831" s="218" t="s">
        <v>1555</v>
      </c>
      <c r="D5831" s="219">
        <v>1.0</v>
      </c>
      <c r="E5831" s="218">
        <v>2780.0</v>
      </c>
      <c r="G5831" s="220">
        <v>43584.0</v>
      </c>
    </row>
    <row r="5832">
      <c r="A5832" s="217">
        <v>43588.53430684027</v>
      </c>
      <c r="B5832" s="218" t="s">
        <v>5184</v>
      </c>
      <c r="C5832" s="218" t="s">
        <v>8676</v>
      </c>
      <c r="D5832" s="219">
        <v>2.0</v>
      </c>
      <c r="E5832" s="218">
        <v>2350.0</v>
      </c>
      <c r="G5832" s="220">
        <v>43584.0</v>
      </c>
    </row>
    <row r="5833">
      <c r="A5833" s="217">
        <v>43588.53582362269</v>
      </c>
      <c r="B5833" s="218" t="s">
        <v>5184</v>
      </c>
      <c r="C5833" s="218" t="s">
        <v>8640</v>
      </c>
      <c r="D5833" s="219">
        <v>1.0</v>
      </c>
      <c r="E5833" s="218">
        <v>2650.0</v>
      </c>
      <c r="G5833" s="220">
        <v>43584.0</v>
      </c>
    </row>
    <row r="5834">
      <c r="A5834" s="217">
        <v>43588.53725538195</v>
      </c>
      <c r="B5834" s="218" t="s">
        <v>5184</v>
      </c>
      <c r="C5834" s="218" t="s">
        <v>8679</v>
      </c>
      <c r="D5834" s="219">
        <v>1.0</v>
      </c>
      <c r="E5834" s="218">
        <v>2350.0</v>
      </c>
      <c r="G5834" s="220">
        <v>43584.0</v>
      </c>
    </row>
    <row r="5835">
      <c r="A5835" s="217">
        <v>43588.53836472222</v>
      </c>
      <c r="B5835" s="218" t="s">
        <v>5184</v>
      </c>
      <c r="C5835" s="218" t="s">
        <v>8686</v>
      </c>
      <c r="D5835" s="219">
        <v>1.0</v>
      </c>
      <c r="E5835" s="218">
        <v>2780.0</v>
      </c>
      <c r="G5835" s="220">
        <v>43584.0</v>
      </c>
    </row>
    <row r="5836">
      <c r="A5836" s="217">
        <v>43588.53911848379</v>
      </c>
      <c r="B5836" s="218" t="s">
        <v>5184</v>
      </c>
      <c r="C5836" s="218" t="s">
        <v>8643</v>
      </c>
      <c r="D5836" s="219">
        <v>1.0</v>
      </c>
      <c r="E5836" s="218">
        <v>2650.0</v>
      </c>
      <c r="G5836" s="220">
        <v>43584.0</v>
      </c>
    </row>
    <row r="5837">
      <c r="A5837" s="217">
        <v>43588.54012413195</v>
      </c>
      <c r="B5837" s="218" t="s">
        <v>5184</v>
      </c>
      <c r="C5837" s="218" t="s">
        <v>8637</v>
      </c>
      <c r="D5837" s="219">
        <v>1.0</v>
      </c>
      <c r="E5837" s="218">
        <v>2650.0</v>
      </c>
      <c r="G5837" s="220">
        <v>43584.0</v>
      </c>
    </row>
    <row r="5838">
      <c r="A5838" s="217">
        <v>43588.54101965278</v>
      </c>
      <c r="B5838" s="218" t="s">
        <v>5184</v>
      </c>
      <c r="C5838" s="218" t="s">
        <v>8702</v>
      </c>
      <c r="D5838" s="219">
        <v>1.0</v>
      </c>
      <c r="E5838" s="218">
        <v>2850.0</v>
      </c>
      <c r="G5838" s="220">
        <v>43584.0</v>
      </c>
    </row>
    <row r="5839">
      <c r="A5839" s="217">
        <v>43588.54201471065</v>
      </c>
      <c r="B5839" s="218" t="s">
        <v>5184</v>
      </c>
      <c r="C5839" s="218" t="s">
        <v>8639</v>
      </c>
      <c r="D5839" s="219">
        <v>1.0</v>
      </c>
      <c r="E5839" s="218">
        <v>2650.0</v>
      </c>
      <c r="G5839" s="220">
        <v>43584.0</v>
      </c>
    </row>
    <row r="5840">
      <c r="A5840" s="217">
        <v>43588.5427690162</v>
      </c>
      <c r="B5840" s="218" t="s">
        <v>5184</v>
      </c>
      <c r="C5840" s="218" t="s">
        <v>8688</v>
      </c>
      <c r="D5840" s="219">
        <v>1.0</v>
      </c>
      <c r="E5840" s="218">
        <v>2590.0</v>
      </c>
      <c r="G5840" s="220">
        <v>43584.0</v>
      </c>
    </row>
    <row r="5841">
      <c r="A5841" s="217">
        <v>43588.543552511575</v>
      </c>
      <c r="B5841" s="218" t="s">
        <v>5184</v>
      </c>
      <c r="C5841" s="218" t="s">
        <v>1501</v>
      </c>
      <c r="D5841" s="219">
        <v>1.0</v>
      </c>
      <c r="E5841" s="218">
        <v>2950.0</v>
      </c>
      <c r="G5841" s="220">
        <v>43584.0</v>
      </c>
    </row>
    <row r="5842">
      <c r="A5842" s="217">
        <v>43588.550863553246</v>
      </c>
      <c r="B5842" s="218" t="s">
        <v>5184</v>
      </c>
      <c r="C5842" s="218" t="s">
        <v>1557</v>
      </c>
      <c r="D5842" s="219">
        <v>1.0</v>
      </c>
      <c r="E5842" s="218">
        <v>2590.0</v>
      </c>
      <c r="G5842" s="220">
        <v>43584.0</v>
      </c>
    </row>
    <row r="5843">
      <c r="A5843" s="217">
        <v>43588.55205268519</v>
      </c>
      <c r="B5843" s="218" t="s">
        <v>5184</v>
      </c>
      <c r="C5843" s="218" t="s">
        <v>8725</v>
      </c>
      <c r="D5843" s="219">
        <v>1.0</v>
      </c>
      <c r="E5843" s="218">
        <v>2950.0</v>
      </c>
      <c r="G5843" s="220">
        <v>43584.0</v>
      </c>
    </row>
    <row r="5844">
      <c r="A5844" s="217">
        <v>43588.552889687504</v>
      </c>
      <c r="B5844" s="218" t="s">
        <v>5184</v>
      </c>
      <c r="C5844" s="218" t="s">
        <v>8726</v>
      </c>
      <c r="D5844" s="219">
        <v>1.0</v>
      </c>
      <c r="E5844" s="218">
        <v>2350.0</v>
      </c>
      <c r="G5844" s="220">
        <v>43584.0</v>
      </c>
    </row>
    <row r="5845">
      <c r="A5845" s="217">
        <v>43588.55683461805</v>
      </c>
      <c r="B5845" s="218" t="s">
        <v>5184</v>
      </c>
      <c r="C5845" s="218" t="s">
        <v>720</v>
      </c>
      <c r="D5845" s="219">
        <v>1.0</v>
      </c>
      <c r="E5845" s="218">
        <v>2160.0</v>
      </c>
      <c r="G5845" s="220">
        <v>43584.0</v>
      </c>
    </row>
    <row r="5846">
      <c r="A5846" s="217">
        <v>43588.55775994213</v>
      </c>
      <c r="B5846" s="218" t="s">
        <v>5184</v>
      </c>
      <c r="C5846" s="218" t="s">
        <v>1393</v>
      </c>
      <c r="D5846" s="219">
        <v>1.0</v>
      </c>
      <c r="E5846" s="218">
        <v>1950.0</v>
      </c>
      <c r="G5846" s="220">
        <v>43584.0</v>
      </c>
    </row>
    <row r="5847">
      <c r="A5847" s="217">
        <v>43588.558536296296</v>
      </c>
      <c r="B5847" s="218" t="s">
        <v>5184</v>
      </c>
      <c r="C5847" s="218" t="s">
        <v>8728</v>
      </c>
      <c r="D5847" s="219">
        <v>1.0</v>
      </c>
      <c r="E5847" s="218">
        <v>2160.0</v>
      </c>
      <c r="G5847" s="220">
        <v>43584.0</v>
      </c>
    </row>
    <row r="5848">
      <c r="A5848" s="217">
        <v>43588.559248668986</v>
      </c>
      <c r="B5848" s="218" t="s">
        <v>5184</v>
      </c>
      <c r="C5848" s="218" t="s">
        <v>6890</v>
      </c>
      <c r="D5848" s="219">
        <v>1.0</v>
      </c>
      <c r="E5848" s="218">
        <v>2450.0</v>
      </c>
      <c r="G5848" s="220">
        <v>43584.0</v>
      </c>
    </row>
    <row r="5849">
      <c r="A5849" s="217">
        <v>43588.561202303244</v>
      </c>
      <c r="B5849" s="218" t="s">
        <v>5184</v>
      </c>
      <c r="C5849" s="218" t="s">
        <v>8598</v>
      </c>
      <c r="D5849" s="219">
        <v>1.0</v>
      </c>
      <c r="E5849" s="218">
        <v>2450.0</v>
      </c>
      <c r="G5849" s="220">
        <v>43584.0</v>
      </c>
    </row>
    <row r="5850">
      <c r="A5850" s="217">
        <v>43588.56206490741</v>
      </c>
      <c r="B5850" s="218" t="s">
        <v>5184</v>
      </c>
      <c r="C5850" s="218" t="s">
        <v>1390</v>
      </c>
      <c r="D5850" s="219">
        <v>1.0</v>
      </c>
      <c r="E5850" s="218">
        <v>1950.0</v>
      </c>
      <c r="G5850" s="220">
        <v>43584.0</v>
      </c>
    </row>
    <row r="5851">
      <c r="A5851" s="217">
        <v>43588.56263383102</v>
      </c>
      <c r="B5851" s="218" t="s">
        <v>5184</v>
      </c>
      <c r="C5851" s="218" t="s">
        <v>1395</v>
      </c>
      <c r="D5851" s="219">
        <v>1.0</v>
      </c>
      <c r="E5851" s="218">
        <v>1950.0</v>
      </c>
      <c r="G5851" s="220">
        <v>43584.0</v>
      </c>
    </row>
    <row r="5852">
      <c r="A5852" s="217">
        <v>43588.563634791666</v>
      </c>
      <c r="B5852" s="218" t="s">
        <v>5184</v>
      </c>
      <c r="C5852" s="218" t="s">
        <v>8537</v>
      </c>
      <c r="D5852" s="219">
        <v>1.0</v>
      </c>
      <c r="E5852" s="218">
        <v>2450.0</v>
      </c>
      <c r="G5852" s="220">
        <v>43584.0</v>
      </c>
    </row>
    <row r="5853">
      <c r="A5853" s="217">
        <v>43588.5658178125</v>
      </c>
      <c r="B5853" s="218" t="s">
        <v>5184</v>
      </c>
      <c r="C5853" s="118" t="s">
        <v>8603</v>
      </c>
      <c r="D5853" s="219">
        <v>1.0</v>
      </c>
      <c r="E5853" s="218">
        <v>2160.0</v>
      </c>
      <c r="G5853" s="220">
        <v>43584.0</v>
      </c>
    </row>
    <row r="5854">
      <c r="A5854" s="217">
        <v>43588.566451377315</v>
      </c>
      <c r="B5854" s="218" t="s">
        <v>5184</v>
      </c>
      <c r="C5854" s="218" t="s">
        <v>8729</v>
      </c>
      <c r="D5854" s="219">
        <v>1.0</v>
      </c>
      <c r="E5854" s="218">
        <v>2160.0</v>
      </c>
      <c r="G5854" s="220">
        <v>43584.0</v>
      </c>
    </row>
    <row r="5855">
      <c r="A5855" s="217">
        <v>43588.568306875</v>
      </c>
      <c r="B5855" s="218" t="s">
        <v>5184</v>
      </c>
      <c r="C5855" s="218" t="s">
        <v>8730</v>
      </c>
      <c r="D5855" s="219">
        <v>1.0</v>
      </c>
      <c r="E5855" s="218">
        <v>2350.0</v>
      </c>
      <c r="G5855" s="220">
        <v>43587.0</v>
      </c>
    </row>
    <row r="5856">
      <c r="A5856" s="217">
        <v>43588.56947635417</v>
      </c>
      <c r="B5856" s="218" t="s">
        <v>5184</v>
      </c>
      <c r="C5856" s="218" t="s">
        <v>8687</v>
      </c>
      <c r="D5856" s="219">
        <v>1.0</v>
      </c>
      <c r="E5856" s="218">
        <v>2780.0</v>
      </c>
      <c r="G5856" s="220">
        <v>43587.0</v>
      </c>
    </row>
    <row r="5857">
      <c r="A5857" s="217">
        <v>43588.57824934028</v>
      </c>
      <c r="B5857" s="218" t="s">
        <v>5184</v>
      </c>
      <c r="C5857" s="218" t="s">
        <v>8643</v>
      </c>
      <c r="D5857" s="219">
        <v>1.0</v>
      </c>
      <c r="E5857" s="218">
        <v>2650.0</v>
      </c>
      <c r="G5857" s="220">
        <v>43587.0</v>
      </c>
    </row>
    <row r="5858">
      <c r="A5858" s="217">
        <v>43588.57909263889</v>
      </c>
      <c r="B5858" s="218" t="s">
        <v>5184</v>
      </c>
      <c r="C5858" s="218" t="s">
        <v>8697</v>
      </c>
      <c r="D5858" s="219">
        <v>1.0</v>
      </c>
      <c r="E5858" s="218">
        <v>2950.0</v>
      </c>
      <c r="G5858" s="220">
        <v>43587.0</v>
      </c>
    </row>
    <row r="5859">
      <c r="A5859" s="217">
        <v>43588.57974130787</v>
      </c>
      <c r="B5859" s="218" t="s">
        <v>5184</v>
      </c>
      <c r="C5859" s="218" t="s">
        <v>8732</v>
      </c>
      <c r="D5859" s="219">
        <v>1.0</v>
      </c>
      <c r="E5859" s="218">
        <v>2780.0</v>
      </c>
      <c r="G5859" s="220">
        <v>43587.0</v>
      </c>
    </row>
    <row r="5860">
      <c r="A5860" s="217">
        <v>43588.580669849536</v>
      </c>
      <c r="B5860" s="218" t="s">
        <v>5184</v>
      </c>
      <c r="C5860" s="218" t="s">
        <v>8733</v>
      </c>
      <c r="D5860" s="219">
        <v>1.0</v>
      </c>
      <c r="E5860" s="218">
        <v>2095.0</v>
      </c>
      <c r="G5860" s="220">
        <v>43587.0</v>
      </c>
    </row>
    <row r="5861">
      <c r="A5861" s="217">
        <v>43588.5813959838</v>
      </c>
      <c r="B5861" s="218" t="s">
        <v>5184</v>
      </c>
      <c r="C5861" s="218" t="s">
        <v>8618</v>
      </c>
      <c r="D5861" s="219">
        <v>1.0</v>
      </c>
      <c r="E5861" s="218">
        <v>2780.0</v>
      </c>
      <c r="G5861" s="220">
        <v>43587.0</v>
      </c>
    </row>
    <row r="5862">
      <c r="A5862" s="217">
        <v>43588.58451</v>
      </c>
      <c r="B5862" s="218" t="s">
        <v>5184</v>
      </c>
      <c r="C5862" s="218" t="s">
        <v>8734</v>
      </c>
      <c r="D5862" s="219">
        <v>1.0</v>
      </c>
      <c r="E5862" s="218">
        <v>2250.0</v>
      </c>
      <c r="G5862" s="220">
        <v>43588.0</v>
      </c>
    </row>
    <row r="5863">
      <c r="A5863" s="217">
        <v>43588.585347581015</v>
      </c>
      <c r="B5863" s="218" t="s">
        <v>5184</v>
      </c>
      <c r="C5863" s="218" t="s">
        <v>8686</v>
      </c>
      <c r="D5863" s="219">
        <v>1.0</v>
      </c>
      <c r="E5863" s="218">
        <v>2780.0</v>
      </c>
      <c r="G5863" s="220">
        <v>43588.0</v>
      </c>
    </row>
    <row r="5864">
      <c r="A5864" s="217">
        <v>43588.58601709491</v>
      </c>
      <c r="B5864" s="218" t="s">
        <v>5184</v>
      </c>
      <c r="C5864" s="218" t="s">
        <v>8692</v>
      </c>
      <c r="D5864" s="219">
        <v>1.0</v>
      </c>
      <c r="E5864" s="218">
        <v>2590.0</v>
      </c>
      <c r="G5864" s="220">
        <v>43588.0</v>
      </c>
    </row>
    <row r="5865">
      <c r="A5865" s="217">
        <v>43588.58720903935</v>
      </c>
      <c r="B5865" s="218" t="s">
        <v>5184</v>
      </c>
      <c r="C5865" s="218" t="s">
        <v>8678</v>
      </c>
      <c r="D5865" s="219">
        <v>1.0</v>
      </c>
      <c r="E5865" s="218">
        <v>2780.0</v>
      </c>
      <c r="G5865" s="220">
        <v>43588.0</v>
      </c>
    </row>
    <row r="5866">
      <c r="A5866" s="217">
        <v>43588.588756412035</v>
      </c>
      <c r="B5866" s="218" t="s">
        <v>5184</v>
      </c>
      <c r="C5866" s="218" t="s">
        <v>1530</v>
      </c>
      <c r="D5866" s="219">
        <v>1.0</v>
      </c>
      <c r="E5866" s="218">
        <v>2590.0</v>
      </c>
      <c r="G5866" s="220">
        <v>43588.0</v>
      </c>
    </row>
    <row r="5867">
      <c r="A5867" s="217">
        <v>43588.58929858796</v>
      </c>
      <c r="B5867" s="218" t="s">
        <v>5184</v>
      </c>
      <c r="C5867" s="218" t="s">
        <v>8653</v>
      </c>
      <c r="D5867" s="219">
        <v>1.0</v>
      </c>
      <c r="E5867" s="218">
        <v>2590.0</v>
      </c>
      <c r="G5867" s="220">
        <v>43588.0</v>
      </c>
    </row>
    <row r="5868">
      <c r="A5868" s="217">
        <v>43588.59133083333</v>
      </c>
      <c r="B5868" s="218" t="s">
        <v>5184</v>
      </c>
      <c r="C5868" s="218" t="s">
        <v>8736</v>
      </c>
      <c r="D5868" s="219">
        <v>1.0</v>
      </c>
      <c r="E5868" s="218">
        <v>2590.0</v>
      </c>
      <c r="G5868" s="220">
        <v>43588.0</v>
      </c>
    </row>
    <row r="5869">
      <c r="A5869" s="217">
        <v>43588.593383761574</v>
      </c>
      <c r="B5869" s="218" t="s">
        <v>5184</v>
      </c>
      <c r="C5869" s="218" t="s">
        <v>1547</v>
      </c>
      <c r="D5869" s="219">
        <v>1.0</v>
      </c>
      <c r="E5869" s="218">
        <v>2780.0</v>
      </c>
      <c r="G5869" s="220">
        <v>43588.0</v>
      </c>
    </row>
    <row r="5870">
      <c r="A5870" s="217">
        <v>43588.59429168982</v>
      </c>
      <c r="B5870" s="218" t="s">
        <v>5184</v>
      </c>
      <c r="C5870" s="218" t="s">
        <v>8664</v>
      </c>
      <c r="D5870" s="219">
        <v>1.0</v>
      </c>
      <c r="E5870" s="218">
        <v>2780.0</v>
      </c>
      <c r="G5870" s="220">
        <v>43588.0</v>
      </c>
    </row>
    <row r="5871">
      <c r="A5871" s="217">
        <v>43588.59486003472</v>
      </c>
      <c r="B5871" s="218" t="s">
        <v>5184</v>
      </c>
      <c r="C5871" s="218" t="s">
        <v>8665</v>
      </c>
      <c r="D5871" s="219">
        <v>1.0</v>
      </c>
      <c r="E5871" s="218">
        <v>2780.0</v>
      </c>
      <c r="G5871" s="220">
        <v>43588.0</v>
      </c>
    </row>
    <row r="5872">
      <c r="A5872" s="217">
        <v>43588.595539594906</v>
      </c>
      <c r="B5872" s="218" t="s">
        <v>5184</v>
      </c>
      <c r="C5872" s="218" t="s">
        <v>8644</v>
      </c>
      <c r="D5872" s="219">
        <v>1.0</v>
      </c>
      <c r="E5872" s="218">
        <v>2850.0</v>
      </c>
      <c r="G5872" s="220">
        <v>43588.0</v>
      </c>
    </row>
    <row r="5873">
      <c r="A5873" s="217">
        <v>43588.5962271412</v>
      </c>
      <c r="B5873" s="218" t="s">
        <v>5184</v>
      </c>
      <c r="C5873" s="218" t="s">
        <v>8612</v>
      </c>
      <c r="D5873" s="219">
        <v>1.0</v>
      </c>
      <c r="E5873" s="218">
        <v>2590.0</v>
      </c>
      <c r="G5873" s="220">
        <v>43588.0</v>
      </c>
    </row>
    <row r="5874">
      <c r="A5874" s="217">
        <v>43588.597920949076</v>
      </c>
      <c r="B5874" s="218" t="s">
        <v>5184</v>
      </c>
      <c r="C5874" s="218" t="s">
        <v>1386</v>
      </c>
      <c r="D5874" s="219">
        <v>1.0</v>
      </c>
      <c r="E5874" s="218">
        <v>1950.0</v>
      </c>
      <c r="G5874" s="220">
        <v>43588.0</v>
      </c>
    </row>
    <row r="5875">
      <c r="A5875" s="217">
        <v>43588.59844231482</v>
      </c>
      <c r="B5875" s="218" t="s">
        <v>5184</v>
      </c>
      <c r="C5875" s="218" t="s">
        <v>1514</v>
      </c>
      <c r="D5875" s="219">
        <v>1.0</v>
      </c>
      <c r="E5875" s="218">
        <v>2590.0</v>
      </c>
      <c r="G5875" s="220">
        <v>43588.0</v>
      </c>
    </row>
    <row r="5876">
      <c r="A5876" s="217">
        <v>43588.62686996528</v>
      </c>
      <c r="B5876" s="218" t="s">
        <v>5184</v>
      </c>
      <c r="C5876" s="218" t="s">
        <v>8737</v>
      </c>
      <c r="D5876" s="219">
        <v>1.0</v>
      </c>
      <c r="E5876" s="218">
        <v>2950.0</v>
      </c>
      <c r="G5876" s="220">
        <v>43588.0</v>
      </c>
    </row>
    <row r="5877">
      <c r="A5877" s="217">
        <v>43588.64750204861</v>
      </c>
      <c r="B5877" s="218" t="s">
        <v>5184</v>
      </c>
      <c r="C5877" s="218" t="s">
        <v>847</v>
      </c>
      <c r="D5877" s="219">
        <v>1.0</v>
      </c>
      <c r="E5877" s="218">
        <v>1000.0</v>
      </c>
      <c r="G5877" s="220">
        <v>43588.0</v>
      </c>
    </row>
    <row r="5878">
      <c r="A5878" s="217">
        <v>43588.648347546296</v>
      </c>
      <c r="B5878" s="218" t="s">
        <v>5184</v>
      </c>
      <c r="C5878" s="218" t="s">
        <v>6053</v>
      </c>
      <c r="D5878" s="219">
        <v>1.0</v>
      </c>
      <c r="E5878" s="218">
        <v>300.0</v>
      </c>
      <c r="G5878" s="220">
        <v>43588.0</v>
      </c>
    </row>
    <row r="5879">
      <c r="A5879" s="217">
        <v>43588.64914821759</v>
      </c>
      <c r="B5879" s="218" t="s">
        <v>5184</v>
      </c>
      <c r="C5879" s="218" t="s">
        <v>6053</v>
      </c>
      <c r="D5879" s="219">
        <v>1.0</v>
      </c>
      <c r="E5879" s="218">
        <v>300.0</v>
      </c>
      <c r="G5879" s="220">
        <v>43588.0</v>
      </c>
    </row>
    <row r="5880">
      <c r="A5880" s="217">
        <v>43588.65014886574</v>
      </c>
      <c r="B5880" s="218" t="s">
        <v>5184</v>
      </c>
      <c r="C5880" s="218" t="s">
        <v>5786</v>
      </c>
      <c r="D5880" s="219">
        <v>1.0</v>
      </c>
      <c r="E5880" s="218">
        <v>300.0</v>
      </c>
      <c r="G5880" s="220">
        <v>43588.0</v>
      </c>
    </row>
    <row r="5881">
      <c r="A5881" s="217">
        <v>43588.650699895836</v>
      </c>
      <c r="B5881" s="218" t="s">
        <v>5184</v>
      </c>
      <c r="C5881" s="218" t="s">
        <v>6053</v>
      </c>
      <c r="D5881" s="219">
        <v>1.0</v>
      </c>
      <c r="E5881" s="218">
        <v>300.0</v>
      </c>
      <c r="G5881" s="220">
        <v>43588.0</v>
      </c>
    </row>
    <row r="5882">
      <c r="A5882" s="217">
        <v>43588.652292314815</v>
      </c>
      <c r="B5882" s="218" t="s">
        <v>5184</v>
      </c>
      <c r="C5882" s="218" t="s">
        <v>7800</v>
      </c>
      <c r="D5882" s="219">
        <v>1.0</v>
      </c>
      <c r="E5882" s="218">
        <v>250.0</v>
      </c>
      <c r="G5882" s="220">
        <v>43588.0</v>
      </c>
    </row>
    <row r="5883">
      <c r="A5883" s="217">
        <v>43588.652940960645</v>
      </c>
      <c r="B5883" s="218" t="s">
        <v>5184</v>
      </c>
      <c r="C5883" s="218" t="s">
        <v>6053</v>
      </c>
      <c r="D5883" s="219">
        <v>1.0</v>
      </c>
      <c r="E5883" s="218">
        <v>300.0</v>
      </c>
      <c r="G5883" s="220">
        <v>43588.0</v>
      </c>
    </row>
    <row r="5884">
      <c r="A5884" s="217">
        <v>43588.6638592824</v>
      </c>
      <c r="B5884" s="218" t="s">
        <v>5184</v>
      </c>
      <c r="C5884" s="218" t="s">
        <v>5848</v>
      </c>
      <c r="D5884" s="219">
        <v>1.0</v>
      </c>
      <c r="E5884" s="218">
        <v>1000.0</v>
      </c>
      <c r="G5884" s="220">
        <v>43583.0</v>
      </c>
    </row>
    <row r="5885">
      <c r="A5885" s="217">
        <v>43588.66533179398</v>
      </c>
      <c r="B5885" s="218" t="s">
        <v>5184</v>
      </c>
      <c r="C5885" s="218" t="s">
        <v>6053</v>
      </c>
      <c r="D5885" s="219">
        <v>1.0</v>
      </c>
      <c r="E5885" s="218">
        <v>300.0</v>
      </c>
      <c r="G5885" s="220">
        <v>43583.0</v>
      </c>
    </row>
    <row r="5886">
      <c r="A5886" s="217">
        <v>43588.75511344908</v>
      </c>
      <c r="B5886" s="218" t="s">
        <v>5184</v>
      </c>
      <c r="C5886" s="218" t="s">
        <v>6053</v>
      </c>
      <c r="D5886" s="219" t="s">
        <v>7547</v>
      </c>
      <c r="E5886" s="218">
        <v>150.0</v>
      </c>
      <c r="G5886" s="220">
        <v>43588.0</v>
      </c>
    </row>
    <row r="5887">
      <c r="A5887" s="217">
        <v>43588.75595479167</v>
      </c>
      <c r="B5887" s="218" t="s">
        <v>5184</v>
      </c>
      <c r="C5887" s="218" t="s">
        <v>7800</v>
      </c>
      <c r="D5887" s="219">
        <v>1.0</v>
      </c>
      <c r="E5887" s="218">
        <v>250.0</v>
      </c>
      <c r="G5887" s="220">
        <v>43588.0</v>
      </c>
    </row>
    <row r="5888">
      <c r="A5888" s="217">
        <v>43588.75714865741</v>
      </c>
      <c r="B5888" s="218" t="s">
        <v>5184</v>
      </c>
      <c r="C5888" s="218" t="s">
        <v>7312</v>
      </c>
      <c r="D5888" s="219">
        <v>1.0</v>
      </c>
      <c r="E5888" s="218">
        <v>600.0</v>
      </c>
      <c r="G5888" s="220">
        <v>43588.0</v>
      </c>
    </row>
    <row r="5889">
      <c r="A5889" s="217">
        <v>43589.41167261574</v>
      </c>
      <c r="B5889" s="218" t="s">
        <v>5184</v>
      </c>
      <c r="C5889" s="218" t="s">
        <v>6053</v>
      </c>
      <c r="D5889" s="219">
        <v>1.0</v>
      </c>
      <c r="E5889" s="218">
        <v>300.0</v>
      </c>
      <c r="G5889" s="220">
        <v>43587.0</v>
      </c>
    </row>
    <row r="5890">
      <c r="A5890" s="217">
        <v>43589.41448601852</v>
      </c>
      <c r="B5890" s="218" t="s">
        <v>5184</v>
      </c>
      <c r="C5890" s="218" t="s">
        <v>6053</v>
      </c>
      <c r="D5890" s="219">
        <v>1.0</v>
      </c>
      <c r="E5890" s="218">
        <v>300.0</v>
      </c>
      <c r="G5890" s="220">
        <v>43588.0</v>
      </c>
    </row>
    <row r="5891">
      <c r="A5891" s="217">
        <v>43589.41715818287</v>
      </c>
      <c r="B5891" s="218" t="s">
        <v>5184</v>
      </c>
      <c r="C5891" s="218" t="s">
        <v>6053</v>
      </c>
      <c r="D5891" s="219" t="s">
        <v>7547</v>
      </c>
      <c r="E5891" s="218">
        <v>150.0</v>
      </c>
      <c r="G5891" s="220">
        <v>43588.0</v>
      </c>
    </row>
    <row r="5892">
      <c r="A5892" s="217">
        <v>43589.422453032406</v>
      </c>
      <c r="B5892" s="218" t="s">
        <v>5184</v>
      </c>
      <c r="C5892" s="218" t="s">
        <v>244</v>
      </c>
      <c r="D5892" s="219">
        <v>1.0</v>
      </c>
      <c r="E5892" s="218">
        <v>400.0</v>
      </c>
      <c r="G5892" s="220">
        <v>43589.0</v>
      </c>
    </row>
    <row r="5893">
      <c r="A5893" s="217">
        <v>43589.423465995365</v>
      </c>
      <c r="B5893" s="218" t="s">
        <v>5184</v>
      </c>
      <c r="C5893" s="218" t="s">
        <v>6001</v>
      </c>
      <c r="D5893" s="219">
        <v>1.0</v>
      </c>
      <c r="E5893" s="218">
        <v>500.0</v>
      </c>
      <c r="G5893" s="220">
        <v>43589.0</v>
      </c>
    </row>
    <row r="5894">
      <c r="A5894" s="217">
        <v>43589.61866158565</v>
      </c>
      <c r="B5894" s="218" t="s">
        <v>5184</v>
      </c>
      <c r="C5894" s="218" t="s">
        <v>7800</v>
      </c>
      <c r="D5894" s="219">
        <v>1.0</v>
      </c>
      <c r="E5894" s="218">
        <v>250.0</v>
      </c>
      <c r="G5894" s="220">
        <v>43589.0</v>
      </c>
    </row>
    <row r="5895">
      <c r="A5895" s="217">
        <v>43589.6206659375</v>
      </c>
      <c r="B5895" s="218" t="s">
        <v>5184</v>
      </c>
      <c r="C5895" s="218" t="s">
        <v>6053</v>
      </c>
      <c r="D5895" s="219">
        <v>1.0</v>
      </c>
      <c r="E5895" s="218">
        <v>300.0</v>
      </c>
      <c r="G5895" s="220">
        <v>43589.0</v>
      </c>
    </row>
    <row r="5896">
      <c r="A5896" s="217">
        <v>43589.623810081015</v>
      </c>
      <c r="B5896" s="218" t="s">
        <v>5184</v>
      </c>
      <c r="C5896" s="218" t="s">
        <v>5786</v>
      </c>
      <c r="D5896" s="219">
        <v>1.0</v>
      </c>
      <c r="E5896" s="218">
        <v>250.0</v>
      </c>
      <c r="G5896" s="220">
        <v>43589.0</v>
      </c>
    </row>
    <row r="5897">
      <c r="A5897" s="217">
        <v>43589.62435081018</v>
      </c>
      <c r="B5897" s="218" t="s">
        <v>5184</v>
      </c>
      <c r="C5897" s="218" t="s">
        <v>6053</v>
      </c>
      <c r="D5897" s="219">
        <v>1.0</v>
      </c>
      <c r="E5897" s="218">
        <v>300.0</v>
      </c>
      <c r="G5897" s="220">
        <v>43589.0</v>
      </c>
    </row>
    <row r="5898">
      <c r="A5898" s="217">
        <v>43589.62554518519</v>
      </c>
      <c r="B5898" s="218" t="s">
        <v>5184</v>
      </c>
      <c r="C5898" s="218" t="s">
        <v>7800</v>
      </c>
      <c r="D5898" s="219">
        <v>1.0</v>
      </c>
      <c r="E5898" s="218">
        <v>250.0</v>
      </c>
      <c r="G5898" s="220">
        <v>43589.0</v>
      </c>
    </row>
    <row r="5899">
      <c r="A5899" s="217">
        <v>43589.626612962966</v>
      </c>
      <c r="B5899" s="218" t="s">
        <v>5184</v>
      </c>
      <c r="C5899" s="218" t="s">
        <v>6053</v>
      </c>
      <c r="D5899" s="219">
        <v>1.0</v>
      </c>
      <c r="E5899" s="218">
        <v>300.0</v>
      </c>
      <c r="G5899" s="220">
        <v>43589.0</v>
      </c>
    </row>
    <row r="5900">
      <c r="A5900" s="217">
        <v>43589.68435950232</v>
      </c>
      <c r="B5900" s="218" t="s">
        <v>5184</v>
      </c>
      <c r="C5900" s="218" t="s">
        <v>6053</v>
      </c>
      <c r="D5900" s="219">
        <v>1.0</v>
      </c>
      <c r="E5900" s="218">
        <v>300.0</v>
      </c>
      <c r="G5900" s="220">
        <v>43589.0</v>
      </c>
    </row>
    <row r="5901">
      <c r="A5901" s="217">
        <v>43589.68497533565</v>
      </c>
      <c r="B5901" s="218" t="s">
        <v>5184</v>
      </c>
      <c r="C5901" s="218" t="s">
        <v>6053</v>
      </c>
      <c r="D5901" s="219">
        <v>1.0</v>
      </c>
      <c r="E5901" s="218">
        <v>300.0</v>
      </c>
      <c r="G5901" s="220">
        <v>43589.0</v>
      </c>
    </row>
    <row r="5902">
      <c r="A5902" s="217">
        <v>43589.686307627315</v>
      </c>
      <c r="B5902" s="218" t="s">
        <v>5184</v>
      </c>
      <c r="C5902" s="218" t="s">
        <v>7496</v>
      </c>
      <c r="D5902" s="219">
        <v>1.0</v>
      </c>
      <c r="E5902" s="218">
        <v>100.0</v>
      </c>
      <c r="G5902" s="220">
        <v>43589.0</v>
      </c>
    </row>
    <row r="5903">
      <c r="A5903" s="217">
        <v>43589.68730340278</v>
      </c>
      <c r="B5903" s="218" t="s">
        <v>5184</v>
      </c>
      <c r="C5903" s="218" t="s">
        <v>7411</v>
      </c>
      <c r="D5903" s="219">
        <v>1.0</v>
      </c>
      <c r="E5903" s="218">
        <v>200.0</v>
      </c>
      <c r="G5903" s="220">
        <v>43589.0</v>
      </c>
    </row>
    <row r="5904">
      <c r="A5904" s="217">
        <v>43589.688204687496</v>
      </c>
      <c r="B5904" s="218" t="s">
        <v>5184</v>
      </c>
      <c r="C5904" s="218" t="s">
        <v>284</v>
      </c>
      <c r="D5904" s="219">
        <v>1.0</v>
      </c>
      <c r="E5904" s="218">
        <v>500.0</v>
      </c>
      <c r="G5904" s="220">
        <v>43589.0</v>
      </c>
    </row>
    <row r="5905">
      <c r="A5905" s="217">
        <v>43589.69097443287</v>
      </c>
      <c r="B5905" s="218" t="s">
        <v>5184</v>
      </c>
      <c r="C5905" s="218" t="s">
        <v>7800</v>
      </c>
      <c r="D5905" s="219">
        <v>1.0</v>
      </c>
      <c r="E5905" s="218">
        <v>250.0</v>
      </c>
      <c r="G5905" s="220">
        <v>43589.0</v>
      </c>
    </row>
    <row r="5906">
      <c r="A5906" s="217">
        <v>43589.69217847222</v>
      </c>
      <c r="B5906" s="218" t="s">
        <v>5184</v>
      </c>
      <c r="C5906" s="218" t="s">
        <v>6053</v>
      </c>
      <c r="D5906" s="219">
        <v>1.0</v>
      </c>
      <c r="E5906" s="218">
        <v>300.0</v>
      </c>
      <c r="G5906" s="220">
        <v>43589.0</v>
      </c>
    </row>
    <row r="5907">
      <c r="A5907" s="217">
        <v>43589.69288621528</v>
      </c>
      <c r="B5907" s="218" t="s">
        <v>5184</v>
      </c>
      <c r="C5907" s="218" t="s">
        <v>6053</v>
      </c>
      <c r="D5907" s="219" t="s">
        <v>7547</v>
      </c>
      <c r="E5907" s="218">
        <v>150.0</v>
      </c>
      <c r="G5907" s="220">
        <v>43589.0</v>
      </c>
    </row>
    <row r="5908">
      <c r="A5908" s="217">
        <v>43589.69419197917</v>
      </c>
      <c r="B5908" s="218" t="s">
        <v>5184</v>
      </c>
      <c r="C5908" s="218" t="s">
        <v>5786</v>
      </c>
      <c r="D5908" s="219">
        <v>1.0</v>
      </c>
      <c r="E5908" s="218">
        <v>250.0</v>
      </c>
      <c r="G5908" s="220">
        <v>43589.0</v>
      </c>
    </row>
    <row r="5909">
      <c r="A5909" s="217">
        <v>43589.694664027775</v>
      </c>
      <c r="B5909" s="218" t="s">
        <v>5184</v>
      </c>
      <c r="C5909" s="218" t="s">
        <v>6053</v>
      </c>
      <c r="D5909" s="219">
        <v>1.0</v>
      </c>
      <c r="E5909" s="218">
        <v>300.0</v>
      </c>
      <c r="G5909" s="220">
        <v>43589.0</v>
      </c>
    </row>
    <row r="5910">
      <c r="A5910" s="217">
        <v>43589.69595340278</v>
      </c>
      <c r="B5910" s="218" t="s">
        <v>5184</v>
      </c>
      <c r="C5910" s="218" t="s">
        <v>6053</v>
      </c>
      <c r="D5910" s="219">
        <v>1.0</v>
      </c>
      <c r="E5910" s="218">
        <v>300.0</v>
      </c>
      <c r="G5910" s="220">
        <v>43589.0</v>
      </c>
    </row>
    <row r="5911">
      <c r="A5911" s="217">
        <v>43589.6975149537</v>
      </c>
      <c r="B5911" s="218" t="s">
        <v>5184</v>
      </c>
      <c r="C5911" s="218" t="s">
        <v>7877</v>
      </c>
      <c r="D5911" s="219">
        <v>1.0</v>
      </c>
      <c r="E5911" s="218">
        <v>400.0</v>
      </c>
      <c r="G5911" s="220">
        <v>43589.0</v>
      </c>
    </row>
    <row r="5912">
      <c r="A5912" s="217">
        <v>43589.698325150464</v>
      </c>
      <c r="B5912" s="218" t="s">
        <v>5184</v>
      </c>
      <c r="C5912" s="218" t="s">
        <v>7800</v>
      </c>
      <c r="D5912" s="219">
        <v>1.0</v>
      </c>
      <c r="E5912" s="218">
        <v>250.0</v>
      </c>
      <c r="G5912" s="220">
        <v>43589.0</v>
      </c>
    </row>
    <row r="5913">
      <c r="A5913" s="217">
        <v>43589.69907371528</v>
      </c>
      <c r="B5913" s="218" t="s">
        <v>5184</v>
      </c>
      <c r="C5913" s="218" t="s">
        <v>244</v>
      </c>
      <c r="D5913" s="219">
        <v>1.0</v>
      </c>
      <c r="E5913" s="218">
        <v>400.0</v>
      </c>
      <c r="G5913" s="220">
        <v>43589.0</v>
      </c>
    </row>
    <row r="5914">
      <c r="A5914" s="217">
        <v>43589.699950636576</v>
      </c>
      <c r="B5914" s="218" t="s">
        <v>5184</v>
      </c>
      <c r="C5914" s="218" t="s">
        <v>7800</v>
      </c>
      <c r="D5914" s="219">
        <v>1.0</v>
      </c>
      <c r="E5914" s="218">
        <v>250.0</v>
      </c>
      <c r="G5914" s="218">
        <v>0.0</v>
      </c>
    </row>
    <row r="5915">
      <c r="A5915" s="217">
        <v>43589.70098072916</v>
      </c>
      <c r="B5915" s="218" t="s">
        <v>5184</v>
      </c>
      <c r="C5915" s="218" t="s">
        <v>6053</v>
      </c>
      <c r="D5915" s="219">
        <v>1.0</v>
      </c>
      <c r="E5915" s="218">
        <v>300.0</v>
      </c>
      <c r="G5915" s="220">
        <v>43589.0</v>
      </c>
    </row>
    <row r="5916">
      <c r="A5916" s="217">
        <v>43589.702020324075</v>
      </c>
      <c r="B5916" s="218" t="s">
        <v>5184</v>
      </c>
      <c r="C5916" s="218" t="s">
        <v>829</v>
      </c>
      <c r="D5916" s="219">
        <v>1.0</v>
      </c>
      <c r="E5916" s="218">
        <v>400.0</v>
      </c>
      <c r="G5916" s="220">
        <v>43589.0</v>
      </c>
    </row>
    <row r="5917">
      <c r="A5917" s="217">
        <v>43589.75769287037</v>
      </c>
      <c r="B5917" s="218" t="s">
        <v>5184</v>
      </c>
      <c r="C5917" s="218" t="s">
        <v>5786</v>
      </c>
      <c r="D5917" s="219">
        <v>1.0</v>
      </c>
      <c r="E5917" s="218">
        <v>250.0</v>
      </c>
      <c r="G5917" s="220">
        <v>43589.0</v>
      </c>
    </row>
    <row r="5918">
      <c r="A5918" s="217">
        <v>43589.75916888889</v>
      </c>
      <c r="B5918" s="218" t="s">
        <v>5184</v>
      </c>
      <c r="C5918" s="218" t="s">
        <v>284</v>
      </c>
      <c r="D5918" s="219">
        <v>1.0</v>
      </c>
      <c r="E5918" s="218">
        <v>500.0</v>
      </c>
      <c r="G5918" s="220">
        <v>43589.0</v>
      </c>
    </row>
    <row r="5919">
      <c r="A5919" s="217">
        <v>43589.759907025466</v>
      </c>
      <c r="B5919" s="218" t="s">
        <v>5184</v>
      </c>
      <c r="C5919" s="218" t="s">
        <v>6053</v>
      </c>
      <c r="D5919" s="219">
        <v>1.0</v>
      </c>
      <c r="E5919" s="218">
        <v>300.0</v>
      </c>
      <c r="G5919" s="220">
        <v>43589.0</v>
      </c>
    </row>
    <row r="5920">
      <c r="A5920" s="217">
        <v>43589.76093048611</v>
      </c>
      <c r="B5920" s="218" t="s">
        <v>5184</v>
      </c>
      <c r="C5920" s="218" t="s">
        <v>5786</v>
      </c>
      <c r="D5920" s="219">
        <v>1.0</v>
      </c>
      <c r="E5920" s="218">
        <v>250.0</v>
      </c>
      <c r="G5920" s="220">
        <v>43589.0</v>
      </c>
    </row>
    <row r="5921">
      <c r="A5921" s="217">
        <v>43589.7618506713</v>
      </c>
      <c r="B5921" s="218" t="s">
        <v>5184</v>
      </c>
      <c r="C5921" s="218" t="s">
        <v>244</v>
      </c>
      <c r="D5921" s="219">
        <v>1.0</v>
      </c>
      <c r="E5921" s="218">
        <v>400.0</v>
      </c>
      <c r="G5921" s="220">
        <v>43589.0</v>
      </c>
    </row>
    <row r="5922">
      <c r="A5922" s="217">
        <v>43590.66319202546</v>
      </c>
      <c r="B5922" s="218" t="s">
        <v>5184</v>
      </c>
      <c r="C5922" s="218" t="s">
        <v>7496</v>
      </c>
      <c r="D5922" s="219">
        <v>1.0</v>
      </c>
      <c r="E5922" s="218">
        <v>100.0</v>
      </c>
      <c r="G5922" s="220">
        <v>43590.0</v>
      </c>
    </row>
    <row r="5923">
      <c r="A5923" s="217">
        <v>43590.663981562495</v>
      </c>
      <c r="B5923" s="218" t="s">
        <v>5184</v>
      </c>
      <c r="C5923" s="218" t="s">
        <v>7800</v>
      </c>
      <c r="D5923" s="219">
        <v>1.0</v>
      </c>
      <c r="E5923" s="218">
        <v>250.0</v>
      </c>
      <c r="G5923" s="220">
        <v>43590.0</v>
      </c>
    </row>
    <row r="5924">
      <c r="A5924" s="217">
        <v>43590.66539606481</v>
      </c>
      <c r="B5924" s="218" t="s">
        <v>5184</v>
      </c>
      <c r="C5924" s="218" t="s">
        <v>6053</v>
      </c>
      <c r="D5924" s="219">
        <v>1.0</v>
      </c>
      <c r="E5924" s="218">
        <v>300.0</v>
      </c>
      <c r="G5924" s="220">
        <v>43590.0</v>
      </c>
    </row>
    <row r="5925">
      <c r="A5925" s="217">
        <v>43590.76416177083</v>
      </c>
      <c r="B5925" s="218" t="s">
        <v>5184</v>
      </c>
      <c r="C5925" s="218" t="s">
        <v>8694</v>
      </c>
      <c r="D5925" s="219">
        <v>1.0</v>
      </c>
      <c r="E5925" s="218">
        <v>2950.0</v>
      </c>
      <c r="G5925" s="220">
        <v>43590.0</v>
      </c>
    </row>
    <row r="5926">
      <c r="A5926" s="217">
        <v>43590.790231446765</v>
      </c>
      <c r="B5926" s="218" t="s">
        <v>5184</v>
      </c>
      <c r="C5926" s="218" t="s">
        <v>7800</v>
      </c>
      <c r="D5926" s="219">
        <v>1.0</v>
      </c>
      <c r="E5926" s="218">
        <v>250.0</v>
      </c>
      <c r="G5926" s="220">
        <v>43590.0</v>
      </c>
    </row>
    <row r="5927">
      <c r="A5927" s="217">
        <v>43590.790739606484</v>
      </c>
      <c r="B5927" s="218" t="s">
        <v>5184</v>
      </c>
      <c r="C5927" s="218" t="s">
        <v>284</v>
      </c>
      <c r="D5927" s="219">
        <v>1.0</v>
      </c>
      <c r="E5927" s="218">
        <v>500.0</v>
      </c>
      <c r="G5927" s="220">
        <v>43590.0</v>
      </c>
    </row>
    <row r="5928">
      <c r="A5928" s="217">
        <v>43591.59669152778</v>
      </c>
      <c r="B5928" s="218" t="s">
        <v>5184</v>
      </c>
      <c r="C5928" s="218" t="s">
        <v>284</v>
      </c>
      <c r="D5928" s="219">
        <v>1.0</v>
      </c>
      <c r="E5928" s="218">
        <v>500.0</v>
      </c>
      <c r="G5928" s="220">
        <v>43591.0</v>
      </c>
    </row>
    <row r="5929">
      <c r="A5929" s="217">
        <v>43591.59901479167</v>
      </c>
      <c r="B5929" s="218" t="s">
        <v>5184</v>
      </c>
      <c r="C5929" s="218" t="s">
        <v>7800</v>
      </c>
      <c r="D5929" s="219">
        <v>1.0</v>
      </c>
      <c r="E5929" s="218">
        <v>250.0</v>
      </c>
      <c r="G5929" s="220">
        <v>43591.0</v>
      </c>
    </row>
    <row r="5930">
      <c r="A5930" s="217">
        <v>43591.59958064815</v>
      </c>
      <c r="B5930" s="218" t="s">
        <v>5184</v>
      </c>
      <c r="C5930" s="218" t="s">
        <v>7312</v>
      </c>
      <c r="D5930" s="219">
        <v>1.0</v>
      </c>
      <c r="E5930" s="218">
        <v>600.0</v>
      </c>
      <c r="G5930" s="220">
        <v>43591.0</v>
      </c>
    </row>
    <row r="5931">
      <c r="A5931" s="217">
        <v>43591.60019989584</v>
      </c>
      <c r="B5931" s="218" t="s">
        <v>5184</v>
      </c>
      <c r="C5931" s="218" t="s">
        <v>5786</v>
      </c>
      <c r="D5931" s="219">
        <v>1.0</v>
      </c>
      <c r="E5931" s="218">
        <v>250.0</v>
      </c>
      <c r="G5931" s="220">
        <v>43591.0</v>
      </c>
    </row>
    <row r="5932">
      <c r="A5932" s="217">
        <v>43591.601640277775</v>
      </c>
      <c r="B5932" s="218" t="s">
        <v>5184</v>
      </c>
      <c r="C5932" s="218" t="s">
        <v>6053</v>
      </c>
      <c r="D5932" s="219">
        <v>1.0</v>
      </c>
      <c r="E5932" s="218">
        <v>300.0</v>
      </c>
      <c r="G5932" s="220">
        <v>43591.0</v>
      </c>
    </row>
    <row r="5933">
      <c r="A5933" s="217">
        <v>43591.602476423606</v>
      </c>
      <c r="B5933" s="218" t="s">
        <v>5184</v>
      </c>
      <c r="C5933" s="218" t="s">
        <v>7800</v>
      </c>
      <c r="D5933" s="219">
        <v>1.0</v>
      </c>
      <c r="E5933" s="218">
        <v>250.0</v>
      </c>
      <c r="G5933" s="220">
        <v>43591.0</v>
      </c>
    </row>
    <row r="5934">
      <c r="A5934" s="217">
        <v>43591.602906747685</v>
      </c>
      <c r="B5934" s="218" t="s">
        <v>5184</v>
      </c>
      <c r="C5934" s="218" t="s">
        <v>6053</v>
      </c>
      <c r="D5934" s="219">
        <v>1.0</v>
      </c>
      <c r="E5934" s="218">
        <v>300.0</v>
      </c>
      <c r="G5934" s="220">
        <v>43591.0</v>
      </c>
    </row>
    <row r="5935">
      <c r="A5935" s="217">
        <v>43591.60516400463</v>
      </c>
      <c r="B5935" s="218" t="s">
        <v>5184</v>
      </c>
      <c r="C5935" s="218" t="s">
        <v>5786</v>
      </c>
      <c r="D5935" s="219">
        <v>1.0</v>
      </c>
      <c r="E5935" s="218">
        <v>250.0</v>
      </c>
      <c r="G5935" s="220">
        <v>43591.0</v>
      </c>
    </row>
    <row r="5936">
      <c r="A5936" s="217">
        <v>43591.60569214121</v>
      </c>
      <c r="B5936" s="218" t="s">
        <v>5184</v>
      </c>
      <c r="C5936" s="218" t="s">
        <v>7312</v>
      </c>
      <c r="D5936" s="219">
        <v>1.0</v>
      </c>
      <c r="E5936" s="218">
        <v>600.0</v>
      </c>
      <c r="G5936" s="220">
        <v>43591.0</v>
      </c>
    </row>
    <row r="5937">
      <c r="A5937" s="217">
        <v>43591.60655564815</v>
      </c>
      <c r="B5937" s="218" t="s">
        <v>5184</v>
      </c>
      <c r="C5937" s="218" t="s">
        <v>7800</v>
      </c>
      <c r="D5937" s="219">
        <v>1.0</v>
      </c>
      <c r="E5937" s="218">
        <v>250.0</v>
      </c>
      <c r="G5937" s="220">
        <v>43591.0</v>
      </c>
    </row>
    <row r="5938">
      <c r="A5938" s="217">
        <v>43591.60703270833</v>
      </c>
      <c r="B5938" s="218" t="s">
        <v>5184</v>
      </c>
      <c r="C5938" s="218" t="s">
        <v>6053</v>
      </c>
      <c r="D5938" s="219">
        <v>1.0</v>
      </c>
      <c r="E5938" s="218">
        <v>300.0</v>
      </c>
      <c r="G5938" s="220">
        <v>43591.0</v>
      </c>
    </row>
    <row r="5939">
      <c r="A5939" s="217">
        <v>43591.607728206014</v>
      </c>
      <c r="B5939" s="218" t="s">
        <v>5184</v>
      </c>
      <c r="C5939" s="218" t="s">
        <v>7411</v>
      </c>
      <c r="D5939" s="219">
        <v>1.0</v>
      </c>
      <c r="E5939" s="218">
        <v>200.0</v>
      </c>
      <c r="G5939" s="220">
        <v>43591.0</v>
      </c>
    </row>
    <row r="5940">
      <c r="A5940" s="217">
        <v>43591.607728206014</v>
      </c>
      <c r="B5940" s="218" t="s">
        <v>5184</v>
      </c>
      <c r="C5940" s="218" t="s">
        <v>726</v>
      </c>
      <c r="D5940" s="219">
        <v>1.0</v>
      </c>
      <c r="E5940" s="218">
        <v>2160.0</v>
      </c>
      <c r="G5940" s="220">
        <v>43589.0</v>
      </c>
    </row>
    <row r="5941">
      <c r="A5941" s="217">
        <v>43591.65490653935</v>
      </c>
      <c r="B5941" s="218" t="s">
        <v>5184</v>
      </c>
      <c r="C5941" s="218" t="s">
        <v>8451</v>
      </c>
      <c r="D5941" s="219">
        <v>1.0</v>
      </c>
      <c r="E5941" s="218">
        <v>2450.0</v>
      </c>
      <c r="G5941" s="220">
        <v>43589.0</v>
      </c>
    </row>
    <row r="5942">
      <c r="A5942" s="217">
        <v>43591.65578803241</v>
      </c>
      <c r="B5942" s="218" t="s">
        <v>5184</v>
      </c>
      <c r="C5942" s="218" t="s">
        <v>1422</v>
      </c>
      <c r="D5942" s="219">
        <v>1.0</v>
      </c>
      <c r="E5942" s="218">
        <v>2450.0</v>
      </c>
      <c r="G5942" s="220">
        <v>43589.0</v>
      </c>
    </row>
    <row r="5943">
      <c r="A5943" s="217">
        <v>43591.657179999995</v>
      </c>
      <c r="B5943" s="218" t="s">
        <v>5184</v>
      </c>
      <c r="C5943" s="218" t="s">
        <v>8470</v>
      </c>
      <c r="D5943" s="219">
        <v>1.0</v>
      </c>
      <c r="E5943" s="218">
        <v>2450.0</v>
      </c>
      <c r="G5943" s="220">
        <v>43589.0</v>
      </c>
    </row>
    <row r="5944">
      <c r="A5944" s="217">
        <v>43591.658149780094</v>
      </c>
      <c r="B5944" s="218" t="s">
        <v>5184</v>
      </c>
      <c r="C5944" s="218" t="s">
        <v>728</v>
      </c>
      <c r="D5944" s="219">
        <v>1.0</v>
      </c>
      <c r="E5944" s="218">
        <v>2450.0</v>
      </c>
      <c r="G5944" s="220">
        <v>43589.0</v>
      </c>
    </row>
    <row r="5945">
      <c r="A5945" s="217">
        <v>43591.660176018515</v>
      </c>
      <c r="B5945" s="218" t="s">
        <v>5184</v>
      </c>
      <c r="C5945" s="218" t="s">
        <v>8418</v>
      </c>
      <c r="D5945" s="219">
        <v>1.0</v>
      </c>
      <c r="E5945" s="218">
        <v>2450.0</v>
      </c>
      <c r="G5945" s="220">
        <v>43589.0</v>
      </c>
    </row>
    <row r="5946">
      <c r="A5946" s="217">
        <v>43591.661391435184</v>
      </c>
      <c r="B5946" s="218" t="s">
        <v>5184</v>
      </c>
      <c r="C5946" s="218" t="s">
        <v>6918</v>
      </c>
      <c r="D5946" s="219">
        <v>1.0</v>
      </c>
      <c r="E5946" s="218">
        <v>2450.0</v>
      </c>
      <c r="G5946" s="220">
        <v>43589.0</v>
      </c>
    </row>
    <row r="5947">
      <c r="A5947" s="217">
        <v>43591.662175509264</v>
      </c>
      <c r="B5947" s="218" t="s">
        <v>5184</v>
      </c>
      <c r="C5947" s="218" t="s">
        <v>5598</v>
      </c>
      <c r="D5947" s="219">
        <v>1.0</v>
      </c>
      <c r="E5947" s="218">
        <v>1800.0</v>
      </c>
      <c r="G5947" s="220">
        <v>43589.0</v>
      </c>
    </row>
    <row r="5948">
      <c r="A5948" s="217">
        <v>43591.74129302084</v>
      </c>
      <c r="B5948" s="218" t="s">
        <v>5184</v>
      </c>
      <c r="C5948" s="218" t="s">
        <v>244</v>
      </c>
      <c r="D5948" s="219">
        <v>1.0</v>
      </c>
      <c r="E5948" s="218">
        <v>400.0</v>
      </c>
      <c r="G5948" s="220">
        <v>43591.0</v>
      </c>
    </row>
    <row r="5949">
      <c r="A5949" s="217">
        <v>43591.741958136576</v>
      </c>
      <c r="B5949" s="218" t="s">
        <v>5184</v>
      </c>
      <c r="C5949" s="218" t="s">
        <v>7800</v>
      </c>
      <c r="D5949" s="219">
        <v>1.0</v>
      </c>
      <c r="E5949" s="218">
        <v>250.0</v>
      </c>
      <c r="G5949" s="220">
        <v>43591.0</v>
      </c>
    </row>
    <row r="5950">
      <c r="A5950" s="217">
        <v>43591.742555833334</v>
      </c>
      <c r="B5950" s="218" t="s">
        <v>5184</v>
      </c>
      <c r="C5950" s="218" t="s">
        <v>6053</v>
      </c>
      <c r="D5950" s="219">
        <v>1.0</v>
      </c>
      <c r="E5950" s="218">
        <v>300.0</v>
      </c>
      <c r="G5950" s="220">
        <v>43591.0</v>
      </c>
    </row>
    <row r="5951">
      <c r="A5951" s="217">
        <v>43591.743189733796</v>
      </c>
      <c r="B5951" s="218" t="s">
        <v>5184</v>
      </c>
      <c r="C5951" s="218" t="s">
        <v>6053</v>
      </c>
      <c r="D5951" s="219">
        <v>1.0</v>
      </c>
      <c r="E5951" s="218">
        <v>300.0</v>
      </c>
      <c r="G5951" s="220">
        <v>43591.0</v>
      </c>
    </row>
    <row r="5952">
      <c r="A5952" s="217">
        <v>43592.47829824074</v>
      </c>
      <c r="B5952" s="218" t="s">
        <v>5184</v>
      </c>
      <c r="C5952" s="218" t="s">
        <v>7800</v>
      </c>
      <c r="D5952" s="219">
        <v>1.0</v>
      </c>
      <c r="E5952" s="218">
        <v>250.0</v>
      </c>
      <c r="G5952" s="220">
        <v>43589.0</v>
      </c>
    </row>
    <row r="5953">
      <c r="A5953" s="217">
        <v>43592.47879472222</v>
      </c>
      <c r="B5953" s="218" t="s">
        <v>5184</v>
      </c>
      <c r="C5953" s="218" t="s">
        <v>284</v>
      </c>
      <c r="D5953" s="219">
        <v>1.0</v>
      </c>
      <c r="E5953" s="218">
        <v>500.0</v>
      </c>
      <c r="G5953" s="220">
        <v>43589.0</v>
      </c>
    </row>
    <row r="5954">
      <c r="A5954" s="217">
        <v>43592.52240609954</v>
      </c>
      <c r="B5954" s="218" t="s">
        <v>5184</v>
      </c>
      <c r="C5954" s="218" t="s">
        <v>6776</v>
      </c>
      <c r="D5954" s="219">
        <v>1.0</v>
      </c>
      <c r="E5954" s="218">
        <v>4290.0</v>
      </c>
      <c r="G5954" s="220">
        <v>43592.0</v>
      </c>
    </row>
    <row r="5955">
      <c r="A5955" s="217">
        <v>43592.52362037037</v>
      </c>
      <c r="B5955" s="218" t="s">
        <v>5184</v>
      </c>
      <c r="C5955" s="218" t="s">
        <v>7058</v>
      </c>
      <c r="D5955" s="219">
        <v>2.0</v>
      </c>
      <c r="E5955" s="218">
        <v>4790.0</v>
      </c>
      <c r="G5955" s="220">
        <v>43592.0</v>
      </c>
    </row>
    <row r="5956">
      <c r="A5956" s="217">
        <v>43592.52450356481</v>
      </c>
      <c r="B5956" s="218" t="s">
        <v>5184</v>
      </c>
      <c r="C5956" s="218" t="s">
        <v>5489</v>
      </c>
      <c r="D5956" s="219">
        <v>2.0</v>
      </c>
      <c r="E5956" s="218">
        <v>3490.0</v>
      </c>
      <c r="G5956" s="220">
        <v>43592.0</v>
      </c>
    </row>
    <row r="5957">
      <c r="A5957" s="217">
        <v>43592.6067253125</v>
      </c>
      <c r="B5957" s="218" t="s">
        <v>5184</v>
      </c>
      <c r="C5957" s="218" t="s">
        <v>7800</v>
      </c>
      <c r="D5957" s="219">
        <v>1.0</v>
      </c>
      <c r="E5957" s="218">
        <v>250.0</v>
      </c>
      <c r="G5957" s="220">
        <v>43592.0</v>
      </c>
    </row>
    <row r="5958">
      <c r="A5958" s="217">
        <v>43592.60731850694</v>
      </c>
      <c r="B5958" s="218" t="s">
        <v>5184</v>
      </c>
      <c r="C5958" s="218" t="s">
        <v>284</v>
      </c>
      <c r="D5958" s="219">
        <v>1.0</v>
      </c>
      <c r="E5958" s="218">
        <v>500.0</v>
      </c>
      <c r="G5958" s="220">
        <v>43592.0</v>
      </c>
    </row>
    <row r="5959">
      <c r="A5959" s="217">
        <v>43592.60807001157</v>
      </c>
      <c r="B5959" s="218" t="s">
        <v>5184</v>
      </c>
      <c r="C5959" s="218" t="s">
        <v>6053</v>
      </c>
      <c r="D5959" s="219">
        <v>1.0</v>
      </c>
      <c r="E5959" s="218">
        <v>300.0</v>
      </c>
      <c r="G5959" s="220">
        <v>43592.0</v>
      </c>
    </row>
    <row r="5960">
      <c r="A5960" s="217">
        <v>43592.60891729167</v>
      </c>
      <c r="B5960" s="218" t="s">
        <v>5184</v>
      </c>
      <c r="C5960" s="218" t="s">
        <v>7800</v>
      </c>
      <c r="D5960" s="219">
        <v>1.0</v>
      </c>
      <c r="E5960" s="218">
        <v>250.0</v>
      </c>
      <c r="G5960" s="220">
        <v>43592.0</v>
      </c>
    </row>
    <row r="5961">
      <c r="A5961" s="217">
        <v>43592.60940311343</v>
      </c>
      <c r="B5961" s="218" t="s">
        <v>5184</v>
      </c>
      <c r="C5961" s="218" t="s">
        <v>6053</v>
      </c>
      <c r="D5961" s="219">
        <v>1.0</v>
      </c>
      <c r="E5961" s="218">
        <v>300.0</v>
      </c>
      <c r="G5961" s="220">
        <v>43592.0</v>
      </c>
    </row>
    <row r="5962">
      <c r="A5962" s="217">
        <v>43592.61020964121</v>
      </c>
      <c r="B5962" s="218" t="s">
        <v>5184</v>
      </c>
      <c r="C5962" s="218" t="s">
        <v>5786</v>
      </c>
      <c r="D5962" s="219">
        <v>1.0</v>
      </c>
      <c r="E5962" s="218">
        <v>250.0</v>
      </c>
      <c r="G5962" s="220">
        <v>43592.0</v>
      </c>
    </row>
    <row r="5963">
      <c r="A5963" s="217">
        <v>43592.610691354166</v>
      </c>
      <c r="B5963" s="218" t="s">
        <v>5184</v>
      </c>
      <c r="C5963" s="218" t="s">
        <v>6053</v>
      </c>
      <c r="D5963" s="219">
        <v>1.0</v>
      </c>
      <c r="E5963" s="218">
        <v>300.0</v>
      </c>
      <c r="G5963" s="220">
        <v>43592.0</v>
      </c>
    </row>
    <row r="5964">
      <c r="A5964" s="217">
        <v>43592.6114757176</v>
      </c>
      <c r="B5964" s="218" t="s">
        <v>5184</v>
      </c>
      <c r="C5964" s="218" t="s">
        <v>6053</v>
      </c>
      <c r="D5964" s="219">
        <v>1.0</v>
      </c>
      <c r="E5964" s="218">
        <v>300.0</v>
      </c>
      <c r="G5964" s="220">
        <v>43592.0</v>
      </c>
    </row>
    <row r="5965">
      <c r="A5965" s="217">
        <v>43592.612966099536</v>
      </c>
      <c r="B5965" s="218" t="s">
        <v>5184</v>
      </c>
      <c r="C5965" s="218" t="s">
        <v>7800</v>
      </c>
      <c r="D5965" s="219">
        <v>1.0</v>
      </c>
      <c r="E5965" s="218">
        <v>250.0</v>
      </c>
      <c r="G5965" s="220">
        <v>43592.0</v>
      </c>
    </row>
    <row r="5966">
      <c r="A5966" s="217">
        <v>43592.61379230324</v>
      </c>
      <c r="B5966" s="218" t="s">
        <v>5184</v>
      </c>
      <c r="C5966" s="218" t="s">
        <v>284</v>
      </c>
      <c r="D5966" s="219">
        <v>1.0</v>
      </c>
      <c r="E5966" s="218">
        <v>500.0</v>
      </c>
      <c r="G5966" s="220">
        <v>43592.0</v>
      </c>
    </row>
    <row r="5967">
      <c r="A5967" s="217">
        <v>43592.61471087963</v>
      </c>
      <c r="B5967" s="218" t="s">
        <v>5184</v>
      </c>
      <c r="C5967" s="218" t="s">
        <v>7800</v>
      </c>
      <c r="D5967" s="219">
        <v>1.0</v>
      </c>
      <c r="E5967" s="218">
        <v>250.0</v>
      </c>
      <c r="G5967" s="220">
        <v>43592.0</v>
      </c>
    </row>
    <row r="5968">
      <c r="A5968" s="217">
        <v>43592.61575350694</v>
      </c>
      <c r="B5968" s="218" t="s">
        <v>5184</v>
      </c>
      <c r="C5968" s="218" t="s">
        <v>828</v>
      </c>
      <c r="D5968" s="219">
        <v>1.0</v>
      </c>
      <c r="E5968" s="218">
        <v>400.0</v>
      </c>
      <c r="G5968" s="220">
        <v>43592.0</v>
      </c>
    </row>
    <row r="5969">
      <c r="A5969" s="217">
        <v>43592.61653629629</v>
      </c>
      <c r="B5969" s="218" t="s">
        <v>5184</v>
      </c>
      <c r="C5969" s="218" t="s">
        <v>7496</v>
      </c>
      <c r="D5969" s="219">
        <v>1.0</v>
      </c>
      <c r="E5969" s="218">
        <v>100.0</v>
      </c>
      <c r="G5969" s="220">
        <v>43592.0</v>
      </c>
    </row>
    <row r="5970">
      <c r="A5970" s="217">
        <v>43592.617224629634</v>
      </c>
      <c r="B5970" s="218" t="s">
        <v>5184</v>
      </c>
      <c r="C5970" s="218" t="s">
        <v>7800</v>
      </c>
      <c r="D5970" s="219">
        <v>1.0</v>
      </c>
      <c r="E5970" s="218">
        <v>250.0</v>
      </c>
      <c r="G5970" s="220">
        <v>43592.0</v>
      </c>
    </row>
    <row r="5971">
      <c r="A5971" s="217">
        <v>43592.617636678246</v>
      </c>
      <c r="B5971" s="218" t="s">
        <v>5184</v>
      </c>
      <c r="C5971" s="218" t="s">
        <v>284</v>
      </c>
      <c r="D5971" s="219">
        <v>1.0</v>
      </c>
      <c r="E5971" s="218">
        <v>500.0</v>
      </c>
      <c r="G5971" s="220">
        <v>43592.0</v>
      </c>
    </row>
    <row r="5972">
      <c r="A5972" s="217">
        <v>43592.618567673606</v>
      </c>
      <c r="B5972" s="218" t="s">
        <v>5184</v>
      </c>
      <c r="C5972" s="218" t="s">
        <v>7800</v>
      </c>
      <c r="D5972" s="219">
        <v>1.0</v>
      </c>
      <c r="E5972" s="218">
        <v>250.0</v>
      </c>
      <c r="G5972" s="220">
        <v>43592.0</v>
      </c>
    </row>
    <row r="5973">
      <c r="A5973" s="217">
        <v>43592.61912105324</v>
      </c>
      <c r="B5973" s="218" t="s">
        <v>5184</v>
      </c>
      <c r="C5973" s="218" t="s">
        <v>6053</v>
      </c>
      <c r="D5973" s="219">
        <v>1.0</v>
      </c>
      <c r="E5973" s="218">
        <v>300.0</v>
      </c>
      <c r="G5973" s="220">
        <v>43592.0</v>
      </c>
    </row>
    <row r="5974">
      <c r="A5974" s="217">
        <v>43592.620038900466</v>
      </c>
      <c r="B5974" s="218" t="s">
        <v>5184</v>
      </c>
      <c r="C5974" s="218" t="s">
        <v>5786</v>
      </c>
      <c r="D5974" s="219">
        <v>1.0</v>
      </c>
      <c r="E5974" s="218">
        <v>250.0</v>
      </c>
      <c r="G5974" s="220">
        <v>43592.0</v>
      </c>
    </row>
    <row r="5975">
      <c r="A5975" s="217">
        <v>43592.62052552083</v>
      </c>
      <c r="B5975" s="218" t="s">
        <v>5184</v>
      </c>
      <c r="C5975" s="218" t="s">
        <v>6053</v>
      </c>
      <c r="D5975" s="219">
        <v>1.0</v>
      </c>
      <c r="E5975" s="218">
        <v>300.0</v>
      </c>
      <c r="G5975" s="220">
        <v>43592.0</v>
      </c>
    </row>
    <row r="5976">
      <c r="A5976" s="217">
        <v>43593.77286607639</v>
      </c>
      <c r="B5976" s="218" t="s">
        <v>5092</v>
      </c>
      <c r="C5976" s="218" t="s">
        <v>8773</v>
      </c>
      <c r="D5976" s="219">
        <v>4.0</v>
      </c>
      <c r="E5976" s="218">
        <v>4390.0</v>
      </c>
      <c r="G5976" s="220">
        <v>43588.0</v>
      </c>
    </row>
    <row r="5977">
      <c r="A5977" s="217">
        <v>43593.785370474536</v>
      </c>
      <c r="B5977" s="218" t="s">
        <v>5092</v>
      </c>
      <c r="C5977" s="218" t="s">
        <v>8775</v>
      </c>
      <c r="D5977" s="219">
        <v>1.0</v>
      </c>
      <c r="E5977" s="218">
        <v>4390.0</v>
      </c>
      <c r="G5977" s="220">
        <v>43588.0</v>
      </c>
    </row>
    <row r="5978">
      <c r="A5978" s="217">
        <v>43593.7885358912</v>
      </c>
      <c r="B5978" s="218" t="s">
        <v>5092</v>
      </c>
      <c r="C5978" s="218" t="s">
        <v>8776</v>
      </c>
      <c r="D5978" s="219">
        <v>1.0</v>
      </c>
      <c r="E5978" s="218">
        <v>7190.0</v>
      </c>
      <c r="G5978" s="220">
        <v>43588.0</v>
      </c>
    </row>
    <row r="5979">
      <c r="A5979" s="217">
        <v>43593.791052534725</v>
      </c>
      <c r="B5979" s="218" t="s">
        <v>5092</v>
      </c>
      <c r="C5979" s="218" t="s">
        <v>2242</v>
      </c>
      <c r="D5979" s="219">
        <v>1.0</v>
      </c>
      <c r="E5979" s="218">
        <v>6890.0</v>
      </c>
      <c r="G5979" s="220">
        <v>43588.0</v>
      </c>
    </row>
    <row r="5980">
      <c r="A5980" s="217">
        <v>43593.79507486111</v>
      </c>
      <c r="B5980" s="218" t="s">
        <v>5092</v>
      </c>
      <c r="C5980" s="218" t="s">
        <v>8777</v>
      </c>
      <c r="D5980" s="219">
        <v>1.0</v>
      </c>
      <c r="E5980" s="218">
        <v>7190.0</v>
      </c>
      <c r="G5980" s="220">
        <v>43588.0</v>
      </c>
    </row>
    <row r="5981">
      <c r="A5981" s="217">
        <v>43593.80347109954</v>
      </c>
      <c r="B5981" s="218" t="s">
        <v>5092</v>
      </c>
      <c r="C5981" s="218" t="s">
        <v>2273</v>
      </c>
      <c r="D5981" s="219">
        <v>3.0</v>
      </c>
      <c r="E5981" s="218">
        <v>4290.0</v>
      </c>
      <c r="G5981" s="220">
        <v>43588.0</v>
      </c>
    </row>
    <row r="5982">
      <c r="A5982" s="217">
        <v>43593.81489608796</v>
      </c>
      <c r="B5982" s="218" t="s">
        <v>5092</v>
      </c>
      <c r="C5982" s="218" t="s">
        <v>8779</v>
      </c>
      <c r="D5982" s="219">
        <v>2.0</v>
      </c>
      <c r="E5982" s="218">
        <v>4290.0</v>
      </c>
      <c r="G5982" s="220">
        <v>43588.0</v>
      </c>
    </row>
    <row r="5983">
      <c r="A5983" s="217">
        <v>43593.81676189815</v>
      </c>
      <c r="B5983" s="218" t="s">
        <v>5092</v>
      </c>
      <c r="C5983" s="218" t="s">
        <v>8780</v>
      </c>
      <c r="D5983" s="219">
        <v>1.0</v>
      </c>
      <c r="E5983" s="218">
        <v>4390.0</v>
      </c>
      <c r="G5983" s="220">
        <v>43588.0</v>
      </c>
    </row>
    <row r="5984">
      <c r="A5984" s="217">
        <v>43593.81858542824</v>
      </c>
      <c r="B5984" s="218" t="s">
        <v>5092</v>
      </c>
      <c r="C5984" s="218" t="s">
        <v>2229</v>
      </c>
      <c r="D5984" s="219">
        <v>1.0</v>
      </c>
      <c r="E5984" s="218">
        <v>6190.0</v>
      </c>
      <c r="G5984" s="220">
        <v>43588.0</v>
      </c>
    </row>
    <row r="5985">
      <c r="A5985" s="217">
        <v>43593.820685011575</v>
      </c>
      <c r="B5985" s="218" t="s">
        <v>5092</v>
      </c>
      <c r="C5985" s="218" t="s">
        <v>8781</v>
      </c>
      <c r="D5985" s="219">
        <v>2.0</v>
      </c>
      <c r="E5985" s="218">
        <v>4390.0</v>
      </c>
      <c r="G5985" s="220">
        <v>43588.0</v>
      </c>
    </row>
    <row r="5986">
      <c r="A5986" s="217">
        <v>43593.82552322917</v>
      </c>
      <c r="B5986" s="218" t="s">
        <v>5092</v>
      </c>
      <c r="C5986" s="218" t="s">
        <v>8779</v>
      </c>
      <c r="D5986" s="219">
        <v>2.0</v>
      </c>
      <c r="E5986" s="218">
        <v>4290.0</v>
      </c>
      <c r="G5986" s="220">
        <v>43588.0</v>
      </c>
    </row>
    <row r="5987">
      <c r="A5987" s="217">
        <v>43593.82688601852</v>
      </c>
      <c r="B5987" s="218" t="s">
        <v>5092</v>
      </c>
      <c r="C5987" s="218" t="s">
        <v>8782</v>
      </c>
      <c r="D5987" s="219">
        <v>2.0</v>
      </c>
      <c r="E5987" s="218">
        <v>4290.0</v>
      </c>
      <c r="G5987" s="220">
        <v>43588.0</v>
      </c>
    </row>
    <row r="5988">
      <c r="A5988" s="217">
        <v>43593.82775457176</v>
      </c>
      <c r="B5988" s="218" t="s">
        <v>5092</v>
      </c>
      <c r="C5988" s="218" t="s">
        <v>8783</v>
      </c>
      <c r="D5988" s="219">
        <v>1.0</v>
      </c>
      <c r="E5988" s="218">
        <v>4290.0</v>
      </c>
      <c r="G5988" s="220">
        <v>43588.0</v>
      </c>
    </row>
    <row r="5989">
      <c r="A5989" s="217">
        <v>43593.85152028935</v>
      </c>
      <c r="B5989" s="218" t="s">
        <v>5092</v>
      </c>
      <c r="C5989" s="218" t="s">
        <v>8784</v>
      </c>
      <c r="D5989" s="219">
        <v>1.0</v>
      </c>
      <c r="E5989" s="218">
        <v>5090.0</v>
      </c>
      <c r="G5989" s="220">
        <v>43588.0</v>
      </c>
    </row>
    <row r="5990">
      <c r="A5990" s="217">
        <v>43593.85250247685</v>
      </c>
      <c r="B5990" s="218" t="s">
        <v>5092</v>
      </c>
      <c r="C5990" s="218" t="s">
        <v>8785</v>
      </c>
      <c r="D5990" s="219">
        <v>1.0</v>
      </c>
      <c r="E5990" s="218">
        <v>5090.0</v>
      </c>
      <c r="G5990" s="220">
        <v>43588.0</v>
      </c>
    </row>
    <row r="5991">
      <c r="A5991" s="217">
        <v>43594.46110930556</v>
      </c>
      <c r="B5991" s="218" t="s">
        <v>5092</v>
      </c>
      <c r="C5991" s="218" t="s">
        <v>2331</v>
      </c>
      <c r="D5991" s="219">
        <v>1.0</v>
      </c>
      <c r="E5991" s="218">
        <v>5090.0</v>
      </c>
      <c r="G5991" s="220">
        <v>43588.0</v>
      </c>
    </row>
    <row r="5992">
      <c r="A5992" s="217">
        <v>43594.476316817134</v>
      </c>
      <c r="B5992" s="218" t="s">
        <v>5092</v>
      </c>
      <c r="C5992" s="218" t="s">
        <v>8786</v>
      </c>
      <c r="D5992" s="219">
        <v>1.0</v>
      </c>
      <c r="E5992" s="218">
        <v>5090.0</v>
      </c>
      <c r="G5992" s="220">
        <v>43588.0</v>
      </c>
    </row>
    <row r="5993">
      <c r="A5993" s="217">
        <v>43594.478523136575</v>
      </c>
      <c r="B5993" s="218" t="s">
        <v>5092</v>
      </c>
      <c r="C5993" s="218" t="s">
        <v>8787</v>
      </c>
      <c r="D5993" s="219">
        <v>1.0</v>
      </c>
      <c r="E5993" s="218">
        <v>5090.0</v>
      </c>
      <c r="G5993" s="220">
        <v>43588.0</v>
      </c>
    </row>
    <row r="5994">
      <c r="A5994" s="217">
        <v>43594.48299938657</v>
      </c>
      <c r="B5994" s="218" t="s">
        <v>5092</v>
      </c>
      <c r="C5994" s="218" t="s">
        <v>2287</v>
      </c>
      <c r="D5994" s="219">
        <v>1.0</v>
      </c>
      <c r="E5994" s="218">
        <v>7190.0</v>
      </c>
      <c r="G5994" s="220">
        <v>43588.0</v>
      </c>
    </row>
    <row r="5995">
      <c r="A5995" s="217">
        <v>43594.48417115741</v>
      </c>
      <c r="B5995" s="218" t="s">
        <v>5092</v>
      </c>
      <c r="C5995" s="218" t="s">
        <v>8788</v>
      </c>
      <c r="D5995" s="219">
        <v>1.0</v>
      </c>
      <c r="E5995" s="218">
        <v>7190.0</v>
      </c>
      <c r="G5995" s="220">
        <v>43588.0</v>
      </c>
    </row>
    <row r="5996">
      <c r="A5996" s="217">
        <v>43594.494152534724</v>
      </c>
      <c r="B5996" s="218" t="s">
        <v>5092</v>
      </c>
      <c r="C5996" s="218" t="s">
        <v>2339</v>
      </c>
      <c r="D5996" s="219">
        <v>2.0</v>
      </c>
      <c r="E5996" s="218">
        <v>7190.0</v>
      </c>
      <c r="G5996" s="220">
        <v>43588.0</v>
      </c>
    </row>
    <row r="5997">
      <c r="A5997" s="217">
        <v>43594.50034795138</v>
      </c>
      <c r="B5997" s="218" t="s">
        <v>5092</v>
      </c>
      <c r="C5997" s="218" t="s">
        <v>8790</v>
      </c>
      <c r="D5997" s="219">
        <v>3.0</v>
      </c>
      <c r="E5997" s="218">
        <v>4390.0</v>
      </c>
      <c r="G5997" s="220">
        <v>43588.0</v>
      </c>
    </row>
    <row r="5998">
      <c r="A5998" s="217">
        <v>43594.505348425926</v>
      </c>
      <c r="B5998" s="218" t="s">
        <v>5092</v>
      </c>
      <c r="C5998" s="218" t="s">
        <v>8791</v>
      </c>
      <c r="D5998" s="219">
        <v>4.0</v>
      </c>
      <c r="E5998" s="218">
        <v>4390.0</v>
      </c>
      <c r="G5998" s="220">
        <v>43588.0</v>
      </c>
    </row>
    <row r="5999">
      <c r="A5999" s="217">
        <v>43594.50884946759</v>
      </c>
      <c r="B5999" s="218" t="s">
        <v>5092</v>
      </c>
      <c r="C5999" s="218" t="s">
        <v>2278</v>
      </c>
      <c r="D5999" s="219">
        <v>2.0</v>
      </c>
      <c r="E5999" s="218">
        <v>7190.0</v>
      </c>
      <c r="G5999" s="220">
        <v>43588.0</v>
      </c>
    </row>
    <row r="6000">
      <c r="A6000" s="217">
        <v>43594.50975113426</v>
      </c>
      <c r="B6000" s="218" t="s">
        <v>5092</v>
      </c>
      <c r="C6000" s="218" t="s">
        <v>8792</v>
      </c>
      <c r="D6000" s="219">
        <v>1.0</v>
      </c>
      <c r="E6000" s="218">
        <v>5590.0</v>
      </c>
      <c r="G6000" s="220">
        <v>43588.0</v>
      </c>
    </row>
    <row r="6001">
      <c r="A6001" s="217">
        <v>43594.511523124995</v>
      </c>
      <c r="B6001" s="218" t="s">
        <v>5092</v>
      </c>
      <c r="C6001" s="218" t="s">
        <v>8793</v>
      </c>
      <c r="D6001" s="219">
        <v>2.0</v>
      </c>
      <c r="E6001" s="218">
        <v>5590.0</v>
      </c>
      <c r="G6001" s="220">
        <v>43588.0</v>
      </c>
    </row>
    <row r="6002">
      <c r="A6002" s="217">
        <v>43594.51969835648</v>
      </c>
      <c r="B6002" s="218" t="s">
        <v>5092</v>
      </c>
      <c r="C6002" s="218" t="s">
        <v>8794</v>
      </c>
      <c r="D6002" s="219">
        <v>1.0</v>
      </c>
      <c r="E6002" s="218">
        <v>5590.0</v>
      </c>
      <c r="G6002" s="220">
        <v>43588.0</v>
      </c>
    </row>
    <row r="6003">
      <c r="A6003" s="217">
        <v>43594.5329324537</v>
      </c>
      <c r="B6003" s="218" t="s">
        <v>5092</v>
      </c>
      <c r="C6003" s="218" t="s">
        <v>2282</v>
      </c>
      <c r="D6003" s="219">
        <v>1.0</v>
      </c>
      <c r="E6003" s="218">
        <v>5090.0</v>
      </c>
      <c r="G6003" s="220">
        <v>43588.0</v>
      </c>
    </row>
    <row r="6004">
      <c r="A6004" s="217">
        <v>43594.53593336805</v>
      </c>
      <c r="B6004" s="218" t="s">
        <v>5092</v>
      </c>
      <c r="C6004" s="218" t="s">
        <v>8796</v>
      </c>
      <c r="D6004" s="219">
        <v>1.0</v>
      </c>
      <c r="E6004" s="218">
        <v>5790.0</v>
      </c>
      <c r="G6004" s="220">
        <v>43588.0</v>
      </c>
    </row>
    <row r="6005">
      <c r="A6005" s="217">
        <v>43594.53746140046</v>
      </c>
      <c r="B6005" s="218" t="s">
        <v>5092</v>
      </c>
      <c r="C6005" s="218" t="s">
        <v>2293</v>
      </c>
      <c r="D6005" s="219">
        <v>1.0</v>
      </c>
      <c r="E6005" s="218">
        <v>7190.0</v>
      </c>
      <c r="G6005" s="220">
        <v>43588.0</v>
      </c>
    </row>
    <row r="6006">
      <c r="A6006" s="217">
        <v>43594.53891445602</v>
      </c>
      <c r="B6006" s="218" t="s">
        <v>5092</v>
      </c>
      <c r="C6006" s="218" t="s">
        <v>8797</v>
      </c>
      <c r="D6006" s="219">
        <v>1.0</v>
      </c>
      <c r="E6006" s="218">
        <v>5590.0</v>
      </c>
      <c r="G6006" s="220">
        <v>43588.0</v>
      </c>
    </row>
    <row r="6007">
      <c r="A6007" s="217">
        <v>43594.53990420139</v>
      </c>
      <c r="B6007" s="218" t="s">
        <v>5092</v>
      </c>
      <c r="C6007" s="218" t="s">
        <v>2306</v>
      </c>
      <c r="D6007" s="219">
        <v>1.0</v>
      </c>
      <c r="E6007" s="218">
        <v>5590.0</v>
      </c>
      <c r="G6007" s="220">
        <v>43588.0</v>
      </c>
    </row>
    <row r="6008">
      <c r="A6008" s="217">
        <v>43594.54104841435</v>
      </c>
      <c r="B6008" s="218" t="s">
        <v>5092</v>
      </c>
      <c r="C6008" s="218" t="s">
        <v>8798</v>
      </c>
      <c r="D6008" s="219">
        <v>2.0</v>
      </c>
      <c r="E6008" s="218">
        <v>7190.0</v>
      </c>
      <c r="G6008" s="220">
        <v>43588.0</v>
      </c>
    </row>
    <row r="6009">
      <c r="A6009" s="217">
        <v>43594.541820162034</v>
      </c>
      <c r="B6009" s="218" t="s">
        <v>5092</v>
      </c>
      <c r="C6009" s="218" t="s">
        <v>2290</v>
      </c>
      <c r="D6009" s="219">
        <v>1.0</v>
      </c>
      <c r="E6009" s="218">
        <v>7190.0</v>
      </c>
      <c r="G6009" s="220">
        <v>43588.0</v>
      </c>
    </row>
    <row r="6010">
      <c r="A6010" s="217">
        <v>43594.54319293982</v>
      </c>
      <c r="B6010" s="218" t="s">
        <v>5092</v>
      </c>
      <c r="C6010" s="218" t="s">
        <v>2289</v>
      </c>
      <c r="D6010" s="219">
        <v>1.0</v>
      </c>
      <c r="E6010" s="218">
        <v>7190.0</v>
      </c>
      <c r="G6010" s="220">
        <v>43588.0</v>
      </c>
    </row>
    <row r="6011">
      <c r="A6011" s="217">
        <v>43594.54537849537</v>
      </c>
      <c r="B6011" s="218" t="s">
        <v>5092</v>
      </c>
      <c r="C6011" s="218" t="s">
        <v>2275</v>
      </c>
      <c r="D6011" s="219">
        <v>1.0</v>
      </c>
      <c r="E6011" s="218">
        <v>5590.0</v>
      </c>
      <c r="G6011" s="220">
        <v>43588.0</v>
      </c>
    </row>
    <row r="6012">
      <c r="A6012" s="217">
        <v>43594.54649407408</v>
      </c>
      <c r="B6012" s="218" t="s">
        <v>5092</v>
      </c>
      <c r="C6012" s="218" t="s">
        <v>8799</v>
      </c>
      <c r="D6012" s="219">
        <v>1.0</v>
      </c>
      <c r="E6012" s="218">
        <v>7190.0</v>
      </c>
      <c r="G6012" s="220">
        <v>43588.0</v>
      </c>
    </row>
    <row r="6013">
      <c r="A6013" s="217">
        <v>43594.54719510417</v>
      </c>
      <c r="B6013" s="218" t="s">
        <v>5092</v>
      </c>
      <c r="C6013" s="218" t="s">
        <v>2294</v>
      </c>
      <c r="D6013" s="219">
        <v>1.0</v>
      </c>
      <c r="E6013" s="218">
        <v>7190.0</v>
      </c>
      <c r="G6013" s="220">
        <v>43588.0</v>
      </c>
    </row>
    <row r="6014">
      <c r="A6014" s="217">
        <v>43594.54858983796</v>
      </c>
      <c r="B6014" s="218" t="s">
        <v>5092</v>
      </c>
      <c r="C6014" s="218" t="s">
        <v>8800</v>
      </c>
      <c r="D6014" s="219">
        <v>1.0</v>
      </c>
      <c r="E6014" s="218">
        <v>7190.0</v>
      </c>
      <c r="G6014" s="220">
        <v>43588.0</v>
      </c>
    </row>
    <row r="6015">
      <c r="A6015" s="217">
        <v>43594.549610925926</v>
      </c>
      <c r="B6015" s="218" t="s">
        <v>5092</v>
      </c>
      <c r="C6015" s="218" t="s">
        <v>2295</v>
      </c>
      <c r="D6015" s="219">
        <v>1.0</v>
      </c>
      <c r="E6015" s="218">
        <v>7190.0</v>
      </c>
      <c r="G6015" s="220">
        <v>43588.0</v>
      </c>
    </row>
    <row r="6016">
      <c r="A6016" s="217">
        <v>43594.55080795139</v>
      </c>
      <c r="B6016" s="218" t="s">
        <v>5092</v>
      </c>
      <c r="C6016" s="218" t="s">
        <v>8801</v>
      </c>
      <c r="D6016" s="219">
        <v>1.0</v>
      </c>
      <c r="E6016" s="218">
        <v>7190.0</v>
      </c>
      <c r="G6016" s="220">
        <v>43588.0</v>
      </c>
    </row>
    <row r="6017">
      <c r="A6017" s="217">
        <v>43594.55204292824</v>
      </c>
      <c r="B6017" s="218" t="s">
        <v>5092</v>
      </c>
      <c r="C6017" s="218" t="s">
        <v>8802</v>
      </c>
      <c r="D6017" s="219">
        <v>1.0</v>
      </c>
      <c r="E6017" s="218">
        <v>7190.0</v>
      </c>
      <c r="G6017" s="220">
        <v>43588.0</v>
      </c>
    </row>
    <row r="6018">
      <c r="A6018" s="217">
        <v>43594.55275163194</v>
      </c>
      <c r="B6018" s="218" t="s">
        <v>5092</v>
      </c>
      <c r="C6018" s="218" t="s">
        <v>8803</v>
      </c>
      <c r="D6018" s="219">
        <v>1.0</v>
      </c>
      <c r="E6018" s="218">
        <v>7190.0</v>
      </c>
      <c r="G6018" s="220">
        <v>43588.0</v>
      </c>
    </row>
    <row r="6019">
      <c r="A6019" s="217">
        <v>43594.55339421296</v>
      </c>
      <c r="B6019" s="218" t="s">
        <v>5092</v>
      </c>
      <c r="C6019" s="218" t="s">
        <v>8804</v>
      </c>
      <c r="D6019" s="219">
        <v>1.0</v>
      </c>
      <c r="E6019" s="218">
        <v>7190.0</v>
      </c>
      <c r="G6019" s="220">
        <v>43588.0</v>
      </c>
    </row>
    <row r="6020">
      <c r="A6020" s="217">
        <v>43594.554105787036</v>
      </c>
      <c r="B6020" s="218" t="s">
        <v>5092</v>
      </c>
      <c r="C6020" s="218" t="s">
        <v>2340</v>
      </c>
      <c r="D6020" s="219">
        <v>1.0</v>
      </c>
      <c r="E6020" s="218">
        <v>7190.0</v>
      </c>
      <c r="G6020" s="220">
        <v>43588.0</v>
      </c>
    </row>
    <row r="6021">
      <c r="A6021" s="217">
        <v>43594.56173261574</v>
      </c>
      <c r="B6021" s="218" t="s">
        <v>5092</v>
      </c>
      <c r="C6021" s="218" t="s">
        <v>8805</v>
      </c>
      <c r="D6021" s="219">
        <v>1.0</v>
      </c>
      <c r="E6021" s="218">
        <v>6190.0</v>
      </c>
      <c r="G6021" s="220">
        <v>43588.0</v>
      </c>
    </row>
    <row r="6022">
      <c r="A6022" s="217">
        <v>43594.56322465278</v>
      </c>
      <c r="B6022" s="218" t="s">
        <v>5092</v>
      </c>
      <c r="C6022" s="218" t="s">
        <v>8807</v>
      </c>
      <c r="D6022" s="219">
        <v>2.0</v>
      </c>
      <c r="E6022" s="218">
        <v>4290.0</v>
      </c>
      <c r="G6022" s="220">
        <v>43588.0</v>
      </c>
    </row>
    <row r="6023">
      <c r="A6023" s="217">
        <v>43594.567150937495</v>
      </c>
      <c r="B6023" s="218" t="s">
        <v>5092</v>
      </c>
      <c r="C6023" s="218" t="s">
        <v>8808</v>
      </c>
      <c r="D6023" s="219">
        <v>1.0</v>
      </c>
      <c r="E6023" s="218">
        <v>3990.0</v>
      </c>
      <c r="G6023" s="220">
        <v>43588.0</v>
      </c>
    </row>
    <row r="6024">
      <c r="A6024" s="217">
        <v>43594.57028424769</v>
      </c>
      <c r="B6024" s="218" t="s">
        <v>5092</v>
      </c>
      <c r="C6024" s="218" t="s">
        <v>8809</v>
      </c>
      <c r="D6024" s="219">
        <v>1.0</v>
      </c>
      <c r="E6024" s="218">
        <v>5090.0</v>
      </c>
      <c r="G6024" s="220">
        <v>43588.0</v>
      </c>
    </row>
    <row r="6025">
      <c r="A6025" s="217">
        <v>43594.57090349537</v>
      </c>
      <c r="B6025" s="218" t="s">
        <v>5092</v>
      </c>
      <c r="C6025" s="218" t="s">
        <v>8810</v>
      </c>
      <c r="D6025" s="219">
        <v>1.0</v>
      </c>
      <c r="E6025" s="218">
        <v>4990.0</v>
      </c>
      <c r="G6025" s="220">
        <v>43588.0</v>
      </c>
    </row>
    <row r="6026">
      <c r="A6026" s="217">
        <v>43594.5781371412</v>
      </c>
      <c r="B6026" s="218" t="s">
        <v>5092</v>
      </c>
      <c r="C6026" s="218" t="s">
        <v>8811</v>
      </c>
      <c r="D6026" s="219">
        <v>1.0</v>
      </c>
      <c r="E6026" s="218">
        <v>6890.0</v>
      </c>
      <c r="G6026" s="220">
        <v>43588.0</v>
      </c>
    </row>
    <row r="6027">
      <c r="A6027" s="217">
        <v>43594.580616493055</v>
      </c>
      <c r="B6027" s="218" t="s">
        <v>5092</v>
      </c>
      <c r="C6027" s="218" t="s">
        <v>8812</v>
      </c>
      <c r="D6027" s="219">
        <v>1.0</v>
      </c>
      <c r="E6027" s="218">
        <v>6190.0</v>
      </c>
      <c r="G6027" s="220">
        <v>43588.0</v>
      </c>
    </row>
    <row r="6028">
      <c r="A6028" s="217">
        <v>43594.58210863426</v>
      </c>
      <c r="B6028" s="218" t="s">
        <v>5092</v>
      </c>
      <c r="C6028" s="218" t="s">
        <v>2222</v>
      </c>
      <c r="D6028" s="219">
        <v>1.0</v>
      </c>
      <c r="E6028" s="218">
        <v>4290.0</v>
      </c>
      <c r="G6028" s="220">
        <v>43588.0</v>
      </c>
    </row>
    <row r="6029">
      <c r="A6029" s="217">
        <v>43594.58355202546</v>
      </c>
      <c r="B6029" s="218" t="s">
        <v>5092</v>
      </c>
      <c r="C6029" s="218" t="s">
        <v>8813</v>
      </c>
      <c r="D6029" s="219">
        <v>1.0</v>
      </c>
      <c r="E6029" s="218">
        <v>5090.0</v>
      </c>
      <c r="G6029" s="220">
        <v>43588.0</v>
      </c>
    </row>
    <row r="6030">
      <c r="A6030" s="217">
        <v>43594.58523810185</v>
      </c>
      <c r="B6030" s="218" t="s">
        <v>5092</v>
      </c>
      <c r="C6030" s="218" t="s">
        <v>8814</v>
      </c>
      <c r="D6030" s="219">
        <v>1.0</v>
      </c>
      <c r="E6030" s="218">
        <v>4390.0</v>
      </c>
      <c r="G6030" s="220">
        <v>43588.0</v>
      </c>
    </row>
    <row r="6031">
      <c r="A6031" s="217">
        <v>43594.58635056713</v>
      </c>
      <c r="B6031" s="218" t="s">
        <v>5092</v>
      </c>
      <c r="C6031" s="218" t="s">
        <v>2225</v>
      </c>
      <c r="D6031" s="219">
        <v>1.0</v>
      </c>
      <c r="E6031" s="218">
        <v>7190.0</v>
      </c>
      <c r="G6031" s="220">
        <v>43588.0</v>
      </c>
    </row>
    <row r="6032">
      <c r="A6032" s="217">
        <v>43594.588199108795</v>
      </c>
      <c r="B6032" s="218" t="s">
        <v>5092</v>
      </c>
      <c r="C6032" s="218" t="s">
        <v>8815</v>
      </c>
      <c r="D6032" s="219">
        <v>1.0</v>
      </c>
      <c r="E6032" s="218">
        <v>4790.0</v>
      </c>
      <c r="G6032" s="220">
        <v>43588.0</v>
      </c>
    </row>
    <row r="6033">
      <c r="A6033" s="217">
        <v>43594.58934150463</v>
      </c>
      <c r="B6033" s="218" t="s">
        <v>5092</v>
      </c>
      <c r="C6033" s="218" t="s">
        <v>8816</v>
      </c>
      <c r="D6033" s="219">
        <v>2.0</v>
      </c>
      <c r="E6033" s="218">
        <v>6190.0</v>
      </c>
      <c r="G6033" s="220">
        <v>43588.0</v>
      </c>
    </row>
    <row r="6034">
      <c r="A6034" s="217">
        <v>43594.59107521991</v>
      </c>
      <c r="B6034" s="218" t="s">
        <v>5092</v>
      </c>
      <c r="C6034" s="218" t="s">
        <v>8817</v>
      </c>
      <c r="D6034" s="219">
        <v>7.0</v>
      </c>
      <c r="E6034" s="218">
        <v>4290.0</v>
      </c>
      <c r="G6034" s="220">
        <v>43588.0</v>
      </c>
    </row>
    <row r="6035">
      <c r="A6035" s="217">
        <v>43594.59236523148</v>
      </c>
      <c r="B6035" s="218" t="s">
        <v>5092</v>
      </c>
      <c r="C6035" s="218" t="s">
        <v>8818</v>
      </c>
      <c r="D6035" s="219">
        <v>3.0</v>
      </c>
      <c r="E6035" s="218">
        <v>4290.0</v>
      </c>
      <c r="G6035" s="220">
        <v>43588.0</v>
      </c>
    </row>
    <row r="6036">
      <c r="A6036" s="217">
        <v>43594.593360625004</v>
      </c>
      <c r="B6036" s="218" t="s">
        <v>5092</v>
      </c>
      <c r="C6036" s="218" t="s">
        <v>8819</v>
      </c>
      <c r="D6036" s="219">
        <v>3.0</v>
      </c>
      <c r="E6036" s="218">
        <v>4290.0</v>
      </c>
      <c r="G6036" s="220">
        <v>43588.0</v>
      </c>
    </row>
    <row r="6037">
      <c r="A6037" s="217">
        <v>43594.594266747685</v>
      </c>
      <c r="B6037" s="218" t="s">
        <v>5092</v>
      </c>
      <c r="C6037" s="218" t="s">
        <v>8820</v>
      </c>
      <c r="D6037" s="219">
        <v>1.0</v>
      </c>
      <c r="E6037" s="218">
        <v>3490.0</v>
      </c>
      <c r="G6037" s="220">
        <v>43588.0</v>
      </c>
    </row>
    <row r="6038">
      <c r="A6038" s="217">
        <v>43594.59510806713</v>
      </c>
      <c r="B6038" s="218" t="s">
        <v>5092</v>
      </c>
      <c r="C6038" s="218" t="s">
        <v>8821</v>
      </c>
      <c r="D6038" s="219">
        <v>1.0</v>
      </c>
      <c r="E6038" s="218">
        <v>3490.0</v>
      </c>
      <c r="G6038" s="220">
        <v>43588.0</v>
      </c>
    </row>
    <row r="6039">
      <c r="A6039" s="217">
        <v>43594.595960300925</v>
      </c>
      <c r="B6039" s="218" t="s">
        <v>5092</v>
      </c>
      <c r="C6039" s="218" t="s">
        <v>2201</v>
      </c>
      <c r="D6039" s="219">
        <v>1.0</v>
      </c>
      <c r="E6039" s="218">
        <v>6190.0</v>
      </c>
      <c r="G6039" s="220">
        <v>43588.0</v>
      </c>
    </row>
    <row r="6040">
      <c r="A6040" s="217">
        <v>43594.59697269676</v>
      </c>
      <c r="B6040" s="218" t="s">
        <v>5092</v>
      </c>
      <c r="C6040" s="218" t="s">
        <v>2202</v>
      </c>
      <c r="D6040" s="219">
        <v>1.0</v>
      </c>
      <c r="E6040" s="218">
        <v>4790.0</v>
      </c>
      <c r="G6040" s="220">
        <v>43588.0</v>
      </c>
    </row>
    <row r="6041">
      <c r="A6041" s="217">
        <v>43594.601537106486</v>
      </c>
      <c r="B6041" s="218" t="s">
        <v>5092</v>
      </c>
      <c r="C6041" s="218" t="s">
        <v>2195</v>
      </c>
      <c r="D6041" s="219">
        <v>1.0</v>
      </c>
      <c r="E6041" s="218">
        <v>5490.0</v>
      </c>
      <c r="G6041" s="220">
        <v>43588.0</v>
      </c>
    </row>
    <row r="6042">
      <c r="A6042" s="217">
        <v>43594.602615208336</v>
      </c>
      <c r="B6042" s="218" t="s">
        <v>5092</v>
      </c>
      <c r="C6042" s="218" t="s">
        <v>8822</v>
      </c>
      <c r="D6042" s="219">
        <v>5.0</v>
      </c>
      <c r="E6042" s="218">
        <v>6690.0</v>
      </c>
      <c r="G6042" s="220">
        <v>43588.0</v>
      </c>
    </row>
    <row r="6043">
      <c r="A6043" s="217">
        <v>43594.605375115745</v>
      </c>
      <c r="B6043" s="218" t="s">
        <v>5092</v>
      </c>
      <c r="C6043" s="218" t="s">
        <v>8823</v>
      </c>
      <c r="D6043" s="219">
        <v>1.0</v>
      </c>
      <c r="E6043" s="218">
        <v>5490.0</v>
      </c>
      <c r="G6043" s="220">
        <v>43588.0</v>
      </c>
    </row>
    <row r="6044">
      <c r="A6044" s="217">
        <v>43594.60645850694</v>
      </c>
      <c r="B6044" s="218" t="s">
        <v>5092</v>
      </c>
      <c r="C6044" s="218" t="s">
        <v>8824</v>
      </c>
      <c r="D6044" s="219">
        <v>1.0</v>
      </c>
      <c r="E6044" s="218">
        <v>4590.0</v>
      </c>
      <c r="G6044" s="220">
        <v>43588.0</v>
      </c>
    </row>
    <row r="6045">
      <c r="A6045" s="217">
        <v>43594.615123298616</v>
      </c>
      <c r="B6045" s="218" t="s">
        <v>5092</v>
      </c>
      <c r="C6045" s="218" t="s">
        <v>2224</v>
      </c>
      <c r="D6045" s="219">
        <v>1.0</v>
      </c>
      <c r="E6045" s="218">
        <v>4290.0</v>
      </c>
      <c r="G6045" s="220">
        <v>43588.0</v>
      </c>
    </row>
    <row r="6046">
      <c r="A6046" s="217">
        <v>43594.61996273148</v>
      </c>
      <c r="B6046" s="218" t="s">
        <v>5092</v>
      </c>
      <c r="C6046" s="218" t="s">
        <v>8825</v>
      </c>
      <c r="D6046" s="219">
        <v>1.0</v>
      </c>
      <c r="E6046" s="218">
        <v>3490.0</v>
      </c>
      <c r="G6046" s="220">
        <v>43588.0</v>
      </c>
    </row>
    <row r="6047">
      <c r="A6047" s="217">
        <v>43594.62216949074</v>
      </c>
      <c r="B6047" s="218" t="s">
        <v>5092</v>
      </c>
      <c r="C6047" s="218" t="s">
        <v>8826</v>
      </c>
      <c r="D6047" s="219">
        <v>1.0</v>
      </c>
      <c r="E6047" s="218">
        <v>5790.0</v>
      </c>
      <c r="G6047" s="220">
        <v>43588.0</v>
      </c>
    </row>
    <row r="6048">
      <c r="A6048" s="217">
        <v>43594.62318306713</v>
      </c>
      <c r="B6048" s="218" t="s">
        <v>5092</v>
      </c>
      <c r="C6048" s="218" t="s">
        <v>8827</v>
      </c>
      <c r="D6048" s="219">
        <v>1.0</v>
      </c>
      <c r="E6048" s="218">
        <v>6190.0</v>
      </c>
      <c r="G6048" s="220">
        <v>43588.0</v>
      </c>
    </row>
    <row r="6049">
      <c r="A6049" s="217">
        <v>43594.62651826389</v>
      </c>
      <c r="B6049" s="218" t="s">
        <v>5092</v>
      </c>
      <c r="C6049" s="218" t="s">
        <v>8828</v>
      </c>
      <c r="D6049" s="219">
        <v>1.0</v>
      </c>
      <c r="E6049" s="218">
        <v>5790.0</v>
      </c>
      <c r="G6049" s="220">
        <v>43588.0</v>
      </c>
    </row>
    <row r="6050">
      <c r="A6050" s="217">
        <v>43594.628332418986</v>
      </c>
      <c r="B6050" s="218" t="s">
        <v>5092</v>
      </c>
      <c r="C6050" s="218" t="s">
        <v>8829</v>
      </c>
      <c r="D6050" s="219">
        <v>1.0</v>
      </c>
      <c r="E6050" s="218">
        <v>5790.0</v>
      </c>
      <c r="G6050" s="220">
        <v>43588.0</v>
      </c>
    </row>
    <row r="6051">
      <c r="A6051" s="217">
        <v>43594.62919197917</v>
      </c>
      <c r="B6051" s="218" t="s">
        <v>5092</v>
      </c>
      <c r="C6051" s="218" t="s">
        <v>2232</v>
      </c>
      <c r="D6051" s="219">
        <v>1.0</v>
      </c>
      <c r="E6051" s="218">
        <v>6690.0</v>
      </c>
      <c r="G6051" s="220">
        <v>43588.0</v>
      </c>
    </row>
    <row r="6052">
      <c r="A6052" s="217">
        <v>43594.63078609954</v>
      </c>
      <c r="B6052" s="218" t="s">
        <v>5092</v>
      </c>
      <c r="C6052" s="218" t="s">
        <v>2231</v>
      </c>
      <c r="D6052" s="219">
        <v>1.0</v>
      </c>
      <c r="E6052" s="218">
        <v>6690.0</v>
      </c>
      <c r="G6052" s="220">
        <v>43588.0</v>
      </c>
    </row>
    <row r="6053">
      <c r="A6053" s="217">
        <v>43594.63164724537</v>
      </c>
      <c r="B6053" s="218" t="s">
        <v>5092</v>
      </c>
      <c r="C6053" s="218" t="s">
        <v>2305</v>
      </c>
      <c r="D6053" s="219">
        <v>1.0</v>
      </c>
      <c r="E6053" s="218">
        <v>5590.0</v>
      </c>
      <c r="G6053" s="220">
        <v>43588.0</v>
      </c>
    </row>
    <row r="6054">
      <c r="A6054" s="217">
        <v>43594.75712090278</v>
      </c>
      <c r="B6054" s="218" t="s">
        <v>5092</v>
      </c>
      <c r="C6054" s="218" t="s">
        <v>735</v>
      </c>
      <c r="D6054" s="219">
        <v>1.0</v>
      </c>
      <c r="E6054" s="24"/>
      <c r="G6054" s="220">
        <v>43580.0</v>
      </c>
    </row>
    <row r="6055">
      <c r="A6055" s="217">
        <v>43594.75806069444</v>
      </c>
      <c r="B6055" s="218" t="s">
        <v>5092</v>
      </c>
      <c r="C6055" s="218" t="s">
        <v>1312</v>
      </c>
      <c r="D6055" s="219">
        <v>1.0</v>
      </c>
      <c r="E6055" s="218">
        <v>2200.0</v>
      </c>
      <c r="G6055" s="220">
        <v>43580.0</v>
      </c>
    </row>
    <row r="6056">
      <c r="A6056" s="217">
        <v>43595.547553738426</v>
      </c>
      <c r="B6056" s="218" t="s">
        <v>5092</v>
      </c>
      <c r="C6056" s="218" t="s">
        <v>8831</v>
      </c>
      <c r="D6056" s="219">
        <v>1.0</v>
      </c>
      <c r="E6056" s="218">
        <v>1975.0</v>
      </c>
      <c r="G6056" s="220">
        <v>43580.0</v>
      </c>
    </row>
    <row r="6057">
      <c r="A6057" s="217">
        <v>43595.55221677083</v>
      </c>
      <c r="B6057" s="218" t="s">
        <v>5092</v>
      </c>
      <c r="C6057" s="218" t="s">
        <v>729</v>
      </c>
      <c r="D6057" s="219">
        <v>3.0</v>
      </c>
      <c r="E6057" s="218">
        <v>2590.0</v>
      </c>
      <c r="G6057" s="220">
        <v>43580.0</v>
      </c>
    </row>
    <row r="6058">
      <c r="A6058" s="217">
        <v>43595.55583916667</v>
      </c>
      <c r="B6058" s="218" t="s">
        <v>5092</v>
      </c>
      <c r="C6058" s="218" t="s">
        <v>8833</v>
      </c>
      <c r="D6058" s="219">
        <v>5.0</v>
      </c>
      <c r="E6058" s="218">
        <v>1990.0</v>
      </c>
      <c r="G6058" s="220">
        <v>43580.0</v>
      </c>
    </row>
    <row r="6059">
      <c r="A6059" s="217">
        <v>43595.55878371528</v>
      </c>
      <c r="B6059" s="218" t="s">
        <v>5092</v>
      </c>
      <c r="C6059" s="218" t="s">
        <v>8834</v>
      </c>
      <c r="D6059" s="219">
        <v>1.0</v>
      </c>
      <c r="E6059" s="218">
        <v>1990.0</v>
      </c>
      <c r="G6059" s="220">
        <v>43580.0</v>
      </c>
    </row>
    <row r="6060">
      <c r="A6060" s="217">
        <v>43595.56059879629</v>
      </c>
      <c r="B6060" s="218" t="s">
        <v>5092</v>
      </c>
      <c r="C6060" s="218" t="s">
        <v>8835</v>
      </c>
      <c r="D6060" s="219">
        <v>2.0</v>
      </c>
      <c r="E6060" s="218">
        <v>1990.0</v>
      </c>
      <c r="G6060" s="220">
        <v>43580.0</v>
      </c>
    </row>
    <row r="6061">
      <c r="A6061" s="217">
        <v>43595.56215883102</v>
      </c>
      <c r="B6061" s="218" t="s">
        <v>5092</v>
      </c>
      <c r="C6061" s="218" t="s">
        <v>8836</v>
      </c>
      <c r="D6061" s="219">
        <v>3.0</v>
      </c>
      <c r="E6061" s="218">
        <v>1990.0</v>
      </c>
      <c r="G6061" s="220">
        <v>43580.0</v>
      </c>
    </row>
    <row r="6062">
      <c r="A6062" s="217">
        <v>43595.56331640046</v>
      </c>
      <c r="B6062" s="218" t="s">
        <v>5092</v>
      </c>
      <c r="C6062" s="218" t="s">
        <v>1322</v>
      </c>
      <c r="D6062" s="219">
        <v>1.0</v>
      </c>
      <c r="E6062" s="24"/>
      <c r="G6062" s="220">
        <v>43580.0</v>
      </c>
    </row>
    <row r="6063">
      <c r="A6063" s="217">
        <v>43595.563941932865</v>
      </c>
      <c r="B6063" s="218" t="s">
        <v>5092</v>
      </c>
      <c r="C6063" s="218" t="s">
        <v>8837</v>
      </c>
      <c r="D6063" s="219">
        <v>1.0</v>
      </c>
      <c r="E6063" s="218">
        <v>1990.0</v>
      </c>
      <c r="G6063" s="220">
        <v>43580.0</v>
      </c>
    </row>
    <row r="6064">
      <c r="A6064" s="217">
        <v>43595.57119408565</v>
      </c>
      <c r="B6064" s="218" t="s">
        <v>5092</v>
      </c>
      <c r="C6064" s="218" t="s">
        <v>1334</v>
      </c>
      <c r="D6064" s="219">
        <v>1.0</v>
      </c>
      <c r="E6064" s="218">
        <v>1990.0</v>
      </c>
      <c r="G6064" s="220">
        <v>43580.0</v>
      </c>
    </row>
    <row r="6065">
      <c r="A6065" s="217">
        <v>43595.57234222222</v>
      </c>
      <c r="B6065" s="218" t="s">
        <v>5092</v>
      </c>
      <c r="C6065" s="218" t="s">
        <v>1336</v>
      </c>
      <c r="D6065" s="219">
        <v>3.0</v>
      </c>
      <c r="E6065" s="218">
        <v>1990.0</v>
      </c>
      <c r="G6065" s="220">
        <v>43580.0</v>
      </c>
    </row>
    <row r="6066">
      <c r="A6066" s="217">
        <v>43595.633915370374</v>
      </c>
      <c r="B6066" s="218" t="s">
        <v>5184</v>
      </c>
      <c r="C6066" s="218" t="s">
        <v>8838</v>
      </c>
      <c r="D6066" s="219">
        <v>1.0</v>
      </c>
      <c r="E6066" s="218">
        <v>3490.0</v>
      </c>
      <c r="G6066" s="220">
        <v>43593.0</v>
      </c>
    </row>
    <row r="6067">
      <c r="A6067" s="217">
        <v>43595.638162523144</v>
      </c>
      <c r="B6067" s="218" t="s">
        <v>5184</v>
      </c>
      <c r="C6067" s="218" t="s">
        <v>8840</v>
      </c>
      <c r="D6067" s="219">
        <v>1.0</v>
      </c>
      <c r="E6067" s="218">
        <v>4290.0</v>
      </c>
      <c r="G6067" s="220">
        <v>43593.0</v>
      </c>
    </row>
    <row r="6068">
      <c r="A6068" s="217">
        <v>43595.641003425924</v>
      </c>
      <c r="B6068" s="218" t="s">
        <v>5184</v>
      </c>
      <c r="C6068" s="218" t="s">
        <v>2110</v>
      </c>
      <c r="D6068" s="219">
        <v>1.0</v>
      </c>
      <c r="E6068" s="218">
        <v>5990.0</v>
      </c>
      <c r="G6068" s="220">
        <v>43593.0</v>
      </c>
    </row>
    <row r="6069">
      <c r="A6069" s="217">
        <v>43595.6425744213</v>
      </c>
      <c r="B6069" s="218" t="s">
        <v>5184</v>
      </c>
      <c r="C6069" s="218" t="s">
        <v>8841</v>
      </c>
      <c r="D6069" s="219">
        <v>1.0</v>
      </c>
      <c r="E6069" s="218">
        <v>3490.0</v>
      </c>
      <c r="G6069" s="220">
        <v>43593.0</v>
      </c>
    </row>
    <row r="6070">
      <c r="A6070" s="217">
        <v>43595.64447571759</v>
      </c>
      <c r="B6070" s="218" t="s">
        <v>5184</v>
      </c>
      <c r="C6070" s="218" t="s">
        <v>8842</v>
      </c>
      <c r="D6070" s="219">
        <v>1.0</v>
      </c>
      <c r="E6070" s="218">
        <v>2590.0</v>
      </c>
      <c r="G6070" s="220">
        <v>43593.0</v>
      </c>
    </row>
    <row r="6071">
      <c r="A6071" s="217">
        <v>43595.64575763889</v>
      </c>
      <c r="B6071" s="218" t="s">
        <v>5184</v>
      </c>
      <c r="C6071" s="218" t="s">
        <v>8670</v>
      </c>
      <c r="D6071" s="219">
        <v>1.0</v>
      </c>
      <c r="E6071" s="218">
        <v>2850.0</v>
      </c>
      <c r="G6071" s="220">
        <v>43593.0</v>
      </c>
    </row>
    <row r="6072">
      <c r="A6072" s="217">
        <v>43595.64717403935</v>
      </c>
      <c r="B6072" s="218" t="s">
        <v>5184</v>
      </c>
      <c r="C6072" s="218" t="s">
        <v>8664</v>
      </c>
      <c r="D6072" s="219">
        <v>1.0</v>
      </c>
      <c r="E6072" s="218">
        <v>2780.0</v>
      </c>
      <c r="G6072" s="220">
        <v>43593.0</v>
      </c>
    </row>
    <row r="6073">
      <c r="A6073" s="217">
        <v>43595.67250590278</v>
      </c>
      <c r="B6073" s="218" t="s">
        <v>5092</v>
      </c>
      <c r="C6073" s="218" t="s">
        <v>8843</v>
      </c>
      <c r="D6073" s="219">
        <v>1.0</v>
      </c>
      <c r="E6073" s="218">
        <v>1990.0</v>
      </c>
      <c r="G6073" s="220">
        <v>43580.0</v>
      </c>
    </row>
    <row r="6074">
      <c r="A6074" s="217">
        <v>43595.67580521991</v>
      </c>
      <c r="B6074" s="218" t="s">
        <v>5092</v>
      </c>
      <c r="C6074" s="218" t="s">
        <v>8844</v>
      </c>
      <c r="D6074" s="219">
        <v>1.0</v>
      </c>
      <c r="E6074" s="218">
        <v>1800.0</v>
      </c>
      <c r="G6074" s="220">
        <v>43580.0</v>
      </c>
    </row>
    <row r="6075">
      <c r="A6075" s="217">
        <v>43595.677159976854</v>
      </c>
      <c r="B6075" s="218" t="s">
        <v>5092</v>
      </c>
      <c r="C6075" s="218" t="s">
        <v>1314</v>
      </c>
      <c r="D6075" s="219">
        <v>1.0</v>
      </c>
      <c r="E6075" s="218">
        <v>1990.0</v>
      </c>
      <c r="G6075" s="220">
        <v>43580.0</v>
      </c>
    </row>
    <row r="6076">
      <c r="A6076" s="217">
        <v>43595.68548054398</v>
      </c>
      <c r="B6076" s="218" t="s">
        <v>5092</v>
      </c>
      <c r="C6076" s="218" t="s">
        <v>1316</v>
      </c>
      <c r="D6076" s="219">
        <v>3.0</v>
      </c>
      <c r="E6076" s="218">
        <v>1990.0</v>
      </c>
      <c r="G6076" s="220">
        <v>43580.0</v>
      </c>
    </row>
    <row r="6077">
      <c r="A6077" s="217">
        <v>43595.687267291665</v>
      </c>
      <c r="B6077" s="218" t="s">
        <v>5092</v>
      </c>
      <c r="C6077" s="218" t="s">
        <v>710</v>
      </c>
      <c r="D6077" s="219">
        <v>1.0</v>
      </c>
      <c r="E6077" s="218">
        <v>1800.0</v>
      </c>
      <c r="G6077" s="220">
        <v>43580.0</v>
      </c>
    </row>
    <row r="6078">
      <c r="A6078" s="217">
        <v>43595.68790290509</v>
      </c>
      <c r="B6078" s="218" t="s">
        <v>5092</v>
      </c>
      <c r="C6078" s="218" t="s">
        <v>731</v>
      </c>
      <c r="D6078" s="219">
        <v>1.0</v>
      </c>
      <c r="E6078" s="218">
        <v>2080.0</v>
      </c>
      <c r="G6078" s="220">
        <v>43580.0</v>
      </c>
    </row>
    <row r="6079">
      <c r="A6079" s="217">
        <v>43595.68869018518</v>
      </c>
      <c r="B6079" s="218" t="s">
        <v>5092</v>
      </c>
      <c r="C6079" s="218" t="s">
        <v>1310</v>
      </c>
      <c r="D6079" s="219">
        <v>1.0</v>
      </c>
      <c r="E6079" s="218">
        <v>1990.0</v>
      </c>
      <c r="G6079" s="220">
        <v>43580.0</v>
      </c>
    </row>
    <row r="6080">
      <c r="A6080" s="217">
        <v>43595.69442488426</v>
      </c>
      <c r="B6080" s="218" t="s">
        <v>5092</v>
      </c>
      <c r="C6080" s="218" t="s">
        <v>8845</v>
      </c>
      <c r="D6080" s="219">
        <v>1.0</v>
      </c>
      <c r="E6080" s="218">
        <v>2450.0</v>
      </c>
      <c r="G6080" s="220">
        <v>43580.0</v>
      </c>
    </row>
    <row r="6081">
      <c r="A6081" s="217">
        <v>43595.69680443287</v>
      </c>
      <c r="B6081" s="218" t="s">
        <v>5092</v>
      </c>
      <c r="C6081" s="218" t="s">
        <v>1342</v>
      </c>
      <c r="D6081" s="219">
        <v>1.0</v>
      </c>
      <c r="E6081" s="218">
        <v>2450.0</v>
      </c>
      <c r="G6081" s="220">
        <v>43580.0</v>
      </c>
    </row>
    <row r="6082">
      <c r="A6082" s="217">
        <v>43595.69834418982</v>
      </c>
      <c r="B6082" s="218" t="s">
        <v>5092</v>
      </c>
      <c r="C6082" s="218" t="s">
        <v>712</v>
      </c>
      <c r="D6082" s="219">
        <v>1.0</v>
      </c>
      <c r="E6082" s="218">
        <v>1990.0</v>
      </c>
      <c r="G6082" s="220">
        <v>43580.0</v>
      </c>
    </row>
    <row r="6083">
      <c r="A6083" s="217">
        <v>43595.699498437505</v>
      </c>
      <c r="B6083" s="218" t="s">
        <v>5092</v>
      </c>
      <c r="C6083" s="218" t="s">
        <v>8846</v>
      </c>
      <c r="D6083" s="219">
        <v>1.0</v>
      </c>
      <c r="E6083" s="218">
        <v>2250.0</v>
      </c>
      <c r="G6083" s="220">
        <v>43580.0</v>
      </c>
    </row>
    <row r="6084">
      <c r="A6084" s="217">
        <v>43595.70067560185</v>
      </c>
      <c r="B6084" s="218" t="s">
        <v>5092</v>
      </c>
      <c r="C6084" s="218" t="s">
        <v>1344</v>
      </c>
      <c r="D6084" s="219">
        <v>1.0</v>
      </c>
      <c r="E6084" s="218">
        <v>2450.0</v>
      </c>
      <c r="G6084" s="220">
        <v>43580.0</v>
      </c>
    </row>
    <row r="6085">
      <c r="A6085" s="217">
        <v>43595.70201003472</v>
      </c>
      <c r="B6085" s="218" t="s">
        <v>5092</v>
      </c>
      <c r="C6085" s="218" t="s">
        <v>1346</v>
      </c>
      <c r="D6085" s="219">
        <v>2.0</v>
      </c>
      <c r="E6085" s="218">
        <v>2250.0</v>
      </c>
      <c r="G6085" s="220">
        <v>43580.0</v>
      </c>
    </row>
    <row r="6086">
      <c r="A6086" s="217">
        <v>43595.702954479166</v>
      </c>
      <c r="B6086" s="218" t="s">
        <v>5092</v>
      </c>
      <c r="C6086" s="218" t="s">
        <v>716</v>
      </c>
      <c r="D6086" s="219">
        <v>2.0</v>
      </c>
      <c r="E6086" s="218">
        <v>2250.0</v>
      </c>
      <c r="G6086" s="220">
        <v>43580.0</v>
      </c>
    </row>
    <row r="6087">
      <c r="A6087" s="217">
        <v>43595.713757233796</v>
      </c>
      <c r="B6087" s="218" t="s">
        <v>5092</v>
      </c>
      <c r="C6087" s="218" t="s">
        <v>1348</v>
      </c>
      <c r="D6087" s="219">
        <v>1.0</v>
      </c>
      <c r="E6087" s="218">
        <v>2390.0</v>
      </c>
      <c r="G6087" s="220">
        <v>43580.0</v>
      </c>
    </row>
    <row r="6088">
      <c r="A6088" s="217">
        <v>43595.717862210644</v>
      </c>
      <c r="B6088" s="218" t="s">
        <v>5092</v>
      </c>
      <c r="C6088" s="218" t="s">
        <v>1350</v>
      </c>
      <c r="D6088" s="219">
        <v>1.0</v>
      </c>
      <c r="E6088" s="218">
        <v>2650.0</v>
      </c>
      <c r="G6088" s="220">
        <v>43580.0</v>
      </c>
    </row>
    <row r="6089">
      <c r="A6089" s="217">
        <v>43595.72665023148</v>
      </c>
      <c r="B6089" s="218" t="s">
        <v>5092</v>
      </c>
      <c r="C6089" s="218" t="s">
        <v>6893</v>
      </c>
      <c r="D6089" s="219">
        <v>1.0</v>
      </c>
      <c r="E6089" s="218">
        <v>2390.0</v>
      </c>
      <c r="G6089" s="220">
        <v>43580.0</v>
      </c>
    </row>
    <row r="6090">
      <c r="A6090" s="217">
        <v>43595.736528946756</v>
      </c>
      <c r="B6090" s="218" t="s">
        <v>5092</v>
      </c>
      <c r="C6090" s="218" t="s">
        <v>8847</v>
      </c>
      <c r="D6090" s="219">
        <v>1.0</v>
      </c>
      <c r="E6090" s="218">
        <v>2450.0</v>
      </c>
      <c r="G6090" s="220">
        <v>43580.0</v>
      </c>
    </row>
    <row r="6091">
      <c r="A6091" s="217">
        <v>43595.737549930556</v>
      </c>
      <c r="B6091" s="218" t="s">
        <v>5092</v>
      </c>
      <c r="C6091" s="218" t="s">
        <v>1354</v>
      </c>
      <c r="D6091" s="219">
        <v>1.0</v>
      </c>
      <c r="E6091" s="218">
        <v>2050.0</v>
      </c>
      <c r="G6091" s="220">
        <v>43580.0</v>
      </c>
    </row>
    <row r="6092">
      <c r="A6092" s="217">
        <v>43595.73837179398</v>
      </c>
      <c r="B6092" s="218" t="s">
        <v>5092</v>
      </c>
      <c r="C6092" s="218" t="s">
        <v>1356</v>
      </c>
      <c r="D6092" s="219">
        <v>2.0</v>
      </c>
      <c r="E6092" s="218">
        <v>2450.0</v>
      </c>
      <c r="G6092" s="220">
        <v>43580.0</v>
      </c>
    </row>
    <row r="6093">
      <c r="A6093" s="217">
        <v>43595.73935023148</v>
      </c>
      <c r="B6093" s="218" t="s">
        <v>5092</v>
      </c>
      <c r="C6093" s="218" t="s">
        <v>1358</v>
      </c>
      <c r="D6093" s="219">
        <v>1.0</v>
      </c>
      <c r="E6093" s="218">
        <v>2450.0</v>
      </c>
      <c r="G6093" s="220">
        <v>43580.0</v>
      </c>
    </row>
    <row r="6094">
      <c r="A6094" s="217">
        <v>43595.74457431713</v>
      </c>
      <c r="B6094" s="218" t="s">
        <v>5092</v>
      </c>
      <c r="C6094" s="218" t="s">
        <v>1361</v>
      </c>
      <c r="D6094" s="219">
        <v>2.0</v>
      </c>
      <c r="E6094" s="218">
        <v>2650.0</v>
      </c>
      <c r="G6094" s="220">
        <v>43580.0</v>
      </c>
    </row>
    <row r="6095">
      <c r="A6095" s="217">
        <v>43595.74606658565</v>
      </c>
      <c r="B6095" s="218" t="s">
        <v>5184</v>
      </c>
      <c r="C6095" s="218" t="s">
        <v>2263</v>
      </c>
      <c r="D6095" s="219">
        <v>1.0</v>
      </c>
      <c r="E6095" s="218">
        <v>3990.0</v>
      </c>
      <c r="G6095" s="220">
        <v>43592.0</v>
      </c>
    </row>
    <row r="6096">
      <c r="A6096" s="217">
        <v>43595.74642384259</v>
      </c>
      <c r="B6096" s="218" t="s">
        <v>5092</v>
      </c>
      <c r="C6096" s="218" t="s">
        <v>8603</v>
      </c>
      <c r="D6096" s="219">
        <v>8.0</v>
      </c>
      <c r="E6096" s="218">
        <v>2160.0</v>
      </c>
      <c r="G6096" s="220">
        <v>43580.0</v>
      </c>
    </row>
    <row r="6097">
      <c r="A6097" s="217">
        <v>43595.748455567125</v>
      </c>
      <c r="B6097" s="218" t="s">
        <v>5092</v>
      </c>
      <c r="C6097" s="218" t="s">
        <v>8728</v>
      </c>
      <c r="D6097" s="219">
        <v>6.0</v>
      </c>
      <c r="E6097" s="218">
        <v>2160.0</v>
      </c>
      <c r="G6097" s="220">
        <v>43580.0</v>
      </c>
    </row>
    <row r="6098">
      <c r="A6098" s="217">
        <v>43595.75069706018</v>
      </c>
      <c r="B6098" s="218" t="s">
        <v>5092</v>
      </c>
      <c r="C6098" s="218" t="s">
        <v>8601</v>
      </c>
      <c r="D6098" s="219">
        <v>1.0</v>
      </c>
      <c r="E6098" s="218">
        <v>2160.0</v>
      </c>
      <c r="G6098" s="220">
        <v>43580.0</v>
      </c>
    </row>
    <row r="6099">
      <c r="A6099" s="217">
        <v>43595.75111938658</v>
      </c>
      <c r="B6099" s="218" t="s">
        <v>5184</v>
      </c>
      <c r="C6099" s="218" t="s">
        <v>8850</v>
      </c>
      <c r="D6099" s="219">
        <v>1.0</v>
      </c>
      <c r="E6099" s="218">
        <v>4390.0</v>
      </c>
      <c r="G6099" s="220">
        <v>43592.0</v>
      </c>
    </row>
    <row r="6100">
      <c r="A6100" s="217">
        <v>43595.75184920139</v>
      </c>
      <c r="B6100" s="218" t="s">
        <v>5092</v>
      </c>
      <c r="C6100" s="218" t="s">
        <v>8852</v>
      </c>
      <c r="D6100" s="219">
        <v>3.0</v>
      </c>
      <c r="E6100" s="218">
        <v>2160.0</v>
      </c>
      <c r="G6100" s="220">
        <v>43580.0</v>
      </c>
    </row>
    <row r="6101">
      <c r="A6101" s="217">
        <v>43595.75221041667</v>
      </c>
      <c r="B6101" s="218" t="s">
        <v>5184</v>
      </c>
      <c r="C6101" s="218" t="s">
        <v>8651</v>
      </c>
      <c r="D6101" s="219">
        <v>1.0</v>
      </c>
      <c r="E6101" s="218">
        <v>2590.0</v>
      </c>
      <c r="G6101" s="220">
        <v>43592.0</v>
      </c>
    </row>
    <row r="6102">
      <c r="A6102" s="217">
        <v>43595.76275625</v>
      </c>
      <c r="B6102" s="218" t="s">
        <v>5092</v>
      </c>
      <c r="C6102" s="218" t="s">
        <v>8635</v>
      </c>
      <c r="D6102" s="219">
        <v>1.0</v>
      </c>
      <c r="E6102" s="218">
        <v>2560.0</v>
      </c>
      <c r="G6102" s="220">
        <v>43580.0</v>
      </c>
    </row>
    <row r="6103">
      <c r="A6103" s="217">
        <v>43595.7650603125</v>
      </c>
      <c r="B6103" s="218" t="s">
        <v>5184</v>
      </c>
      <c r="C6103" s="218" t="s">
        <v>284</v>
      </c>
      <c r="D6103" s="219">
        <v>1.0</v>
      </c>
      <c r="E6103" s="218">
        <v>400.0</v>
      </c>
      <c r="G6103" s="220">
        <v>43593.0</v>
      </c>
    </row>
    <row r="6104">
      <c r="A6104" s="217">
        <v>43595.76619997685</v>
      </c>
      <c r="B6104" s="218" t="s">
        <v>5184</v>
      </c>
      <c r="C6104" s="218" t="s">
        <v>284</v>
      </c>
      <c r="D6104" s="219">
        <v>1.0</v>
      </c>
      <c r="E6104" s="218">
        <v>500.0</v>
      </c>
      <c r="G6104" s="220">
        <v>43593.0</v>
      </c>
    </row>
    <row r="6105">
      <c r="A6105" s="217">
        <v>43595.780834687495</v>
      </c>
      <c r="B6105" s="218" t="s">
        <v>5092</v>
      </c>
      <c r="C6105" s="218" t="s">
        <v>720</v>
      </c>
      <c r="D6105" s="219">
        <v>12.0</v>
      </c>
      <c r="E6105" s="218">
        <v>2160.0</v>
      </c>
      <c r="G6105" s="220">
        <v>43580.0</v>
      </c>
    </row>
    <row r="6106">
      <c r="A6106" s="217">
        <v>43595.78323408565</v>
      </c>
      <c r="B6106" s="218" t="s">
        <v>5092</v>
      </c>
      <c r="C6106" s="218" t="s">
        <v>8729</v>
      </c>
      <c r="D6106" s="219">
        <v>9.0</v>
      </c>
      <c r="E6106" s="218">
        <v>2160.0</v>
      </c>
      <c r="G6106" s="220">
        <v>43580.0</v>
      </c>
    </row>
    <row r="6107">
      <c r="A6107" s="217">
        <v>43595.79874381944</v>
      </c>
      <c r="B6107" s="218" t="s">
        <v>5092</v>
      </c>
      <c r="C6107" s="218" t="s">
        <v>1393</v>
      </c>
      <c r="D6107" s="219">
        <v>6.0</v>
      </c>
      <c r="E6107" s="218">
        <v>1950.0</v>
      </c>
      <c r="G6107" s="220">
        <v>43580.0</v>
      </c>
    </row>
    <row r="6108">
      <c r="A6108" s="217">
        <v>43595.80119734954</v>
      </c>
      <c r="B6108" s="218" t="s">
        <v>5092</v>
      </c>
      <c r="C6108" s="218" t="s">
        <v>1386</v>
      </c>
      <c r="D6108" s="219">
        <v>2.0</v>
      </c>
      <c r="E6108" s="218">
        <v>1950.0</v>
      </c>
      <c r="G6108" s="220">
        <v>43580.0</v>
      </c>
    </row>
    <row r="6109">
      <c r="A6109" s="217">
        <v>43595.80218221065</v>
      </c>
      <c r="B6109" s="218" t="s">
        <v>5092</v>
      </c>
      <c r="C6109" s="218" t="s">
        <v>1389</v>
      </c>
      <c r="D6109" s="219">
        <v>3.0</v>
      </c>
      <c r="E6109" s="218">
        <v>1950.0</v>
      </c>
      <c r="G6109" s="220">
        <v>43580.0</v>
      </c>
    </row>
    <row r="6110">
      <c r="A6110" s="217">
        <v>43595.80359398148</v>
      </c>
      <c r="B6110" s="218" t="s">
        <v>5092</v>
      </c>
      <c r="C6110" s="218" t="s">
        <v>8856</v>
      </c>
      <c r="D6110" s="219">
        <v>1.0</v>
      </c>
      <c r="E6110" s="218">
        <v>1950.0</v>
      </c>
      <c r="G6110" s="220">
        <v>43580.0</v>
      </c>
    </row>
    <row r="6111">
      <c r="A6111" s="217">
        <v>43595.8042799074</v>
      </c>
      <c r="B6111" s="218" t="s">
        <v>5092</v>
      </c>
      <c r="C6111" s="218" t="s">
        <v>1397</v>
      </c>
      <c r="D6111" s="219">
        <v>1.0</v>
      </c>
      <c r="E6111" s="218">
        <v>1950.0</v>
      </c>
      <c r="G6111" s="220">
        <v>43580.0</v>
      </c>
    </row>
    <row r="6112">
      <c r="A6112" s="217">
        <v>43595.80524104167</v>
      </c>
      <c r="B6112" s="218" t="s">
        <v>5092</v>
      </c>
      <c r="C6112" s="218" t="s">
        <v>1399</v>
      </c>
      <c r="D6112" s="219">
        <v>5.0</v>
      </c>
      <c r="E6112" s="218">
        <v>1950.0</v>
      </c>
      <c r="G6112" s="220">
        <v>43580.0</v>
      </c>
    </row>
    <row r="6113">
      <c r="A6113" s="217">
        <v>43595.80773954861</v>
      </c>
      <c r="B6113" s="218" t="s">
        <v>5092</v>
      </c>
      <c r="C6113" s="218" t="s">
        <v>1434</v>
      </c>
      <c r="D6113" s="219">
        <v>8.0</v>
      </c>
      <c r="E6113" s="218">
        <v>2450.0</v>
      </c>
      <c r="G6113" s="220">
        <v>43580.0</v>
      </c>
    </row>
    <row r="6114">
      <c r="A6114" s="217">
        <v>43595.80893878472</v>
      </c>
      <c r="B6114" s="218" t="s">
        <v>5092</v>
      </c>
      <c r="C6114" s="218" t="s">
        <v>8598</v>
      </c>
      <c r="D6114" s="219">
        <v>7.0</v>
      </c>
      <c r="E6114" s="218">
        <v>2450.0</v>
      </c>
      <c r="G6114" s="220">
        <v>43580.0</v>
      </c>
    </row>
    <row r="6115">
      <c r="A6115" s="217">
        <v>43595.810769895834</v>
      </c>
      <c r="B6115" s="218" t="s">
        <v>5092</v>
      </c>
      <c r="C6115" s="218" t="s">
        <v>8537</v>
      </c>
      <c r="D6115" s="219">
        <v>7.0</v>
      </c>
      <c r="E6115" s="218">
        <v>2450.0</v>
      </c>
      <c r="G6115" s="220">
        <v>43580.0</v>
      </c>
    </row>
    <row r="6116">
      <c r="A6116" s="217">
        <v>43595.81186248842</v>
      </c>
      <c r="B6116" s="218" t="s">
        <v>5092</v>
      </c>
      <c r="C6116" s="218" t="s">
        <v>6890</v>
      </c>
      <c r="D6116" s="219">
        <v>4.0</v>
      </c>
      <c r="E6116" s="218">
        <v>2450.0</v>
      </c>
      <c r="G6116" s="220">
        <v>43580.0</v>
      </c>
    </row>
    <row r="6117">
      <c r="A6117" s="217">
        <v>43595.817211030095</v>
      </c>
      <c r="B6117" s="218" t="s">
        <v>5092</v>
      </c>
      <c r="C6117" s="218" t="s">
        <v>6896</v>
      </c>
      <c r="D6117" s="219">
        <v>1.0</v>
      </c>
      <c r="E6117" s="218">
        <v>2590.0</v>
      </c>
      <c r="G6117" s="220">
        <v>43580.0</v>
      </c>
    </row>
    <row r="6118">
      <c r="A6118" s="217">
        <v>43595.818298576385</v>
      </c>
      <c r="B6118" s="218" t="s">
        <v>5092</v>
      </c>
      <c r="C6118" s="218" t="s">
        <v>8857</v>
      </c>
      <c r="D6118" s="219">
        <v>1.0</v>
      </c>
      <c r="E6118" s="218">
        <v>2590.0</v>
      </c>
      <c r="G6118" s="220">
        <v>43580.0</v>
      </c>
    </row>
    <row r="6119">
      <c r="A6119" s="217">
        <v>43595.81991362269</v>
      </c>
      <c r="B6119" s="218" t="s">
        <v>5092</v>
      </c>
      <c r="C6119" s="218" t="s">
        <v>8858</v>
      </c>
      <c r="D6119" s="219">
        <v>1.0</v>
      </c>
      <c r="E6119" s="218">
        <v>2450.0</v>
      </c>
      <c r="G6119" s="220">
        <v>43580.0</v>
      </c>
    </row>
    <row r="6120">
      <c r="A6120" s="217">
        <v>43595.82585622685</v>
      </c>
      <c r="B6120" s="218" t="s">
        <v>5092</v>
      </c>
      <c r="C6120" s="218" t="s">
        <v>8859</v>
      </c>
      <c r="D6120" s="219">
        <v>2.0</v>
      </c>
      <c r="E6120" s="218">
        <v>1950.0</v>
      </c>
      <c r="G6120" s="220">
        <v>43580.0</v>
      </c>
    </row>
    <row r="6121">
      <c r="A6121" s="217">
        <v>43595.82701462963</v>
      </c>
      <c r="B6121" s="218" t="s">
        <v>5092</v>
      </c>
      <c r="C6121" s="218" t="s">
        <v>725</v>
      </c>
      <c r="D6121" s="219">
        <v>7.0</v>
      </c>
      <c r="E6121" s="218">
        <v>1950.0</v>
      </c>
      <c r="G6121" s="220">
        <v>43580.0</v>
      </c>
    </row>
    <row r="6122">
      <c r="A6122" s="217">
        <v>43595.82820791667</v>
      </c>
      <c r="B6122" s="218" t="s">
        <v>5092</v>
      </c>
      <c r="C6122" s="218" t="s">
        <v>1402</v>
      </c>
      <c r="D6122" s="219">
        <v>10.0</v>
      </c>
      <c r="E6122" s="218">
        <v>1950.0</v>
      </c>
      <c r="G6122" s="220">
        <v>43580.0</v>
      </c>
    </row>
    <row r="6123">
      <c r="A6123" s="217">
        <v>43595.8292214699</v>
      </c>
      <c r="B6123" s="218" t="s">
        <v>5092</v>
      </c>
      <c r="C6123" s="218" t="s">
        <v>1404</v>
      </c>
      <c r="D6123" s="219">
        <v>3.0</v>
      </c>
      <c r="E6123" s="218">
        <v>1950.0</v>
      </c>
      <c r="G6123" s="220">
        <v>43580.0</v>
      </c>
    </row>
    <row r="6124">
      <c r="A6124" s="217">
        <v>43595.831048101856</v>
      </c>
      <c r="B6124" s="218" t="s">
        <v>5092</v>
      </c>
      <c r="C6124" s="218" t="s">
        <v>1405</v>
      </c>
      <c r="D6124" s="219">
        <v>5.0</v>
      </c>
      <c r="E6124" s="218">
        <v>1950.0</v>
      </c>
      <c r="G6124" s="220">
        <v>43580.0</v>
      </c>
    </row>
    <row r="6125">
      <c r="A6125" s="217">
        <v>43595.83927670139</v>
      </c>
      <c r="B6125" s="218" t="s">
        <v>5092</v>
      </c>
      <c r="C6125" s="218" t="s">
        <v>719</v>
      </c>
      <c r="D6125" s="219">
        <v>1.0</v>
      </c>
      <c r="E6125" s="218">
        <v>2390.0</v>
      </c>
      <c r="G6125" s="220">
        <v>43580.0</v>
      </c>
    </row>
    <row r="6126">
      <c r="A6126" s="217">
        <v>43595.84046451389</v>
      </c>
      <c r="B6126" s="218" t="s">
        <v>5092</v>
      </c>
      <c r="C6126" s="218" t="s">
        <v>1363</v>
      </c>
      <c r="D6126" s="219">
        <v>1.0</v>
      </c>
      <c r="E6126" s="218">
        <v>2650.0</v>
      </c>
      <c r="G6126" s="220">
        <v>43580.0</v>
      </c>
    </row>
    <row r="6127">
      <c r="A6127" s="217">
        <v>43596.191666203704</v>
      </c>
      <c r="B6127" s="218" t="s">
        <v>5092</v>
      </c>
      <c r="C6127" s="218" t="s">
        <v>8860</v>
      </c>
      <c r="D6127" s="219">
        <v>1.0</v>
      </c>
      <c r="E6127" s="218">
        <v>2450.0</v>
      </c>
      <c r="G6127" s="220">
        <v>43580.0</v>
      </c>
    </row>
    <row r="6128">
      <c r="A6128" s="217">
        <v>43596.194162824075</v>
      </c>
      <c r="B6128" s="218" t="s">
        <v>5092</v>
      </c>
      <c r="C6128" s="218" t="s">
        <v>1409</v>
      </c>
      <c r="D6128" s="219">
        <v>1.0</v>
      </c>
      <c r="E6128" s="218">
        <v>2450.0</v>
      </c>
      <c r="G6128" s="220">
        <v>43580.0</v>
      </c>
    </row>
    <row r="6129">
      <c r="A6129" s="217">
        <v>43596.19515486111</v>
      </c>
      <c r="B6129" s="218" t="s">
        <v>5092</v>
      </c>
      <c r="C6129" s="218" t="s">
        <v>8861</v>
      </c>
      <c r="D6129" s="219">
        <v>1.0</v>
      </c>
      <c r="E6129" s="218">
        <v>2450.0</v>
      </c>
      <c r="G6129" s="220">
        <v>43580.0</v>
      </c>
    </row>
    <row r="6130">
      <c r="A6130" s="217">
        <v>43596.19615016204</v>
      </c>
      <c r="B6130" s="218" t="s">
        <v>5092</v>
      </c>
      <c r="C6130" s="218" t="s">
        <v>8862</v>
      </c>
      <c r="D6130" s="219">
        <v>1.0</v>
      </c>
      <c r="E6130" s="218">
        <v>2450.0</v>
      </c>
      <c r="G6130" s="220">
        <v>43580.0</v>
      </c>
    </row>
    <row r="6131">
      <c r="A6131" s="217">
        <v>43596.19692371528</v>
      </c>
      <c r="B6131" s="218" t="s">
        <v>5092</v>
      </c>
      <c r="C6131" s="218" t="s">
        <v>8863</v>
      </c>
      <c r="D6131" s="219">
        <v>1.0</v>
      </c>
      <c r="E6131" s="218">
        <v>2450.0</v>
      </c>
      <c r="G6131" s="220">
        <v>43580.0</v>
      </c>
    </row>
    <row r="6132">
      <c r="A6132" s="217">
        <v>43596.197820925925</v>
      </c>
      <c r="B6132" s="218" t="s">
        <v>5092</v>
      </c>
      <c r="C6132" s="218" t="s">
        <v>8864</v>
      </c>
      <c r="D6132" s="219">
        <v>1.0</v>
      </c>
      <c r="E6132" s="218">
        <v>2450.0</v>
      </c>
      <c r="G6132" s="220">
        <v>43580.0</v>
      </c>
    </row>
    <row r="6133">
      <c r="A6133" s="217">
        <v>43596.19866248843</v>
      </c>
      <c r="B6133" s="218" t="s">
        <v>5092</v>
      </c>
      <c r="C6133" s="218" t="s">
        <v>8865</v>
      </c>
      <c r="D6133" s="219">
        <v>1.0</v>
      </c>
      <c r="E6133" s="218">
        <v>2450.0</v>
      </c>
      <c r="G6133" s="220">
        <v>43580.0</v>
      </c>
    </row>
    <row r="6134">
      <c r="A6134" s="217">
        <v>43596.19935930555</v>
      </c>
      <c r="B6134" s="218" t="s">
        <v>5092</v>
      </c>
      <c r="C6134" s="218" t="s">
        <v>8866</v>
      </c>
      <c r="D6134" s="219">
        <v>1.0</v>
      </c>
      <c r="E6134" s="218">
        <v>2450.0</v>
      </c>
      <c r="G6134" s="220">
        <v>43580.0</v>
      </c>
    </row>
    <row r="6135">
      <c r="A6135" s="217">
        <v>43596.20385329861</v>
      </c>
      <c r="B6135" s="218" t="s">
        <v>5092</v>
      </c>
      <c r="C6135" s="218" t="s">
        <v>1320</v>
      </c>
      <c r="D6135" s="219">
        <v>6.0</v>
      </c>
      <c r="E6135" s="218">
        <v>1990.0</v>
      </c>
      <c r="G6135" s="220">
        <v>43580.0</v>
      </c>
    </row>
    <row r="6136">
      <c r="A6136" s="217">
        <v>43596.205051516205</v>
      </c>
      <c r="B6136" s="218" t="s">
        <v>5092</v>
      </c>
      <c r="C6136" s="218" t="s">
        <v>8867</v>
      </c>
      <c r="D6136" s="219">
        <v>2.0</v>
      </c>
      <c r="E6136" s="218">
        <v>1990.0</v>
      </c>
      <c r="G6136" s="220">
        <v>43580.0</v>
      </c>
    </row>
    <row r="6137">
      <c r="A6137" s="217">
        <v>43596.20638179398</v>
      </c>
      <c r="B6137" s="218" t="s">
        <v>5092</v>
      </c>
      <c r="C6137" s="218" t="s">
        <v>8868</v>
      </c>
      <c r="D6137" s="219">
        <v>6.0</v>
      </c>
      <c r="E6137" s="218">
        <v>1990.0</v>
      </c>
      <c r="G6137" s="220">
        <v>43580.0</v>
      </c>
    </row>
    <row r="6138">
      <c r="A6138" s="217">
        <v>43596.21368759259</v>
      </c>
      <c r="B6138" s="218" t="s">
        <v>5092</v>
      </c>
      <c r="C6138" s="218" t="s">
        <v>1390</v>
      </c>
      <c r="D6138" s="219">
        <v>1.0</v>
      </c>
      <c r="E6138" s="218">
        <v>1990.0</v>
      </c>
      <c r="G6138" s="220">
        <v>43580.0</v>
      </c>
    </row>
    <row r="6139">
      <c r="A6139" s="217">
        <v>43596.21702253472</v>
      </c>
      <c r="B6139" s="218" t="s">
        <v>5092</v>
      </c>
      <c r="C6139" s="218" t="s">
        <v>734</v>
      </c>
      <c r="D6139" s="219">
        <v>1.0</v>
      </c>
      <c r="E6139" s="218">
        <v>1990.0</v>
      </c>
      <c r="G6139" s="220">
        <v>43580.0</v>
      </c>
    </row>
    <row r="6140">
      <c r="A6140" s="217">
        <v>43596.21927328703</v>
      </c>
      <c r="B6140" s="218" t="s">
        <v>5092</v>
      </c>
      <c r="C6140" s="218" t="s">
        <v>736</v>
      </c>
      <c r="D6140" s="219">
        <v>1.0</v>
      </c>
      <c r="E6140" s="218">
        <v>1990.0</v>
      </c>
      <c r="G6140" s="220">
        <v>43580.0</v>
      </c>
    </row>
    <row r="6141">
      <c r="A6141" s="217">
        <v>43596.22007943287</v>
      </c>
      <c r="B6141" s="218" t="s">
        <v>5092</v>
      </c>
      <c r="C6141" s="218" t="s">
        <v>8869</v>
      </c>
      <c r="D6141" s="219">
        <v>1.0</v>
      </c>
      <c r="E6141" s="218">
        <v>1990.0</v>
      </c>
      <c r="G6141" s="220">
        <v>43580.0</v>
      </c>
    </row>
    <row r="6142">
      <c r="A6142" s="217">
        <v>43596.22283</v>
      </c>
      <c r="B6142" s="218" t="s">
        <v>5092</v>
      </c>
      <c r="C6142" s="218" t="s">
        <v>1346</v>
      </c>
      <c r="D6142" s="219">
        <v>1.0</v>
      </c>
      <c r="E6142" s="218">
        <v>2250.0</v>
      </c>
      <c r="G6142" s="220">
        <v>43580.0</v>
      </c>
    </row>
    <row r="6143">
      <c r="A6143" s="217">
        <v>43596.2236022338</v>
      </c>
      <c r="B6143" s="218" t="s">
        <v>5092</v>
      </c>
      <c r="C6143" s="218" t="s">
        <v>8870</v>
      </c>
      <c r="D6143" s="219">
        <v>1.0</v>
      </c>
      <c r="E6143" s="218">
        <v>2450.0</v>
      </c>
      <c r="G6143" s="220">
        <v>43580.0</v>
      </c>
    </row>
    <row r="6144">
      <c r="A6144" s="217">
        <v>43596.22728008102</v>
      </c>
      <c r="B6144" s="218" t="s">
        <v>5092</v>
      </c>
      <c r="C6144" s="218" t="s">
        <v>1318</v>
      </c>
      <c r="D6144" s="219">
        <v>1.0</v>
      </c>
      <c r="E6144" s="218">
        <v>2250.0</v>
      </c>
      <c r="G6144" s="220">
        <v>43580.0</v>
      </c>
    </row>
    <row r="6145">
      <c r="A6145" s="217">
        <v>43596.227961145836</v>
      </c>
      <c r="B6145" s="218" t="s">
        <v>5092</v>
      </c>
      <c r="C6145" s="218" t="s">
        <v>8871</v>
      </c>
      <c r="D6145" s="219">
        <v>1.0</v>
      </c>
      <c r="E6145" s="218">
        <v>2450.0</v>
      </c>
      <c r="G6145" s="220">
        <v>43580.0</v>
      </c>
    </row>
    <row r="6146">
      <c r="A6146" s="217">
        <v>43596.23073214121</v>
      </c>
      <c r="B6146" s="218" t="s">
        <v>5092</v>
      </c>
      <c r="C6146" s="218" t="s">
        <v>8872</v>
      </c>
      <c r="D6146" s="219">
        <v>1.0</v>
      </c>
      <c r="E6146" s="218">
        <v>1990.0</v>
      </c>
      <c r="G6146" s="220">
        <v>43580.0</v>
      </c>
    </row>
    <row r="6147">
      <c r="A6147" s="217">
        <v>43596.23232429398</v>
      </c>
      <c r="B6147" s="218" t="s">
        <v>5092</v>
      </c>
      <c r="C6147" s="218" t="s">
        <v>1514</v>
      </c>
      <c r="D6147" s="219">
        <v>1.0</v>
      </c>
      <c r="E6147" s="218">
        <v>2950.0</v>
      </c>
      <c r="G6147" s="220">
        <v>43580.0</v>
      </c>
    </row>
    <row r="6148">
      <c r="A6148" s="217">
        <v>43596.5480899074</v>
      </c>
      <c r="B6148" s="218" t="s">
        <v>5184</v>
      </c>
      <c r="C6148" s="218" t="s">
        <v>8874</v>
      </c>
      <c r="D6148" s="219">
        <v>1.0</v>
      </c>
      <c r="E6148" s="218">
        <v>300.0</v>
      </c>
      <c r="G6148" s="220">
        <v>43593.0</v>
      </c>
    </row>
    <row r="6149">
      <c r="A6149" s="217">
        <v>43596.554242881946</v>
      </c>
      <c r="B6149" s="218" t="s">
        <v>5184</v>
      </c>
      <c r="C6149" s="218" t="s">
        <v>8875</v>
      </c>
      <c r="D6149" s="219">
        <v>1.0</v>
      </c>
      <c r="E6149" s="218">
        <v>300.0</v>
      </c>
      <c r="G6149" s="220">
        <v>43593.0</v>
      </c>
    </row>
    <row r="6150">
      <c r="A6150" s="217">
        <v>43596.55626387731</v>
      </c>
      <c r="B6150" s="218" t="s">
        <v>5184</v>
      </c>
      <c r="C6150" s="218" t="s">
        <v>244</v>
      </c>
      <c r="D6150" s="219">
        <v>1.0</v>
      </c>
      <c r="E6150" s="218">
        <v>500.0</v>
      </c>
      <c r="G6150" s="220">
        <v>43593.0</v>
      </c>
    </row>
    <row r="6151">
      <c r="A6151" s="217">
        <v>43596.55729306713</v>
      </c>
      <c r="B6151" s="218" t="s">
        <v>5184</v>
      </c>
      <c r="C6151" s="218" t="s">
        <v>8874</v>
      </c>
      <c r="D6151" s="219">
        <v>0.5</v>
      </c>
      <c r="E6151" s="218">
        <v>150.0</v>
      </c>
      <c r="G6151" s="220">
        <v>43594.0</v>
      </c>
    </row>
    <row r="6152">
      <c r="A6152" s="217">
        <v>43596.56165398148</v>
      </c>
      <c r="B6152" s="218" t="s">
        <v>5184</v>
      </c>
      <c r="C6152" s="218" t="s">
        <v>8875</v>
      </c>
      <c r="D6152" s="219">
        <v>1.0</v>
      </c>
      <c r="E6152" s="218">
        <v>400.0</v>
      </c>
      <c r="G6152" s="220">
        <v>43594.0</v>
      </c>
    </row>
    <row r="6153">
      <c r="A6153" s="217">
        <v>43596.56700681713</v>
      </c>
      <c r="B6153" s="218" t="s">
        <v>5184</v>
      </c>
      <c r="C6153" s="218" t="s">
        <v>8877</v>
      </c>
      <c r="D6153" s="219">
        <v>1.0</v>
      </c>
      <c r="E6153" s="218">
        <v>900.0</v>
      </c>
      <c r="G6153" s="220">
        <v>43594.0</v>
      </c>
    </row>
    <row r="6154">
      <c r="A6154" s="217">
        <v>43596.56799524305</v>
      </c>
      <c r="B6154" s="218" t="s">
        <v>5184</v>
      </c>
      <c r="C6154" s="218" t="s">
        <v>8875</v>
      </c>
      <c r="D6154" s="219">
        <v>1.0</v>
      </c>
      <c r="E6154" s="218">
        <v>200.0</v>
      </c>
      <c r="G6154" s="220">
        <v>43594.0</v>
      </c>
    </row>
    <row r="6155">
      <c r="A6155" s="217">
        <v>43596.56869322917</v>
      </c>
      <c r="B6155" s="218" t="s">
        <v>5184</v>
      </c>
      <c r="C6155" s="218" t="s">
        <v>8874</v>
      </c>
      <c r="D6155" s="219">
        <v>1.0</v>
      </c>
      <c r="E6155" s="218">
        <v>300.0</v>
      </c>
      <c r="G6155" s="220">
        <v>43594.0</v>
      </c>
    </row>
    <row r="6156">
      <c r="A6156" s="217">
        <v>43596.57083633102</v>
      </c>
      <c r="B6156" s="218" t="s">
        <v>5184</v>
      </c>
      <c r="C6156" s="218" t="s">
        <v>8874</v>
      </c>
      <c r="D6156" s="219">
        <v>1.0</v>
      </c>
      <c r="E6156" s="218">
        <v>300.0</v>
      </c>
      <c r="G6156" s="220">
        <v>43594.0</v>
      </c>
    </row>
    <row r="6157">
      <c r="A6157" s="217">
        <v>43596.57159146991</v>
      </c>
      <c r="B6157" s="218" t="s">
        <v>5184</v>
      </c>
      <c r="C6157" s="218" t="s">
        <v>284</v>
      </c>
      <c r="D6157" s="219">
        <v>1.0</v>
      </c>
      <c r="E6157" s="218">
        <v>500.0</v>
      </c>
      <c r="G6157" s="220">
        <v>43595.0</v>
      </c>
    </row>
    <row r="6158">
      <c r="A6158" s="217">
        <v>43596.57266607639</v>
      </c>
      <c r="B6158" s="218" t="s">
        <v>5184</v>
      </c>
      <c r="C6158" s="218" t="s">
        <v>8103</v>
      </c>
      <c r="D6158" s="219">
        <v>1.0</v>
      </c>
      <c r="E6158" s="218">
        <v>500.0</v>
      </c>
      <c r="G6158" s="220">
        <v>43595.0</v>
      </c>
    </row>
    <row r="6159">
      <c r="A6159" s="217">
        <v>43596.57311848379</v>
      </c>
      <c r="B6159" s="218" t="s">
        <v>5184</v>
      </c>
      <c r="C6159" s="218" t="s">
        <v>284</v>
      </c>
      <c r="D6159" s="219">
        <v>1.0</v>
      </c>
      <c r="E6159" s="218">
        <v>500.0</v>
      </c>
      <c r="G6159" s="220">
        <v>43595.0</v>
      </c>
    </row>
    <row r="6160">
      <c r="A6160" s="217">
        <v>43596.57410106482</v>
      </c>
      <c r="B6160" s="218" t="s">
        <v>5184</v>
      </c>
      <c r="C6160" s="218" t="s">
        <v>8103</v>
      </c>
      <c r="D6160" s="219">
        <v>1.0</v>
      </c>
      <c r="E6160" s="218">
        <v>250.0</v>
      </c>
      <c r="G6160" s="220">
        <v>43595.0</v>
      </c>
    </row>
    <row r="6161">
      <c r="A6161" s="217">
        <v>43596.57459012732</v>
      </c>
      <c r="B6161" s="218" t="s">
        <v>5184</v>
      </c>
      <c r="C6161" s="218" t="s">
        <v>5786</v>
      </c>
      <c r="D6161" s="219">
        <v>1.0</v>
      </c>
      <c r="E6161" s="218">
        <v>300.0</v>
      </c>
      <c r="G6161" s="220">
        <v>43595.0</v>
      </c>
    </row>
    <row r="6162">
      <c r="A6162" s="217">
        <v>43596.57464798611</v>
      </c>
      <c r="B6162" s="218" t="s">
        <v>5184</v>
      </c>
      <c r="C6162" s="218" t="s">
        <v>8874</v>
      </c>
      <c r="D6162" s="219">
        <v>1.0</v>
      </c>
      <c r="E6162" s="218">
        <v>300.0</v>
      </c>
      <c r="G6162" s="220">
        <v>43595.0</v>
      </c>
    </row>
    <row r="6163">
      <c r="A6163" s="217">
        <v>43596.57538672454</v>
      </c>
      <c r="B6163" s="218" t="s">
        <v>5184</v>
      </c>
      <c r="C6163" s="218" t="s">
        <v>244</v>
      </c>
      <c r="D6163" s="219">
        <v>1.0</v>
      </c>
      <c r="E6163" s="218">
        <v>400.0</v>
      </c>
      <c r="G6163" s="220">
        <v>43595.0</v>
      </c>
    </row>
    <row r="6164">
      <c r="A6164" s="217">
        <v>43596.57597381945</v>
      </c>
      <c r="B6164" s="218" t="s">
        <v>5184</v>
      </c>
      <c r="C6164" s="218" t="s">
        <v>8875</v>
      </c>
      <c r="D6164" s="219">
        <v>1.0</v>
      </c>
      <c r="E6164" s="218">
        <v>300.0</v>
      </c>
      <c r="G6164" s="220">
        <v>43595.0</v>
      </c>
    </row>
    <row r="6165">
      <c r="A6165" s="217">
        <v>43596.57660215278</v>
      </c>
      <c r="B6165" s="218" t="s">
        <v>5184</v>
      </c>
      <c r="C6165" s="218" t="s">
        <v>8874</v>
      </c>
      <c r="D6165" s="219">
        <v>1.0</v>
      </c>
      <c r="E6165" s="218">
        <v>300.0</v>
      </c>
      <c r="G6165" s="220">
        <v>43595.0</v>
      </c>
    </row>
    <row r="6166">
      <c r="A6166" s="217">
        <v>43596.57773320602</v>
      </c>
      <c r="B6166" s="218" t="s">
        <v>5184</v>
      </c>
      <c r="C6166" s="218" t="s">
        <v>8884</v>
      </c>
      <c r="D6166" s="219">
        <v>0.5</v>
      </c>
      <c r="E6166" s="218">
        <v>200.0</v>
      </c>
      <c r="G6166" s="220">
        <v>43595.0</v>
      </c>
    </row>
    <row r="6167">
      <c r="A6167" s="217">
        <v>43596.67493158564</v>
      </c>
      <c r="B6167" s="218" t="s">
        <v>5184</v>
      </c>
      <c r="C6167" s="218" t="s">
        <v>5786</v>
      </c>
      <c r="D6167" s="219">
        <v>1.0</v>
      </c>
      <c r="E6167" s="218">
        <v>300.0</v>
      </c>
      <c r="G6167" s="220">
        <v>43592.0</v>
      </c>
    </row>
    <row r="6168">
      <c r="A6168" s="217">
        <v>43596.676022245374</v>
      </c>
      <c r="B6168" s="218" t="s">
        <v>5184</v>
      </c>
      <c r="C6168" s="218" t="s">
        <v>244</v>
      </c>
      <c r="D6168" s="219">
        <v>1.0</v>
      </c>
      <c r="E6168" s="218">
        <v>400.0</v>
      </c>
      <c r="G6168" s="220">
        <v>43592.0</v>
      </c>
    </row>
    <row r="6169">
      <c r="A6169" s="217">
        <v>43596.680003553236</v>
      </c>
      <c r="B6169" s="218" t="s">
        <v>5184</v>
      </c>
      <c r="C6169" s="218" t="s">
        <v>284</v>
      </c>
      <c r="D6169" s="219">
        <v>1.0</v>
      </c>
      <c r="E6169" s="218">
        <v>400.0</v>
      </c>
      <c r="G6169" s="220">
        <v>43589.0</v>
      </c>
    </row>
    <row r="6170">
      <c r="A6170" s="217">
        <v>43596.68631297453</v>
      </c>
      <c r="B6170" s="218" t="s">
        <v>5184</v>
      </c>
      <c r="C6170" s="218" t="s">
        <v>1446</v>
      </c>
      <c r="D6170" s="219">
        <v>1.0</v>
      </c>
      <c r="E6170" s="218">
        <v>2450.0</v>
      </c>
      <c r="G6170" s="220">
        <v>43596.0</v>
      </c>
    </row>
    <row r="6171">
      <c r="A6171" s="217">
        <v>43596.687036030096</v>
      </c>
      <c r="B6171" s="218" t="s">
        <v>5184</v>
      </c>
      <c r="C6171" s="218" t="s">
        <v>284</v>
      </c>
      <c r="D6171" s="219">
        <v>1.0</v>
      </c>
      <c r="E6171" s="218">
        <v>400.0</v>
      </c>
      <c r="G6171" s="220">
        <v>43596.0</v>
      </c>
    </row>
    <row r="6172">
      <c r="A6172" s="217">
        <v>43596.69064003472</v>
      </c>
      <c r="B6172" s="218" t="s">
        <v>5184</v>
      </c>
      <c r="C6172" s="218" t="s">
        <v>6053</v>
      </c>
      <c r="D6172" s="219">
        <v>1.0</v>
      </c>
      <c r="E6172" s="218">
        <v>300.0</v>
      </c>
      <c r="G6172" s="220">
        <v>43596.0</v>
      </c>
    </row>
    <row r="6173">
      <c r="A6173" s="217">
        <v>43596.69289486111</v>
      </c>
      <c r="B6173" s="218" t="s">
        <v>5184</v>
      </c>
      <c r="C6173" s="218" t="s">
        <v>7754</v>
      </c>
      <c r="D6173" s="219">
        <v>1.0</v>
      </c>
      <c r="E6173" s="218">
        <v>600.0</v>
      </c>
      <c r="G6173" s="220">
        <v>43596.0</v>
      </c>
    </row>
    <row r="6174">
      <c r="A6174" s="217">
        <v>43596.69464806713</v>
      </c>
      <c r="B6174" s="218" t="s">
        <v>5184</v>
      </c>
      <c r="C6174" s="218" t="s">
        <v>5786</v>
      </c>
      <c r="D6174" s="219">
        <v>1.0</v>
      </c>
      <c r="E6174" s="218">
        <v>300.0</v>
      </c>
      <c r="G6174" s="220">
        <v>43596.0</v>
      </c>
    </row>
    <row r="6175">
      <c r="A6175" s="217">
        <v>43596.695826145835</v>
      </c>
      <c r="B6175" s="218" t="s">
        <v>5184</v>
      </c>
      <c r="C6175" s="218" t="s">
        <v>244</v>
      </c>
      <c r="D6175" s="219">
        <v>1.0</v>
      </c>
      <c r="E6175" s="218">
        <v>600.0</v>
      </c>
      <c r="G6175" s="220">
        <v>43596.0</v>
      </c>
    </row>
    <row r="6176">
      <c r="A6176" s="217">
        <v>43596.69699384259</v>
      </c>
      <c r="B6176" s="218" t="s">
        <v>5184</v>
      </c>
      <c r="C6176" s="218" t="s">
        <v>7800</v>
      </c>
      <c r="D6176" s="219">
        <v>1.0</v>
      </c>
      <c r="E6176" s="218">
        <v>300.0</v>
      </c>
      <c r="G6176" s="220">
        <v>43596.0</v>
      </c>
    </row>
    <row r="6177">
      <c r="A6177" s="217">
        <v>43596.698940891205</v>
      </c>
      <c r="B6177" s="218" t="s">
        <v>5184</v>
      </c>
      <c r="C6177" s="218" t="s">
        <v>244</v>
      </c>
      <c r="D6177" s="219">
        <v>1.0</v>
      </c>
      <c r="E6177" s="218">
        <v>400.0</v>
      </c>
      <c r="G6177" s="220">
        <v>43596.0</v>
      </c>
    </row>
    <row r="6178">
      <c r="A6178" s="217">
        <v>43596.70994148148</v>
      </c>
      <c r="B6178" s="218" t="s">
        <v>5184</v>
      </c>
      <c r="C6178" s="218" t="s">
        <v>7800</v>
      </c>
      <c r="D6178" s="219">
        <v>1.0</v>
      </c>
      <c r="E6178" s="218">
        <v>200.0</v>
      </c>
      <c r="G6178" s="220">
        <v>43596.0</v>
      </c>
    </row>
    <row r="6179">
      <c r="A6179" s="217">
        <v>43596.71047496528</v>
      </c>
      <c r="B6179" s="218" t="s">
        <v>5184</v>
      </c>
      <c r="C6179" s="218" t="s">
        <v>6053</v>
      </c>
      <c r="D6179" s="219">
        <v>1.0</v>
      </c>
      <c r="E6179" s="218">
        <v>300.0</v>
      </c>
      <c r="G6179" s="220">
        <v>43596.0</v>
      </c>
    </row>
    <row r="6180">
      <c r="A6180" s="217">
        <v>43596.71108434028</v>
      </c>
      <c r="B6180" s="218" t="s">
        <v>5184</v>
      </c>
      <c r="C6180" s="218" t="s">
        <v>7408</v>
      </c>
      <c r="D6180" s="219">
        <v>1.0</v>
      </c>
      <c r="E6180" s="218">
        <v>400.0</v>
      </c>
      <c r="G6180" s="220">
        <v>43596.0</v>
      </c>
    </row>
    <row r="6181">
      <c r="A6181" s="217">
        <v>43596.71220912037</v>
      </c>
      <c r="B6181" s="218" t="s">
        <v>5184</v>
      </c>
      <c r="C6181" s="218" t="s">
        <v>7800</v>
      </c>
      <c r="D6181" s="219">
        <v>1.0</v>
      </c>
      <c r="E6181" s="218">
        <v>300.0</v>
      </c>
      <c r="G6181" s="220">
        <v>43596.0</v>
      </c>
    </row>
    <row r="6182">
      <c r="A6182" s="217">
        <v>43596.7126946875</v>
      </c>
      <c r="B6182" s="218" t="s">
        <v>5184</v>
      </c>
      <c r="C6182" s="218" t="s">
        <v>7806</v>
      </c>
      <c r="D6182" s="219">
        <v>1.0</v>
      </c>
      <c r="E6182" s="218">
        <v>600.0</v>
      </c>
      <c r="G6182" s="220">
        <v>43596.0</v>
      </c>
    </row>
    <row r="6183">
      <c r="A6183" s="217">
        <v>43596.7176155787</v>
      </c>
      <c r="B6183" s="218" t="s">
        <v>5184</v>
      </c>
      <c r="C6183" s="218" t="s">
        <v>7800</v>
      </c>
      <c r="D6183" s="219">
        <v>1.0</v>
      </c>
      <c r="E6183" s="218">
        <v>300.0</v>
      </c>
      <c r="G6183" s="220">
        <v>43596.0</v>
      </c>
    </row>
    <row r="6184">
      <c r="A6184" s="217">
        <v>43596.718277465276</v>
      </c>
      <c r="B6184" s="218" t="s">
        <v>5184</v>
      </c>
      <c r="C6184" s="218" t="s">
        <v>6053</v>
      </c>
      <c r="D6184" s="219">
        <v>1.0</v>
      </c>
      <c r="E6184" s="218">
        <v>300.0</v>
      </c>
      <c r="G6184" s="220">
        <v>43596.0</v>
      </c>
    </row>
    <row r="6185">
      <c r="A6185" s="217">
        <v>43596.75043118055</v>
      </c>
      <c r="B6185" s="218" t="s">
        <v>5092</v>
      </c>
      <c r="C6185" s="218" t="s">
        <v>7007</v>
      </c>
      <c r="D6185" s="219" t="s">
        <v>8894</v>
      </c>
      <c r="E6185" s="218">
        <v>2000.0</v>
      </c>
      <c r="G6185" s="220">
        <v>43594.0</v>
      </c>
    </row>
    <row r="6186">
      <c r="A6186" s="217">
        <v>43596.75103407407</v>
      </c>
      <c r="B6186" s="218" t="s">
        <v>5092</v>
      </c>
      <c r="C6186" s="218" t="s">
        <v>244</v>
      </c>
      <c r="D6186" s="219" t="s">
        <v>7547</v>
      </c>
      <c r="E6186" s="218">
        <v>200.0</v>
      </c>
      <c r="G6186" s="220">
        <v>43594.0</v>
      </c>
    </row>
    <row r="6187">
      <c r="A6187" s="217">
        <v>43596.75164002315</v>
      </c>
      <c r="B6187" s="218" t="s">
        <v>5092</v>
      </c>
      <c r="C6187" s="218" t="s">
        <v>244</v>
      </c>
      <c r="D6187" s="219" t="s">
        <v>7547</v>
      </c>
      <c r="E6187" s="218">
        <v>200.0</v>
      </c>
      <c r="G6187" s="220">
        <v>43594.0</v>
      </c>
    </row>
    <row r="6188">
      <c r="A6188" s="217">
        <v>43596.75386322917</v>
      </c>
      <c r="B6188" s="218" t="s">
        <v>5092</v>
      </c>
      <c r="C6188" s="218" t="s">
        <v>7754</v>
      </c>
      <c r="D6188" s="219">
        <v>1.0</v>
      </c>
      <c r="E6188" s="218">
        <v>600.0</v>
      </c>
      <c r="G6188" s="220">
        <v>43594.0</v>
      </c>
    </row>
    <row r="6189">
      <c r="A6189" s="217">
        <v>43596.75451868055</v>
      </c>
      <c r="B6189" s="218" t="s">
        <v>5092</v>
      </c>
      <c r="C6189" s="218" t="s">
        <v>6053</v>
      </c>
      <c r="D6189" s="219">
        <v>1.0</v>
      </c>
      <c r="E6189" s="218">
        <v>300.0</v>
      </c>
      <c r="G6189" s="220">
        <v>43594.0</v>
      </c>
    </row>
    <row r="6190">
      <c r="A6190" s="217">
        <v>43597.40341049769</v>
      </c>
      <c r="B6190" s="218" t="s">
        <v>5184</v>
      </c>
      <c r="C6190" s="218" t="s">
        <v>8817</v>
      </c>
      <c r="D6190" s="219">
        <v>6.0</v>
      </c>
      <c r="E6190" s="218">
        <v>4290.0</v>
      </c>
      <c r="G6190" s="220">
        <v>43595.0</v>
      </c>
    </row>
    <row r="6191">
      <c r="A6191" s="217">
        <v>43597.40463788195</v>
      </c>
      <c r="B6191" s="218" t="s">
        <v>5184</v>
      </c>
      <c r="C6191" s="218" t="s">
        <v>2232</v>
      </c>
      <c r="D6191" s="219">
        <v>1.0</v>
      </c>
      <c r="E6191" s="218">
        <v>6690.0</v>
      </c>
      <c r="G6191" s="220">
        <v>43593.0</v>
      </c>
    </row>
    <row r="6192">
      <c r="A6192" s="217">
        <v>43597.40553583333</v>
      </c>
      <c r="B6192" s="218" t="s">
        <v>5184</v>
      </c>
      <c r="C6192" s="218" t="s">
        <v>2231</v>
      </c>
      <c r="D6192" s="219">
        <v>1.0</v>
      </c>
      <c r="E6192" s="218">
        <v>6690.0</v>
      </c>
      <c r="G6192" s="220">
        <v>43593.0</v>
      </c>
    </row>
    <row r="6193">
      <c r="A6193" s="217">
        <v>43597.4064390162</v>
      </c>
      <c r="B6193" s="218" t="s">
        <v>5184</v>
      </c>
      <c r="C6193" s="218" t="s">
        <v>8827</v>
      </c>
      <c r="D6193" s="219">
        <v>1.0</v>
      </c>
      <c r="E6193" s="218">
        <v>6190.0</v>
      </c>
      <c r="G6193" s="220">
        <v>43593.0</v>
      </c>
    </row>
    <row r="6194">
      <c r="A6194" s="217">
        <v>43597.41449701389</v>
      </c>
      <c r="B6194" s="218" t="s">
        <v>5184</v>
      </c>
      <c r="C6194" s="218" t="s">
        <v>8829</v>
      </c>
      <c r="D6194" s="219">
        <v>1.0</v>
      </c>
      <c r="E6194" s="218">
        <v>5790.0</v>
      </c>
      <c r="G6194" s="220">
        <v>43593.0</v>
      </c>
    </row>
    <row r="6195">
      <c r="A6195" s="217">
        <v>43597.41518490741</v>
      </c>
      <c r="B6195" s="218" t="s">
        <v>5184</v>
      </c>
      <c r="C6195" s="218" t="s">
        <v>8828</v>
      </c>
      <c r="D6195" s="219">
        <v>1.0</v>
      </c>
      <c r="E6195" s="218">
        <v>5790.0</v>
      </c>
      <c r="G6195" s="220">
        <v>43593.0</v>
      </c>
    </row>
    <row r="6196">
      <c r="A6196" s="217">
        <v>43597.41584349537</v>
      </c>
      <c r="B6196" s="218" t="s">
        <v>5184</v>
      </c>
      <c r="C6196" s="218" t="s">
        <v>2305</v>
      </c>
      <c r="D6196" s="219">
        <v>1.0</v>
      </c>
      <c r="E6196" s="218">
        <v>5590.0</v>
      </c>
      <c r="G6196" s="220">
        <v>43593.0</v>
      </c>
    </row>
    <row r="6197">
      <c r="A6197" s="217">
        <v>43597.41669684028</v>
      </c>
      <c r="B6197" s="218" t="s">
        <v>5184</v>
      </c>
      <c r="C6197" s="218" t="s">
        <v>2120</v>
      </c>
      <c r="D6197" s="219">
        <v>1.0</v>
      </c>
      <c r="E6197" s="218">
        <v>6690.0</v>
      </c>
      <c r="G6197" s="220">
        <v>43593.0</v>
      </c>
    </row>
    <row r="6198">
      <c r="A6198" s="217">
        <v>43597.41734050926</v>
      </c>
      <c r="B6198" s="218" t="s">
        <v>5184</v>
      </c>
      <c r="C6198" s="218" t="s">
        <v>8826</v>
      </c>
      <c r="D6198" s="219">
        <v>1.0</v>
      </c>
      <c r="E6198" s="218">
        <v>5790.0</v>
      </c>
      <c r="G6198" s="220">
        <v>43593.0</v>
      </c>
    </row>
    <row r="6199">
      <c r="A6199" s="217">
        <v>43597.41810520833</v>
      </c>
      <c r="B6199" s="218" t="s">
        <v>5184</v>
      </c>
      <c r="C6199" s="218" t="s">
        <v>1340</v>
      </c>
      <c r="D6199" s="219">
        <v>1.0</v>
      </c>
      <c r="E6199" s="218">
        <v>2450.0</v>
      </c>
      <c r="G6199" s="220">
        <v>43593.0</v>
      </c>
    </row>
    <row r="6200">
      <c r="A6200" s="217">
        <v>43597.41882677084</v>
      </c>
      <c r="B6200" s="218" t="s">
        <v>5184</v>
      </c>
      <c r="C6200" s="218" t="s">
        <v>8600</v>
      </c>
      <c r="D6200" s="219">
        <v>2.0</v>
      </c>
      <c r="E6200" s="218">
        <v>2160.0</v>
      </c>
      <c r="G6200" s="220">
        <v>43593.0</v>
      </c>
    </row>
    <row r="6201">
      <c r="A6201" s="217">
        <v>43597.41951010417</v>
      </c>
      <c r="B6201" s="218" t="s">
        <v>5184</v>
      </c>
      <c r="C6201" s="218" t="s">
        <v>5442</v>
      </c>
      <c r="D6201" s="219">
        <v>2.0</v>
      </c>
      <c r="E6201" s="218">
        <v>6490.0</v>
      </c>
      <c r="G6201" s="220">
        <v>43593.0</v>
      </c>
    </row>
    <row r="6202">
      <c r="A6202" s="217">
        <v>43597.464165937505</v>
      </c>
      <c r="B6202" s="218" t="s">
        <v>5184</v>
      </c>
      <c r="C6202" s="218" t="s">
        <v>5442</v>
      </c>
      <c r="D6202" s="219">
        <v>2.0</v>
      </c>
      <c r="E6202" s="218">
        <v>6490.0</v>
      </c>
      <c r="G6202" s="220">
        <v>43593.0</v>
      </c>
    </row>
    <row r="6203">
      <c r="A6203" s="217">
        <v>43597.4647399074</v>
      </c>
      <c r="B6203" s="218" t="s">
        <v>5184</v>
      </c>
      <c r="C6203" s="218" t="s">
        <v>284</v>
      </c>
      <c r="D6203" s="219">
        <v>1.0</v>
      </c>
      <c r="E6203" s="218">
        <v>400.0</v>
      </c>
      <c r="G6203" s="220">
        <v>43590.0</v>
      </c>
    </row>
    <row r="6204">
      <c r="A6204" s="217">
        <v>43597.46582857639</v>
      </c>
      <c r="B6204" s="218" t="s">
        <v>5184</v>
      </c>
      <c r="C6204" s="218" t="s">
        <v>6053</v>
      </c>
      <c r="D6204" s="219">
        <v>1.0</v>
      </c>
      <c r="E6204" s="218">
        <v>300.0</v>
      </c>
      <c r="G6204" s="220">
        <v>43589.0</v>
      </c>
    </row>
    <row r="6205">
      <c r="A6205" s="217">
        <v>43597.731936550925</v>
      </c>
      <c r="B6205" s="218" t="s">
        <v>5184</v>
      </c>
      <c r="C6205" s="218" t="s">
        <v>5786</v>
      </c>
      <c r="D6205" s="219">
        <v>1.0</v>
      </c>
      <c r="E6205" s="218">
        <v>300.0</v>
      </c>
      <c r="G6205" s="220">
        <v>43597.0</v>
      </c>
    </row>
    <row r="6206">
      <c r="A6206" s="217">
        <v>43597.73272439815</v>
      </c>
      <c r="B6206" s="218" t="s">
        <v>5184</v>
      </c>
      <c r="C6206" s="218" t="s">
        <v>6053</v>
      </c>
      <c r="D6206" s="219">
        <v>1.0</v>
      </c>
      <c r="E6206" s="218">
        <v>300.0</v>
      </c>
      <c r="G6206" s="220">
        <v>43597.0</v>
      </c>
    </row>
    <row r="6207">
      <c r="A6207" s="217">
        <v>43597.73341002315</v>
      </c>
      <c r="B6207" s="218" t="s">
        <v>5184</v>
      </c>
      <c r="C6207" s="218" t="s">
        <v>5786</v>
      </c>
      <c r="D6207" s="219">
        <v>1.0</v>
      </c>
      <c r="E6207" s="218">
        <v>300.0</v>
      </c>
      <c r="G6207" s="220">
        <v>43597.0</v>
      </c>
    </row>
    <row r="6208">
      <c r="A6208" s="217">
        <v>43597.733925671295</v>
      </c>
      <c r="B6208" s="218" t="s">
        <v>5184</v>
      </c>
      <c r="C6208" s="218" t="s">
        <v>6053</v>
      </c>
      <c r="D6208" s="219">
        <v>1.0</v>
      </c>
      <c r="E6208" s="218">
        <v>300.0</v>
      </c>
      <c r="G6208" s="220">
        <v>43597.0</v>
      </c>
    </row>
    <row r="6209">
      <c r="A6209" s="217">
        <v>43597.79059710648</v>
      </c>
      <c r="B6209" s="218" t="s">
        <v>5092</v>
      </c>
      <c r="C6209" s="218" t="s">
        <v>727</v>
      </c>
      <c r="D6209" s="219">
        <v>1.0</v>
      </c>
      <c r="E6209" s="218">
        <v>2590.0</v>
      </c>
      <c r="G6209" s="220">
        <v>43580.0</v>
      </c>
    </row>
    <row r="6210">
      <c r="A6210" s="217">
        <v>43597.81962770833</v>
      </c>
      <c r="B6210" s="218" t="s">
        <v>5092</v>
      </c>
      <c r="C6210" s="218" t="s">
        <v>727</v>
      </c>
      <c r="D6210" s="219">
        <v>1.0</v>
      </c>
      <c r="E6210" s="218">
        <v>2590.0</v>
      </c>
      <c r="G6210" s="220">
        <v>43580.0</v>
      </c>
    </row>
    <row r="6211">
      <c r="A6211" s="217">
        <v>43597.82121574074</v>
      </c>
      <c r="B6211" s="218" t="s">
        <v>5092</v>
      </c>
      <c r="C6211" s="218" t="s">
        <v>8902</v>
      </c>
      <c r="D6211" s="219">
        <v>1.0</v>
      </c>
      <c r="E6211" s="218">
        <v>2450.0</v>
      </c>
      <c r="G6211" s="220">
        <v>43580.0</v>
      </c>
    </row>
    <row r="6212">
      <c r="A6212" s="217">
        <v>43597.827678333335</v>
      </c>
      <c r="B6212" s="218" t="s">
        <v>5092</v>
      </c>
      <c r="C6212" s="218" t="s">
        <v>8903</v>
      </c>
      <c r="D6212" s="219">
        <v>1.0</v>
      </c>
      <c r="E6212" s="218">
        <v>2160.0</v>
      </c>
      <c r="G6212" s="220">
        <v>43580.0</v>
      </c>
    </row>
    <row r="6213">
      <c r="A6213" s="217">
        <v>43599.707729131944</v>
      </c>
      <c r="B6213" s="218" t="s">
        <v>5184</v>
      </c>
      <c r="C6213" s="218" t="s">
        <v>6053</v>
      </c>
      <c r="D6213" s="219">
        <v>1.0</v>
      </c>
      <c r="E6213" s="218">
        <v>300.0</v>
      </c>
      <c r="G6213" s="220">
        <v>43599.0</v>
      </c>
    </row>
    <row r="6214">
      <c r="A6214" s="217">
        <v>43599.709833402776</v>
      </c>
      <c r="B6214" s="218" t="s">
        <v>5184</v>
      </c>
      <c r="C6214" s="218" t="s">
        <v>7800</v>
      </c>
      <c r="D6214" s="219">
        <v>1.0</v>
      </c>
      <c r="E6214" s="218">
        <v>200.0</v>
      </c>
      <c r="G6214" s="220">
        <v>43599.0</v>
      </c>
    </row>
    <row r="6215">
      <c r="A6215" s="217">
        <v>43599.711199756945</v>
      </c>
      <c r="B6215" s="218" t="s">
        <v>5184</v>
      </c>
      <c r="C6215" s="218" t="s">
        <v>6053</v>
      </c>
      <c r="D6215" s="219">
        <v>1.0</v>
      </c>
      <c r="E6215" s="218">
        <v>300.0</v>
      </c>
      <c r="G6215" s="220">
        <v>43599.0</v>
      </c>
    </row>
    <row r="6216">
      <c r="A6216" s="217">
        <v>43599.71185369213</v>
      </c>
      <c r="B6216" s="218" t="s">
        <v>5184</v>
      </c>
      <c r="C6216" s="218" t="s">
        <v>7800</v>
      </c>
      <c r="D6216" s="219">
        <v>1.0</v>
      </c>
      <c r="E6216" s="218">
        <v>300.0</v>
      </c>
      <c r="G6216" s="220">
        <v>43599.0</v>
      </c>
    </row>
    <row r="6217">
      <c r="A6217" s="217">
        <v>43599.71243885417</v>
      </c>
      <c r="B6217" s="218" t="s">
        <v>5184</v>
      </c>
      <c r="C6217" s="218" t="s">
        <v>6053</v>
      </c>
      <c r="D6217" s="219">
        <v>1.0</v>
      </c>
      <c r="E6217" s="218">
        <v>300.0</v>
      </c>
      <c r="G6217" s="220">
        <v>43599.0</v>
      </c>
    </row>
    <row r="6218">
      <c r="A6218" s="217">
        <v>43599.719180370375</v>
      </c>
      <c r="B6218" s="218" t="s">
        <v>5184</v>
      </c>
      <c r="C6218" s="218" t="s">
        <v>6053</v>
      </c>
      <c r="D6218" s="219">
        <v>1.0</v>
      </c>
      <c r="E6218" s="218">
        <v>300.0</v>
      </c>
      <c r="G6218" s="220">
        <v>43599.0</v>
      </c>
    </row>
    <row r="6219">
      <c r="A6219" s="217">
        <v>43599.72021828704</v>
      </c>
      <c r="B6219" s="218" t="s">
        <v>5184</v>
      </c>
      <c r="C6219" s="218" t="s">
        <v>7800</v>
      </c>
      <c r="D6219" s="219">
        <v>1.0</v>
      </c>
      <c r="E6219" s="218">
        <v>200.0</v>
      </c>
      <c r="G6219" s="220">
        <v>43599.0</v>
      </c>
    </row>
    <row r="6220">
      <c r="A6220" s="217">
        <v>43599.72120435185</v>
      </c>
      <c r="B6220" s="218" t="s">
        <v>5184</v>
      </c>
      <c r="C6220" s="218" t="s">
        <v>7792</v>
      </c>
      <c r="D6220" s="219">
        <v>1.0</v>
      </c>
      <c r="E6220" s="218">
        <v>400.0</v>
      </c>
      <c r="G6220" s="220">
        <v>43599.0</v>
      </c>
    </row>
    <row r="6221">
      <c r="A6221" s="217">
        <v>43599.722730995374</v>
      </c>
      <c r="B6221" s="218" t="s">
        <v>5184</v>
      </c>
      <c r="C6221" s="218" t="s">
        <v>244</v>
      </c>
      <c r="D6221" s="219">
        <v>1.0</v>
      </c>
      <c r="E6221" s="218">
        <v>400.0</v>
      </c>
      <c r="G6221" s="220">
        <v>43599.0</v>
      </c>
    </row>
    <row r="6222">
      <c r="A6222" s="217">
        <v>43599.729405590275</v>
      </c>
      <c r="B6222" s="218" t="s">
        <v>5184</v>
      </c>
      <c r="C6222" s="218" t="s">
        <v>5786</v>
      </c>
      <c r="D6222" s="219">
        <v>1.0</v>
      </c>
      <c r="E6222" s="218">
        <v>300.0</v>
      </c>
      <c r="G6222" s="220">
        <v>43599.0</v>
      </c>
    </row>
    <row r="6223">
      <c r="A6223" s="217">
        <v>43599.731545752315</v>
      </c>
      <c r="B6223" s="218" t="s">
        <v>5184</v>
      </c>
      <c r="C6223" s="218" t="s">
        <v>7987</v>
      </c>
      <c r="D6223" s="219">
        <v>1.0</v>
      </c>
      <c r="E6223" s="218">
        <v>1200.0</v>
      </c>
      <c r="G6223" s="220">
        <v>43599.0</v>
      </c>
    </row>
    <row r="6224">
      <c r="A6224" s="217">
        <v>43599.73292328704</v>
      </c>
      <c r="B6224" s="218" t="s">
        <v>5184</v>
      </c>
      <c r="C6224" s="218" t="s">
        <v>5786</v>
      </c>
      <c r="D6224" s="219">
        <v>1.0</v>
      </c>
      <c r="E6224" s="218">
        <v>250.0</v>
      </c>
      <c r="G6224" s="220">
        <v>43599.0</v>
      </c>
    </row>
    <row r="6225">
      <c r="A6225" s="217">
        <v>43599.753384930555</v>
      </c>
      <c r="B6225" s="218" t="s">
        <v>5184</v>
      </c>
      <c r="C6225" s="218" t="s">
        <v>7800</v>
      </c>
      <c r="D6225" s="219">
        <v>1.0</v>
      </c>
      <c r="E6225" s="218">
        <v>300.0</v>
      </c>
      <c r="G6225" s="220">
        <v>43599.0</v>
      </c>
    </row>
    <row r="6226">
      <c r="A6226" s="217">
        <v>43599.75405292824</v>
      </c>
      <c r="B6226" s="218" t="s">
        <v>5184</v>
      </c>
      <c r="C6226" s="218" t="s">
        <v>6053</v>
      </c>
      <c r="D6226" s="219">
        <v>1.0</v>
      </c>
      <c r="E6226" s="218">
        <v>300.0</v>
      </c>
      <c r="G6226" s="220">
        <v>43599.0</v>
      </c>
    </row>
    <row r="6227">
      <c r="A6227" s="217">
        <v>43599.75920255787</v>
      </c>
      <c r="B6227" s="218" t="s">
        <v>5184</v>
      </c>
      <c r="C6227" s="218" t="s">
        <v>7800</v>
      </c>
      <c r="D6227" s="219">
        <v>1.0</v>
      </c>
      <c r="E6227" s="218">
        <v>300.0</v>
      </c>
      <c r="G6227" s="220">
        <v>43599.0</v>
      </c>
    </row>
    <row r="6228">
      <c r="A6228" s="217">
        <v>43599.75971525463</v>
      </c>
      <c r="B6228" s="218" t="s">
        <v>5184</v>
      </c>
      <c r="C6228" s="218" t="s">
        <v>6053</v>
      </c>
      <c r="D6228" s="219">
        <v>1.0</v>
      </c>
      <c r="E6228" s="218">
        <v>300.0</v>
      </c>
      <c r="G6228" s="220">
        <v>43599.0</v>
      </c>
    </row>
    <row r="6229">
      <c r="A6229" s="217">
        <v>43600.60143597222</v>
      </c>
      <c r="B6229" s="218" t="s">
        <v>5184</v>
      </c>
      <c r="C6229" s="218" t="s">
        <v>7792</v>
      </c>
      <c r="D6229" s="219">
        <v>1.0</v>
      </c>
      <c r="E6229" s="218">
        <v>400.0</v>
      </c>
      <c r="G6229" s="220">
        <v>43599.0</v>
      </c>
    </row>
    <row r="6230">
      <c r="A6230" s="217">
        <v>43600.60229091435</v>
      </c>
      <c r="B6230" s="218" t="s">
        <v>5184</v>
      </c>
      <c r="C6230" s="218" t="s">
        <v>284</v>
      </c>
      <c r="D6230" s="219">
        <v>1.0</v>
      </c>
      <c r="E6230" s="218">
        <v>400.0</v>
      </c>
      <c r="G6230" s="220">
        <v>43599.0</v>
      </c>
    </row>
    <row r="6231">
      <c r="A6231" s="217">
        <v>43600.74555796296</v>
      </c>
      <c r="B6231" s="218" t="s">
        <v>5184</v>
      </c>
      <c r="C6231" s="218" t="s">
        <v>7408</v>
      </c>
      <c r="D6231" s="219">
        <v>1.0</v>
      </c>
      <c r="E6231" s="218">
        <v>500.0</v>
      </c>
      <c r="G6231" s="220">
        <v>43600.0</v>
      </c>
    </row>
    <row r="6232">
      <c r="A6232" s="217">
        <v>43600.746433078704</v>
      </c>
      <c r="B6232" s="218" t="s">
        <v>5184</v>
      </c>
      <c r="C6232" s="218" t="s">
        <v>7800</v>
      </c>
      <c r="D6232" s="219">
        <v>1.0</v>
      </c>
      <c r="E6232" s="218">
        <v>200.0</v>
      </c>
      <c r="G6232" s="220">
        <v>43600.0</v>
      </c>
    </row>
    <row r="6233">
      <c r="A6233" s="217">
        <v>43600.74705023148</v>
      </c>
      <c r="B6233" s="218" t="s">
        <v>5184</v>
      </c>
      <c r="C6233" s="218" t="s">
        <v>6053</v>
      </c>
      <c r="D6233" s="219">
        <v>1.0</v>
      </c>
      <c r="E6233" s="218">
        <v>300.0</v>
      </c>
      <c r="G6233" s="220">
        <v>43600.0</v>
      </c>
    </row>
    <row r="6234">
      <c r="A6234" s="217">
        <v>43600.747835069444</v>
      </c>
      <c r="B6234" s="218" t="s">
        <v>5184</v>
      </c>
      <c r="C6234" s="218" t="s">
        <v>7800</v>
      </c>
      <c r="D6234" s="219">
        <v>1.0</v>
      </c>
      <c r="E6234" s="218">
        <v>300.0</v>
      </c>
      <c r="G6234" s="220">
        <v>43600.0</v>
      </c>
    </row>
    <row r="6235">
      <c r="A6235" s="217">
        <v>43600.74830550926</v>
      </c>
      <c r="B6235" s="218" t="s">
        <v>5184</v>
      </c>
      <c r="C6235" s="218" t="s">
        <v>244</v>
      </c>
      <c r="D6235" s="219">
        <v>1.0</v>
      </c>
      <c r="E6235" s="218">
        <v>400.0</v>
      </c>
      <c r="G6235" s="220">
        <v>43600.0</v>
      </c>
    </row>
    <row r="6236">
      <c r="A6236" s="217">
        <v>43601.48406216435</v>
      </c>
      <c r="B6236" s="218" t="s">
        <v>5184</v>
      </c>
      <c r="C6236" s="218" t="s">
        <v>2156</v>
      </c>
      <c r="D6236" s="219">
        <v>4.0</v>
      </c>
      <c r="E6236" s="24"/>
      <c r="G6236" s="220">
        <v>43598.0</v>
      </c>
    </row>
    <row r="6237">
      <c r="A6237" s="217">
        <v>43601.48547677083</v>
      </c>
      <c r="B6237" s="218" t="s">
        <v>5184</v>
      </c>
      <c r="C6237" s="218" t="s">
        <v>2169</v>
      </c>
      <c r="D6237" s="219">
        <v>1.0</v>
      </c>
      <c r="E6237" s="218">
        <v>3290.0</v>
      </c>
      <c r="G6237" s="220">
        <v>43598.0</v>
      </c>
    </row>
    <row r="6238">
      <c r="A6238" s="217">
        <v>43601.486795150464</v>
      </c>
      <c r="B6238" s="218" t="s">
        <v>5184</v>
      </c>
      <c r="C6238" s="218" t="s">
        <v>7057</v>
      </c>
      <c r="D6238" s="219">
        <v>1.0</v>
      </c>
      <c r="E6238" s="218">
        <v>5090.0</v>
      </c>
      <c r="G6238" s="220">
        <v>43598.0</v>
      </c>
    </row>
    <row r="6239">
      <c r="A6239" s="217">
        <v>43601.519763425924</v>
      </c>
      <c r="B6239" s="218" t="s">
        <v>5184</v>
      </c>
      <c r="C6239" s="218" t="s">
        <v>8809</v>
      </c>
      <c r="D6239" s="219">
        <v>1.0</v>
      </c>
      <c r="E6239" s="218">
        <v>5090.0</v>
      </c>
      <c r="G6239" s="220">
        <v>43598.0</v>
      </c>
    </row>
    <row r="6240">
      <c r="A6240" s="217">
        <v>43601.52132693287</v>
      </c>
      <c r="B6240" s="218" t="s">
        <v>5184</v>
      </c>
      <c r="C6240" s="218" t="s">
        <v>2261</v>
      </c>
      <c r="D6240" s="219">
        <v>3.0</v>
      </c>
      <c r="E6240" s="24"/>
      <c r="G6240" s="220">
        <v>43598.0</v>
      </c>
    </row>
    <row r="6241">
      <c r="A6241" s="217">
        <v>43601.522418611115</v>
      </c>
      <c r="B6241" s="218" t="s">
        <v>5184</v>
      </c>
      <c r="C6241" s="218" t="s">
        <v>8913</v>
      </c>
      <c r="D6241" s="219">
        <v>1.0</v>
      </c>
      <c r="E6241" s="218">
        <v>300.0</v>
      </c>
      <c r="G6241" s="220">
        <v>43601.0</v>
      </c>
    </row>
    <row r="6242">
      <c r="A6242" s="217">
        <v>43601.523052268516</v>
      </c>
      <c r="B6242" s="218" t="s">
        <v>5184</v>
      </c>
      <c r="C6242" s="218" t="s">
        <v>6053</v>
      </c>
      <c r="D6242" s="219">
        <v>1.0</v>
      </c>
      <c r="E6242" s="218">
        <v>300.0</v>
      </c>
      <c r="G6242" s="220">
        <v>43601.0</v>
      </c>
    </row>
    <row r="6243">
      <c r="A6243" s="217">
        <v>43601.52376429398</v>
      </c>
      <c r="B6243" s="218" t="s">
        <v>5184</v>
      </c>
      <c r="C6243" s="218" t="s">
        <v>7800</v>
      </c>
      <c r="D6243" s="219">
        <v>1.0</v>
      </c>
      <c r="E6243" s="218">
        <v>300.0</v>
      </c>
      <c r="G6243" s="220">
        <v>43601.0</v>
      </c>
    </row>
    <row r="6244">
      <c r="A6244" s="217">
        <v>43601.52458745371</v>
      </c>
      <c r="B6244" s="218" t="s">
        <v>5184</v>
      </c>
      <c r="C6244" s="218" t="s">
        <v>284</v>
      </c>
      <c r="D6244" s="219">
        <v>1.0</v>
      </c>
      <c r="E6244" s="218">
        <v>400.0</v>
      </c>
      <c r="G6244" s="220">
        <v>43601.0</v>
      </c>
    </row>
    <row r="6245">
      <c r="A6245" s="217">
        <v>43601.525900196764</v>
      </c>
      <c r="B6245" s="218" t="s">
        <v>5184</v>
      </c>
      <c r="C6245" s="218" t="s">
        <v>6053</v>
      </c>
      <c r="D6245" s="219">
        <v>1.0</v>
      </c>
      <c r="E6245" s="218">
        <v>300.0</v>
      </c>
      <c r="G6245" s="220">
        <v>43601.0</v>
      </c>
    </row>
    <row r="6246">
      <c r="A6246" s="217">
        <v>43601.52656600694</v>
      </c>
      <c r="B6246" s="218" t="s">
        <v>5184</v>
      </c>
      <c r="C6246" s="218" t="s">
        <v>7800</v>
      </c>
      <c r="D6246" s="219">
        <v>1.0</v>
      </c>
      <c r="E6246" s="218">
        <v>300.0</v>
      </c>
      <c r="G6246" s="220">
        <v>43601.0</v>
      </c>
    </row>
    <row r="6247">
      <c r="A6247" s="217">
        <v>43601.52724568287</v>
      </c>
      <c r="B6247" s="218" t="s">
        <v>5184</v>
      </c>
      <c r="C6247" s="218" t="s">
        <v>6053</v>
      </c>
      <c r="D6247" s="219">
        <v>1.0</v>
      </c>
      <c r="E6247" s="218">
        <v>300.0</v>
      </c>
      <c r="G6247" s="220">
        <v>43601.0</v>
      </c>
    </row>
    <row r="6248">
      <c r="A6248" s="217">
        <v>43601.52854605324</v>
      </c>
      <c r="B6248" s="218" t="s">
        <v>5184</v>
      </c>
      <c r="C6248" s="218" t="s">
        <v>7800</v>
      </c>
      <c r="D6248" s="219">
        <v>1.0</v>
      </c>
      <c r="E6248" s="218">
        <v>200.0</v>
      </c>
      <c r="G6248" s="220">
        <v>43601.0</v>
      </c>
    </row>
    <row r="6249">
      <c r="A6249" s="217">
        <v>43601.52929126157</v>
      </c>
      <c r="B6249" s="218" t="s">
        <v>5184</v>
      </c>
      <c r="C6249" s="218" t="s">
        <v>7496</v>
      </c>
      <c r="D6249" s="219">
        <v>1.0</v>
      </c>
      <c r="E6249" s="218">
        <v>200.0</v>
      </c>
      <c r="G6249" s="220">
        <v>43601.0</v>
      </c>
    </row>
    <row r="6250">
      <c r="A6250" s="217">
        <v>43601.58352616898</v>
      </c>
      <c r="B6250" s="218" t="s">
        <v>5092</v>
      </c>
      <c r="C6250" s="218" t="s">
        <v>1093</v>
      </c>
      <c r="D6250" s="219">
        <v>2.0</v>
      </c>
      <c r="E6250" s="218">
        <v>1800.0</v>
      </c>
      <c r="G6250" s="220">
        <v>43598.0</v>
      </c>
    </row>
    <row r="6251">
      <c r="A6251" s="217">
        <v>43601.58484431713</v>
      </c>
      <c r="B6251" s="218" t="s">
        <v>5092</v>
      </c>
      <c r="C6251" s="218" t="s">
        <v>1094</v>
      </c>
      <c r="D6251" s="219">
        <v>1.0</v>
      </c>
      <c r="E6251" s="218">
        <v>1800.0</v>
      </c>
      <c r="G6251" s="220">
        <v>43598.0</v>
      </c>
    </row>
    <row r="6252">
      <c r="A6252" s="217">
        <v>43601.58797070602</v>
      </c>
      <c r="B6252" s="218" t="s">
        <v>5092</v>
      </c>
      <c r="C6252" s="218" t="s">
        <v>8920</v>
      </c>
      <c r="D6252" s="219">
        <v>1.0</v>
      </c>
      <c r="E6252" s="218">
        <v>1800.0</v>
      </c>
      <c r="G6252" s="220">
        <v>43598.0</v>
      </c>
    </row>
    <row r="6253">
      <c r="A6253" s="217">
        <v>43601.59546887732</v>
      </c>
      <c r="B6253" s="218" t="s">
        <v>5092</v>
      </c>
      <c r="C6253" s="218" t="s">
        <v>8922</v>
      </c>
      <c r="D6253" s="219">
        <v>2.0</v>
      </c>
      <c r="E6253" s="218">
        <v>1800.0</v>
      </c>
      <c r="G6253" s="220">
        <v>43598.0</v>
      </c>
    </row>
    <row r="6254">
      <c r="A6254" s="217">
        <v>43601.59753212963</v>
      </c>
      <c r="B6254" s="218" t="s">
        <v>5092</v>
      </c>
      <c r="C6254" s="218" t="s">
        <v>8923</v>
      </c>
      <c r="D6254" s="219">
        <v>1.0</v>
      </c>
      <c r="E6254" s="218">
        <v>3590.0</v>
      </c>
      <c r="G6254" s="220">
        <v>43598.0</v>
      </c>
    </row>
    <row r="6255">
      <c r="A6255" s="217">
        <v>43601.59853335648</v>
      </c>
      <c r="B6255" s="218" t="s">
        <v>5092</v>
      </c>
      <c r="C6255" s="218" t="s">
        <v>8924</v>
      </c>
      <c r="D6255" s="219">
        <v>1.0</v>
      </c>
      <c r="E6255" s="218">
        <v>3590.0</v>
      </c>
      <c r="G6255" s="220">
        <v>43598.0</v>
      </c>
    </row>
    <row r="6256">
      <c r="A6256" s="217">
        <v>43601.599440509264</v>
      </c>
      <c r="B6256" s="218" t="s">
        <v>5092</v>
      </c>
      <c r="C6256" s="218" t="s">
        <v>8925</v>
      </c>
      <c r="D6256" s="219">
        <v>1.0</v>
      </c>
      <c r="E6256" s="218">
        <v>3590.0</v>
      </c>
      <c r="G6256" s="220">
        <v>43598.0</v>
      </c>
    </row>
    <row r="6257">
      <c r="A6257" s="217">
        <v>43601.60076203704</v>
      </c>
      <c r="B6257" s="218" t="s">
        <v>5092</v>
      </c>
      <c r="C6257" s="218" t="s">
        <v>1101</v>
      </c>
      <c r="D6257" s="219">
        <v>1.0</v>
      </c>
      <c r="E6257" s="218">
        <v>3590.0</v>
      </c>
      <c r="G6257" s="220">
        <v>43598.0</v>
      </c>
    </row>
    <row r="6258">
      <c r="A6258" s="217">
        <v>43601.60214021991</v>
      </c>
      <c r="B6258" s="218" t="s">
        <v>5092</v>
      </c>
      <c r="C6258" s="218" t="s">
        <v>8926</v>
      </c>
      <c r="D6258" s="219">
        <v>1.0</v>
      </c>
      <c r="E6258" s="218">
        <v>3490.0</v>
      </c>
      <c r="G6258" s="220">
        <v>43598.0</v>
      </c>
    </row>
    <row r="6259">
      <c r="A6259" s="217">
        <v>43601.603262476856</v>
      </c>
      <c r="B6259" s="218" t="s">
        <v>5092</v>
      </c>
      <c r="C6259" s="218" t="s">
        <v>8927</v>
      </c>
      <c r="D6259" s="219">
        <v>1.0</v>
      </c>
      <c r="E6259" s="218">
        <v>3490.0</v>
      </c>
      <c r="G6259" s="220">
        <v>43598.0</v>
      </c>
    </row>
    <row r="6260">
      <c r="A6260" s="217">
        <v>43601.611294629634</v>
      </c>
      <c r="B6260" s="218" t="s">
        <v>5092</v>
      </c>
      <c r="C6260" s="218" t="s">
        <v>8928</v>
      </c>
      <c r="D6260" s="219">
        <v>1.0</v>
      </c>
      <c r="E6260" s="24"/>
      <c r="G6260" s="220">
        <v>43598.0</v>
      </c>
    </row>
    <row r="6261">
      <c r="A6261" s="217">
        <v>43601.61376900463</v>
      </c>
      <c r="B6261" s="218" t="s">
        <v>5092</v>
      </c>
      <c r="C6261" s="218" t="s">
        <v>8929</v>
      </c>
      <c r="D6261" s="219">
        <v>1.0</v>
      </c>
      <c r="E6261" s="218">
        <v>4225.0</v>
      </c>
      <c r="G6261" s="220">
        <v>43598.0</v>
      </c>
    </row>
    <row r="6262">
      <c r="A6262" s="217">
        <v>43601.61594505787</v>
      </c>
      <c r="B6262" s="218" t="s">
        <v>5092</v>
      </c>
      <c r="C6262" s="218" t="s">
        <v>8930</v>
      </c>
      <c r="D6262" s="219">
        <v>1.0</v>
      </c>
      <c r="E6262" s="218">
        <v>3725.0</v>
      </c>
      <c r="G6262" s="220">
        <v>43598.0</v>
      </c>
    </row>
    <row r="6263">
      <c r="A6263" s="217">
        <v>43601.61688083333</v>
      </c>
      <c r="B6263" s="218" t="s">
        <v>5092</v>
      </c>
      <c r="C6263" s="218" t="s">
        <v>8931</v>
      </c>
      <c r="D6263" s="219">
        <v>1.0</v>
      </c>
      <c r="E6263" s="218">
        <v>3725.0</v>
      </c>
      <c r="G6263" s="220">
        <v>43598.0</v>
      </c>
    </row>
    <row r="6264">
      <c r="A6264" s="217">
        <v>43601.618074004626</v>
      </c>
      <c r="B6264" s="218" t="s">
        <v>5092</v>
      </c>
      <c r="C6264" s="218" t="s">
        <v>1104</v>
      </c>
      <c r="D6264" s="219">
        <v>1.0</v>
      </c>
      <c r="E6264" s="218">
        <v>3490.0</v>
      </c>
      <c r="G6264" s="220">
        <v>43598.0</v>
      </c>
    </row>
    <row r="6265">
      <c r="A6265" s="217">
        <v>43601.618941574074</v>
      </c>
      <c r="B6265" s="218" t="s">
        <v>5092</v>
      </c>
      <c r="C6265" s="218" t="s">
        <v>8932</v>
      </c>
      <c r="D6265" s="219">
        <v>1.0</v>
      </c>
      <c r="E6265" s="218">
        <v>3490.0</v>
      </c>
      <c r="G6265" s="220">
        <v>43598.0</v>
      </c>
    </row>
    <row r="6266">
      <c r="A6266" s="217">
        <v>43601.62041261574</v>
      </c>
      <c r="B6266" s="218" t="s">
        <v>5092</v>
      </c>
      <c r="C6266" s="218" t="s">
        <v>1095</v>
      </c>
      <c r="D6266" s="219">
        <v>1.0</v>
      </c>
      <c r="E6266" s="218">
        <v>2750.0</v>
      </c>
      <c r="G6266" s="220">
        <v>43598.0</v>
      </c>
    </row>
    <row r="6267">
      <c r="A6267" s="217">
        <v>43601.62145252315</v>
      </c>
      <c r="B6267" s="218" t="s">
        <v>5092</v>
      </c>
      <c r="C6267" s="218" t="s">
        <v>8933</v>
      </c>
      <c r="D6267" s="219">
        <v>1.0</v>
      </c>
      <c r="E6267" s="218">
        <v>2750.0</v>
      </c>
      <c r="G6267" s="220">
        <v>43598.0</v>
      </c>
    </row>
    <row r="6268">
      <c r="A6268" s="217">
        <v>43601.62295211805</v>
      </c>
      <c r="B6268" s="218" t="s">
        <v>5092</v>
      </c>
      <c r="C6268" s="218" t="s">
        <v>8934</v>
      </c>
      <c r="D6268" s="219">
        <v>1.0</v>
      </c>
      <c r="E6268" s="218">
        <v>1550.0</v>
      </c>
      <c r="G6268" s="220">
        <v>43598.0</v>
      </c>
    </row>
    <row r="6269">
      <c r="A6269" s="217">
        <v>43601.62373821759</v>
      </c>
      <c r="B6269" s="218" t="s">
        <v>5092</v>
      </c>
      <c r="C6269" s="218" t="s">
        <v>1097</v>
      </c>
      <c r="D6269" s="219">
        <v>1.0</v>
      </c>
      <c r="E6269" s="218">
        <v>1550.0</v>
      </c>
      <c r="G6269" s="220">
        <v>43598.0</v>
      </c>
    </row>
    <row r="6270">
      <c r="A6270" s="217">
        <v>43601.62496565972</v>
      </c>
      <c r="B6270" s="218" t="s">
        <v>5092</v>
      </c>
      <c r="C6270" s="218" t="s">
        <v>8935</v>
      </c>
      <c r="D6270" s="219">
        <v>1.0</v>
      </c>
      <c r="E6270" s="218">
        <v>1490.0</v>
      </c>
      <c r="G6270" s="220">
        <v>43598.0</v>
      </c>
    </row>
    <row r="6271">
      <c r="A6271" s="217">
        <v>43601.62598993056</v>
      </c>
      <c r="B6271" s="218" t="s">
        <v>5092</v>
      </c>
      <c r="C6271" s="218" t="s">
        <v>8936</v>
      </c>
      <c r="D6271" s="219">
        <v>1.0</v>
      </c>
      <c r="E6271" s="218">
        <v>1490.0</v>
      </c>
      <c r="G6271" s="220">
        <v>43598.0</v>
      </c>
    </row>
    <row r="6272">
      <c r="A6272" s="217">
        <v>43601.62784703704</v>
      </c>
      <c r="B6272" s="218" t="s">
        <v>5092</v>
      </c>
      <c r="C6272" s="218" t="s">
        <v>8937</v>
      </c>
      <c r="D6272" s="219">
        <v>1.0</v>
      </c>
      <c r="E6272" s="218">
        <v>1975.0</v>
      </c>
      <c r="G6272" s="220">
        <v>43598.0</v>
      </c>
    </row>
    <row r="6273">
      <c r="A6273" s="217">
        <v>43601.62896886574</v>
      </c>
      <c r="B6273" s="218" t="s">
        <v>5092</v>
      </c>
      <c r="C6273" s="218" t="s">
        <v>8938</v>
      </c>
      <c r="D6273" s="219">
        <v>1.0</v>
      </c>
      <c r="E6273" s="218">
        <v>1990.0</v>
      </c>
      <c r="G6273" s="220">
        <v>43598.0</v>
      </c>
    </row>
    <row r="6274">
      <c r="A6274" s="217">
        <v>43601.63004512731</v>
      </c>
      <c r="B6274" s="218" t="s">
        <v>5092</v>
      </c>
      <c r="C6274" s="218" t="s">
        <v>8939</v>
      </c>
      <c r="D6274" s="219">
        <v>1.0</v>
      </c>
      <c r="E6274" s="218">
        <v>1125.0</v>
      </c>
      <c r="G6274" s="220">
        <v>43598.0</v>
      </c>
    </row>
    <row r="6275">
      <c r="A6275" s="217">
        <v>43601.631067002316</v>
      </c>
      <c r="B6275" s="218" t="s">
        <v>5092</v>
      </c>
      <c r="C6275" s="218" t="s">
        <v>8940</v>
      </c>
      <c r="D6275" s="219">
        <v>1.0</v>
      </c>
      <c r="E6275" s="218">
        <v>1125.0</v>
      </c>
      <c r="G6275" s="220">
        <v>43598.0</v>
      </c>
    </row>
    <row r="6276">
      <c r="A6276" s="217">
        <v>43601.63183236111</v>
      </c>
      <c r="B6276" s="218" t="s">
        <v>5092</v>
      </c>
      <c r="C6276" s="218" t="s">
        <v>8941</v>
      </c>
      <c r="D6276" s="219">
        <v>1.0</v>
      </c>
      <c r="E6276" s="218">
        <v>1125.0</v>
      </c>
      <c r="G6276" s="220">
        <v>43598.0</v>
      </c>
    </row>
    <row r="6277">
      <c r="A6277" s="217">
        <v>43601.63399381944</v>
      </c>
      <c r="B6277" s="218" t="s">
        <v>5092</v>
      </c>
      <c r="C6277" s="218" t="s">
        <v>8942</v>
      </c>
      <c r="D6277" s="219">
        <v>1.0</v>
      </c>
      <c r="E6277" s="218">
        <v>1175.0</v>
      </c>
      <c r="G6277" s="220">
        <v>43598.0</v>
      </c>
    </row>
    <row r="6278">
      <c r="A6278" s="217">
        <v>43601.64157230324</v>
      </c>
      <c r="B6278" s="218" t="s">
        <v>5092</v>
      </c>
      <c r="C6278" s="218" t="s">
        <v>8943</v>
      </c>
      <c r="D6278" s="219">
        <v>1.0</v>
      </c>
      <c r="E6278" s="218">
        <v>1175.0</v>
      </c>
      <c r="G6278" s="220">
        <v>43598.0</v>
      </c>
    </row>
    <row r="6279">
      <c r="A6279" s="217">
        <v>43601.64261952546</v>
      </c>
      <c r="B6279" s="218" t="s">
        <v>5092</v>
      </c>
      <c r="C6279" s="218" t="s">
        <v>8944</v>
      </c>
      <c r="D6279" s="219">
        <v>1.0</v>
      </c>
      <c r="E6279" s="218">
        <v>1175.0</v>
      </c>
      <c r="G6279" s="220">
        <v>43598.0</v>
      </c>
    </row>
    <row r="6280">
      <c r="A6280" s="217">
        <v>43601.648412581024</v>
      </c>
      <c r="B6280" s="218" t="s">
        <v>5092</v>
      </c>
      <c r="C6280" s="218" t="s">
        <v>8945</v>
      </c>
      <c r="D6280" s="219">
        <v>1.0</v>
      </c>
      <c r="E6280" s="218">
        <v>1175.0</v>
      </c>
      <c r="G6280" s="220">
        <v>43598.0</v>
      </c>
    </row>
    <row r="6281">
      <c r="A6281" s="217">
        <v>43601.65014961806</v>
      </c>
      <c r="B6281" s="218" t="s">
        <v>5092</v>
      </c>
      <c r="C6281" s="218" t="s">
        <v>8946</v>
      </c>
      <c r="D6281" s="219">
        <v>1.0</v>
      </c>
      <c r="E6281" s="218">
        <v>1175.0</v>
      </c>
      <c r="G6281" s="220">
        <v>43598.0</v>
      </c>
    </row>
    <row r="6282">
      <c r="A6282" s="217">
        <v>43601.651004513886</v>
      </c>
      <c r="B6282" s="218" t="s">
        <v>5092</v>
      </c>
      <c r="C6282" s="218" t="s">
        <v>8947</v>
      </c>
      <c r="D6282" s="219">
        <v>1.0</v>
      </c>
      <c r="E6282" s="218">
        <v>1175.0</v>
      </c>
      <c r="G6282" s="220">
        <v>43598.0</v>
      </c>
    </row>
    <row r="6283">
      <c r="A6283" s="217">
        <v>43601.65235137731</v>
      </c>
      <c r="B6283" s="218" t="s">
        <v>5092</v>
      </c>
      <c r="C6283" s="218" t="s">
        <v>8948</v>
      </c>
      <c r="D6283" s="219">
        <v>1.0</v>
      </c>
      <c r="E6283" s="218">
        <v>2225.0</v>
      </c>
      <c r="G6283" s="220">
        <v>43598.0</v>
      </c>
    </row>
    <row r="6284">
      <c r="A6284" s="217">
        <v>43601.65369057871</v>
      </c>
      <c r="B6284" s="218" t="s">
        <v>5092</v>
      </c>
      <c r="C6284" s="218" t="s">
        <v>8949</v>
      </c>
      <c r="D6284" s="219">
        <v>1.0</v>
      </c>
      <c r="E6284" s="218">
        <v>2225.0</v>
      </c>
      <c r="G6284" s="220">
        <v>43598.0</v>
      </c>
    </row>
    <row r="6285">
      <c r="A6285" s="217">
        <v>43601.65567620371</v>
      </c>
      <c r="B6285" s="218" t="s">
        <v>5092</v>
      </c>
      <c r="C6285" s="218" t="s">
        <v>8950</v>
      </c>
      <c r="D6285" s="219">
        <v>1.0</v>
      </c>
      <c r="E6285" s="218">
        <v>2225.0</v>
      </c>
      <c r="G6285" s="220">
        <v>43598.0</v>
      </c>
    </row>
    <row r="6286">
      <c r="A6286" s="217">
        <v>43601.656857106485</v>
      </c>
      <c r="B6286" s="218" t="s">
        <v>5092</v>
      </c>
      <c r="C6286" s="218" t="s">
        <v>8951</v>
      </c>
      <c r="D6286" s="219">
        <v>1.0</v>
      </c>
      <c r="E6286" s="218">
        <v>2225.0</v>
      </c>
      <c r="G6286" s="220">
        <v>43598.0</v>
      </c>
    </row>
    <row r="6287">
      <c r="A6287" s="217">
        <v>43601.657686562496</v>
      </c>
      <c r="B6287" s="218" t="s">
        <v>5092</v>
      </c>
      <c r="C6287" s="218" t="s">
        <v>1109</v>
      </c>
      <c r="D6287" s="219">
        <v>1.0</v>
      </c>
      <c r="E6287" s="218">
        <v>2225.0</v>
      </c>
      <c r="G6287" s="220">
        <v>43598.0</v>
      </c>
    </row>
    <row r="6288">
      <c r="A6288" s="217">
        <v>43601.67603528935</v>
      </c>
      <c r="B6288" s="218" t="s">
        <v>5092</v>
      </c>
      <c r="C6288" s="218" t="s">
        <v>8952</v>
      </c>
      <c r="D6288" s="219">
        <v>1.0</v>
      </c>
      <c r="E6288" s="218">
        <v>1550.0</v>
      </c>
      <c r="G6288" s="220">
        <v>43598.0</v>
      </c>
    </row>
    <row r="6289">
      <c r="A6289" s="217">
        <v>43601.676870219904</v>
      </c>
      <c r="B6289" s="218" t="s">
        <v>5092</v>
      </c>
      <c r="C6289" s="218" t="s">
        <v>8953</v>
      </c>
      <c r="D6289" s="219">
        <v>1.0</v>
      </c>
      <c r="E6289" s="218">
        <v>1550.0</v>
      </c>
      <c r="G6289" s="220">
        <v>43598.0</v>
      </c>
    </row>
    <row r="6290">
      <c r="A6290" s="217">
        <v>43601.677684270835</v>
      </c>
      <c r="B6290" s="218" t="s">
        <v>5092</v>
      </c>
      <c r="C6290" s="218" t="s">
        <v>1110</v>
      </c>
      <c r="D6290" s="219">
        <v>1.0</v>
      </c>
      <c r="E6290" s="218">
        <v>1550.0</v>
      </c>
      <c r="G6290" s="220">
        <v>43598.0</v>
      </c>
    </row>
    <row r="6291">
      <c r="A6291" s="217">
        <v>43601.67848351852</v>
      </c>
      <c r="B6291" s="218" t="s">
        <v>5092</v>
      </c>
      <c r="C6291" s="218" t="s">
        <v>8954</v>
      </c>
      <c r="D6291" s="219">
        <v>1.0</v>
      </c>
      <c r="E6291" s="218">
        <v>1550.0</v>
      </c>
      <c r="G6291" s="220">
        <v>43598.0</v>
      </c>
    </row>
    <row r="6292">
      <c r="A6292" s="217">
        <v>43601.68082760417</v>
      </c>
      <c r="B6292" s="218" t="s">
        <v>5092</v>
      </c>
      <c r="C6292" s="218" t="s">
        <v>8955</v>
      </c>
      <c r="D6292" s="219">
        <v>1.0</v>
      </c>
      <c r="E6292" s="218">
        <v>1625.0</v>
      </c>
      <c r="G6292" s="220">
        <v>43598.0</v>
      </c>
    </row>
    <row r="6293">
      <c r="A6293" s="217">
        <v>43601.68218618055</v>
      </c>
      <c r="B6293" s="218" t="s">
        <v>5092</v>
      </c>
      <c r="C6293" s="218" t="s">
        <v>8956</v>
      </c>
      <c r="D6293" s="219">
        <v>1.0</v>
      </c>
      <c r="E6293" s="218">
        <v>1725.0</v>
      </c>
      <c r="G6293" s="220">
        <v>43598.0</v>
      </c>
    </row>
    <row r="6294">
      <c r="A6294" s="217">
        <v>43601.68302964121</v>
      </c>
      <c r="B6294" s="218" t="s">
        <v>5092</v>
      </c>
      <c r="C6294" s="218" t="s">
        <v>1115</v>
      </c>
      <c r="D6294" s="219">
        <v>1.0</v>
      </c>
      <c r="E6294" s="218">
        <v>1725.0</v>
      </c>
      <c r="G6294" s="220">
        <v>43598.0</v>
      </c>
    </row>
    <row r="6295">
      <c r="A6295" s="217">
        <v>43601.68487822916</v>
      </c>
      <c r="B6295" s="218" t="s">
        <v>5092</v>
      </c>
      <c r="C6295" s="218" t="s">
        <v>8957</v>
      </c>
      <c r="D6295" s="219">
        <v>2.0</v>
      </c>
      <c r="E6295" s="218">
        <v>1450.0</v>
      </c>
      <c r="G6295" s="220">
        <v>43598.0</v>
      </c>
    </row>
    <row r="6296">
      <c r="A6296" s="217">
        <v>43601.686396944446</v>
      </c>
      <c r="B6296" s="218" t="s">
        <v>5092</v>
      </c>
      <c r="C6296" s="218" t="s">
        <v>8958</v>
      </c>
      <c r="D6296" s="219">
        <v>2.0</v>
      </c>
      <c r="E6296" s="218">
        <v>1450.0</v>
      </c>
      <c r="G6296" s="220">
        <v>43598.0</v>
      </c>
    </row>
    <row r="6297">
      <c r="A6297" s="217">
        <v>43601.687507939816</v>
      </c>
      <c r="B6297" s="218" t="s">
        <v>5092</v>
      </c>
      <c r="C6297" s="218" t="s">
        <v>1114</v>
      </c>
      <c r="D6297" s="219">
        <v>1.0</v>
      </c>
      <c r="E6297" s="218">
        <v>1450.0</v>
      </c>
      <c r="G6297" s="220">
        <v>43598.0</v>
      </c>
    </row>
    <row r="6298">
      <c r="A6298" s="217">
        <v>43601.688268136575</v>
      </c>
      <c r="B6298" s="218" t="s">
        <v>5092</v>
      </c>
      <c r="C6298" s="218" t="s">
        <v>1114</v>
      </c>
      <c r="D6298" s="219">
        <v>1.0</v>
      </c>
      <c r="E6298" s="218">
        <v>1450.0</v>
      </c>
      <c r="G6298" s="220">
        <v>43598.0</v>
      </c>
    </row>
    <row r="6299">
      <c r="A6299" s="217">
        <v>43601.68945184028</v>
      </c>
      <c r="B6299" s="218" t="s">
        <v>5092</v>
      </c>
      <c r="C6299" s="218" t="s">
        <v>1112</v>
      </c>
      <c r="D6299" s="219">
        <v>2.0</v>
      </c>
      <c r="E6299" s="218">
        <v>1450.0</v>
      </c>
      <c r="G6299" s="220">
        <v>43598.0</v>
      </c>
    </row>
    <row r="6300">
      <c r="A6300" s="217">
        <v>43601.690364803246</v>
      </c>
      <c r="B6300" s="218" t="s">
        <v>5092</v>
      </c>
      <c r="C6300" s="218" t="s">
        <v>8959</v>
      </c>
      <c r="D6300" s="219">
        <v>2.0</v>
      </c>
      <c r="E6300" s="218">
        <v>1450.0</v>
      </c>
      <c r="G6300" s="220">
        <v>43598.0</v>
      </c>
    </row>
    <row r="6301">
      <c r="A6301" s="217">
        <v>43601.691936840274</v>
      </c>
      <c r="B6301" s="218" t="s">
        <v>5092</v>
      </c>
      <c r="C6301" s="218" t="s">
        <v>8960</v>
      </c>
      <c r="D6301" s="219">
        <v>2.0</v>
      </c>
      <c r="E6301" s="218">
        <v>1450.0</v>
      </c>
      <c r="G6301" s="220">
        <v>43598.0</v>
      </c>
    </row>
    <row r="6302">
      <c r="A6302" s="217">
        <v>43601.692950983794</v>
      </c>
      <c r="B6302" s="218" t="s">
        <v>5092</v>
      </c>
      <c r="C6302" s="218" t="s">
        <v>8961</v>
      </c>
      <c r="D6302" s="219">
        <v>3.0</v>
      </c>
      <c r="E6302" s="218">
        <v>1450.0</v>
      </c>
      <c r="G6302" s="220">
        <v>43598.0</v>
      </c>
    </row>
    <row r="6303">
      <c r="A6303" s="217">
        <v>43601.69503564815</v>
      </c>
      <c r="B6303" s="218" t="s">
        <v>5092</v>
      </c>
      <c r="C6303" s="218" t="s">
        <v>8962</v>
      </c>
      <c r="D6303" s="219">
        <v>1.0</v>
      </c>
      <c r="E6303" s="218">
        <v>1990.0</v>
      </c>
      <c r="G6303" s="220">
        <v>43598.0</v>
      </c>
    </row>
    <row r="6304">
      <c r="A6304" s="217">
        <v>43601.69577049768</v>
      </c>
      <c r="B6304" s="218" t="s">
        <v>5092</v>
      </c>
      <c r="C6304" s="218" t="s">
        <v>8963</v>
      </c>
      <c r="D6304" s="219">
        <v>1.0</v>
      </c>
      <c r="E6304" s="218">
        <v>1990.0</v>
      </c>
      <c r="G6304" s="220">
        <v>43598.0</v>
      </c>
    </row>
    <row r="6305">
      <c r="A6305" s="217">
        <v>43601.71205377315</v>
      </c>
      <c r="B6305" s="218" t="s">
        <v>5092</v>
      </c>
      <c r="C6305" s="218" t="s">
        <v>1106</v>
      </c>
      <c r="D6305" s="219">
        <v>1.0</v>
      </c>
      <c r="E6305" s="218">
        <v>3490.0</v>
      </c>
      <c r="G6305" s="220">
        <v>43598.0</v>
      </c>
    </row>
    <row r="6306">
      <c r="A6306" s="217">
        <v>43602.43078385417</v>
      </c>
      <c r="B6306" s="218" t="s">
        <v>5092</v>
      </c>
      <c r="C6306" s="218" t="s">
        <v>977</v>
      </c>
      <c r="D6306" s="219">
        <v>1.0</v>
      </c>
      <c r="E6306" s="218">
        <v>4250.0</v>
      </c>
      <c r="G6306" s="220">
        <v>43598.0</v>
      </c>
    </row>
    <row r="6307">
      <c r="A6307" s="217">
        <v>43602.431849120374</v>
      </c>
      <c r="B6307" s="218" t="s">
        <v>5092</v>
      </c>
      <c r="C6307" s="218" t="s">
        <v>973</v>
      </c>
      <c r="D6307" s="219">
        <v>1.0</v>
      </c>
      <c r="E6307" s="218">
        <v>3950.0</v>
      </c>
      <c r="G6307" s="220">
        <v>43598.0</v>
      </c>
    </row>
    <row r="6308">
      <c r="A6308" s="253">
        <v>43602.0</v>
      </c>
      <c r="B6308" s="218" t="s">
        <v>5092</v>
      </c>
      <c r="C6308" s="250" t="s">
        <v>8964</v>
      </c>
      <c r="D6308" s="221"/>
      <c r="E6308" s="254">
        <v>4490.0</v>
      </c>
      <c r="F6308" s="255"/>
      <c r="G6308" s="256"/>
      <c r="DN6308" s="264"/>
    </row>
    <row r="6309">
      <c r="A6309" s="217">
        <v>43602.43407744213</v>
      </c>
      <c r="B6309" s="218" t="s">
        <v>5092</v>
      </c>
      <c r="C6309" s="218" t="s">
        <v>974</v>
      </c>
      <c r="D6309" s="219">
        <v>1.0</v>
      </c>
      <c r="E6309" s="254">
        <v>3990.0</v>
      </c>
      <c r="G6309" s="220">
        <v>43598.0</v>
      </c>
    </row>
    <row r="6310">
      <c r="A6310" s="217">
        <v>43602.434671967596</v>
      </c>
      <c r="B6310" s="218" t="s">
        <v>5092</v>
      </c>
      <c r="C6310" s="218" t="s">
        <v>8965</v>
      </c>
      <c r="D6310" s="219">
        <v>1.0</v>
      </c>
      <c r="E6310" s="254">
        <v>3990.0</v>
      </c>
      <c r="G6310" s="220">
        <v>43598.0</v>
      </c>
    </row>
    <row r="6311">
      <c r="A6311" s="217">
        <v>43602.43573802084</v>
      </c>
      <c r="B6311" s="218" t="s">
        <v>5092</v>
      </c>
      <c r="C6311" s="218" t="s">
        <v>8966</v>
      </c>
      <c r="D6311" s="219">
        <v>1.0</v>
      </c>
      <c r="E6311" s="254">
        <v>3990.0</v>
      </c>
      <c r="G6311" s="220">
        <v>43598.0</v>
      </c>
    </row>
    <row r="6312">
      <c r="A6312" s="217">
        <v>43602.43665400463</v>
      </c>
      <c r="B6312" s="218" t="s">
        <v>5092</v>
      </c>
      <c r="C6312" s="218" t="s">
        <v>8967</v>
      </c>
      <c r="D6312" s="219">
        <v>1.0</v>
      </c>
      <c r="E6312" s="254">
        <v>3990.0</v>
      </c>
      <c r="G6312" s="220">
        <v>43598.0</v>
      </c>
    </row>
    <row r="6313">
      <c r="A6313" s="217">
        <v>43602.437563761574</v>
      </c>
      <c r="B6313" s="218" t="s">
        <v>5092</v>
      </c>
      <c r="C6313" s="218" t="s">
        <v>8968</v>
      </c>
      <c r="D6313" s="219">
        <v>1.0</v>
      </c>
      <c r="E6313" s="218">
        <v>3490.0</v>
      </c>
      <c r="G6313" s="220">
        <v>43598.0</v>
      </c>
    </row>
    <row r="6314">
      <c r="A6314" s="217">
        <v>43602.43824533565</v>
      </c>
      <c r="B6314" s="218" t="s">
        <v>5092</v>
      </c>
      <c r="C6314" s="218" t="s">
        <v>975</v>
      </c>
      <c r="D6314" s="219">
        <v>1.0</v>
      </c>
      <c r="E6314" s="218">
        <v>3490.0</v>
      </c>
      <c r="G6314" s="220">
        <v>43598.0</v>
      </c>
    </row>
    <row r="6315">
      <c r="A6315" s="217">
        <v>43602.4400187963</v>
      </c>
      <c r="B6315" s="218" t="s">
        <v>5092</v>
      </c>
      <c r="C6315" s="218" t="s">
        <v>872</v>
      </c>
      <c r="D6315" s="219">
        <v>1.0</v>
      </c>
      <c r="E6315" s="218">
        <v>3990.0</v>
      </c>
      <c r="G6315" s="220">
        <v>43598.0</v>
      </c>
    </row>
    <row r="6316">
      <c r="A6316" s="217">
        <v>43602.472712083334</v>
      </c>
      <c r="B6316" s="218" t="s">
        <v>5092</v>
      </c>
      <c r="C6316" s="218" t="s">
        <v>8969</v>
      </c>
      <c r="D6316" s="219">
        <v>1.0</v>
      </c>
      <c r="E6316" s="218">
        <v>1990.0</v>
      </c>
      <c r="G6316" s="220">
        <v>43598.0</v>
      </c>
    </row>
    <row r="6317">
      <c r="A6317" s="217">
        <v>43602.473438182875</v>
      </c>
      <c r="B6317" s="218" t="s">
        <v>5092</v>
      </c>
      <c r="C6317" s="218" t="s">
        <v>8970</v>
      </c>
      <c r="D6317" s="219">
        <v>1.0</v>
      </c>
      <c r="E6317" s="218">
        <v>1990.0</v>
      </c>
      <c r="G6317" s="220">
        <v>43598.0</v>
      </c>
    </row>
    <row r="6318">
      <c r="A6318" s="217">
        <v>43602.4745359838</v>
      </c>
      <c r="B6318" s="218" t="s">
        <v>5092</v>
      </c>
      <c r="C6318" s="218" t="s">
        <v>976</v>
      </c>
      <c r="D6318" s="219">
        <v>1.0</v>
      </c>
      <c r="E6318" s="218">
        <v>3490.0</v>
      </c>
      <c r="G6318" s="220">
        <v>43598.0</v>
      </c>
    </row>
    <row r="6319">
      <c r="A6319" s="217">
        <v>43602.475322071754</v>
      </c>
      <c r="B6319" s="218" t="s">
        <v>5092</v>
      </c>
      <c r="C6319" s="218" t="s">
        <v>8971</v>
      </c>
      <c r="D6319" s="219">
        <v>1.0</v>
      </c>
      <c r="E6319" s="218">
        <v>4225.0</v>
      </c>
      <c r="G6319" s="220">
        <v>43598.0</v>
      </c>
    </row>
    <row r="6320">
      <c r="A6320" s="217">
        <v>43602.4759972801</v>
      </c>
      <c r="B6320" s="218" t="s">
        <v>5092</v>
      </c>
      <c r="C6320" s="218" t="s">
        <v>8972</v>
      </c>
      <c r="D6320" s="219">
        <v>1.0</v>
      </c>
      <c r="E6320" s="218">
        <v>4225.0</v>
      </c>
      <c r="G6320" s="220">
        <v>43598.0</v>
      </c>
    </row>
    <row r="6321">
      <c r="A6321" s="217">
        <v>43602.476920381945</v>
      </c>
      <c r="B6321" s="218" t="s">
        <v>5092</v>
      </c>
      <c r="C6321" s="218" t="s">
        <v>8973</v>
      </c>
      <c r="D6321" s="219">
        <v>1.0</v>
      </c>
      <c r="E6321" s="218">
        <v>4225.0</v>
      </c>
      <c r="G6321" s="220">
        <v>43598.0</v>
      </c>
    </row>
    <row r="6322">
      <c r="A6322" s="217">
        <v>43602.478023981486</v>
      </c>
      <c r="B6322" s="218" t="s">
        <v>5092</v>
      </c>
      <c r="C6322" s="218" t="s">
        <v>8974</v>
      </c>
      <c r="D6322" s="219">
        <v>1.0</v>
      </c>
      <c r="E6322" s="218">
        <v>2735.0</v>
      </c>
      <c r="G6322" s="220">
        <v>43598.0</v>
      </c>
    </row>
    <row r="6323">
      <c r="A6323" s="217">
        <v>43602.47877123843</v>
      </c>
      <c r="B6323" s="218" t="s">
        <v>5092</v>
      </c>
      <c r="C6323" s="218" t="s">
        <v>8975</v>
      </c>
      <c r="D6323" s="219">
        <v>1.0</v>
      </c>
      <c r="E6323" s="218">
        <v>2735.0</v>
      </c>
      <c r="G6323" s="220">
        <v>43598.0</v>
      </c>
    </row>
    <row r="6324">
      <c r="A6324" s="217">
        <v>43602.47964341435</v>
      </c>
      <c r="B6324" s="218" t="s">
        <v>5092</v>
      </c>
      <c r="C6324" s="218" t="s">
        <v>8976</v>
      </c>
      <c r="D6324" s="219">
        <v>1.0</v>
      </c>
      <c r="E6324" s="218">
        <v>2735.0</v>
      </c>
      <c r="G6324" s="220">
        <v>43598.0</v>
      </c>
    </row>
    <row r="6325">
      <c r="A6325" s="217">
        <v>43602.48124119213</v>
      </c>
      <c r="B6325" s="218" t="s">
        <v>5092</v>
      </c>
      <c r="C6325" s="218" t="s">
        <v>8977</v>
      </c>
      <c r="D6325" s="219">
        <v>1.0</v>
      </c>
      <c r="E6325" s="218">
        <v>3725.0</v>
      </c>
      <c r="G6325" s="220">
        <v>43598.0</v>
      </c>
    </row>
    <row r="6326">
      <c r="A6326" s="217">
        <v>43602.48193444444</v>
      </c>
      <c r="B6326" s="218" t="s">
        <v>5092</v>
      </c>
      <c r="C6326" s="218" t="s">
        <v>8978</v>
      </c>
      <c r="D6326" s="219">
        <v>1.0</v>
      </c>
      <c r="E6326" s="218">
        <v>4225.0</v>
      </c>
      <c r="G6326" s="220">
        <v>43598.0</v>
      </c>
    </row>
    <row r="6327">
      <c r="A6327" s="217">
        <v>43602.48301269676</v>
      </c>
      <c r="B6327" s="218" t="s">
        <v>5092</v>
      </c>
      <c r="C6327" s="218" t="s">
        <v>8979</v>
      </c>
      <c r="D6327" s="219">
        <v>1.0</v>
      </c>
      <c r="E6327" s="218">
        <v>3725.0</v>
      </c>
      <c r="G6327" s="220">
        <v>43598.0</v>
      </c>
    </row>
    <row r="6328">
      <c r="A6328" s="217">
        <v>43602.48389861111</v>
      </c>
      <c r="B6328" s="218" t="s">
        <v>5092</v>
      </c>
      <c r="C6328" s="218" t="s">
        <v>8980</v>
      </c>
      <c r="D6328" s="219">
        <v>1.0</v>
      </c>
      <c r="E6328" s="218">
        <v>3725.0</v>
      </c>
      <c r="G6328" s="220">
        <v>43598.0</v>
      </c>
    </row>
    <row r="6329">
      <c r="A6329" s="217">
        <v>43602.48504759259</v>
      </c>
      <c r="B6329" s="218" t="s">
        <v>5092</v>
      </c>
      <c r="C6329" s="218" t="s">
        <v>982</v>
      </c>
      <c r="D6329" s="219">
        <v>1.0</v>
      </c>
      <c r="E6329" s="218">
        <v>5225.0</v>
      </c>
      <c r="G6329" s="220">
        <v>43598.0</v>
      </c>
    </row>
    <row r="6330">
      <c r="A6330" s="217">
        <v>43602.486136921296</v>
      </c>
      <c r="B6330" s="218" t="s">
        <v>5092</v>
      </c>
      <c r="C6330" s="218" t="s">
        <v>979</v>
      </c>
      <c r="D6330" s="219">
        <v>1.0</v>
      </c>
      <c r="E6330" s="218">
        <v>4725.0</v>
      </c>
      <c r="G6330" s="220">
        <v>43598.0</v>
      </c>
    </row>
    <row r="6331">
      <c r="A6331" s="217">
        <v>43602.487068877315</v>
      </c>
      <c r="B6331" s="218" t="s">
        <v>5092</v>
      </c>
      <c r="C6331" s="218" t="s">
        <v>8981</v>
      </c>
      <c r="D6331" s="219">
        <v>1.0</v>
      </c>
      <c r="E6331" s="218">
        <v>4725.0</v>
      </c>
      <c r="G6331" s="220">
        <v>43598.0</v>
      </c>
    </row>
    <row r="6332">
      <c r="A6332" s="217">
        <v>43602.48820479166</v>
      </c>
      <c r="B6332" s="218" t="s">
        <v>5092</v>
      </c>
      <c r="C6332" s="218" t="s">
        <v>8982</v>
      </c>
      <c r="D6332" s="219">
        <v>1.0</v>
      </c>
      <c r="E6332" s="218">
        <v>4725.0</v>
      </c>
      <c r="G6332" s="220">
        <v>43598.0</v>
      </c>
    </row>
    <row r="6333">
      <c r="A6333" s="217">
        <v>43602.49809871528</v>
      </c>
      <c r="B6333" s="218" t="s">
        <v>5092</v>
      </c>
      <c r="C6333" s="218" t="s">
        <v>8983</v>
      </c>
      <c r="D6333" s="219">
        <v>1.0</v>
      </c>
      <c r="E6333" s="218">
        <v>2750.0</v>
      </c>
      <c r="G6333" s="220">
        <v>43598.0</v>
      </c>
    </row>
    <row r="6334">
      <c r="A6334" s="217">
        <v>43602.517484745375</v>
      </c>
      <c r="B6334" s="218" t="s">
        <v>5092</v>
      </c>
      <c r="C6334" s="218" t="s">
        <v>8984</v>
      </c>
      <c r="D6334" s="219">
        <v>2.0</v>
      </c>
      <c r="E6334" s="218">
        <v>2750.0</v>
      </c>
      <c r="G6334" s="220">
        <v>43598.0</v>
      </c>
    </row>
    <row r="6335">
      <c r="A6335" s="217">
        <v>43602.521046064816</v>
      </c>
      <c r="B6335" s="218" t="s">
        <v>5092</v>
      </c>
      <c r="C6335" s="218" t="s">
        <v>8985</v>
      </c>
      <c r="D6335" s="219">
        <v>1.0</v>
      </c>
      <c r="E6335" s="218">
        <v>1425.0</v>
      </c>
      <c r="G6335" s="220">
        <v>43598.0</v>
      </c>
    </row>
    <row r="6336">
      <c r="A6336" s="217">
        <v>43602.52197163194</v>
      </c>
      <c r="B6336" s="218" t="s">
        <v>5092</v>
      </c>
      <c r="C6336" s="218" t="s">
        <v>8986</v>
      </c>
      <c r="D6336" s="219">
        <v>1.0</v>
      </c>
      <c r="E6336" s="218">
        <v>1425.0</v>
      </c>
      <c r="G6336" s="220">
        <v>43598.0</v>
      </c>
    </row>
    <row r="6337">
      <c r="A6337" s="217">
        <v>43602.523057858794</v>
      </c>
      <c r="B6337" s="218" t="s">
        <v>5092</v>
      </c>
      <c r="C6337" s="218" t="s">
        <v>8987</v>
      </c>
      <c r="D6337" s="219">
        <v>1.0</v>
      </c>
      <c r="E6337" s="218">
        <v>1990.0</v>
      </c>
      <c r="G6337" s="220">
        <v>43598.0</v>
      </c>
    </row>
    <row r="6338">
      <c r="A6338" s="217">
        <v>43602.524073981476</v>
      </c>
      <c r="B6338" s="218" t="s">
        <v>5092</v>
      </c>
      <c r="C6338" s="218" t="s">
        <v>988</v>
      </c>
      <c r="D6338" s="219">
        <v>1.0</v>
      </c>
      <c r="E6338" s="218">
        <v>1990.0</v>
      </c>
      <c r="G6338" s="220">
        <v>43598.0</v>
      </c>
    </row>
    <row r="6339">
      <c r="A6339" s="217">
        <v>43602.5253956713</v>
      </c>
      <c r="B6339" s="218" t="s">
        <v>5092</v>
      </c>
      <c r="C6339" s="218" t="s">
        <v>8988</v>
      </c>
      <c r="D6339" s="219">
        <v>1.0</v>
      </c>
      <c r="E6339" s="218">
        <v>1425.0</v>
      </c>
      <c r="G6339" s="220">
        <v>43598.0</v>
      </c>
    </row>
    <row r="6340">
      <c r="A6340" s="217">
        <v>43602.5265352662</v>
      </c>
      <c r="B6340" s="218" t="s">
        <v>5092</v>
      </c>
      <c r="C6340" s="218" t="s">
        <v>989</v>
      </c>
      <c r="D6340" s="219">
        <v>2.0</v>
      </c>
      <c r="E6340" s="218">
        <v>1425.0</v>
      </c>
      <c r="G6340" s="220">
        <v>43598.0</v>
      </c>
    </row>
    <row r="6341">
      <c r="A6341" s="217">
        <v>43602.5292346875</v>
      </c>
      <c r="B6341" s="218" t="s">
        <v>5092</v>
      </c>
      <c r="C6341" s="218" t="s">
        <v>8989</v>
      </c>
      <c r="D6341" s="219">
        <v>1.0</v>
      </c>
      <c r="E6341" s="218">
        <v>2725.0</v>
      </c>
      <c r="G6341" s="220">
        <v>43598.0</v>
      </c>
    </row>
    <row r="6342">
      <c r="A6342" s="217">
        <v>43602.53812243056</v>
      </c>
      <c r="B6342" s="218" t="s">
        <v>5184</v>
      </c>
      <c r="C6342" s="218" t="s">
        <v>284</v>
      </c>
      <c r="D6342" s="219">
        <v>1.0</v>
      </c>
      <c r="E6342" s="218">
        <v>400.0</v>
      </c>
      <c r="G6342" s="220">
        <v>43598.0</v>
      </c>
    </row>
    <row r="6343">
      <c r="A6343" s="217">
        <v>43602.5393969213</v>
      </c>
      <c r="B6343" s="218" t="s">
        <v>5184</v>
      </c>
      <c r="C6343" s="218" t="s">
        <v>7800</v>
      </c>
      <c r="D6343" s="219">
        <v>1.0</v>
      </c>
      <c r="E6343" s="218">
        <v>300.0</v>
      </c>
      <c r="G6343" s="220">
        <v>43602.0</v>
      </c>
    </row>
    <row r="6344">
      <c r="A6344" s="217">
        <v>43602.54004910879</v>
      </c>
      <c r="B6344" s="218" t="s">
        <v>5184</v>
      </c>
      <c r="C6344" s="218" t="s">
        <v>284</v>
      </c>
      <c r="D6344" s="219">
        <v>1.0</v>
      </c>
      <c r="E6344" s="218">
        <v>400.0</v>
      </c>
      <c r="G6344" s="220">
        <v>43602.0</v>
      </c>
    </row>
    <row r="6345">
      <c r="A6345" s="217">
        <v>43602.54069086806</v>
      </c>
      <c r="B6345" s="218" t="s">
        <v>5184</v>
      </c>
      <c r="C6345" s="218" t="s">
        <v>244</v>
      </c>
      <c r="D6345" s="219">
        <v>1.0</v>
      </c>
      <c r="E6345" s="218">
        <v>400.0</v>
      </c>
      <c r="G6345" s="220">
        <v>43602.0</v>
      </c>
    </row>
    <row r="6346">
      <c r="A6346" s="217">
        <v>43602.71725851852</v>
      </c>
      <c r="B6346" s="218" t="s">
        <v>5184</v>
      </c>
      <c r="C6346" s="218" t="s">
        <v>7767</v>
      </c>
      <c r="D6346" s="219">
        <v>15.0</v>
      </c>
      <c r="E6346" s="218">
        <v>100.0</v>
      </c>
      <c r="G6346" s="220">
        <v>43602.0</v>
      </c>
    </row>
    <row r="6347">
      <c r="A6347" s="217">
        <v>43602.72189340278</v>
      </c>
      <c r="B6347" s="218" t="s">
        <v>5184</v>
      </c>
      <c r="C6347" s="218" t="s">
        <v>6053</v>
      </c>
      <c r="D6347" s="219" t="s">
        <v>7547</v>
      </c>
      <c r="E6347" s="218">
        <v>150.0</v>
      </c>
      <c r="G6347" s="220">
        <v>43602.0</v>
      </c>
    </row>
    <row r="6348">
      <c r="A6348" s="217">
        <v>43604.4819575</v>
      </c>
      <c r="B6348" s="218" t="s">
        <v>5184</v>
      </c>
      <c r="C6348" s="218" t="s">
        <v>244</v>
      </c>
      <c r="D6348" s="219">
        <v>1.0</v>
      </c>
      <c r="E6348" s="218">
        <v>400.0</v>
      </c>
      <c r="G6348" s="220">
        <v>43603.0</v>
      </c>
    </row>
    <row r="6349">
      <c r="A6349" s="217">
        <v>43604.48563131945</v>
      </c>
      <c r="B6349" s="218" t="s">
        <v>5184</v>
      </c>
      <c r="C6349" s="218" t="s">
        <v>7408</v>
      </c>
      <c r="D6349" s="219">
        <v>1.0</v>
      </c>
      <c r="E6349" s="218">
        <v>400.0</v>
      </c>
      <c r="G6349" s="220">
        <v>43603.0</v>
      </c>
    </row>
    <row r="6350">
      <c r="A6350" s="217">
        <v>43604.48702569444</v>
      </c>
      <c r="B6350" s="218" t="s">
        <v>5184</v>
      </c>
      <c r="C6350" s="218" t="s">
        <v>7800</v>
      </c>
      <c r="D6350" s="219">
        <v>1.0</v>
      </c>
      <c r="E6350" s="218">
        <v>300.0</v>
      </c>
      <c r="G6350" s="220">
        <v>43603.0</v>
      </c>
    </row>
    <row r="6351">
      <c r="A6351" s="217">
        <v>43604.48762299768</v>
      </c>
      <c r="B6351" s="218" t="s">
        <v>5184</v>
      </c>
      <c r="C6351" s="218" t="s">
        <v>6053</v>
      </c>
      <c r="D6351" s="219">
        <v>1.0</v>
      </c>
      <c r="E6351" s="218">
        <v>300.0</v>
      </c>
      <c r="G6351" s="220">
        <v>43603.0</v>
      </c>
    </row>
    <row r="6352">
      <c r="A6352" s="217">
        <v>43605.42922346065</v>
      </c>
      <c r="B6352" s="218" t="s">
        <v>5184</v>
      </c>
      <c r="C6352" s="218" t="s">
        <v>6053</v>
      </c>
      <c r="D6352" s="219">
        <v>1.0</v>
      </c>
      <c r="E6352" s="218">
        <v>300.0</v>
      </c>
      <c r="G6352" s="220">
        <v>43603.0</v>
      </c>
    </row>
    <row r="6353">
      <c r="A6353" s="217">
        <v>43605.43138296297</v>
      </c>
      <c r="B6353" s="218" t="s">
        <v>5184</v>
      </c>
      <c r="C6353" s="218" t="s">
        <v>8997</v>
      </c>
      <c r="D6353" s="219">
        <v>1.0</v>
      </c>
      <c r="E6353" s="218">
        <v>600.0</v>
      </c>
      <c r="G6353" s="220">
        <v>43603.0</v>
      </c>
    </row>
    <row r="6354">
      <c r="A6354" s="217">
        <v>43605.43308666667</v>
      </c>
      <c r="B6354" s="218" t="s">
        <v>5184</v>
      </c>
      <c r="C6354" s="218" t="s">
        <v>284</v>
      </c>
      <c r="D6354" s="219">
        <v>1.0</v>
      </c>
      <c r="E6354" s="218">
        <v>400.0</v>
      </c>
      <c r="G6354" s="220">
        <v>43603.0</v>
      </c>
    </row>
    <row r="6355">
      <c r="A6355" s="217">
        <v>43605.433930625004</v>
      </c>
      <c r="B6355" s="218" t="s">
        <v>5184</v>
      </c>
      <c r="C6355" s="218" t="s">
        <v>7800</v>
      </c>
      <c r="D6355" s="219">
        <v>1.0</v>
      </c>
      <c r="E6355" s="218">
        <v>300.0</v>
      </c>
      <c r="G6355" s="220">
        <v>43603.0</v>
      </c>
    </row>
    <row r="6356">
      <c r="A6356" s="217">
        <v>43605.434458020834</v>
      </c>
      <c r="B6356" s="218" t="s">
        <v>5184</v>
      </c>
      <c r="C6356" s="218" t="s">
        <v>6053</v>
      </c>
      <c r="D6356" s="219">
        <v>1.0</v>
      </c>
      <c r="E6356" s="218">
        <v>300.0</v>
      </c>
      <c r="G6356" s="220">
        <v>43603.0</v>
      </c>
    </row>
    <row r="6357">
      <c r="A6357" s="217">
        <v>43605.43894662037</v>
      </c>
      <c r="B6357" s="218" t="s">
        <v>5184</v>
      </c>
      <c r="C6357" s="218" t="s">
        <v>7800</v>
      </c>
      <c r="D6357" s="219">
        <v>1.0</v>
      </c>
      <c r="E6357" s="218">
        <v>300.0</v>
      </c>
      <c r="G6357" s="220">
        <v>43603.0</v>
      </c>
    </row>
    <row r="6358">
      <c r="A6358" s="217">
        <v>43605.43939638889</v>
      </c>
      <c r="B6358" s="218" t="s">
        <v>5184</v>
      </c>
      <c r="C6358" s="218" t="s">
        <v>244</v>
      </c>
      <c r="D6358" s="219">
        <v>1.0</v>
      </c>
      <c r="E6358" s="218">
        <v>400.0</v>
      </c>
      <c r="G6358" s="220">
        <v>43603.0</v>
      </c>
    </row>
    <row r="6359">
      <c r="A6359" s="217">
        <v>43605.44060825232</v>
      </c>
      <c r="B6359" s="218" t="s">
        <v>5184</v>
      </c>
      <c r="C6359" s="218" t="s">
        <v>284</v>
      </c>
      <c r="D6359" s="219">
        <v>1.0</v>
      </c>
      <c r="E6359" s="218">
        <v>400.0</v>
      </c>
      <c r="G6359" s="220">
        <v>43603.0</v>
      </c>
    </row>
    <row r="6360">
      <c r="A6360" s="217">
        <v>43605.4416383912</v>
      </c>
      <c r="B6360" s="218" t="s">
        <v>5184</v>
      </c>
      <c r="C6360" s="218" t="s">
        <v>7800</v>
      </c>
      <c r="D6360" s="219">
        <v>1.0</v>
      </c>
      <c r="E6360" s="218">
        <v>300.0</v>
      </c>
      <c r="G6360" s="220">
        <v>43604.0</v>
      </c>
    </row>
    <row r="6361">
      <c r="A6361" s="217">
        <v>43605.44244324074</v>
      </c>
      <c r="B6361" s="218" t="s">
        <v>5184</v>
      </c>
      <c r="C6361" s="218" t="s">
        <v>7789</v>
      </c>
      <c r="D6361" s="219">
        <v>1.0</v>
      </c>
      <c r="E6361" s="218">
        <v>300.0</v>
      </c>
      <c r="G6361" s="220">
        <v>43604.0</v>
      </c>
    </row>
    <row r="6362">
      <c r="A6362" s="217">
        <v>43605.44436758102</v>
      </c>
      <c r="B6362" s="218" t="s">
        <v>5184</v>
      </c>
      <c r="C6362" s="218" t="s">
        <v>9002</v>
      </c>
      <c r="D6362" s="219">
        <v>1.0</v>
      </c>
      <c r="E6362" s="218">
        <v>2100.0</v>
      </c>
      <c r="G6362" s="220">
        <v>43604.0</v>
      </c>
    </row>
    <row r="6363">
      <c r="A6363" s="217">
        <v>43605.63879189815</v>
      </c>
      <c r="B6363" s="218" t="s">
        <v>5184</v>
      </c>
      <c r="C6363" s="218" t="s">
        <v>7792</v>
      </c>
      <c r="D6363" s="219">
        <v>1.0</v>
      </c>
      <c r="E6363" s="218">
        <v>400.0</v>
      </c>
      <c r="G6363" s="220">
        <v>43605.0</v>
      </c>
    </row>
    <row r="6364">
      <c r="A6364" s="217">
        <v>43605.64161348379</v>
      </c>
      <c r="B6364" s="218" t="s">
        <v>5184</v>
      </c>
      <c r="C6364" s="218" t="s">
        <v>244</v>
      </c>
      <c r="D6364" s="219">
        <v>1.0</v>
      </c>
      <c r="E6364" s="218">
        <v>400.0</v>
      </c>
      <c r="G6364" s="220">
        <v>43605.0</v>
      </c>
    </row>
    <row r="6365">
      <c r="A6365" s="217">
        <v>43605.64744947916</v>
      </c>
      <c r="B6365" s="218" t="s">
        <v>5184</v>
      </c>
      <c r="C6365" s="218" t="s">
        <v>7792</v>
      </c>
      <c r="D6365" s="219">
        <v>1.0</v>
      </c>
      <c r="E6365" s="218">
        <v>400.0</v>
      </c>
      <c r="G6365" s="220">
        <v>43605.0</v>
      </c>
    </row>
    <row r="6366">
      <c r="A6366" s="217">
        <v>43605.64801966435</v>
      </c>
      <c r="B6366" s="218" t="s">
        <v>5184</v>
      </c>
      <c r="C6366" s="218" t="s">
        <v>7806</v>
      </c>
      <c r="D6366" s="219">
        <v>1.0</v>
      </c>
      <c r="E6366" s="218">
        <v>600.0</v>
      </c>
      <c r="G6366" s="220">
        <v>43605.0</v>
      </c>
    </row>
    <row r="6367">
      <c r="A6367" s="217">
        <v>43605.65045732639</v>
      </c>
      <c r="B6367" s="218" t="s">
        <v>5184</v>
      </c>
      <c r="C6367" s="218" t="s">
        <v>5786</v>
      </c>
      <c r="D6367" s="219">
        <v>1.0</v>
      </c>
      <c r="E6367" s="218">
        <v>300.0</v>
      </c>
      <c r="G6367" s="220">
        <v>43605.0</v>
      </c>
    </row>
    <row r="6368">
      <c r="A6368" s="217">
        <v>43605.65107959491</v>
      </c>
      <c r="B6368" s="218" t="s">
        <v>5184</v>
      </c>
      <c r="C6368" s="218" t="s">
        <v>244</v>
      </c>
      <c r="D6368" s="219">
        <v>1.0</v>
      </c>
      <c r="E6368" s="218">
        <v>400.0</v>
      </c>
      <c r="G6368" s="220">
        <v>43605.0</v>
      </c>
    </row>
    <row r="6369">
      <c r="A6369" s="217">
        <v>43605.652857928246</v>
      </c>
      <c r="B6369" s="218" t="s">
        <v>5184</v>
      </c>
      <c r="C6369" s="218" t="s">
        <v>5786</v>
      </c>
      <c r="D6369" s="219">
        <v>1.0</v>
      </c>
      <c r="E6369" s="218">
        <v>300.0</v>
      </c>
      <c r="G6369" s="220">
        <v>43605.0</v>
      </c>
    </row>
    <row r="6370">
      <c r="A6370" s="217">
        <v>43605.65335030093</v>
      </c>
      <c r="B6370" s="218" t="s">
        <v>5184</v>
      </c>
      <c r="C6370" s="218" t="s">
        <v>6053</v>
      </c>
      <c r="D6370" s="219">
        <v>1.0</v>
      </c>
      <c r="E6370" s="218">
        <v>300.0</v>
      </c>
      <c r="G6370" s="220">
        <v>43605.0</v>
      </c>
    </row>
    <row r="6371">
      <c r="A6371" s="217">
        <v>43605.65517244213</v>
      </c>
      <c r="B6371" s="218" t="s">
        <v>5184</v>
      </c>
      <c r="C6371" s="218" t="s">
        <v>6053</v>
      </c>
      <c r="D6371" s="219">
        <v>1.0</v>
      </c>
      <c r="E6371" s="218">
        <v>300.0</v>
      </c>
      <c r="G6371" s="220">
        <v>43605.0</v>
      </c>
    </row>
    <row r="6372">
      <c r="A6372" s="217">
        <v>43605.65616134259</v>
      </c>
      <c r="B6372" s="218" t="s">
        <v>5184</v>
      </c>
      <c r="C6372" s="218" t="s">
        <v>5848</v>
      </c>
      <c r="D6372" s="219">
        <v>1.0</v>
      </c>
      <c r="E6372" s="218">
        <v>1000.0</v>
      </c>
      <c r="G6372" s="220">
        <v>43605.0</v>
      </c>
    </row>
    <row r="6373">
      <c r="A6373" s="217">
        <v>43605.65739864583</v>
      </c>
      <c r="B6373" s="218" t="s">
        <v>5184</v>
      </c>
      <c r="C6373" s="218" t="s">
        <v>7806</v>
      </c>
      <c r="D6373" s="219">
        <v>1.0</v>
      </c>
      <c r="E6373" s="218">
        <v>600.0</v>
      </c>
      <c r="G6373" s="220">
        <v>43605.0</v>
      </c>
    </row>
    <row r="6374">
      <c r="A6374" s="217">
        <v>43605.65920550926</v>
      </c>
      <c r="B6374" s="218" t="s">
        <v>5184</v>
      </c>
      <c r="C6374" s="218" t="s">
        <v>6053</v>
      </c>
      <c r="D6374" s="219">
        <v>1.0</v>
      </c>
      <c r="E6374" s="218">
        <v>300.0</v>
      </c>
      <c r="G6374" s="220">
        <v>43605.0</v>
      </c>
    </row>
    <row r="6375">
      <c r="A6375" s="217">
        <v>43605.660617500005</v>
      </c>
      <c r="B6375" s="218" t="s">
        <v>5184</v>
      </c>
      <c r="C6375" s="218" t="s">
        <v>7800</v>
      </c>
      <c r="D6375" s="219">
        <v>1.0</v>
      </c>
      <c r="E6375" s="218">
        <v>300.0</v>
      </c>
      <c r="G6375" s="220">
        <v>43605.0</v>
      </c>
    </row>
    <row r="6376">
      <c r="A6376" s="217">
        <v>43605.66116981482</v>
      </c>
      <c r="B6376" s="218" t="s">
        <v>5184</v>
      </c>
      <c r="C6376" s="218" t="s">
        <v>6053</v>
      </c>
      <c r="D6376" s="219">
        <v>1.0</v>
      </c>
      <c r="E6376" s="218">
        <v>300.0</v>
      </c>
      <c r="G6376" s="220">
        <v>43605.0</v>
      </c>
    </row>
    <row r="6377">
      <c r="A6377" s="217">
        <v>43606.480155613426</v>
      </c>
      <c r="B6377" s="218" t="s">
        <v>5184</v>
      </c>
      <c r="C6377" s="218" t="s">
        <v>7800</v>
      </c>
      <c r="D6377" s="219">
        <v>1.0</v>
      </c>
      <c r="E6377" s="218">
        <v>300.0</v>
      </c>
      <c r="G6377" s="220">
        <v>43605.0</v>
      </c>
    </row>
    <row r="6378">
      <c r="A6378" s="217">
        <v>43606.48078212963</v>
      </c>
      <c r="B6378" s="218" t="s">
        <v>5184</v>
      </c>
      <c r="C6378" s="218" t="s">
        <v>6053</v>
      </c>
      <c r="D6378" s="219">
        <v>1.0</v>
      </c>
      <c r="E6378" s="218">
        <v>300.0</v>
      </c>
      <c r="G6378" s="220">
        <v>43605.0</v>
      </c>
    </row>
    <row r="6379">
      <c r="A6379" s="217">
        <v>43606.48143989583</v>
      </c>
      <c r="B6379" s="218" t="s">
        <v>5184</v>
      </c>
      <c r="C6379" s="218" t="s">
        <v>7800</v>
      </c>
      <c r="D6379" s="219">
        <v>1.0</v>
      </c>
      <c r="E6379" s="218">
        <v>300.0</v>
      </c>
      <c r="G6379" s="220">
        <v>43606.0</v>
      </c>
    </row>
    <row r="6380">
      <c r="A6380" s="217">
        <v>43606.48205597222</v>
      </c>
      <c r="B6380" s="218" t="s">
        <v>5184</v>
      </c>
      <c r="C6380" s="218" t="s">
        <v>6053</v>
      </c>
      <c r="D6380" s="219">
        <v>1.0</v>
      </c>
      <c r="E6380" s="218">
        <v>300.0</v>
      </c>
      <c r="G6380" s="220">
        <v>43606.0</v>
      </c>
    </row>
    <row r="6381">
      <c r="A6381" s="217">
        <v>43606.4827190162</v>
      </c>
      <c r="B6381" s="218" t="s">
        <v>5184</v>
      </c>
      <c r="C6381" s="218" t="s">
        <v>7800</v>
      </c>
      <c r="D6381" s="219">
        <v>2.0</v>
      </c>
      <c r="E6381" s="218">
        <v>600.0</v>
      </c>
      <c r="G6381" s="220">
        <v>43606.0</v>
      </c>
    </row>
    <row r="6382">
      <c r="A6382" s="217">
        <v>43606.48324934028</v>
      </c>
      <c r="B6382" s="218" t="s">
        <v>5184</v>
      </c>
      <c r="C6382" s="218" t="s">
        <v>6053</v>
      </c>
      <c r="D6382" s="219" t="s">
        <v>7652</v>
      </c>
      <c r="E6382" s="218">
        <v>600.0</v>
      </c>
      <c r="G6382" s="220">
        <v>43606.0</v>
      </c>
    </row>
    <row r="6383">
      <c r="A6383" s="217">
        <v>43606.49512820602</v>
      </c>
      <c r="B6383" s="218" t="s">
        <v>5184</v>
      </c>
      <c r="C6383" s="218" t="s">
        <v>7792</v>
      </c>
      <c r="D6383" s="219">
        <v>1.0</v>
      </c>
      <c r="E6383" s="218">
        <v>400.0</v>
      </c>
      <c r="G6383" s="220">
        <v>43606.0</v>
      </c>
    </row>
    <row r="6384">
      <c r="A6384" s="217">
        <v>43606.49999699074</v>
      </c>
      <c r="B6384" s="218" t="s">
        <v>5184</v>
      </c>
      <c r="C6384" s="218" t="s">
        <v>7379</v>
      </c>
      <c r="D6384" s="219">
        <v>1.0</v>
      </c>
      <c r="E6384" s="218">
        <v>400.0</v>
      </c>
      <c r="G6384" s="220">
        <v>43606.0</v>
      </c>
    </row>
    <row r="6385">
      <c r="A6385" s="217">
        <v>43606.50060170139</v>
      </c>
      <c r="B6385" s="218" t="s">
        <v>5184</v>
      </c>
      <c r="C6385" s="218" t="s">
        <v>8913</v>
      </c>
      <c r="D6385" s="219">
        <v>1.0</v>
      </c>
      <c r="E6385" s="218">
        <v>300.0</v>
      </c>
      <c r="G6385" s="220">
        <v>43606.0</v>
      </c>
    </row>
    <row r="6386">
      <c r="A6386" s="217">
        <v>43606.50134567129</v>
      </c>
      <c r="B6386" s="218" t="s">
        <v>5184</v>
      </c>
      <c r="C6386" s="218" t="s">
        <v>6053</v>
      </c>
      <c r="D6386" s="219">
        <v>1.0</v>
      </c>
      <c r="E6386" s="218">
        <v>300.0</v>
      </c>
      <c r="G6386" s="220">
        <v>43606.0</v>
      </c>
    </row>
    <row r="6387">
      <c r="A6387" s="217">
        <v>43606.66953997685</v>
      </c>
      <c r="B6387" s="218" t="s">
        <v>5184</v>
      </c>
      <c r="C6387" s="218" t="s">
        <v>7496</v>
      </c>
      <c r="D6387" s="219">
        <v>1.0</v>
      </c>
      <c r="E6387" s="218">
        <v>200.0</v>
      </c>
      <c r="G6387" s="220">
        <v>43606.0</v>
      </c>
    </row>
    <row r="6388">
      <c r="A6388" s="217">
        <v>43606.676890601855</v>
      </c>
      <c r="B6388" s="218" t="s">
        <v>2322</v>
      </c>
      <c r="C6388" s="218" t="s">
        <v>8651</v>
      </c>
      <c r="D6388" s="219">
        <v>1.0</v>
      </c>
      <c r="E6388" s="218">
        <v>2590.0</v>
      </c>
      <c r="G6388" s="220">
        <v>43606.0</v>
      </c>
    </row>
    <row r="6389">
      <c r="A6389" s="217">
        <v>43606.679375011576</v>
      </c>
      <c r="B6389" s="218" t="s">
        <v>2322</v>
      </c>
      <c r="C6389" s="218" t="s">
        <v>2263</v>
      </c>
      <c r="D6389" s="219">
        <v>1.0</v>
      </c>
      <c r="E6389" s="218">
        <v>3990.0</v>
      </c>
      <c r="G6389" s="220">
        <v>43606.0</v>
      </c>
    </row>
    <row r="6390">
      <c r="A6390" s="217">
        <v>43606.736870532404</v>
      </c>
      <c r="B6390" s="218" t="s">
        <v>5184</v>
      </c>
      <c r="C6390" s="218" t="s">
        <v>7800</v>
      </c>
      <c r="D6390" s="219">
        <v>1.0</v>
      </c>
      <c r="E6390" s="218">
        <v>200.0</v>
      </c>
      <c r="G6390" s="220">
        <v>43606.0</v>
      </c>
    </row>
    <row r="6391">
      <c r="A6391" s="217">
        <v>43606.738480092594</v>
      </c>
      <c r="B6391" s="218" t="s">
        <v>5184</v>
      </c>
      <c r="C6391" s="218" t="s">
        <v>6053</v>
      </c>
      <c r="D6391" s="219">
        <v>1.0</v>
      </c>
      <c r="E6391" s="218">
        <v>300.0</v>
      </c>
      <c r="G6391" s="220">
        <v>43606.0</v>
      </c>
    </row>
    <row r="6392">
      <c r="A6392" s="217">
        <v>43606.751470601856</v>
      </c>
      <c r="B6392" s="218" t="s">
        <v>5184</v>
      </c>
      <c r="C6392" s="218" t="s">
        <v>5786</v>
      </c>
      <c r="D6392" s="219">
        <v>1.0</v>
      </c>
      <c r="E6392" s="218">
        <v>300.0</v>
      </c>
      <c r="G6392" s="220">
        <v>43606.0</v>
      </c>
    </row>
    <row r="6393">
      <c r="A6393" s="217">
        <v>43606.752043761575</v>
      </c>
      <c r="B6393" s="218" t="s">
        <v>5184</v>
      </c>
      <c r="C6393" s="218" t="s">
        <v>6053</v>
      </c>
      <c r="D6393" s="219">
        <v>1.0</v>
      </c>
      <c r="E6393" s="218">
        <v>300.0</v>
      </c>
      <c r="G6393" s="220">
        <v>43606.0</v>
      </c>
    </row>
    <row r="6394">
      <c r="A6394" s="217">
        <v>43607.46283740741</v>
      </c>
      <c r="B6394" s="218" t="s">
        <v>5184</v>
      </c>
      <c r="C6394" s="218" t="s">
        <v>8980</v>
      </c>
      <c r="D6394" s="219">
        <v>1.0</v>
      </c>
      <c r="E6394" s="218">
        <v>3725.0</v>
      </c>
      <c r="G6394" s="220">
        <v>43607.0</v>
      </c>
    </row>
    <row r="6395">
      <c r="A6395" s="217">
        <v>43607.46389803241</v>
      </c>
      <c r="B6395" s="218" t="s">
        <v>5184</v>
      </c>
      <c r="C6395" s="218" t="s">
        <v>7754</v>
      </c>
      <c r="D6395" s="219">
        <v>1.0</v>
      </c>
      <c r="E6395" s="218">
        <v>600.0</v>
      </c>
      <c r="G6395" s="220">
        <v>43607.0</v>
      </c>
    </row>
    <row r="6396">
      <c r="A6396" s="217">
        <v>43607.47217302083</v>
      </c>
      <c r="B6396" s="218" t="s">
        <v>5184</v>
      </c>
      <c r="C6396" s="218" t="s">
        <v>7792</v>
      </c>
      <c r="D6396" s="219">
        <v>1.0</v>
      </c>
      <c r="E6396" s="218">
        <v>400.0</v>
      </c>
      <c r="G6396" s="220">
        <v>43607.0</v>
      </c>
    </row>
    <row r="6397">
      <c r="A6397" s="217">
        <v>43607.47289634259</v>
      </c>
      <c r="B6397" s="218" t="s">
        <v>5184</v>
      </c>
      <c r="C6397" s="218" t="s">
        <v>244</v>
      </c>
      <c r="D6397" s="219">
        <v>1.0</v>
      </c>
      <c r="E6397" s="218">
        <v>400.0</v>
      </c>
      <c r="G6397" s="220">
        <v>43607.0</v>
      </c>
    </row>
    <row r="6398">
      <c r="A6398" s="217">
        <v>43607.47997163194</v>
      </c>
      <c r="B6398" s="218" t="s">
        <v>5184</v>
      </c>
      <c r="C6398" s="218" t="s">
        <v>7767</v>
      </c>
      <c r="D6398" s="219">
        <v>8.0</v>
      </c>
      <c r="E6398" s="218">
        <v>100.0</v>
      </c>
      <c r="G6398" s="220">
        <v>43607.0</v>
      </c>
    </row>
    <row r="6399">
      <c r="A6399" s="217">
        <v>43607.48384483796</v>
      </c>
      <c r="B6399" s="218" t="s">
        <v>5092</v>
      </c>
      <c r="C6399" s="218" t="s">
        <v>9016</v>
      </c>
      <c r="D6399" s="219">
        <v>20.0</v>
      </c>
      <c r="E6399" s="218">
        <v>450.0</v>
      </c>
      <c r="G6399" s="220">
        <v>43600.0</v>
      </c>
    </row>
    <row r="6400">
      <c r="A6400" s="217">
        <v>43607.48539966435</v>
      </c>
      <c r="B6400" s="218" t="s">
        <v>5092</v>
      </c>
      <c r="C6400" s="218" t="s">
        <v>9019</v>
      </c>
      <c r="D6400" s="219">
        <v>2000.0</v>
      </c>
      <c r="E6400" s="218">
        <v>3.85</v>
      </c>
      <c r="G6400" s="220">
        <v>43600.0</v>
      </c>
    </row>
    <row r="6401">
      <c r="A6401" s="217">
        <v>43607.55338273148</v>
      </c>
      <c r="B6401" s="3" t="s">
        <v>5184</v>
      </c>
      <c r="C6401" s="3" t="s">
        <v>6053</v>
      </c>
      <c r="D6401" s="265">
        <v>1.0</v>
      </c>
      <c r="E6401" s="3">
        <v>300.0</v>
      </c>
      <c r="G6401" s="266">
        <v>43607.0</v>
      </c>
    </row>
    <row r="6402">
      <c r="A6402" s="217">
        <v>43607.555124398146</v>
      </c>
      <c r="B6402" s="3" t="s">
        <v>5184</v>
      </c>
      <c r="C6402" s="3" t="s">
        <v>9021</v>
      </c>
      <c r="D6402" s="265">
        <v>1.0</v>
      </c>
      <c r="E6402" s="3">
        <v>300.0</v>
      </c>
      <c r="G6402" s="266">
        <v>43607.0</v>
      </c>
    </row>
    <row r="6403">
      <c r="A6403" s="217">
        <v>43607.5559630787</v>
      </c>
      <c r="B6403" s="3" t="s">
        <v>5184</v>
      </c>
      <c r="C6403" s="3" t="s">
        <v>6053</v>
      </c>
      <c r="D6403" s="265">
        <v>1.0</v>
      </c>
      <c r="E6403" s="3">
        <v>300.0</v>
      </c>
      <c r="G6403" s="266">
        <v>43607.0</v>
      </c>
    </row>
    <row r="6404">
      <c r="A6404" s="217">
        <v>43607.60049428241</v>
      </c>
      <c r="B6404" s="3" t="s">
        <v>5184</v>
      </c>
      <c r="C6404" s="3" t="s">
        <v>9023</v>
      </c>
      <c r="D6404" s="265">
        <v>1.0</v>
      </c>
      <c r="E6404" s="3">
        <v>500.0</v>
      </c>
      <c r="G6404" s="266">
        <v>43607.0</v>
      </c>
    </row>
    <row r="6405">
      <c r="A6405" s="217">
        <v>43607.60118326389</v>
      </c>
      <c r="B6405" s="3" t="s">
        <v>5184</v>
      </c>
      <c r="C6405" s="3" t="s">
        <v>6053</v>
      </c>
      <c r="D6405" s="265">
        <v>1.0</v>
      </c>
      <c r="E6405" s="3">
        <v>300.0</v>
      </c>
      <c r="G6405" s="266">
        <v>43607.0</v>
      </c>
    </row>
    <row r="6406">
      <c r="A6406" s="217">
        <v>43607.65555616898</v>
      </c>
      <c r="B6406" s="3" t="s">
        <v>5184</v>
      </c>
      <c r="C6406" s="3" t="s">
        <v>7800</v>
      </c>
      <c r="D6406" s="265">
        <v>1.0</v>
      </c>
      <c r="E6406" s="3">
        <v>300.0</v>
      </c>
      <c r="G6406" s="266">
        <v>43607.0</v>
      </c>
    </row>
    <row r="6407">
      <c r="A6407" s="217">
        <v>43607.65705333333</v>
      </c>
      <c r="B6407" s="3" t="s">
        <v>5184</v>
      </c>
      <c r="C6407" s="3" t="s">
        <v>244</v>
      </c>
      <c r="D6407" s="265">
        <v>1.0</v>
      </c>
      <c r="E6407" s="3">
        <v>400.0</v>
      </c>
      <c r="G6407" s="266">
        <v>43607.0</v>
      </c>
    </row>
    <row r="6408">
      <c r="A6408" s="217">
        <v>43607.7232302662</v>
      </c>
      <c r="B6408" s="3" t="s">
        <v>5184</v>
      </c>
      <c r="C6408" s="3" t="s">
        <v>9026</v>
      </c>
      <c r="D6408" s="265">
        <v>1.0</v>
      </c>
      <c r="E6408" s="3">
        <v>450.0</v>
      </c>
      <c r="G6408" s="266">
        <v>43607.0</v>
      </c>
    </row>
    <row r="6409">
      <c r="A6409" s="217">
        <v>43607.72368969907</v>
      </c>
      <c r="B6409" s="3" t="s">
        <v>5184</v>
      </c>
      <c r="C6409" s="3" t="s">
        <v>284</v>
      </c>
      <c r="D6409" s="265">
        <v>1.0</v>
      </c>
      <c r="E6409" s="3">
        <v>400.0</v>
      </c>
      <c r="G6409" s="266">
        <v>43607.0</v>
      </c>
    </row>
    <row r="6410">
      <c r="A6410" s="217">
        <v>43607.724542233795</v>
      </c>
      <c r="B6410" s="3" t="s">
        <v>5184</v>
      </c>
      <c r="C6410" s="3" t="s">
        <v>1093</v>
      </c>
      <c r="D6410" s="265">
        <v>1.0</v>
      </c>
      <c r="E6410" s="3">
        <v>1800.0</v>
      </c>
      <c r="G6410" s="266">
        <v>43607.0</v>
      </c>
    </row>
    <row r="6411">
      <c r="A6411" s="217">
        <v>43607.7252040162</v>
      </c>
      <c r="B6411" s="3" t="s">
        <v>5184</v>
      </c>
      <c r="C6411" s="3" t="s">
        <v>7007</v>
      </c>
      <c r="D6411" s="265">
        <v>1.0</v>
      </c>
      <c r="E6411" s="3">
        <v>2000.0</v>
      </c>
      <c r="G6411" s="266">
        <v>43607.0</v>
      </c>
    </row>
    <row r="6412">
      <c r="A6412" s="217">
        <v>43607.736260439815</v>
      </c>
      <c r="B6412" s="3" t="s">
        <v>5184</v>
      </c>
      <c r="C6412" s="3" t="s">
        <v>9029</v>
      </c>
      <c r="D6412" s="265">
        <v>1.0</v>
      </c>
      <c r="E6412" s="3">
        <v>300.0</v>
      </c>
      <c r="G6412" s="266">
        <v>43607.0</v>
      </c>
    </row>
    <row r="6413">
      <c r="A6413" s="217">
        <v>43607.73694674768</v>
      </c>
      <c r="B6413" s="3" t="s">
        <v>5184</v>
      </c>
      <c r="C6413" s="3" t="s">
        <v>284</v>
      </c>
      <c r="D6413" s="265">
        <v>1.0</v>
      </c>
      <c r="E6413" s="3">
        <v>400.0</v>
      </c>
      <c r="G6413" s="266">
        <v>43607.0</v>
      </c>
    </row>
    <row r="6414">
      <c r="A6414" s="217">
        <v>43607.77009549769</v>
      </c>
      <c r="B6414" s="3" t="s">
        <v>5184</v>
      </c>
      <c r="C6414" s="3" t="s">
        <v>1359</v>
      </c>
      <c r="D6414" s="265">
        <v>1.0</v>
      </c>
      <c r="E6414" s="3">
        <v>2390.0</v>
      </c>
      <c r="G6414" s="266">
        <v>43607.0</v>
      </c>
    </row>
    <row r="6415">
      <c r="A6415" s="217">
        <v>43607.77160934028</v>
      </c>
      <c r="B6415" s="3" t="s">
        <v>5184</v>
      </c>
      <c r="C6415" s="3" t="s">
        <v>5868</v>
      </c>
      <c r="D6415" s="265">
        <v>1.0</v>
      </c>
      <c r="E6415" s="3">
        <v>2590.0</v>
      </c>
      <c r="G6415" s="266">
        <v>43607.0</v>
      </c>
    </row>
    <row r="6416">
      <c r="A6416" s="217">
        <v>43607.77250203704</v>
      </c>
      <c r="B6416" s="3" t="s">
        <v>5184</v>
      </c>
      <c r="C6416" s="3" t="s">
        <v>6139</v>
      </c>
      <c r="D6416" s="265">
        <v>1.0</v>
      </c>
      <c r="E6416" s="3">
        <v>2250.0</v>
      </c>
      <c r="G6416" s="266">
        <v>43607.0</v>
      </c>
    </row>
    <row r="6417">
      <c r="A6417" s="217">
        <v>43607.773427569446</v>
      </c>
      <c r="B6417" s="3" t="s">
        <v>5184</v>
      </c>
      <c r="C6417" s="3" t="s">
        <v>7171</v>
      </c>
      <c r="D6417" s="265">
        <v>1.0</v>
      </c>
      <c r="E6417" s="3">
        <v>2450.0</v>
      </c>
      <c r="G6417" s="266">
        <v>43607.0</v>
      </c>
    </row>
    <row r="6418">
      <c r="A6418" s="217">
        <v>43607.77444172454</v>
      </c>
      <c r="B6418" s="3" t="s">
        <v>5184</v>
      </c>
      <c r="C6418" s="3" t="s">
        <v>9032</v>
      </c>
      <c r="D6418" s="265">
        <v>1.0</v>
      </c>
      <c r="E6418" s="3">
        <v>2450.0</v>
      </c>
      <c r="G6418" s="266">
        <v>43607.0</v>
      </c>
    </row>
    <row r="6419">
      <c r="A6419" s="217">
        <v>43608.410984131944</v>
      </c>
      <c r="B6419" s="3" t="s">
        <v>5092</v>
      </c>
      <c r="C6419" s="3" t="s">
        <v>4589</v>
      </c>
      <c r="D6419" s="265">
        <v>1.0</v>
      </c>
      <c r="E6419" s="3">
        <v>1999.0</v>
      </c>
      <c r="G6419" s="266">
        <v>43607.0</v>
      </c>
    </row>
    <row r="6420">
      <c r="A6420" s="217">
        <v>43608.41426553241</v>
      </c>
      <c r="B6420" s="3" t="s">
        <v>5184</v>
      </c>
      <c r="C6420" s="3" t="s">
        <v>9034</v>
      </c>
      <c r="D6420" s="265">
        <v>1.0</v>
      </c>
      <c r="E6420" s="3">
        <v>1695.0</v>
      </c>
      <c r="G6420" s="266">
        <v>43607.0</v>
      </c>
    </row>
    <row r="6421">
      <c r="A6421" s="217">
        <v>43608.582722210645</v>
      </c>
      <c r="B6421" s="3" t="s">
        <v>5184</v>
      </c>
      <c r="C6421" s="3" t="s">
        <v>6117</v>
      </c>
      <c r="D6421" s="265">
        <v>1.0</v>
      </c>
      <c r="E6421" s="3">
        <v>1000.0</v>
      </c>
      <c r="G6421" s="266">
        <v>43608.0</v>
      </c>
    </row>
    <row r="6422">
      <c r="A6422" s="217">
        <v>43608.583505891205</v>
      </c>
      <c r="B6422" s="3" t="s">
        <v>5184</v>
      </c>
      <c r="C6422" s="3" t="s">
        <v>284</v>
      </c>
      <c r="D6422" s="265">
        <v>1.0</v>
      </c>
      <c r="E6422" s="3">
        <v>400.0</v>
      </c>
      <c r="G6422" s="266">
        <v>43608.0</v>
      </c>
    </row>
    <row r="6423">
      <c r="A6423" s="217">
        <v>43608.64284883102</v>
      </c>
      <c r="B6423" s="3" t="s">
        <v>5184</v>
      </c>
      <c r="C6423" s="3" t="s">
        <v>6053</v>
      </c>
      <c r="D6423" s="265">
        <v>1.0</v>
      </c>
      <c r="E6423" s="3">
        <v>300.0</v>
      </c>
      <c r="G6423" s="266">
        <v>43608.0</v>
      </c>
    </row>
    <row r="6424">
      <c r="A6424" s="217">
        <v>43608.64519784722</v>
      </c>
      <c r="B6424" s="3" t="s">
        <v>5184</v>
      </c>
      <c r="C6424" s="3" t="s">
        <v>9040</v>
      </c>
      <c r="D6424" s="265">
        <v>1.0</v>
      </c>
      <c r="E6424" s="3">
        <v>300.0</v>
      </c>
      <c r="G6424" s="266">
        <v>43608.0</v>
      </c>
    </row>
    <row r="6425">
      <c r="A6425" s="217">
        <v>43608.66562027778</v>
      </c>
      <c r="B6425" s="3" t="s">
        <v>5184</v>
      </c>
      <c r="C6425" s="3" t="s">
        <v>9041</v>
      </c>
      <c r="D6425" s="265">
        <v>1.0</v>
      </c>
      <c r="E6425" s="3">
        <v>400.0</v>
      </c>
      <c r="G6425" s="266">
        <v>43608.0</v>
      </c>
    </row>
    <row r="6426">
      <c r="A6426" s="217">
        <v>43608.76544618055</v>
      </c>
      <c r="B6426" s="3" t="s">
        <v>5184</v>
      </c>
      <c r="C6426" s="3" t="s">
        <v>2383</v>
      </c>
      <c r="D6426" s="265">
        <v>1.0</v>
      </c>
      <c r="E6426" s="3">
        <v>300.0</v>
      </c>
      <c r="G6426" s="266">
        <v>43608.0</v>
      </c>
    </row>
    <row r="6427">
      <c r="A6427" s="217">
        <v>43608.76626243055</v>
      </c>
      <c r="B6427" s="3" t="s">
        <v>5184</v>
      </c>
      <c r="C6427" s="3" t="s">
        <v>244</v>
      </c>
      <c r="D6427" s="265">
        <v>1.0</v>
      </c>
      <c r="E6427" s="3">
        <v>400.0</v>
      </c>
      <c r="G6427" s="266">
        <v>43608.0</v>
      </c>
    </row>
    <row r="6428">
      <c r="A6428" s="217">
        <v>43608.77528579861</v>
      </c>
      <c r="B6428" s="3" t="s">
        <v>5184</v>
      </c>
      <c r="C6428" s="3" t="s">
        <v>7800</v>
      </c>
      <c r="D6428" s="265">
        <v>1.0</v>
      </c>
      <c r="E6428" s="3">
        <v>300.0</v>
      </c>
      <c r="G6428" s="266">
        <v>43608.0</v>
      </c>
    </row>
    <row r="6429">
      <c r="A6429" s="217">
        <v>43608.77580362269</v>
      </c>
      <c r="B6429" s="3" t="s">
        <v>5184</v>
      </c>
      <c r="C6429" s="3" t="s">
        <v>6053</v>
      </c>
      <c r="D6429" s="265">
        <v>1.0</v>
      </c>
      <c r="E6429" s="3">
        <v>300.0</v>
      </c>
      <c r="G6429" s="266">
        <v>43608.0</v>
      </c>
    </row>
    <row r="6430">
      <c r="A6430" s="217">
        <v>43608.78207385416</v>
      </c>
      <c r="B6430" s="3" t="s">
        <v>5184</v>
      </c>
      <c r="C6430" s="3" t="s">
        <v>7800</v>
      </c>
      <c r="D6430" s="265">
        <v>1.0</v>
      </c>
      <c r="E6430" s="3">
        <v>300.0</v>
      </c>
      <c r="G6430" s="266">
        <v>43608.0</v>
      </c>
    </row>
    <row r="6431">
      <c r="A6431" s="217">
        <v>43608.782652662034</v>
      </c>
      <c r="B6431" s="3" t="s">
        <v>5184</v>
      </c>
      <c r="C6431" s="3" t="s">
        <v>6053</v>
      </c>
      <c r="D6431" s="265">
        <v>1.0</v>
      </c>
      <c r="E6431" s="3">
        <v>300.0</v>
      </c>
      <c r="G6431" s="266">
        <v>43608.0</v>
      </c>
    </row>
    <row r="6432">
      <c r="A6432" s="217">
        <v>43608.78364783565</v>
      </c>
      <c r="B6432" s="3" t="s">
        <v>5184</v>
      </c>
      <c r="C6432" s="3" t="s">
        <v>6117</v>
      </c>
      <c r="D6432" s="265">
        <v>1.0</v>
      </c>
      <c r="E6432" s="3">
        <v>1000.0</v>
      </c>
      <c r="G6432" s="266">
        <v>43608.0</v>
      </c>
    </row>
    <row r="6433">
      <c r="A6433" s="217">
        <v>43608.78587076389</v>
      </c>
      <c r="B6433" s="3" t="s">
        <v>5184</v>
      </c>
      <c r="C6433" s="3" t="s">
        <v>9048</v>
      </c>
      <c r="D6433" s="265">
        <v>1.0</v>
      </c>
      <c r="E6433" s="3">
        <v>1000.0</v>
      </c>
      <c r="G6433" s="266">
        <v>43608.0</v>
      </c>
    </row>
    <row r="6434">
      <c r="A6434" s="217">
        <v>43608.78679061343</v>
      </c>
      <c r="B6434" s="3" t="s">
        <v>5184</v>
      </c>
      <c r="C6434" s="3" t="s">
        <v>5718</v>
      </c>
      <c r="D6434" s="265">
        <v>1.0</v>
      </c>
      <c r="E6434" s="3">
        <v>1800.0</v>
      </c>
      <c r="G6434" s="266">
        <v>43608.0</v>
      </c>
    </row>
    <row r="6435">
      <c r="A6435" s="217">
        <v>43608.788111539354</v>
      </c>
      <c r="B6435" s="3" t="s">
        <v>5184</v>
      </c>
      <c r="C6435" s="3" t="s">
        <v>847</v>
      </c>
      <c r="D6435" s="265">
        <v>1.0</v>
      </c>
      <c r="E6435" s="3">
        <v>1000.0</v>
      </c>
      <c r="G6435" s="266">
        <v>43608.0</v>
      </c>
    </row>
    <row r="6436">
      <c r="A6436" s="217">
        <v>43608.80731392361</v>
      </c>
      <c r="B6436" s="3" t="s">
        <v>5184</v>
      </c>
      <c r="C6436" s="3" t="s">
        <v>284</v>
      </c>
      <c r="D6436" s="265">
        <v>1.0</v>
      </c>
      <c r="E6436" s="3">
        <v>400.0</v>
      </c>
      <c r="G6436" s="266">
        <v>43607.0</v>
      </c>
    </row>
    <row r="6437">
      <c r="A6437" s="217">
        <v>43609.53888061343</v>
      </c>
      <c r="B6437" s="3" t="s">
        <v>5184</v>
      </c>
      <c r="C6437" s="3" t="s">
        <v>9051</v>
      </c>
      <c r="D6437" s="265">
        <v>1.0</v>
      </c>
      <c r="E6437" s="3">
        <v>300.0</v>
      </c>
      <c r="G6437" s="266">
        <v>43609.0</v>
      </c>
    </row>
    <row r="6438">
      <c r="A6438" s="217">
        <v>43609.54243876158</v>
      </c>
      <c r="B6438" s="3" t="s">
        <v>5184</v>
      </c>
      <c r="C6438" s="3" t="s">
        <v>244</v>
      </c>
      <c r="D6438" s="265">
        <v>1.0</v>
      </c>
      <c r="E6438" s="3">
        <v>400.0</v>
      </c>
      <c r="G6438" s="266">
        <v>43609.0</v>
      </c>
    </row>
    <row r="6439">
      <c r="A6439" s="217">
        <v>43609.559566805554</v>
      </c>
      <c r="B6439" s="3" t="s">
        <v>5184</v>
      </c>
      <c r="C6439" s="3" t="s">
        <v>5786</v>
      </c>
      <c r="D6439" s="265">
        <v>1.0</v>
      </c>
      <c r="E6439" s="3">
        <v>300.0</v>
      </c>
      <c r="G6439" s="266">
        <v>43609.0</v>
      </c>
    </row>
    <row r="6440">
      <c r="A6440" s="217">
        <v>43609.56023001157</v>
      </c>
      <c r="B6440" s="3" t="s">
        <v>5184</v>
      </c>
      <c r="C6440" s="3" t="s">
        <v>6053</v>
      </c>
      <c r="D6440" s="265">
        <v>1.0</v>
      </c>
      <c r="E6440" s="3">
        <v>300.0</v>
      </c>
      <c r="G6440" s="266">
        <v>43609.0</v>
      </c>
    </row>
    <row r="6441">
      <c r="A6441" s="217">
        <v>43609.561411006944</v>
      </c>
      <c r="B6441" s="3" t="s">
        <v>5184</v>
      </c>
      <c r="C6441" s="3" t="s">
        <v>9021</v>
      </c>
      <c r="D6441" s="265">
        <v>1.0</v>
      </c>
      <c r="E6441" s="3">
        <v>300.0</v>
      </c>
      <c r="G6441" s="266">
        <v>43609.0</v>
      </c>
    </row>
    <row r="6442">
      <c r="A6442" s="217">
        <v>43609.56205541667</v>
      </c>
      <c r="B6442" s="3" t="s">
        <v>5184</v>
      </c>
      <c r="C6442" s="3" t="s">
        <v>6053</v>
      </c>
      <c r="D6442" s="265">
        <v>1.0</v>
      </c>
      <c r="E6442" s="3">
        <v>300.0</v>
      </c>
      <c r="G6442" s="266">
        <v>43609.0</v>
      </c>
    </row>
    <row r="6443">
      <c r="A6443" s="217">
        <v>43609.74366717592</v>
      </c>
      <c r="B6443" s="3" t="s">
        <v>5184</v>
      </c>
      <c r="C6443" s="3" t="s">
        <v>9054</v>
      </c>
      <c r="D6443" s="265">
        <v>1.0</v>
      </c>
      <c r="E6443" s="3">
        <v>350.0</v>
      </c>
      <c r="G6443" s="266">
        <v>43609.0</v>
      </c>
    </row>
    <row r="6444">
      <c r="A6444" s="217">
        <v>43609.74412564815</v>
      </c>
      <c r="B6444" s="3" t="s">
        <v>5184</v>
      </c>
      <c r="C6444" s="3" t="s">
        <v>6053</v>
      </c>
      <c r="D6444" s="265">
        <v>1.0</v>
      </c>
      <c r="E6444" s="3">
        <v>300.0</v>
      </c>
      <c r="G6444" s="266">
        <v>43609.0</v>
      </c>
    </row>
    <row r="6445">
      <c r="A6445" s="217">
        <v>43609.75619763889</v>
      </c>
      <c r="B6445" s="3" t="s">
        <v>5184</v>
      </c>
      <c r="C6445" s="3" t="s">
        <v>7496</v>
      </c>
      <c r="D6445" s="265">
        <v>1.0</v>
      </c>
      <c r="E6445" s="3">
        <v>100.0</v>
      </c>
      <c r="G6445" s="266">
        <v>43609.0</v>
      </c>
    </row>
    <row r="6446">
      <c r="A6446" s="217">
        <v>43609.78245925926</v>
      </c>
      <c r="B6446" s="3" t="s">
        <v>5184</v>
      </c>
      <c r="C6446" s="3" t="s">
        <v>5786</v>
      </c>
      <c r="D6446" s="265">
        <v>1.0</v>
      </c>
      <c r="E6446" s="3">
        <v>300.0</v>
      </c>
      <c r="G6446" s="266">
        <v>43609.0</v>
      </c>
    </row>
    <row r="6447">
      <c r="A6447" s="217">
        <v>43609.78314353009</v>
      </c>
      <c r="B6447" s="3" t="s">
        <v>5184</v>
      </c>
      <c r="C6447" s="3" t="s">
        <v>284</v>
      </c>
      <c r="D6447" s="265">
        <v>1.0</v>
      </c>
      <c r="E6447" s="3">
        <v>400.0</v>
      </c>
      <c r="G6447" s="266">
        <v>43609.0</v>
      </c>
    </row>
    <row r="6448">
      <c r="A6448" s="217">
        <v>43609.794732407405</v>
      </c>
      <c r="B6448" s="3" t="s">
        <v>5184</v>
      </c>
      <c r="C6448" s="3" t="s">
        <v>5786</v>
      </c>
      <c r="D6448" s="265">
        <v>1.0</v>
      </c>
      <c r="E6448" s="3">
        <v>300.0</v>
      </c>
      <c r="G6448" s="266">
        <v>43609.0</v>
      </c>
    </row>
    <row r="6449">
      <c r="A6449" s="217">
        <v>43609.798621932874</v>
      </c>
      <c r="B6449" s="3" t="s">
        <v>5184</v>
      </c>
      <c r="C6449" s="3" t="s">
        <v>6053</v>
      </c>
      <c r="D6449" s="265">
        <v>1.0</v>
      </c>
      <c r="E6449" s="3">
        <v>300.0</v>
      </c>
      <c r="G6449" s="266">
        <v>43609.0</v>
      </c>
    </row>
    <row r="6450">
      <c r="A6450" s="217">
        <v>43609.827399988426</v>
      </c>
      <c r="B6450" s="3" t="s">
        <v>5184</v>
      </c>
      <c r="C6450" s="3" t="s">
        <v>284</v>
      </c>
      <c r="D6450" s="265">
        <v>1.0</v>
      </c>
      <c r="E6450" s="3">
        <v>400.0</v>
      </c>
      <c r="G6450" s="266">
        <v>43609.0</v>
      </c>
    </row>
    <row r="6451">
      <c r="A6451" s="217">
        <v>43609.82814394676</v>
      </c>
      <c r="B6451" s="3" t="s">
        <v>5184</v>
      </c>
      <c r="C6451" s="3" t="s">
        <v>7800</v>
      </c>
      <c r="D6451" s="265">
        <v>1.0</v>
      </c>
      <c r="E6451" s="3">
        <v>300.0</v>
      </c>
      <c r="G6451" s="266">
        <v>43609.0</v>
      </c>
    </row>
    <row r="6452">
      <c r="A6452" s="217">
        <v>43609.82888310185</v>
      </c>
      <c r="B6452" s="3" t="s">
        <v>5184</v>
      </c>
      <c r="C6452" s="3" t="s">
        <v>6036</v>
      </c>
      <c r="D6452" s="265">
        <v>1.0</v>
      </c>
      <c r="E6452" s="3">
        <v>400.0</v>
      </c>
      <c r="G6452" s="266">
        <v>43609.0</v>
      </c>
    </row>
    <row r="6453">
      <c r="A6453" s="217">
        <v>43609.82998111111</v>
      </c>
      <c r="B6453" s="3" t="s">
        <v>5184</v>
      </c>
      <c r="C6453" s="3" t="s">
        <v>9021</v>
      </c>
      <c r="D6453" s="265">
        <v>1.0</v>
      </c>
      <c r="E6453" s="3">
        <v>300.0</v>
      </c>
      <c r="G6453" s="266">
        <v>43609.0</v>
      </c>
    </row>
    <row r="6454">
      <c r="A6454" s="217">
        <v>43609.83045275463</v>
      </c>
      <c r="B6454" s="3" t="s">
        <v>5184</v>
      </c>
      <c r="C6454" s="3" t="s">
        <v>6053</v>
      </c>
      <c r="D6454" s="265">
        <v>1.0</v>
      </c>
      <c r="E6454" s="3">
        <v>300.0</v>
      </c>
      <c r="G6454" s="266">
        <v>43609.0</v>
      </c>
    </row>
    <row r="6455">
      <c r="A6455" s="217">
        <v>43611.49096869213</v>
      </c>
      <c r="B6455" s="3" t="s">
        <v>5184</v>
      </c>
      <c r="C6455" s="3" t="s">
        <v>9063</v>
      </c>
      <c r="D6455" s="265">
        <v>1.0</v>
      </c>
      <c r="E6455" s="3">
        <v>100.0</v>
      </c>
      <c r="G6455" s="266">
        <v>43610.0</v>
      </c>
    </row>
    <row r="6456">
      <c r="A6456" s="217">
        <v>43611.49175443287</v>
      </c>
      <c r="B6456" s="3" t="s">
        <v>5184</v>
      </c>
      <c r="C6456" s="3" t="s">
        <v>6053</v>
      </c>
      <c r="D6456" s="265">
        <v>1.0</v>
      </c>
      <c r="E6456" s="3">
        <v>300.0</v>
      </c>
      <c r="G6456" s="266">
        <v>43610.0</v>
      </c>
    </row>
    <row r="6457">
      <c r="A6457" s="217">
        <v>43611.492508587966</v>
      </c>
      <c r="B6457" s="3" t="s">
        <v>5184</v>
      </c>
      <c r="C6457" s="3" t="s">
        <v>6053</v>
      </c>
      <c r="D6457" s="265">
        <v>1.0</v>
      </c>
      <c r="E6457" s="3">
        <v>150.0</v>
      </c>
      <c r="G6457" s="266">
        <v>43610.0</v>
      </c>
    </row>
    <row r="6458">
      <c r="A6458" s="217">
        <v>43611.493165300926</v>
      </c>
      <c r="B6458" s="3" t="s">
        <v>5184</v>
      </c>
      <c r="C6458" s="3" t="s">
        <v>6053</v>
      </c>
      <c r="D6458" s="265">
        <v>1.0</v>
      </c>
      <c r="E6458" s="3">
        <v>300.0</v>
      </c>
      <c r="G6458" s="266">
        <v>43610.0</v>
      </c>
    </row>
    <row r="6459">
      <c r="A6459" s="217">
        <v>43611.49445711805</v>
      </c>
      <c r="B6459" s="3" t="s">
        <v>5184</v>
      </c>
      <c r="C6459" s="3" t="s">
        <v>6053</v>
      </c>
      <c r="D6459" s="265">
        <v>1.0</v>
      </c>
      <c r="E6459" s="3">
        <v>300.0</v>
      </c>
      <c r="G6459" s="266">
        <v>43610.0</v>
      </c>
    </row>
    <row r="6460">
      <c r="A6460" s="217">
        <v>43611.495844143516</v>
      </c>
      <c r="B6460" s="3" t="s">
        <v>5184</v>
      </c>
      <c r="C6460" s="3" t="s">
        <v>9066</v>
      </c>
      <c r="D6460" s="265">
        <v>1.0</v>
      </c>
      <c r="E6460" s="3">
        <v>250.0</v>
      </c>
      <c r="G6460" s="266">
        <v>43610.0</v>
      </c>
    </row>
    <row r="6461">
      <c r="A6461" s="217">
        <v>43611.496475196764</v>
      </c>
      <c r="B6461" s="3" t="s">
        <v>5184</v>
      </c>
      <c r="C6461" s="3" t="s">
        <v>6053</v>
      </c>
      <c r="D6461" s="265">
        <v>1.0</v>
      </c>
      <c r="E6461" s="3">
        <v>300.0</v>
      </c>
      <c r="G6461" s="266">
        <v>43610.0</v>
      </c>
    </row>
    <row r="6462">
      <c r="A6462" s="217">
        <v>43611.497148842594</v>
      </c>
      <c r="B6462" s="3" t="s">
        <v>5184</v>
      </c>
      <c r="C6462" s="3" t="s">
        <v>9069</v>
      </c>
      <c r="D6462" s="265">
        <v>1.0</v>
      </c>
      <c r="E6462" s="3">
        <v>300.0</v>
      </c>
      <c r="G6462" s="266">
        <v>43610.0</v>
      </c>
    </row>
    <row r="6463">
      <c r="A6463" s="217">
        <v>43611.49783528935</v>
      </c>
      <c r="B6463" s="3" t="s">
        <v>5184</v>
      </c>
      <c r="C6463" s="3" t="s">
        <v>6053</v>
      </c>
      <c r="D6463" s="265">
        <v>1.0</v>
      </c>
      <c r="E6463" s="3">
        <v>300.0</v>
      </c>
      <c r="G6463" s="266">
        <v>43610.0</v>
      </c>
    </row>
    <row r="6464">
      <c r="A6464" s="217">
        <v>43611.49868387732</v>
      </c>
      <c r="B6464" s="3" t="s">
        <v>5184</v>
      </c>
      <c r="C6464" s="3" t="s">
        <v>9071</v>
      </c>
      <c r="D6464" s="265">
        <v>1.0</v>
      </c>
      <c r="E6464" s="3">
        <v>350.0</v>
      </c>
      <c r="G6464" s="266">
        <v>43610.0</v>
      </c>
    </row>
    <row r="6465">
      <c r="A6465" s="217">
        <v>43611.49936335648</v>
      </c>
      <c r="B6465" s="3" t="s">
        <v>5184</v>
      </c>
      <c r="C6465" s="3" t="s">
        <v>6053</v>
      </c>
      <c r="D6465" s="265">
        <v>1.0</v>
      </c>
      <c r="E6465" s="3">
        <v>300.0</v>
      </c>
      <c r="G6465" s="266">
        <v>43610.0</v>
      </c>
    </row>
    <row r="6466">
      <c r="A6466" s="217">
        <v>43611.500241030095</v>
      </c>
      <c r="B6466" s="3" t="s">
        <v>5184</v>
      </c>
      <c r="C6466" s="3" t="s">
        <v>9051</v>
      </c>
      <c r="D6466" s="265">
        <v>1.0</v>
      </c>
      <c r="E6466" s="3">
        <v>300.0</v>
      </c>
      <c r="G6466" s="266">
        <v>43610.0</v>
      </c>
    </row>
    <row r="6467">
      <c r="A6467" s="217">
        <v>43611.5011490162</v>
      </c>
      <c r="B6467" s="3" t="s">
        <v>5184</v>
      </c>
      <c r="C6467" s="3" t="s">
        <v>7806</v>
      </c>
      <c r="D6467" s="265">
        <v>1.0</v>
      </c>
      <c r="E6467" s="3">
        <v>600.0</v>
      </c>
      <c r="G6467" s="266">
        <v>43610.0</v>
      </c>
    </row>
    <row r="6468">
      <c r="A6468" s="217">
        <v>43611.501909768514</v>
      </c>
      <c r="B6468" s="3" t="s">
        <v>5184</v>
      </c>
      <c r="C6468" s="3" t="s">
        <v>9051</v>
      </c>
      <c r="D6468" s="265">
        <v>1.0</v>
      </c>
      <c r="E6468" s="3">
        <v>300.0</v>
      </c>
      <c r="G6468" s="266">
        <v>43610.0</v>
      </c>
    </row>
    <row r="6469">
      <c r="A6469" s="217">
        <v>43611.50634548611</v>
      </c>
      <c r="B6469" s="3" t="s">
        <v>5184</v>
      </c>
      <c r="C6469" s="3" t="s">
        <v>244</v>
      </c>
      <c r="D6469" s="265">
        <v>1.0</v>
      </c>
      <c r="E6469" s="3">
        <v>400.0</v>
      </c>
      <c r="G6469" s="266">
        <v>43610.0</v>
      </c>
    </row>
    <row r="6470">
      <c r="A6470" s="217">
        <v>43611.50792043981</v>
      </c>
      <c r="B6470" s="3" t="s">
        <v>5184</v>
      </c>
      <c r="C6470" s="3" t="s">
        <v>9074</v>
      </c>
      <c r="D6470" s="265">
        <v>1.0</v>
      </c>
      <c r="E6470" s="3">
        <v>350.0</v>
      </c>
      <c r="G6470" s="266">
        <v>43610.0</v>
      </c>
    </row>
    <row r="6471">
      <c r="A6471" s="217">
        <v>43611.50853327547</v>
      </c>
      <c r="B6471" s="3" t="s">
        <v>5184</v>
      </c>
      <c r="C6471" s="3" t="s">
        <v>244</v>
      </c>
      <c r="D6471" s="265">
        <v>1.0</v>
      </c>
      <c r="E6471" s="3">
        <v>400.0</v>
      </c>
      <c r="G6471" s="266">
        <v>43610.0</v>
      </c>
    </row>
    <row r="6472">
      <c r="A6472" s="217">
        <v>43611.51094069444</v>
      </c>
      <c r="B6472" s="3" t="s">
        <v>5184</v>
      </c>
      <c r="C6472" s="3" t="s">
        <v>7820</v>
      </c>
      <c r="D6472" s="265">
        <v>1.0</v>
      </c>
      <c r="E6472" s="3">
        <v>400.0</v>
      </c>
      <c r="G6472" s="266">
        <v>43610.0</v>
      </c>
    </row>
    <row r="6473">
      <c r="A6473" s="217">
        <v>43611.512044930554</v>
      </c>
      <c r="B6473" s="3" t="s">
        <v>5184</v>
      </c>
      <c r="C6473" s="3" t="s">
        <v>9075</v>
      </c>
      <c r="D6473" s="265">
        <v>1.0</v>
      </c>
      <c r="E6473" s="3">
        <v>300.0</v>
      </c>
      <c r="G6473" s="266">
        <v>43610.0</v>
      </c>
    </row>
    <row r="6474">
      <c r="A6474" s="217">
        <v>43611.5514596875</v>
      </c>
      <c r="B6474" s="3" t="s">
        <v>5184</v>
      </c>
      <c r="C6474" s="3" t="s">
        <v>7421</v>
      </c>
      <c r="D6474" s="265">
        <v>1.0</v>
      </c>
      <c r="E6474" s="3">
        <v>400.0</v>
      </c>
      <c r="G6474" s="266">
        <v>43610.0</v>
      </c>
    </row>
    <row r="6475">
      <c r="A6475" s="217">
        <v>43611.55285611111</v>
      </c>
      <c r="B6475" s="3" t="s">
        <v>5184</v>
      </c>
      <c r="C6475" s="3" t="s">
        <v>2719</v>
      </c>
      <c r="D6475" s="265">
        <v>1.0</v>
      </c>
      <c r="E6475" s="3">
        <v>200.0</v>
      </c>
      <c r="G6475" s="266">
        <v>43610.0</v>
      </c>
    </row>
    <row r="6476">
      <c r="A6476" s="217">
        <v>43611.55346765046</v>
      </c>
      <c r="B6476" s="3" t="s">
        <v>5184</v>
      </c>
      <c r="C6476" s="3" t="s">
        <v>244</v>
      </c>
      <c r="D6476" s="265">
        <v>1.0</v>
      </c>
      <c r="E6476" s="3">
        <v>400.0</v>
      </c>
      <c r="G6476" s="266">
        <v>43610.0</v>
      </c>
    </row>
    <row r="6477">
      <c r="A6477" s="217">
        <v>43611.55471128473</v>
      </c>
      <c r="B6477" s="3" t="s">
        <v>5184</v>
      </c>
      <c r="C6477" s="3" t="s">
        <v>9076</v>
      </c>
      <c r="D6477" s="265">
        <v>1.0</v>
      </c>
      <c r="E6477" s="3">
        <v>600.0</v>
      </c>
      <c r="G6477" s="266">
        <v>43610.0</v>
      </c>
    </row>
    <row r="6478">
      <c r="A6478" s="217">
        <v>43611.555402858794</v>
      </c>
      <c r="B6478" s="3" t="s">
        <v>5184</v>
      </c>
      <c r="C6478" s="3" t="s">
        <v>6053</v>
      </c>
      <c r="D6478" s="265">
        <v>1.0</v>
      </c>
      <c r="E6478" s="3">
        <v>300.0</v>
      </c>
      <c r="G6478" s="266">
        <v>43610.0</v>
      </c>
    </row>
    <row r="6479">
      <c r="A6479" s="217">
        <v>43611.556223437496</v>
      </c>
      <c r="B6479" s="3" t="s">
        <v>5184</v>
      </c>
      <c r="C6479" s="3" t="s">
        <v>6053</v>
      </c>
      <c r="D6479" s="265" t="s">
        <v>9077</v>
      </c>
      <c r="E6479" s="3">
        <v>300.0</v>
      </c>
      <c r="G6479" s="266">
        <v>43610.0</v>
      </c>
    </row>
    <row r="6480">
      <c r="A6480" s="217">
        <v>43611.557207488426</v>
      </c>
      <c r="B6480" s="3" t="s">
        <v>5184</v>
      </c>
      <c r="C6480" s="3" t="s">
        <v>7411</v>
      </c>
      <c r="D6480" s="265">
        <v>1.0</v>
      </c>
      <c r="E6480" s="3">
        <v>200.0</v>
      </c>
      <c r="G6480" s="266">
        <v>43610.0</v>
      </c>
    </row>
    <row r="6481">
      <c r="A6481" s="217">
        <v>43611.55798809028</v>
      </c>
      <c r="B6481" s="3" t="s">
        <v>5184</v>
      </c>
      <c r="C6481" s="3" t="s">
        <v>7496</v>
      </c>
      <c r="D6481" s="265">
        <v>1.0</v>
      </c>
      <c r="E6481" s="3">
        <v>100.0</v>
      </c>
      <c r="G6481" s="266">
        <v>43610.0</v>
      </c>
    </row>
    <row r="6482">
      <c r="A6482" s="217">
        <v>43611.55847696759</v>
      </c>
      <c r="B6482" s="3" t="s">
        <v>5184</v>
      </c>
      <c r="C6482" s="3" t="s">
        <v>7806</v>
      </c>
      <c r="D6482" s="265">
        <v>1.0</v>
      </c>
      <c r="E6482" s="3">
        <v>600.0</v>
      </c>
      <c r="G6482" s="266">
        <v>43610.0</v>
      </c>
    </row>
    <row r="6483">
      <c r="A6483" s="217">
        <v>43611.55923396991</v>
      </c>
      <c r="B6483" s="3" t="s">
        <v>5184</v>
      </c>
      <c r="C6483" s="3" t="s">
        <v>9051</v>
      </c>
      <c r="D6483" s="265">
        <v>1.0</v>
      </c>
      <c r="E6483" s="3">
        <v>300.0</v>
      </c>
      <c r="G6483" s="266">
        <v>43610.0</v>
      </c>
    </row>
    <row r="6484">
      <c r="A6484" s="217">
        <v>43611.55982054398</v>
      </c>
      <c r="B6484" s="3" t="s">
        <v>5184</v>
      </c>
      <c r="C6484" s="3" t="s">
        <v>6053</v>
      </c>
      <c r="D6484" s="265">
        <v>1.0</v>
      </c>
      <c r="E6484" s="3">
        <v>300.0</v>
      </c>
      <c r="G6484" s="266">
        <v>43610.0</v>
      </c>
    </row>
    <row r="6485">
      <c r="A6485" s="217">
        <v>43611.56080064815</v>
      </c>
      <c r="B6485" s="3" t="s">
        <v>5184</v>
      </c>
      <c r="C6485" s="3" t="s">
        <v>2432</v>
      </c>
      <c r="D6485" s="265">
        <v>1.0</v>
      </c>
      <c r="E6485" s="3">
        <v>350.0</v>
      </c>
      <c r="G6485" s="266">
        <v>43610.0</v>
      </c>
    </row>
    <row r="6486">
      <c r="A6486" s="217">
        <v>43611.5613587963</v>
      </c>
      <c r="B6486" s="3" t="s">
        <v>5184</v>
      </c>
      <c r="C6486" s="3" t="s">
        <v>6053</v>
      </c>
      <c r="D6486" s="265">
        <v>1.0</v>
      </c>
      <c r="E6486" s="3">
        <v>300.0</v>
      </c>
      <c r="G6486" s="266">
        <v>43610.0</v>
      </c>
    </row>
    <row r="6487">
      <c r="A6487" s="217">
        <v>43611.56232344908</v>
      </c>
      <c r="B6487" s="3" t="s">
        <v>5184</v>
      </c>
      <c r="C6487" s="3" t="s">
        <v>9051</v>
      </c>
      <c r="D6487" s="265">
        <v>1.0</v>
      </c>
      <c r="E6487" s="3">
        <v>300.0</v>
      </c>
      <c r="G6487" s="266">
        <v>43610.0</v>
      </c>
    </row>
    <row r="6488">
      <c r="A6488" s="217">
        <v>43611.562873414354</v>
      </c>
      <c r="B6488" s="3" t="s">
        <v>5184</v>
      </c>
      <c r="C6488" s="3" t="s">
        <v>6053</v>
      </c>
      <c r="D6488" s="265">
        <v>1.0</v>
      </c>
      <c r="E6488" s="3">
        <v>300.0</v>
      </c>
      <c r="G6488" s="266">
        <v>43610.0</v>
      </c>
    </row>
    <row r="6489">
      <c r="A6489" s="217">
        <v>43611.569401562505</v>
      </c>
      <c r="B6489" s="3" t="s">
        <v>5184</v>
      </c>
      <c r="C6489" s="3" t="s">
        <v>5548</v>
      </c>
      <c r="D6489" s="265">
        <v>1.0</v>
      </c>
      <c r="E6489" s="3">
        <v>1800.0</v>
      </c>
      <c r="G6489" s="266">
        <v>43610.0</v>
      </c>
    </row>
    <row r="6490">
      <c r="A6490" s="217">
        <v>43611.57002457176</v>
      </c>
      <c r="B6490" s="3" t="s">
        <v>5184</v>
      </c>
      <c r="C6490" s="3" t="s">
        <v>244</v>
      </c>
      <c r="D6490" s="265">
        <v>1.0</v>
      </c>
      <c r="E6490" s="3">
        <v>400.0</v>
      </c>
      <c r="G6490" s="266">
        <v>43610.0</v>
      </c>
    </row>
    <row r="6491">
      <c r="A6491" s="217">
        <v>43611.57599939815</v>
      </c>
      <c r="B6491" s="3" t="s">
        <v>5184</v>
      </c>
      <c r="C6491" s="3" t="s">
        <v>9082</v>
      </c>
      <c r="D6491" s="265">
        <v>1.0</v>
      </c>
      <c r="E6491" s="3">
        <v>6790.0</v>
      </c>
      <c r="G6491" s="266">
        <v>43610.0</v>
      </c>
    </row>
    <row r="6492">
      <c r="A6492" s="217">
        <v>43611.57671542824</v>
      </c>
      <c r="B6492" s="3" t="s">
        <v>5184</v>
      </c>
      <c r="C6492" s="3" t="s">
        <v>6654</v>
      </c>
      <c r="D6492" s="265">
        <v>1.0</v>
      </c>
      <c r="E6492" s="3">
        <v>5490.0</v>
      </c>
      <c r="G6492" s="266">
        <v>43610.0</v>
      </c>
    </row>
    <row r="6493">
      <c r="A6493" s="217">
        <v>43611.57740568287</v>
      </c>
      <c r="B6493" s="3" t="s">
        <v>5184</v>
      </c>
      <c r="C6493" s="3" t="s">
        <v>1865</v>
      </c>
      <c r="D6493" s="265">
        <v>1.0</v>
      </c>
      <c r="E6493" s="3">
        <v>5490.0</v>
      </c>
      <c r="G6493" s="266">
        <v>43610.0</v>
      </c>
    </row>
    <row r="6494">
      <c r="A6494" s="217">
        <v>43612.50615394676</v>
      </c>
      <c r="B6494" s="3" t="s">
        <v>5092</v>
      </c>
      <c r="C6494" s="3" t="s">
        <v>9085</v>
      </c>
      <c r="D6494" s="265">
        <v>1.0</v>
      </c>
      <c r="G6494" s="266">
        <v>43612.0</v>
      </c>
    </row>
    <row r="6495">
      <c r="A6495" s="217">
        <v>43612.508559270835</v>
      </c>
      <c r="B6495" s="3" t="s">
        <v>5092</v>
      </c>
      <c r="C6495" s="3" t="s">
        <v>9087</v>
      </c>
      <c r="D6495" s="265">
        <v>2.0</v>
      </c>
      <c r="G6495" s="266">
        <v>43612.0</v>
      </c>
    </row>
    <row r="6496">
      <c r="A6496" s="217">
        <v>43612.509517592596</v>
      </c>
      <c r="B6496" s="3" t="s">
        <v>5092</v>
      </c>
      <c r="C6496" s="3" t="s">
        <v>2042</v>
      </c>
      <c r="D6496" s="265">
        <v>1.0</v>
      </c>
      <c r="G6496" s="266">
        <v>43612.0</v>
      </c>
    </row>
    <row r="6497">
      <c r="A6497" s="217">
        <v>43612.51055564814</v>
      </c>
      <c r="B6497" s="3" t="s">
        <v>5092</v>
      </c>
      <c r="C6497" s="3" t="s">
        <v>9088</v>
      </c>
      <c r="D6497" s="265">
        <v>1.0</v>
      </c>
      <c r="G6497" s="266">
        <v>43612.0</v>
      </c>
    </row>
    <row r="6498">
      <c r="A6498" s="217">
        <v>43612.51953810186</v>
      </c>
      <c r="B6498" s="3" t="s">
        <v>5092</v>
      </c>
      <c r="C6498" s="3" t="s">
        <v>9089</v>
      </c>
      <c r="D6498" s="265">
        <v>1.0</v>
      </c>
      <c r="E6498" s="3">
        <v>4999.0</v>
      </c>
      <c r="G6498" s="266">
        <v>43612.0</v>
      </c>
    </row>
    <row r="6499">
      <c r="A6499" s="217">
        <v>43612.52062686342</v>
      </c>
      <c r="B6499" s="3" t="s">
        <v>5092</v>
      </c>
      <c r="C6499" s="3" t="s">
        <v>1242</v>
      </c>
      <c r="D6499" s="265">
        <v>1.0</v>
      </c>
      <c r="G6499" s="266">
        <v>43612.0</v>
      </c>
    </row>
    <row r="6500">
      <c r="A6500" s="217">
        <v>43612.524770289354</v>
      </c>
      <c r="B6500" s="3" t="s">
        <v>5184</v>
      </c>
      <c r="C6500" s="3" t="s">
        <v>9090</v>
      </c>
      <c r="D6500" s="265">
        <v>1.0</v>
      </c>
      <c r="E6500" s="3">
        <v>200.0</v>
      </c>
      <c r="G6500" s="266">
        <v>43612.0</v>
      </c>
    </row>
    <row r="6501">
      <c r="A6501" s="217">
        <v>43612.525261874995</v>
      </c>
      <c r="B6501" s="3" t="s">
        <v>5184</v>
      </c>
      <c r="C6501" s="3" t="s">
        <v>6053</v>
      </c>
      <c r="D6501" s="265">
        <v>1.0</v>
      </c>
      <c r="E6501" s="3">
        <v>300.0</v>
      </c>
      <c r="G6501" s="266">
        <v>43612.0</v>
      </c>
    </row>
    <row r="6502">
      <c r="A6502" s="217">
        <v>43612.52792115741</v>
      </c>
      <c r="B6502" s="3" t="s">
        <v>5184</v>
      </c>
      <c r="C6502" s="3" t="s">
        <v>7408</v>
      </c>
      <c r="D6502" s="265">
        <v>1.0</v>
      </c>
      <c r="E6502" s="3">
        <v>400.0</v>
      </c>
      <c r="G6502" s="266">
        <v>43612.0</v>
      </c>
    </row>
    <row r="6503">
      <c r="A6503" s="217">
        <v>43612.534993587964</v>
      </c>
      <c r="B6503" s="3" t="s">
        <v>5184</v>
      </c>
      <c r="C6503" s="3" t="s">
        <v>6053</v>
      </c>
      <c r="D6503" s="265">
        <v>1.0</v>
      </c>
      <c r="E6503" s="3">
        <v>300.0</v>
      </c>
      <c r="G6503" s="266">
        <v>43612.0</v>
      </c>
    </row>
    <row r="6504">
      <c r="A6504" s="217">
        <v>43612.55451076389</v>
      </c>
      <c r="B6504" s="3" t="s">
        <v>5184</v>
      </c>
      <c r="C6504" s="3" t="s">
        <v>9054</v>
      </c>
      <c r="D6504" s="265">
        <v>1.0</v>
      </c>
      <c r="E6504" s="3">
        <v>350.0</v>
      </c>
      <c r="G6504" s="266">
        <v>43612.0</v>
      </c>
    </row>
    <row r="6505">
      <c r="A6505" s="217">
        <v>43612.5550228125</v>
      </c>
      <c r="B6505" s="3" t="s">
        <v>5184</v>
      </c>
      <c r="C6505" s="3" t="s">
        <v>284</v>
      </c>
      <c r="D6505" s="265">
        <v>1.0</v>
      </c>
      <c r="E6505" s="3">
        <v>400.0</v>
      </c>
      <c r="G6505" s="266">
        <v>43612.0</v>
      </c>
    </row>
    <row r="6506">
      <c r="A6506" s="217">
        <v>43612.57071025463</v>
      </c>
      <c r="B6506" s="3" t="s">
        <v>5184</v>
      </c>
      <c r="C6506" s="3" t="s">
        <v>9094</v>
      </c>
      <c r="D6506" s="265">
        <v>1.0</v>
      </c>
      <c r="E6506" s="3">
        <v>400.0</v>
      </c>
      <c r="G6506" s="266">
        <v>43612.0</v>
      </c>
    </row>
    <row r="6507">
      <c r="A6507" s="217">
        <v>43612.5715862963</v>
      </c>
      <c r="B6507" s="3" t="s">
        <v>5184</v>
      </c>
      <c r="C6507" s="3" t="s">
        <v>284</v>
      </c>
      <c r="D6507" s="265">
        <v>1.0</v>
      </c>
      <c r="E6507" s="3">
        <v>400.0</v>
      </c>
      <c r="G6507" s="266">
        <v>43612.0</v>
      </c>
    </row>
    <row r="6508">
      <c r="A6508" s="217">
        <v>43612.62607344908</v>
      </c>
      <c r="B6508" s="3" t="s">
        <v>5184</v>
      </c>
      <c r="C6508" s="3" t="s">
        <v>7496</v>
      </c>
      <c r="D6508" s="265">
        <v>1.0</v>
      </c>
      <c r="E6508" s="3">
        <v>200.0</v>
      </c>
      <c r="G6508" s="266">
        <v>43612.0</v>
      </c>
    </row>
    <row r="6509">
      <c r="A6509" s="217">
        <v>43612.627414849536</v>
      </c>
      <c r="B6509" s="3" t="s">
        <v>5184</v>
      </c>
      <c r="C6509" s="3" t="s">
        <v>7754</v>
      </c>
      <c r="D6509" s="265">
        <v>1.0</v>
      </c>
      <c r="E6509" s="3">
        <v>600.0</v>
      </c>
      <c r="G6509" s="266">
        <v>43612.0</v>
      </c>
    </row>
    <row r="6510">
      <c r="A6510" s="217">
        <v>43612.65029236111</v>
      </c>
      <c r="B6510" s="3" t="s">
        <v>5184</v>
      </c>
      <c r="C6510" s="3" t="s">
        <v>2719</v>
      </c>
      <c r="D6510" s="265">
        <v>1.0</v>
      </c>
      <c r="E6510" s="3">
        <v>200.0</v>
      </c>
      <c r="G6510" s="266">
        <v>43612.0</v>
      </c>
    </row>
    <row r="6511">
      <c r="A6511" s="217">
        <v>43612.65106563657</v>
      </c>
      <c r="B6511" s="3" t="s">
        <v>5184</v>
      </c>
      <c r="C6511" s="3" t="s">
        <v>6053</v>
      </c>
      <c r="D6511" s="265">
        <v>1.0</v>
      </c>
      <c r="E6511" s="3">
        <v>300.0</v>
      </c>
      <c r="G6511" s="266">
        <v>43612.0</v>
      </c>
    </row>
    <row r="6512">
      <c r="A6512" s="217">
        <v>43613.49399480324</v>
      </c>
      <c r="B6512" s="3" t="s">
        <v>5184</v>
      </c>
      <c r="C6512" s="3" t="s">
        <v>6053</v>
      </c>
      <c r="D6512" s="265" t="s">
        <v>7547</v>
      </c>
      <c r="E6512" s="3">
        <v>150.0</v>
      </c>
      <c r="G6512" s="266">
        <v>43613.0</v>
      </c>
    </row>
    <row r="6513">
      <c r="A6513" s="217">
        <v>43613.49533445602</v>
      </c>
      <c r="B6513" s="3" t="s">
        <v>5184</v>
      </c>
      <c r="C6513" s="3" t="s">
        <v>9051</v>
      </c>
      <c r="D6513" s="265">
        <v>1.0</v>
      </c>
      <c r="E6513" s="3">
        <v>300.0</v>
      </c>
      <c r="G6513" s="266">
        <v>43613.0</v>
      </c>
    </row>
    <row r="6514">
      <c r="A6514" s="217">
        <v>43613.49597791667</v>
      </c>
      <c r="B6514" s="3" t="s">
        <v>5184</v>
      </c>
      <c r="C6514" s="3" t="s">
        <v>9099</v>
      </c>
      <c r="D6514" s="265">
        <v>1.0</v>
      </c>
      <c r="E6514" s="3">
        <v>300.0</v>
      </c>
      <c r="G6514" s="266">
        <v>43613.0</v>
      </c>
    </row>
    <row r="6515">
      <c r="A6515" s="217">
        <v>43613.502811388884</v>
      </c>
      <c r="B6515" s="3" t="s">
        <v>5184</v>
      </c>
      <c r="C6515" s="3" t="s">
        <v>9099</v>
      </c>
      <c r="D6515" s="265">
        <v>1.0</v>
      </c>
      <c r="E6515" s="3">
        <v>300.0</v>
      </c>
      <c r="G6515" s="266">
        <v>43613.0</v>
      </c>
    </row>
    <row r="6516">
      <c r="A6516" s="217">
        <v>43613.503777418984</v>
      </c>
      <c r="B6516" s="3" t="s">
        <v>5184</v>
      </c>
      <c r="C6516" s="3" t="s">
        <v>244</v>
      </c>
      <c r="D6516" s="265">
        <v>1.0</v>
      </c>
      <c r="E6516" s="3">
        <v>400.0</v>
      </c>
      <c r="G6516" s="266">
        <v>43613.0</v>
      </c>
    </row>
    <row r="6517">
      <c r="A6517" s="217">
        <v>43613.50475383102</v>
      </c>
      <c r="B6517" s="3" t="s">
        <v>5184</v>
      </c>
      <c r="C6517" s="3" t="s">
        <v>244</v>
      </c>
      <c r="D6517" s="265">
        <v>1.0</v>
      </c>
      <c r="E6517" s="3">
        <v>400.0</v>
      </c>
      <c r="G6517" s="266">
        <v>43613.0</v>
      </c>
    </row>
    <row r="6518">
      <c r="A6518" s="217">
        <v>43613.5063805324</v>
      </c>
      <c r="B6518" s="3" t="s">
        <v>5184</v>
      </c>
      <c r="C6518" s="3" t="s">
        <v>9100</v>
      </c>
      <c r="D6518" s="265">
        <v>1.0</v>
      </c>
      <c r="E6518" s="3">
        <v>300.0</v>
      </c>
      <c r="G6518" s="266">
        <v>43613.0</v>
      </c>
    </row>
    <row r="6519">
      <c r="A6519" s="217">
        <v>43613.507024328705</v>
      </c>
      <c r="B6519" s="3" t="s">
        <v>5184</v>
      </c>
      <c r="C6519" s="3" t="s">
        <v>6053</v>
      </c>
      <c r="D6519" s="265">
        <v>1.0</v>
      </c>
      <c r="E6519" s="3">
        <v>300.0</v>
      </c>
      <c r="G6519" s="266">
        <v>43613.0</v>
      </c>
    </row>
    <row r="6520">
      <c r="A6520" s="217">
        <v>43613.51193090278</v>
      </c>
      <c r="B6520" s="3" t="s">
        <v>5184</v>
      </c>
      <c r="C6520" s="3" t="s">
        <v>9102</v>
      </c>
      <c r="D6520" s="265">
        <v>1.0</v>
      </c>
      <c r="E6520" s="3">
        <v>350.0</v>
      </c>
      <c r="G6520" s="266">
        <v>43613.0</v>
      </c>
    </row>
    <row r="6521">
      <c r="A6521" s="217">
        <v>43613.51241326389</v>
      </c>
      <c r="B6521" s="3" t="s">
        <v>5184</v>
      </c>
      <c r="C6521" s="3" t="s">
        <v>6053</v>
      </c>
      <c r="D6521" s="265">
        <v>1.0</v>
      </c>
      <c r="E6521" s="3">
        <v>300.0</v>
      </c>
      <c r="G6521" s="266">
        <v>43613.0</v>
      </c>
    </row>
    <row r="6522">
      <c r="A6522" s="217">
        <v>43613.55073934028</v>
      </c>
      <c r="B6522" s="3" t="s">
        <v>5184</v>
      </c>
      <c r="C6522" s="3" t="s">
        <v>9104</v>
      </c>
      <c r="D6522" s="265">
        <v>1.0</v>
      </c>
      <c r="E6522" s="3">
        <v>300.0</v>
      </c>
      <c r="G6522" s="266">
        <v>43613.0</v>
      </c>
    </row>
    <row r="6523">
      <c r="A6523" s="217">
        <v>43613.551429687504</v>
      </c>
      <c r="B6523" s="3" t="s">
        <v>5184</v>
      </c>
      <c r="C6523" s="3" t="s">
        <v>6053</v>
      </c>
      <c r="D6523" s="265">
        <v>1.0</v>
      </c>
      <c r="E6523" s="3">
        <v>300.0</v>
      </c>
      <c r="G6523" s="266">
        <v>43613.0</v>
      </c>
    </row>
    <row r="6524">
      <c r="A6524" s="217">
        <v>43613.57969211806</v>
      </c>
      <c r="B6524" s="3" t="s">
        <v>5184</v>
      </c>
      <c r="C6524" s="3" t="s">
        <v>9106</v>
      </c>
      <c r="D6524" s="265">
        <v>1.0</v>
      </c>
      <c r="E6524" s="3">
        <v>400.0</v>
      </c>
      <c r="G6524" s="266">
        <v>43613.0</v>
      </c>
    </row>
    <row r="6525">
      <c r="A6525" s="217">
        <v>43613.580485810184</v>
      </c>
      <c r="B6525" s="3" t="s">
        <v>5184</v>
      </c>
      <c r="C6525" s="3" t="s">
        <v>6053</v>
      </c>
      <c r="D6525" s="265">
        <v>1.0</v>
      </c>
      <c r="E6525" s="3">
        <v>300.0</v>
      </c>
      <c r="G6525" s="266">
        <v>43613.0</v>
      </c>
    </row>
    <row r="6526">
      <c r="A6526" s="217">
        <v>43613.62988479166</v>
      </c>
      <c r="B6526" s="3" t="s">
        <v>5184</v>
      </c>
      <c r="C6526" s="3" t="s">
        <v>284</v>
      </c>
      <c r="D6526" s="265">
        <v>1.0</v>
      </c>
      <c r="E6526" s="3">
        <v>400.0</v>
      </c>
      <c r="G6526" s="266">
        <v>43613.0</v>
      </c>
    </row>
    <row r="6527">
      <c r="A6527" s="217">
        <v>43613.638226875</v>
      </c>
      <c r="B6527" s="3" t="s">
        <v>5184</v>
      </c>
      <c r="C6527" s="3" t="s">
        <v>9104</v>
      </c>
      <c r="D6527" s="265">
        <v>1.0</v>
      </c>
      <c r="E6527" s="3">
        <v>300.0</v>
      </c>
      <c r="G6527" s="266">
        <v>43613.0</v>
      </c>
    </row>
    <row r="6528">
      <c r="A6528" s="217">
        <v>43613.638182916664</v>
      </c>
      <c r="B6528" s="3" t="s">
        <v>5184</v>
      </c>
      <c r="C6528" s="3" t="s">
        <v>284</v>
      </c>
      <c r="D6528" s="265">
        <v>1.0</v>
      </c>
      <c r="E6528" s="3">
        <v>400.0</v>
      </c>
      <c r="G6528" s="266">
        <v>43613.0</v>
      </c>
    </row>
    <row r="6529">
      <c r="A6529" s="217">
        <v>43613.72145416666</v>
      </c>
      <c r="B6529" s="3" t="s">
        <v>5184</v>
      </c>
      <c r="C6529" s="3" t="s">
        <v>9107</v>
      </c>
      <c r="D6529" s="265">
        <v>1.0</v>
      </c>
      <c r="E6529" s="3">
        <v>250.0</v>
      </c>
      <c r="G6529" s="266">
        <v>43613.0</v>
      </c>
    </row>
    <row r="6530">
      <c r="A6530" s="217">
        <v>43613.72191064815</v>
      </c>
      <c r="B6530" s="3" t="s">
        <v>5184</v>
      </c>
      <c r="C6530" s="3" t="s">
        <v>6053</v>
      </c>
      <c r="D6530" s="265">
        <v>1.0</v>
      </c>
      <c r="E6530" s="3">
        <v>300.0</v>
      </c>
      <c r="G6530" s="266">
        <v>43613.0</v>
      </c>
    </row>
    <row r="6531">
      <c r="A6531" s="217">
        <v>43613.746425590274</v>
      </c>
      <c r="B6531" s="3" t="s">
        <v>5184</v>
      </c>
      <c r="C6531" s="3" t="s">
        <v>6053</v>
      </c>
      <c r="D6531" s="265">
        <v>1.0</v>
      </c>
      <c r="E6531" s="3">
        <v>300.0</v>
      </c>
      <c r="G6531" s="266">
        <v>43613.0</v>
      </c>
    </row>
    <row r="6532">
      <c r="A6532" s="217">
        <v>43613.78062929398</v>
      </c>
      <c r="B6532" s="3" t="s">
        <v>5184</v>
      </c>
      <c r="C6532" s="3" t="s">
        <v>9108</v>
      </c>
      <c r="D6532" s="265">
        <v>1.0</v>
      </c>
      <c r="E6532" s="3">
        <v>300.0</v>
      </c>
      <c r="G6532" s="266">
        <v>43613.0</v>
      </c>
    </row>
    <row r="6533">
      <c r="A6533" s="217">
        <v>43613.78116362268</v>
      </c>
      <c r="B6533" s="3" t="s">
        <v>5184</v>
      </c>
      <c r="C6533" s="3" t="s">
        <v>9099</v>
      </c>
      <c r="D6533" s="265">
        <v>1.0</v>
      </c>
      <c r="E6533" s="3">
        <v>300.0</v>
      </c>
      <c r="G6533" s="266">
        <v>43613.0</v>
      </c>
    </row>
    <row r="6534">
      <c r="A6534" s="217">
        <v>43613.78163884259</v>
      </c>
      <c r="B6534" s="3" t="s">
        <v>5184</v>
      </c>
      <c r="C6534" s="3" t="s">
        <v>7496</v>
      </c>
      <c r="D6534" s="265">
        <v>1.0</v>
      </c>
      <c r="E6534" s="3">
        <v>300.0</v>
      </c>
      <c r="G6534" s="266">
        <v>43613.0</v>
      </c>
    </row>
    <row r="6535">
      <c r="A6535" s="217">
        <v>43613.78229216435</v>
      </c>
      <c r="B6535" s="3" t="s">
        <v>5184</v>
      </c>
      <c r="C6535" s="3" t="s">
        <v>9109</v>
      </c>
      <c r="D6535" s="265">
        <v>1.0</v>
      </c>
      <c r="E6535" s="3">
        <v>300.0</v>
      </c>
      <c r="G6535" s="266">
        <v>43613.0</v>
      </c>
    </row>
    <row r="6536">
      <c r="A6536" s="217">
        <v>43613.78267688658</v>
      </c>
      <c r="B6536" s="3" t="s">
        <v>5184</v>
      </c>
      <c r="C6536" s="3" t="s">
        <v>6053</v>
      </c>
      <c r="D6536" s="265">
        <v>1.0</v>
      </c>
      <c r="E6536" s="3">
        <v>300.0</v>
      </c>
      <c r="G6536" s="266">
        <v>43613.0</v>
      </c>
    </row>
    <row r="6537">
      <c r="A6537" s="217">
        <v>43614.45846285879</v>
      </c>
      <c r="B6537" s="3" t="s">
        <v>5184</v>
      </c>
      <c r="C6537" s="3" t="s">
        <v>9104</v>
      </c>
      <c r="D6537" s="265">
        <v>1.0</v>
      </c>
      <c r="E6537" s="3">
        <v>300.0</v>
      </c>
      <c r="G6537" s="266">
        <v>43614.0</v>
      </c>
    </row>
    <row r="6538">
      <c r="A6538" s="217">
        <v>43614.4590977662</v>
      </c>
      <c r="B6538" s="3" t="s">
        <v>5184</v>
      </c>
      <c r="C6538" s="3" t="s">
        <v>6053</v>
      </c>
      <c r="D6538" s="265">
        <v>1.0</v>
      </c>
      <c r="E6538" s="3">
        <v>300.0</v>
      </c>
      <c r="G6538" s="266">
        <v>43614.0</v>
      </c>
    </row>
    <row r="6539">
      <c r="A6539" s="217">
        <v>43614.553288125</v>
      </c>
      <c r="B6539" s="3" t="s">
        <v>5184</v>
      </c>
      <c r="C6539" s="3" t="s">
        <v>9110</v>
      </c>
      <c r="D6539" s="265">
        <v>1.0</v>
      </c>
      <c r="E6539" s="3">
        <v>250.0</v>
      </c>
      <c r="G6539" s="266">
        <v>43614.0</v>
      </c>
    </row>
    <row r="6540">
      <c r="A6540" s="217">
        <v>43614.55434958333</v>
      </c>
      <c r="B6540" s="3" t="s">
        <v>5184</v>
      </c>
      <c r="C6540" s="3" t="s">
        <v>284</v>
      </c>
      <c r="D6540" s="265">
        <v>1.0</v>
      </c>
      <c r="E6540" s="3">
        <v>400.0</v>
      </c>
      <c r="G6540" s="266">
        <v>43614.0</v>
      </c>
    </row>
    <row r="6541">
      <c r="A6541" s="217">
        <v>43614.68439494213</v>
      </c>
      <c r="B6541" s="3" t="s">
        <v>5184</v>
      </c>
      <c r="C6541" s="3" t="s">
        <v>9112</v>
      </c>
      <c r="D6541" s="265">
        <v>1.0</v>
      </c>
      <c r="E6541" s="3">
        <v>400.0</v>
      </c>
      <c r="G6541" s="266">
        <v>43614.0</v>
      </c>
    </row>
    <row r="6542">
      <c r="A6542" s="217">
        <v>43614.686032233796</v>
      </c>
      <c r="B6542" s="3" t="s">
        <v>5184</v>
      </c>
      <c r="C6542" s="3" t="s">
        <v>9099</v>
      </c>
      <c r="D6542" s="265">
        <v>1.0</v>
      </c>
      <c r="E6542" s="3">
        <v>300.0</v>
      </c>
      <c r="G6542" s="266">
        <v>43614.0</v>
      </c>
    </row>
    <row r="6543">
      <c r="A6543" s="217">
        <v>43614.691918993056</v>
      </c>
      <c r="B6543" s="3" t="s">
        <v>5184</v>
      </c>
      <c r="C6543" s="3" t="s">
        <v>6053</v>
      </c>
      <c r="D6543" s="265">
        <v>1.5</v>
      </c>
      <c r="E6543" s="3">
        <v>450.0</v>
      </c>
      <c r="G6543" s="266">
        <v>43614.0</v>
      </c>
    </row>
    <row r="6544">
      <c r="A6544" s="217">
        <v>43615.473347604166</v>
      </c>
      <c r="B6544" s="3" t="s">
        <v>5184</v>
      </c>
      <c r="C6544" s="3" t="s">
        <v>1334</v>
      </c>
      <c r="D6544" s="265">
        <v>3.0</v>
      </c>
      <c r="E6544" s="3">
        <v>2000.0</v>
      </c>
      <c r="G6544" s="266">
        <v>43605.0</v>
      </c>
    </row>
    <row r="6545">
      <c r="A6545" s="217">
        <v>43615.47463370371</v>
      </c>
      <c r="B6545" s="3" t="s">
        <v>5184</v>
      </c>
      <c r="C6545" s="3" t="s">
        <v>5673</v>
      </c>
      <c r="D6545" s="265">
        <v>1.0</v>
      </c>
      <c r="E6545" s="3">
        <v>2000.0</v>
      </c>
      <c r="G6545" s="266">
        <v>43605.0</v>
      </c>
    </row>
    <row r="6546">
      <c r="A6546" s="217">
        <v>43615.475771412035</v>
      </c>
      <c r="B6546" s="3" t="s">
        <v>5184</v>
      </c>
      <c r="C6546" s="3" t="s">
        <v>9115</v>
      </c>
      <c r="D6546" s="265">
        <v>1.0</v>
      </c>
      <c r="E6546" s="3">
        <v>2160.0</v>
      </c>
      <c r="G6546" s="266">
        <v>43605.0</v>
      </c>
    </row>
    <row r="6547">
      <c r="A6547" s="217">
        <v>43615.47718443287</v>
      </c>
      <c r="B6547" s="3" t="s">
        <v>5184</v>
      </c>
      <c r="C6547" s="3" t="s">
        <v>1349</v>
      </c>
      <c r="D6547" s="265">
        <v>1.0</v>
      </c>
      <c r="E6547" s="3">
        <v>2160.0</v>
      </c>
      <c r="G6547" s="266">
        <v>43605.0</v>
      </c>
    </row>
    <row r="6548">
      <c r="A6548" s="217">
        <v>43615.534591331016</v>
      </c>
      <c r="B6548" s="3" t="s">
        <v>5184</v>
      </c>
      <c r="C6548" s="3" t="s">
        <v>6893</v>
      </c>
      <c r="D6548" s="265">
        <v>2.0</v>
      </c>
      <c r="E6548" s="3">
        <v>2150.0</v>
      </c>
      <c r="G6548" s="266">
        <v>43605.0</v>
      </c>
    </row>
    <row r="6549">
      <c r="A6549" s="217">
        <v>43615.538296875</v>
      </c>
      <c r="B6549" s="3" t="s">
        <v>5184</v>
      </c>
      <c r="C6549" s="3" t="s">
        <v>719</v>
      </c>
      <c r="D6549" s="265">
        <v>1.0</v>
      </c>
      <c r="E6549" s="3">
        <v>2390.0</v>
      </c>
      <c r="G6549" s="266">
        <v>43605.0</v>
      </c>
    </row>
    <row r="6550">
      <c r="A6550" s="217">
        <v>43615.54311006944</v>
      </c>
      <c r="B6550" s="3" t="s">
        <v>5184</v>
      </c>
      <c r="C6550" s="3" t="s">
        <v>1359</v>
      </c>
      <c r="D6550" s="265">
        <v>1.0</v>
      </c>
      <c r="E6550" s="3">
        <v>2390.0</v>
      </c>
      <c r="G6550" s="266">
        <v>43605.0</v>
      </c>
    </row>
    <row r="6551">
      <c r="A6551" s="217">
        <v>43615.544368125</v>
      </c>
      <c r="B6551" s="3" t="s">
        <v>5184</v>
      </c>
      <c r="C6551" s="3" t="s">
        <v>1369</v>
      </c>
      <c r="D6551" s="265">
        <v>2.0</v>
      </c>
      <c r="E6551" s="3">
        <v>2160.0</v>
      </c>
      <c r="G6551" s="266">
        <v>43605.0</v>
      </c>
    </row>
    <row r="6552">
      <c r="A6552" s="217">
        <v>43615.55286924768</v>
      </c>
      <c r="B6552" s="3" t="s">
        <v>5184</v>
      </c>
      <c r="C6552" s="3" t="s">
        <v>5655</v>
      </c>
      <c r="D6552" s="265">
        <v>1.0</v>
      </c>
      <c r="E6552" s="3">
        <v>2250.0</v>
      </c>
      <c r="G6552" s="266">
        <v>43605.0</v>
      </c>
    </row>
    <row r="6553">
      <c r="A6553" s="217">
        <v>43615.55432648148</v>
      </c>
      <c r="B6553" s="3" t="s">
        <v>5184</v>
      </c>
      <c r="C6553" s="3" t="s">
        <v>5662</v>
      </c>
      <c r="D6553" s="265">
        <v>1.0</v>
      </c>
      <c r="E6553" s="3">
        <v>2250.0</v>
      </c>
      <c r="G6553" s="266">
        <v>43605.0</v>
      </c>
    </row>
    <row r="6554">
      <c r="A6554" s="217">
        <v>43615.555491631945</v>
      </c>
      <c r="B6554" s="3" t="s">
        <v>5184</v>
      </c>
      <c r="C6554" s="3" t="s">
        <v>1389</v>
      </c>
      <c r="D6554" s="265">
        <v>1.0</v>
      </c>
      <c r="E6554" s="3">
        <v>2250.0</v>
      </c>
      <c r="G6554" s="266">
        <v>43605.0</v>
      </c>
    </row>
    <row r="6555">
      <c r="A6555" s="217">
        <v>43615.6211712963</v>
      </c>
      <c r="B6555" s="3" t="s">
        <v>5184</v>
      </c>
      <c r="C6555" s="3" t="s">
        <v>725</v>
      </c>
      <c r="D6555" s="265">
        <v>5.0</v>
      </c>
      <c r="E6555" s="3">
        <v>2160.0</v>
      </c>
      <c r="G6555" s="266">
        <v>43605.0</v>
      </c>
    </row>
    <row r="6556">
      <c r="A6556" s="217">
        <v>43615.623190150465</v>
      </c>
      <c r="B6556" s="3" t="s">
        <v>5184</v>
      </c>
      <c r="C6556" s="3" t="s">
        <v>6896</v>
      </c>
      <c r="D6556" s="265">
        <v>1.0</v>
      </c>
      <c r="E6556" s="3">
        <v>2160.0</v>
      </c>
      <c r="G6556" s="266">
        <v>43605.0</v>
      </c>
    </row>
    <row r="6557">
      <c r="A6557" s="217">
        <v>43615.62806729166</v>
      </c>
      <c r="B6557" s="3" t="s">
        <v>5184</v>
      </c>
      <c r="C6557" s="3" t="s">
        <v>1446</v>
      </c>
      <c r="D6557" s="265">
        <v>1.0</v>
      </c>
      <c r="E6557" s="3">
        <v>2450.0</v>
      </c>
      <c r="G6557" s="266">
        <v>43605.0</v>
      </c>
    </row>
    <row r="6558">
      <c r="A6558" s="217">
        <v>43615.62926944444</v>
      </c>
      <c r="B6558" s="3" t="s">
        <v>5184</v>
      </c>
      <c r="C6558" s="3" t="s">
        <v>8415</v>
      </c>
      <c r="D6558" s="265">
        <v>1.0</v>
      </c>
      <c r="E6558" s="3">
        <v>2450.0</v>
      </c>
      <c r="G6558" s="266">
        <v>43605.0</v>
      </c>
    </row>
    <row r="6559">
      <c r="A6559" s="217">
        <v>43615.63036810185</v>
      </c>
      <c r="B6559" s="3" t="s">
        <v>5184</v>
      </c>
      <c r="C6559" s="3" t="s">
        <v>7913</v>
      </c>
      <c r="D6559" s="265">
        <v>1.0</v>
      </c>
      <c r="E6559" s="3">
        <v>1995.0</v>
      </c>
      <c r="G6559" s="266">
        <v>43605.0</v>
      </c>
    </row>
    <row r="6560">
      <c r="A6560" s="217">
        <v>43615.63107047454</v>
      </c>
      <c r="B6560" s="3" t="s">
        <v>5184</v>
      </c>
      <c r="C6560" s="3" t="s">
        <v>7173</v>
      </c>
      <c r="D6560" s="265">
        <v>1.0</v>
      </c>
      <c r="E6560" s="3">
        <v>1995.0</v>
      </c>
      <c r="G6560" s="266">
        <v>43605.0</v>
      </c>
    </row>
    <row r="6561">
      <c r="A6561" s="217">
        <v>43615.632395057866</v>
      </c>
      <c r="B6561" s="3" t="s">
        <v>5184</v>
      </c>
      <c r="C6561" s="3" t="s">
        <v>705</v>
      </c>
      <c r="D6561" s="265">
        <v>1.0</v>
      </c>
      <c r="E6561" s="3">
        <v>1800.0</v>
      </c>
      <c r="G6561" s="266">
        <v>43605.0</v>
      </c>
    </row>
    <row r="6562">
      <c r="A6562" s="217">
        <v>43615.63336059028</v>
      </c>
      <c r="B6562" s="3" t="s">
        <v>5184</v>
      </c>
      <c r="C6562" s="3" t="s">
        <v>729</v>
      </c>
      <c r="D6562" s="265">
        <v>1.0</v>
      </c>
      <c r="E6562" s="3">
        <v>2590.0</v>
      </c>
      <c r="G6562" s="266">
        <v>43605.0</v>
      </c>
    </row>
    <row r="6563">
      <c r="A6563" s="217">
        <v>43615.63436935185</v>
      </c>
      <c r="B6563" s="3" t="s">
        <v>5184</v>
      </c>
      <c r="C6563" s="3" t="s">
        <v>6174</v>
      </c>
      <c r="D6563" s="265">
        <v>1.0</v>
      </c>
      <c r="E6563" s="3">
        <v>2000.0</v>
      </c>
      <c r="G6563" s="266">
        <v>43605.0</v>
      </c>
    </row>
    <row r="6564">
      <c r="A6564" s="217">
        <v>43615.63535159722</v>
      </c>
      <c r="B6564" s="3" t="s">
        <v>5184</v>
      </c>
      <c r="C6564" s="3" t="s">
        <v>5653</v>
      </c>
      <c r="D6564" s="265">
        <v>1.0</v>
      </c>
      <c r="E6564" s="3">
        <v>2000.0</v>
      </c>
      <c r="G6564" s="266">
        <v>43605.0</v>
      </c>
    </row>
    <row r="6565">
      <c r="A6565" s="217">
        <v>43615.63630435185</v>
      </c>
      <c r="B6565" s="3" t="s">
        <v>5184</v>
      </c>
      <c r="C6565" s="3" t="s">
        <v>5670</v>
      </c>
      <c r="D6565" s="265">
        <v>1.0</v>
      </c>
      <c r="E6565" s="3">
        <v>2000.0</v>
      </c>
      <c r="G6565" s="266">
        <v>43605.0</v>
      </c>
    </row>
    <row r="6566">
      <c r="A6566" s="217">
        <v>43615.63713425926</v>
      </c>
      <c r="B6566" s="3" t="s">
        <v>5184</v>
      </c>
      <c r="C6566" s="3" t="s">
        <v>8903</v>
      </c>
      <c r="D6566" s="265">
        <v>1.0</v>
      </c>
      <c r="E6566" s="3">
        <v>2160.0</v>
      </c>
      <c r="G6566" s="266">
        <v>43605.0</v>
      </c>
    </row>
    <row r="6567">
      <c r="A6567" s="217">
        <v>43615.6379725</v>
      </c>
      <c r="B6567" s="3" t="s">
        <v>5184</v>
      </c>
      <c r="C6567" s="3" t="s">
        <v>5863</v>
      </c>
      <c r="D6567" s="265">
        <v>1.0</v>
      </c>
      <c r="E6567" s="3">
        <v>2160.0</v>
      </c>
      <c r="G6567" s="266">
        <v>43605.0</v>
      </c>
    </row>
    <row r="6568">
      <c r="A6568" s="217">
        <v>43615.63872840277</v>
      </c>
      <c r="B6568" s="3" t="s">
        <v>5184</v>
      </c>
      <c r="C6568" s="3" t="s">
        <v>1378</v>
      </c>
      <c r="D6568" s="265">
        <v>1.0</v>
      </c>
      <c r="E6568" s="3">
        <v>2160.0</v>
      </c>
      <c r="G6568" s="266">
        <v>43605.0</v>
      </c>
    </row>
    <row r="6569">
      <c r="A6569" s="217">
        <v>43615.63977</v>
      </c>
      <c r="B6569" s="3" t="s">
        <v>5184</v>
      </c>
      <c r="C6569" s="3" t="s">
        <v>1411</v>
      </c>
      <c r="D6569" s="265">
        <v>1.0</v>
      </c>
      <c r="E6569" s="3">
        <v>2590.0</v>
      </c>
      <c r="G6569" s="266">
        <v>43605.0</v>
      </c>
    </row>
    <row r="6570">
      <c r="A6570" s="217">
        <v>43615.64071486111</v>
      </c>
      <c r="B6570" s="3" t="s">
        <v>5184</v>
      </c>
      <c r="C6570" s="3" t="s">
        <v>727</v>
      </c>
      <c r="D6570" s="265">
        <v>1.0</v>
      </c>
      <c r="E6570" s="3">
        <v>2590.0</v>
      </c>
      <c r="G6570" s="266">
        <v>43605.0</v>
      </c>
    </row>
    <row r="6571">
      <c r="A6571" s="217">
        <v>43615.64182434027</v>
      </c>
      <c r="B6571" s="3" t="s">
        <v>5184</v>
      </c>
      <c r="C6571" s="3" t="s">
        <v>5692</v>
      </c>
      <c r="D6571" s="265">
        <v>1.0</v>
      </c>
      <c r="E6571" s="3">
        <v>1800.0</v>
      </c>
      <c r="G6571" s="266">
        <v>43605.0</v>
      </c>
    </row>
    <row r="6572">
      <c r="A6572" s="217">
        <v>43615.642777175926</v>
      </c>
      <c r="B6572" s="3" t="s">
        <v>5184</v>
      </c>
      <c r="C6572" s="3" t="s">
        <v>704</v>
      </c>
      <c r="D6572" s="265">
        <v>1.0</v>
      </c>
      <c r="E6572" s="3">
        <v>1800.0</v>
      </c>
      <c r="G6572" s="266">
        <v>43605.0</v>
      </c>
    </row>
    <row r="6573">
      <c r="A6573" s="217">
        <v>43615.644732326386</v>
      </c>
      <c r="B6573" s="3" t="s">
        <v>5184</v>
      </c>
      <c r="C6573" s="3" t="s">
        <v>1307</v>
      </c>
      <c r="D6573" s="265">
        <v>1.0</v>
      </c>
      <c r="E6573" s="3">
        <v>1800.0</v>
      </c>
      <c r="G6573" s="266">
        <v>43605.0</v>
      </c>
    </row>
    <row r="6574">
      <c r="A6574" s="217">
        <v>43615.64583538195</v>
      </c>
      <c r="B6574" s="3" t="s">
        <v>5184</v>
      </c>
      <c r="C6574" s="3" t="s">
        <v>5665</v>
      </c>
      <c r="D6574" s="265">
        <v>1.0</v>
      </c>
      <c r="E6574" s="3">
        <v>2000.0</v>
      </c>
      <c r="G6574" s="266">
        <v>43605.0</v>
      </c>
    </row>
    <row r="6575">
      <c r="A6575" s="217">
        <v>43615.68285672454</v>
      </c>
      <c r="B6575" s="3" t="s">
        <v>5184</v>
      </c>
      <c r="C6575" s="3" t="s">
        <v>730</v>
      </c>
      <c r="D6575" s="265">
        <v>1.0</v>
      </c>
      <c r="E6575" s="3">
        <v>2250.0</v>
      </c>
      <c r="G6575" s="266">
        <v>43607.0</v>
      </c>
    </row>
    <row r="6576">
      <c r="A6576" s="217">
        <v>43615.683764953705</v>
      </c>
      <c r="B6576" s="3" t="s">
        <v>5184</v>
      </c>
      <c r="C6576" s="3" t="s">
        <v>722</v>
      </c>
      <c r="D6576" s="265">
        <v>1.0</v>
      </c>
      <c r="E6576" s="3">
        <v>2250.0</v>
      </c>
      <c r="G6576" s="266">
        <v>43607.0</v>
      </c>
    </row>
    <row r="6577">
      <c r="A6577" s="217">
        <v>43615.6845712963</v>
      </c>
      <c r="B6577" s="3" t="s">
        <v>5184</v>
      </c>
      <c r="C6577" s="3" t="s">
        <v>5874</v>
      </c>
      <c r="D6577" s="265">
        <v>1.0</v>
      </c>
      <c r="E6577" s="3">
        <v>2160.0</v>
      </c>
      <c r="G6577" s="266">
        <v>43607.0</v>
      </c>
    </row>
    <row r="6578">
      <c r="A6578" s="217">
        <v>43615.68558533565</v>
      </c>
      <c r="B6578" s="3" t="s">
        <v>5184</v>
      </c>
      <c r="C6578" s="3" t="s">
        <v>5612</v>
      </c>
      <c r="D6578" s="265">
        <v>1.0</v>
      </c>
      <c r="E6578" s="3">
        <v>1800.0</v>
      </c>
      <c r="G6578" s="266">
        <v>43607.0</v>
      </c>
    </row>
    <row r="6579">
      <c r="A6579" s="217">
        <v>43615.686477361116</v>
      </c>
      <c r="B6579" s="3" t="s">
        <v>5184</v>
      </c>
      <c r="C6579" s="3" t="s">
        <v>5687</v>
      </c>
      <c r="D6579" s="265">
        <v>1.0</v>
      </c>
      <c r="E6579" s="3">
        <v>1800.0</v>
      </c>
      <c r="G6579" s="266">
        <v>43607.0</v>
      </c>
    </row>
    <row r="6580">
      <c r="A6580" s="217">
        <v>43615.68741244213</v>
      </c>
      <c r="B6580" s="3" t="s">
        <v>5184</v>
      </c>
      <c r="C6580" s="3" t="s">
        <v>8635</v>
      </c>
      <c r="D6580" s="265">
        <v>1.0</v>
      </c>
      <c r="E6580" s="3">
        <v>2780.0</v>
      </c>
      <c r="G6580" s="266">
        <v>43607.0</v>
      </c>
    </row>
    <row r="6581">
      <c r="A6581" s="217">
        <v>43615.68979015046</v>
      </c>
      <c r="B6581" s="3" t="s">
        <v>5184</v>
      </c>
      <c r="C6581" s="3" t="s">
        <v>5544</v>
      </c>
      <c r="D6581" s="265">
        <v>1.0</v>
      </c>
      <c r="E6581" s="3">
        <v>1800.0</v>
      </c>
      <c r="G6581" s="266">
        <v>43607.0</v>
      </c>
    </row>
    <row r="6582">
      <c r="A6582" s="217">
        <v>43615.69092439815</v>
      </c>
      <c r="B6582" s="3" t="s">
        <v>5184</v>
      </c>
      <c r="C6582" s="3" t="s">
        <v>8642</v>
      </c>
      <c r="D6582" s="265">
        <v>1.0</v>
      </c>
      <c r="E6582" s="3">
        <v>2650.0</v>
      </c>
      <c r="G6582" s="266">
        <v>43607.0</v>
      </c>
    </row>
    <row r="6583">
      <c r="A6583" s="217">
        <v>43615.6937875463</v>
      </c>
      <c r="B6583" s="3" t="s">
        <v>5184</v>
      </c>
      <c r="C6583" s="3" t="s">
        <v>9118</v>
      </c>
      <c r="D6583" s="265">
        <v>1.0</v>
      </c>
      <c r="G6583" s="266">
        <v>43607.0</v>
      </c>
    </row>
    <row r="6584">
      <c r="A6584" s="217">
        <v>43615.69518420139</v>
      </c>
      <c r="B6584" s="3" t="s">
        <v>5184</v>
      </c>
      <c r="C6584" s="3" t="s">
        <v>9119</v>
      </c>
      <c r="D6584" s="265">
        <v>1.0</v>
      </c>
      <c r="E6584" s="3">
        <v>9210.0</v>
      </c>
      <c r="G6584" s="266">
        <v>43607.0</v>
      </c>
    </row>
    <row r="6585">
      <c r="A6585" s="217">
        <v>43615.69660174768</v>
      </c>
      <c r="B6585" s="3" t="s">
        <v>5184</v>
      </c>
      <c r="C6585" s="3" t="s">
        <v>5239</v>
      </c>
      <c r="D6585" s="265">
        <v>1.0</v>
      </c>
      <c r="E6585" s="3">
        <v>9100.0</v>
      </c>
      <c r="G6585" s="266">
        <v>43607.0</v>
      </c>
    </row>
    <row r="6586">
      <c r="A6586" s="217">
        <v>43615.69887644676</v>
      </c>
      <c r="B6586" s="3" t="s">
        <v>5184</v>
      </c>
      <c r="C6586" s="3" t="s">
        <v>5460</v>
      </c>
      <c r="D6586" s="265">
        <v>2.0</v>
      </c>
      <c r="E6586" s="3">
        <v>4290.0</v>
      </c>
      <c r="G6586" s="266">
        <v>43607.0</v>
      </c>
    </row>
    <row r="6587">
      <c r="A6587" s="217">
        <v>43615.70026565972</v>
      </c>
      <c r="B6587" s="3" t="s">
        <v>5184</v>
      </c>
      <c r="C6587" s="3" t="s">
        <v>2165</v>
      </c>
      <c r="D6587" s="265">
        <v>1.0</v>
      </c>
      <c r="E6587" s="3">
        <v>5490.0</v>
      </c>
      <c r="G6587" s="266">
        <v>43607.0</v>
      </c>
    </row>
    <row r="6588">
      <c r="A6588" s="217">
        <v>43615.70202888889</v>
      </c>
      <c r="B6588" s="3" t="s">
        <v>5184</v>
      </c>
      <c r="C6588" s="3" t="s">
        <v>5489</v>
      </c>
      <c r="D6588" s="265">
        <v>1.0</v>
      </c>
      <c r="E6588" s="3">
        <v>3490.0</v>
      </c>
      <c r="G6588" s="266">
        <v>43607.0</v>
      </c>
    </row>
    <row r="6589">
      <c r="A6589" s="217">
        <v>43615.704279756945</v>
      </c>
      <c r="B6589" s="3" t="s">
        <v>5184</v>
      </c>
      <c r="C6589" s="3" t="s">
        <v>9120</v>
      </c>
      <c r="D6589" s="265">
        <v>1.0</v>
      </c>
      <c r="E6589" s="3">
        <v>7190.0</v>
      </c>
      <c r="G6589" s="266">
        <v>43612.0</v>
      </c>
    </row>
    <row r="6590">
      <c r="A6590" s="217">
        <v>43615.707325509255</v>
      </c>
      <c r="B6590" s="3" t="s">
        <v>5184</v>
      </c>
      <c r="C6590" s="3" t="s">
        <v>9122</v>
      </c>
      <c r="D6590" s="265">
        <v>1.0</v>
      </c>
      <c r="E6590" s="3">
        <v>7190.0</v>
      </c>
      <c r="G6590" s="266">
        <v>43612.0</v>
      </c>
    </row>
    <row r="6591">
      <c r="A6591" s="217">
        <v>43615.71124708334</v>
      </c>
      <c r="B6591" s="3" t="s">
        <v>5184</v>
      </c>
      <c r="C6591" s="3" t="s">
        <v>6325</v>
      </c>
      <c r="D6591" s="265">
        <v>3.0</v>
      </c>
      <c r="E6591" s="3">
        <v>5490.0</v>
      </c>
      <c r="G6591" s="266">
        <v>43612.0</v>
      </c>
    </row>
    <row r="6592">
      <c r="A6592" s="217">
        <v>43615.71330487268</v>
      </c>
      <c r="B6592" s="3" t="s">
        <v>5184</v>
      </c>
      <c r="C6592" s="3" t="s">
        <v>9123</v>
      </c>
      <c r="D6592" s="265">
        <v>1.0</v>
      </c>
      <c r="E6592" s="3">
        <v>5290.0</v>
      </c>
      <c r="G6592" s="266">
        <v>43608.0</v>
      </c>
    </row>
    <row r="6593">
      <c r="A6593" s="217">
        <v>43615.71644365741</v>
      </c>
      <c r="B6593" s="3" t="s">
        <v>5184</v>
      </c>
      <c r="C6593" s="3" t="s">
        <v>2265</v>
      </c>
      <c r="D6593" s="265">
        <v>1.0</v>
      </c>
      <c r="E6593" s="3">
        <v>5590.0</v>
      </c>
      <c r="G6593" s="266">
        <v>43608.0</v>
      </c>
    </row>
    <row r="6594">
      <c r="A6594" s="217">
        <v>43615.71737048611</v>
      </c>
      <c r="B6594" s="3" t="s">
        <v>5184</v>
      </c>
      <c r="C6594" s="3" t="s">
        <v>9125</v>
      </c>
      <c r="D6594" s="265">
        <v>1.0</v>
      </c>
      <c r="E6594" s="3">
        <v>5590.0</v>
      </c>
      <c r="G6594" s="266">
        <v>43608.0</v>
      </c>
    </row>
    <row r="6595">
      <c r="A6595" s="217">
        <v>43615.71927391204</v>
      </c>
      <c r="B6595" s="3" t="s">
        <v>5184</v>
      </c>
      <c r="C6595" s="3" t="s">
        <v>9126</v>
      </c>
      <c r="D6595" s="265">
        <v>2.0</v>
      </c>
      <c r="E6595" s="3">
        <v>7190.0</v>
      </c>
      <c r="G6595" s="266">
        <v>43608.0</v>
      </c>
    </row>
    <row r="6596">
      <c r="A6596" s="217">
        <v>43615.7204546875</v>
      </c>
      <c r="B6596" s="3" t="s">
        <v>5184</v>
      </c>
      <c r="C6596" s="3" t="s">
        <v>2306</v>
      </c>
      <c r="D6596" s="265">
        <v>1.0</v>
      </c>
      <c r="E6596" s="3">
        <v>5590.0</v>
      </c>
      <c r="G6596" s="266">
        <v>43608.0</v>
      </c>
    </row>
    <row r="6597">
      <c r="A6597" s="217">
        <v>43615.72153127315</v>
      </c>
      <c r="B6597" s="3" t="s">
        <v>5184</v>
      </c>
      <c r="C6597" s="3" t="s">
        <v>9127</v>
      </c>
      <c r="D6597" s="265">
        <v>1.0</v>
      </c>
      <c r="E6597" s="3">
        <v>7190.0</v>
      </c>
      <c r="G6597" s="266">
        <v>43608.0</v>
      </c>
    </row>
    <row r="6598">
      <c r="A6598" s="217">
        <v>43615.722470023145</v>
      </c>
      <c r="B6598" s="3" t="s">
        <v>5184</v>
      </c>
      <c r="C6598" s="3" t="s">
        <v>8801</v>
      </c>
      <c r="D6598" s="265">
        <v>1.0</v>
      </c>
      <c r="E6598" s="3">
        <v>7190.0</v>
      </c>
      <c r="G6598" s="266">
        <v>43608.0</v>
      </c>
    </row>
    <row r="6599">
      <c r="A6599" s="217">
        <v>43615.72360158565</v>
      </c>
      <c r="B6599" s="3" t="s">
        <v>5184</v>
      </c>
      <c r="C6599" s="3" t="s">
        <v>9128</v>
      </c>
      <c r="D6599" s="265">
        <v>1.0</v>
      </c>
      <c r="E6599" s="3">
        <v>4390.0</v>
      </c>
      <c r="G6599" s="266">
        <v>43608.0</v>
      </c>
    </row>
    <row r="6600">
      <c r="A6600" s="217">
        <v>43615.72432887732</v>
      </c>
      <c r="B6600" s="3" t="s">
        <v>5184</v>
      </c>
      <c r="C6600" s="3" t="s">
        <v>9129</v>
      </c>
      <c r="D6600" s="265">
        <v>2.0</v>
      </c>
      <c r="E6600" s="3">
        <v>4390.0</v>
      </c>
      <c r="G6600" s="266">
        <v>43608.0</v>
      </c>
    </row>
    <row r="6601">
      <c r="A6601" s="217">
        <v>43615.725219976855</v>
      </c>
      <c r="B6601" s="3" t="s">
        <v>5184</v>
      </c>
      <c r="C6601" s="3" t="s">
        <v>8793</v>
      </c>
      <c r="D6601" s="265">
        <v>1.0</v>
      </c>
      <c r="E6601" s="3">
        <v>5590.0</v>
      </c>
      <c r="G6601" s="266">
        <v>43608.0</v>
      </c>
    </row>
    <row r="6602">
      <c r="A6602" s="217">
        <v>43615.72609354167</v>
      </c>
      <c r="B6602" s="3" t="s">
        <v>5184</v>
      </c>
      <c r="C6602" s="3" t="s">
        <v>8794</v>
      </c>
      <c r="D6602" s="265">
        <v>1.0</v>
      </c>
      <c r="E6602" s="3">
        <v>5590.0</v>
      </c>
      <c r="G6602" s="266">
        <v>43608.0</v>
      </c>
    </row>
    <row r="6603">
      <c r="A6603" s="217">
        <v>43615.73618086806</v>
      </c>
      <c r="B6603" s="3" t="s">
        <v>5184</v>
      </c>
      <c r="C6603" s="3" t="s">
        <v>9130</v>
      </c>
      <c r="D6603" s="265">
        <v>1.0</v>
      </c>
      <c r="E6603" s="3">
        <v>5090.0</v>
      </c>
      <c r="G6603" s="266">
        <v>43609.0</v>
      </c>
    </row>
    <row r="6604">
      <c r="A6604" s="217">
        <v>43616.42536392361</v>
      </c>
      <c r="B6604" s="3" t="s">
        <v>5184</v>
      </c>
      <c r="C6604" s="3" t="s">
        <v>9132</v>
      </c>
      <c r="D6604" s="265">
        <v>1.0</v>
      </c>
      <c r="E6604" s="3">
        <v>5090.0</v>
      </c>
      <c r="G6604" s="266">
        <v>43609.0</v>
      </c>
    </row>
    <row r="6605">
      <c r="A6605" s="217">
        <v>43616.42641771991</v>
      </c>
      <c r="B6605" s="3" t="s">
        <v>5184</v>
      </c>
      <c r="C6605" s="3" t="s">
        <v>8786</v>
      </c>
      <c r="D6605" s="265">
        <v>1.0</v>
      </c>
      <c r="E6605" s="3">
        <v>5090.0</v>
      </c>
      <c r="G6605" s="266">
        <v>43609.0</v>
      </c>
    </row>
    <row r="6606">
      <c r="A6606" s="217">
        <v>43616.42746115741</v>
      </c>
      <c r="B6606" s="3" t="s">
        <v>5184</v>
      </c>
      <c r="C6606" s="3" t="s">
        <v>9133</v>
      </c>
      <c r="D6606" s="265">
        <v>1.0</v>
      </c>
      <c r="E6606" s="3">
        <v>5090.0</v>
      </c>
      <c r="G6606" s="266">
        <v>43609.0</v>
      </c>
    </row>
    <row r="6607">
      <c r="A6607" s="217">
        <v>43616.428256053245</v>
      </c>
      <c r="B6607" s="3" t="s">
        <v>5184</v>
      </c>
      <c r="C6607" s="3" t="s">
        <v>9134</v>
      </c>
      <c r="D6607" s="265">
        <v>1.0</v>
      </c>
      <c r="E6607" s="3">
        <v>5090.0</v>
      </c>
      <c r="G6607" s="266">
        <v>43609.0</v>
      </c>
    </row>
    <row r="6608">
      <c r="A6608" s="217">
        <v>43616.429676342595</v>
      </c>
      <c r="B6608" s="3" t="s">
        <v>5184</v>
      </c>
      <c r="C6608" s="3" t="s">
        <v>9135</v>
      </c>
      <c r="D6608" s="265">
        <v>2.0</v>
      </c>
      <c r="E6608" s="3">
        <v>7190.0</v>
      </c>
      <c r="G6608" s="266">
        <v>43609.0</v>
      </c>
    </row>
    <row r="6609">
      <c r="A6609" s="217">
        <v>43616.43069253472</v>
      </c>
      <c r="B6609" s="3" t="s">
        <v>5184</v>
      </c>
      <c r="C6609" s="3" t="s">
        <v>2290</v>
      </c>
      <c r="D6609" s="265">
        <v>1.0</v>
      </c>
      <c r="E6609" s="3">
        <v>7190.0</v>
      </c>
      <c r="G6609" s="266">
        <v>43609.0</v>
      </c>
    </row>
    <row r="6610">
      <c r="A6610" s="217">
        <v>43616.44218915509</v>
      </c>
      <c r="B6610" s="3" t="s">
        <v>5184</v>
      </c>
      <c r="C6610" s="3" t="s">
        <v>9136</v>
      </c>
      <c r="D6610" s="265">
        <v>2.0</v>
      </c>
      <c r="E6610" s="3">
        <v>7190.0</v>
      </c>
      <c r="G6610" s="266">
        <v>43609.0</v>
      </c>
    </row>
    <row r="6611">
      <c r="A6611" s="217">
        <v>43616.443311724535</v>
      </c>
      <c r="B6611" s="3" t="s">
        <v>5184</v>
      </c>
      <c r="C6611" s="3" t="s">
        <v>9137</v>
      </c>
      <c r="D6611" s="265">
        <v>1.0</v>
      </c>
      <c r="E6611" s="3">
        <v>7190.0</v>
      </c>
      <c r="G6611" s="266">
        <v>43609.0</v>
      </c>
    </row>
    <row r="6612">
      <c r="A6612" s="217">
        <v>43616.44819244213</v>
      </c>
      <c r="B6612" s="3" t="s">
        <v>5184</v>
      </c>
      <c r="C6612" s="3" t="s">
        <v>9138</v>
      </c>
      <c r="D6612" s="265">
        <v>1.0</v>
      </c>
      <c r="E6612" s="3">
        <v>7190.0</v>
      </c>
      <c r="G6612" s="266">
        <v>43609.0</v>
      </c>
    </row>
    <row r="6613">
      <c r="A6613" s="217">
        <v>43616.46117684028</v>
      </c>
      <c r="B6613" s="3" t="s">
        <v>5184</v>
      </c>
      <c r="C6613" s="3" t="s">
        <v>2120</v>
      </c>
      <c r="D6613" s="265">
        <v>4.0</v>
      </c>
      <c r="E6613" s="3">
        <v>5990.0</v>
      </c>
      <c r="G6613" s="266">
        <v>43612.0</v>
      </c>
    </row>
    <row r="6614">
      <c r="A6614" s="217">
        <v>43616.49549913194</v>
      </c>
      <c r="B6614" s="3" t="s">
        <v>5184</v>
      </c>
      <c r="C6614" s="3" t="s">
        <v>2287</v>
      </c>
      <c r="D6614" s="265">
        <v>1.0</v>
      </c>
      <c r="E6614" s="3">
        <v>7190.0</v>
      </c>
      <c r="G6614" s="266">
        <v>43610.0</v>
      </c>
    </row>
    <row r="6615">
      <c r="A6615" s="217">
        <v>43616.497962395835</v>
      </c>
      <c r="B6615" s="3" t="s">
        <v>5184</v>
      </c>
      <c r="C6615" s="3" t="s">
        <v>8788</v>
      </c>
      <c r="D6615" s="265">
        <v>1.0</v>
      </c>
      <c r="E6615" s="3">
        <v>7190.0</v>
      </c>
      <c r="G6615" s="266">
        <v>43610.0</v>
      </c>
    </row>
    <row r="6616">
      <c r="A6616" s="217">
        <v>43616.4988916088</v>
      </c>
      <c r="B6616" s="3" t="s">
        <v>5184</v>
      </c>
      <c r="C6616" s="3" t="s">
        <v>2295</v>
      </c>
      <c r="D6616" s="265">
        <v>1.0</v>
      </c>
      <c r="E6616" s="3">
        <v>7190.0</v>
      </c>
      <c r="G6616" s="266">
        <v>43610.0</v>
      </c>
    </row>
    <row r="6617">
      <c r="A6617" s="217">
        <v>43616.4997787037</v>
      </c>
      <c r="B6617" s="3" t="s">
        <v>5184</v>
      </c>
      <c r="C6617" s="3" t="s">
        <v>9140</v>
      </c>
      <c r="D6617" s="265">
        <v>1.0</v>
      </c>
      <c r="E6617" s="3">
        <v>7190.0</v>
      </c>
      <c r="G6617" s="266">
        <v>43610.0</v>
      </c>
    </row>
    <row r="6618">
      <c r="A6618" s="217">
        <v>43616.501110625</v>
      </c>
      <c r="B6618" s="3" t="s">
        <v>5184</v>
      </c>
      <c r="C6618" s="3" t="s">
        <v>8796</v>
      </c>
      <c r="D6618" s="265">
        <v>1.0</v>
      </c>
      <c r="E6618" s="3">
        <v>5790.0</v>
      </c>
      <c r="G6618" s="266">
        <v>43610.0</v>
      </c>
    </row>
    <row r="6619">
      <c r="A6619" s="217">
        <v>43616.50241277777</v>
      </c>
      <c r="B6619" s="3" t="s">
        <v>5184</v>
      </c>
      <c r="C6619" s="3" t="s">
        <v>2275</v>
      </c>
      <c r="D6619" s="265">
        <v>2.0</v>
      </c>
      <c r="E6619" s="3">
        <v>5590.0</v>
      </c>
      <c r="G6619" s="266">
        <v>43610.0</v>
      </c>
    </row>
    <row r="6620">
      <c r="A6620" s="217">
        <v>43616.50345054398</v>
      </c>
      <c r="B6620" s="3" t="s">
        <v>5184</v>
      </c>
      <c r="C6620" s="3" t="s">
        <v>9141</v>
      </c>
      <c r="D6620" s="265">
        <v>1.0</v>
      </c>
      <c r="E6620" s="3">
        <v>7190.0</v>
      </c>
      <c r="G6620" s="266">
        <v>43610.0</v>
      </c>
    </row>
    <row r="6621">
      <c r="A6621" s="217">
        <v>43616.505047314815</v>
      </c>
      <c r="B6621" s="3" t="s">
        <v>5184</v>
      </c>
      <c r="C6621" s="3" t="s">
        <v>9142</v>
      </c>
      <c r="D6621" s="265">
        <v>1.0</v>
      </c>
      <c r="E6621" s="3">
        <v>7190.0</v>
      </c>
      <c r="G6621" s="266">
        <v>43610.0</v>
      </c>
    </row>
    <row r="6622">
      <c r="A6622" s="217">
        <v>43616.506707106484</v>
      </c>
      <c r="B6622" s="3" t="s">
        <v>5184</v>
      </c>
      <c r="C6622" s="3" t="s">
        <v>2278</v>
      </c>
      <c r="D6622" s="265">
        <v>1.0</v>
      </c>
      <c r="E6622" s="3">
        <v>7190.0</v>
      </c>
      <c r="G6622" s="266">
        <v>43610.0</v>
      </c>
    </row>
    <row r="6623">
      <c r="A6623" s="217">
        <v>43616.510312592596</v>
      </c>
      <c r="B6623" s="3" t="s">
        <v>5184</v>
      </c>
      <c r="C6623" s="3" t="s">
        <v>9144</v>
      </c>
      <c r="D6623" s="265">
        <v>1.0</v>
      </c>
      <c r="E6623" s="3">
        <v>7190.0</v>
      </c>
      <c r="G6623" s="266">
        <v>43610.0</v>
      </c>
    </row>
    <row r="6624">
      <c r="A6624" s="217">
        <v>43616.734958553236</v>
      </c>
      <c r="B6624" s="3" t="s">
        <v>5184</v>
      </c>
      <c r="C6624" s="3" t="s">
        <v>9145</v>
      </c>
      <c r="D6624" s="265">
        <v>1.0</v>
      </c>
      <c r="E6624" s="3">
        <v>500.0</v>
      </c>
      <c r="G6624" s="266">
        <v>43615.0</v>
      </c>
    </row>
    <row r="6625">
      <c r="A6625" s="217">
        <v>43616.73549914351</v>
      </c>
      <c r="B6625" s="3" t="s">
        <v>5184</v>
      </c>
      <c r="C6625" s="3" t="s">
        <v>284</v>
      </c>
      <c r="D6625" s="265">
        <v>1.0</v>
      </c>
      <c r="E6625" s="3">
        <v>400.0</v>
      </c>
      <c r="G6625" s="266">
        <v>43615.0</v>
      </c>
    </row>
    <row r="6626">
      <c r="A6626" s="217">
        <v>43616.736393680556</v>
      </c>
      <c r="B6626" s="3" t="s">
        <v>5184</v>
      </c>
      <c r="C6626" s="3" t="s">
        <v>9147</v>
      </c>
      <c r="D6626" s="265">
        <v>1.0</v>
      </c>
      <c r="E6626" s="3">
        <v>250.0</v>
      </c>
      <c r="G6626" s="266">
        <v>43615.0</v>
      </c>
    </row>
    <row r="6627">
      <c r="A6627" s="217">
        <v>43616.736959490736</v>
      </c>
      <c r="B6627" s="3" t="s">
        <v>5184</v>
      </c>
      <c r="C6627" s="3" t="s">
        <v>6053</v>
      </c>
      <c r="D6627" s="265">
        <v>1.0</v>
      </c>
      <c r="E6627" s="3">
        <v>300.0</v>
      </c>
      <c r="G6627" s="266">
        <v>43615.0</v>
      </c>
    </row>
    <row r="6628">
      <c r="A6628" s="217">
        <v>43616.73762310186</v>
      </c>
      <c r="B6628" s="3" t="s">
        <v>5184</v>
      </c>
      <c r="C6628" s="3" t="s">
        <v>6053</v>
      </c>
      <c r="D6628" s="265">
        <v>1.0</v>
      </c>
      <c r="E6628" s="3">
        <v>300.0</v>
      </c>
      <c r="G6628" s="266">
        <v>43615.0</v>
      </c>
    </row>
    <row r="6629">
      <c r="A6629" s="217">
        <v>43616.73868359954</v>
      </c>
      <c r="B6629" s="3" t="s">
        <v>5184</v>
      </c>
      <c r="C6629" s="3" t="s">
        <v>9150</v>
      </c>
      <c r="D6629" s="265">
        <v>1.0</v>
      </c>
      <c r="E6629" s="3">
        <v>350.0</v>
      </c>
      <c r="G6629" s="266">
        <v>43615.0</v>
      </c>
    </row>
    <row r="6630">
      <c r="A6630" s="217">
        <v>43616.73921193287</v>
      </c>
      <c r="B6630" s="3" t="s">
        <v>5184</v>
      </c>
      <c r="C6630" s="3" t="s">
        <v>284</v>
      </c>
      <c r="D6630" s="265">
        <v>1.0</v>
      </c>
      <c r="E6630" s="3">
        <v>400.0</v>
      </c>
      <c r="G6630" s="266">
        <v>43615.0</v>
      </c>
    </row>
    <row r="6631">
      <c r="A6631" s="217">
        <v>43616.740456886575</v>
      </c>
      <c r="B6631" s="3" t="s">
        <v>5184</v>
      </c>
      <c r="C6631" s="3" t="s">
        <v>7496</v>
      </c>
      <c r="D6631" s="265">
        <v>1.0</v>
      </c>
      <c r="E6631" s="3">
        <v>300.0</v>
      </c>
      <c r="G6631" s="266">
        <v>43615.0</v>
      </c>
    </row>
    <row r="6632">
      <c r="A6632" s="217">
        <v>43616.74096122685</v>
      </c>
      <c r="B6632" s="3" t="s">
        <v>5184</v>
      </c>
      <c r="C6632" s="3" t="s">
        <v>7754</v>
      </c>
      <c r="D6632" s="265">
        <v>1.0</v>
      </c>
      <c r="E6632" s="3">
        <v>600.0</v>
      </c>
      <c r="G6632" s="266">
        <v>43615.0</v>
      </c>
    </row>
    <row r="6633">
      <c r="A6633" s="217">
        <v>43616.7422</v>
      </c>
      <c r="B6633" s="3" t="s">
        <v>5184</v>
      </c>
      <c r="C6633" s="3" t="s">
        <v>692</v>
      </c>
      <c r="D6633" s="265">
        <v>1.0</v>
      </c>
      <c r="E6633" s="3">
        <v>450.0</v>
      </c>
      <c r="G6633" s="266">
        <v>43615.0</v>
      </c>
    </row>
    <row r="6634">
      <c r="A6634" s="217">
        <v>43616.74293140046</v>
      </c>
      <c r="B6634" s="3" t="s">
        <v>5184</v>
      </c>
      <c r="C6634" s="3" t="s">
        <v>7754</v>
      </c>
      <c r="D6634" s="265">
        <v>1.0</v>
      </c>
      <c r="E6634" s="3">
        <v>600.0</v>
      </c>
      <c r="G6634" s="266">
        <v>43615.0</v>
      </c>
    </row>
    <row r="6635">
      <c r="A6635" s="217">
        <v>43616.7438353125</v>
      </c>
      <c r="B6635" s="3" t="s">
        <v>5184</v>
      </c>
      <c r="C6635" s="3" t="s">
        <v>7496</v>
      </c>
      <c r="D6635" s="265">
        <v>1.0</v>
      </c>
      <c r="E6635" s="3">
        <v>400.0</v>
      </c>
      <c r="G6635" s="266">
        <v>43615.0</v>
      </c>
    </row>
    <row r="6636">
      <c r="A6636" s="217">
        <v>43616.744451238425</v>
      </c>
      <c r="B6636" s="3" t="s">
        <v>5184</v>
      </c>
      <c r="C6636" s="3" t="s">
        <v>7754</v>
      </c>
      <c r="D6636" s="265">
        <v>1.0</v>
      </c>
      <c r="E6636" s="3">
        <v>600.0</v>
      </c>
      <c r="G6636" s="266">
        <v>43615.0</v>
      </c>
    </row>
    <row r="6637">
      <c r="A6637" s="217">
        <v>43616.74505490741</v>
      </c>
      <c r="B6637" s="3" t="s">
        <v>5184</v>
      </c>
      <c r="C6637" s="3" t="s">
        <v>7496</v>
      </c>
      <c r="D6637" s="265">
        <v>1.0</v>
      </c>
      <c r="E6637" s="3">
        <v>200.0</v>
      </c>
      <c r="G6637" s="266">
        <v>43615.0</v>
      </c>
    </row>
    <row r="6638">
      <c r="A6638" s="217">
        <v>43616.75611428241</v>
      </c>
      <c r="B6638" s="3" t="s">
        <v>5184</v>
      </c>
      <c r="C6638" s="3" t="s">
        <v>9153</v>
      </c>
      <c r="D6638" s="265" t="s">
        <v>7547</v>
      </c>
      <c r="E6638" s="3">
        <v>400.0</v>
      </c>
      <c r="G6638" s="266">
        <v>43615.0</v>
      </c>
    </row>
    <row r="6639">
      <c r="A6639" s="217">
        <v>43616.757508888884</v>
      </c>
      <c r="B6639" s="3" t="s">
        <v>5184</v>
      </c>
      <c r="C6639" s="3" t="s">
        <v>8819</v>
      </c>
      <c r="D6639" s="265">
        <v>1.0</v>
      </c>
      <c r="E6639" s="3">
        <v>4290.0</v>
      </c>
      <c r="G6639" s="266">
        <v>43615.0</v>
      </c>
    </row>
    <row r="6640">
      <c r="A6640" s="217">
        <v>43616.76705940972</v>
      </c>
      <c r="B6640" s="3" t="s">
        <v>5184</v>
      </c>
      <c r="C6640" s="3" t="s">
        <v>1535</v>
      </c>
      <c r="D6640" s="265">
        <v>1.0</v>
      </c>
      <c r="E6640" s="3">
        <v>2780.0</v>
      </c>
      <c r="G6640" s="266">
        <v>43615.0</v>
      </c>
    </row>
    <row r="6641">
      <c r="A6641" s="217">
        <v>43616.76794394676</v>
      </c>
      <c r="B6641" s="3" t="s">
        <v>5184</v>
      </c>
      <c r="C6641" s="3" t="s">
        <v>8660</v>
      </c>
      <c r="D6641" s="265">
        <v>1.0</v>
      </c>
      <c r="E6641" s="3">
        <v>2590.0</v>
      </c>
      <c r="G6641" s="266">
        <v>43615.0</v>
      </c>
    </row>
    <row r="6642">
      <c r="A6642" s="217">
        <v>43616.76915640046</v>
      </c>
      <c r="B6642" s="3" t="s">
        <v>5184</v>
      </c>
      <c r="C6642" s="3" t="s">
        <v>8614</v>
      </c>
      <c r="D6642" s="265">
        <v>1.0</v>
      </c>
      <c r="E6642" s="3">
        <v>3300.0</v>
      </c>
      <c r="G6642" s="266">
        <v>43615.0</v>
      </c>
    </row>
    <row r="6643">
      <c r="A6643" s="217">
        <v>43616.771598437495</v>
      </c>
      <c r="B6643" s="3" t="s">
        <v>5184</v>
      </c>
      <c r="C6643" s="3" t="s">
        <v>7408</v>
      </c>
      <c r="D6643" s="265">
        <v>1.0</v>
      </c>
      <c r="E6643" s="3">
        <v>400.0</v>
      </c>
      <c r="G6643" s="266">
        <v>43616.0</v>
      </c>
    </row>
    <row r="6644">
      <c r="A6644" s="217">
        <v>43616.772152453705</v>
      </c>
      <c r="B6644" s="3" t="s">
        <v>5184</v>
      </c>
      <c r="C6644" s="3" t="s">
        <v>6053</v>
      </c>
      <c r="D6644" s="265">
        <v>1.0</v>
      </c>
      <c r="E6644" s="3">
        <v>300.0</v>
      </c>
      <c r="G6644" s="266">
        <v>43616.0</v>
      </c>
    </row>
    <row r="6645">
      <c r="A6645" s="217">
        <v>43616.77278471064</v>
      </c>
      <c r="B6645" s="3" t="s">
        <v>5184</v>
      </c>
      <c r="C6645" s="3" t="s">
        <v>7496</v>
      </c>
      <c r="D6645" s="265">
        <v>1.0</v>
      </c>
      <c r="E6645" s="3">
        <v>200.0</v>
      </c>
      <c r="G6645" s="266">
        <v>43616.0</v>
      </c>
    </row>
    <row r="6646">
      <c r="A6646" s="217">
        <v>43616.77346841435</v>
      </c>
      <c r="B6646" s="3" t="s">
        <v>5184</v>
      </c>
      <c r="C6646" s="3" t="s">
        <v>244</v>
      </c>
      <c r="D6646" s="265" t="s">
        <v>7547</v>
      </c>
      <c r="E6646" s="3">
        <v>300.0</v>
      </c>
      <c r="G6646" s="266">
        <v>43616.0</v>
      </c>
    </row>
    <row r="6647">
      <c r="A6647" s="217">
        <v>43616.77788065972</v>
      </c>
      <c r="B6647" s="3" t="s">
        <v>5184</v>
      </c>
      <c r="C6647" s="3" t="s">
        <v>9074</v>
      </c>
      <c r="D6647" s="265">
        <v>1.0</v>
      </c>
      <c r="E6647" s="3">
        <v>350.0</v>
      </c>
      <c r="G6647" s="266">
        <v>43616.0</v>
      </c>
    </row>
    <row r="6648">
      <c r="A6648" s="217">
        <v>43616.77919434028</v>
      </c>
      <c r="B6648" s="3" t="s">
        <v>5184</v>
      </c>
      <c r="C6648" s="3" t="s">
        <v>244</v>
      </c>
      <c r="D6648" s="265">
        <v>1.0</v>
      </c>
      <c r="E6648" s="3">
        <v>400.0</v>
      </c>
      <c r="G6648" s="266">
        <v>43616.0</v>
      </c>
    </row>
    <row r="6649">
      <c r="A6649" s="217">
        <v>43617.705735763884</v>
      </c>
      <c r="B6649" s="3" t="s">
        <v>5184</v>
      </c>
      <c r="C6649" s="3" t="s">
        <v>6053</v>
      </c>
      <c r="D6649" s="265">
        <v>1.0</v>
      </c>
      <c r="E6649" s="3">
        <v>300.0</v>
      </c>
      <c r="G6649" s="266">
        <v>43617.0</v>
      </c>
    </row>
    <row r="6650">
      <c r="A6650" s="217">
        <v>43617.706713101856</v>
      </c>
      <c r="B6650" s="3" t="s">
        <v>5184</v>
      </c>
      <c r="C6650" s="3" t="s">
        <v>7408</v>
      </c>
      <c r="D6650" s="265">
        <v>1.0</v>
      </c>
      <c r="E6650" s="3">
        <v>400.0</v>
      </c>
      <c r="G6650" s="266">
        <v>43617.0</v>
      </c>
    </row>
    <row r="6651">
      <c r="A6651" s="217">
        <v>43617.70819208333</v>
      </c>
      <c r="B6651" s="3" t="s">
        <v>5184</v>
      </c>
      <c r="C6651" s="3" t="s">
        <v>9159</v>
      </c>
      <c r="D6651" s="265">
        <v>1.0</v>
      </c>
      <c r="E6651" s="3">
        <v>400.0</v>
      </c>
      <c r="G6651" s="266">
        <v>43617.0</v>
      </c>
    </row>
    <row r="6652">
      <c r="A6652" s="217">
        <v>43617.70888420139</v>
      </c>
      <c r="B6652" s="3" t="s">
        <v>5184</v>
      </c>
      <c r="C6652" s="3" t="s">
        <v>284</v>
      </c>
      <c r="D6652" s="265">
        <v>1.0</v>
      </c>
      <c r="E6652" s="3">
        <v>400.0</v>
      </c>
      <c r="G6652" s="266">
        <v>43617.0</v>
      </c>
    </row>
    <row r="6653">
      <c r="A6653" s="217">
        <v>43617.710162800926</v>
      </c>
      <c r="B6653" s="3" t="s">
        <v>5184</v>
      </c>
      <c r="C6653" s="3" t="s">
        <v>7806</v>
      </c>
      <c r="D6653" s="265">
        <v>1.0</v>
      </c>
      <c r="E6653" s="3">
        <v>600.0</v>
      </c>
      <c r="G6653" s="266">
        <v>43617.0</v>
      </c>
    </row>
    <row r="6654">
      <c r="A6654" s="217">
        <v>43617.71146178241</v>
      </c>
      <c r="B6654" s="3" t="s">
        <v>5184</v>
      </c>
      <c r="C6654" s="3" t="s">
        <v>9161</v>
      </c>
      <c r="D6654" s="265">
        <v>1.0</v>
      </c>
      <c r="E6654" s="3">
        <v>400.0</v>
      </c>
      <c r="G6654" s="266">
        <v>43617.0</v>
      </c>
    </row>
    <row r="6655">
      <c r="A6655" s="217">
        <v>43617.71218891203</v>
      </c>
      <c r="B6655" s="3" t="s">
        <v>5184</v>
      </c>
      <c r="C6655" s="3" t="s">
        <v>244</v>
      </c>
      <c r="D6655" s="265">
        <v>1.0</v>
      </c>
      <c r="E6655" s="3">
        <v>400.0</v>
      </c>
      <c r="G6655" s="266">
        <v>43617.0</v>
      </c>
    </row>
    <row r="6656">
      <c r="A6656" s="217">
        <v>43617.71280258102</v>
      </c>
      <c r="B6656" s="3" t="s">
        <v>5184</v>
      </c>
      <c r="C6656" s="3" t="s">
        <v>244</v>
      </c>
      <c r="D6656" s="265">
        <v>1.0</v>
      </c>
      <c r="E6656" s="3">
        <v>400.0</v>
      </c>
      <c r="G6656" s="266">
        <v>43617.0</v>
      </c>
    </row>
    <row r="6657">
      <c r="A6657" s="217">
        <v>43617.714030625</v>
      </c>
      <c r="B6657" s="3" t="s">
        <v>5184</v>
      </c>
      <c r="C6657" s="3" t="s">
        <v>9063</v>
      </c>
      <c r="D6657" s="265">
        <v>1.0</v>
      </c>
      <c r="E6657" s="3">
        <v>100.0</v>
      </c>
      <c r="G6657" s="266">
        <v>43617.0</v>
      </c>
    </row>
    <row r="6658">
      <c r="A6658" s="217">
        <v>43617.71448340278</v>
      </c>
      <c r="B6658" s="3" t="s">
        <v>5184</v>
      </c>
      <c r="C6658" s="3" t="s">
        <v>6053</v>
      </c>
      <c r="D6658" s="265">
        <v>1.0</v>
      </c>
      <c r="E6658" s="3">
        <v>300.0</v>
      </c>
      <c r="G6658" s="266">
        <v>43617.0</v>
      </c>
    </row>
    <row r="6659">
      <c r="A6659" s="217">
        <v>43617.717170358796</v>
      </c>
      <c r="B6659" s="3" t="s">
        <v>5184</v>
      </c>
      <c r="C6659" s="3" t="s">
        <v>9163</v>
      </c>
      <c r="D6659" s="265">
        <v>1.0</v>
      </c>
      <c r="E6659" s="3">
        <v>300.0</v>
      </c>
      <c r="G6659" s="266">
        <v>43617.0</v>
      </c>
    </row>
    <row r="6660">
      <c r="A6660" s="217">
        <v>43617.71760826389</v>
      </c>
      <c r="B6660" s="3" t="s">
        <v>5184</v>
      </c>
      <c r="C6660" s="3" t="s">
        <v>244</v>
      </c>
      <c r="D6660" s="265">
        <v>1.0</v>
      </c>
      <c r="E6660" s="3">
        <v>400.0</v>
      </c>
      <c r="G6660" s="266">
        <v>43617.0</v>
      </c>
    </row>
    <row r="6661">
      <c r="A6661" s="217">
        <v>43617.71845590278</v>
      </c>
      <c r="B6661" s="3" t="s">
        <v>5184</v>
      </c>
      <c r="C6661" s="3" t="s">
        <v>9147</v>
      </c>
      <c r="D6661" s="265">
        <v>1.0</v>
      </c>
      <c r="E6661" s="3">
        <v>250.0</v>
      </c>
      <c r="G6661" s="266">
        <v>43617.0</v>
      </c>
    </row>
    <row r="6662">
      <c r="A6662" s="217">
        <v>43617.718841932874</v>
      </c>
      <c r="B6662" s="3" t="s">
        <v>5184</v>
      </c>
      <c r="C6662" s="3" t="s">
        <v>6053</v>
      </c>
      <c r="D6662" s="265">
        <v>1.0</v>
      </c>
      <c r="E6662" s="3">
        <v>300.0</v>
      </c>
      <c r="G6662" s="266">
        <v>43617.0</v>
      </c>
    </row>
    <row r="6663">
      <c r="A6663" s="217">
        <v>43617.762478310186</v>
      </c>
      <c r="B6663" s="3" t="s">
        <v>5184</v>
      </c>
      <c r="C6663" s="3" t="s">
        <v>9164</v>
      </c>
      <c r="D6663" s="265">
        <v>1.0</v>
      </c>
      <c r="E6663" s="3">
        <v>400.0</v>
      </c>
      <c r="G6663" s="266">
        <v>43617.0</v>
      </c>
    </row>
    <row r="6664">
      <c r="A6664" s="217">
        <v>43617.76344436343</v>
      </c>
      <c r="B6664" s="3" t="s">
        <v>5184</v>
      </c>
      <c r="C6664" s="3" t="s">
        <v>284</v>
      </c>
      <c r="D6664" s="265">
        <v>1.0</v>
      </c>
      <c r="E6664" s="3">
        <v>400.0</v>
      </c>
      <c r="G6664" s="266">
        <v>43617.0</v>
      </c>
    </row>
    <row r="6665">
      <c r="A6665" s="217">
        <v>43617.76403641204</v>
      </c>
      <c r="B6665" s="3" t="s">
        <v>5184</v>
      </c>
      <c r="C6665" s="3" t="s">
        <v>6053</v>
      </c>
      <c r="D6665" s="265">
        <v>1.0</v>
      </c>
      <c r="E6665" s="3">
        <v>300.0</v>
      </c>
      <c r="G6665" s="266">
        <v>43617.0</v>
      </c>
    </row>
    <row r="6666">
      <c r="A6666" s="217">
        <v>43618.45744670139</v>
      </c>
      <c r="B6666" s="3" t="s">
        <v>5184</v>
      </c>
      <c r="C6666" s="3" t="s">
        <v>2422</v>
      </c>
      <c r="D6666" s="265">
        <v>1.0</v>
      </c>
      <c r="E6666" s="3">
        <v>400.0</v>
      </c>
      <c r="G6666" s="266">
        <v>43617.0</v>
      </c>
    </row>
    <row r="6667">
      <c r="A6667" s="217">
        <v>43618.45817440972</v>
      </c>
      <c r="B6667" s="3" t="s">
        <v>5184</v>
      </c>
      <c r="C6667" s="3" t="s">
        <v>7007</v>
      </c>
      <c r="D6667" s="265">
        <v>1.0</v>
      </c>
      <c r="E6667" s="3">
        <v>2000.0</v>
      </c>
      <c r="G6667" s="266">
        <v>43617.0</v>
      </c>
    </row>
    <row r="6668">
      <c r="A6668" s="217">
        <v>43618.718503807875</v>
      </c>
      <c r="B6668" s="3" t="s">
        <v>5184</v>
      </c>
      <c r="C6668" s="3" t="s">
        <v>6053</v>
      </c>
      <c r="D6668" s="265" t="s">
        <v>7652</v>
      </c>
      <c r="E6668" s="3">
        <v>600.0</v>
      </c>
      <c r="G6668" s="266">
        <v>43618.0</v>
      </c>
    </row>
    <row r="6669">
      <c r="A6669" s="217">
        <v>43618.719849155095</v>
      </c>
      <c r="B6669" s="3" t="s">
        <v>5184</v>
      </c>
      <c r="C6669" s="3" t="s">
        <v>6053</v>
      </c>
      <c r="D6669" s="265">
        <v>1.0</v>
      </c>
      <c r="E6669" s="3">
        <v>300.0</v>
      </c>
      <c r="G6669" s="266">
        <v>43618.0</v>
      </c>
    </row>
    <row r="6670">
      <c r="A6670" s="217">
        <v>43618.72391030093</v>
      </c>
      <c r="B6670" s="3" t="s">
        <v>5184</v>
      </c>
      <c r="C6670" s="3" t="s">
        <v>2267</v>
      </c>
      <c r="D6670" s="265">
        <v>1.0</v>
      </c>
      <c r="E6670" s="3">
        <v>5690.0</v>
      </c>
      <c r="G6670" s="266">
        <v>43615.0</v>
      </c>
    </row>
    <row r="6671">
      <c r="A6671" s="217">
        <v>43618.725258506944</v>
      </c>
      <c r="B6671" s="3" t="s">
        <v>5184</v>
      </c>
      <c r="C6671" s="3" t="s">
        <v>8810</v>
      </c>
      <c r="D6671" s="265">
        <v>1.0</v>
      </c>
      <c r="E6671" s="3">
        <v>4990.0</v>
      </c>
      <c r="G6671" s="266">
        <v>43615.0</v>
      </c>
    </row>
    <row r="6672">
      <c r="A6672" s="217">
        <v>43618.72630313657</v>
      </c>
      <c r="B6672" s="3" t="s">
        <v>5184</v>
      </c>
      <c r="C6672" s="3" t="s">
        <v>2246</v>
      </c>
      <c r="D6672" s="265">
        <v>1.0</v>
      </c>
      <c r="E6672" s="3">
        <v>3990.0</v>
      </c>
      <c r="G6672" s="266">
        <v>43615.0</v>
      </c>
    </row>
    <row r="6673">
      <c r="A6673" s="217">
        <v>43618.72733704861</v>
      </c>
      <c r="B6673" s="3" t="s">
        <v>5184</v>
      </c>
      <c r="C6673" s="3" t="s">
        <v>8815</v>
      </c>
      <c r="D6673" s="265">
        <v>1.0</v>
      </c>
      <c r="E6673" s="3">
        <v>4790.0</v>
      </c>
      <c r="G6673" s="266">
        <v>43615.0</v>
      </c>
    </row>
    <row r="6674">
      <c r="A6674" s="217">
        <v>43618.72853211805</v>
      </c>
      <c r="B6674" s="3" t="s">
        <v>5184</v>
      </c>
      <c r="C6674" s="3" t="s">
        <v>9170</v>
      </c>
      <c r="D6674" s="265">
        <v>1.0</v>
      </c>
      <c r="E6674" s="3">
        <v>5490.0</v>
      </c>
      <c r="G6674" s="266">
        <v>43615.0</v>
      </c>
    </row>
    <row r="6675">
      <c r="A6675" s="217">
        <v>43618.729995960646</v>
      </c>
      <c r="B6675" s="3" t="s">
        <v>5184</v>
      </c>
      <c r="C6675" s="3" t="s">
        <v>2095</v>
      </c>
      <c r="D6675" s="265">
        <v>1.0</v>
      </c>
      <c r="E6675" s="3">
        <v>4590.0</v>
      </c>
      <c r="G6675" s="266">
        <v>43615.0</v>
      </c>
    </row>
    <row r="6676">
      <c r="A6676" s="217">
        <v>43618.731247812495</v>
      </c>
      <c r="B6676" s="3" t="s">
        <v>5184</v>
      </c>
      <c r="C6676" s="3" t="s">
        <v>8777</v>
      </c>
      <c r="D6676" s="265">
        <v>1.0</v>
      </c>
      <c r="E6676" s="3">
        <v>7190.0</v>
      </c>
      <c r="G6676" s="266">
        <v>43615.0</v>
      </c>
    </row>
    <row r="6677">
      <c r="A6677" s="217">
        <v>43618.732423657406</v>
      </c>
      <c r="B6677" s="3" t="s">
        <v>5184</v>
      </c>
      <c r="C6677" s="3" t="s">
        <v>8780</v>
      </c>
      <c r="D6677" s="265">
        <v>1.0</v>
      </c>
      <c r="E6677" s="3">
        <v>4390.0</v>
      </c>
      <c r="G6677" s="266">
        <v>43615.0</v>
      </c>
    </row>
    <row r="6678">
      <c r="A6678" s="217">
        <v>43618.73386694444</v>
      </c>
      <c r="B6678" s="3" t="s">
        <v>5184</v>
      </c>
      <c r="C6678" s="3" t="s">
        <v>9171</v>
      </c>
      <c r="D6678" s="265">
        <v>1.0</v>
      </c>
      <c r="E6678" s="3">
        <v>5090.0</v>
      </c>
      <c r="G6678" s="266">
        <v>43615.0</v>
      </c>
    </row>
    <row r="6679">
      <c r="A6679" s="217">
        <v>43618.74991909722</v>
      </c>
      <c r="B6679" s="3" t="s">
        <v>5184</v>
      </c>
      <c r="C6679" s="3" t="s">
        <v>5463</v>
      </c>
      <c r="D6679" s="265">
        <v>1.0</v>
      </c>
      <c r="E6679" s="3">
        <v>4790.0</v>
      </c>
      <c r="G6679" s="266">
        <v>43615.0</v>
      </c>
    </row>
    <row r="6680">
      <c r="A6680" s="217">
        <v>43618.751227256944</v>
      </c>
      <c r="B6680" s="3" t="s">
        <v>5184</v>
      </c>
      <c r="C6680" s="3" t="s">
        <v>2226</v>
      </c>
      <c r="D6680" s="265">
        <v>1.0</v>
      </c>
      <c r="G6680" s="266">
        <v>43615.0</v>
      </c>
    </row>
    <row r="6681">
      <c r="A6681" s="217">
        <v>43618.75237449074</v>
      </c>
      <c r="B6681" s="3" t="s">
        <v>5184</v>
      </c>
      <c r="C6681" s="3" t="s">
        <v>2224</v>
      </c>
      <c r="D6681" s="265">
        <v>1.0</v>
      </c>
      <c r="E6681" s="3">
        <v>4290.0</v>
      </c>
      <c r="G6681" s="266">
        <v>43615.0</v>
      </c>
    </row>
    <row r="6682">
      <c r="A6682" s="217">
        <v>43618.75369005787</v>
      </c>
      <c r="B6682" s="3" t="s">
        <v>5184</v>
      </c>
      <c r="C6682" s="3" t="s">
        <v>6717</v>
      </c>
      <c r="D6682" s="265">
        <v>1.0</v>
      </c>
      <c r="E6682" s="3">
        <v>3890.0</v>
      </c>
      <c r="G6682" s="266">
        <v>43615.0</v>
      </c>
    </row>
    <row r="6683">
      <c r="A6683" s="217">
        <v>43618.75475525463</v>
      </c>
      <c r="B6683" s="3" t="s">
        <v>5184</v>
      </c>
      <c r="C6683" s="3" t="s">
        <v>2225</v>
      </c>
      <c r="D6683" s="265">
        <v>1.0</v>
      </c>
      <c r="G6683" s="266">
        <v>43615.0</v>
      </c>
    </row>
    <row r="6684">
      <c r="A6684" s="217">
        <v>43618.75651177083</v>
      </c>
      <c r="B6684" s="3" t="s">
        <v>5184</v>
      </c>
      <c r="C6684" s="3" t="s">
        <v>2222</v>
      </c>
      <c r="D6684" s="265">
        <v>1.0</v>
      </c>
      <c r="E6684" s="3">
        <v>4290.0</v>
      </c>
      <c r="G6684" s="266">
        <v>43615.0</v>
      </c>
    </row>
    <row r="6685">
      <c r="A6685" s="217">
        <v>43618.75771853009</v>
      </c>
      <c r="B6685" s="3" t="s">
        <v>5184</v>
      </c>
      <c r="C6685" s="3" t="s">
        <v>8819</v>
      </c>
      <c r="D6685" s="265">
        <v>1.0</v>
      </c>
      <c r="E6685" s="3">
        <v>4290.0</v>
      </c>
      <c r="G6685" s="266">
        <v>43615.0</v>
      </c>
    </row>
    <row r="6686">
      <c r="A6686" s="217">
        <v>43618.75888675926</v>
      </c>
      <c r="B6686" s="3" t="s">
        <v>5184</v>
      </c>
      <c r="C6686" s="3" t="s">
        <v>8817</v>
      </c>
      <c r="D6686" s="265">
        <v>1.0</v>
      </c>
      <c r="E6686" s="3">
        <v>4290.0</v>
      </c>
      <c r="G6686" s="266">
        <v>43615.0</v>
      </c>
    </row>
    <row r="6687">
      <c r="A6687" s="217">
        <v>43618.75978040509</v>
      </c>
      <c r="B6687" s="3" t="s">
        <v>5184</v>
      </c>
      <c r="C6687" s="3" t="s">
        <v>8818</v>
      </c>
      <c r="D6687" s="265">
        <v>1.0</v>
      </c>
      <c r="E6687" s="3">
        <v>4290.0</v>
      </c>
      <c r="G6687" s="266">
        <v>43615.0</v>
      </c>
    </row>
    <row r="6688">
      <c r="A6688" s="217">
        <v>43618.76091094907</v>
      </c>
      <c r="B6688" s="3" t="s">
        <v>5184</v>
      </c>
      <c r="C6688" s="3" t="s">
        <v>2202</v>
      </c>
      <c r="D6688" s="265">
        <v>1.0</v>
      </c>
      <c r="E6688" s="3">
        <v>4790.0</v>
      </c>
      <c r="G6688" s="266">
        <v>43645.0</v>
      </c>
    </row>
    <row r="6689">
      <c r="A6689" s="217">
        <v>43618.7622380324</v>
      </c>
      <c r="B6689" s="3"/>
      <c r="C6689" s="3" t="s">
        <v>8814</v>
      </c>
      <c r="D6689" s="265">
        <v>1.0</v>
      </c>
      <c r="E6689" s="3">
        <v>4390.0</v>
      </c>
      <c r="G6689" s="266">
        <v>43614.0</v>
      </c>
    </row>
    <row r="6690">
      <c r="A6690" s="217">
        <v>43618.763338854165</v>
      </c>
      <c r="B6690" s="3" t="s">
        <v>5184</v>
      </c>
      <c r="C6690" s="3" t="s">
        <v>8776</v>
      </c>
      <c r="D6690" s="265">
        <v>1.0</v>
      </c>
      <c r="E6690" s="3">
        <v>7190.0</v>
      </c>
      <c r="G6690" s="266">
        <v>43614.0</v>
      </c>
    </row>
    <row r="6691">
      <c r="A6691" s="217">
        <v>43618.76446225695</v>
      </c>
      <c r="B6691" s="3" t="s">
        <v>5184</v>
      </c>
      <c r="C6691" s="3" t="s">
        <v>2273</v>
      </c>
      <c r="D6691" s="265">
        <v>1.0</v>
      </c>
      <c r="E6691" s="3">
        <v>4290.0</v>
      </c>
      <c r="G6691" s="266">
        <v>43614.0</v>
      </c>
    </row>
    <row r="6692">
      <c r="A6692" s="217">
        <v>43618.766970185185</v>
      </c>
      <c r="B6692" s="3" t="s">
        <v>5184</v>
      </c>
      <c r="C6692" s="3" t="s">
        <v>9173</v>
      </c>
      <c r="D6692" s="265">
        <v>1.0</v>
      </c>
      <c r="E6692" s="3">
        <v>4290.0</v>
      </c>
      <c r="G6692" s="266">
        <v>43614.0</v>
      </c>
    </row>
    <row r="6693">
      <c r="A6693" s="217">
        <v>43618.76788297454</v>
      </c>
      <c r="B6693" s="3" t="s">
        <v>5184</v>
      </c>
      <c r="C6693" s="3" t="s">
        <v>5440</v>
      </c>
      <c r="D6693" s="265">
        <v>1.0</v>
      </c>
      <c r="E6693" s="3">
        <v>3790.0</v>
      </c>
      <c r="G6693" s="266">
        <v>43614.0</v>
      </c>
    </row>
    <row r="6694">
      <c r="A6694" s="217">
        <v>43618.76885059028</v>
      </c>
      <c r="B6694" s="3" t="s">
        <v>5184</v>
      </c>
      <c r="C6694" s="3" t="s">
        <v>5461</v>
      </c>
      <c r="D6694" s="265">
        <v>1.0</v>
      </c>
      <c r="E6694" s="3">
        <v>5290.0</v>
      </c>
      <c r="G6694" s="266">
        <v>43614.0</v>
      </c>
    </row>
    <row r="6695">
      <c r="A6695" s="217">
        <v>43618.770021550925</v>
      </c>
      <c r="B6695" s="3" t="s">
        <v>5184</v>
      </c>
      <c r="C6695" s="3" t="s">
        <v>1452</v>
      </c>
      <c r="D6695" s="265">
        <v>1.0</v>
      </c>
      <c r="E6695" s="3">
        <v>2450.0</v>
      </c>
      <c r="G6695" s="266">
        <v>43614.0</v>
      </c>
    </row>
    <row r="6696">
      <c r="A6696" s="217">
        <v>43618.771023090274</v>
      </c>
      <c r="B6696" s="3" t="s">
        <v>5184</v>
      </c>
      <c r="C6696" s="3" t="s">
        <v>8845</v>
      </c>
      <c r="D6696" s="265">
        <v>1.0</v>
      </c>
      <c r="E6696" s="3">
        <v>2450.0</v>
      </c>
      <c r="G6696" s="266">
        <v>43614.0</v>
      </c>
    </row>
    <row r="6697">
      <c r="A6697" s="217">
        <v>43618.77202226852</v>
      </c>
      <c r="B6697" s="3" t="s">
        <v>5184</v>
      </c>
      <c r="C6697" s="3" t="s">
        <v>9174</v>
      </c>
      <c r="D6697" s="265">
        <v>1.0</v>
      </c>
      <c r="G6697" s="266">
        <v>43614.0</v>
      </c>
    </row>
    <row r="6698">
      <c r="A6698" s="217">
        <v>43618.77295828704</v>
      </c>
      <c r="B6698" s="3" t="s">
        <v>5184</v>
      </c>
      <c r="C6698" s="3" t="s">
        <v>8472</v>
      </c>
      <c r="D6698" s="265">
        <v>1.0</v>
      </c>
      <c r="E6698" s="3">
        <v>2450.0</v>
      </c>
      <c r="G6698" s="266">
        <v>43614.0</v>
      </c>
    </row>
    <row r="6699">
      <c r="A6699" s="217">
        <v>43619.4521347338</v>
      </c>
      <c r="B6699" s="3" t="s">
        <v>5184</v>
      </c>
      <c r="C6699" s="3" t="s">
        <v>9175</v>
      </c>
      <c r="D6699" s="265">
        <v>1.0</v>
      </c>
      <c r="E6699" s="3">
        <v>450.0</v>
      </c>
      <c r="G6699" s="266">
        <v>43619.0</v>
      </c>
    </row>
    <row r="6700">
      <c r="A6700" s="217">
        <v>43619.45252549768</v>
      </c>
      <c r="B6700" s="3" t="s">
        <v>5184</v>
      </c>
      <c r="C6700" s="3" t="s">
        <v>284</v>
      </c>
      <c r="D6700" s="265">
        <v>1.0</v>
      </c>
      <c r="E6700" s="3">
        <v>400.0</v>
      </c>
      <c r="G6700" s="266">
        <v>43619.0</v>
      </c>
    </row>
    <row r="6701">
      <c r="A6701" s="217">
        <v>43619.4969171875</v>
      </c>
      <c r="B6701" s="3" t="s">
        <v>5184</v>
      </c>
      <c r="C6701" s="3" t="s">
        <v>244</v>
      </c>
      <c r="D6701" s="265">
        <v>1.0</v>
      </c>
      <c r="E6701" s="3">
        <v>400.0</v>
      </c>
      <c r="G6701" s="266">
        <v>43619.0</v>
      </c>
    </row>
    <row r="6702">
      <c r="A6702" s="217">
        <v>43619.50442297454</v>
      </c>
      <c r="B6702" s="3" t="s">
        <v>5184</v>
      </c>
      <c r="C6702" s="3" t="s">
        <v>6053</v>
      </c>
      <c r="D6702" s="265" t="s">
        <v>7547</v>
      </c>
      <c r="E6702" s="3">
        <v>150.0</v>
      </c>
      <c r="G6702" s="266">
        <v>43619.0</v>
      </c>
    </row>
    <row r="6703">
      <c r="A6703" s="217">
        <v>43619.546774965274</v>
      </c>
      <c r="B6703" s="3" t="s">
        <v>5184</v>
      </c>
      <c r="C6703" s="3" t="s">
        <v>9178</v>
      </c>
      <c r="D6703" s="265">
        <v>1.0</v>
      </c>
      <c r="E6703" s="3">
        <v>500.0</v>
      </c>
      <c r="G6703" s="266">
        <v>43619.0</v>
      </c>
    </row>
    <row r="6704">
      <c r="A6704" s="217">
        <v>43619.548745266206</v>
      </c>
      <c r="B6704" s="3" t="s">
        <v>5184</v>
      </c>
      <c r="C6704" s="3" t="s">
        <v>284</v>
      </c>
      <c r="D6704" s="265">
        <v>1.0</v>
      </c>
      <c r="E6704" s="3">
        <v>400.0</v>
      </c>
      <c r="G6704" s="266">
        <v>43619.0</v>
      </c>
    </row>
    <row r="6705">
      <c r="A6705" s="217">
        <v>43619.5614328588</v>
      </c>
      <c r="B6705" s="3" t="s">
        <v>5184</v>
      </c>
      <c r="C6705" s="3" t="s">
        <v>1566</v>
      </c>
      <c r="D6705" s="265">
        <v>1.0</v>
      </c>
      <c r="E6705" s="3">
        <v>2850.0</v>
      </c>
      <c r="G6705" s="266">
        <v>43576.0</v>
      </c>
    </row>
    <row r="6706">
      <c r="A6706" s="217">
        <v>43619.56965405092</v>
      </c>
      <c r="B6706" s="3" t="s">
        <v>5184</v>
      </c>
      <c r="C6706" s="3" t="s">
        <v>738</v>
      </c>
      <c r="D6706" s="265">
        <v>1.0</v>
      </c>
      <c r="E6706" s="3">
        <v>2850.0</v>
      </c>
      <c r="G6706" s="266">
        <v>43576.0</v>
      </c>
    </row>
    <row r="6707">
      <c r="A6707" s="217">
        <v>43619.57081337963</v>
      </c>
      <c r="B6707" s="3" t="s">
        <v>5184</v>
      </c>
      <c r="C6707" s="3" t="s">
        <v>1558</v>
      </c>
      <c r="D6707" s="265">
        <v>1.0</v>
      </c>
      <c r="E6707" s="3">
        <v>2590.0</v>
      </c>
      <c r="G6707" s="266">
        <v>43576.0</v>
      </c>
    </row>
    <row r="6708">
      <c r="A6708" s="217">
        <v>43619.5765796875</v>
      </c>
      <c r="B6708" s="3" t="s">
        <v>5184</v>
      </c>
      <c r="C6708" s="3" t="s">
        <v>1535</v>
      </c>
      <c r="D6708" s="265">
        <v>1.0</v>
      </c>
      <c r="E6708" s="3">
        <v>2780.0</v>
      </c>
      <c r="G6708" s="266">
        <v>43576.0</v>
      </c>
    </row>
    <row r="6709">
      <c r="A6709" s="217">
        <v>43619.5777381713</v>
      </c>
      <c r="B6709" s="3" t="s">
        <v>5184</v>
      </c>
      <c r="C6709" s="3" t="s">
        <v>1568</v>
      </c>
      <c r="D6709" s="265">
        <v>1.0</v>
      </c>
      <c r="E6709" s="3">
        <v>2850.0</v>
      </c>
      <c r="G6709" s="266">
        <v>43576.0</v>
      </c>
    </row>
    <row r="6710">
      <c r="A6710" s="217">
        <v>43619.578749259264</v>
      </c>
      <c r="B6710" s="3" t="s">
        <v>5184</v>
      </c>
      <c r="C6710" s="3" t="s">
        <v>8688</v>
      </c>
      <c r="D6710" s="265">
        <v>1.0</v>
      </c>
      <c r="E6710" s="3">
        <v>2590.0</v>
      </c>
      <c r="G6710" s="266">
        <v>43576.0</v>
      </c>
    </row>
    <row r="6711">
      <c r="A6711" s="217">
        <v>43619.57981502315</v>
      </c>
      <c r="B6711" s="3" t="s">
        <v>5184</v>
      </c>
      <c r="C6711" s="3" t="s">
        <v>8698</v>
      </c>
      <c r="D6711" s="265">
        <v>1.0</v>
      </c>
      <c r="E6711" s="3">
        <v>2950.0</v>
      </c>
      <c r="G6711" s="266">
        <v>43576.0</v>
      </c>
    </row>
    <row r="6712">
      <c r="A6712" s="217">
        <v>43619.58083716435</v>
      </c>
      <c r="B6712" s="3" t="s">
        <v>5184</v>
      </c>
      <c r="C6712" s="3" t="s">
        <v>1556</v>
      </c>
      <c r="D6712" s="265">
        <v>1.0</v>
      </c>
      <c r="E6712" s="3">
        <v>2780.0</v>
      </c>
      <c r="G6712" s="266">
        <v>43576.0</v>
      </c>
    </row>
    <row r="6713">
      <c r="A6713" s="217">
        <v>43619.58207087963</v>
      </c>
      <c r="B6713" s="3" t="s">
        <v>5184</v>
      </c>
      <c r="C6713" s="3" t="s">
        <v>8680</v>
      </c>
      <c r="D6713" s="265">
        <v>1.0</v>
      </c>
      <c r="E6713" s="3">
        <v>2590.0</v>
      </c>
      <c r="G6713" s="266">
        <v>43576.0</v>
      </c>
    </row>
    <row r="6714">
      <c r="A6714" s="217">
        <v>43619.60144799769</v>
      </c>
      <c r="B6714" s="3" t="s">
        <v>5184</v>
      </c>
      <c r="C6714" s="3" t="s">
        <v>8705</v>
      </c>
      <c r="D6714" s="265">
        <v>1.0</v>
      </c>
      <c r="E6714" s="3">
        <v>2850.0</v>
      </c>
      <c r="G6714" s="266">
        <v>43576.0</v>
      </c>
    </row>
    <row r="6715">
      <c r="A6715" s="217">
        <v>43619.620066539355</v>
      </c>
      <c r="B6715" s="3" t="s">
        <v>5184</v>
      </c>
      <c r="C6715" s="3" t="s">
        <v>8682</v>
      </c>
      <c r="D6715" s="265">
        <v>1.0</v>
      </c>
      <c r="E6715" s="3">
        <v>2350.0</v>
      </c>
      <c r="G6715" s="266">
        <v>43576.0</v>
      </c>
    </row>
    <row r="6716">
      <c r="A6716" s="217">
        <v>43619.67725907407</v>
      </c>
      <c r="B6716" s="3" t="s">
        <v>5184</v>
      </c>
      <c r="C6716" s="3" t="s">
        <v>8692</v>
      </c>
      <c r="D6716" s="265">
        <v>1.0</v>
      </c>
      <c r="E6716" s="3">
        <v>2590.0</v>
      </c>
      <c r="G6716" s="266">
        <v>43576.0</v>
      </c>
    </row>
    <row r="6717">
      <c r="A6717" s="217">
        <v>43619.67864002315</v>
      </c>
      <c r="B6717" s="3" t="s">
        <v>5184</v>
      </c>
      <c r="C6717" s="3" t="s">
        <v>8582</v>
      </c>
      <c r="D6717" s="265">
        <v>1.0</v>
      </c>
      <c r="E6717" s="3">
        <v>2350.0</v>
      </c>
      <c r="G6717" s="266">
        <v>43576.0</v>
      </c>
    </row>
    <row r="6718">
      <c r="A6718" s="217">
        <v>43619.68045533565</v>
      </c>
      <c r="B6718" s="3" t="s">
        <v>5184</v>
      </c>
      <c r="C6718" s="3" t="s">
        <v>8704</v>
      </c>
      <c r="D6718" s="265">
        <v>1.0</v>
      </c>
      <c r="E6718" s="3">
        <v>2850.0</v>
      </c>
      <c r="G6718" s="266">
        <v>43576.0</v>
      </c>
    </row>
    <row r="6719">
      <c r="A6719" s="217">
        <v>43619.68276810185</v>
      </c>
      <c r="B6719" s="3" t="s">
        <v>5184</v>
      </c>
      <c r="C6719" s="3" t="s">
        <v>8687</v>
      </c>
      <c r="D6719" s="265">
        <v>1.0</v>
      </c>
      <c r="E6719" s="3">
        <v>2780.0</v>
      </c>
      <c r="G6719" s="266">
        <v>43576.0</v>
      </c>
    </row>
    <row r="6720">
      <c r="A6720" s="217">
        <v>43619.68535082176</v>
      </c>
      <c r="B6720" s="3" t="s">
        <v>5184</v>
      </c>
      <c r="C6720" s="3" t="s">
        <v>1555</v>
      </c>
      <c r="D6720" s="265">
        <v>1.0</v>
      </c>
      <c r="E6720" s="3">
        <v>2780.0</v>
      </c>
      <c r="G6720" s="266">
        <v>43576.0</v>
      </c>
    </row>
    <row r="6721">
      <c r="A6721" s="217">
        <v>43619.68658525463</v>
      </c>
      <c r="B6721" s="3" t="s">
        <v>5184</v>
      </c>
      <c r="C6721" s="3" t="s">
        <v>8689</v>
      </c>
      <c r="D6721" s="265">
        <v>1.0</v>
      </c>
      <c r="E6721" s="3">
        <v>2590.0</v>
      </c>
      <c r="G6721" s="266">
        <v>43576.0</v>
      </c>
    </row>
    <row r="6722">
      <c r="A6722" s="217">
        <v>43619.688003449075</v>
      </c>
      <c r="B6722" s="3" t="s">
        <v>5184</v>
      </c>
      <c r="C6722" s="3" t="s">
        <v>8685</v>
      </c>
      <c r="D6722" s="265">
        <v>1.0</v>
      </c>
      <c r="E6722" s="3">
        <v>2590.0</v>
      </c>
      <c r="G6722" s="266">
        <v>43576.0</v>
      </c>
    </row>
    <row r="6723">
      <c r="A6723" s="217">
        <v>43619.6913500463</v>
      </c>
      <c r="B6723" s="3" t="s">
        <v>5184</v>
      </c>
      <c r="C6723" s="3" t="s">
        <v>8683</v>
      </c>
      <c r="D6723" s="265">
        <v>1.0</v>
      </c>
      <c r="E6723" s="3">
        <v>2590.0</v>
      </c>
      <c r="G6723" s="266">
        <v>43576.0</v>
      </c>
    </row>
    <row r="6724">
      <c r="A6724" s="217">
        <v>43619.69727336806</v>
      </c>
      <c r="B6724" s="3" t="s">
        <v>5184</v>
      </c>
      <c r="C6724" s="3" t="s">
        <v>8702</v>
      </c>
      <c r="D6724" s="265">
        <v>1.0</v>
      </c>
      <c r="E6724" s="3">
        <v>2850.0</v>
      </c>
      <c r="G6724" s="266">
        <v>43576.0</v>
      </c>
    </row>
    <row r="6725">
      <c r="A6725" s="217">
        <v>43619.698935486114</v>
      </c>
      <c r="B6725" s="3" t="s">
        <v>5184</v>
      </c>
      <c r="C6725" s="3" t="s">
        <v>8675</v>
      </c>
      <c r="D6725" s="265">
        <v>1.0</v>
      </c>
      <c r="E6725" s="3">
        <v>2350.0</v>
      </c>
      <c r="G6725" s="266">
        <v>43576.0</v>
      </c>
    </row>
    <row r="6726">
      <c r="A6726" s="217">
        <v>43619.70060965278</v>
      </c>
      <c r="B6726" s="3" t="s">
        <v>5184</v>
      </c>
      <c r="C6726" s="3" t="s">
        <v>8584</v>
      </c>
      <c r="D6726" s="265">
        <v>1.0</v>
      </c>
      <c r="E6726" s="3">
        <v>2590.0</v>
      </c>
      <c r="G6726" s="266">
        <v>43576.0</v>
      </c>
    </row>
    <row r="6727">
      <c r="A6727" s="217">
        <v>43619.702049155094</v>
      </c>
      <c r="B6727" s="3" t="s">
        <v>5184</v>
      </c>
      <c r="C6727" s="3" t="s">
        <v>8703</v>
      </c>
      <c r="D6727" s="265">
        <v>1.0</v>
      </c>
      <c r="E6727" s="3">
        <v>2850.0</v>
      </c>
      <c r="G6727" s="266">
        <v>43576.0</v>
      </c>
    </row>
    <row r="6728">
      <c r="A6728" s="217">
        <v>43619.703446597225</v>
      </c>
      <c r="B6728" s="3" t="s">
        <v>5184</v>
      </c>
      <c r="C6728" s="3" t="s">
        <v>8580</v>
      </c>
      <c r="D6728" s="265">
        <v>1.0</v>
      </c>
      <c r="E6728" s="3">
        <v>2590.0</v>
      </c>
      <c r="G6728" s="266">
        <v>43576.0</v>
      </c>
    </row>
    <row r="6729">
      <c r="A6729" s="217">
        <v>43619.706001053244</v>
      </c>
      <c r="B6729" s="3" t="s">
        <v>5184</v>
      </c>
      <c r="C6729" s="3" t="s">
        <v>1553</v>
      </c>
      <c r="D6729" s="265">
        <v>1.0</v>
      </c>
      <c r="E6729" s="3">
        <v>2590.0</v>
      </c>
      <c r="G6729" s="266">
        <v>43576.0</v>
      </c>
    </row>
    <row r="6730">
      <c r="A6730" s="217">
        <v>43619.70932679398</v>
      </c>
      <c r="B6730" s="3" t="s">
        <v>5184</v>
      </c>
      <c r="C6730" s="3" t="s">
        <v>8679</v>
      </c>
      <c r="D6730" s="265">
        <v>1.0</v>
      </c>
      <c r="E6730" s="3">
        <v>2350.0</v>
      </c>
      <c r="G6730" s="266">
        <v>43576.0</v>
      </c>
    </row>
    <row r="6731">
      <c r="A6731" s="217">
        <v>43619.710947326384</v>
      </c>
      <c r="B6731" s="3" t="s">
        <v>5184</v>
      </c>
      <c r="C6731" s="3" t="s">
        <v>8677</v>
      </c>
      <c r="D6731" s="265">
        <v>1.0</v>
      </c>
      <c r="E6731" s="3">
        <v>2590.0</v>
      </c>
      <c r="G6731" s="266">
        <v>43576.0</v>
      </c>
    </row>
    <row r="6732">
      <c r="A6732" s="217">
        <v>43619.71753708333</v>
      </c>
      <c r="B6732" s="3" t="s">
        <v>5184</v>
      </c>
      <c r="C6732" s="3" t="s">
        <v>8678</v>
      </c>
      <c r="D6732" s="265">
        <v>1.0</v>
      </c>
      <c r="E6732" s="3">
        <v>2780.0</v>
      </c>
      <c r="G6732" s="266">
        <v>43576.0</v>
      </c>
    </row>
    <row r="6733">
      <c r="A6733" s="217">
        <v>43619.7185919676</v>
      </c>
      <c r="B6733" s="3" t="s">
        <v>5184</v>
      </c>
      <c r="C6733" s="3" t="s">
        <v>8700</v>
      </c>
      <c r="D6733" s="265">
        <v>1.0</v>
      </c>
      <c r="E6733" s="3">
        <v>2850.0</v>
      </c>
      <c r="G6733" s="266">
        <v>43576.0</v>
      </c>
    </row>
    <row r="6734">
      <c r="A6734" s="217">
        <v>43619.71948688658</v>
      </c>
      <c r="B6734" s="3" t="s">
        <v>5184</v>
      </c>
      <c r="C6734" s="3" t="s">
        <v>8681</v>
      </c>
      <c r="D6734" s="265">
        <v>1.0</v>
      </c>
      <c r="E6734" s="3">
        <v>2350.0</v>
      </c>
      <c r="G6734" s="266">
        <v>43576.0</v>
      </c>
    </row>
    <row r="6735">
      <c r="A6735" s="217">
        <v>43619.72052503472</v>
      </c>
      <c r="B6735" s="3" t="s">
        <v>5184</v>
      </c>
      <c r="C6735" s="3" t="s">
        <v>8653</v>
      </c>
      <c r="D6735" s="265">
        <v>1.0</v>
      </c>
      <c r="E6735" s="3">
        <v>2590.0</v>
      </c>
      <c r="G6735" s="266">
        <v>43576.0</v>
      </c>
    </row>
    <row r="6736">
      <c r="A6736" s="217">
        <v>43619.721509016206</v>
      </c>
      <c r="B6736" s="3" t="s">
        <v>5184</v>
      </c>
      <c r="C6736" s="3" t="s">
        <v>8672</v>
      </c>
      <c r="D6736" s="265">
        <v>1.0</v>
      </c>
      <c r="E6736" s="3">
        <v>2850.0</v>
      </c>
      <c r="G6736" s="266">
        <v>43576.0</v>
      </c>
    </row>
    <row r="6737">
      <c r="A6737" s="217">
        <v>43619.722651724536</v>
      </c>
      <c r="B6737" s="3" t="s">
        <v>5184</v>
      </c>
      <c r="C6737" s="3" t="s">
        <v>8640</v>
      </c>
      <c r="D6737" s="265">
        <v>1.0</v>
      </c>
      <c r="E6737" s="3">
        <v>2650.0</v>
      </c>
      <c r="G6737" s="266">
        <v>43576.0</v>
      </c>
    </row>
    <row r="6738">
      <c r="A6738" s="217">
        <v>43619.723689861115</v>
      </c>
      <c r="B6738" s="3" t="s">
        <v>5184</v>
      </c>
      <c r="C6738" s="3" t="s">
        <v>8639</v>
      </c>
      <c r="D6738" s="265">
        <v>1.0</v>
      </c>
      <c r="E6738" s="3">
        <v>2650.0</v>
      </c>
      <c r="G6738" s="266">
        <v>43576.0</v>
      </c>
    </row>
    <row r="6739">
      <c r="A6739" s="217">
        <v>43619.72760831019</v>
      </c>
      <c r="B6739" s="3" t="s">
        <v>5184</v>
      </c>
      <c r="C6739" s="3" t="s">
        <v>8581</v>
      </c>
      <c r="D6739" s="265">
        <v>1.0</v>
      </c>
      <c r="E6739" s="3">
        <v>2590.0</v>
      </c>
      <c r="G6739" s="266">
        <v>43576.0</v>
      </c>
    </row>
    <row r="6740">
      <c r="A6740" s="217">
        <v>43619.728602476855</v>
      </c>
      <c r="B6740" s="3" t="s">
        <v>5184</v>
      </c>
      <c r="C6740" s="3" t="s">
        <v>1557</v>
      </c>
      <c r="D6740" s="265">
        <v>1.0</v>
      </c>
      <c r="E6740" s="3">
        <v>2590.0</v>
      </c>
      <c r="G6740" s="266">
        <v>43576.0</v>
      </c>
    </row>
    <row r="6741">
      <c r="A6741" s="217">
        <v>43619.73153209491</v>
      </c>
      <c r="B6741" s="3" t="s">
        <v>5184</v>
      </c>
      <c r="C6741" s="3" t="s">
        <v>8666</v>
      </c>
      <c r="D6741" s="265">
        <v>1.0</v>
      </c>
      <c r="E6741" s="3">
        <v>2850.0</v>
      </c>
      <c r="G6741" s="266">
        <v>43576.0</v>
      </c>
    </row>
    <row r="6742">
      <c r="A6742" s="217">
        <v>43619.732487870366</v>
      </c>
      <c r="B6742" s="3" t="s">
        <v>5184</v>
      </c>
      <c r="C6742" s="3" t="s">
        <v>8637</v>
      </c>
      <c r="D6742" s="265">
        <v>1.0</v>
      </c>
      <c r="E6742" s="3">
        <v>2650.0</v>
      </c>
      <c r="G6742" s="266">
        <v>43576.0</v>
      </c>
    </row>
    <row r="6743">
      <c r="A6743" s="217">
        <v>43619.733334606484</v>
      </c>
      <c r="B6743" s="3" t="s">
        <v>5184</v>
      </c>
      <c r="C6743" s="3" t="s">
        <v>8638</v>
      </c>
      <c r="D6743" s="265">
        <v>3.0</v>
      </c>
      <c r="E6743" s="3">
        <v>2650.0</v>
      </c>
      <c r="G6743" s="266">
        <v>43576.0</v>
      </c>
    </row>
    <row r="6744">
      <c r="A6744" s="217">
        <v>43619.734321296295</v>
      </c>
      <c r="B6744" s="3" t="s">
        <v>5184</v>
      </c>
      <c r="C6744" s="3" t="s">
        <v>8646</v>
      </c>
      <c r="D6744" s="265">
        <v>1.0</v>
      </c>
      <c r="E6744" s="3">
        <v>2780.0</v>
      </c>
      <c r="G6744" s="266">
        <v>43576.0</v>
      </c>
    </row>
    <row r="6745">
      <c r="A6745" s="217">
        <v>43619.73527868056</v>
      </c>
      <c r="B6745" s="3" t="s">
        <v>5184</v>
      </c>
      <c r="C6745" s="3" t="s">
        <v>8660</v>
      </c>
      <c r="D6745" s="265">
        <v>1.0</v>
      </c>
      <c r="E6745" s="3">
        <v>2590.0</v>
      </c>
      <c r="G6745" s="266">
        <v>43576.0</v>
      </c>
    </row>
    <row r="6746">
      <c r="A6746" s="217">
        <v>43619.736524444445</v>
      </c>
      <c r="B6746" s="3" t="s">
        <v>5184</v>
      </c>
      <c r="C6746" s="3" t="s">
        <v>8656</v>
      </c>
      <c r="D6746" s="265">
        <v>1.0</v>
      </c>
      <c r="E6746" s="3">
        <v>2780.0</v>
      </c>
      <c r="G6746" s="266">
        <v>43576.0</v>
      </c>
    </row>
    <row r="6747">
      <c r="A6747" s="217">
        <v>43619.738212384254</v>
      </c>
      <c r="B6747" s="3" t="s">
        <v>5184</v>
      </c>
      <c r="C6747" s="3" t="s">
        <v>8655</v>
      </c>
      <c r="D6747" s="265">
        <v>1.0</v>
      </c>
      <c r="E6747" s="3">
        <v>2780.0</v>
      </c>
      <c r="G6747" s="266">
        <v>43576.0</v>
      </c>
    </row>
    <row r="6748">
      <c r="A6748" s="217">
        <v>43619.740321226855</v>
      </c>
      <c r="B6748" s="3" t="s">
        <v>5184</v>
      </c>
      <c r="C6748" s="3" t="s">
        <v>8654</v>
      </c>
      <c r="D6748" s="265">
        <v>1.0</v>
      </c>
      <c r="E6748" s="3">
        <v>2780.0</v>
      </c>
      <c r="G6748" s="266">
        <v>43576.0</v>
      </c>
    </row>
    <row r="6749">
      <c r="A6749" s="217">
        <v>43619.74143253472</v>
      </c>
      <c r="B6749" s="3" t="s">
        <v>5184</v>
      </c>
      <c r="C6749" s="3" t="s">
        <v>8658</v>
      </c>
      <c r="D6749" s="265">
        <v>1.0</v>
      </c>
      <c r="E6749" s="3">
        <v>2590.0</v>
      </c>
      <c r="G6749" s="266">
        <v>43576.0</v>
      </c>
    </row>
    <row r="6750">
      <c r="A6750" s="217">
        <v>43619.74243894676</v>
      </c>
      <c r="B6750" s="3" t="s">
        <v>5184</v>
      </c>
      <c r="C6750" s="3" t="s">
        <v>8645</v>
      </c>
      <c r="D6750" s="265">
        <v>1.0</v>
      </c>
      <c r="E6750" s="3">
        <v>2850.0</v>
      </c>
      <c r="G6750" s="266">
        <v>43576.0</v>
      </c>
    </row>
    <row r="6751">
      <c r="A6751" s="217">
        <v>43619.74344341435</v>
      </c>
      <c r="B6751" s="3" t="s">
        <v>5184</v>
      </c>
      <c r="C6751" s="3" t="s">
        <v>8642</v>
      </c>
      <c r="D6751" s="265">
        <v>1.0</v>
      </c>
      <c r="E6751" s="3">
        <v>2650.0</v>
      </c>
      <c r="G6751" s="266">
        <v>43576.0</v>
      </c>
    </row>
    <row r="6752">
      <c r="A6752" s="217">
        <v>43619.74487840278</v>
      </c>
      <c r="B6752" s="3" t="s">
        <v>5184</v>
      </c>
      <c r="C6752" s="3" t="s">
        <v>5484</v>
      </c>
      <c r="D6752" s="265">
        <v>1.0</v>
      </c>
      <c r="E6752" s="3">
        <v>3990.0</v>
      </c>
      <c r="G6752" s="266">
        <v>43576.0</v>
      </c>
    </row>
    <row r="6753">
      <c r="A6753" s="217">
        <v>43620.54229261574</v>
      </c>
      <c r="B6753" s="3" t="s">
        <v>5184</v>
      </c>
      <c r="C6753" s="3" t="s">
        <v>9181</v>
      </c>
      <c r="D6753" s="265">
        <v>1.0</v>
      </c>
      <c r="E6753" s="3">
        <v>400.0</v>
      </c>
      <c r="G6753" s="266">
        <v>43619.0</v>
      </c>
    </row>
    <row r="6754">
      <c r="A6754" s="217">
        <v>43620.54328269676</v>
      </c>
      <c r="B6754" s="3" t="s">
        <v>5184</v>
      </c>
      <c r="C6754" s="3" t="s">
        <v>284</v>
      </c>
      <c r="D6754" s="265">
        <v>1.0</v>
      </c>
      <c r="E6754" s="3">
        <v>400.0</v>
      </c>
      <c r="G6754" s="266">
        <v>43619.0</v>
      </c>
    </row>
    <row r="6755">
      <c r="A6755" s="217">
        <v>43620.54443701389</v>
      </c>
      <c r="B6755" s="3" t="s">
        <v>5184</v>
      </c>
      <c r="C6755" s="3" t="s">
        <v>244</v>
      </c>
      <c r="D6755" s="265">
        <v>1.0</v>
      </c>
      <c r="E6755" s="3">
        <v>400.0</v>
      </c>
      <c r="G6755" s="266">
        <v>43619.0</v>
      </c>
    </row>
    <row r="6756">
      <c r="A6756" s="217">
        <v>43620.5510027662</v>
      </c>
      <c r="B6756" s="3" t="s">
        <v>5184</v>
      </c>
      <c r="C6756" s="3" t="s">
        <v>9102</v>
      </c>
      <c r="D6756" s="265">
        <v>1.0</v>
      </c>
      <c r="E6756" s="3">
        <v>350.0</v>
      </c>
      <c r="G6756" s="266">
        <v>43619.0</v>
      </c>
    </row>
    <row r="6757">
      <c r="A6757" s="217">
        <v>43620.55171496527</v>
      </c>
      <c r="B6757" s="3" t="s">
        <v>5184</v>
      </c>
      <c r="C6757" s="3" t="s">
        <v>6053</v>
      </c>
      <c r="D6757" s="265">
        <v>1.0</v>
      </c>
      <c r="E6757" s="3">
        <v>300.0</v>
      </c>
      <c r="G6757" s="266">
        <v>43619.0</v>
      </c>
    </row>
    <row r="6758">
      <c r="A6758" s="217">
        <v>43620.5533609375</v>
      </c>
      <c r="B6758" s="3" t="s">
        <v>5184</v>
      </c>
      <c r="C6758" s="3" t="s">
        <v>284</v>
      </c>
      <c r="D6758" s="265">
        <v>1.0</v>
      </c>
      <c r="E6758" s="3">
        <v>400.0</v>
      </c>
      <c r="G6758" s="266">
        <v>43619.0</v>
      </c>
    </row>
    <row r="6759">
      <c r="A6759" s="217">
        <v>43620.565363182875</v>
      </c>
      <c r="B6759" s="3" t="s">
        <v>5184</v>
      </c>
      <c r="C6759" s="3" t="s">
        <v>7496</v>
      </c>
      <c r="D6759" s="265">
        <v>1.0</v>
      </c>
      <c r="E6759" s="3">
        <v>200.0</v>
      </c>
      <c r="G6759" s="266">
        <v>43620.0</v>
      </c>
    </row>
    <row r="6760">
      <c r="A6760" s="217">
        <v>43620.56610427084</v>
      </c>
      <c r="B6760" s="3" t="s">
        <v>5184</v>
      </c>
      <c r="C6760" s="3" t="s">
        <v>284</v>
      </c>
      <c r="D6760" s="265">
        <v>1.0</v>
      </c>
      <c r="E6760" s="3">
        <v>400.0</v>
      </c>
      <c r="G6760" s="266">
        <v>43620.0</v>
      </c>
    </row>
    <row r="6761">
      <c r="A6761" s="217">
        <v>43620.57113534722</v>
      </c>
      <c r="B6761" s="3" t="s">
        <v>5184</v>
      </c>
      <c r="C6761" s="3" t="s">
        <v>9184</v>
      </c>
      <c r="D6761" s="265">
        <v>1.0</v>
      </c>
      <c r="E6761" s="3">
        <v>400.0</v>
      </c>
      <c r="G6761" s="266">
        <v>43620.0</v>
      </c>
    </row>
    <row r="6762">
      <c r="A6762" s="217">
        <v>43620.57177123842</v>
      </c>
      <c r="B6762" s="3" t="s">
        <v>5184</v>
      </c>
      <c r="C6762" s="3" t="s">
        <v>6053</v>
      </c>
      <c r="D6762" s="265">
        <v>1.0</v>
      </c>
      <c r="E6762" s="3">
        <v>300.0</v>
      </c>
      <c r="G6762" s="266">
        <v>43620.0</v>
      </c>
    </row>
    <row r="6763">
      <c r="A6763" s="217">
        <v>43620.58091895834</v>
      </c>
      <c r="B6763" s="3" t="s">
        <v>5184</v>
      </c>
      <c r="C6763" s="3" t="s">
        <v>7496</v>
      </c>
      <c r="D6763" s="265">
        <v>1.0</v>
      </c>
      <c r="E6763" s="3">
        <v>200.0</v>
      </c>
      <c r="G6763" s="266">
        <v>43620.0</v>
      </c>
    </row>
    <row r="6764">
      <c r="A6764" s="217">
        <v>43620.582264502315</v>
      </c>
      <c r="B6764" s="3" t="s">
        <v>5184</v>
      </c>
      <c r="C6764" s="3" t="s">
        <v>244</v>
      </c>
      <c r="D6764" s="265">
        <v>1.0</v>
      </c>
      <c r="E6764" s="3">
        <v>400.0</v>
      </c>
      <c r="G6764" s="266">
        <v>43620.0</v>
      </c>
    </row>
    <row r="6765">
      <c r="A6765" s="217">
        <v>43620.58360601852</v>
      </c>
      <c r="B6765" s="3" t="s">
        <v>5184</v>
      </c>
      <c r="C6765" s="3" t="s">
        <v>9063</v>
      </c>
      <c r="D6765" s="265">
        <v>1.0</v>
      </c>
      <c r="E6765" s="3">
        <v>100.0</v>
      </c>
      <c r="G6765" s="266">
        <v>43620.0</v>
      </c>
    </row>
    <row r="6766">
      <c r="A6766" s="217">
        <v>43620.58405456018</v>
      </c>
      <c r="B6766" s="3" t="s">
        <v>5184</v>
      </c>
      <c r="C6766" s="3" t="s">
        <v>6053</v>
      </c>
      <c r="D6766" s="265">
        <v>1.0</v>
      </c>
      <c r="E6766" s="3">
        <v>300.0</v>
      </c>
      <c r="G6766" s="266">
        <v>43620.0</v>
      </c>
    </row>
    <row r="6767">
      <c r="A6767" s="217">
        <v>43620.58514599537</v>
      </c>
      <c r="B6767" s="3" t="s">
        <v>5184</v>
      </c>
      <c r="C6767" s="3" t="s">
        <v>9186</v>
      </c>
      <c r="D6767" s="265">
        <v>1.0</v>
      </c>
      <c r="E6767" s="3">
        <v>300.0</v>
      </c>
      <c r="G6767" s="266">
        <v>43620.0</v>
      </c>
    </row>
    <row r="6768">
      <c r="A6768" s="217">
        <v>43620.58567381944</v>
      </c>
      <c r="B6768" s="3" t="s">
        <v>5184</v>
      </c>
      <c r="C6768" s="3" t="s">
        <v>284</v>
      </c>
      <c r="D6768" s="265">
        <v>1.0</v>
      </c>
      <c r="E6768" s="3">
        <v>400.0</v>
      </c>
      <c r="G6768" s="266">
        <v>43620.0</v>
      </c>
    </row>
    <row r="6769">
      <c r="A6769" s="217">
        <v>43621.44832791667</v>
      </c>
      <c r="B6769" s="3" t="s">
        <v>5184</v>
      </c>
      <c r="C6769" s="3" t="s">
        <v>9175</v>
      </c>
      <c r="D6769" s="265">
        <v>1.0</v>
      </c>
      <c r="E6769" s="3">
        <v>450.0</v>
      </c>
      <c r="G6769" s="266">
        <v>43620.0</v>
      </c>
    </row>
    <row r="6770">
      <c r="A6770" s="217">
        <v>43621.4490556713</v>
      </c>
      <c r="B6770" s="3" t="s">
        <v>5184</v>
      </c>
      <c r="C6770" s="3" t="s">
        <v>6053</v>
      </c>
      <c r="D6770" s="265">
        <v>1.0</v>
      </c>
      <c r="E6770" s="3">
        <v>300.0</v>
      </c>
      <c r="G6770" s="266">
        <v>43620.0</v>
      </c>
    </row>
    <row r="6771">
      <c r="A6771" s="217">
        <v>43621.549983599536</v>
      </c>
      <c r="B6771" s="3" t="s">
        <v>5184</v>
      </c>
      <c r="C6771" s="3" t="s">
        <v>7767</v>
      </c>
      <c r="D6771" s="265">
        <v>6.0</v>
      </c>
      <c r="E6771" s="3">
        <v>100.0</v>
      </c>
      <c r="G6771" s="266">
        <v>43620.0</v>
      </c>
    </row>
    <row r="6772">
      <c r="A6772" s="217">
        <v>43621.551617812496</v>
      </c>
      <c r="B6772" s="3" t="s">
        <v>5184</v>
      </c>
      <c r="C6772" s="3" t="s">
        <v>6053</v>
      </c>
      <c r="D6772" s="265">
        <v>1.0</v>
      </c>
      <c r="E6772" s="3">
        <v>300.0</v>
      </c>
      <c r="G6772" s="266">
        <v>43621.0</v>
      </c>
    </row>
    <row r="6773">
      <c r="A6773" s="217">
        <v>43621.55762199074</v>
      </c>
      <c r="B6773" s="3" t="s">
        <v>5184</v>
      </c>
      <c r="C6773" s="3" t="s">
        <v>9188</v>
      </c>
      <c r="D6773" s="265">
        <v>1.0</v>
      </c>
      <c r="E6773" s="3">
        <v>300.0</v>
      </c>
      <c r="G6773" s="266">
        <v>43621.0</v>
      </c>
    </row>
    <row r="6774">
      <c r="A6774" s="217">
        <v>43621.55826425926</v>
      </c>
      <c r="B6774" s="3" t="s">
        <v>5184</v>
      </c>
      <c r="C6774" s="3" t="s">
        <v>6053</v>
      </c>
      <c r="D6774" s="265">
        <v>1.0</v>
      </c>
      <c r="E6774" s="3">
        <v>300.0</v>
      </c>
      <c r="G6774" s="266">
        <v>43621.0</v>
      </c>
    </row>
    <row r="6775">
      <c r="A6775" s="217">
        <v>43621.559598287036</v>
      </c>
      <c r="B6775" s="3" t="s">
        <v>5184</v>
      </c>
      <c r="C6775" s="3" t="s">
        <v>9189</v>
      </c>
      <c r="D6775" s="265">
        <v>1.0</v>
      </c>
      <c r="E6775" s="3">
        <v>1000.0</v>
      </c>
      <c r="G6775" s="266">
        <v>43621.0</v>
      </c>
    </row>
    <row r="6776">
      <c r="A6776" s="217">
        <v>43621.56053210648</v>
      </c>
      <c r="B6776" s="3" t="s">
        <v>5184</v>
      </c>
      <c r="C6776" s="3" t="s">
        <v>284</v>
      </c>
      <c r="D6776" s="265">
        <v>1.0</v>
      </c>
      <c r="E6776" s="3">
        <v>400.0</v>
      </c>
      <c r="G6776" s="266">
        <v>43621.0</v>
      </c>
    </row>
    <row r="6777">
      <c r="A6777" s="217">
        <v>43621.56354501157</v>
      </c>
      <c r="B6777" s="3" t="s">
        <v>5184</v>
      </c>
      <c r="C6777" s="3" t="s">
        <v>2719</v>
      </c>
      <c r="D6777" s="265">
        <v>1.0</v>
      </c>
      <c r="E6777" s="3">
        <v>200.0</v>
      </c>
      <c r="G6777" s="266">
        <v>43621.0</v>
      </c>
    </row>
    <row r="6778">
      <c r="A6778" s="217">
        <v>43621.564009525464</v>
      </c>
      <c r="B6778" s="3" t="s">
        <v>5184</v>
      </c>
      <c r="C6778" s="3" t="s">
        <v>6053</v>
      </c>
      <c r="D6778" s="265">
        <v>1.0</v>
      </c>
      <c r="E6778" s="3">
        <v>300.0</v>
      </c>
      <c r="G6778" s="266">
        <v>43621.0</v>
      </c>
    </row>
    <row r="6779">
      <c r="A6779" s="217">
        <v>43621.56533006944</v>
      </c>
      <c r="B6779" s="3" t="s">
        <v>5184</v>
      </c>
      <c r="C6779" s="3" t="s">
        <v>9186</v>
      </c>
      <c r="D6779" s="265">
        <v>1.0</v>
      </c>
      <c r="E6779" s="3">
        <v>300.0</v>
      </c>
      <c r="G6779" s="266">
        <v>43621.0</v>
      </c>
    </row>
    <row r="6780">
      <c r="A6780" s="217">
        <v>43621.56607149306</v>
      </c>
      <c r="B6780" s="3" t="s">
        <v>5184</v>
      </c>
      <c r="C6780" s="3" t="s">
        <v>284</v>
      </c>
      <c r="D6780" s="265">
        <v>1.0</v>
      </c>
      <c r="E6780" s="3">
        <v>400.0</v>
      </c>
      <c r="G6780" s="266">
        <v>43621.0</v>
      </c>
    </row>
    <row r="6781">
      <c r="A6781" s="217">
        <v>43621.5753630324</v>
      </c>
      <c r="B6781" s="3" t="s">
        <v>5184</v>
      </c>
      <c r="C6781" s="3" t="s">
        <v>2057</v>
      </c>
      <c r="D6781" s="265">
        <v>1.0</v>
      </c>
      <c r="E6781" s="3">
        <v>8925.0</v>
      </c>
      <c r="G6781" s="266">
        <v>43621.0</v>
      </c>
    </row>
    <row r="6782">
      <c r="A6782" s="217">
        <v>43622.595956770834</v>
      </c>
      <c r="B6782" s="3" t="s">
        <v>5184</v>
      </c>
      <c r="C6782" s="3" t="s">
        <v>2134</v>
      </c>
      <c r="D6782" s="265">
        <v>2.0</v>
      </c>
      <c r="E6782" s="3">
        <v>4290.0</v>
      </c>
      <c r="G6782" s="266">
        <v>43621.0</v>
      </c>
    </row>
    <row r="6783">
      <c r="A6783" s="217">
        <v>43622.59765733796</v>
      </c>
      <c r="B6783" s="3" t="s">
        <v>5184</v>
      </c>
      <c r="C6783" s="3" t="s">
        <v>9197</v>
      </c>
      <c r="D6783" s="265">
        <v>1.0</v>
      </c>
      <c r="E6783" s="3">
        <v>3990.0</v>
      </c>
      <c r="G6783" s="266">
        <v>43621.0</v>
      </c>
    </row>
    <row r="6784">
      <c r="A6784" s="217">
        <v>43622.59888126157</v>
      </c>
      <c r="B6784" s="3" t="s">
        <v>5184</v>
      </c>
      <c r="C6784" s="3" t="s">
        <v>2124</v>
      </c>
      <c r="D6784" s="265">
        <v>1.0</v>
      </c>
      <c r="E6784" s="3">
        <v>4990.0</v>
      </c>
      <c r="G6784" s="266">
        <v>43621.0</v>
      </c>
    </row>
    <row r="6785">
      <c r="A6785" s="217">
        <v>43622.59997539352</v>
      </c>
      <c r="B6785" s="3" t="s">
        <v>5184</v>
      </c>
      <c r="C6785" s="3" t="s">
        <v>2259</v>
      </c>
      <c r="D6785" s="265">
        <v>3.0</v>
      </c>
      <c r="E6785" s="3">
        <v>3990.0</v>
      </c>
      <c r="G6785" s="266">
        <v>43621.0</v>
      </c>
    </row>
    <row r="6786">
      <c r="A6786" s="217">
        <v>43622.60150533565</v>
      </c>
      <c r="B6786" s="3" t="s">
        <v>5184</v>
      </c>
      <c r="C6786" s="3" t="s">
        <v>6334</v>
      </c>
      <c r="D6786" s="265">
        <v>1.0</v>
      </c>
      <c r="E6786" s="3">
        <v>3290.0</v>
      </c>
      <c r="G6786" s="266">
        <v>43621.0</v>
      </c>
    </row>
    <row r="6787">
      <c r="A6787" s="217">
        <v>43622.783304386576</v>
      </c>
      <c r="B6787" s="3" t="s">
        <v>5184</v>
      </c>
      <c r="C6787" s="3" t="s">
        <v>2156</v>
      </c>
      <c r="D6787" s="265">
        <v>1.0</v>
      </c>
      <c r="G6787" s="266">
        <v>43621.0</v>
      </c>
    </row>
    <row r="6788">
      <c r="A6788" s="217">
        <v>43623.415474016205</v>
      </c>
      <c r="B6788" s="3" t="s">
        <v>5184</v>
      </c>
      <c r="C6788" s="3" t="s">
        <v>5472</v>
      </c>
      <c r="D6788" s="265">
        <v>1.0</v>
      </c>
      <c r="E6788" s="3">
        <v>4990.0</v>
      </c>
      <c r="G6788" s="266">
        <v>43621.0</v>
      </c>
    </row>
    <row r="6789">
      <c r="A6789" s="217">
        <v>43623.416715127314</v>
      </c>
      <c r="B6789" s="3" t="s">
        <v>5184</v>
      </c>
      <c r="C6789" s="3" t="s">
        <v>9198</v>
      </c>
      <c r="D6789" s="265">
        <v>1.0</v>
      </c>
      <c r="E6789" s="3">
        <v>3490.0</v>
      </c>
      <c r="G6789" s="266">
        <v>43621.0</v>
      </c>
    </row>
    <row r="6790">
      <c r="A6790" s="217">
        <v>43623.4177971875</v>
      </c>
      <c r="B6790" s="3" t="s">
        <v>5184</v>
      </c>
      <c r="C6790" s="3" t="s">
        <v>5470</v>
      </c>
      <c r="D6790" s="265">
        <v>1.0</v>
      </c>
      <c r="E6790" s="3">
        <v>4990.0</v>
      </c>
      <c r="G6790" s="266">
        <v>43621.0</v>
      </c>
    </row>
    <row r="6791">
      <c r="A6791" s="217">
        <v>43623.41975627315</v>
      </c>
      <c r="B6791" s="3" t="s">
        <v>5184</v>
      </c>
      <c r="C6791" s="3" t="s">
        <v>9199</v>
      </c>
      <c r="D6791" s="265">
        <v>2.0</v>
      </c>
      <c r="E6791" s="3">
        <v>3290.0</v>
      </c>
      <c r="G6791" s="266">
        <v>43621.0</v>
      </c>
    </row>
    <row r="6792">
      <c r="A6792" s="217">
        <v>43623.421071689816</v>
      </c>
      <c r="B6792" s="3" t="s">
        <v>5184</v>
      </c>
      <c r="C6792" s="3" t="s">
        <v>9200</v>
      </c>
      <c r="D6792" s="265">
        <v>1.0</v>
      </c>
      <c r="E6792" s="3">
        <v>3290.0</v>
      </c>
      <c r="G6792" s="266">
        <v>43621.0</v>
      </c>
    </row>
    <row r="6793">
      <c r="A6793" s="217">
        <v>43623.422716076384</v>
      </c>
      <c r="B6793" s="3" t="s">
        <v>5184</v>
      </c>
      <c r="C6793" s="3" t="s">
        <v>9201</v>
      </c>
      <c r="D6793" s="265">
        <v>1.0</v>
      </c>
      <c r="E6793" s="3">
        <v>3990.0</v>
      </c>
      <c r="G6793" s="266">
        <v>43621.0</v>
      </c>
    </row>
    <row r="6794">
      <c r="A6794" s="217">
        <v>43624.58605601852</v>
      </c>
      <c r="B6794" s="3" t="s">
        <v>5092</v>
      </c>
      <c r="C6794" s="3" t="s">
        <v>284</v>
      </c>
      <c r="D6794" s="265" t="s">
        <v>9202</v>
      </c>
      <c r="E6794" s="3">
        <v>400.0</v>
      </c>
      <c r="G6794" s="266">
        <v>43620.0</v>
      </c>
    </row>
    <row r="6795">
      <c r="A6795" s="217">
        <v>43624.58735273148</v>
      </c>
      <c r="B6795" s="3" t="s">
        <v>5092</v>
      </c>
      <c r="C6795" s="3" t="s">
        <v>284</v>
      </c>
      <c r="D6795" s="265" t="s">
        <v>9204</v>
      </c>
      <c r="E6795" s="3">
        <v>400.0</v>
      </c>
      <c r="G6795" s="266">
        <v>43620.0</v>
      </c>
    </row>
    <row r="6796">
      <c r="A6796" s="217">
        <v>43624.587935891206</v>
      </c>
      <c r="B6796" s="3" t="s">
        <v>5092</v>
      </c>
      <c r="C6796" s="3" t="s">
        <v>284</v>
      </c>
      <c r="D6796" s="265" t="s">
        <v>9202</v>
      </c>
      <c r="E6796" s="3">
        <v>400.0</v>
      </c>
      <c r="G6796" s="266">
        <v>43620.0</v>
      </c>
    </row>
    <row r="6797">
      <c r="A6797" s="217">
        <v>43624.588832905094</v>
      </c>
      <c r="B6797" s="3" t="s">
        <v>5092</v>
      </c>
      <c r="C6797" s="3" t="s">
        <v>284</v>
      </c>
      <c r="D6797" s="265" t="s">
        <v>9205</v>
      </c>
      <c r="E6797" s="3">
        <v>400.0</v>
      </c>
      <c r="G6797" s="266">
        <v>43620.0</v>
      </c>
    </row>
    <row r="6798">
      <c r="A6798" s="217">
        <v>43624.59018946759</v>
      </c>
      <c r="B6798" s="3" t="s">
        <v>5092</v>
      </c>
      <c r="C6798" s="3" t="s">
        <v>6053</v>
      </c>
      <c r="D6798" s="265" t="s">
        <v>9206</v>
      </c>
      <c r="E6798" s="3">
        <v>300.0</v>
      </c>
      <c r="G6798" s="266">
        <v>43620.0</v>
      </c>
    </row>
    <row r="6799">
      <c r="A6799" s="217">
        <v>43624.59253469907</v>
      </c>
      <c r="B6799" s="3" t="s">
        <v>5092</v>
      </c>
      <c r="C6799" s="3" t="s">
        <v>6053</v>
      </c>
      <c r="D6799" s="265" t="s">
        <v>9207</v>
      </c>
      <c r="E6799" s="3">
        <v>300.0</v>
      </c>
      <c r="G6799" s="266">
        <v>43620.0</v>
      </c>
    </row>
    <row r="6800">
      <c r="A6800" s="217">
        <v>43624.59441005787</v>
      </c>
      <c r="B6800" s="3" t="s">
        <v>5092</v>
      </c>
      <c r="C6800" s="3" t="s">
        <v>6053</v>
      </c>
      <c r="D6800" s="265">
        <v>66.0</v>
      </c>
      <c r="E6800" s="3">
        <v>300.0</v>
      </c>
      <c r="G6800" s="266">
        <v>43620.0</v>
      </c>
    </row>
    <row r="6801">
      <c r="A6801" s="217">
        <v>43624.59895393519</v>
      </c>
      <c r="B6801" s="3" t="s">
        <v>5092</v>
      </c>
      <c r="C6801" s="3" t="s">
        <v>6053</v>
      </c>
      <c r="D6801" s="265">
        <v>4.0</v>
      </c>
      <c r="E6801" s="3">
        <v>300.0</v>
      </c>
      <c r="G6801" s="266">
        <v>43620.0</v>
      </c>
    </row>
    <row r="6802">
      <c r="A6802" s="217">
        <v>43624.60019439815</v>
      </c>
      <c r="B6802" s="3" t="s">
        <v>5092</v>
      </c>
      <c r="C6802" s="3" t="s">
        <v>6053</v>
      </c>
      <c r="D6802" s="265" t="s">
        <v>9208</v>
      </c>
      <c r="E6802" s="3">
        <v>300.0</v>
      </c>
      <c r="G6802" s="266">
        <v>43620.0</v>
      </c>
    </row>
    <row r="6803">
      <c r="A6803" s="217">
        <v>43624.601234594906</v>
      </c>
      <c r="B6803" s="3" t="s">
        <v>5092</v>
      </c>
      <c r="C6803" s="3" t="s">
        <v>244</v>
      </c>
      <c r="D6803" s="265" t="s">
        <v>7917</v>
      </c>
      <c r="E6803" s="3">
        <v>400.0</v>
      </c>
      <c r="G6803" s="266">
        <v>43620.0</v>
      </c>
    </row>
    <row r="6804">
      <c r="A6804" s="217">
        <v>43624.60190032407</v>
      </c>
      <c r="B6804" s="3" t="s">
        <v>5092</v>
      </c>
      <c r="C6804" s="3" t="s">
        <v>244</v>
      </c>
      <c r="D6804" s="265" t="s">
        <v>9209</v>
      </c>
      <c r="E6804" s="3">
        <v>200.0</v>
      </c>
      <c r="G6804" s="266">
        <v>43620.0</v>
      </c>
    </row>
    <row r="6805">
      <c r="A6805" s="217">
        <v>43626.71738153935</v>
      </c>
      <c r="B6805" s="3" t="s">
        <v>5092</v>
      </c>
      <c r="C6805" s="3" t="s">
        <v>2328</v>
      </c>
      <c r="D6805" s="265">
        <v>1.0</v>
      </c>
      <c r="E6805" s="3">
        <v>4990.0</v>
      </c>
      <c r="G6805" s="266">
        <v>43621.0</v>
      </c>
    </row>
    <row r="6806">
      <c r="A6806" s="217">
        <v>43626.71900222222</v>
      </c>
      <c r="B6806" s="3" t="s">
        <v>5092</v>
      </c>
      <c r="C6806" s="3" t="s">
        <v>9211</v>
      </c>
      <c r="D6806" s="265">
        <v>1.0</v>
      </c>
      <c r="E6806" s="3">
        <v>4990.0</v>
      </c>
      <c r="G6806" s="266">
        <v>43621.0</v>
      </c>
    </row>
    <row r="6807">
      <c r="A6807" s="217">
        <v>43626.72009599537</v>
      </c>
      <c r="B6807" s="3" t="s">
        <v>5092</v>
      </c>
      <c r="C6807" s="3" t="s">
        <v>2324</v>
      </c>
      <c r="D6807" s="265">
        <v>1.0</v>
      </c>
      <c r="E6807" s="3">
        <v>4990.0</v>
      </c>
      <c r="G6807" s="266">
        <v>43621.0</v>
      </c>
    </row>
    <row r="6808">
      <c r="A6808" s="217">
        <v>43626.7213444213</v>
      </c>
      <c r="B6808" s="3" t="s">
        <v>5092</v>
      </c>
      <c r="C6808" s="3" t="s">
        <v>2319</v>
      </c>
      <c r="D6808" s="265">
        <v>1.0</v>
      </c>
      <c r="E6808" s="3">
        <v>4990.0</v>
      </c>
      <c r="G6808" s="266">
        <v>43621.0</v>
      </c>
    </row>
    <row r="6809">
      <c r="A6809" s="217">
        <v>43626.723487372685</v>
      </c>
      <c r="B6809" s="3" t="s">
        <v>5092</v>
      </c>
      <c r="C6809" s="3" t="s">
        <v>2333</v>
      </c>
      <c r="D6809" s="265">
        <v>1.0</v>
      </c>
      <c r="E6809" s="3">
        <v>4990.0</v>
      </c>
      <c r="G6809" s="266">
        <v>43621.0</v>
      </c>
    </row>
    <row r="6810">
      <c r="A6810" s="217">
        <v>43626.725012986106</v>
      </c>
      <c r="B6810" s="3" t="s">
        <v>5092</v>
      </c>
      <c r="C6810" s="3" t="s">
        <v>2323</v>
      </c>
      <c r="D6810" s="265">
        <v>1.0</v>
      </c>
      <c r="E6810" s="3">
        <v>4990.0</v>
      </c>
      <c r="G6810" s="266">
        <v>43621.0</v>
      </c>
    </row>
    <row r="6811">
      <c r="A6811" s="217">
        <v>43626.726063159724</v>
      </c>
      <c r="B6811" s="3" t="s">
        <v>5092</v>
      </c>
      <c r="C6811" s="3" t="s">
        <v>2325</v>
      </c>
      <c r="D6811" s="265">
        <v>1.0</v>
      </c>
      <c r="E6811" s="3">
        <v>4990.0</v>
      </c>
      <c r="G6811" s="266">
        <v>43621.0</v>
      </c>
    </row>
    <row r="6812">
      <c r="A6812" s="217">
        <v>43626.728142974534</v>
      </c>
      <c r="B6812" s="3" t="s">
        <v>5092</v>
      </c>
      <c r="C6812" s="3" t="s">
        <v>2335</v>
      </c>
      <c r="D6812" s="265">
        <v>1.0</v>
      </c>
      <c r="E6812" s="3">
        <v>4990.0</v>
      </c>
      <c r="G6812" s="266">
        <v>43621.0</v>
      </c>
    </row>
    <row r="6813">
      <c r="A6813" s="217">
        <v>43626.74507201389</v>
      </c>
      <c r="B6813" s="3" t="s">
        <v>5092</v>
      </c>
      <c r="C6813" s="3" t="s">
        <v>2143</v>
      </c>
      <c r="D6813" s="265">
        <v>2.0</v>
      </c>
      <c r="E6813" s="3">
        <v>3390.0</v>
      </c>
      <c r="G6813" s="266">
        <v>43621.0</v>
      </c>
    </row>
    <row r="6814">
      <c r="A6814" s="217">
        <v>43626.74683590278</v>
      </c>
      <c r="B6814" s="3" t="s">
        <v>5092</v>
      </c>
      <c r="C6814" s="3" t="s">
        <v>2320</v>
      </c>
      <c r="D6814" s="265">
        <v>1.0</v>
      </c>
      <c r="E6814" s="3">
        <v>4990.0</v>
      </c>
      <c r="G6814" s="266">
        <v>43621.0</v>
      </c>
    </row>
    <row r="6815">
      <c r="A6815" s="217">
        <v>43626.748405590275</v>
      </c>
      <c r="B6815" s="3" t="s">
        <v>5092</v>
      </c>
      <c r="C6815" s="3" t="s">
        <v>9212</v>
      </c>
      <c r="D6815" s="265">
        <v>2.0</v>
      </c>
      <c r="E6815" s="3">
        <v>3390.0</v>
      </c>
      <c r="G6815" s="266">
        <v>43621.0</v>
      </c>
    </row>
    <row r="6816">
      <c r="A6816" s="217">
        <v>43626.75029668982</v>
      </c>
      <c r="B6816" s="3" t="s">
        <v>5092</v>
      </c>
      <c r="C6816" s="3" t="s">
        <v>9213</v>
      </c>
      <c r="D6816" s="265">
        <v>5.0</v>
      </c>
      <c r="E6816" s="3">
        <v>3390.0</v>
      </c>
      <c r="G6816" s="266">
        <v>43621.0</v>
      </c>
    </row>
    <row r="6817">
      <c r="A6817" s="217">
        <v>43626.75247762731</v>
      </c>
      <c r="B6817" s="3" t="s">
        <v>5092</v>
      </c>
      <c r="C6817" s="3" t="s">
        <v>9214</v>
      </c>
      <c r="D6817" s="265">
        <v>2.0</v>
      </c>
      <c r="E6817" s="3">
        <v>3390.0</v>
      </c>
      <c r="G6817" s="266">
        <v>43621.0</v>
      </c>
    </row>
    <row r="6818">
      <c r="A6818" s="217">
        <v>43627.493566805555</v>
      </c>
      <c r="B6818" s="3" t="s">
        <v>5092</v>
      </c>
      <c r="C6818" s="3" t="s">
        <v>2142</v>
      </c>
      <c r="D6818" s="265">
        <v>5.0</v>
      </c>
      <c r="E6818" s="3">
        <v>3290.0</v>
      </c>
      <c r="G6818" s="266">
        <v>43621.0</v>
      </c>
    </row>
    <row r="6819">
      <c r="A6819" s="217">
        <v>43627.5022324537</v>
      </c>
      <c r="B6819" s="3" t="s">
        <v>5092</v>
      </c>
      <c r="C6819" s="3" t="s">
        <v>9215</v>
      </c>
      <c r="D6819" s="265">
        <v>4.0</v>
      </c>
      <c r="E6819" s="3">
        <v>3390.0</v>
      </c>
      <c r="G6819" s="266">
        <v>43621.0</v>
      </c>
    </row>
    <row r="6820">
      <c r="A6820" s="217">
        <v>43627.524182002315</v>
      </c>
      <c r="B6820" s="3" t="s">
        <v>5092</v>
      </c>
      <c r="C6820" s="3" t="s">
        <v>9216</v>
      </c>
      <c r="D6820" s="265">
        <v>2.0</v>
      </c>
      <c r="E6820" s="3">
        <v>3290.0</v>
      </c>
      <c r="G6820" s="266">
        <v>43621.0</v>
      </c>
    </row>
    <row r="6821">
      <c r="A6821" s="217">
        <v>43627.52573042824</v>
      </c>
      <c r="B6821" s="3" t="s">
        <v>5092</v>
      </c>
      <c r="C6821" s="3" t="s">
        <v>9217</v>
      </c>
      <c r="D6821" s="265">
        <v>2.0</v>
      </c>
      <c r="E6821" s="3">
        <v>3190.0</v>
      </c>
      <c r="G6821" s="266">
        <v>43621.0</v>
      </c>
    </row>
    <row r="6822">
      <c r="A6822" s="217">
        <v>43627.52683</v>
      </c>
      <c r="B6822" s="3" t="s">
        <v>5092</v>
      </c>
      <c r="C6822" s="3" t="s">
        <v>9218</v>
      </c>
      <c r="D6822" s="265">
        <v>1.0</v>
      </c>
      <c r="E6822" s="3">
        <v>3390.0</v>
      </c>
      <c r="G6822" s="266">
        <v>43621.0</v>
      </c>
    </row>
    <row r="6823">
      <c r="A6823" s="217">
        <v>43627.52833519676</v>
      </c>
      <c r="B6823" s="3" t="s">
        <v>5092</v>
      </c>
      <c r="C6823" s="3" t="s">
        <v>9219</v>
      </c>
      <c r="D6823" s="265">
        <v>1.0</v>
      </c>
      <c r="E6823" s="3">
        <v>3590.0</v>
      </c>
      <c r="G6823" s="266">
        <v>43621.0</v>
      </c>
    </row>
    <row r="6824">
      <c r="A6824" s="217">
        <v>43627.550556145834</v>
      </c>
      <c r="B6824" s="3" t="s">
        <v>5092</v>
      </c>
      <c r="C6824" s="3" t="s">
        <v>9220</v>
      </c>
      <c r="D6824" s="265">
        <v>1.0</v>
      </c>
      <c r="E6824" s="3">
        <v>4090.0</v>
      </c>
      <c r="G6824" s="266">
        <v>43614.0</v>
      </c>
    </row>
    <row r="6825">
      <c r="A6825" s="217">
        <v>43627.55444792824</v>
      </c>
      <c r="B6825" s="3" t="s">
        <v>5092</v>
      </c>
      <c r="C6825" s="3" t="s">
        <v>6717</v>
      </c>
      <c r="D6825" s="265">
        <v>1.0</v>
      </c>
      <c r="E6825" s="3">
        <v>3890.0</v>
      </c>
      <c r="G6825" s="266">
        <v>43621.0</v>
      </c>
    </row>
    <row r="6826">
      <c r="A6826" s="217">
        <v>43627.55898011574</v>
      </c>
      <c r="B6826" s="3" t="s">
        <v>5092</v>
      </c>
      <c r="C6826" s="3" t="s">
        <v>9221</v>
      </c>
      <c r="D6826" s="265">
        <v>1.0</v>
      </c>
      <c r="E6826" s="3">
        <v>3890.0</v>
      </c>
      <c r="G6826" s="266">
        <v>43621.0</v>
      </c>
    </row>
    <row r="6827">
      <c r="A6827" s="217">
        <v>43627.56093943287</v>
      </c>
      <c r="B6827" s="3" t="s">
        <v>5092</v>
      </c>
      <c r="C6827" s="3" t="s">
        <v>2336</v>
      </c>
      <c r="D6827" s="265">
        <v>1.0</v>
      </c>
      <c r="E6827" s="3">
        <v>3890.0</v>
      </c>
      <c r="G6827" s="266">
        <v>43622.0</v>
      </c>
    </row>
    <row r="6828">
      <c r="A6828" s="217">
        <v>43627.562755810184</v>
      </c>
      <c r="B6828" s="3" t="s">
        <v>5092</v>
      </c>
      <c r="C6828" s="3" t="s">
        <v>2296</v>
      </c>
      <c r="D6828" s="265">
        <v>1.0</v>
      </c>
      <c r="E6828" s="3">
        <v>3890.0</v>
      </c>
      <c r="G6828" s="266">
        <v>43621.0</v>
      </c>
    </row>
    <row r="6829">
      <c r="A6829" s="217">
        <v>43627.564765613424</v>
      </c>
      <c r="B6829" s="3" t="s">
        <v>5092</v>
      </c>
      <c r="C6829" s="3" t="s">
        <v>6342</v>
      </c>
      <c r="D6829" s="265">
        <v>1.0</v>
      </c>
      <c r="E6829" s="3">
        <v>4090.0</v>
      </c>
      <c r="G6829" s="266">
        <v>43621.0</v>
      </c>
    </row>
    <row r="6830">
      <c r="A6830" s="217">
        <v>43627.56698657408</v>
      </c>
      <c r="B6830" s="3" t="s">
        <v>5092</v>
      </c>
      <c r="C6830" s="3" t="s">
        <v>9222</v>
      </c>
      <c r="D6830" s="265">
        <v>1.0</v>
      </c>
      <c r="E6830" s="3">
        <v>3890.0</v>
      </c>
      <c r="G6830" s="266">
        <v>43621.0</v>
      </c>
    </row>
    <row r="6831">
      <c r="A6831" s="217">
        <v>43627.56769246528</v>
      </c>
      <c r="B6831" s="3" t="s">
        <v>5092</v>
      </c>
      <c r="C6831" s="3" t="s">
        <v>9223</v>
      </c>
      <c r="D6831" s="265">
        <v>1.0</v>
      </c>
      <c r="E6831" s="3">
        <v>4090.0</v>
      </c>
      <c r="G6831" s="266">
        <v>43621.0</v>
      </c>
    </row>
    <row r="6832">
      <c r="A6832" s="217">
        <v>43627.57613636574</v>
      </c>
      <c r="B6832" s="3" t="s">
        <v>5184</v>
      </c>
      <c r="C6832" s="3" t="s">
        <v>8600</v>
      </c>
      <c r="D6832" s="265">
        <v>1.0</v>
      </c>
      <c r="E6832" s="3">
        <v>2160.0</v>
      </c>
      <c r="G6832" s="266">
        <v>43625.0</v>
      </c>
    </row>
    <row r="6833">
      <c r="A6833" s="217">
        <v>43627.57860282407</v>
      </c>
      <c r="B6833" s="3" t="s">
        <v>5184</v>
      </c>
      <c r="C6833" s="3" t="s">
        <v>2142</v>
      </c>
      <c r="D6833" s="265">
        <v>4.0</v>
      </c>
      <c r="E6833" s="3">
        <v>3290.0</v>
      </c>
      <c r="G6833" s="266">
        <v>43625.0</v>
      </c>
    </row>
    <row r="6834">
      <c r="A6834" s="217">
        <v>43627.58088008102</v>
      </c>
      <c r="B6834" s="3" t="s">
        <v>5184</v>
      </c>
      <c r="C6834" s="3" t="s">
        <v>9217</v>
      </c>
      <c r="D6834" s="265">
        <v>1.0</v>
      </c>
      <c r="E6834" s="3">
        <v>3190.0</v>
      </c>
      <c r="G6834" s="266">
        <v>43625.0</v>
      </c>
    </row>
    <row r="6835">
      <c r="A6835" s="217">
        <v>43627.58331328703</v>
      </c>
      <c r="B6835" s="3" t="s">
        <v>5184</v>
      </c>
      <c r="C6835" s="3" t="s">
        <v>6342</v>
      </c>
      <c r="D6835" s="265">
        <v>1.0</v>
      </c>
      <c r="E6835" s="3">
        <v>4090.0</v>
      </c>
      <c r="G6835" s="266">
        <v>43625.0</v>
      </c>
    </row>
    <row r="6836">
      <c r="A6836" s="217">
        <v>43627.58730111111</v>
      </c>
      <c r="B6836" s="3" t="s">
        <v>5184</v>
      </c>
      <c r="C6836" s="3" t="s">
        <v>5531</v>
      </c>
      <c r="D6836" s="265">
        <v>1.0</v>
      </c>
      <c r="E6836" s="3">
        <v>3390.0</v>
      </c>
      <c r="G6836" s="266">
        <v>43625.0</v>
      </c>
    </row>
    <row r="6837">
      <c r="A6837" s="217">
        <v>43627.72006046296</v>
      </c>
      <c r="B6837" s="3" t="s">
        <v>5184</v>
      </c>
      <c r="C6837" s="3" t="s">
        <v>8805</v>
      </c>
      <c r="D6837" s="265">
        <v>1.0</v>
      </c>
      <c r="E6837" s="3">
        <v>6190.0</v>
      </c>
      <c r="G6837" s="266">
        <v>43625.0</v>
      </c>
    </row>
    <row r="6838">
      <c r="A6838" s="217">
        <v>43627.72057302084</v>
      </c>
      <c r="B6838" s="3" t="s">
        <v>5184</v>
      </c>
      <c r="C6838" s="3" t="s">
        <v>5438</v>
      </c>
      <c r="D6838" s="265">
        <v>1.0</v>
      </c>
      <c r="E6838" s="3">
        <v>4690.0</v>
      </c>
      <c r="G6838" s="266">
        <v>43625.0</v>
      </c>
    </row>
    <row r="6839">
      <c r="A6839" s="217">
        <v>43627.72092953704</v>
      </c>
      <c r="B6839" s="3" t="s">
        <v>5184</v>
      </c>
      <c r="C6839" s="3" t="s">
        <v>2203</v>
      </c>
      <c r="D6839" s="265">
        <v>1.0</v>
      </c>
      <c r="E6839" s="3">
        <v>5090.0</v>
      </c>
      <c r="G6839" s="266">
        <v>43625.0</v>
      </c>
    </row>
    <row r="6840">
      <c r="A6840" s="217">
        <v>43627.72131862269</v>
      </c>
      <c r="B6840" s="3" t="s">
        <v>5184</v>
      </c>
      <c r="C6840" s="3" t="s">
        <v>9224</v>
      </c>
      <c r="D6840" s="265">
        <v>1.0</v>
      </c>
      <c r="E6840" s="3">
        <v>4590.0</v>
      </c>
      <c r="G6840" s="266">
        <v>43625.0</v>
      </c>
    </row>
    <row r="6841">
      <c r="A6841" s="217">
        <v>43627.72176690972</v>
      </c>
      <c r="B6841" s="3" t="s">
        <v>5184</v>
      </c>
      <c r="C6841" s="3" t="s">
        <v>5493</v>
      </c>
      <c r="D6841" s="265">
        <v>1.0</v>
      </c>
      <c r="E6841" s="3">
        <v>4290.0</v>
      </c>
      <c r="G6841" s="266">
        <v>43625.0</v>
      </c>
    </row>
    <row r="6842">
      <c r="A6842" s="217">
        <v>43627.72272099537</v>
      </c>
      <c r="B6842" s="3" t="s">
        <v>5184</v>
      </c>
      <c r="C6842" s="3" t="s">
        <v>2131</v>
      </c>
      <c r="D6842" s="265">
        <v>3.0</v>
      </c>
      <c r="E6842" s="3">
        <v>3790.0</v>
      </c>
      <c r="G6842" s="266">
        <v>43625.0</v>
      </c>
    </row>
    <row r="6843">
      <c r="A6843" s="217">
        <v>43627.72327241898</v>
      </c>
      <c r="B6843" s="3" t="s">
        <v>5184</v>
      </c>
      <c r="C6843" s="3" t="s">
        <v>6319</v>
      </c>
      <c r="D6843" s="265">
        <v>2.0</v>
      </c>
      <c r="E6843" s="3">
        <v>3790.0</v>
      </c>
      <c r="G6843" s="266">
        <v>43625.0</v>
      </c>
    </row>
    <row r="6844">
      <c r="A6844" s="217">
        <v>43627.72520652778</v>
      </c>
      <c r="B6844" s="3" t="s">
        <v>5184</v>
      </c>
      <c r="C6844" s="3" t="s">
        <v>2129</v>
      </c>
      <c r="D6844" s="265">
        <v>1.0</v>
      </c>
      <c r="E6844" s="3">
        <v>3790.0</v>
      </c>
      <c r="G6844" s="266">
        <v>43625.0</v>
      </c>
    </row>
    <row r="6845">
      <c r="A6845" s="217">
        <v>43627.725654548616</v>
      </c>
      <c r="B6845" s="3" t="s">
        <v>5184</v>
      </c>
      <c r="C6845" s="3" t="s">
        <v>2146</v>
      </c>
      <c r="D6845" s="265">
        <v>1.0</v>
      </c>
      <c r="E6845" s="3">
        <v>4990.0</v>
      </c>
      <c r="G6845" s="266">
        <v>43625.0</v>
      </c>
    </row>
    <row r="6846">
      <c r="A6846" s="217">
        <v>43627.726115219906</v>
      </c>
      <c r="B6846" s="3" t="s">
        <v>5184</v>
      </c>
      <c r="C6846" s="3" t="s">
        <v>5516</v>
      </c>
      <c r="D6846" s="265">
        <v>1.0</v>
      </c>
      <c r="E6846" s="3">
        <v>3290.0</v>
      </c>
      <c r="G6846" s="266">
        <v>43625.0</v>
      </c>
    </row>
    <row r="6847">
      <c r="A6847" s="217">
        <v>43627.726727615736</v>
      </c>
      <c r="B6847" s="3" t="s">
        <v>5184</v>
      </c>
      <c r="C6847" s="3" t="s">
        <v>2173</v>
      </c>
      <c r="D6847" s="265">
        <v>1.0</v>
      </c>
      <c r="E6847" s="3">
        <v>3090.0</v>
      </c>
      <c r="G6847" s="266">
        <v>43625.0</v>
      </c>
    </row>
    <row r="6848">
      <c r="A6848" s="217">
        <v>43627.727537824074</v>
      </c>
      <c r="B6848" s="3" t="s">
        <v>5184</v>
      </c>
      <c r="C6848" s="3" t="s">
        <v>2220</v>
      </c>
      <c r="D6848" s="265">
        <v>1.0</v>
      </c>
      <c r="E6848" s="3">
        <v>3790.0</v>
      </c>
      <c r="G6848" s="266">
        <v>43625.0</v>
      </c>
    </row>
    <row r="6849">
      <c r="A6849" s="217">
        <v>43627.72799612269</v>
      </c>
      <c r="B6849" s="3" t="s">
        <v>5184</v>
      </c>
      <c r="C6849" s="3" t="s">
        <v>2218</v>
      </c>
      <c r="D6849" s="265">
        <v>1.0</v>
      </c>
      <c r="E6849" s="3">
        <v>3790.0</v>
      </c>
      <c r="G6849" s="266">
        <v>43625.0</v>
      </c>
    </row>
    <row r="6850">
      <c r="A6850" s="217">
        <v>43627.7292409375</v>
      </c>
      <c r="B6850" s="3" t="s">
        <v>5184</v>
      </c>
      <c r="C6850" s="3" t="s">
        <v>5516</v>
      </c>
      <c r="D6850" s="265">
        <v>1.0</v>
      </c>
      <c r="E6850" s="3">
        <v>3290.0</v>
      </c>
      <c r="G6850" s="266">
        <v>43625.0</v>
      </c>
    </row>
    <row r="6851">
      <c r="A6851" s="217">
        <v>43628.47619619213</v>
      </c>
      <c r="B6851" s="3" t="s">
        <v>5184</v>
      </c>
      <c r="C6851" s="3" t="s">
        <v>8844</v>
      </c>
      <c r="D6851" s="265">
        <v>1.0</v>
      </c>
      <c r="G6851" s="266">
        <v>43625.0</v>
      </c>
    </row>
    <row r="6852">
      <c r="A6852" s="217">
        <v>43628.47666613426</v>
      </c>
      <c r="B6852" s="3" t="s">
        <v>5184</v>
      </c>
      <c r="C6852" s="3" t="s">
        <v>6053</v>
      </c>
      <c r="D6852" s="265">
        <v>1.0</v>
      </c>
      <c r="E6852" s="3">
        <v>300.0</v>
      </c>
      <c r="G6852" s="266">
        <v>43625.0</v>
      </c>
    </row>
    <row r="6853">
      <c r="A6853" s="217">
        <v>43628.47789729167</v>
      </c>
      <c r="B6853" s="3" t="s">
        <v>5092</v>
      </c>
      <c r="C6853" s="3" t="s">
        <v>2316</v>
      </c>
      <c r="D6853" s="265">
        <v>1.0</v>
      </c>
      <c r="E6853" s="3">
        <v>3890.0</v>
      </c>
      <c r="G6853" s="266">
        <v>43621.0</v>
      </c>
    </row>
    <row r="6854">
      <c r="A6854" s="217">
        <v>43628.47928853009</v>
      </c>
      <c r="B6854" s="3" t="s">
        <v>5092</v>
      </c>
      <c r="C6854" s="3" t="s">
        <v>9226</v>
      </c>
      <c r="D6854" s="265">
        <v>1.0</v>
      </c>
      <c r="E6854" s="3">
        <v>3890.0</v>
      </c>
      <c r="G6854" s="266">
        <v>43621.0</v>
      </c>
    </row>
    <row r="6855">
      <c r="A6855" s="217">
        <v>43628.487419490746</v>
      </c>
      <c r="B6855" s="3" t="s">
        <v>5092</v>
      </c>
      <c r="C6855" s="3" t="s">
        <v>2309</v>
      </c>
      <c r="D6855" s="265">
        <v>4.0</v>
      </c>
      <c r="E6855" s="3">
        <v>3890.0</v>
      </c>
      <c r="G6855" s="266">
        <v>43621.0</v>
      </c>
    </row>
    <row r="6856">
      <c r="A6856" s="217">
        <v>43628.514049791665</v>
      </c>
      <c r="B6856" s="3" t="s">
        <v>5092</v>
      </c>
      <c r="C6856" s="3" t="s">
        <v>9219</v>
      </c>
      <c r="D6856" s="265">
        <v>1.0</v>
      </c>
      <c r="E6856" s="3">
        <v>3590.0</v>
      </c>
      <c r="G6856" s="266">
        <v>43621.0</v>
      </c>
    </row>
    <row r="6857">
      <c r="A6857" s="217">
        <v>43628.51638832176</v>
      </c>
      <c r="B6857" s="3" t="s">
        <v>5092</v>
      </c>
      <c r="C6857" s="3" t="s">
        <v>9228</v>
      </c>
      <c r="D6857" s="265">
        <v>1.0</v>
      </c>
      <c r="E6857" s="3">
        <v>4090.0</v>
      </c>
      <c r="G6857" s="266">
        <v>43621.0</v>
      </c>
    </row>
    <row r="6858">
      <c r="A6858" s="217">
        <v>43628.519268275464</v>
      </c>
      <c r="B6858" s="3" t="s">
        <v>5092</v>
      </c>
      <c r="C6858" s="3" t="s">
        <v>9229</v>
      </c>
      <c r="D6858" s="265">
        <v>1.0</v>
      </c>
      <c r="E6858" s="3">
        <v>3890.0</v>
      </c>
      <c r="G6858" s="266">
        <v>43621.0</v>
      </c>
    </row>
    <row r="6859">
      <c r="A6859" s="217">
        <v>43628.52373112268</v>
      </c>
      <c r="B6859" s="3" t="s">
        <v>5092</v>
      </c>
      <c r="C6859" s="3" t="s">
        <v>2298</v>
      </c>
      <c r="D6859" s="265">
        <v>4.0</v>
      </c>
      <c r="E6859" s="3">
        <v>3890.0</v>
      </c>
      <c r="G6859" s="266">
        <v>43621.0</v>
      </c>
    </row>
    <row r="6860">
      <c r="A6860" s="217">
        <v>43628.524854560186</v>
      </c>
      <c r="B6860" s="3" t="s">
        <v>5092</v>
      </c>
      <c r="C6860" s="3" t="s">
        <v>2300</v>
      </c>
      <c r="D6860" s="265">
        <v>1.0</v>
      </c>
      <c r="E6860" s="3">
        <v>3890.0</v>
      </c>
      <c r="G6860" s="266">
        <v>43621.0</v>
      </c>
    </row>
    <row r="6861">
      <c r="A6861" s="217">
        <v>43628.5265442824</v>
      </c>
      <c r="B6861" s="3" t="s">
        <v>5092</v>
      </c>
      <c r="C6861" s="3" t="s">
        <v>9221</v>
      </c>
      <c r="D6861" s="265">
        <v>2.0</v>
      </c>
      <c r="E6861" s="3">
        <v>3890.0</v>
      </c>
      <c r="G6861" s="266">
        <v>43621.0</v>
      </c>
    </row>
    <row r="6862">
      <c r="A6862" s="217">
        <v>43628.52781622685</v>
      </c>
      <c r="B6862" s="3" t="s">
        <v>5092</v>
      </c>
      <c r="C6862" s="3" t="s">
        <v>2314</v>
      </c>
      <c r="D6862" s="265">
        <v>2.0</v>
      </c>
      <c r="E6862" s="3">
        <v>3890.0</v>
      </c>
      <c r="G6862" s="266">
        <v>43621.0</v>
      </c>
    </row>
    <row r="6863">
      <c r="A6863" s="217">
        <v>43628.52947434028</v>
      </c>
      <c r="B6863" s="3" t="s">
        <v>5092</v>
      </c>
      <c r="C6863" s="3" t="s">
        <v>9230</v>
      </c>
      <c r="D6863" s="265">
        <v>1.0</v>
      </c>
      <c r="E6863" s="3">
        <v>3890.0</v>
      </c>
      <c r="G6863" s="266">
        <v>43621.0</v>
      </c>
    </row>
    <row r="6864">
      <c r="A6864" s="217">
        <v>43628.530559583334</v>
      </c>
      <c r="B6864" s="3" t="s">
        <v>5092</v>
      </c>
      <c r="C6864" s="3" t="s">
        <v>2315</v>
      </c>
      <c r="D6864" s="265">
        <v>1.0</v>
      </c>
      <c r="E6864" s="3">
        <v>3890.0</v>
      </c>
      <c r="G6864" s="266">
        <v>43621.0</v>
      </c>
    </row>
    <row r="6865">
      <c r="A6865" s="217">
        <v>43628.53265959491</v>
      </c>
      <c r="B6865" s="3" t="s">
        <v>5092</v>
      </c>
      <c r="C6865" s="3" t="s">
        <v>2323</v>
      </c>
      <c r="D6865" s="265">
        <v>1.0</v>
      </c>
      <c r="E6865" s="3">
        <v>4990.0</v>
      </c>
      <c r="G6865" s="266">
        <v>43621.0</v>
      </c>
    </row>
    <row r="6866">
      <c r="A6866" s="217">
        <v>43628.537836180556</v>
      </c>
      <c r="B6866" s="3" t="s">
        <v>5092</v>
      </c>
      <c r="C6866" s="3" t="s">
        <v>2284</v>
      </c>
      <c r="D6866" s="265">
        <v>3.0</v>
      </c>
      <c r="E6866" s="3">
        <v>4290.0</v>
      </c>
      <c r="G6866" s="266">
        <v>43621.0</v>
      </c>
    </row>
    <row r="6867">
      <c r="A6867" s="217">
        <v>43628.53921190972</v>
      </c>
      <c r="B6867" s="3" t="s">
        <v>5092</v>
      </c>
      <c r="C6867" s="3" t="s">
        <v>2326</v>
      </c>
      <c r="D6867" s="265">
        <v>1.0</v>
      </c>
      <c r="E6867" s="3">
        <v>4990.0</v>
      </c>
      <c r="G6867" s="266">
        <v>43621.0</v>
      </c>
    </row>
    <row r="6868">
      <c r="A6868" s="217">
        <v>43628.54102105324</v>
      </c>
      <c r="B6868" s="3" t="s">
        <v>5092</v>
      </c>
      <c r="C6868" s="3" t="s">
        <v>2304</v>
      </c>
      <c r="D6868" s="265">
        <v>1.0</v>
      </c>
      <c r="E6868" s="3">
        <v>3890.0</v>
      </c>
      <c r="G6868" s="266">
        <v>43621.0</v>
      </c>
    </row>
    <row r="6869">
      <c r="A6869" s="217">
        <v>43628.542617743056</v>
      </c>
      <c r="B6869" s="3" t="s">
        <v>5092</v>
      </c>
      <c r="C6869" s="3" t="s">
        <v>9229</v>
      </c>
      <c r="D6869" s="265">
        <v>1.0</v>
      </c>
      <c r="E6869" s="3">
        <v>3890.0</v>
      </c>
      <c r="G6869" s="266">
        <v>43621.0</v>
      </c>
    </row>
    <row r="6870">
      <c r="A6870" s="217">
        <v>43628.54426582176</v>
      </c>
      <c r="B6870" s="3" t="s">
        <v>5092</v>
      </c>
      <c r="C6870" s="3" t="s">
        <v>2335</v>
      </c>
      <c r="D6870" s="265">
        <v>1.0</v>
      </c>
      <c r="E6870" s="3">
        <v>4990.0</v>
      </c>
      <c r="G6870" s="266">
        <v>43621.0</v>
      </c>
    </row>
    <row r="6871">
      <c r="A6871" s="217">
        <v>43628.54552876158</v>
      </c>
      <c r="B6871" s="3" t="s">
        <v>5092</v>
      </c>
      <c r="C6871" s="3" t="s">
        <v>2333</v>
      </c>
      <c r="D6871" s="265">
        <v>1.0</v>
      </c>
      <c r="E6871" s="3">
        <v>4990.0</v>
      </c>
      <c r="G6871" s="266">
        <v>43621.0</v>
      </c>
    </row>
    <row r="6872">
      <c r="A6872" s="217">
        <v>43628.546940706015</v>
      </c>
      <c r="B6872" s="3" t="s">
        <v>5092</v>
      </c>
      <c r="C6872" s="3" t="s">
        <v>2184</v>
      </c>
      <c r="D6872" s="265">
        <v>2.0</v>
      </c>
      <c r="E6872" s="3">
        <v>3390.0</v>
      </c>
      <c r="G6872" s="266">
        <v>43621.0</v>
      </c>
    </row>
    <row r="6873">
      <c r="A6873" s="217">
        <v>43628.54808719907</v>
      </c>
      <c r="B6873" s="3" t="s">
        <v>5092</v>
      </c>
      <c r="C6873" s="3" t="s">
        <v>2336</v>
      </c>
      <c r="D6873" s="265">
        <v>3.0</v>
      </c>
      <c r="E6873" s="3">
        <v>3890.0</v>
      </c>
      <c r="G6873" s="266">
        <v>43621.0</v>
      </c>
    </row>
    <row r="6874">
      <c r="A6874" s="217">
        <v>43628.54951924768</v>
      </c>
      <c r="B6874" s="3" t="s">
        <v>5092</v>
      </c>
      <c r="C6874" s="3" t="s">
        <v>5531</v>
      </c>
      <c r="D6874" s="265">
        <v>2.0</v>
      </c>
      <c r="E6874" s="3">
        <v>3390.0</v>
      </c>
      <c r="G6874" s="266">
        <v>43621.0</v>
      </c>
    </row>
    <row r="6875">
      <c r="A6875" s="217">
        <v>43628.5562143287</v>
      </c>
      <c r="B6875" s="3" t="s">
        <v>5092</v>
      </c>
      <c r="C6875" s="3" t="s">
        <v>2236</v>
      </c>
      <c r="D6875" s="265">
        <v>1.0</v>
      </c>
      <c r="E6875" s="3">
        <v>3890.0</v>
      </c>
      <c r="G6875" s="266">
        <v>43621.0</v>
      </c>
    </row>
    <row r="6876">
      <c r="A6876" s="217">
        <v>43628.55742913194</v>
      </c>
      <c r="B6876" s="3" t="s">
        <v>5092</v>
      </c>
      <c r="C6876" s="3" t="s">
        <v>2320</v>
      </c>
      <c r="D6876" s="265">
        <v>1.0</v>
      </c>
      <c r="E6876" s="3">
        <v>4990.0</v>
      </c>
      <c r="G6876" s="266">
        <v>43621.0</v>
      </c>
    </row>
    <row r="6877">
      <c r="A6877" s="217">
        <v>43628.63730163194</v>
      </c>
      <c r="B6877" s="3" t="s">
        <v>5092</v>
      </c>
      <c r="C6877" s="3" t="s">
        <v>9231</v>
      </c>
      <c r="D6877" s="265">
        <v>1.0</v>
      </c>
      <c r="E6877" s="3">
        <v>4990.0</v>
      </c>
      <c r="G6877" s="266">
        <v>43621.0</v>
      </c>
    </row>
    <row r="6878">
      <c r="A6878" s="217">
        <v>43628.68206719907</v>
      </c>
      <c r="B6878" s="3" t="s">
        <v>5092</v>
      </c>
      <c r="C6878" s="3" t="s">
        <v>2328</v>
      </c>
      <c r="D6878" s="265">
        <v>1.0</v>
      </c>
      <c r="E6878" s="3">
        <v>4990.0</v>
      </c>
      <c r="G6878" s="266">
        <v>43621.0</v>
      </c>
    </row>
    <row r="6879">
      <c r="A6879" s="217">
        <v>43628.6849903588</v>
      </c>
      <c r="B6879" s="3" t="s">
        <v>5092</v>
      </c>
      <c r="C6879" s="3" t="s">
        <v>2283</v>
      </c>
      <c r="D6879" s="265">
        <v>2.0</v>
      </c>
      <c r="E6879" s="3">
        <v>4290.0</v>
      </c>
      <c r="G6879" s="266">
        <v>43621.0</v>
      </c>
    </row>
    <row r="6880">
      <c r="A6880" s="217">
        <v>43628.68599195602</v>
      </c>
      <c r="B6880" s="3" t="s">
        <v>5092</v>
      </c>
      <c r="C6880" s="3" t="s">
        <v>2307</v>
      </c>
      <c r="D6880" s="265">
        <v>1.0</v>
      </c>
      <c r="E6880" s="3">
        <v>3890.0</v>
      </c>
      <c r="G6880" s="266">
        <v>43621.0</v>
      </c>
    </row>
    <row r="6881">
      <c r="A6881" s="217">
        <v>43628.686956087964</v>
      </c>
      <c r="B6881" s="3" t="s">
        <v>5092</v>
      </c>
      <c r="C6881" s="3" t="s">
        <v>2318</v>
      </c>
      <c r="D6881" s="265">
        <v>1.0</v>
      </c>
      <c r="E6881" s="3">
        <v>4990.0</v>
      </c>
      <c r="G6881" s="266">
        <v>43621.0</v>
      </c>
    </row>
    <row r="6882">
      <c r="A6882" s="217">
        <v>43628.68770673611</v>
      </c>
      <c r="B6882" s="3" t="s">
        <v>5092</v>
      </c>
      <c r="C6882" s="3" t="s">
        <v>9232</v>
      </c>
      <c r="D6882" s="265">
        <v>1.0</v>
      </c>
      <c r="E6882" s="3">
        <v>5490.0</v>
      </c>
      <c r="G6882" s="266">
        <v>43621.0</v>
      </c>
    </row>
    <row r="6883">
      <c r="A6883" s="217">
        <v>43628.688647546296</v>
      </c>
      <c r="B6883" s="3" t="s">
        <v>5092</v>
      </c>
      <c r="C6883" s="3" t="s">
        <v>2296</v>
      </c>
      <c r="D6883" s="265">
        <v>1.0</v>
      </c>
      <c r="E6883" s="3">
        <v>3890.0</v>
      </c>
      <c r="G6883" s="266">
        <v>43621.0</v>
      </c>
    </row>
    <row r="6884">
      <c r="A6884" s="217">
        <v>43628.69213146991</v>
      </c>
      <c r="B6884" s="3" t="s">
        <v>5184</v>
      </c>
      <c r="C6884" s="3" t="s">
        <v>9233</v>
      </c>
      <c r="D6884" s="265">
        <v>1.0</v>
      </c>
      <c r="E6884" s="3">
        <v>2250.0</v>
      </c>
      <c r="G6884" s="266">
        <v>43624.0</v>
      </c>
    </row>
    <row r="6885">
      <c r="A6885" s="217">
        <v>43628.693582824075</v>
      </c>
      <c r="B6885" s="3" t="s">
        <v>5184</v>
      </c>
      <c r="C6885" s="3" t="s">
        <v>9236</v>
      </c>
      <c r="D6885" s="265">
        <v>1.0</v>
      </c>
      <c r="E6885" s="3">
        <v>950.0</v>
      </c>
      <c r="G6885" s="266">
        <v>43624.0</v>
      </c>
    </row>
    <row r="6886">
      <c r="A6886" s="217">
        <v>43628.694747002315</v>
      </c>
      <c r="B6886" s="3" t="s">
        <v>5184</v>
      </c>
      <c r="C6886" s="3" t="s">
        <v>9238</v>
      </c>
      <c r="D6886" s="265">
        <v>1.0</v>
      </c>
      <c r="E6886" s="3">
        <v>980.0</v>
      </c>
      <c r="G6886" s="266">
        <v>43624.0</v>
      </c>
    </row>
    <row r="6887">
      <c r="A6887" s="217">
        <v>43628.69609952546</v>
      </c>
      <c r="B6887" s="3" t="s">
        <v>5184</v>
      </c>
      <c r="C6887" s="3" t="s">
        <v>8704</v>
      </c>
      <c r="D6887" s="265">
        <v>1.0</v>
      </c>
      <c r="E6887" s="3">
        <v>1071.0</v>
      </c>
      <c r="G6887" s="266">
        <v>43624.0</v>
      </c>
    </row>
    <row r="6888">
      <c r="A6888" s="217">
        <v>43628.69722195602</v>
      </c>
      <c r="B6888" s="3" t="s">
        <v>5184</v>
      </c>
      <c r="C6888" s="3" t="s">
        <v>8661</v>
      </c>
      <c r="D6888" s="265">
        <v>1.0</v>
      </c>
      <c r="E6888" s="3">
        <v>972.0</v>
      </c>
      <c r="G6888" s="266">
        <v>43624.0</v>
      </c>
    </row>
    <row r="6889">
      <c r="A6889" s="217">
        <v>43628.69822196759</v>
      </c>
      <c r="B6889" s="3" t="s">
        <v>5184</v>
      </c>
      <c r="C6889" s="3" t="s">
        <v>8685</v>
      </c>
      <c r="D6889" s="265">
        <v>1.0</v>
      </c>
      <c r="E6889" s="3">
        <v>1080.0</v>
      </c>
      <c r="G6889" s="266">
        <v>43624.0</v>
      </c>
    </row>
    <row r="6890">
      <c r="A6890" s="217">
        <v>43628.69911261574</v>
      </c>
      <c r="B6890" s="3" t="s">
        <v>5184</v>
      </c>
      <c r="C6890" s="3" t="s">
        <v>8693</v>
      </c>
      <c r="D6890" s="265">
        <v>1.0</v>
      </c>
      <c r="E6890" s="3">
        <v>1220.0</v>
      </c>
      <c r="G6890" s="266">
        <v>43624.0</v>
      </c>
    </row>
    <row r="6891">
      <c r="A6891" s="217">
        <v>43628.700585439816</v>
      </c>
      <c r="B6891" s="3" t="s">
        <v>5184</v>
      </c>
      <c r="C6891" s="3" t="s">
        <v>8656</v>
      </c>
      <c r="D6891" s="265">
        <v>1.0</v>
      </c>
      <c r="E6891" s="3">
        <v>1160.0</v>
      </c>
      <c r="G6891" s="266">
        <v>43624.0</v>
      </c>
    </row>
    <row r="6892">
      <c r="A6892" s="217">
        <v>43628.70241706018</v>
      </c>
      <c r="B6892" s="3" t="s">
        <v>5184</v>
      </c>
      <c r="C6892" s="3" t="s">
        <v>8673</v>
      </c>
      <c r="D6892" s="265">
        <v>1.0</v>
      </c>
      <c r="E6892" s="3">
        <v>1220.0</v>
      </c>
      <c r="G6892" s="266">
        <v>43624.0</v>
      </c>
    </row>
    <row r="6893">
      <c r="A6893" s="217">
        <v>43628.703796180554</v>
      </c>
      <c r="B6893" s="3" t="s">
        <v>5184</v>
      </c>
      <c r="C6893" s="3" t="s">
        <v>8667</v>
      </c>
      <c r="D6893" s="265">
        <v>1.0</v>
      </c>
      <c r="E6893" s="3">
        <v>1190.0</v>
      </c>
      <c r="G6893" s="266">
        <v>43624.0</v>
      </c>
    </row>
    <row r="6894">
      <c r="A6894" s="217">
        <v>43628.70464844907</v>
      </c>
      <c r="B6894" s="3" t="s">
        <v>5184</v>
      </c>
      <c r="C6894" s="3" t="s">
        <v>8668</v>
      </c>
      <c r="D6894" s="265">
        <v>1.0</v>
      </c>
      <c r="E6894" s="3">
        <v>1190.0</v>
      </c>
      <c r="G6894" s="266">
        <v>43624.0</v>
      </c>
    </row>
    <row r="6895">
      <c r="A6895" s="217">
        <v>43628.705736689815</v>
      </c>
      <c r="B6895" s="3" t="s">
        <v>5184</v>
      </c>
      <c r="C6895" s="3" t="s">
        <v>8675</v>
      </c>
      <c r="D6895" s="265">
        <v>1.0</v>
      </c>
      <c r="E6895" s="3">
        <v>980.0</v>
      </c>
      <c r="G6895" s="266">
        <v>43624.0</v>
      </c>
    </row>
    <row r="6896">
      <c r="A6896" s="217">
        <v>43628.70658462963</v>
      </c>
      <c r="B6896" s="3" t="s">
        <v>5184</v>
      </c>
      <c r="C6896" s="3" t="s">
        <v>8659</v>
      </c>
      <c r="D6896" s="265">
        <v>1.0</v>
      </c>
      <c r="E6896" s="3">
        <v>1080.0</v>
      </c>
      <c r="G6896" s="266">
        <v>43624.0</v>
      </c>
    </row>
    <row r="6897">
      <c r="A6897" s="217">
        <v>43628.707364490736</v>
      </c>
      <c r="B6897" s="3" t="s">
        <v>5184</v>
      </c>
      <c r="C6897" s="3" t="s">
        <v>8638</v>
      </c>
      <c r="D6897" s="265">
        <v>1.0</v>
      </c>
      <c r="E6897" s="3">
        <v>1100.0</v>
      </c>
      <c r="G6897" s="266">
        <v>43624.0</v>
      </c>
    </row>
    <row r="6898">
      <c r="A6898" s="217">
        <v>43628.720311655095</v>
      </c>
      <c r="B6898" s="3" t="s">
        <v>5184</v>
      </c>
      <c r="C6898" s="3" t="s">
        <v>5715</v>
      </c>
      <c r="D6898" s="265">
        <v>1.0</v>
      </c>
      <c r="E6898" s="3">
        <v>1800.0</v>
      </c>
      <c r="G6898" s="266">
        <v>43627.0</v>
      </c>
    </row>
    <row r="6899">
      <c r="A6899" s="217">
        <v>43628.72106747685</v>
      </c>
      <c r="B6899" s="3" t="s">
        <v>5184</v>
      </c>
      <c r="C6899" s="3" t="s">
        <v>284</v>
      </c>
      <c r="D6899" s="265">
        <v>1.0</v>
      </c>
      <c r="E6899" s="3">
        <v>400.0</v>
      </c>
      <c r="G6899" s="266">
        <v>43627.0</v>
      </c>
    </row>
    <row r="6900">
      <c r="A6900" s="217">
        <v>43629.75079322916</v>
      </c>
      <c r="B6900" s="3" t="s">
        <v>5184</v>
      </c>
      <c r="C6900" s="3" t="s">
        <v>8969</v>
      </c>
      <c r="D6900" s="265">
        <v>1.0</v>
      </c>
      <c r="E6900" s="3">
        <v>1990.0</v>
      </c>
      <c r="G6900" s="266">
        <v>43629.0</v>
      </c>
    </row>
    <row r="6901">
      <c r="A6901" s="217">
        <v>43629.75824601852</v>
      </c>
      <c r="B6901" s="3" t="s">
        <v>5184</v>
      </c>
      <c r="C6901" s="3" t="s">
        <v>8506</v>
      </c>
      <c r="D6901" s="265">
        <v>1.0</v>
      </c>
      <c r="E6901" s="3">
        <v>1000.0</v>
      </c>
      <c r="G6901" s="266">
        <v>43629.0</v>
      </c>
    </row>
    <row r="6902">
      <c r="A6902" s="217">
        <v>43630.45036163194</v>
      </c>
      <c r="B6902" s="3" t="s">
        <v>5184</v>
      </c>
      <c r="C6902" s="3" t="s">
        <v>9240</v>
      </c>
      <c r="D6902" s="265">
        <v>1.0</v>
      </c>
      <c r="E6902" s="3">
        <v>2085.0</v>
      </c>
      <c r="G6902" s="266">
        <v>43627.0</v>
      </c>
    </row>
    <row r="6903">
      <c r="A6903" s="217">
        <v>43630.45216622685</v>
      </c>
      <c r="B6903" s="3" t="s">
        <v>5184</v>
      </c>
      <c r="C6903" s="3" t="s">
        <v>8793</v>
      </c>
      <c r="D6903" s="265">
        <v>1.0</v>
      </c>
      <c r="E6903" s="3">
        <v>2655.0</v>
      </c>
      <c r="G6903" s="266">
        <v>43627.0</v>
      </c>
    </row>
    <row r="6904">
      <c r="A6904" s="217">
        <v>43630.452851678245</v>
      </c>
      <c r="B6904" s="3" t="s">
        <v>5184</v>
      </c>
      <c r="C6904" s="3" t="s">
        <v>2345</v>
      </c>
      <c r="D6904" s="265">
        <v>1.0</v>
      </c>
      <c r="E6904" s="3">
        <v>790.0</v>
      </c>
      <c r="G6904" s="266">
        <v>43627.0</v>
      </c>
    </row>
    <row r="6905">
      <c r="A6905" s="217">
        <v>43637.52238819444</v>
      </c>
      <c r="B6905" s="3" t="s">
        <v>5092</v>
      </c>
      <c r="C6905" s="3" t="s">
        <v>9242</v>
      </c>
      <c r="D6905" s="265">
        <v>1.0</v>
      </c>
      <c r="E6905" s="3">
        <v>3390.0</v>
      </c>
      <c r="G6905" s="266">
        <v>43630.0</v>
      </c>
    </row>
    <row r="6906">
      <c r="A6906" s="217">
        <v>43637.530088009255</v>
      </c>
      <c r="B6906" s="3" t="s">
        <v>5092</v>
      </c>
      <c r="C6906" s="3" t="s">
        <v>9232</v>
      </c>
      <c r="D6906" s="265">
        <v>1.0</v>
      </c>
      <c r="E6906" s="3">
        <v>5490.0</v>
      </c>
      <c r="G6906" s="266">
        <v>43630.0</v>
      </c>
    </row>
    <row r="6907">
      <c r="A6907" s="217">
        <v>43637.53306008102</v>
      </c>
      <c r="B6907" s="3" t="s">
        <v>5092</v>
      </c>
      <c r="C6907" s="3" t="s">
        <v>2302</v>
      </c>
      <c r="D6907" s="265">
        <v>4.0</v>
      </c>
      <c r="E6907" s="3">
        <v>3890.0</v>
      </c>
      <c r="G6907" s="266">
        <v>43630.0</v>
      </c>
    </row>
    <row r="6908">
      <c r="A6908" s="217">
        <v>43637.53438545139</v>
      </c>
      <c r="B6908" s="3" t="s">
        <v>5092</v>
      </c>
      <c r="C6908" s="3" t="s">
        <v>9244</v>
      </c>
      <c r="D6908" s="265">
        <v>3.0</v>
      </c>
      <c r="E6908" s="3">
        <v>4090.0</v>
      </c>
      <c r="G6908" s="266">
        <v>43630.0</v>
      </c>
    </row>
    <row r="6909">
      <c r="A6909" s="217">
        <v>43637.53622915509</v>
      </c>
      <c r="B6909" s="3" t="s">
        <v>5092</v>
      </c>
      <c r="C6909" s="3" t="s">
        <v>9245</v>
      </c>
      <c r="D6909" s="265">
        <v>1.0</v>
      </c>
      <c r="E6909" s="3">
        <v>3190.0</v>
      </c>
      <c r="G6909" s="266">
        <v>43630.0</v>
      </c>
    </row>
    <row r="6910">
      <c r="A6910" s="217">
        <v>43637.53864248843</v>
      </c>
      <c r="B6910" s="3" t="s">
        <v>5092</v>
      </c>
      <c r="C6910" s="3" t="s">
        <v>2283</v>
      </c>
      <c r="D6910" s="265">
        <v>1.0</v>
      </c>
      <c r="E6910" s="3">
        <v>4290.0</v>
      </c>
      <c r="G6910" s="266">
        <v>43630.0</v>
      </c>
    </row>
    <row r="6911">
      <c r="A6911" s="217">
        <v>43637.540209363426</v>
      </c>
      <c r="B6911" s="3" t="s">
        <v>5092</v>
      </c>
      <c r="C6911" s="3" t="s">
        <v>9246</v>
      </c>
      <c r="D6911" s="265">
        <v>1.0</v>
      </c>
      <c r="E6911" s="3">
        <v>5490.0</v>
      </c>
      <c r="G6911" s="266">
        <v>43630.0</v>
      </c>
    </row>
    <row r="6912">
      <c r="A6912" s="217">
        <v>43637.5415375463</v>
      </c>
      <c r="B6912" s="3" t="s">
        <v>5092</v>
      </c>
      <c r="C6912" s="3" t="s">
        <v>2330</v>
      </c>
      <c r="D6912" s="265">
        <v>1.0</v>
      </c>
      <c r="E6912" s="3">
        <v>4090.0</v>
      </c>
      <c r="G6912" s="266">
        <v>43630.0</v>
      </c>
    </row>
    <row r="6913">
      <c r="A6913" s="217">
        <v>43637.54263034722</v>
      </c>
      <c r="B6913" s="3" t="s">
        <v>5092</v>
      </c>
      <c r="C6913" s="3" t="s">
        <v>2300</v>
      </c>
      <c r="D6913" s="265">
        <v>2.0</v>
      </c>
      <c r="E6913" s="3">
        <v>3890.0</v>
      </c>
      <c r="G6913" s="266">
        <v>43630.0</v>
      </c>
    </row>
    <row r="6914">
      <c r="A6914" s="217">
        <v>43637.544193842594</v>
      </c>
      <c r="B6914" s="3" t="s">
        <v>5092</v>
      </c>
      <c r="C6914" s="3" t="s">
        <v>6349</v>
      </c>
      <c r="D6914" s="265">
        <v>1.0</v>
      </c>
      <c r="E6914" s="3">
        <v>3290.0</v>
      </c>
      <c r="G6914" s="266">
        <v>43630.0</v>
      </c>
    </row>
    <row r="6915">
      <c r="A6915" s="217">
        <v>43637.54537493056</v>
      </c>
      <c r="B6915" s="3" t="s">
        <v>5092</v>
      </c>
      <c r="C6915" s="3" t="s">
        <v>6349</v>
      </c>
      <c r="D6915" s="265">
        <v>3.0</v>
      </c>
      <c r="E6915" s="3">
        <v>3290.0</v>
      </c>
      <c r="G6915" s="266">
        <v>43630.0</v>
      </c>
    </row>
    <row r="6916">
      <c r="A6916" s="217">
        <v>43637.5466396875</v>
      </c>
      <c r="B6916" s="3" t="s">
        <v>5092</v>
      </c>
      <c r="C6916" s="3" t="s">
        <v>5531</v>
      </c>
      <c r="D6916" s="265">
        <v>2.0</v>
      </c>
      <c r="E6916" s="3">
        <v>3390.0</v>
      </c>
      <c r="G6916" s="266">
        <v>43630.0</v>
      </c>
    </row>
    <row r="6917">
      <c r="A6917" s="217">
        <v>43637.54805760417</v>
      </c>
      <c r="B6917" s="3" t="s">
        <v>5092</v>
      </c>
      <c r="C6917" s="3" t="s">
        <v>9247</v>
      </c>
      <c r="D6917" s="265">
        <v>2.0</v>
      </c>
      <c r="E6917" s="3">
        <v>4090.0</v>
      </c>
      <c r="G6917" s="266">
        <v>43630.0</v>
      </c>
    </row>
    <row r="6918">
      <c r="A6918" s="217">
        <v>43637.54924253472</v>
      </c>
      <c r="B6918" s="3" t="s">
        <v>5092</v>
      </c>
      <c r="C6918" s="3" t="s">
        <v>2237</v>
      </c>
      <c r="D6918" s="265">
        <v>1.0</v>
      </c>
      <c r="G6918" s="266">
        <v>43630.0</v>
      </c>
    </row>
    <row r="6919">
      <c r="A6919" s="217">
        <v>43637.550074363426</v>
      </c>
      <c r="B6919" s="3" t="s">
        <v>5092</v>
      </c>
      <c r="C6919" s="3" t="s">
        <v>2315</v>
      </c>
      <c r="D6919" s="265">
        <v>1.0</v>
      </c>
      <c r="G6919" s="266">
        <v>43630.0</v>
      </c>
    </row>
    <row r="6920">
      <c r="A6920" s="217">
        <v>43637.551101261575</v>
      </c>
      <c r="B6920" s="3" t="s">
        <v>5092</v>
      </c>
      <c r="C6920" s="3" t="s">
        <v>2296</v>
      </c>
      <c r="D6920" s="265">
        <v>2.0</v>
      </c>
      <c r="E6920" s="3">
        <v>3890.0</v>
      </c>
      <c r="G6920" s="266">
        <v>43630.0</v>
      </c>
    </row>
    <row r="6921">
      <c r="A6921" s="217">
        <v>43637.55250380787</v>
      </c>
      <c r="B6921" s="3" t="s">
        <v>5092</v>
      </c>
      <c r="C6921" s="3" t="s">
        <v>2311</v>
      </c>
      <c r="D6921" s="265">
        <v>1.0</v>
      </c>
      <c r="G6921" s="266">
        <v>43630.0</v>
      </c>
    </row>
    <row r="6922">
      <c r="A6922" s="217">
        <v>43637.554202175925</v>
      </c>
      <c r="B6922" s="3" t="s">
        <v>5092</v>
      </c>
      <c r="C6922" s="3" t="s">
        <v>6346</v>
      </c>
      <c r="D6922" s="265">
        <v>2.0</v>
      </c>
      <c r="E6922" s="3">
        <v>3490.0</v>
      </c>
      <c r="G6922" s="266">
        <v>43630.0</v>
      </c>
    </row>
    <row r="6923">
      <c r="A6923" s="217">
        <v>43637.55601799769</v>
      </c>
      <c r="B6923" s="3" t="s">
        <v>5092</v>
      </c>
      <c r="C6923" s="3" t="s">
        <v>9248</v>
      </c>
      <c r="D6923" s="265">
        <v>1.0</v>
      </c>
      <c r="E6923" s="3">
        <v>3590.0</v>
      </c>
      <c r="G6923" s="266">
        <v>43630.0</v>
      </c>
    </row>
    <row r="6924">
      <c r="A6924" s="217">
        <v>43637.55721392361</v>
      </c>
      <c r="B6924" s="3" t="s">
        <v>5092</v>
      </c>
      <c r="C6924" s="3" t="s">
        <v>6342</v>
      </c>
      <c r="D6924" s="265">
        <v>1.0</v>
      </c>
      <c r="E6924" s="3">
        <v>3890.0</v>
      </c>
      <c r="G6924" s="266">
        <v>43630.0</v>
      </c>
    </row>
    <row r="6925">
      <c r="A6925" s="217">
        <v>43637.61366667824</v>
      </c>
      <c r="B6925" s="3" t="s">
        <v>2322</v>
      </c>
      <c r="C6925" s="3" t="s">
        <v>6654</v>
      </c>
      <c r="D6925" s="265">
        <v>1.0</v>
      </c>
      <c r="E6925" s="3">
        <v>5490.0</v>
      </c>
      <c r="G6925" s="266">
        <v>43637.0</v>
      </c>
    </row>
    <row r="6926">
      <c r="A6926" s="217">
        <v>43637.615148680554</v>
      </c>
      <c r="B6926" s="3" t="s">
        <v>2322</v>
      </c>
      <c r="C6926" s="3" t="s">
        <v>1865</v>
      </c>
      <c r="D6926" s="265">
        <v>1.0</v>
      </c>
      <c r="E6926" s="3">
        <v>5490.0</v>
      </c>
      <c r="G6926" s="266">
        <v>43637.0</v>
      </c>
    </row>
    <row r="6927">
      <c r="A6927" s="217">
        <v>43637.61624525463</v>
      </c>
      <c r="B6927" s="3" t="s">
        <v>2322</v>
      </c>
      <c r="C6927" s="3" t="s">
        <v>9082</v>
      </c>
      <c r="D6927" s="265">
        <v>1.0</v>
      </c>
      <c r="E6927" s="3">
        <v>6790.0</v>
      </c>
      <c r="G6927" s="266">
        <v>43637.0</v>
      </c>
    </row>
    <row r="6928">
      <c r="A6928" s="217">
        <v>43639.59641932871</v>
      </c>
      <c r="B6928" s="3" t="s">
        <v>5092</v>
      </c>
      <c r="C6928" s="3" t="s">
        <v>2286</v>
      </c>
      <c r="D6928" s="265">
        <v>1.0</v>
      </c>
      <c r="E6928" s="3">
        <v>6690.0</v>
      </c>
      <c r="G6928" s="266">
        <v>43637.0</v>
      </c>
    </row>
    <row r="6929">
      <c r="A6929" s="217">
        <v>43639.59770331018</v>
      </c>
      <c r="B6929" s="3" t="s">
        <v>5092</v>
      </c>
      <c r="C6929" s="3" t="s">
        <v>2258</v>
      </c>
      <c r="D6929" s="265">
        <v>1.0</v>
      </c>
      <c r="E6929" s="3">
        <v>5590.0</v>
      </c>
      <c r="G6929" s="266">
        <v>43637.0</v>
      </c>
    </row>
    <row r="6930">
      <c r="A6930" s="217">
        <v>43639.59891033565</v>
      </c>
      <c r="B6930" s="3" t="s">
        <v>5092</v>
      </c>
      <c r="C6930" s="3" t="s">
        <v>9252</v>
      </c>
      <c r="D6930" s="265">
        <v>2.0</v>
      </c>
      <c r="E6930" s="3">
        <v>5290.0</v>
      </c>
      <c r="G6930" s="266">
        <v>43637.0</v>
      </c>
    </row>
    <row r="6931">
      <c r="A6931" s="217">
        <v>43639.60004831018</v>
      </c>
      <c r="B6931" s="3" t="s">
        <v>5092</v>
      </c>
      <c r="C6931" s="3" t="s">
        <v>2280</v>
      </c>
      <c r="D6931" s="265">
        <v>2.0</v>
      </c>
      <c r="E6931" s="3">
        <v>6190.0</v>
      </c>
      <c r="G6931" s="266">
        <v>43637.0</v>
      </c>
    </row>
    <row r="6932">
      <c r="A6932" s="217">
        <v>43639.602810682874</v>
      </c>
      <c r="B6932" s="3" t="s">
        <v>5092</v>
      </c>
      <c r="C6932" s="3" t="s">
        <v>9253</v>
      </c>
      <c r="D6932" s="265">
        <v>4.0</v>
      </c>
      <c r="E6932" s="3">
        <v>4290.0</v>
      </c>
      <c r="G6932" s="266">
        <v>43637.0</v>
      </c>
    </row>
    <row r="6933">
      <c r="A6933" s="217">
        <v>43639.607409108794</v>
      </c>
      <c r="B6933" s="3" t="s">
        <v>5092</v>
      </c>
      <c r="C6933" s="3" t="s">
        <v>9254</v>
      </c>
      <c r="D6933" s="265">
        <v>1.0</v>
      </c>
      <c r="E6933" s="3">
        <v>4990.0</v>
      </c>
      <c r="G6933" s="266">
        <v>43637.0</v>
      </c>
    </row>
    <row r="6934">
      <c r="A6934" s="217">
        <v>43639.608721331024</v>
      </c>
      <c r="B6934" s="3" t="s">
        <v>5092</v>
      </c>
      <c r="C6934" s="3" t="s">
        <v>2269</v>
      </c>
      <c r="D6934" s="265">
        <v>1.0</v>
      </c>
      <c r="E6934" s="3">
        <v>6190.0</v>
      </c>
      <c r="G6934" s="266">
        <v>43637.0</v>
      </c>
    </row>
    <row r="6935">
      <c r="A6935" s="217">
        <v>43639.60970975694</v>
      </c>
      <c r="B6935" s="3" t="s">
        <v>5092</v>
      </c>
      <c r="C6935" s="3" t="s">
        <v>2264</v>
      </c>
      <c r="D6935" s="265">
        <v>1.0</v>
      </c>
      <c r="E6935" s="3">
        <v>5290.0</v>
      </c>
      <c r="G6935" s="266">
        <v>43637.0</v>
      </c>
    </row>
    <row r="6936">
      <c r="A6936" s="217">
        <v>43639.611275358795</v>
      </c>
      <c r="B6936" s="3" t="s">
        <v>5092</v>
      </c>
      <c r="C6936" s="3" t="s">
        <v>9255</v>
      </c>
      <c r="D6936" s="265">
        <v>3.0</v>
      </c>
      <c r="E6936" s="3">
        <v>5090.0</v>
      </c>
      <c r="G6936" s="266">
        <v>43637.0</v>
      </c>
    </row>
    <row r="6937">
      <c r="A6937" s="217">
        <v>43639.61328612269</v>
      </c>
      <c r="B6937" s="3" t="s">
        <v>5092</v>
      </c>
      <c r="C6937" s="3" t="s">
        <v>2261</v>
      </c>
      <c r="D6937" s="265">
        <v>1.0</v>
      </c>
      <c r="E6937" s="3">
        <v>4290.0</v>
      </c>
      <c r="G6937" s="266">
        <v>43637.0</v>
      </c>
    </row>
    <row r="6938">
      <c r="A6938" s="217">
        <v>43639.614435972224</v>
      </c>
      <c r="B6938" s="3" t="s">
        <v>5092</v>
      </c>
      <c r="C6938" s="3" t="s">
        <v>2276</v>
      </c>
      <c r="D6938" s="265">
        <v>1.0</v>
      </c>
      <c r="E6938" s="3">
        <v>7190.0</v>
      </c>
      <c r="G6938" s="266">
        <v>43637.0</v>
      </c>
    </row>
    <row r="6939">
      <c r="A6939" s="217">
        <v>43639.61546047454</v>
      </c>
      <c r="B6939" s="3" t="s">
        <v>5092</v>
      </c>
      <c r="C6939" s="3" t="s">
        <v>9256</v>
      </c>
      <c r="D6939" s="265">
        <v>1.0</v>
      </c>
      <c r="E6939" s="3">
        <v>6190.0</v>
      </c>
      <c r="G6939" s="266">
        <v>43637.0</v>
      </c>
    </row>
    <row r="6940">
      <c r="A6940" s="217">
        <v>43639.618272974534</v>
      </c>
      <c r="B6940" s="3" t="s">
        <v>5092</v>
      </c>
      <c r="C6940" s="3" t="s">
        <v>9257</v>
      </c>
      <c r="D6940" s="265">
        <v>1.0</v>
      </c>
      <c r="E6940" s="3">
        <v>4290.0</v>
      </c>
      <c r="G6940" s="266">
        <v>43637.0</v>
      </c>
    </row>
    <row r="6941">
      <c r="A6941" s="217">
        <v>43639.622406712966</v>
      </c>
      <c r="B6941" s="3" t="s">
        <v>5092</v>
      </c>
      <c r="C6941" s="3" t="s">
        <v>2270</v>
      </c>
      <c r="D6941" s="265">
        <v>1.0</v>
      </c>
      <c r="E6941" s="3">
        <v>5590.0</v>
      </c>
      <c r="G6941" s="266">
        <v>43637.0</v>
      </c>
    </row>
    <row r="6942">
      <c r="A6942" s="217">
        <v>43639.62656917824</v>
      </c>
      <c r="B6942" s="3" t="s">
        <v>5092</v>
      </c>
      <c r="C6942" s="3" t="s">
        <v>9198</v>
      </c>
      <c r="D6942" s="265">
        <v>1.0</v>
      </c>
      <c r="E6942" s="3">
        <v>3490.0</v>
      </c>
      <c r="G6942" s="266">
        <v>43637.0</v>
      </c>
    </row>
    <row r="6943">
      <c r="A6943" s="217">
        <v>43639.62792856482</v>
      </c>
      <c r="B6943" s="3" t="s">
        <v>5092</v>
      </c>
      <c r="C6943" s="3" t="s">
        <v>6334</v>
      </c>
      <c r="D6943" s="265">
        <v>1.0</v>
      </c>
      <c r="E6943" s="3">
        <v>3290.0</v>
      </c>
      <c r="G6943" s="266">
        <v>43637.0</v>
      </c>
    </row>
    <row r="6944">
      <c r="A6944" s="217">
        <v>43639.628954872685</v>
      </c>
      <c r="B6944" s="3" t="s">
        <v>5092</v>
      </c>
      <c r="C6944" s="3" t="s">
        <v>9258</v>
      </c>
      <c r="D6944" s="265">
        <v>1.0</v>
      </c>
      <c r="E6944" s="3">
        <v>6190.0</v>
      </c>
      <c r="G6944" s="266">
        <v>43637.0</v>
      </c>
    </row>
    <row r="6945">
      <c r="A6945" s="217">
        <v>43639.63017802083</v>
      </c>
      <c r="B6945" s="3" t="s">
        <v>5092</v>
      </c>
      <c r="C6945" s="3" t="s">
        <v>8819</v>
      </c>
      <c r="D6945" s="265">
        <v>1.0</v>
      </c>
      <c r="E6945" s="3">
        <v>4290.0</v>
      </c>
      <c r="G6945" s="266">
        <v>43637.0</v>
      </c>
    </row>
    <row r="6946">
      <c r="A6946" s="217">
        <v>43639.63127481482</v>
      </c>
      <c r="B6946" s="3" t="s">
        <v>5092</v>
      </c>
      <c r="C6946" s="3" t="s">
        <v>2222</v>
      </c>
      <c r="D6946" s="265">
        <v>1.0</v>
      </c>
      <c r="E6946" s="3">
        <v>4290.0</v>
      </c>
      <c r="G6946" s="266">
        <v>43637.0</v>
      </c>
    </row>
    <row r="6947">
      <c r="A6947" s="217">
        <v>43639.716362060186</v>
      </c>
      <c r="B6947" s="3" t="s">
        <v>5184</v>
      </c>
      <c r="C6947" s="3" t="s">
        <v>2270</v>
      </c>
      <c r="D6947" s="265">
        <v>1.0</v>
      </c>
      <c r="E6947" s="3">
        <v>5590.0</v>
      </c>
      <c r="G6947" s="266">
        <v>43639.0</v>
      </c>
    </row>
    <row r="6948">
      <c r="A6948" s="217">
        <v>43639.71736569444</v>
      </c>
      <c r="B6948" s="3" t="s">
        <v>5184</v>
      </c>
      <c r="C6948" s="3" t="s">
        <v>9198</v>
      </c>
      <c r="D6948" s="265">
        <v>1.0</v>
      </c>
      <c r="E6948" s="3">
        <v>3490.0</v>
      </c>
      <c r="G6948" s="266">
        <v>43639.0</v>
      </c>
    </row>
    <row r="6949">
      <c r="A6949" s="217">
        <v>43639.71814711805</v>
      </c>
      <c r="B6949" s="3" t="s">
        <v>5184</v>
      </c>
      <c r="C6949" s="3" t="s">
        <v>9253</v>
      </c>
      <c r="D6949" s="265">
        <v>1.0</v>
      </c>
      <c r="E6949" s="3">
        <v>4290.0</v>
      </c>
      <c r="G6949" s="266">
        <v>43639.0</v>
      </c>
    </row>
    <row r="6950">
      <c r="A6950" s="217">
        <v>43639.718992372684</v>
      </c>
      <c r="B6950" s="3" t="s">
        <v>5184</v>
      </c>
      <c r="C6950" s="3" t="s">
        <v>2261</v>
      </c>
      <c r="D6950" s="265">
        <v>1.0</v>
      </c>
      <c r="E6950" s="3">
        <v>4290.0</v>
      </c>
      <c r="G6950" s="266">
        <v>43639.0</v>
      </c>
    </row>
    <row r="6951">
      <c r="A6951" s="217">
        <v>43639.72015318287</v>
      </c>
      <c r="B6951" s="3" t="s">
        <v>5184</v>
      </c>
      <c r="C6951" s="3" t="s">
        <v>6334</v>
      </c>
      <c r="D6951" s="265">
        <v>1.0</v>
      </c>
      <c r="E6951" s="3">
        <v>3290.0</v>
      </c>
      <c r="G6951" s="266">
        <v>43639.0</v>
      </c>
    </row>
    <row r="6952">
      <c r="A6952" s="217">
        <v>43639.72154247685</v>
      </c>
      <c r="B6952" s="3" t="s">
        <v>5184</v>
      </c>
      <c r="C6952" s="3" t="s">
        <v>6349</v>
      </c>
      <c r="D6952" s="265">
        <v>2.0</v>
      </c>
      <c r="E6952" s="3">
        <v>3290.0</v>
      </c>
      <c r="G6952" s="266">
        <v>43639.0</v>
      </c>
    </row>
    <row r="6953">
      <c r="A6953" s="217">
        <v>43639.722909398144</v>
      </c>
      <c r="B6953" s="3" t="s">
        <v>5184</v>
      </c>
      <c r="C6953" s="3" t="s">
        <v>5531</v>
      </c>
      <c r="D6953" s="265">
        <v>2.0</v>
      </c>
      <c r="E6953" s="3">
        <v>3390.0</v>
      </c>
      <c r="G6953" s="266">
        <v>43639.0</v>
      </c>
    </row>
    <row r="6954">
      <c r="A6954" s="217">
        <v>43639.72471978009</v>
      </c>
      <c r="B6954" s="3" t="s">
        <v>5184</v>
      </c>
      <c r="C6954" s="3" t="s">
        <v>6349</v>
      </c>
      <c r="D6954" s="265">
        <v>1.0</v>
      </c>
      <c r="E6954" s="3">
        <v>3290.0</v>
      </c>
      <c r="G6954" s="266">
        <v>43639.0</v>
      </c>
    </row>
    <row r="6955">
      <c r="A6955" s="217">
        <v>43639.734011504625</v>
      </c>
      <c r="B6955" s="3" t="s">
        <v>5184</v>
      </c>
      <c r="C6955" s="3" t="s">
        <v>2286</v>
      </c>
      <c r="D6955" s="265">
        <v>1.0</v>
      </c>
      <c r="E6955" s="3">
        <v>6690.0</v>
      </c>
      <c r="G6955" s="266">
        <v>43639.0</v>
      </c>
    </row>
    <row r="6956">
      <c r="A6956" s="217">
        <v>43639.73474450232</v>
      </c>
      <c r="B6956" s="3" t="s">
        <v>5184</v>
      </c>
      <c r="C6956" s="3" t="s">
        <v>9255</v>
      </c>
      <c r="D6956" s="265">
        <v>2.0</v>
      </c>
      <c r="E6956" s="3">
        <v>5090.0</v>
      </c>
      <c r="G6956" s="266">
        <v>43639.0</v>
      </c>
    </row>
    <row r="6957">
      <c r="A6957" s="217">
        <v>43639.74651474537</v>
      </c>
      <c r="B6957" s="3" t="s">
        <v>5184</v>
      </c>
      <c r="C6957" s="3" t="s">
        <v>7784</v>
      </c>
      <c r="D6957" s="265">
        <v>1.0</v>
      </c>
      <c r="E6957" s="3">
        <v>1699.0</v>
      </c>
      <c r="G6957" s="266">
        <v>43639.0</v>
      </c>
    </row>
    <row r="6958">
      <c r="A6958" s="217">
        <v>43639.74846415509</v>
      </c>
      <c r="B6958" s="3" t="s">
        <v>5184</v>
      </c>
      <c r="C6958" s="3" t="s">
        <v>8860</v>
      </c>
      <c r="D6958" s="265">
        <v>1.0</v>
      </c>
      <c r="E6958" s="3">
        <v>2450.0</v>
      </c>
      <c r="G6958" s="266">
        <v>43639.0</v>
      </c>
    </row>
    <row r="6959">
      <c r="A6959" s="217">
        <v>43639.74891288194</v>
      </c>
      <c r="B6959" s="3" t="s">
        <v>5184</v>
      </c>
      <c r="C6959" s="3" t="s">
        <v>284</v>
      </c>
      <c r="D6959" s="265">
        <v>1.0</v>
      </c>
      <c r="E6959" s="3">
        <v>400.0</v>
      </c>
      <c r="G6959" s="266">
        <v>43639.0</v>
      </c>
    </row>
    <row r="6960">
      <c r="A6960" s="217">
        <v>43641.59350966435</v>
      </c>
      <c r="B6960" s="3" t="s">
        <v>5092</v>
      </c>
      <c r="C6960" s="3" t="s">
        <v>2345</v>
      </c>
      <c r="D6960" s="265">
        <v>1.0</v>
      </c>
      <c r="E6960" s="3">
        <v>2100.0</v>
      </c>
      <c r="G6960" s="266">
        <v>43641.0</v>
      </c>
    </row>
    <row r="6961">
      <c r="A6961" s="217">
        <v>43642.52261025463</v>
      </c>
      <c r="B6961" s="3" t="s">
        <v>5184</v>
      </c>
      <c r="C6961" s="3" t="s">
        <v>2280</v>
      </c>
      <c r="D6961" s="265">
        <v>1.0</v>
      </c>
      <c r="E6961" s="3">
        <v>6190.0</v>
      </c>
      <c r="G6961" s="266">
        <v>43640.0</v>
      </c>
    </row>
    <row r="6962">
      <c r="A6962" s="217">
        <v>43642.52407380787</v>
      </c>
      <c r="B6962" s="3" t="s">
        <v>5184</v>
      </c>
      <c r="C6962" s="3" t="s">
        <v>9253</v>
      </c>
      <c r="D6962" s="265">
        <v>3.0</v>
      </c>
      <c r="E6962" s="3">
        <v>4290.0</v>
      </c>
      <c r="G6962" s="266">
        <v>43640.0</v>
      </c>
    </row>
    <row r="6963">
      <c r="A6963" s="217">
        <v>43642.52532410879</v>
      </c>
      <c r="B6963" s="3" t="s">
        <v>5184</v>
      </c>
      <c r="C6963" s="3" t="s">
        <v>2269</v>
      </c>
      <c r="D6963" s="265">
        <v>1.0</v>
      </c>
      <c r="E6963" s="3">
        <v>6190.0</v>
      </c>
      <c r="G6963" s="266">
        <v>43640.0</v>
      </c>
    </row>
    <row r="6964">
      <c r="A6964" s="217">
        <v>43642.526511840275</v>
      </c>
      <c r="B6964" s="3" t="s">
        <v>5184</v>
      </c>
      <c r="C6964" s="3" t="s">
        <v>2264</v>
      </c>
      <c r="D6964" s="265">
        <v>1.0</v>
      </c>
      <c r="E6964" s="3">
        <v>5290.0</v>
      </c>
      <c r="G6964" s="266">
        <v>43640.0</v>
      </c>
    </row>
    <row r="6965">
      <c r="A6965" s="217">
        <v>43642.52767520833</v>
      </c>
      <c r="B6965" s="3" t="s">
        <v>5184</v>
      </c>
      <c r="C6965" s="3" t="s">
        <v>8819</v>
      </c>
      <c r="D6965" s="265">
        <v>1.0</v>
      </c>
      <c r="E6965" s="3">
        <v>4290.0</v>
      </c>
      <c r="G6965" s="266">
        <v>43640.0</v>
      </c>
    </row>
    <row r="6966">
      <c r="A6966" s="217">
        <v>43642.549673368056</v>
      </c>
      <c r="B6966" s="3" t="s">
        <v>5184</v>
      </c>
      <c r="C6966" s="3" t="s">
        <v>1824</v>
      </c>
      <c r="D6966" s="265">
        <v>1.0</v>
      </c>
      <c r="E6966" s="3">
        <v>6490.0</v>
      </c>
      <c r="G6966" s="266">
        <v>43642.0</v>
      </c>
    </row>
    <row r="6967">
      <c r="A6967" s="217">
        <v>43643.43687255787</v>
      </c>
      <c r="B6967" s="3" t="s">
        <v>5092</v>
      </c>
      <c r="C6967" s="3" t="s">
        <v>9266</v>
      </c>
      <c r="D6967" s="265">
        <v>12.0</v>
      </c>
      <c r="E6967" s="3">
        <v>100.0</v>
      </c>
      <c r="G6967" s="266">
        <v>43642.0</v>
      </c>
    </row>
    <row r="6968">
      <c r="A6968" s="217">
        <v>43644.476277696755</v>
      </c>
      <c r="B6968" s="3" t="s">
        <v>5184</v>
      </c>
      <c r="C6968" s="3" t="s">
        <v>6768</v>
      </c>
      <c r="D6968" s="265">
        <v>1.0</v>
      </c>
      <c r="E6968" s="3">
        <v>4990.0</v>
      </c>
      <c r="G6968" s="266">
        <v>43643.0</v>
      </c>
    </row>
    <row r="6969">
      <c r="A6969" s="217">
        <v>43644.47946855324</v>
      </c>
      <c r="B6969" s="3" t="s">
        <v>5184</v>
      </c>
      <c r="C6969" s="3" t="s">
        <v>5368</v>
      </c>
      <c r="D6969" s="265">
        <v>1.0</v>
      </c>
      <c r="E6969" s="3">
        <v>8750.0</v>
      </c>
      <c r="G6969" s="266">
        <v>43644.0</v>
      </c>
    </row>
    <row r="6970">
      <c r="A6970" s="217">
        <v>43645.7355759375</v>
      </c>
      <c r="B6970" s="3" t="s">
        <v>5184</v>
      </c>
      <c r="C6970" s="3" t="s">
        <v>284</v>
      </c>
      <c r="D6970" s="265">
        <v>1.0</v>
      </c>
      <c r="E6970" s="3">
        <v>400.0</v>
      </c>
      <c r="G6970" s="266">
        <v>43643.0</v>
      </c>
    </row>
    <row r="6971">
      <c r="A6971" s="217">
        <v>43647.78335331018</v>
      </c>
      <c r="B6971" s="3" t="s">
        <v>5092</v>
      </c>
      <c r="C6971" s="3" t="s">
        <v>6388</v>
      </c>
      <c r="D6971" s="265">
        <v>1.0</v>
      </c>
      <c r="E6971" s="3">
        <v>4990.0</v>
      </c>
      <c r="G6971" s="266">
        <v>43631.0</v>
      </c>
    </row>
    <row r="6972">
      <c r="A6972" s="217">
        <v>43651.54015990741</v>
      </c>
      <c r="B6972" s="3" t="s">
        <v>5092</v>
      </c>
      <c r="C6972" s="3" t="s">
        <v>9270</v>
      </c>
      <c r="D6972" s="265">
        <v>1.0</v>
      </c>
      <c r="E6972" s="3">
        <v>995.0</v>
      </c>
      <c r="G6972" s="266">
        <v>43651.0</v>
      </c>
    </row>
    <row r="6973">
      <c r="A6973" s="217">
        <v>43652.58699055556</v>
      </c>
      <c r="B6973" s="3" t="s">
        <v>5092</v>
      </c>
      <c r="C6973" s="3" t="s">
        <v>9272</v>
      </c>
      <c r="D6973" s="265">
        <v>1.0</v>
      </c>
      <c r="E6973" s="3">
        <v>4990.0</v>
      </c>
      <c r="G6973" s="266">
        <v>43642.0</v>
      </c>
    </row>
    <row r="6974">
      <c r="A6974" s="217">
        <v>43652.58834847222</v>
      </c>
      <c r="B6974" s="3" t="s">
        <v>5092</v>
      </c>
      <c r="C6974" s="3" t="s">
        <v>9274</v>
      </c>
      <c r="D6974" s="265">
        <v>1.0</v>
      </c>
      <c r="E6974" s="3">
        <v>5190.0</v>
      </c>
      <c r="G6974" s="266">
        <v>43642.0</v>
      </c>
    </row>
    <row r="6975">
      <c r="A6975" s="217">
        <v>43652.601170891205</v>
      </c>
      <c r="B6975" s="3" t="s">
        <v>5092</v>
      </c>
      <c r="C6975" s="3" t="s">
        <v>2233</v>
      </c>
      <c r="D6975" s="265">
        <v>1.0</v>
      </c>
      <c r="E6975" s="3">
        <v>5990.0</v>
      </c>
      <c r="G6975" s="266">
        <v>43642.0</v>
      </c>
    </row>
    <row r="6976">
      <c r="A6976" s="217">
        <v>43652.603117569444</v>
      </c>
      <c r="B6976" s="3" t="s">
        <v>5092</v>
      </c>
      <c r="C6976" s="3" t="s">
        <v>2166</v>
      </c>
      <c r="D6976" s="265">
        <v>1.0</v>
      </c>
      <c r="E6976" s="3">
        <v>5490.0</v>
      </c>
      <c r="G6976" s="266">
        <v>43642.0</v>
      </c>
    </row>
    <row r="6977">
      <c r="A6977" s="217">
        <v>43652.60767331018</v>
      </c>
      <c r="B6977" s="3" t="s">
        <v>5092</v>
      </c>
      <c r="C6977" s="3" t="s">
        <v>9275</v>
      </c>
      <c r="D6977" s="265">
        <v>1.0</v>
      </c>
      <c r="E6977" s="3">
        <v>5990.0</v>
      </c>
      <c r="G6977" s="266">
        <v>43642.0</v>
      </c>
    </row>
    <row r="6978">
      <c r="A6978" s="217">
        <v>43652.61347701389</v>
      </c>
      <c r="B6978" s="3" t="s">
        <v>5092</v>
      </c>
      <c r="C6978" s="3" t="s">
        <v>9276</v>
      </c>
      <c r="D6978" s="265">
        <v>1.0</v>
      </c>
      <c r="E6978" s="3">
        <v>3090.0</v>
      </c>
      <c r="G6978" s="266">
        <v>43642.0</v>
      </c>
    </row>
    <row r="6979">
      <c r="A6979" s="217">
        <v>43652.61550042824</v>
      </c>
      <c r="B6979" s="3" t="s">
        <v>5092</v>
      </c>
      <c r="C6979" s="3" t="s">
        <v>9277</v>
      </c>
      <c r="D6979" s="265">
        <v>1.0</v>
      </c>
      <c r="E6979" s="3">
        <v>4990.0</v>
      </c>
      <c r="G6979" s="266">
        <v>43643.0</v>
      </c>
    </row>
    <row r="6980">
      <c r="A6980" s="217">
        <v>43652.620062685186</v>
      </c>
      <c r="B6980" s="3" t="s">
        <v>5092</v>
      </c>
      <c r="C6980" s="3" t="s">
        <v>9278</v>
      </c>
      <c r="D6980" s="265">
        <v>1.0</v>
      </c>
      <c r="G6980" s="266">
        <v>43642.0</v>
      </c>
    </row>
    <row r="6981">
      <c r="A6981" s="217">
        <v>43652.62707628473</v>
      </c>
      <c r="B6981" s="3" t="s">
        <v>5092</v>
      </c>
      <c r="C6981" s="3" t="s">
        <v>2162</v>
      </c>
      <c r="D6981" s="265">
        <v>1.0</v>
      </c>
      <c r="E6981" s="3">
        <v>4990.0</v>
      </c>
      <c r="G6981" s="266">
        <v>43642.0</v>
      </c>
    </row>
    <row r="6982">
      <c r="A6982" s="217">
        <v>43652.63147574074</v>
      </c>
      <c r="B6982" s="3" t="s">
        <v>5092</v>
      </c>
      <c r="C6982" s="3" t="s">
        <v>9279</v>
      </c>
      <c r="D6982" s="265">
        <v>1.0</v>
      </c>
      <c r="E6982" s="3">
        <v>3990.0</v>
      </c>
      <c r="G6982" s="266">
        <v>43642.0</v>
      </c>
    </row>
    <row r="6983">
      <c r="A6983" s="217">
        <v>43652.63382241898</v>
      </c>
      <c r="B6983" s="3" t="s">
        <v>5092</v>
      </c>
      <c r="C6983" s="3" t="s">
        <v>9280</v>
      </c>
      <c r="D6983" s="265">
        <v>1.0</v>
      </c>
      <c r="E6983" s="3">
        <v>3690.0</v>
      </c>
      <c r="G6983" s="266">
        <v>43642.0</v>
      </c>
    </row>
    <row r="6984">
      <c r="A6984" s="217">
        <v>43652.63827715278</v>
      </c>
      <c r="B6984" s="3" t="s">
        <v>5092</v>
      </c>
      <c r="C6984" s="3" t="s">
        <v>9281</v>
      </c>
      <c r="D6984" s="265">
        <v>1.0</v>
      </c>
      <c r="E6984" s="3">
        <v>5690.0</v>
      </c>
      <c r="G6984" s="266">
        <v>43642.0</v>
      </c>
    </row>
    <row r="6985">
      <c r="A6985" s="217">
        <v>43652.642938680554</v>
      </c>
      <c r="B6985" s="3" t="s">
        <v>5092</v>
      </c>
      <c r="C6985" s="3" t="s">
        <v>2177</v>
      </c>
      <c r="D6985" s="265">
        <v>1.0</v>
      </c>
      <c r="G6985" s="266">
        <v>43642.0</v>
      </c>
    </row>
    <row r="6986">
      <c r="A6986" s="217">
        <v>43652.644466377315</v>
      </c>
      <c r="B6986" s="3" t="s">
        <v>5092</v>
      </c>
      <c r="C6986" s="3" t="s">
        <v>2192</v>
      </c>
      <c r="D6986" s="265">
        <v>1.0</v>
      </c>
      <c r="E6986" s="3">
        <v>4590.0</v>
      </c>
      <c r="G6986" s="266">
        <v>43642.0</v>
      </c>
    </row>
    <row r="6987">
      <c r="A6987" s="217">
        <v>43652.645258310185</v>
      </c>
      <c r="B6987" s="3" t="s">
        <v>5092</v>
      </c>
      <c r="C6987" s="3" t="s">
        <v>2191</v>
      </c>
      <c r="D6987" s="265">
        <v>1.0</v>
      </c>
      <c r="E6987" s="3">
        <v>4590.0</v>
      </c>
      <c r="G6987" s="266">
        <v>43642.0</v>
      </c>
    </row>
    <row r="6988">
      <c r="A6988" s="217">
        <v>43652.649672685184</v>
      </c>
      <c r="B6988" s="3" t="s">
        <v>5092</v>
      </c>
      <c r="C6988" s="3" t="s">
        <v>2190</v>
      </c>
      <c r="D6988" s="265">
        <v>1.0</v>
      </c>
      <c r="E6988" s="3">
        <v>4590.0</v>
      </c>
      <c r="G6988" s="266">
        <v>43642.0</v>
      </c>
    </row>
    <row r="6989">
      <c r="A6989" s="217">
        <v>43652.650589502315</v>
      </c>
      <c r="B6989" s="3" t="s">
        <v>5092</v>
      </c>
      <c r="C6989" s="3" t="s">
        <v>2191</v>
      </c>
      <c r="D6989" s="265">
        <v>1.0</v>
      </c>
      <c r="E6989" s="3">
        <v>4590.0</v>
      </c>
      <c r="G6989" s="266">
        <v>43642.0</v>
      </c>
    </row>
    <row r="6990">
      <c r="A6990" s="217">
        <v>43652.65191987269</v>
      </c>
      <c r="B6990" s="3" t="s">
        <v>5092</v>
      </c>
      <c r="C6990" s="3" t="s">
        <v>9282</v>
      </c>
      <c r="D6990" s="265">
        <v>1.0</v>
      </c>
      <c r="E6990" s="3">
        <v>3690.0</v>
      </c>
      <c r="G6990" s="266">
        <v>43642.0</v>
      </c>
    </row>
    <row r="6991">
      <c r="A6991" s="217">
        <v>43652.65411459491</v>
      </c>
      <c r="B6991" s="3" t="s">
        <v>5092</v>
      </c>
      <c r="C6991" s="3" t="s">
        <v>9283</v>
      </c>
      <c r="D6991" s="265">
        <v>1.0</v>
      </c>
      <c r="E6991" s="3">
        <v>3790.0</v>
      </c>
      <c r="G6991" s="266">
        <v>43642.0</v>
      </c>
    </row>
    <row r="6992">
      <c r="A6992" s="217">
        <v>43652.65515131944</v>
      </c>
      <c r="B6992" s="3" t="s">
        <v>5092</v>
      </c>
      <c r="C6992" s="3" t="s">
        <v>9284</v>
      </c>
      <c r="D6992" s="265">
        <v>1.0</v>
      </c>
      <c r="E6992" s="3">
        <v>3490.0</v>
      </c>
      <c r="G6992" s="266">
        <v>43642.0</v>
      </c>
    </row>
    <row r="6993">
      <c r="A6993" s="217">
        <v>43652.65719804398</v>
      </c>
      <c r="B6993" s="3" t="s">
        <v>5092</v>
      </c>
      <c r="C6993" s="3" t="s">
        <v>9285</v>
      </c>
      <c r="D6993" s="265">
        <v>1.0</v>
      </c>
      <c r="E6993" s="3">
        <v>3490.0</v>
      </c>
      <c r="G6993" s="266">
        <v>43642.0</v>
      </c>
    </row>
    <row r="6994">
      <c r="A6994" s="217">
        <v>43652.67883202546</v>
      </c>
      <c r="B6994" s="3" t="s">
        <v>5092</v>
      </c>
      <c r="C6994" s="3" t="s">
        <v>9286</v>
      </c>
      <c r="D6994" s="265">
        <v>1.0</v>
      </c>
      <c r="E6994" s="3">
        <v>5990.0</v>
      </c>
      <c r="G6994" s="266">
        <v>43642.0</v>
      </c>
    </row>
    <row r="6995">
      <c r="A6995" s="217">
        <v>43652.67977234954</v>
      </c>
      <c r="B6995" s="3" t="s">
        <v>5092</v>
      </c>
      <c r="C6995" s="3" t="s">
        <v>2112</v>
      </c>
      <c r="D6995" s="265">
        <v>1.0</v>
      </c>
      <c r="E6995" s="3">
        <v>4990.0</v>
      </c>
      <c r="G6995" s="266">
        <v>43642.0</v>
      </c>
    </row>
    <row r="6996">
      <c r="A6996" s="217">
        <v>43652.680915000004</v>
      </c>
      <c r="B6996" s="3" t="s">
        <v>5092</v>
      </c>
      <c r="C6996" s="3" t="s">
        <v>2145</v>
      </c>
      <c r="D6996" s="265">
        <v>1.0</v>
      </c>
      <c r="E6996" s="3">
        <v>4990.0</v>
      </c>
      <c r="G6996" s="266">
        <v>43642.0</v>
      </c>
    </row>
    <row r="6997">
      <c r="A6997" s="217">
        <v>43652.683886666666</v>
      </c>
      <c r="B6997" s="3" t="s">
        <v>5092</v>
      </c>
      <c r="C6997" s="3" t="s">
        <v>9287</v>
      </c>
      <c r="D6997" s="265">
        <v>1.0</v>
      </c>
      <c r="E6997" s="3">
        <v>4990.0</v>
      </c>
      <c r="G6997" s="266">
        <v>43642.0</v>
      </c>
    </row>
    <row r="6998">
      <c r="A6998" s="217">
        <v>43652.68513519676</v>
      </c>
      <c r="B6998" s="3" t="s">
        <v>5092</v>
      </c>
      <c r="C6998" s="3" t="s">
        <v>2128</v>
      </c>
      <c r="D6998" s="265">
        <v>1.0</v>
      </c>
      <c r="E6998" s="3">
        <v>4990.0</v>
      </c>
      <c r="G6998" s="266">
        <v>43643.0</v>
      </c>
    </row>
    <row r="6999">
      <c r="A6999" s="217">
        <v>43652.68702170139</v>
      </c>
      <c r="B6999" s="3" t="s">
        <v>5092</v>
      </c>
      <c r="C6999" s="3" t="s">
        <v>2114</v>
      </c>
      <c r="D6999" s="265">
        <v>1.0</v>
      </c>
      <c r="E6999" s="3">
        <v>4990.0</v>
      </c>
      <c r="G6999" s="266">
        <v>43642.0</v>
      </c>
    </row>
    <row r="7000">
      <c r="A7000" s="217">
        <v>43652.689523124995</v>
      </c>
      <c r="B7000" s="3" t="s">
        <v>5092</v>
      </c>
      <c r="C7000" s="3" t="s">
        <v>2239</v>
      </c>
      <c r="D7000" s="265">
        <v>1.0</v>
      </c>
      <c r="E7000" s="3">
        <v>7190.0</v>
      </c>
      <c r="G7000" s="266">
        <v>43642.0</v>
      </c>
    </row>
    <row r="7001">
      <c r="A7001" s="217">
        <v>43652.6915349537</v>
      </c>
      <c r="B7001" s="3" t="s">
        <v>5092</v>
      </c>
      <c r="C7001" s="3" t="s">
        <v>2225</v>
      </c>
      <c r="D7001" s="265">
        <v>1.0</v>
      </c>
      <c r="E7001" s="3">
        <v>7190.0</v>
      </c>
      <c r="G7001" s="266">
        <v>43642.0</v>
      </c>
    </row>
    <row r="7002">
      <c r="A7002" s="217">
        <v>43652.6938075</v>
      </c>
      <c r="B7002" s="3" t="s">
        <v>5092</v>
      </c>
      <c r="C7002" s="3" t="s">
        <v>9289</v>
      </c>
      <c r="D7002" s="265">
        <v>1.0</v>
      </c>
      <c r="E7002" s="3">
        <v>6190.0</v>
      </c>
      <c r="G7002" s="266">
        <v>43643.0</v>
      </c>
    </row>
    <row r="7003">
      <c r="A7003" s="217">
        <v>43652.69473751157</v>
      </c>
      <c r="B7003" s="3" t="s">
        <v>5092</v>
      </c>
      <c r="C7003" s="3" t="s">
        <v>2241</v>
      </c>
      <c r="D7003" s="265">
        <v>1.0</v>
      </c>
      <c r="E7003" s="3">
        <v>7190.0</v>
      </c>
      <c r="G7003" s="266">
        <v>43643.0</v>
      </c>
    </row>
    <row r="7004">
      <c r="A7004" s="217">
        <v>43652.69892091435</v>
      </c>
      <c r="B7004" s="3" t="s">
        <v>5184</v>
      </c>
      <c r="C7004" s="3" t="s">
        <v>4509</v>
      </c>
      <c r="D7004" s="265">
        <v>1.0</v>
      </c>
      <c r="E7004" s="3">
        <v>1995.0</v>
      </c>
      <c r="G7004" s="266">
        <v>43652.0</v>
      </c>
    </row>
    <row r="7005">
      <c r="A7005" s="217">
        <v>43652.6998971875</v>
      </c>
      <c r="B7005" s="3" t="s">
        <v>5184</v>
      </c>
      <c r="C7005" s="3" t="s">
        <v>4509</v>
      </c>
      <c r="D7005" s="265">
        <v>1.0</v>
      </c>
      <c r="E7005" s="3">
        <v>1995.0</v>
      </c>
      <c r="G7005" s="266">
        <v>43652.0</v>
      </c>
    </row>
    <row r="7006">
      <c r="A7006" s="217">
        <v>43652.70117706018</v>
      </c>
      <c r="B7006" s="3" t="s">
        <v>5184</v>
      </c>
      <c r="C7006" s="3" t="s">
        <v>4609</v>
      </c>
      <c r="D7006" s="265">
        <v>1.0</v>
      </c>
      <c r="E7006" s="3">
        <v>2395.0</v>
      </c>
      <c r="G7006" s="266">
        <v>43652.0</v>
      </c>
    </row>
    <row r="7007">
      <c r="A7007" s="217">
        <v>43652.70255446759</v>
      </c>
      <c r="B7007" s="3" t="s">
        <v>5184</v>
      </c>
      <c r="C7007" s="3" t="s">
        <v>4736</v>
      </c>
      <c r="D7007" s="265">
        <v>1.0</v>
      </c>
      <c r="E7007" s="3">
        <v>1895.0</v>
      </c>
      <c r="G7007" s="266">
        <v>43652.0</v>
      </c>
    </row>
    <row r="7008">
      <c r="A7008" s="217">
        <v>43652.705129050926</v>
      </c>
      <c r="B7008" s="3" t="s">
        <v>5184</v>
      </c>
      <c r="C7008" s="3" t="s">
        <v>1261</v>
      </c>
      <c r="D7008" s="265">
        <v>1.0</v>
      </c>
      <c r="E7008" s="3">
        <v>2395.0</v>
      </c>
      <c r="G7008" s="266">
        <v>43652.0</v>
      </c>
    </row>
    <row r="7009">
      <c r="A7009" s="217">
        <v>43652.70691429398</v>
      </c>
      <c r="B7009" s="3" t="s">
        <v>5184</v>
      </c>
      <c r="C7009" s="3" t="s">
        <v>4595</v>
      </c>
      <c r="D7009" s="265">
        <v>1.0</v>
      </c>
      <c r="E7009" s="3">
        <v>1295.0</v>
      </c>
      <c r="G7009" s="266">
        <v>43652.0</v>
      </c>
    </row>
    <row r="7010">
      <c r="A7010" s="217">
        <v>43652.70811511574</v>
      </c>
      <c r="B7010" s="3" t="s">
        <v>5184</v>
      </c>
      <c r="C7010" s="3" t="s">
        <v>1035</v>
      </c>
      <c r="D7010" s="265">
        <v>1.0</v>
      </c>
      <c r="E7010" s="3">
        <v>9000.0</v>
      </c>
      <c r="G7010" s="266">
        <v>43652.0</v>
      </c>
    </row>
    <row r="7011">
      <c r="A7011" s="217">
        <v>43652.70926956019</v>
      </c>
      <c r="B7011" s="3" t="s">
        <v>5184</v>
      </c>
      <c r="C7011" s="3" t="s">
        <v>2762</v>
      </c>
      <c r="D7011" s="265">
        <v>1.0</v>
      </c>
      <c r="E7011" s="3">
        <v>7650.0</v>
      </c>
      <c r="G7011" s="266">
        <v>43652.0</v>
      </c>
    </row>
    <row r="7012">
      <c r="A7012" s="217">
        <v>43652.71084399306</v>
      </c>
      <c r="B7012" s="3" t="s">
        <v>5184</v>
      </c>
      <c r="C7012" s="3" t="s">
        <v>2114</v>
      </c>
      <c r="D7012" s="265">
        <v>1.0</v>
      </c>
      <c r="E7012" s="3">
        <v>4990.0</v>
      </c>
      <c r="G7012" s="266">
        <v>43652.0</v>
      </c>
    </row>
    <row r="7013">
      <c r="A7013" s="217">
        <v>43652.71190465278</v>
      </c>
      <c r="B7013" s="3" t="s">
        <v>5184</v>
      </c>
      <c r="C7013" s="3" t="s">
        <v>9291</v>
      </c>
      <c r="D7013" s="265">
        <v>1.0</v>
      </c>
      <c r="E7013" s="3">
        <v>650.0</v>
      </c>
      <c r="G7013" s="266">
        <v>43652.0</v>
      </c>
    </row>
    <row r="7014">
      <c r="A7014" s="217">
        <v>43653.59458740741</v>
      </c>
      <c r="B7014" s="3" t="s">
        <v>5092</v>
      </c>
      <c r="C7014" s="3" t="s">
        <v>6053</v>
      </c>
      <c r="D7014" s="265" t="s">
        <v>7917</v>
      </c>
      <c r="E7014" s="3">
        <v>300.0</v>
      </c>
      <c r="G7014" s="266">
        <v>43652.0</v>
      </c>
    </row>
    <row r="7015">
      <c r="A7015" s="217">
        <v>43653.595657604164</v>
      </c>
      <c r="B7015" s="3" t="s">
        <v>5092</v>
      </c>
      <c r="C7015" s="3" t="s">
        <v>284</v>
      </c>
      <c r="D7015" s="265" t="s">
        <v>9293</v>
      </c>
      <c r="E7015" s="3">
        <v>400.0</v>
      </c>
      <c r="G7015" s="266">
        <v>43652.0</v>
      </c>
    </row>
    <row r="7016">
      <c r="A7016" s="217">
        <v>43653.59735494213</v>
      </c>
      <c r="B7016" s="3" t="s">
        <v>5092</v>
      </c>
      <c r="C7016" s="3" t="s">
        <v>6053</v>
      </c>
      <c r="D7016" s="265">
        <v>1.0</v>
      </c>
      <c r="E7016" s="3">
        <v>150.0</v>
      </c>
      <c r="G7016" s="266">
        <v>43652.0</v>
      </c>
    </row>
    <row r="7017">
      <c r="A7017" s="217">
        <v>43653.59794168982</v>
      </c>
      <c r="B7017" s="3" t="s">
        <v>5092</v>
      </c>
      <c r="C7017" s="3" t="s">
        <v>6053</v>
      </c>
      <c r="D7017" s="265" t="s">
        <v>9294</v>
      </c>
      <c r="E7017" s="3">
        <v>300.0</v>
      </c>
      <c r="G7017" s="266">
        <v>43652.0</v>
      </c>
    </row>
    <row r="7018">
      <c r="A7018" s="217">
        <v>43653.598552129624</v>
      </c>
      <c r="B7018" s="3" t="s">
        <v>5092</v>
      </c>
      <c r="C7018" s="3" t="s">
        <v>6053</v>
      </c>
      <c r="D7018" s="265" t="s">
        <v>9295</v>
      </c>
      <c r="E7018" s="3">
        <v>300.0</v>
      </c>
      <c r="G7018" s="266">
        <v>43652.0</v>
      </c>
    </row>
    <row r="7019">
      <c r="A7019" s="217">
        <v>43653.59960269676</v>
      </c>
      <c r="B7019" s="3" t="s">
        <v>5092</v>
      </c>
      <c r="C7019" s="3" t="s">
        <v>9296</v>
      </c>
      <c r="D7019" s="265" t="s">
        <v>7917</v>
      </c>
      <c r="E7019" s="3">
        <v>400.0</v>
      </c>
      <c r="G7019" s="266">
        <v>43652.0</v>
      </c>
    </row>
    <row r="7020">
      <c r="A7020" s="217">
        <v>43653.60115944444</v>
      </c>
      <c r="B7020" s="3" t="s">
        <v>5092</v>
      </c>
      <c r="C7020" s="3" t="s">
        <v>244</v>
      </c>
      <c r="D7020" s="265" t="s">
        <v>9293</v>
      </c>
      <c r="E7020" s="3">
        <v>400.0</v>
      </c>
      <c r="G7020" s="266">
        <v>43652.0</v>
      </c>
    </row>
    <row r="7021">
      <c r="A7021" s="217">
        <v>43654.62217621528</v>
      </c>
      <c r="B7021" s="3" t="s">
        <v>5184</v>
      </c>
      <c r="C7021" s="3" t="s">
        <v>6644</v>
      </c>
      <c r="D7021" s="265">
        <v>1.0</v>
      </c>
      <c r="E7021" s="3">
        <v>6990.0</v>
      </c>
      <c r="G7021" s="266">
        <v>43654.0</v>
      </c>
    </row>
    <row r="7022">
      <c r="A7022" s="217">
        <v>43654.62498148148</v>
      </c>
      <c r="B7022" s="3" t="s">
        <v>2322</v>
      </c>
      <c r="C7022" s="3" t="s">
        <v>8694</v>
      </c>
      <c r="D7022" s="265">
        <v>1.0</v>
      </c>
      <c r="E7022" s="3">
        <v>2950.0</v>
      </c>
      <c r="G7022" s="266">
        <v>43653.0</v>
      </c>
    </row>
    <row r="7023">
      <c r="A7023" s="217">
        <v>43654.62652571759</v>
      </c>
      <c r="B7023" s="3" t="s">
        <v>5184</v>
      </c>
      <c r="C7023" s="3" t="s">
        <v>6262</v>
      </c>
      <c r="D7023" s="265">
        <v>1.0</v>
      </c>
      <c r="E7023" s="3">
        <v>4290.0</v>
      </c>
      <c r="G7023" s="266">
        <v>43654.0</v>
      </c>
    </row>
    <row r="7024">
      <c r="A7024" s="217">
        <v>43656.428532986116</v>
      </c>
      <c r="B7024" s="3" t="s">
        <v>5184</v>
      </c>
      <c r="C7024" s="3" t="s">
        <v>8975</v>
      </c>
      <c r="D7024" s="265">
        <v>1.0</v>
      </c>
      <c r="E7024" s="3">
        <v>2735.0</v>
      </c>
      <c r="G7024" s="266">
        <v>43654.0</v>
      </c>
    </row>
    <row r="7025">
      <c r="A7025" s="217">
        <v>43656.42896185185</v>
      </c>
      <c r="B7025" s="3" t="s">
        <v>5184</v>
      </c>
      <c r="C7025" s="3" t="s">
        <v>284</v>
      </c>
      <c r="D7025" s="265">
        <v>1.0</v>
      </c>
      <c r="E7025" s="3">
        <v>400.0</v>
      </c>
      <c r="G7025" s="266">
        <v>43654.0</v>
      </c>
    </row>
    <row r="7026">
      <c r="A7026" s="217">
        <v>43656.42998144676</v>
      </c>
      <c r="B7026" s="3" t="s">
        <v>5184</v>
      </c>
      <c r="C7026" s="3" t="s">
        <v>7767</v>
      </c>
      <c r="D7026" s="265">
        <v>1.0</v>
      </c>
      <c r="E7026" s="3">
        <v>100.0</v>
      </c>
      <c r="G7026" s="266">
        <v>43655.0</v>
      </c>
    </row>
    <row r="7027">
      <c r="A7027" s="217">
        <v>43656.48126447917</v>
      </c>
      <c r="B7027" s="3" t="s">
        <v>5184</v>
      </c>
      <c r="C7027" s="3" t="s">
        <v>7767</v>
      </c>
      <c r="D7027" s="265">
        <v>5.0</v>
      </c>
      <c r="E7027" s="3">
        <v>100.0</v>
      </c>
      <c r="G7027" s="266">
        <v>43655.0</v>
      </c>
    </row>
    <row r="7028">
      <c r="A7028" s="217">
        <v>43657.6981842824</v>
      </c>
      <c r="B7028" s="3" t="s">
        <v>5184</v>
      </c>
      <c r="C7028" s="3" t="s">
        <v>1888</v>
      </c>
      <c r="D7028" s="265">
        <v>1.0</v>
      </c>
      <c r="E7028" s="3">
        <v>9690.0</v>
      </c>
      <c r="G7028" s="266">
        <v>43656.0</v>
      </c>
    </row>
    <row r="7029">
      <c r="A7029" s="217">
        <v>43657.70079185185</v>
      </c>
      <c r="B7029" s="3" t="s">
        <v>5184</v>
      </c>
      <c r="C7029" s="3" t="s">
        <v>5493</v>
      </c>
      <c r="D7029" s="265">
        <v>1.0</v>
      </c>
      <c r="E7029" s="3">
        <v>4290.0</v>
      </c>
      <c r="G7029" s="266">
        <v>43656.0</v>
      </c>
    </row>
    <row r="7030">
      <c r="A7030" s="217">
        <v>43657.70216744213</v>
      </c>
      <c r="B7030" s="3" t="s">
        <v>5184</v>
      </c>
      <c r="C7030" s="3" t="s">
        <v>5512</v>
      </c>
      <c r="D7030" s="265">
        <v>1.0</v>
      </c>
      <c r="E7030" s="3">
        <v>4290.0</v>
      </c>
      <c r="G7030" s="266">
        <v>43656.0</v>
      </c>
    </row>
    <row r="7031">
      <c r="A7031" s="217">
        <v>43657.70289071759</v>
      </c>
      <c r="B7031" s="3" t="s">
        <v>5184</v>
      </c>
      <c r="C7031" s="3" t="s">
        <v>2097</v>
      </c>
      <c r="D7031" s="265">
        <v>1.0</v>
      </c>
      <c r="E7031" s="3">
        <v>4590.0</v>
      </c>
      <c r="G7031" s="266">
        <v>43656.0</v>
      </c>
    </row>
    <row r="7032">
      <c r="A7032" s="217">
        <v>43657.70403807871</v>
      </c>
      <c r="B7032" s="3" t="s">
        <v>5184</v>
      </c>
      <c r="C7032" s="3" t="s">
        <v>6316</v>
      </c>
      <c r="D7032" s="265">
        <v>1.0</v>
      </c>
      <c r="E7032" s="3">
        <v>4590.0</v>
      </c>
      <c r="G7032" s="266">
        <v>43656.0</v>
      </c>
    </row>
    <row r="7033">
      <c r="A7033" s="217">
        <v>43658.44111162037</v>
      </c>
      <c r="B7033" s="3" t="s">
        <v>5092</v>
      </c>
      <c r="C7033" s="3" t="s">
        <v>9299</v>
      </c>
      <c r="D7033" s="265">
        <v>1.0</v>
      </c>
      <c r="E7033" s="3">
        <v>6925.0</v>
      </c>
      <c r="G7033" s="266">
        <v>43655.0</v>
      </c>
    </row>
    <row r="7034">
      <c r="A7034" s="217">
        <v>43658.44226471065</v>
      </c>
      <c r="B7034" s="3" t="s">
        <v>5092</v>
      </c>
      <c r="C7034" s="3" t="s">
        <v>9301</v>
      </c>
      <c r="D7034" s="265">
        <v>1.0</v>
      </c>
      <c r="E7034" s="3">
        <v>6925.0</v>
      </c>
      <c r="G7034" s="266">
        <v>43655.0</v>
      </c>
    </row>
    <row r="7035">
      <c r="A7035" s="217">
        <v>43658.44333952546</v>
      </c>
      <c r="B7035" s="3" t="s">
        <v>5092</v>
      </c>
      <c r="C7035" s="3" t="s">
        <v>9302</v>
      </c>
      <c r="D7035" s="265">
        <v>1.0</v>
      </c>
      <c r="E7035" s="3">
        <v>6925.0</v>
      </c>
      <c r="G7035" s="266">
        <v>43655.0</v>
      </c>
    </row>
    <row r="7036">
      <c r="A7036" s="217">
        <v>43658.44412637732</v>
      </c>
      <c r="B7036" s="3" t="s">
        <v>5092</v>
      </c>
      <c r="C7036" s="3" t="s">
        <v>9303</v>
      </c>
      <c r="D7036" s="265">
        <v>1.0</v>
      </c>
      <c r="E7036" s="3">
        <v>6925.0</v>
      </c>
      <c r="G7036" s="266">
        <v>43655.0</v>
      </c>
    </row>
    <row r="7037">
      <c r="A7037" s="217">
        <v>43658.44694076389</v>
      </c>
      <c r="B7037" s="3" t="s">
        <v>5092</v>
      </c>
      <c r="C7037" s="3" t="s">
        <v>1684</v>
      </c>
      <c r="D7037" s="265">
        <v>1.0</v>
      </c>
      <c r="E7037" s="3">
        <v>7000.0</v>
      </c>
      <c r="G7037" s="266">
        <v>43655.0</v>
      </c>
    </row>
    <row r="7038">
      <c r="A7038" s="217">
        <v>43658.448448055555</v>
      </c>
      <c r="B7038" s="3" t="s">
        <v>5092</v>
      </c>
      <c r="C7038" s="3" t="s">
        <v>1688</v>
      </c>
      <c r="D7038" s="265">
        <v>1.0</v>
      </c>
      <c r="E7038" s="3">
        <v>7000.0</v>
      </c>
      <c r="G7038" s="266">
        <v>43655.0</v>
      </c>
    </row>
    <row r="7039">
      <c r="A7039" s="217">
        <v>43658.44975532407</v>
      </c>
      <c r="B7039" s="3" t="s">
        <v>5092</v>
      </c>
      <c r="C7039" s="3" t="s">
        <v>1692</v>
      </c>
      <c r="D7039" s="265">
        <v>1.0</v>
      </c>
      <c r="E7039" s="3">
        <v>3125.0</v>
      </c>
      <c r="G7039" s="266">
        <v>43655.0</v>
      </c>
    </row>
    <row r="7040">
      <c r="A7040" s="217">
        <v>43658.452291134265</v>
      </c>
      <c r="B7040" s="3" t="s">
        <v>5092</v>
      </c>
      <c r="C7040" s="3" t="s">
        <v>2367</v>
      </c>
      <c r="D7040" s="265">
        <v>2.0</v>
      </c>
      <c r="E7040" s="3">
        <v>2475.0</v>
      </c>
      <c r="G7040" s="266">
        <v>43655.0</v>
      </c>
    </row>
    <row r="7041">
      <c r="A7041" s="217">
        <v>43658.455464189814</v>
      </c>
      <c r="B7041" s="3" t="s">
        <v>5092</v>
      </c>
      <c r="C7041" s="3" t="s">
        <v>2369</v>
      </c>
      <c r="D7041" s="265">
        <v>1.0</v>
      </c>
      <c r="E7041" s="3">
        <v>2475.0</v>
      </c>
      <c r="G7041" s="266">
        <v>43655.0</v>
      </c>
    </row>
    <row r="7042">
      <c r="A7042" s="217">
        <v>43658.45431071759</v>
      </c>
      <c r="B7042" s="3" t="s">
        <v>5092</v>
      </c>
      <c r="C7042" s="3" t="s">
        <v>9304</v>
      </c>
      <c r="D7042" s="265">
        <v>1.0</v>
      </c>
      <c r="E7042" s="3">
        <v>4500.0</v>
      </c>
      <c r="G7042" s="266">
        <v>43655.0</v>
      </c>
    </row>
    <row r="7043">
      <c r="A7043" s="217">
        <v>43658.45646833333</v>
      </c>
      <c r="B7043" s="3" t="s">
        <v>5092</v>
      </c>
      <c r="C7043" s="3" t="s">
        <v>9305</v>
      </c>
      <c r="D7043" s="265">
        <v>1.0</v>
      </c>
      <c r="E7043" s="3">
        <v>2475.0</v>
      </c>
      <c r="G7043" s="266">
        <v>43655.0</v>
      </c>
    </row>
    <row r="7044">
      <c r="A7044" s="217">
        <v>43658.45925061342</v>
      </c>
      <c r="B7044" s="3" t="s">
        <v>5092</v>
      </c>
      <c r="C7044" s="3" t="s">
        <v>9306</v>
      </c>
      <c r="D7044" s="265">
        <v>1.0</v>
      </c>
      <c r="E7044" s="3">
        <v>6925.0</v>
      </c>
      <c r="G7044" s="266">
        <v>43655.0</v>
      </c>
    </row>
    <row r="7045">
      <c r="A7045" s="217">
        <v>43658.46041458333</v>
      </c>
      <c r="B7045" s="3" t="s">
        <v>5092</v>
      </c>
      <c r="C7045" s="3" t="s">
        <v>9307</v>
      </c>
      <c r="D7045" s="265">
        <v>1.0</v>
      </c>
      <c r="E7045" s="3">
        <v>6925.0</v>
      </c>
      <c r="G7045" s="266">
        <v>43655.0</v>
      </c>
    </row>
    <row r="7046">
      <c r="A7046" s="217">
        <v>43658.46170684027</v>
      </c>
      <c r="B7046" s="3" t="s">
        <v>5092</v>
      </c>
      <c r="C7046" s="3" t="s">
        <v>1051</v>
      </c>
      <c r="D7046" s="265">
        <v>1.0</v>
      </c>
      <c r="E7046" s="3">
        <v>6925.0</v>
      </c>
      <c r="G7046" s="266">
        <v>43655.0</v>
      </c>
    </row>
    <row r="7047">
      <c r="A7047" s="217">
        <v>43658.463061284725</v>
      </c>
      <c r="B7047" s="3" t="s">
        <v>5092</v>
      </c>
      <c r="C7047" s="3" t="s">
        <v>1694</v>
      </c>
      <c r="D7047" s="265">
        <v>1.0</v>
      </c>
      <c r="E7047" s="3">
        <v>3125.0</v>
      </c>
      <c r="G7047" s="266">
        <v>43655.0</v>
      </c>
    </row>
    <row r="7048">
      <c r="A7048" s="217">
        <v>43658.46368368056</v>
      </c>
      <c r="B7048" s="3" t="s">
        <v>5092</v>
      </c>
      <c r="C7048" s="3" t="s">
        <v>1696</v>
      </c>
      <c r="D7048" s="265">
        <v>1.0</v>
      </c>
      <c r="E7048" s="3">
        <v>3125.0</v>
      </c>
      <c r="G7048" s="266">
        <v>43655.0</v>
      </c>
    </row>
    <row r="7049">
      <c r="A7049" s="217">
        <v>43658.46450666667</v>
      </c>
      <c r="B7049" s="3" t="s">
        <v>5092</v>
      </c>
      <c r="C7049" s="3" t="s">
        <v>1697</v>
      </c>
      <c r="D7049" s="265">
        <v>1.0</v>
      </c>
      <c r="E7049" s="3">
        <v>3125.0</v>
      </c>
      <c r="G7049" s="266">
        <v>43655.0</v>
      </c>
    </row>
    <row r="7050">
      <c r="A7050" s="217">
        <v>43662.531932025464</v>
      </c>
      <c r="B7050" s="3" t="s">
        <v>5184</v>
      </c>
      <c r="C7050" s="3" t="s">
        <v>1736</v>
      </c>
      <c r="D7050" s="265">
        <v>1.0</v>
      </c>
      <c r="E7050" s="3">
        <v>2250.0</v>
      </c>
      <c r="G7050" s="266">
        <v>43662.0</v>
      </c>
    </row>
    <row r="7051">
      <c r="A7051" s="217">
        <v>43665.50852376157</v>
      </c>
      <c r="B7051" s="3" t="s">
        <v>5184</v>
      </c>
      <c r="C7051" s="3" t="s">
        <v>9256</v>
      </c>
      <c r="D7051" s="265">
        <v>1.0</v>
      </c>
      <c r="E7051" s="3">
        <v>6190.0</v>
      </c>
      <c r="G7051" s="266">
        <v>43664.0</v>
      </c>
    </row>
    <row r="7052">
      <c r="A7052" s="217">
        <v>43665.51552170139</v>
      </c>
      <c r="B7052" s="3" t="s">
        <v>5184</v>
      </c>
      <c r="C7052" s="3" t="s">
        <v>9311</v>
      </c>
      <c r="D7052" s="265">
        <v>1.0</v>
      </c>
      <c r="E7052" s="3">
        <v>2295.0</v>
      </c>
      <c r="G7052" s="266">
        <v>43664.0</v>
      </c>
    </row>
    <row r="7053">
      <c r="A7053" s="217">
        <v>43665.52488329861</v>
      </c>
      <c r="B7053" s="3" t="s">
        <v>5184</v>
      </c>
      <c r="C7053" s="3" t="s">
        <v>5533</v>
      </c>
      <c r="D7053" s="265">
        <v>1.0</v>
      </c>
      <c r="E7053" s="3">
        <v>6090.0</v>
      </c>
      <c r="G7053" s="266">
        <v>43664.0</v>
      </c>
    </row>
    <row r="7054">
      <c r="A7054" s="217">
        <v>43665.52834900463</v>
      </c>
      <c r="B7054" s="3" t="s">
        <v>5184</v>
      </c>
      <c r="C7054" s="3" t="s">
        <v>2185</v>
      </c>
      <c r="D7054" s="265">
        <v>1.0</v>
      </c>
      <c r="E7054" s="3">
        <v>3790.0</v>
      </c>
      <c r="G7054" s="266">
        <v>43664.0</v>
      </c>
    </row>
    <row r="7055">
      <c r="A7055" s="217">
        <v>43665.53300350695</v>
      </c>
      <c r="B7055" s="3" t="s">
        <v>5184</v>
      </c>
      <c r="C7055" s="3" t="s">
        <v>5500</v>
      </c>
      <c r="D7055" s="265">
        <v>1.0</v>
      </c>
      <c r="E7055" s="3">
        <v>4290.0</v>
      </c>
      <c r="G7055" s="266">
        <v>43664.0</v>
      </c>
    </row>
    <row r="7056">
      <c r="A7056" s="217">
        <v>43665.5346244213</v>
      </c>
      <c r="B7056" s="3" t="s">
        <v>5184</v>
      </c>
      <c r="C7056" s="3" t="s">
        <v>2207</v>
      </c>
      <c r="D7056" s="265">
        <v>1.0</v>
      </c>
      <c r="E7056" s="3">
        <v>5590.0</v>
      </c>
      <c r="G7056" s="269">
        <v>43664.0</v>
      </c>
    </row>
    <row r="7057">
      <c r="A7057" s="217">
        <v>43665.53670013889</v>
      </c>
      <c r="B7057" s="3" t="s">
        <v>5184</v>
      </c>
      <c r="C7057" s="3" t="s">
        <v>2187</v>
      </c>
      <c r="D7057" s="265">
        <v>1.0</v>
      </c>
      <c r="E7057" s="3">
        <v>3790.0</v>
      </c>
      <c r="G7057" s="266">
        <v>43664.0</v>
      </c>
    </row>
    <row r="7058">
      <c r="A7058" s="217">
        <v>43665.53801744213</v>
      </c>
      <c r="B7058" s="3" t="s">
        <v>5184</v>
      </c>
      <c r="C7058" s="3" t="s">
        <v>2161</v>
      </c>
      <c r="D7058" s="265">
        <v>1.0</v>
      </c>
      <c r="E7058" s="3">
        <v>4990.0</v>
      </c>
      <c r="G7058" s="266">
        <v>43664.0</v>
      </c>
    </row>
    <row r="7059">
      <c r="A7059" s="217">
        <v>43665.54503854166</v>
      </c>
      <c r="B7059" s="3" t="s">
        <v>5184</v>
      </c>
      <c r="C7059" s="3" t="s">
        <v>2104</v>
      </c>
      <c r="D7059" s="265">
        <v>2.0</v>
      </c>
      <c r="E7059" s="3">
        <v>4590.0</v>
      </c>
      <c r="G7059" s="266">
        <v>43664.0</v>
      </c>
    </row>
    <row r="7060">
      <c r="A7060" s="217">
        <v>43665.5474628588</v>
      </c>
      <c r="B7060" s="3" t="s">
        <v>5184</v>
      </c>
      <c r="C7060" s="3" t="s">
        <v>6336</v>
      </c>
      <c r="D7060" s="265">
        <v>1.0</v>
      </c>
      <c r="E7060" s="3">
        <v>4590.0</v>
      </c>
      <c r="G7060" s="266">
        <v>43664.0</v>
      </c>
    </row>
    <row r="7061">
      <c r="A7061" s="217">
        <v>43665.553339652775</v>
      </c>
      <c r="B7061" s="3" t="s">
        <v>5184</v>
      </c>
      <c r="C7061" s="3" t="s">
        <v>2126</v>
      </c>
      <c r="D7061" s="265">
        <v>2.0</v>
      </c>
      <c r="E7061" s="3">
        <v>3790.0</v>
      </c>
      <c r="G7061" s="266">
        <v>43664.0</v>
      </c>
    </row>
    <row r="7062">
      <c r="A7062" s="217">
        <v>43665.554253194445</v>
      </c>
      <c r="B7062" s="3" t="s">
        <v>5184</v>
      </c>
      <c r="C7062" s="3" t="s">
        <v>9258</v>
      </c>
      <c r="D7062" s="265">
        <v>1.0</v>
      </c>
      <c r="E7062" s="3">
        <v>6190.0</v>
      </c>
      <c r="G7062" s="266">
        <v>43664.0</v>
      </c>
    </row>
    <row r="7063">
      <c r="A7063" s="217">
        <v>43665.555973449074</v>
      </c>
      <c r="B7063" s="3" t="s">
        <v>5184</v>
      </c>
      <c r="C7063" s="3" t="s">
        <v>2263</v>
      </c>
      <c r="D7063" s="265">
        <v>2.0</v>
      </c>
      <c r="E7063" s="3">
        <v>4290.0</v>
      </c>
      <c r="G7063" s="266">
        <v>43664.0</v>
      </c>
    </row>
    <row r="7064">
      <c r="A7064" s="217">
        <v>43665.557287800926</v>
      </c>
      <c r="B7064" s="3" t="s">
        <v>5184</v>
      </c>
      <c r="C7064" s="3" t="s">
        <v>2173</v>
      </c>
      <c r="D7064" s="265">
        <v>1.0</v>
      </c>
      <c r="E7064" s="3">
        <v>3090.0</v>
      </c>
      <c r="G7064" s="266">
        <v>43664.0</v>
      </c>
    </row>
    <row r="7065">
      <c r="A7065" s="217">
        <v>43665.55834150463</v>
      </c>
      <c r="B7065" s="3" t="s">
        <v>5184</v>
      </c>
      <c r="C7065" s="3" t="s">
        <v>6719</v>
      </c>
      <c r="D7065" s="265">
        <v>1.0</v>
      </c>
      <c r="E7065" s="3">
        <v>3990.0</v>
      </c>
      <c r="G7065" s="266">
        <v>43664.0</v>
      </c>
    </row>
    <row r="7066">
      <c r="A7066" s="217">
        <v>43665.559594895836</v>
      </c>
      <c r="B7066" s="3" t="s">
        <v>5184</v>
      </c>
      <c r="C7066" s="3" t="s">
        <v>9217</v>
      </c>
      <c r="D7066" s="265">
        <v>1.0</v>
      </c>
      <c r="E7066" s="3">
        <v>3190.0</v>
      </c>
      <c r="G7066" s="266">
        <v>43664.0</v>
      </c>
    </row>
    <row r="7067">
      <c r="A7067" s="217">
        <v>43665.56077726852</v>
      </c>
      <c r="B7067" s="3" t="s">
        <v>5184</v>
      </c>
      <c r="C7067" s="3" t="s">
        <v>5708</v>
      </c>
      <c r="D7067" s="265">
        <v>1.0</v>
      </c>
      <c r="E7067" s="3">
        <v>6090.0</v>
      </c>
      <c r="G7067" s="266">
        <v>43664.0</v>
      </c>
    </row>
    <row r="7068">
      <c r="A7068" s="217">
        <v>43665.56287446759</v>
      </c>
      <c r="B7068" s="3" t="s">
        <v>5184</v>
      </c>
      <c r="C7068" s="3" t="s">
        <v>9312</v>
      </c>
      <c r="D7068" s="265">
        <v>1.0</v>
      </c>
      <c r="E7068" s="3">
        <v>4790.0</v>
      </c>
      <c r="G7068" s="266">
        <v>43664.0</v>
      </c>
    </row>
    <row r="7069">
      <c r="A7069" s="217">
        <v>43665.5737749074</v>
      </c>
      <c r="B7069" s="3" t="s">
        <v>5184</v>
      </c>
      <c r="C7069" s="3" t="s">
        <v>6318</v>
      </c>
      <c r="D7069" s="265">
        <v>1.0</v>
      </c>
      <c r="E7069" s="3">
        <v>3790.0</v>
      </c>
      <c r="G7069" s="266">
        <v>43664.0</v>
      </c>
    </row>
    <row r="7070">
      <c r="A7070" s="217">
        <v>43665.5846928588</v>
      </c>
      <c r="B7070" s="3" t="s">
        <v>5184</v>
      </c>
      <c r="C7070" s="3" t="s">
        <v>2215</v>
      </c>
      <c r="D7070" s="265">
        <v>1.0</v>
      </c>
      <c r="E7070" s="3">
        <v>3790.0</v>
      </c>
      <c r="G7070" s="266">
        <v>43664.0</v>
      </c>
    </row>
    <row r="7071">
      <c r="A7071" s="217">
        <v>43665.587045486114</v>
      </c>
      <c r="B7071" s="3" t="s">
        <v>5184</v>
      </c>
      <c r="C7071" s="3" t="s">
        <v>2157</v>
      </c>
      <c r="D7071" s="265">
        <v>1.0</v>
      </c>
      <c r="E7071" s="3">
        <v>3790.0</v>
      </c>
      <c r="G7071" s="266">
        <v>43664.0</v>
      </c>
    </row>
    <row r="7072">
      <c r="A7072" s="217">
        <v>43665.595004849536</v>
      </c>
      <c r="B7072" s="3" t="s">
        <v>5184</v>
      </c>
      <c r="C7072" s="3" t="s">
        <v>9173</v>
      </c>
      <c r="D7072" s="265">
        <v>1.0</v>
      </c>
      <c r="E7072" s="3">
        <v>3990.0</v>
      </c>
      <c r="G7072" s="266">
        <v>43664.0</v>
      </c>
    </row>
    <row r="7073">
      <c r="A7073" s="217">
        <v>43665.59930390047</v>
      </c>
      <c r="B7073" s="3" t="s">
        <v>5184</v>
      </c>
      <c r="C7073" s="3" t="s">
        <v>6557</v>
      </c>
      <c r="D7073" s="265">
        <v>1.0</v>
      </c>
      <c r="E7073" s="3">
        <v>7670.0</v>
      </c>
      <c r="G7073" s="266">
        <v>43664.0</v>
      </c>
    </row>
    <row r="7074">
      <c r="A7074" s="217">
        <v>43665.60154667824</v>
      </c>
      <c r="B7074" s="3" t="s">
        <v>5184</v>
      </c>
      <c r="C7074" s="3" t="s">
        <v>5306</v>
      </c>
      <c r="D7074" s="265">
        <v>1.0</v>
      </c>
      <c r="E7074" s="3">
        <v>6725.0</v>
      </c>
      <c r="G7074" s="266">
        <v>43664.0</v>
      </c>
    </row>
    <row r="7075">
      <c r="A7075" s="217">
        <v>43665.60512537037</v>
      </c>
      <c r="B7075" s="3" t="s">
        <v>5184</v>
      </c>
      <c r="C7075" s="3" t="s">
        <v>1470</v>
      </c>
      <c r="D7075" s="265">
        <v>1.0</v>
      </c>
      <c r="E7075" s="3">
        <v>2250.0</v>
      </c>
      <c r="G7075" s="266">
        <v>43664.0</v>
      </c>
    </row>
    <row r="7076">
      <c r="A7076" s="217">
        <v>43665.60638328704</v>
      </c>
      <c r="B7076" s="3" t="s">
        <v>5184</v>
      </c>
      <c r="C7076" s="3" t="s">
        <v>6921</v>
      </c>
      <c r="D7076" s="265">
        <v>1.0</v>
      </c>
      <c r="E7076" s="3">
        <v>2250.0</v>
      </c>
      <c r="G7076" s="266">
        <v>43664.0</v>
      </c>
    </row>
    <row r="7077">
      <c r="A7077" s="217">
        <v>43665.60754228009</v>
      </c>
      <c r="B7077" s="3" t="s">
        <v>5184</v>
      </c>
      <c r="C7077" s="3" t="s">
        <v>5664</v>
      </c>
      <c r="D7077" s="265">
        <v>1.0</v>
      </c>
      <c r="E7077" s="3">
        <v>2250.0</v>
      </c>
      <c r="G7077" s="266">
        <v>43664.0</v>
      </c>
    </row>
    <row r="7078">
      <c r="A7078" s="217">
        <v>43665.60834515047</v>
      </c>
      <c r="B7078" s="3" t="s">
        <v>5184</v>
      </c>
      <c r="C7078" s="3" t="s">
        <v>1382</v>
      </c>
      <c r="D7078" s="265">
        <v>1.0</v>
      </c>
      <c r="E7078" s="3">
        <v>2250.0</v>
      </c>
      <c r="G7078" s="266">
        <v>43664.0</v>
      </c>
    </row>
    <row r="7079">
      <c r="A7079" s="217">
        <v>43665.61149800926</v>
      </c>
      <c r="B7079" s="3" t="s">
        <v>5184</v>
      </c>
      <c r="C7079" s="3" t="s">
        <v>1469</v>
      </c>
      <c r="D7079" s="265">
        <v>1.0</v>
      </c>
      <c r="E7079" s="3">
        <v>1800.0</v>
      </c>
      <c r="G7079" s="266">
        <v>43664.0</v>
      </c>
    </row>
    <row r="7080">
      <c r="A7080" s="217">
        <v>43665.61306334491</v>
      </c>
      <c r="B7080" s="3" t="s">
        <v>5184</v>
      </c>
      <c r="C7080" s="3" t="s">
        <v>5640</v>
      </c>
      <c r="D7080" s="265">
        <v>1.0</v>
      </c>
      <c r="E7080" s="3">
        <v>2800.0</v>
      </c>
      <c r="G7080" s="266">
        <v>43664.0</v>
      </c>
    </row>
    <row r="7081">
      <c r="A7081" s="217">
        <v>43665.61405467593</v>
      </c>
      <c r="B7081" s="3" t="s">
        <v>5184</v>
      </c>
      <c r="C7081" s="3" t="s">
        <v>709</v>
      </c>
      <c r="D7081" s="265">
        <v>1.0</v>
      </c>
      <c r="E7081" s="3">
        <v>1800.0</v>
      </c>
      <c r="G7081" s="266">
        <v>43664.0</v>
      </c>
    </row>
    <row r="7082">
      <c r="A7082" s="217">
        <v>43665.61536940972</v>
      </c>
      <c r="B7082" s="3" t="s">
        <v>5184</v>
      </c>
      <c r="C7082" s="3" t="s">
        <v>5695</v>
      </c>
      <c r="D7082" s="265">
        <v>1.0</v>
      </c>
      <c r="E7082" s="3">
        <v>1800.0</v>
      </c>
      <c r="G7082" s="266">
        <v>43664.0</v>
      </c>
    </row>
    <row r="7083">
      <c r="A7083" s="217">
        <v>43665.61927967593</v>
      </c>
      <c r="B7083" s="3" t="s">
        <v>5184</v>
      </c>
      <c r="C7083" s="3" t="s">
        <v>713</v>
      </c>
      <c r="D7083" s="265">
        <v>1.0</v>
      </c>
      <c r="E7083" s="3">
        <v>2250.0</v>
      </c>
      <c r="G7083" s="266">
        <v>43664.0</v>
      </c>
    </row>
    <row r="7084">
      <c r="A7084" s="217">
        <v>43665.62022221065</v>
      </c>
      <c r="B7084" s="3" t="s">
        <v>5184</v>
      </c>
      <c r="C7084" s="3" t="s">
        <v>724</v>
      </c>
      <c r="D7084" s="265">
        <v>1.0</v>
      </c>
      <c r="E7084" s="3">
        <v>2380.0</v>
      </c>
      <c r="G7084" s="266">
        <v>43664.0</v>
      </c>
    </row>
    <row r="7085">
      <c r="A7085" s="217">
        <v>43665.62201291666</v>
      </c>
      <c r="B7085" s="3" t="s">
        <v>5184</v>
      </c>
      <c r="C7085" s="3" t="s">
        <v>9313</v>
      </c>
      <c r="D7085" s="265">
        <v>1.0</v>
      </c>
      <c r="E7085" s="3">
        <v>1800.0</v>
      </c>
      <c r="G7085" s="266">
        <v>43664.0</v>
      </c>
    </row>
    <row r="7086">
      <c r="A7086" s="217">
        <v>43665.62339443287</v>
      </c>
      <c r="B7086" s="3" t="s">
        <v>5184</v>
      </c>
      <c r="C7086" s="3" t="s">
        <v>5690</v>
      </c>
      <c r="D7086" s="265">
        <v>1.0</v>
      </c>
      <c r="E7086" s="3">
        <v>1800.0</v>
      </c>
      <c r="G7086" s="266">
        <v>43664.0</v>
      </c>
    </row>
    <row r="7087">
      <c r="A7087" s="217">
        <v>43665.62464601852</v>
      </c>
      <c r="B7087" s="3" t="s">
        <v>5184</v>
      </c>
      <c r="C7087" s="3" t="s">
        <v>5688</v>
      </c>
      <c r="D7087" s="265">
        <v>1.0</v>
      </c>
      <c r="E7087" s="3">
        <v>1800.0</v>
      </c>
      <c r="G7087" s="266">
        <v>43664.0</v>
      </c>
    </row>
    <row r="7088">
      <c r="A7088" s="217">
        <v>43665.62567947917</v>
      </c>
      <c r="B7088" s="3" t="s">
        <v>5184</v>
      </c>
      <c r="C7088" s="3" t="s">
        <v>703</v>
      </c>
      <c r="D7088" s="265">
        <v>1.0</v>
      </c>
      <c r="E7088" s="3">
        <v>1800.0</v>
      </c>
      <c r="G7088" s="266">
        <v>43664.0</v>
      </c>
    </row>
    <row r="7089">
      <c r="A7089" s="217">
        <v>43665.62797486111</v>
      </c>
      <c r="B7089" s="3" t="s">
        <v>5184</v>
      </c>
      <c r="C7089" s="3" t="s">
        <v>1389</v>
      </c>
      <c r="D7089" s="265">
        <v>1.0</v>
      </c>
      <c r="E7089" s="3">
        <v>2250.0</v>
      </c>
      <c r="G7089" s="266">
        <v>43664.0</v>
      </c>
    </row>
    <row r="7090">
      <c r="A7090" s="217">
        <v>43665.63143408565</v>
      </c>
      <c r="B7090" s="3" t="s">
        <v>5184</v>
      </c>
      <c r="C7090" s="3" t="s">
        <v>2754</v>
      </c>
      <c r="D7090" s="265">
        <v>1.0</v>
      </c>
      <c r="E7090" s="3">
        <v>9000.0</v>
      </c>
      <c r="G7090" s="266">
        <v>43664.0</v>
      </c>
    </row>
    <row r="7091">
      <c r="A7091" s="217">
        <v>43665.6323112963</v>
      </c>
      <c r="B7091" s="3" t="s">
        <v>5184</v>
      </c>
      <c r="C7091" s="3" t="s">
        <v>9314</v>
      </c>
      <c r="D7091" s="265">
        <v>1.0</v>
      </c>
      <c r="E7091" s="3">
        <v>9000.0</v>
      </c>
      <c r="G7091" s="266">
        <v>43664.0</v>
      </c>
    </row>
    <row r="7092">
      <c r="A7092" s="217">
        <v>43665.633162048616</v>
      </c>
      <c r="B7092" s="3" t="s">
        <v>5184</v>
      </c>
      <c r="C7092" s="3" t="s">
        <v>5391</v>
      </c>
      <c r="D7092" s="265">
        <v>1.0</v>
      </c>
      <c r="E7092" s="3">
        <v>9000.0</v>
      </c>
      <c r="G7092" s="266">
        <v>43664.0</v>
      </c>
    </row>
    <row r="7093">
      <c r="A7093" s="217">
        <v>43665.63401782408</v>
      </c>
      <c r="B7093" s="3" t="s">
        <v>5184</v>
      </c>
      <c r="C7093" s="3" t="s">
        <v>5364</v>
      </c>
      <c r="D7093" s="265">
        <v>1.0</v>
      </c>
      <c r="E7093" s="3">
        <v>9000.0</v>
      </c>
      <c r="G7093" s="266">
        <v>43664.0</v>
      </c>
    </row>
    <row r="7094">
      <c r="A7094" s="217">
        <v>43665.634794791666</v>
      </c>
      <c r="B7094" s="3" t="s">
        <v>5184</v>
      </c>
      <c r="C7094" s="3" t="s">
        <v>2760</v>
      </c>
      <c r="D7094" s="265">
        <v>1.0</v>
      </c>
      <c r="E7094" s="3">
        <v>9000.0</v>
      </c>
      <c r="G7094" s="266">
        <v>43664.0</v>
      </c>
    </row>
    <row r="7095">
      <c r="A7095" s="217">
        <v>43665.64400497686</v>
      </c>
      <c r="B7095" s="3" t="s">
        <v>5184</v>
      </c>
      <c r="C7095" s="3" t="s">
        <v>4512</v>
      </c>
      <c r="D7095" s="265">
        <v>1.0</v>
      </c>
      <c r="E7095" s="3">
        <v>2450.0</v>
      </c>
      <c r="G7095" s="266">
        <v>43664.0</v>
      </c>
    </row>
    <row r="7096">
      <c r="A7096" s="217">
        <v>43665.6449333912</v>
      </c>
      <c r="B7096" s="3" t="s">
        <v>5184</v>
      </c>
      <c r="C7096" s="3" t="s">
        <v>1252</v>
      </c>
      <c r="D7096" s="265">
        <v>2.0</v>
      </c>
      <c r="E7096" s="3">
        <v>1995.0</v>
      </c>
      <c r="G7096" s="266">
        <v>43664.0</v>
      </c>
    </row>
    <row r="7097">
      <c r="A7097" s="217">
        <v>43665.64588055556</v>
      </c>
      <c r="B7097" s="3" t="s">
        <v>5184</v>
      </c>
      <c r="C7097" s="3" t="s">
        <v>8622</v>
      </c>
      <c r="D7097" s="265">
        <v>1.0</v>
      </c>
      <c r="E7097" s="3">
        <v>2780.0</v>
      </c>
      <c r="G7097" s="266">
        <v>43664.0</v>
      </c>
    </row>
    <row r="7098">
      <c r="A7098" s="217">
        <v>43665.69052495371</v>
      </c>
      <c r="B7098" s="3" t="s">
        <v>5184</v>
      </c>
      <c r="C7098" s="3" t="s">
        <v>5501</v>
      </c>
      <c r="D7098" s="265">
        <v>1.0</v>
      </c>
      <c r="E7098" s="3">
        <v>3790.0</v>
      </c>
      <c r="G7098" s="266">
        <v>43664.0</v>
      </c>
    </row>
    <row r="7099">
      <c r="A7099" s="217">
        <v>43665.691717615744</v>
      </c>
      <c r="B7099" s="3" t="s">
        <v>5184</v>
      </c>
      <c r="C7099" s="3" t="s">
        <v>6331</v>
      </c>
      <c r="D7099" s="265">
        <v>1.0</v>
      </c>
      <c r="E7099" s="3">
        <v>3990.0</v>
      </c>
      <c r="G7099" s="266">
        <v>43664.0</v>
      </c>
    </row>
    <row r="7100">
      <c r="A7100" s="217">
        <v>43665.69449988426</v>
      </c>
      <c r="B7100" s="3" t="s">
        <v>5184</v>
      </c>
      <c r="C7100" s="3" t="s">
        <v>5379</v>
      </c>
      <c r="D7100" s="265">
        <v>1.0</v>
      </c>
      <c r="E7100" s="3">
        <v>7650.0</v>
      </c>
      <c r="G7100" s="266">
        <v>43664.0</v>
      </c>
    </row>
    <row r="7101">
      <c r="A7101" s="217">
        <v>43666.57113981481</v>
      </c>
      <c r="B7101" s="3" t="s">
        <v>5184</v>
      </c>
      <c r="C7101" s="3" t="s">
        <v>6769</v>
      </c>
      <c r="D7101" s="265">
        <v>1.0</v>
      </c>
      <c r="E7101" s="3">
        <v>3990.0</v>
      </c>
      <c r="G7101" s="266">
        <v>43666.0</v>
      </c>
    </row>
    <row r="7102">
      <c r="A7102" s="217">
        <v>43668.54971501157</v>
      </c>
      <c r="B7102" s="3" t="s">
        <v>5184</v>
      </c>
      <c r="C7102" s="3" t="s">
        <v>724</v>
      </c>
      <c r="D7102" s="265">
        <v>1.0</v>
      </c>
      <c r="E7102" s="3">
        <v>2380.0</v>
      </c>
      <c r="G7102" s="266">
        <v>43667.0</v>
      </c>
    </row>
    <row r="7103">
      <c r="A7103" s="217">
        <v>43668.552973750004</v>
      </c>
      <c r="B7103" s="3" t="s">
        <v>5184</v>
      </c>
      <c r="C7103" s="3" t="s">
        <v>1389</v>
      </c>
      <c r="D7103" s="265">
        <v>1.0</v>
      </c>
      <c r="E7103" s="3">
        <v>1950.0</v>
      </c>
      <c r="G7103" s="266">
        <v>43667.0</v>
      </c>
    </row>
    <row r="7104">
      <c r="A7104" s="217">
        <v>43668.554004363425</v>
      </c>
      <c r="B7104" s="3" t="s">
        <v>5184</v>
      </c>
      <c r="C7104" s="3" t="s">
        <v>725</v>
      </c>
      <c r="D7104" s="265">
        <v>2.0</v>
      </c>
      <c r="E7104" s="3">
        <v>2160.0</v>
      </c>
      <c r="G7104" s="266">
        <v>43667.0</v>
      </c>
    </row>
    <row r="7105">
      <c r="A7105" s="217">
        <v>43668.56479521991</v>
      </c>
      <c r="B7105" s="3" t="s">
        <v>5184</v>
      </c>
      <c r="C7105" s="3" t="s">
        <v>1446</v>
      </c>
      <c r="D7105" s="265">
        <v>1.0</v>
      </c>
      <c r="E7105" s="3">
        <v>2450.0</v>
      </c>
      <c r="G7105" s="266">
        <v>43667.0</v>
      </c>
    </row>
    <row r="7106">
      <c r="A7106" s="217">
        <v>43668.56571789352</v>
      </c>
      <c r="B7106" s="3" t="s">
        <v>5184</v>
      </c>
      <c r="C7106" s="3" t="s">
        <v>1446</v>
      </c>
      <c r="D7106" s="265">
        <v>2.0</v>
      </c>
      <c r="E7106" s="3">
        <v>2450.0</v>
      </c>
      <c r="G7106" s="266">
        <v>43667.0</v>
      </c>
    </row>
    <row r="7107">
      <c r="A7107" s="217">
        <v>43668.56716849537</v>
      </c>
      <c r="B7107" s="3" t="s">
        <v>5184</v>
      </c>
      <c r="C7107" s="3" t="s">
        <v>6438</v>
      </c>
      <c r="D7107" s="265">
        <v>1.0</v>
      </c>
      <c r="E7107" s="3">
        <v>1560.0</v>
      </c>
      <c r="G7107" s="266">
        <v>43667.0</v>
      </c>
    </row>
    <row r="7108">
      <c r="A7108" s="217">
        <v>43668.56830854167</v>
      </c>
      <c r="B7108" s="3" t="s">
        <v>5184</v>
      </c>
      <c r="C7108" s="3" t="s">
        <v>5539</v>
      </c>
      <c r="D7108" s="265">
        <v>1.0</v>
      </c>
      <c r="E7108" s="3">
        <v>4790.0</v>
      </c>
      <c r="G7108" s="266">
        <v>43667.0</v>
      </c>
    </row>
    <row r="7109">
      <c r="A7109" s="217">
        <v>43668.56929988426</v>
      </c>
      <c r="B7109" s="3" t="s">
        <v>5184</v>
      </c>
      <c r="C7109" s="3" t="s">
        <v>2131</v>
      </c>
      <c r="D7109" s="265">
        <v>1.0</v>
      </c>
      <c r="E7109" s="3">
        <v>3790.0</v>
      </c>
      <c r="G7109" s="266">
        <v>43667.0</v>
      </c>
    </row>
    <row r="7110">
      <c r="A7110" s="217">
        <v>43668.57025771991</v>
      </c>
      <c r="B7110" s="3" t="s">
        <v>5184</v>
      </c>
      <c r="C7110" s="3" t="s">
        <v>9216</v>
      </c>
      <c r="D7110" s="265">
        <v>1.0</v>
      </c>
      <c r="E7110" s="3">
        <v>3290.0</v>
      </c>
      <c r="G7110" s="266">
        <v>43667.0</v>
      </c>
    </row>
    <row r="7111">
      <c r="A7111" s="217">
        <v>43668.57140728009</v>
      </c>
      <c r="B7111" s="3" t="s">
        <v>5184</v>
      </c>
      <c r="C7111" s="3" t="s">
        <v>9213</v>
      </c>
      <c r="D7111" s="265">
        <v>2.0</v>
      </c>
      <c r="E7111" s="3">
        <v>3290.0</v>
      </c>
      <c r="G7111" s="266">
        <v>43667.0</v>
      </c>
    </row>
    <row r="7112">
      <c r="A7112" s="217">
        <v>43668.7573313426</v>
      </c>
      <c r="B7112" s="3" t="s">
        <v>5184</v>
      </c>
      <c r="C7112" s="3" t="s">
        <v>6866</v>
      </c>
      <c r="D7112" s="265">
        <v>1.0</v>
      </c>
      <c r="E7112" s="3">
        <v>3490.0</v>
      </c>
      <c r="G7112" s="266">
        <v>43668.0</v>
      </c>
    </row>
    <row r="7113">
      <c r="A7113" s="217">
        <v>43668.75615663195</v>
      </c>
      <c r="B7113" s="3" t="s">
        <v>5184</v>
      </c>
      <c r="C7113" s="3" t="s">
        <v>2118</v>
      </c>
      <c r="D7113" s="265">
        <v>1.0</v>
      </c>
      <c r="E7113" s="3">
        <v>4990.0</v>
      </c>
      <c r="G7113" s="266">
        <v>43668.0</v>
      </c>
    </row>
    <row r="7114">
      <c r="A7114" s="217">
        <v>43668.76187798611</v>
      </c>
      <c r="B7114" s="3" t="s">
        <v>5184</v>
      </c>
      <c r="C7114" s="3" t="s">
        <v>2184</v>
      </c>
      <c r="D7114" s="265">
        <v>1.0</v>
      </c>
      <c r="E7114" s="3">
        <v>3390.0</v>
      </c>
      <c r="G7114" s="266">
        <v>43668.0</v>
      </c>
    </row>
    <row r="7115">
      <c r="A7115" s="217">
        <v>43668.76903123842</v>
      </c>
      <c r="B7115" s="3" t="s">
        <v>5184</v>
      </c>
      <c r="C7115" s="3" t="s">
        <v>9315</v>
      </c>
      <c r="D7115" s="265">
        <v>2.0</v>
      </c>
      <c r="E7115" s="3">
        <v>3890.0</v>
      </c>
      <c r="G7115" s="266">
        <v>43668.0</v>
      </c>
    </row>
    <row r="7116">
      <c r="A7116" s="217">
        <v>43668.77004878472</v>
      </c>
      <c r="B7116" s="3" t="s">
        <v>5184</v>
      </c>
      <c r="C7116" s="3" t="s">
        <v>9278</v>
      </c>
      <c r="D7116" s="265">
        <v>1.0</v>
      </c>
      <c r="E7116" s="3">
        <v>6390.0</v>
      </c>
      <c r="G7116" s="266">
        <v>43668.0</v>
      </c>
    </row>
    <row r="7117">
      <c r="A7117" s="217">
        <v>43668.77155251158</v>
      </c>
      <c r="B7117" s="3" t="s">
        <v>5184</v>
      </c>
      <c r="C7117" s="3" t="s">
        <v>9244</v>
      </c>
      <c r="D7117" s="265">
        <v>2.0</v>
      </c>
      <c r="E7117" s="3">
        <v>4090.0</v>
      </c>
      <c r="G7117" s="266">
        <v>43668.0</v>
      </c>
    </row>
    <row r="7118">
      <c r="A7118" s="217">
        <v>43668.77312200231</v>
      </c>
      <c r="B7118" s="3" t="s">
        <v>5184</v>
      </c>
      <c r="C7118" s="3" t="s">
        <v>9316</v>
      </c>
      <c r="D7118" s="265">
        <v>1.0</v>
      </c>
      <c r="E7118" s="3">
        <v>5090.0</v>
      </c>
      <c r="G7118" s="266">
        <v>43668.0</v>
      </c>
    </row>
    <row r="7119">
      <c r="A7119" s="217">
        <v>43669.711594733795</v>
      </c>
      <c r="B7119" s="3" t="s">
        <v>5184</v>
      </c>
      <c r="C7119" s="3" t="s">
        <v>6422</v>
      </c>
      <c r="D7119" s="265">
        <v>1.0</v>
      </c>
      <c r="E7119" s="3">
        <v>2775.0</v>
      </c>
      <c r="G7119" s="266">
        <v>43669.0</v>
      </c>
    </row>
    <row r="7120">
      <c r="A7120" s="217">
        <v>43669.746407847226</v>
      </c>
      <c r="B7120" s="3" t="s">
        <v>5184</v>
      </c>
      <c r="C7120" s="3" t="s">
        <v>6717</v>
      </c>
      <c r="D7120" s="265">
        <v>1.0</v>
      </c>
      <c r="E7120" s="3">
        <v>3890.0</v>
      </c>
      <c r="G7120" s="266">
        <v>43668.0</v>
      </c>
    </row>
    <row r="7121">
      <c r="A7121" s="217">
        <v>43669.74746226852</v>
      </c>
      <c r="B7121" s="3" t="s">
        <v>5184</v>
      </c>
      <c r="C7121" s="3" t="s">
        <v>9318</v>
      </c>
      <c r="D7121" s="265">
        <v>5.0</v>
      </c>
      <c r="E7121" s="3">
        <v>100.0</v>
      </c>
      <c r="G7121" s="266">
        <v>43669.0</v>
      </c>
    </row>
    <row r="7122">
      <c r="A7122" s="217">
        <v>43674.61450271991</v>
      </c>
      <c r="B7122" s="3" t="s">
        <v>5184</v>
      </c>
      <c r="C7122" s="3" t="s">
        <v>8966</v>
      </c>
      <c r="D7122" s="265">
        <v>1.0</v>
      </c>
      <c r="E7122" s="3">
        <v>3990.0</v>
      </c>
      <c r="G7122" s="266">
        <v>43672.0</v>
      </c>
    </row>
    <row r="7123">
      <c r="A7123" s="217">
        <v>43674.61594251158</v>
      </c>
      <c r="B7123" s="3" t="s">
        <v>5184</v>
      </c>
      <c r="C7123" s="3" t="s">
        <v>7007</v>
      </c>
      <c r="D7123" s="265">
        <v>1.0</v>
      </c>
      <c r="E7123" s="3">
        <v>2000.0</v>
      </c>
      <c r="G7123" s="266">
        <v>43672.0</v>
      </c>
    </row>
    <row r="7124">
      <c r="A7124" s="217">
        <v>43674.61711315972</v>
      </c>
      <c r="B7124" s="3" t="s">
        <v>5184</v>
      </c>
      <c r="C7124" s="3" t="s">
        <v>2345</v>
      </c>
      <c r="D7124" s="265">
        <v>1.0</v>
      </c>
      <c r="E7124" s="3">
        <v>2100.0</v>
      </c>
      <c r="G7124" s="266">
        <v>43673.0</v>
      </c>
    </row>
    <row r="7125">
      <c r="A7125" s="217">
        <v>43674.617793020836</v>
      </c>
      <c r="B7125" s="3" t="s">
        <v>5184</v>
      </c>
      <c r="C7125" s="3" t="s">
        <v>284</v>
      </c>
      <c r="D7125" s="265">
        <v>1.0</v>
      </c>
      <c r="E7125" s="3">
        <v>1000.0</v>
      </c>
      <c r="G7125" s="266">
        <v>43673.0</v>
      </c>
    </row>
    <row r="7126">
      <c r="A7126" s="217">
        <v>43674.61891820602</v>
      </c>
      <c r="B7126" s="3" t="s">
        <v>5184</v>
      </c>
      <c r="C7126" s="3" t="s">
        <v>8957</v>
      </c>
      <c r="D7126" s="265">
        <v>1.0</v>
      </c>
      <c r="E7126" s="3">
        <v>1450.0</v>
      </c>
      <c r="G7126" s="266">
        <v>43674.0</v>
      </c>
    </row>
    <row r="7127">
      <c r="A7127" s="217">
        <v>43674.619387893516</v>
      </c>
      <c r="B7127" s="3" t="s">
        <v>5184</v>
      </c>
      <c r="C7127" s="3" t="s">
        <v>284</v>
      </c>
      <c r="D7127" s="265">
        <v>1.0</v>
      </c>
      <c r="E7127" s="3">
        <v>400.0</v>
      </c>
      <c r="G7127" s="266">
        <v>43674.0</v>
      </c>
    </row>
    <row r="7128">
      <c r="A7128" s="217">
        <v>43675.48859876157</v>
      </c>
      <c r="B7128" s="3" t="s">
        <v>5092</v>
      </c>
      <c r="C7128" s="3" t="s">
        <v>4595</v>
      </c>
      <c r="D7128" s="265">
        <v>1.0</v>
      </c>
      <c r="E7128" s="3">
        <v>1295.0</v>
      </c>
      <c r="G7128" s="266">
        <v>43672.0</v>
      </c>
    </row>
    <row r="7129">
      <c r="A7129" s="217">
        <v>43675.49573498842</v>
      </c>
      <c r="B7129" s="3" t="s">
        <v>2322</v>
      </c>
      <c r="C7129" s="3" t="s">
        <v>4595</v>
      </c>
      <c r="D7129" s="265">
        <v>1.0</v>
      </c>
      <c r="E7129" s="3">
        <v>1295.0</v>
      </c>
      <c r="G7129" s="266">
        <v>43673.0</v>
      </c>
    </row>
    <row r="7130">
      <c r="A7130" s="217">
        <v>43675.49742197916</v>
      </c>
      <c r="B7130" s="3" t="s">
        <v>2322</v>
      </c>
      <c r="C7130" s="3" t="s">
        <v>4595</v>
      </c>
      <c r="D7130" s="265">
        <v>1.0</v>
      </c>
      <c r="E7130" s="3">
        <v>1295.0</v>
      </c>
      <c r="G7130" s="266">
        <v>43675.0</v>
      </c>
    </row>
    <row r="7131">
      <c r="A7131" s="217">
        <v>43676.52435961805</v>
      </c>
      <c r="B7131" s="3" t="s">
        <v>5092</v>
      </c>
      <c r="C7131" s="3" t="s">
        <v>6053</v>
      </c>
      <c r="D7131" s="265">
        <v>1.0</v>
      </c>
      <c r="E7131" s="3">
        <v>300.0</v>
      </c>
      <c r="G7131" s="266">
        <v>43675.0</v>
      </c>
    </row>
    <row r="7132">
      <c r="A7132" s="217">
        <v>43676.52501670139</v>
      </c>
      <c r="B7132" s="3" t="s">
        <v>5092</v>
      </c>
      <c r="C7132" s="3" t="s">
        <v>244</v>
      </c>
      <c r="D7132" s="265">
        <v>1.0</v>
      </c>
      <c r="E7132" s="3">
        <v>400.0</v>
      </c>
      <c r="G7132" s="266">
        <v>43675.0</v>
      </c>
    </row>
    <row r="7133">
      <c r="A7133" s="217">
        <v>43676.52561362268</v>
      </c>
      <c r="B7133" s="3" t="s">
        <v>5092</v>
      </c>
      <c r="C7133" s="3" t="s">
        <v>284</v>
      </c>
      <c r="D7133" s="265">
        <v>1.0</v>
      </c>
      <c r="E7133" s="3">
        <v>400.0</v>
      </c>
      <c r="G7133" s="266">
        <v>43675.0</v>
      </c>
    </row>
    <row r="7134">
      <c r="A7134" s="217">
        <v>43676.69924554398</v>
      </c>
      <c r="B7134" s="3" t="s">
        <v>5184</v>
      </c>
      <c r="C7134" s="3" t="s">
        <v>5869</v>
      </c>
      <c r="D7134" s="265">
        <v>1.0</v>
      </c>
      <c r="E7134" s="3">
        <v>2590.0</v>
      </c>
      <c r="G7134" s="266">
        <v>43676.0</v>
      </c>
    </row>
    <row r="7135">
      <c r="A7135" s="217">
        <v>43676.70138668982</v>
      </c>
      <c r="B7135" s="3" t="s">
        <v>5184</v>
      </c>
      <c r="C7135" s="3" t="s">
        <v>6675</v>
      </c>
      <c r="D7135" s="265">
        <v>1.0</v>
      </c>
      <c r="E7135" s="3">
        <v>7990.0</v>
      </c>
      <c r="G7135" s="266">
        <v>43676.0</v>
      </c>
    </row>
    <row r="7136">
      <c r="A7136" s="217">
        <v>43676.70288597222</v>
      </c>
      <c r="B7136" s="3" t="s">
        <v>5184</v>
      </c>
      <c r="C7136" s="3" t="s">
        <v>6591</v>
      </c>
      <c r="D7136" s="265">
        <v>1.0</v>
      </c>
      <c r="E7136" s="3">
        <v>7590.0</v>
      </c>
      <c r="G7136" s="266">
        <v>43676.0</v>
      </c>
    </row>
    <row r="7137">
      <c r="A7137" s="217">
        <v>43676.703920995365</v>
      </c>
      <c r="B7137" s="3" t="s">
        <v>5184</v>
      </c>
      <c r="C7137" s="3" t="s">
        <v>6766</v>
      </c>
      <c r="D7137" s="265">
        <v>1.0</v>
      </c>
      <c r="E7137" s="3">
        <v>5090.0</v>
      </c>
      <c r="G7137" s="266">
        <v>43676.0</v>
      </c>
    </row>
    <row r="7138">
      <c r="A7138" s="217">
        <v>43678.50319685185</v>
      </c>
      <c r="B7138" s="3" t="s">
        <v>5184</v>
      </c>
      <c r="C7138" s="3" t="s">
        <v>8600</v>
      </c>
      <c r="D7138" s="265">
        <v>1.0</v>
      </c>
      <c r="E7138" s="3">
        <v>2160.0</v>
      </c>
      <c r="G7138" s="266">
        <v>43678.0</v>
      </c>
    </row>
    <row r="7139">
      <c r="A7139" s="217">
        <v>43678.504848055556</v>
      </c>
      <c r="B7139" s="3" t="s">
        <v>5184</v>
      </c>
      <c r="C7139" s="3" t="s">
        <v>6767</v>
      </c>
      <c r="D7139" s="265">
        <v>1.0</v>
      </c>
      <c r="E7139" s="3">
        <v>4990.0</v>
      </c>
      <c r="G7139" s="266">
        <v>43678.0</v>
      </c>
    </row>
    <row r="7140">
      <c r="A7140" s="217">
        <v>43678.50595818287</v>
      </c>
      <c r="B7140" s="3" t="s">
        <v>5184</v>
      </c>
      <c r="C7140" s="3" t="s">
        <v>1911</v>
      </c>
      <c r="D7140" s="265">
        <v>1.0</v>
      </c>
      <c r="E7140" s="3">
        <v>5090.0</v>
      </c>
      <c r="G7140" s="266">
        <v>43678.0</v>
      </c>
    </row>
    <row r="7141">
      <c r="A7141" s="217">
        <v>43678.50687611111</v>
      </c>
      <c r="B7141" s="3" t="s">
        <v>5184</v>
      </c>
      <c r="C7141" s="3" t="s">
        <v>5416</v>
      </c>
      <c r="D7141" s="265">
        <v>1.0</v>
      </c>
      <c r="E7141" s="3">
        <v>4990.0</v>
      </c>
      <c r="G7141" s="266">
        <v>43678.0</v>
      </c>
    </row>
    <row r="7142">
      <c r="A7142" s="217">
        <v>43678.72056452546</v>
      </c>
      <c r="B7142" s="3" t="s">
        <v>5184</v>
      </c>
      <c r="C7142" s="3" t="s">
        <v>9328</v>
      </c>
      <c r="D7142" s="265">
        <v>1.0</v>
      </c>
      <c r="E7142" s="3">
        <v>2450.0</v>
      </c>
      <c r="G7142" s="266">
        <v>43678.0</v>
      </c>
    </row>
    <row r="7143">
      <c r="A7143" s="217">
        <v>43678.72331151621</v>
      </c>
      <c r="B7143" s="3" t="s">
        <v>2322</v>
      </c>
      <c r="C7143" s="3" t="s">
        <v>1736</v>
      </c>
      <c r="D7143" s="265">
        <v>1.0</v>
      </c>
      <c r="E7143" s="3">
        <v>2250.0</v>
      </c>
      <c r="G7143" s="266">
        <v>43678.0</v>
      </c>
    </row>
    <row r="7144">
      <c r="A7144" s="217">
        <v>43679.50560244213</v>
      </c>
      <c r="B7144" s="3" t="s">
        <v>5092</v>
      </c>
      <c r="C7144" s="3" t="s">
        <v>1248</v>
      </c>
      <c r="D7144" s="265">
        <v>1.0</v>
      </c>
      <c r="E7144" s="3">
        <v>2150.0</v>
      </c>
      <c r="G7144" s="266">
        <v>43678.0</v>
      </c>
    </row>
    <row r="7145">
      <c r="A7145" s="217">
        <v>43679.54014545139</v>
      </c>
      <c r="B7145" s="3" t="s">
        <v>5092</v>
      </c>
      <c r="C7145" s="3" t="s">
        <v>7754</v>
      </c>
      <c r="D7145" s="265" t="s">
        <v>7547</v>
      </c>
      <c r="E7145" s="3">
        <v>600.0</v>
      </c>
      <c r="G7145" s="266">
        <v>43678.0</v>
      </c>
    </row>
    <row r="7146">
      <c r="A7146" s="217">
        <v>43679.54202253472</v>
      </c>
      <c r="B7146" s="3" t="s">
        <v>5092</v>
      </c>
      <c r="C7146" s="3" t="s">
        <v>845</v>
      </c>
      <c r="D7146" s="265">
        <v>1.0</v>
      </c>
      <c r="E7146" s="3">
        <v>400.0</v>
      </c>
      <c r="G7146" s="266">
        <v>43678.0</v>
      </c>
    </row>
    <row r="7147">
      <c r="A7147" s="217">
        <v>43679.691056400465</v>
      </c>
      <c r="B7147" s="3" t="s">
        <v>5184</v>
      </c>
      <c r="C7147" s="3" t="s">
        <v>1248</v>
      </c>
      <c r="D7147" s="265">
        <v>1.0</v>
      </c>
      <c r="E7147" s="3">
        <v>2150.0</v>
      </c>
      <c r="G7147" s="266">
        <v>43679.0</v>
      </c>
    </row>
    <row r="7148">
      <c r="A7148" s="217">
        <v>43679.72419770833</v>
      </c>
      <c r="B7148" s="3" t="s">
        <v>5184</v>
      </c>
      <c r="C7148" s="3" t="s">
        <v>5121</v>
      </c>
      <c r="D7148" s="265">
        <v>1.0</v>
      </c>
      <c r="E7148" s="3">
        <v>7490.0</v>
      </c>
      <c r="G7148" s="266">
        <v>43679.0</v>
      </c>
    </row>
    <row r="7149">
      <c r="A7149" s="217">
        <v>43679.72502675926</v>
      </c>
      <c r="B7149" s="3" t="s">
        <v>5184</v>
      </c>
      <c r="C7149" s="3" t="s">
        <v>9337</v>
      </c>
      <c r="D7149" s="265">
        <v>1.0</v>
      </c>
      <c r="E7149" s="3">
        <v>6990.0</v>
      </c>
      <c r="G7149" s="266">
        <v>43679.0</v>
      </c>
    </row>
    <row r="7150">
      <c r="A7150" s="217">
        <v>43679.72583275463</v>
      </c>
      <c r="B7150" s="3" t="s">
        <v>5184</v>
      </c>
      <c r="C7150" s="3" t="s">
        <v>5136</v>
      </c>
      <c r="D7150" s="265">
        <v>1.0</v>
      </c>
      <c r="E7150" s="3">
        <v>7990.0</v>
      </c>
      <c r="G7150" s="266">
        <v>43679.0</v>
      </c>
    </row>
    <row r="7151">
      <c r="A7151" s="217">
        <v>43679.72668738426</v>
      </c>
      <c r="B7151" s="3" t="s">
        <v>5184</v>
      </c>
      <c r="C7151" s="3" t="s">
        <v>6646</v>
      </c>
      <c r="D7151" s="265">
        <v>1.0</v>
      </c>
      <c r="E7151" s="3">
        <v>5990.0</v>
      </c>
      <c r="G7151" s="266">
        <v>43679.0</v>
      </c>
    </row>
    <row r="7152">
      <c r="A7152" s="217">
        <v>43679.7275178125</v>
      </c>
      <c r="B7152" s="3" t="s">
        <v>5184</v>
      </c>
      <c r="C7152" s="3" t="s">
        <v>1951</v>
      </c>
      <c r="D7152" s="265">
        <v>1.0</v>
      </c>
      <c r="E7152" s="3">
        <v>4290.0</v>
      </c>
      <c r="G7152" s="266">
        <v>43679.0</v>
      </c>
    </row>
    <row r="7153">
      <c r="A7153" s="217">
        <v>43679.72857128472</v>
      </c>
      <c r="B7153" s="3" t="s">
        <v>5184</v>
      </c>
      <c r="C7153" s="3" t="s">
        <v>6292</v>
      </c>
      <c r="D7153" s="265">
        <v>1.0</v>
      </c>
      <c r="E7153" s="3">
        <v>9290.0</v>
      </c>
      <c r="G7153" s="266">
        <v>43679.0</v>
      </c>
    </row>
    <row r="7154">
      <c r="A7154" s="217">
        <v>43679.72999230324</v>
      </c>
      <c r="B7154" s="3" t="s">
        <v>5184</v>
      </c>
      <c r="C7154" s="3" t="s">
        <v>5284</v>
      </c>
      <c r="D7154" s="265">
        <v>1.0</v>
      </c>
      <c r="E7154" s="3">
        <v>7790.0</v>
      </c>
      <c r="G7154" s="266">
        <v>43679.0</v>
      </c>
    </row>
    <row r="7155">
      <c r="A7155" s="217">
        <v>43679.73118631945</v>
      </c>
      <c r="B7155" s="3" t="s">
        <v>5184</v>
      </c>
      <c r="C7155" s="3" t="s">
        <v>6567</v>
      </c>
      <c r="D7155" s="265">
        <v>1.0</v>
      </c>
      <c r="E7155" s="3">
        <v>7400.0</v>
      </c>
      <c r="G7155" s="266">
        <v>43679.0</v>
      </c>
    </row>
    <row r="7156">
      <c r="A7156" s="217">
        <v>43679.73276912037</v>
      </c>
      <c r="B7156" s="3" t="s">
        <v>5184</v>
      </c>
      <c r="C7156" s="3" t="s">
        <v>4595</v>
      </c>
      <c r="D7156" s="265">
        <v>1.0</v>
      </c>
      <c r="E7156" s="3">
        <v>1295.0</v>
      </c>
      <c r="G7156" s="266">
        <v>43679.0</v>
      </c>
    </row>
    <row r="7157">
      <c r="A7157" s="217">
        <v>43679.7365649537</v>
      </c>
      <c r="B7157" s="3" t="s">
        <v>5184</v>
      </c>
      <c r="C7157" s="3" t="s">
        <v>5373</v>
      </c>
      <c r="D7157" s="265">
        <v>1.0</v>
      </c>
      <c r="E7157" s="3">
        <v>8750.0</v>
      </c>
      <c r="G7157" s="266">
        <v>43679.0</v>
      </c>
    </row>
    <row r="7158">
      <c r="A7158" s="217">
        <v>43679.737673194446</v>
      </c>
      <c r="B7158" s="3" t="s">
        <v>5184</v>
      </c>
      <c r="C7158" s="3" t="s">
        <v>9338</v>
      </c>
      <c r="D7158" s="265">
        <v>1.0</v>
      </c>
      <c r="E7158" s="3">
        <v>8750.0</v>
      </c>
      <c r="G7158" s="266">
        <v>43679.0</v>
      </c>
    </row>
    <row r="7159">
      <c r="A7159" s="217">
        <v>43680.57033642361</v>
      </c>
      <c r="B7159" s="3" t="s">
        <v>5092</v>
      </c>
      <c r="C7159" s="3" t="s">
        <v>284</v>
      </c>
      <c r="D7159" s="265">
        <v>1.0</v>
      </c>
      <c r="E7159" s="3">
        <v>400.0</v>
      </c>
      <c r="G7159" s="266">
        <v>43679.0</v>
      </c>
    </row>
    <row r="7160">
      <c r="A7160" s="217">
        <v>43680.571941180555</v>
      </c>
      <c r="B7160" s="3" t="s">
        <v>5092</v>
      </c>
      <c r="C7160" s="3" t="s">
        <v>845</v>
      </c>
      <c r="D7160" s="265">
        <v>1.0</v>
      </c>
      <c r="E7160" s="3">
        <v>800.0</v>
      </c>
      <c r="G7160" s="266">
        <v>43679.0</v>
      </c>
    </row>
    <row r="7161">
      <c r="A7161" s="217">
        <v>43683.71683164352</v>
      </c>
      <c r="B7161" s="3" t="s">
        <v>5092</v>
      </c>
      <c r="C7161" s="3" t="s">
        <v>7007</v>
      </c>
      <c r="D7161" s="265">
        <v>1.0</v>
      </c>
      <c r="E7161" s="3">
        <v>3200.0</v>
      </c>
      <c r="G7161" s="266">
        <v>43680.0</v>
      </c>
    </row>
    <row r="7162">
      <c r="A7162" s="217">
        <v>43683.74003803241</v>
      </c>
      <c r="B7162" s="3" t="s">
        <v>5184</v>
      </c>
      <c r="C7162" s="3" t="s">
        <v>5203</v>
      </c>
      <c r="D7162" s="265">
        <v>1.0</v>
      </c>
      <c r="E7162" s="3">
        <v>4790.0</v>
      </c>
      <c r="G7162" s="266">
        <v>43683.0</v>
      </c>
    </row>
    <row r="7163">
      <c r="A7163" s="217">
        <v>43683.74378331019</v>
      </c>
      <c r="B7163" s="3" t="s">
        <v>5184</v>
      </c>
      <c r="C7163" s="3" t="s">
        <v>1899</v>
      </c>
      <c r="D7163" s="265">
        <v>1.0</v>
      </c>
      <c r="E7163" s="3">
        <v>7890.0</v>
      </c>
      <c r="G7163" s="266">
        <v>43683.0</v>
      </c>
    </row>
    <row r="7164">
      <c r="A7164" s="217">
        <v>43683.74532511574</v>
      </c>
      <c r="B7164" s="3" t="s">
        <v>5184</v>
      </c>
      <c r="C7164" s="3" t="s">
        <v>5419</v>
      </c>
      <c r="D7164" s="265">
        <v>1.0</v>
      </c>
      <c r="E7164" s="3">
        <v>5090.0</v>
      </c>
      <c r="G7164" s="266">
        <v>43683.0</v>
      </c>
    </row>
    <row r="7165">
      <c r="A7165" s="217">
        <v>43683.75044875</v>
      </c>
      <c r="B7165" s="3" t="s">
        <v>5184</v>
      </c>
      <c r="C7165" s="3" t="s">
        <v>2222</v>
      </c>
      <c r="D7165" s="265">
        <v>1.0</v>
      </c>
      <c r="E7165" s="3">
        <v>4290.0</v>
      </c>
      <c r="G7165" s="266">
        <v>43683.0</v>
      </c>
    </row>
    <row r="7166">
      <c r="A7166" s="217">
        <v>43684.43271994213</v>
      </c>
      <c r="B7166" s="3" t="s">
        <v>5184</v>
      </c>
      <c r="C7166" s="3" t="s">
        <v>7767</v>
      </c>
      <c r="D7166" s="265">
        <v>7.0</v>
      </c>
      <c r="E7166" s="3">
        <v>100.0</v>
      </c>
      <c r="G7166" s="266">
        <v>43683.0</v>
      </c>
    </row>
    <row r="7167">
      <c r="A7167" s="217">
        <v>43684.435516770835</v>
      </c>
      <c r="B7167" s="3" t="s">
        <v>5184</v>
      </c>
      <c r="C7167" s="3" t="s">
        <v>6342</v>
      </c>
      <c r="D7167" s="265">
        <v>1.0</v>
      </c>
      <c r="E7167" s="3">
        <v>3890.0</v>
      </c>
      <c r="G7167" s="266">
        <v>43684.0</v>
      </c>
    </row>
    <row r="7168">
      <c r="A7168" s="217">
        <v>43685.76764373842</v>
      </c>
      <c r="B7168" s="3" t="s">
        <v>5092</v>
      </c>
      <c r="C7168" s="3" t="s">
        <v>9352</v>
      </c>
      <c r="D7168" s="265">
        <v>1.0</v>
      </c>
      <c r="E7168" s="3">
        <v>350.0</v>
      </c>
      <c r="G7168" s="266">
        <v>43685.0</v>
      </c>
    </row>
    <row r="7169">
      <c r="A7169" s="217">
        <v>43685.76822233797</v>
      </c>
      <c r="B7169" s="3" t="s">
        <v>5092</v>
      </c>
      <c r="C7169" s="3" t="s">
        <v>6053</v>
      </c>
      <c r="D7169" s="265">
        <v>1.0</v>
      </c>
      <c r="E7169" s="3">
        <v>300.0</v>
      </c>
      <c r="G7169" s="266">
        <v>43685.0</v>
      </c>
    </row>
    <row r="7170">
      <c r="A7170" s="217">
        <v>43685.76884701389</v>
      </c>
      <c r="B7170" s="3" t="s">
        <v>5092</v>
      </c>
      <c r="C7170" s="3" t="s">
        <v>6053</v>
      </c>
      <c r="D7170" s="265" t="s">
        <v>7547</v>
      </c>
      <c r="E7170" s="3">
        <v>300.0</v>
      </c>
      <c r="G7170" s="266">
        <v>43685.0</v>
      </c>
    </row>
    <row r="7171">
      <c r="A7171" s="217">
        <v>43685.76930680555</v>
      </c>
      <c r="B7171" s="3" t="s">
        <v>5092</v>
      </c>
      <c r="C7171" s="3" t="s">
        <v>6053</v>
      </c>
      <c r="D7171" s="265" t="s">
        <v>7547</v>
      </c>
      <c r="E7171" s="3">
        <v>300.0</v>
      </c>
      <c r="G7171" s="266">
        <v>43685.0</v>
      </c>
    </row>
    <row r="7172">
      <c r="A7172" s="217">
        <v>43689.71770982639</v>
      </c>
      <c r="B7172" s="3" t="s">
        <v>5184</v>
      </c>
      <c r="C7172" s="3" t="s">
        <v>8922</v>
      </c>
      <c r="D7172" s="265">
        <v>1.0</v>
      </c>
      <c r="E7172" s="3">
        <v>1800.0</v>
      </c>
      <c r="G7172" s="266">
        <v>43688.0</v>
      </c>
    </row>
    <row r="7173">
      <c r="A7173" s="217">
        <v>43689.719489641204</v>
      </c>
      <c r="B7173" s="3" t="s">
        <v>5184</v>
      </c>
      <c r="C7173" s="3" t="s">
        <v>1382</v>
      </c>
      <c r="D7173" s="265">
        <v>1.0</v>
      </c>
      <c r="E7173" s="3">
        <v>2250.0</v>
      </c>
      <c r="G7173" s="266">
        <v>43688.0</v>
      </c>
    </row>
    <row r="7174">
      <c r="A7174" s="217">
        <v>43689.720905636575</v>
      </c>
      <c r="B7174" s="3" t="s">
        <v>5184</v>
      </c>
      <c r="C7174" s="3" t="s">
        <v>5193</v>
      </c>
      <c r="D7174" s="265">
        <v>1.0</v>
      </c>
      <c r="E7174" s="3">
        <v>3390.0</v>
      </c>
      <c r="G7174" s="266">
        <v>43688.0</v>
      </c>
    </row>
    <row r="7175">
      <c r="A7175" s="217">
        <v>43689.72171116898</v>
      </c>
      <c r="B7175" s="3" t="s">
        <v>5184</v>
      </c>
      <c r="C7175" s="3" t="s">
        <v>5201</v>
      </c>
      <c r="D7175" s="265">
        <v>1.0</v>
      </c>
      <c r="E7175" s="3">
        <v>4790.0</v>
      </c>
      <c r="G7175" s="266">
        <v>43688.0</v>
      </c>
    </row>
    <row r="7176">
      <c r="A7176" s="217">
        <v>43689.76429905093</v>
      </c>
      <c r="B7176" s="3" t="s">
        <v>5092</v>
      </c>
      <c r="C7176" s="3" t="s">
        <v>284</v>
      </c>
      <c r="D7176" s="265" t="s">
        <v>9355</v>
      </c>
      <c r="E7176" s="3">
        <v>400.0</v>
      </c>
      <c r="G7176" s="266">
        <v>43689.0</v>
      </c>
    </row>
    <row r="7177">
      <c r="A7177" s="217">
        <v>43689.764918333334</v>
      </c>
      <c r="B7177" s="3" t="s">
        <v>5092</v>
      </c>
      <c r="C7177" s="3" t="s">
        <v>6053</v>
      </c>
      <c r="D7177" s="265" t="s">
        <v>9357</v>
      </c>
      <c r="E7177" s="3">
        <v>300.0</v>
      </c>
      <c r="G7177" s="266">
        <v>43689.0</v>
      </c>
    </row>
    <row r="7178">
      <c r="A7178" s="217">
        <v>43689.76548422454</v>
      </c>
      <c r="B7178" s="3" t="s">
        <v>5092</v>
      </c>
      <c r="C7178" s="3" t="s">
        <v>7806</v>
      </c>
      <c r="D7178" s="265" t="s">
        <v>7917</v>
      </c>
      <c r="E7178" s="3">
        <v>400.0</v>
      </c>
      <c r="G7178" s="266">
        <v>43689.0</v>
      </c>
    </row>
    <row r="7179">
      <c r="A7179" s="217">
        <v>43691.61234869213</v>
      </c>
      <c r="B7179" s="3" t="s">
        <v>5092</v>
      </c>
      <c r="C7179" s="3" t="s">
        <v>1261</v>
      </c>
      <c r="D7179" s="265">
        <v>1.0</v>
      </c>
      <c r="E7179" s="3">
        <v>2395.0</v>
      </c>
      <c r="G7179" s="266">
        <v>43689.0</v>
      </c>
    </row>
    <row r="7180">
      <c r="A7180" s="217">
        <v>43691.61969341435</v>
      </c>
      <c r="B7180" s="3" t="s">
        <v>5092</v>
      </c>
      <c r="C7180" s="3" t="s">
        <v>698</v>
      </c>
      <c r="D7180" s="265">
        <v>2.0</v>
      </c>
      <c r="E7180" s="3">
        <v>1699.0</v>
      </c>
      <c r="G7180" s="266">
        <v>43689.0</v>
      </c>
    </row>
    <row r="7181">
      <c r="A7181" s="217">
        <v>43691.6201403125</v>
      </c>
      <c r="B7181" s="3" t="s">
        <v>5092</v>
      </c>
      <c r="C7181" s="3" t="s">
        <v>9358</v>
      </c>
      <c r="D7181" s="265">
        <v>1.0</v>
      </c>
      <c r="E7181" s="3">
        <v>1999.0</v>
      </c>
      <c r="G7181" s="266">
        <v>43689.0</v>
      </c>
    </row>
    <row r="7182">
      <c r="A7182" s="217">
        <v>43691.62057322917</v>
      </c>
      <c r="B7182" s="3" t="s">
        <v>5092</v>
      </c>
      <c r="C7182" s="3" t="s">
        <v>1260</v>
      </c>
      <c r="D7182" s="265">
        <v>1.0</v>
      </c>
      <c r="E7182" s="3">
        <v>1299.0</v>
      </c>
      <c r="G7182" s="266">
        <v>43689.0</v>
      </c>
    </row>
    <row r="7183">
      <c r="A7183" s="217">
        <v>43691.621115381946</v>
      </c>
      <c r="B7183" s="3" t="s">
        <v>5092</v>
      </c>
      <c r="C7183" s="3" t="s">
        <v>1273</v>
      </c>
      <c r="D7183" s="265">
        <v>2.0</v>
      </c>
      <c r="E7183" s="3">
        <v>1999.0</v>
      </c>
      <c r="G7183" s="266">
        <v>43689.0</v>
      </c>
    </row>
    <row r="7184">
      <c r="A7184" s="217">
        <v>43691.62151179399</v>
      </c>
      <c r="B7184" s="3" t="s">
        <v>5092</v>
      </c>
      <c r="C7184" s="3" t="s">
        <v>695</v>
      </c>
      <c r="D7184" s="265">
        <v>2.0</v>
      </c>
      <c r="E7184" s="3">
        <v>2899.0</v>
      </c>
      <c r="G7184" s="266">
        <v>43689.0</v>
      </c>
    </row>
    <row r="7185">
      <c r="A7185" s="217">
        <v>43691.621988125</v>
      </c>
      <c r="B7185" s="3" t="s">
        <v>5092</v>
      </c>
      <c r="C7185" s="3" t="s">
        <v>4705</v>
      </c>
      <c r="D7185" s="265">
        <v>3.0</v>
      </c>
      <c r="E7185" s="3">
        <v>2699.0</v>
      </c>
      <c r="G7185" s="266">
        <v>43689.0</v>
      </c>
    </row>
    <row r="7186">
      <c r="A7186" s="217">
        <v>43691.62251454861</v>
      </c>
      <c r="B7186" s="3" t="s">
        <v>5092</v>
      </c>
      <c r="C7186" s="3" t="s">
        <v>1248</v>
      </c>
      <c r="D7186" s="265">
        <v>2.0</v>
      </c>
      <c r="E7186" s="3">
        <v>2499.0</v>
      </c>
      <c r="G7186" s="266">
        <v>43689.0</v>
      </c>
    </row>
    <row r="7187">
      <c r="A7187" s="217">
        <v>43691.62300024305</v>
      </c>
      <c r="B7187" s="3" t="s">
        <v>5092</v>
      </c>
      <c r="C7187" s="3" t="s">
        <v>4993</v>
      </c>
      <c r="D7187" s="265">
        <v>2.0</v>
      </c>
      <c r="E7187" s="3">
        <v>1399.0</v>
      </c>
      <c r="G7187" s="266">
        <v>43689.0</v>
      </c>
    </row>
    <row r="7188">
      <c r="A7188" s="217">
        <v>43691.623433437504</v>
      </c>
      <c r="B7188" s="3" t="s">
        <v>5092</v>
      </c>
      <c r="C7188" s="3" t="s">
        <v>4999</v>
      </c>
      <c r="D7188" s="265">
        <v>2.0</v>
      </c>
      <c r="E7188" s="3">
        <v>1399.0</v>
      </c>
      <c r="G7188" s="266">
        <v>43689.0</v>
      </c>
    </row>
    <row r="7189">
      <c r="A7189" s="217">
        <v>43691.62382916667</v>
      </c>
      <c r="B7189" s="3" t="s">
        <v>5092</v>
      </c>
      <c r="C7189" s="3" t="s">
        <v>4966</v>
      </c>
      <c r="D7189" s="265">
        <v>1.0</v>
      </c>
      <c r="E7189" s="3">
        <v>799.0</v>
      </c>
      <c r="G7189" s="266">
        <v>43689.0</v>
      </c>
    </row>
    <row r="7190">
      <c r="A7190" s="217">
        <v>43691.62428174769</v>
      </c>
      <c r="B7190" s="3" t="s">
        <v>5092</v>
      </c>
      <c r="C7190" s="3" t="s">
        <v>9359</v>
      </c>
      <c r="D7190" s="265">
        <v>1.0</v>
      </c>
      <c r="E7190" s="3">
        <v>1399.0</v>
      </c>
      <c r="G7190" s="266">
        <v>43689.0</v>
      </c>
    </row>
    <row r="7191">
      <c r="A7191" s="217">
        <v>43691.62475553241</v>
      </c>
      <c r="B7191" s="3" t="s">
        <v>5092</v>
      </c>
      <c r="C7191" s="3" t="s">
        <v>4662</v>
      </c>
      <c r="D7191" s="265">
        <v>1.0</v>
      </c>
      <c r="E7191" s="3">
        <v>1199.0</v>
      </c>
      <c r="G7191" s="266">
        <v>43689.0</v>
      </c>
    </row>
    <row r="7192">
      <c r="A7192" s="217">
        <v>43691.62515421296</v>
      </c>
      <c r="B7192" s="3" t="s">
        <v>5092</v>
      </c>
      <c r="C7192" s="3" t="s">
        <v>9360</v>
      </c>
      <c r="D7192" s="265">
        <v>1.0</v>
      </c>
      <c r="E7192" s="3">
        <v>1699.0</v>
      </c>
      <c r="G7192" s="266">
        <v>43689.0</v>
      </c>
    </row>
    <row r="7193">
      <c r="A7193" s="217">
        <v>43696.61537396991</v>
      </c>
      <c r="B7193" s="3" t="s">
        <v>5092</v>
      </c>
      <c r="C7193" s="3" t="s">
        <v>9361</v>
      </c>
      <c r="D7193" s="265">
        <v>1.0</v>
      </c>
      <c r="G7193" s="266">
        <v>43697.0</v>
      </c>
    </row>
    <row r="7194">
      <c r="A7194" s="217">
        <v>43696.61612902778</v>
      </c>
      <c r="B7194" s="3" t="s">
        <v>5092</v>
      </c>
      <c r="C7194" s="3" t="s">
        <v>9363</v>
      </c>
      <c r="D7194" s="265">
        <v>2.0</v>
      </c>
      <c r="G7194" s="266">
        <v>43697.0</v>
      </c>
    </row>
    <row r="7195">
      <c r="A7195" s="217">
        <v>43696.61692519676</v>
      </c>
      <c r="B7195" s="3" t="s">
        <v>5092</v>
      </c>
      <c r="C7195" s="3" t="s">
        <v>2011</v>
      </c>
      <c r="D7195" s="265">
        <v>2.0</v>
      </c>
      <c r="G7195" s="266">
        <v>43697.0</v>
      </c>
    </row>
    <row r="7196">
      <c r="A7196" s="217">
        <v>43696.61757741898</v>
      </c>
      <c r="B7196" s="3" t="s">
        <v>5092</v>
      </c>
      <c r="C7196" s="3" t="s">
        <v>2012</v>
      </c>
      <c r="D7196" s="265">
        <v>1.0</v>
      </c>
      <c r="G7196" s="266">
        <v>43697.0</v>
      </c>
    </row>
    <row r="7197">
      <c r="A7197" s="217">
        <v>43696.618823171295</v>
      </c>
      <c r="B7197" s="3" t="s">
        <v>5092</v>
      </c>
      <c r="C7197" s="3" t="s">
        <v>2014</v>
      </c>
      <c r="D7197" s="265">
        <v>1.0</v>
      </c>
      <c r="G7197" s="266">
        <v>43697.0</v>
      </c>
    </row>
    <row r="7198">
      <c r="A7198" s="217">
        <v>43696.61943092593</v>
      </c>
      <c r="B7198" s="3" t="s">
        <v>5092</v>
      </c>
      <c r="C7198" s="3" t="s">
        <v>2015</v>
      </c>
      <c r="D7198" s="265">
        <v>1.0</v>
      </c>
      <c r="G7198" s="266">
        <v>43697.0</v>
      </c>
    </row>
    <row r="7199">
      <c r="A7199" s="217">
        <v>43696.620373831014</v>
      </c>
      <c r="B7199" s="3" t="s">
        <v>5092</v>
      </c>
      <c r="C7199" s="3" t="s">
        <v>2024</v>
      </c>
      <c r="D7199" s="265">
        <v>2.0</v>
      </c>
      <c r="G7199" s="266">
        <v>43697.0</v>
      </c>
    </row>
    <row r="7200">
      <c r="A7200" s="217">
        <v>43696.62132892361</v>
      </c>
      <c r="B7200" s="3" t="s">
        <v>5092</v>
      </c>
      <c r="C7200" s="3" t="s">
        <v>9364</v>
      </c>
      <c r="D7200" s="265">
        <v>1.0</v>
      </c>
      <c r="G7200" s="266">
        <v>43695.0</v>
      </c>
    </row>
    <row r="7201">
      <c r="A7201" s="217">
        <v>43696.622042731484</v>
      </c>
      <c r="B7201" s="3" t="s">
        <v>5092</v>
      </c>
      <c r="C7201" s="3" t="s">
        <v>9366</v>
      </c>
      <c r="D7201" s="265">
        <v>1.0</v>
      </c>
      <c r="G7201" s="266">
        <v>43695.0</v>
      </c>
    </row>
    <row r="7202">
      <c r="A7202" s="217">
        <v>43696.62281753472</v>
      </c>
      <c r="B7202" s="3" t="s">
        <v>5092</v>
      </c>
      <c r="C7202" s="3" t="s">
        <v>9367</v>
      </c>
      <c r="D7202" s="265">
        <v>1.0</v>
      </c>
      <c r="G7202" s="266">
        <v>43695.0</v>
      </c>
    </row>
    <row r="7203">
      <c r="A7203" s="217">
        <v>43696.62356100694</v>
      </c>
      <c r="B7203" s="3" t="s">
        <v>5092</v>
      </c>
      <c r="C7203" s="3" t="s">
        <v>9368</v>
      </c>
      <c r="D7203" s="265">
        <v>1.0</v>
      </c>
      <c r="G7203" s="266">
        <v>43695.0</v>
      </c>
    </row>
    <row r="7204">
      <c r="A7204" s="217">
        <v>43696.62440075232</v>
      </c>
      <c r="B7204" s="3" t="s">
        <v>5092</v>
      </c>
      <c r="C7204" s="3" t="s">
        <v>9369</v>
      </c>
      <c r="D7204" s="265">
        <v>1.0</v>
      </c>
      <c r="G7204" s="266">
        <v>43695.0</v>
      </c>
    </row>
    <row r="7205">
      <c r="A7205" s="217">
        <v>43696.6611750463</v>
      </c>
      <c r="B7205" s="3" t="s">
        <v>5092</v>
      </c>
      <c r="C7205" s="3" t="s">
        <v>9370</v>
      </c>
      <c r="D7205" s="265">
        <v>1.0</v>
      </c>
      <c r="G7205" s="266">
        <v>43695.0</v>
      </c>
    </row>
    <row r="7206">
      <c r="A7206" s="217">
        <v>43696.66178710648</v>
      </c>
      <c r="B7206" s="3" t="s">
        <v>5092</v>
      </c>
      <c r="C7206" s="3" t="s">
        <v>2073</v>
      </c>
      <c r="D7206" s="265">
        <v>1.0</v>
      </c>
      <c r="G7206" s="266">
        <v>43695.0</v>
      </c>
    </row>
    <row r="7207">
      <c r="A7207" s="217">
        <v>43696.66249369213</v>
      </c>
      <c r="B7207" s="3" t="s">
        <v>5092</v>
      </c>
      <c r="C7207" s="3" t="s">
        <v>9371</v>
      </c>
      <c r="D7207" s="265">
        <v>1.0</v>
      </c>
      <c r="G7207" s="266">
        <v>43695.0</v>
      </c>
    </row>
    <row r="7208">
      <c r="A7208" s="217">
        <v>43696.66347630787</v>
      </c>
      <c r="B7208" s="3" t="s">
        <v>5092</v>
      </c>
      <c r="C7208" s="3" t="s">
        <v>9372</v>
      </c>
      <c r="D7208" s="265">
        <v>1.0</v>
      </c>
      <c r="G7208" s="266">
        <v>43695.0</v>
      </c>
    </row>
    <row r="7209">
      <c r="A7209" s="217">
        <v>43696.66407515046</v>
      </c>
      <c r="B7209" s="3" t="s">
        <v>5092</v>
      </c>
      <c r="C7209" s="3" t="s">
        <v>2074</v>
      </c>
      <c r="D7209" s="265">
        <v>2.0</v>
      </c>
      <c r="G7209" s="266">
        <v>43695.0</v>
      </c>
    </row>
    <row r="7210">
      <c r="A7210" s="217">
        <v>43696.66716658565</v>
      </c>
      <c r="B7210" s="3" t="s">
        <v>5092</v>
      </c>
      <c r="C7210" s="3" t="s">
        <v>9373</v>
      </c>
      <c r="D7210" s="265">
        <v>2.0</v>
      </c>
      <c r="G7210" s="266">
        <v>43695.0</v>
      </c>
    </row>
    <row r="7211">
      <c r="A7211" s="217">
        <v>43696.667767719904</v>
      </c>
      <c r="B7211" s="3" t="s">
        <v>5092</v>
      </c>
      <c r="C7211" s="3" t="s">
        <v>9374</v>
      </c>
      <c r="D7211" s="265">
        <v>2.0</v>
      </c>
      <c r="G7211" s="266">
        <v>43695.0</v>
      </c>
    </row>
    <row r="7212">
      <c r="A7212" s="217">
        <v>43696.668484027774</v>
      </c>
      <c r="B7212" s="3" t="s">
        <v>5092</v>
      </c>
      <c r="C7212" s="3" t="s">
        <v>9375</v>
      </c>
      <c r="D7212" s="265">
        <v>1.0</v>
      </c>
      <c r="G7212" s="266">
        <v>43695.0</v>
      </c>
    </row>
    <row r="7213">
      <c r="A7213" s="217">
        <v>43696.670336157404</v>
      </c>
      <c r="B7213" s="3" t="s">
        <v>5092</v>
      </c>
      <c r="C7213" s="3" t="s">
        <v>9376</v>
      </c>
      <c r="D7213" s="265">
        <v>1.0</v>
      </c>
      <c r="G7213" s="266">
        <v>43694.0</v>
      </c>
    </row>
    <row r="7214">
      <c r="A7214" s="217">
        <v>43696.671296354165</v>
      </c>
      <c r="B7214" s="3" t="s">
        <v>5092</v>
      </c>
      <c r="C7214" s="3" t="s">
        <v>2051</v>
      </c>
      <c r="D7214" s="265">
        <v>1.0</v>
      </c>
      <c r="G7214" s="266">
        <v>43694.0</v>
      </c>
    </row>
    <row r="7215">
      <c r="A7215" s="217">
        <v>43696.672108645835</v>
      </c>
      <c r="B7215" s="3" t="s">
        <v>5092</v>
      </c>
      <c r="C7215" s="3" t="s">
        <v>9378</v>
      </c>
      <c r="D7215" s="265">
        <v>1.0</v>
      </c>
      <c r="G7215" s="266">
        <v>43694.0</v>
      </c>
    </row>
    <row r="7216">
      <c r="A7216" s="217">
        <v>43696.67294813658</v>
      </c>
      <c r="B7216" s="3" t="s">
        <v>5092</v>
      </c>
      <c r="C7216" s="3" t="s">
        <v>2052</v>
      </c>
      <c r="D7216" s="265">
        <v>1.0</v>
      </c>
      <c r="G7216" s="266">
        <v>43694.0</v>
      </c>
    </row>
    <row r="7217">
      <c r="A7217" s="217">
        <v>43696.67360246528</v>
      </c>
      <c r="B7217" s="3" t="s">
        <v>5092</v>
      </c>
      <c r="C7217" s="3" t="s">
        <v>9379</v>
      </c>
      <c r="D7217" s="265">
        <v>1.0</v>
      </c>
      <c r="G7217" s="266">
        <v>43694.0</v>
      </c>
    </row>
    <row r="7218">
      <c r="A7218" s="217">
        <v>43696.67427953704</v>
      </c>
      <c r="B7218" s="3" t="s">
        <v>5092</v>
      </c>
      <c r="C7218" s="3" t="s">
        <v>9380</v>
      </c>
      <c r="D7218" s="265">
        <v>2.0</v>
      </c>
      <c r="G7218" s="266">
        <v>43694.0</v>
      </c>
    </row>
    <row r="7219">
      <c r="A7219" s="217">
        <v>43696.67519496528</v>
      </c>
      <c r="B7219" s="3" t="s">
        <v>5092</v>
      </c>
      <c r="C7219" s="3" t="s">
        <v>9381</v>
      </c>
      <c r="D7219" s="265">
        <v>1.0</v>
      </c>
      <c r="G7219" s="266">
        <v>43694.0</v>
      </c>
    </row>
    <row r="7220">
      <c r="A7220" s="217">
        <v>43696.67803895833</v>
      </c>
      <c r="B7220" s="3" t="s">
        <v>5092</v>
      </c>
      <c r="C7220" s="3" t="s">
        <v>2067</v>
      </c>
      <c r="D7220" s="265">
        <v>1.0</v>
      </c>
      <c r="G7220" s="266">
        <v>43694.0</v>
      </c>
    </row>
    <row r="7221">
      <c r="A7221" s="217">
        <v>43696.67879880787</v>
      </c>
      <c r="B7221" s="3" t="s">
        <v>5092</v>
      </c>
      <c r="C7221" s="3" t="s">
        <v>9382</v>
      </c>
      <c r="D7221" s="265">
        <v>1.0</v>
      </c>
      <c r="G7221" s="266">
        <v>43694.0</v>
      </c>
    </row>
    <row r="7222">
      <c r="A7222" s="217">
        <v>43696.67957579861</v>
      </c>
      <c r="B7222" s="3" t="s">
        <v>5092</v>
      </c>
      <c r="C7222" s="3" t="s">
        <v>9383</v>
      </c>
      <c r="D7222" s="265">
        <v>1.0</v>
      </c>
      <c r="G7222" s="266">
        <v>43694.0</v>
      </c>
    </row>
    <row r="7223">
      <c r="A7223" s="217">
        <v>43696.68024706018</v>
      </c>
      <c r="B7223" s="3" t="s">
        <v>5092</v>
      </c>
      <c r="C7223" s="3" t="s">
        <v>9384</v>
      </c>
      <c r="D7223" s="265">
        <v>1.0</v>
      </c>
      <c r="G7223" s="266">
        <v>43694.0</v>
      </c>
    </row>
    <row r="7224">
      <c r="A7224" s="217">
        <v>43696.68080967593</v>
      </c>
      <c r="B7224" s="3" t="s">
        <v>5092</v>
      </c>
      <c r="C7224" s="3" t="s">
        <v>9385</v>
      </c>
      <c r="D7224" s="265">
        <v>1.0</v>
      </c>
      <c r="G7224" s="266">
        <v>43694.0</v>
      </c>
    </row>
    <row r="7225">
      <c r="A7225" s="217">
        <v>43696.68181365741</v>
      </c>
      <c r="B7225" s="3" t="s">
        <v>5092</v>
      </c>
      <c r="C7225" s="3" t="s">
        <v>9386</v>
      </c>
      <c r="D7225" s="265">
        <v>1.0</v>
      </c>
      <c r="G7225" s="266">
        <v>43693.0</v>
      </c>
    </row>
    <row r="7226">
      <c r="A7226" s="217">
        <v>43696.68264226852</v>
      </c>
      <c r="B7226" s="3" t="s">
        <v>5092</v>
      </c>
      <c r="C7226" s="3" t="s">
        <v>2027</v>
      </c>
      <c r="D7226" s="265">
        <v>1.0</v>
      </c>
      <c r="G7226" s="266">
        <v>43693.0</v>
      </c>
    </row>
    <row r="7227">
      <c r="A7227" s="217">
        <v>43696.68333545139</v>
      </c>
      <c r="B7227" s="3" t="s">
        <v>5092</v>
      </c>
      <c r="C7227" s="3" t="s">
        <v>9388</v>
      </c>
      <c r="D7227" s="265">
        <v>1.0</v>
      </c>
      <c r="G7227" s="266">
        <v>43693.0</v>
      </c>
    </row>
    <row r="7228">
      <c r="A7228" s="217">
        <v>43696.68405795139</v>
      </c>
      <c r="B7228" s="3" t="s">
        <v>5092</v>
      </c>
      <c r="C7228" s="3" t="s">
        <v>9389</v>
      </c>
      <c r="D7228" s="265">
        <v>1.0</v>
      </c>
      <c r="G7228" s="266">
        <v>43693.0</v>
      </c>
    </row>
    <row r="7229">
      <c r="A7229" s="217">
        <v>43696.68481103009</v>
      </c>
      <c r="B7229" s="3" t="s">
        <v>5092</v>
      </c>
      <c r="C7229" s="3" t="s">
        <v>9390</v>
      </c>
      <c r="D7229" s="265">
        <v>1.0</v>
      </c>
      <c r="G7229" s="266">
        <v>43693.0</v>
      </c>
    </row>
    <row r="7230">
      <c r="A7230" s="217">
        <v>43696.68553783565</v>
      </c>
      <c r="B7230" s="3" t="s">
        <v>5092</v>
      </c>
      <c r="C7230" s="3" t="s">
        <v>9391</v>
      </c>
      <c r="D7230" s="265">
        <v>1.0</v>
      </c>
      <c r="G7230" s="266">
        <v>43693.0</v>
      </c>
    </row>
    <row r="7231">
      <c r="A7231" s="217">
        <v>43696.68629650463</v>
      </c>
      <c r="B7231" s="3" t="s">
        <v>5092</v>
      </c>
      <c r="C7231" s="3" t="s">
        <v>9392</v>
      </c>
      <c r="D7231" s="265">
        <v>1.0</v>
      </c>
      <c r="G7231" s="266">
        <v>43693.0</v>
      </c>
    </row>
    <row r="7232">
      <c r="A7232" s="217">
        <v>43696.68695181713</v>
      </c>
      <c r="B7232" s="3" t="s">
        <v>5092</v>
      </c>
      <c r="C7232" s="3" t="s">
        <v>9393</v>
      </c>
      <c r="D7232" s="265">
        <v>1.0</v>
      </c>
      <c r="G7232" s="266">
        <v>43693.0</v>
      </c>
    </row>
    <row r="7233">
      <c r="A7233" s="217">
        <v>43696.68754622685</v>
      </c>
      <c r="B7233" s="3" t="s">
        <v>5092</v>
      </c>
      <c r="C7233" s="3" t="s">
        <v>9394</v>
      </c>
      <c r="D7233" s="265">
        <v>1.0</v>
      </c>
      <c r="G7233" s="266">
        <v>43693.0</v>
      </c>
    </row>
    <row r="7234">
      <c r="A7234" s="217">
        <v>43696.68828378472</v>
      </c>
      <c r="B7234" s="3" t="s">
        <v>5092</v>
      </c>
      <c r="C7234" s="3" t="s">
        <v>9395</v>
      </c>
      <c r="D7234" s="265">
        <v>1.0</v>
      </c>
      <c r="G7234" s="266">
        <v>43693.0</v>
      </c>
    </row>
    <row r="7235">
      <c r="A7235" s="217">
        <v>43696.68889469907</v>
      </c>
      <c r="B7235" s="3" t="s">
        <v>5092</v>
      </c>
      <c r="C7235" s="3" t="s">
        <v>2040</v>
      </c>
      <c r="D7235" s="265">
        <v>1.0</v>
      </c>
      <c r="G7235" s="266">
        <v>43693.0</v>
      </c>
    </row>
    <row r="7236">
      <c r="A7236" s="217">
        <v>43696.689495081024</v>
      </c>
      <c r="B7236" s="3" t="s">
        <v>5092</v>
      </c>
      <c r="C7236" s="3" t="s">
        <v>9396</v>
      </c>
      <c r="D7236" s="265">
        <v>1.0</v>
      </c>
      <c r="G7236" s="266">
        <v>43693.0</v>
      </c>
    </row>
    <row r="7237">
      <c r="A7237" s="217">
        <v>43698.41068033565</v>
      </c>
      <c r="B7237" s="3" t="s">
        <v>5092</v>
      </c>
      <c r="C7237" s="3" t="s">
        <v>9397</v>
      </c>
      <c r="D7237" s="265">
        <v>1.0</v>
      </c>
      <c r="G7237" s="266">
        <v>43698.0</v>
      </c>
    </row>
    <row r="7238">
      <c r="A7238" s="217">
        <v>43698.4131578125</v>
      </c>
      <c r="B7238" s="3" t="s">
        <v>5092</v>
      </c>
      <c r="C7238" s="3" t="s">
        <v>9399</v>
      </c>
      <c r="D7238" s="265">
        <v>1.0</v>
      </c>
      <c r="G7238" s="266">
        <v>43698.0</v>
      </c>
    </row>
    <row r="7239">
      <c r="A7239" s="217">
        <v>43698.41380863426</v>
      </c>
      <c r="B7239" s="3" t="s">
        <v>5092</v>
      </c>
      <c r="C7239" s="3" t="s">
        <v>9400</v>
      </c>
      <c r="D7239" s="265">
        <v>1.0</v>
      </c>
      <c r="G7239" s="266">
        <v>43698.0</v>
      </c>
    </row>
    <row r="7240">
      <c r="A7240" s="217">
        <v>43698.414502569445</v>
      </c>
      <c r="B7240" s="3" t="s">
        <v>5092</v>
      </c>
      <c r="C7240" s="3" t="s">
        <v>9401</v>
      </c>
      <c r="D7240" s="265">
        <v>1.0</v>
      </c>
      <c r="G7240" s="266">
        <v>43698.0</v>
      </c>
    </row>
    <row r="7241">
      <c r="A7241" s="217">
        <v>43698.415176678245</v>
      </c>
      <c r="B7241" s="3" t="s">
        <v>5092</v>
      </c>
      <c r="C7241" s="3" t="s">
        <v>9402</v>
      </c>
      <c r="D7241" s="265">
        <v>1.0</v>
      </c>
      <c r="G7241" s="266">
        <v>43698.0</v>
      </c>
    </row>
    <row r="7242">
      <c r="A7242" s="217">
        <v>43698.41592292824</v>
      </c>
      <c r="B7242" s="3" t="s">
        <v>5092</v>
      </c>
      <c r="C7242" s="3" t="s">
        <v>9403</v>
      </c>
      <c r="D7242" s="265">
        <v>1.0</v>
      </c>
      <c r="G7242" s="266">
        <v>43698.0</v>
      </c>
    </row>
    <row r="7243">
      <c r="A7243" s="217">
        <v>43698.416582708334</v>
      </c>
      <c r="B7243" s="3" t="s">
        <v>5092</v>
      </c>
      <c r="C7243" s="3" t="s">
        <v>2078</v>
      </c>
      <c r="D7243" s="265">
        <v>1.0</v>
      </c>
      <c r="G7243" s="266">
        <v>43698.0</v>
      </c>
    </row>
    <row r="7244">
      <c r="A7244" s="217">
        <v>43698.417257905094</v>
      </c>
      <c r="B7244" s="3" t="s">
        <v>5092</v>
      </c>
      <c r="C7244" s="3" t="s">
        <v>9404</v>
      </c>
      <c r="D7244" s="265">
        <v>1.0</v>
      </c>
      <c r="G7244" s="266">
        <v>43698.0</v>
      </c>
    </row>
    <row r="7245">
      <c r="A7245" s="217">
        <v>43698.41777503472</v>
      </c>
      <c r="B7245" s="3" t="s">
        <v>5092</v>
      </c>
      <c r="C7245" s="3" t="s">
        <v>2070</v>
      </c>
      <c r="D7245" s="265">
        <v>1.0</v>
      </c>
      <c r="G7245" s="266">
        <v>43698.0</v>
      </c>
    </row>
    <row r="7246">
      <c r="A7246" s="217">
        <v>43698.44003993056</v>
      </c>
      <c r="B7246" s="3" t="s">
        <v>5092</v>
      </c>
      <c r="C7246" s="3" t="s">
        <v>2081</v>
      </c>
      <c r="D7246" s="265">
        <v>1.0</v>
      </c>
      <c r="G7246" s="266">
        <v>43698.0</v>
      </c>
    </row>
    <row r="7247">
      <c r="A7247" s="217">
        <v>43698.45210361111</v>
      </c>
      <c r="B7247" s="3" t="s">
        <v>5092</v>
      </c>
      <c r="C7247" s="3" t="s">
        <v>9405</v>
      </c>
      <c r="D7247" s="265">
        <v>2.0</v>
      </c>
      <c r="G7247" s="266">
        <v>43698.0</v>
      </c>
    </row>
    <row r="7248">
      <c r="A7248" s="217">
        <v>43698.4526619213</v>
      </c>
      <c r="B7248" s="3" t="s">
        <v>5092</v>
      </c>
      <c r="C7248" s="3" t="s">
        <v>9406</v>
      </c>
      <c r="D7248" s="265">
        <v>1.0</v>
      </c>
      <c r="G7248" s="266">
        <v>43698.0</v>
      </c>
    </row>
    <row r="7249">
      <c r="A7249" s="217">
        <v>43698.71232136574</v>
      </c>
      <c r="B7249" s="3" t="s">
        <v>5092</v>
      </c>
      <c r="C7249" s="3" t="s">
        <v>9407</v>
      </c>
      <c r="D7249" s="265">
        <v>1.0</v>
      </c>
      <c r="E7249" s="3">
        <v>6390.0</v>
      </c>
      <c r="G7249" s="266">
        <v>43696.0</v>
      </c>
    </row>
    <row r="7250">
      <c r="A7250" s="217">
        <v>43698.713129131946</v>
      </c>
      <c r="B7250" s="3" t="s">
        <v>5092</v>
      </c>
      <c r="C7250" s="3" t="s">
        <v>9409</v>
      </c>
      <c r="D7250" s="265">
        <v>1.0</v>
      </c>
      <c r="E7250" s="3">
        <v>6390.0</v>
      </c>
      <c r="G7250" s="266">
        <v>43696.0</v>
      </c>
    </row>
    <row r="7251">
      <c r="A7251" s="217">
        <v>43699.43763369213</v>
      </c>
      <c r="B7251" s="3" t="s">
        <v>5092</v>
      </c>
      <c r="C7251" s="3" t="s">
        <v>9410</v>
      </c>
      <c r="D7251" s="265">
        <v>1.0</v>
      </c>
      <c r="G7251" s="266">
        <v>43691.0</v>
      </c>
    </row>
    <row r="7252">
      <c r="A7252" s="217">
        <v>43699.43823486111</v>
      </c>
      <c r="B7252" s="3" t="s">
        <v>5092</v>
      </c>
      <c r="C7252" s="3" t="s">
        <v>9412</v>
      </c>
      <c r="D7252" s="265">
        <v>2.0</v>
      </c>
      <c r="G7252" s="266">
        <v>43691.0</v>
      </c>
    </row>
    <row r="7253">
      <c r="A7253" s="217">
        <v>43699.43887380787</v>
      </c>
      <c r="B7253" s="3" t="s">
        <v>5092</v>
      </c>
      <c r="C7253" s="3" t="s">
        <v>1501</v>
      </c>
      <c r="D7253" s="265">
        <v>1.0</v>
      </c>
      <c r="G7253" s="266">
        <v>43691.0</v>
      </c>
    </row>
    <row r="7254">
      <c r="A7254" s="217">
        <v>43699.43937777777</v>
      </c>
      <c r="B7254" s="3" t="s">
        <v>5092</v>
      </c>
      <c r="C7254" s="3" t="s">
        <v>9413</v>
      </c>
      <c r="D7254" s="265">
        <v>1.0</v>
      </c>
      <c r="G7254" s="266">
        <v>43691.0</v>
      </c>
    </row>
    <row r="7255">
      <c r="A7255" s="217">
        <v>43699.440004930555</v>
      </c>
      <c r="B7255" s="3" t="s">
        <v>5092</v>
      </c>
      <c r="C7255" s="3" t="s">
        <v>9414</v>
      </c>
      <c r="D7255" s="265">
        <v>1.0</v>
      </c>
      <c r="G7255" s="266">
        <v>43691.0</v>
      </c>
    </row>
    <row r="7256">
      <c r="A7256" s="217">
        <v>43699.44061016204</v>
      </c>
      <c r="B7256" s="3" t="s">
        <v>5092</v>
      </c>
      <c r="C7256" s="3" t="s">
        <v>8726</v>
      </c>
      <c r="D7256" s="265">
        <v>1.0</v>
      </c>
      <c r="G7256" s="266">
        <v>43691.0</v>
      </c>
    </row>
    <row r="7257">
      <c r="A7257" s="217">
        <v>43699.44118333333</v>
      </c>
      <c r="B7257" s="3" t="s">
        <v>5092</v>
      </c>
      <c r="C7257" s="3" t="s">
        <v>9415</v>
      </c>
      <c r="D7257" s="265">
        <v>1.0</v>
      </c>
      <c r="G7257" s="266">
        <v>43691.0</v>
      </c>
    </row>
    <row r="7258">
      <c r="A7258" s="217">
        <v>43699.441659131946</v>
      </c>
      <c r="B7258" s="3" t="s">
        <v>5092</v>
      </c>
      <c r="C7258" s="3" t="s">
        <v>9416</v>
      </c>
      <c r="D7258" s="265">
        <v>1.0</v>
      </c>
      <c r="G7258" s="266">
        <v>43691.0</v>
      </c>
    </row>
    <row r="7259">
      <c r="A7259" s="217">
        <v>43699.4422922338</v>
      </c>
      <c r="B7259" s="3" t="s">
        <v>5092</v>
      </c>
      <c r="C7259" s="3" t="s">
        <v>8676</v>
      </c>
      <c r="D7259" s="265">
        <v>2.0</v>
      </c>
      <c r="G7259" s="266">
        <v>43691.0</v>
      </c>
    </row>
    <row r="7260">
      <c r="A7260" s="217">
        <v>43699.44284038195</v>
      </c>
      <c r="B7260" s="3" t="s">
        <v>5092</v>
      </c>
      <c r="C7260" s="3" t="s">
        <v>9417</v>
      </c>
      <c r="D7260" s="265">
        <v>1.0</v>
      </c>
      <c r="G7260" s="266">
        <v>43691.0</v>
      </c>
    </row>
    <row r="7261">
      <c r="A7261" s="217">
        <v>43699.443479305555</v>
      </c>
      <c r="B7261" s="3" t="s">
        <v>5092</v>
      </c>
      <c r="C7261" s="3" t="s">
        <v>9418</v>
      </c>
      <c r="D7261" s="265">
        <v>1.0</v>
      </c>
      <c r="G7261" s="266">
        <v>43691.0</v>
      </c>
    </row>
    <row r="7262">
      <c r="A7262" s="217">
        <v>43699.44406553241</v>
      </c>
      <c r="B7262" s="3" t="s">
        <v>5092</v>
      </c>
      <c r="C7262" s="3" t="s">
        <v>9419</v>
      </c>
      <c r="D7262" s="265">
        <v>1.0</v>
      </c>
      <c r="G7262" s="266">
        <v>43691.0</v>
      </c>
    </row>
    <row r="7263">
      <c r="A7263" s="217">
        <v>43699.44454814815</v>
      </c>
      <c r="B7263" s="3" t="s">
        <v>5092</v>
      </c>
      <c r="C7263" s="3" t="s">
        <v>9420</v>
      </c>
      <c r="D7263" s="265">
        <v>1.0</v>
      </c>
      <c r="G7263" s="266">
        <v>43691.0</v>
      </c>
    </row>
    <row r="7264">
      <c r="A7264" s="217">
        <v>43699.445114409726</v>
      </c>
      <c r="B7264" s="3" t="s">
        <v>5092</v>
      </c>
      <c r="C7264" s="3" t="s">
        <v>9421</v>
      </c>
      <c r="D7264" s="265">
        <v>1.0</v>
      </c>
      <c r="G7264" s="266">
        <v>43691.0</v>
      </c>
    </row>
    <row r="7265">
      <c r="A7265" s="217">
        <v>43699.44563880787</v>
      </c>
      <c r="B7265" s="3" t="s">
        <v>5092</v>
      </c>
      <c r="C7265" s="3" t="s">
        <v>9422</v>
      </c>
      <c r="D7265" s="265">
        <v>1.0</v>
      </c>
      <c r="G7265" s="266">
        <v>43691.0</v>
      </c>
    </row>
    <row r="7266">
      <c r="A7266" s="217">
        <v>43699.44621927083</v>
      </c>
      <c r="B7266" s="3" t="s">
        <v>5092</v>
      </c>
      <c r="C7266" s="3" t="s">
        <v>9423</v>
      </c>
      <c r="D7266" s="265">
        <v>1.0</v>
      </c>
      <c r="G7266" s="266">
        <v>43691.0</v>
      </c>
    </row>
    <row r="7267">
      <c r="A7267" s="217">
        <v>43699.44670353009</v>
      </c>
      <c r="B7267" s="3" t="s">
        <v>5092</v>
      </c>
      <c r="C7267" s="3" t="s">
        <v>9424</v>
      </c>
      <c r="D7267" s="265">
        <v>1.0</v>
      </c>
      <c r="G7267" s="266">
        <v>43691.0</v>
      </c>
    </row>
    <row r="7268">
      <c r="A7268" s="217">
        <v>43699.4472921875</v>
      </c>
      <c r="B7268" s="3" t="s">
        <v>5092</v>
      </c>
      <c r="C7268" s="3" t="s">
        <v>9425</v>
      </c>
      <c r="D7268" s="265">
        <v>1.0</v>
      </c>
      <c r="G7268" s="266">
        <v>43691.0</v>
      </c>
    </row>
    <row r="7269">
      <c r="A7269" s="217">
        <v>43699.44783613426</v>
      </c>
      <c r="B7269" s="3" t="s">
        <v>5092</v>
      </c>
      <c r="C7269" s="3" t="s">
        <v>8725</v>
      </c>
      <c r="D7269" s="265">
        <v>1.0</v>
      </c>
      <c r="G7269" s="266">
        <v>43691.0</v>
      </c>
    </row>
    <row r="7270">
      <c r="A7270" s="217">
        <v>43699.44844391204</v>
      </c>
      <c r="B7270" s="3" t="s">
        <v>5092</v>
      </c>
      <c r="C7270" s="3" t="s">
        <v>9360</v>
      </c>
      <c r="D7270" s="265">
        <v>2.0</v>
      </c>
      <c r="G7270" s="266">
        <v>43691.0</v>
      </c>
    </row>
    <row r="7271">
      <c r="A7271" s="217">
        <v>43699.45096960648</v>
      </c>
      <c r="B7271" s="3" t="s">
        <v>5092</v>
      </c>
      <c r="C7271" s="3" t="s">
        <v>9426</v>
      </c>
      <c r="D7271" s="265">
        <v>1.0</v>
      </c>
      <c r="G7271" s="266">
        <v>43691.0</v>
      </c>
    </row>
    <row r="7272">
      <c r="A7272" s="217">
        <v>43699.45160355324</v>
      </c>
      <c r="B7272" s="3" t="s">
        <v>5092</v>
      </c>
      <c r="C7272" s="3" t="s">
        <v>2111</v>
      </c>
      <c r="D7272" s="265">
        <v>1.0</v>
      </c>
      <c r="G7272" s="266">
        <v>43691.0</v>
      </c>
    </row>
    <row r="7273">
      <c r="A7273" s="217">
        <v>43699.45219146991</v>
      </c>
      <c r="B7273" s="3" t="s">
        <v>5092</v>
      </c>
      <c r="C7273" s="3" t="s">
        <v>2138</v>
      </c>
      <c r="D7273" s="265">
        <v>1.0</v>
      </c>
      <c r="G7273" s="266">
        <v>43691.0</v>
      </c>
    </row>
    <row r="7274">
      <c r="A7274" s="217">
        <v>43699.452849548616</v>
      </c>
      <c r="B7274" s="3" t="s">
        <v>5092</v>
      </c>
      <c r="C7274" s="3" t="s">
        <v>5463</v>
      </c>
      <c r="D7274" s="265">
        <v>2.0</v>
      </c>
      <c r="G7274" s="266">
        <v>43691.0</v>
      </c>
    </row>
    <row r="7275">
      <c r="A7275" s="217">
        <v>43699.4821752662</v>
      </c>
      <c r="B7275" s="3" t="s">
        <v>5092</v>
      </c>
      <c r="C7275" s="3" t="s">
        <v>9199</v>
      </c>
      <c r="D7275" s="265">
        <v>2.0</v>
      </c>
      <c r="G7275" s="266">
        <v>43691.0</v>
      </c>
    </row>
    <row r="7276">
      <c r="A7276" s="217">
        <v>43699.48275319445</v>
      </c>
      <c r="B7276" s="3" t="s">
        <v>5092</v>
      </c>
      <c r="C7276" s="3" t="s">
        <v>9200</v>
      </c>
      <c r="D7276" s="265">
        <v>1.0</v>
      </c>
      <c r="G7276" s="266">
        <v>43691.0</v>
      </c>
    </row>
    <row r="7277">
      <c r="A7277" s="217">
        <v>43699.5609577662</v>
      </c>
      <c r="B7277" s="3" t="s">
        <v>5092</v>
      </c>
      <c r="C7277" s="3" t="s">
        <v>2178</v>
      </c>
      <c r="D7277" s="265">
        <v>2.0</v>
      </c>
      <c r="G7277" s="266">
        <v>43691.0</v>
      </c>
    </row>
    <row r="7278">
      <c r="A7278" s="217">
        <v>43699.56147350694</v>
      </c>
      <c r="B7278" s="3" t="s">
        <v>5092</v>
      </c>
      <c r="C7278" s="3" t="s">
        <v>9427</v>
      </c>
      <c r="D7278" s="265">
        <v>1.0</v>
      </c>
      <c r="G7278" s="266">
        <v>43691.0</v>
      </c>
    </row>
    <row r="7279">
      <c r="A7279" s="217">
        <v>43699.56211288195</v>
      </c>
      <c r="B7279" s="3" t="s">
        <v>5092</v>
      </c>
      <c r="C7279" s="3" t="s">
        <v>6347</v>
      </c>
      <c r="D7279" s="265">
        <v>2.0</v>
      </c>
      <c r="G7279" s="266">
        <v>43691.0</v>
      </c>
    </row>
    <row r="7280">
      <c r="A7280" s="217">
        <v>43699.5625921875</v>
      </c>
      <c r="B7280" s="3" t="s">
        <v>5092</v>
      </c>
      <c r="C7280" s="3" t="s">
        <v>5486</v>
      </c>
      <c r="D7280" s="265">
        <v>3.0</v>
      </c>
      <c r="G7280" s="266">
        <v>43691.0</v>
      </c>
    </row>
    <row r="7281">
      <c r="A7281" s="217">
        <v>43699.570233356484</v>
      </c>
      <c r="B7281" s="3" t="s">
        <v>5092</v>
      </c>
      <c r="C7281" s="3" t="s">
        <v>2261</v>
      </c>
      <c r="D7281" s="265">
        <v>5.0</v>
      </c>
      <c r="G7281" s="266">
        <v>43691.0</v>
      </c>
    </row>
    <row r="7282">
      <c r="A7282" s="217">
        <v>43699.57081994213</v>
      </c>
      <c r="B7282" s="3" t="s">
        <v>5092</v>
      </c>
      <c r="C7282" s="3" t="s">
        <v>2270</v>
      </c>
      <c r="D7282" s="265">
        <v>1.0</v>
      </c>
      <c r="G7282" s="266">
        <v>43691.0</v>
      </c>
    </row>
    <row r="7283">
      <c r="A7283" s="217">
        <v>43699.571319375</v>
      </c>
      <c r="B7283" s="3" t="s">
        <v>5092</v>
      </c>
      <c r="C7283" s="3" t="s">
        <v>2276</v>
      </c>
      <c r="D7283" s="265">
        <v>1.0</v>
      </c>
      <c r="G7283" s="266">
        <v>43691.0</v>
      </c>
    </row>
    <row r="7284">
      <c r="A7284" s="217">
        <v>43699.57217650463</v>
      </c>
      <c r="B7284" s="3" t="s">
        <v>5092</v>
      </c>
      <c r="C7284" s="3" t="s">
        <v>2306</v>
      </c>
      <c r="D7284" s="265">
        <v>1.0</v>
      </c>
      <c r="G7284" s="266">
        <v>43691.0</v>
      </c>
    </row>
    <row r="7285">
      <c r="A7285" s="217">
        <v>43699.57266280093</v>
      </c>
      <c r="B7285" s="3" t="s">
        <v>5092</v>
      </c>
      <c r="C7285" s="3" t="s">
        <v>9127</v>
      </c>
      <c r="D7285" s="265">
        <v>1.0</v>
      </c>
      <c r="G7285" s="266">
        <v>43691.0</v>
      </c>
    </row>
    <row r="7286">
      <c r="A7286" s="217">
        <v>43699.5732821412</v>
      </c>
      <c r="B7286" s="3" t="s">
        <v>5092</v>
      </c>
      <c r="C7286" s="3" t="s">
        <v>8801</v>
      </c>
      <c r="D7286" s="265">
        <v>1.0</v>
      </c>
      <c r="G7286" s="266">
        <v>43691.0</v>
      </c>
    </row>
    <row r="7287">
      <c r="A7287" s="217">
        <v>43699.57446729166</v>
      </c>
      <c r="B7287" s="3" t="s">
        <v>5092</v>
      </c>
      <c r="C7287" s="3" t="s">
        <v>9128</v>
      </c>
      <c r="D7287" s="265">
        <v>1.0</v>
      </c>
      <c r="G7287" s="266">
        <v>43691.0</v>
      </c>
    </row>
    <row r="7288">
      <c r="A7288" s="217">
        <v>43699.5766496875</v>
      </c>
      <c r="B7288" s="3" t="s">
        <v>5092</v>
      </c>
      <c r="C7288" s="3" t="s">
        <v>9129</v>
      </c>
      <c r="D7288" s="265">
        <v>2.0</v>
      </c>
      <c r="G7288" s="266">
        <v>43691.0</v>
      </c>
    </row>
    <row r="7289">
      <c r="A7289" s="217">
        <v>43699.57724854167</v>
      </c>
      <c r="B7289" s="3" t="s">
        <v>5092</v>
      </c>
      <c r="C7289" s="3" t="s">
        <v>8793</v>
      </c>
      <c r="D7289" s="265">
        <v>1.0</v>
      </c>
      <c r="G7289" s="266">
        <v>43691.0</v>
      </c>
    </row>
    <row r="7290">
      <c r="A7290" s="217">
        <v>43699.57772380787</v>
      </c>
      <c r="B7290" s="3" t="s">
        <v>5092</v>
      </c>
      <c r="C7290" s="3" t="s">
        <v>9130</v>
      </c>
      <c r="D7290" s="265">
        <v>1.0</v>
      </c>
      <c r="G7290" s="266">
        <v>43691.0</v>
      </c>
    </row>
    <row r="7291">
      <c r="A7291" s="217">
        <v>43699.57910833333</v>
      </c>
      <c r="B7291" s="3" t="s">
        <v>5092</v>
      </c>
      <c r="C7291" s="3" t="s">
        <v>9132</v>
      </c>
      <c r="D7291" s="265">
        <v>1.0</v>
      </c>
      <c r="G7291" s="266">
        <v>43691.0</v>
      </c>
    </row>
    <row r="7292">
      <c r="A7292" s="217">
        <v>43699.57998717592</v>
      </c>
      <c r="B7292" s="3" t="s">
        <v>5092</v>
      </c>
      <c r="C7292" s="3" t="s">
        <v>8786</v>
      </c>
      <c r="D7292" s="265">
        <v>1.0</v>
      </c>
      <c r="G7292" s="266">
        <v>43691.0</v>
      </c>
    </row>
    <row r="7293">
      <c r="A7293" s="217">
        <v>43699.580803564815</v>
      </c>
      <c r="B7293" s="3" t="s">
        <v>5092</v>
      </c>
      <c r="C7293" s="3" t="s">
        <v>9133</v>
      </c>
      <c r="D7293" s="265">
        <v>1.0</v>
      </c>
      <c r="G7293" s="266">
        <v>43691.0</v>
      </c>
    </row>
    <row r="7294">
      <c r="A7294" s="217">
        <v>43699.581291574075</v>
      </c>
      <c r="B7294" s="3" t="s">
        <v>5092</v>
      </c>
      <c r="C7294" s="3" t="s">
        <v>9134</v>
      </c>
      <c r="D7294" s="265">
        <v>1.0</v>
      </c>
      <c r="G7294" s="266">
        <v>43691.0</v>
      </c>
    </row>
    <row r="7295">
      <c r="A7295" s="217">
        <v>43699.58185200232</v>
      </c>
      <c r="B7295" s="3" t="s">
        <v>5092</v>
      </c>
      <c r="C7295" s="3" t="s">
        <v>9135</v>
      </c>
      <c r="D7295" s="265">
        <v>2.0</v>
      </c>
      <c r="G7295" s="266">
        <v>43691.0</v>
      </c>
    </row>
    <row r="7296">
      <c r="A7296" s="217">
        <v>43699.583836261576</v>
      </c>
      <c r="B7296" s="3" t="s">
        <v>5092</v>
      </c>
      <c r="C7296" s="3" t="s">
        <v>2290</v>
      </c>
      <c r="D7296" s="265">
        <v>1.0</v>
      </c>
      <c r="G7296" s="266">
        <v>43691.0</v>
      </c>
    </row>
    <row r="7297">
      <c r="A7297" s="217">
        <v>43699.58446856482</v>
      </c>
      <c r="B7297" s="3" t="s">
        <v>5092</v>
      </c>
      <c r="C7297" s="3" t="s">
        <v>9136</v>
      </c>
      <c r="D7297" s="265">
        <v>2.0</v>
      </c>
      <c r="G7297" s="266">
        <v>43691.0</v>
      </c>
    </row>
    <row r="7298">
      <c r="A7298" s="217">
        <v>43699.58500171296</v>
      </c>
      <c r="B7298" s="3" t="s">
        <v>5092</v>
      </c>
      <c r="C7298" s="3" t="s">
        <v>9138</v>
      </c>
      <c r="D7298" s="265">
        <v>1.0</v>
      </c>
      <c r="G7298" s="266">
        <v>43691.0</v>
      </c>
    </row>
    <row r="7299">
      <c r="A7299" s="217">
        <v>43699.58552094907</v>
      </c>
      <c r="B7299" s="3" t="s">
        <v>5092</v>
      </c>
      <c r="C7299" s="3" t="s">
        <v>9137</v>
      </c>
      <c r="D7299" s="265">
        <v>1.0</v>
      </c>
      <c r="G7299" s="266">
        <v>43691.0</v>
      </c>
    </row>
    <row r="7300">
      <c r="A7300" s="217">
        <v>43699.58600009259</v>
      </c>
      <c r="B7300" s="3" t="s">
        <v>5092</v>
      </c>
      <c r="C7300" s="3" t="s">
        <v>2295</v>
      </c>
      <c r="D7300" s="265">
        <v>1.0</v>
      </c>
      <c r="G7300" s="266">
        <v>43691.0</v>
      </c>
    </row>
    <row r="7301">
      <c r="A7301" s="217">
        <v>43699.58655865741</v>
      </c>
      <c r="B7301" s="3" t="s">
        <v>5092</v>
      </c>
      <c r="C7301" s="3" t="s">
        <v>9140</v>
      </c>
      <c r="D7301" s="265">
        <v>1.0</v>
      </c>
      <c r="G7301" s="266">
        <v>43691.0</v>
      </c>
    </row>
    <row r="7302">
      <c r="A7302" s="217">
        <v>43699.58710505787</v>
      </c>
      <c r="B7302" s="3" t="s">
        <v>5092</v>
      </c>
      <c r="C7302" s="3" t="s">
        <v>2202</v>
      </c>
      <c r="D7302" s="265">
        <v>1.0</v>
      </c>
      <c r="G7302" s="266">
        <v>43691.0</v>
      </c>
    </row>
    <row r="7303">
      <c r="A7303" s="217">
        <v>43699.587649548615</v>
      </c>
      <c r="B7303" s="3" t="s">
        <v>5092</v>
      </c>
      <c r="C7303" s="3" t="s">
        <v>9428</v>
      </c>
      <c r="D7303" s="265">
        <v>1.0</v>
      </c>
      <c r="G7303" s="266">
        <v>43691.0</v>
      </c>
    </row>
    <row r="7304">
      <c r="A7304" s="217">
        <v>43699.588155590274</v>
      </c>
      <c r="B7304" s="3" t="s">
        <v>5092</v>
      </c>
      <c r="C7304" s="3" t="s">
        <v>2227</v>
      </c>
      <c r="D7304" s="265">
        <v>1.0</v>
      </c>
      <c r="G7304" s="266">
        <v>43691.0</v>
      </c>
    </row>
    <row r="7305">
      <c r="A7305" s="217">
        <v>43699.58862015046</v>
      </c>
      <c r="B7305" s="3" t="s">
        <v>5092</v>
      </c>
      <c r="C7305" s="3" t="s">
        <v>8776</v>
      </c>
      <c r="D7305" s="265">
        <v>1.0</v>
      </c>
      <c r="G7305" s="266">
        <v>43691.0</v>
      </c>
    </row>
    <row r="7306">
      <c r="A7306" s="217">
        <v>43699.58929674768</v>
      </c>
      <c r="B7306" s="3" t="s">
        <v>5092</v>
      </c>
      <c r="C7306" s="3" t="s">
        <v>2273</v>
      </c>
      <c r="D7306" s="265">
        <v>1.0</v>
      </c>
      <c r="G7306" s="266">
        <v>43691.0</v>
      </c>
    </row>
    <row r="7307">
      <c r="A7307" s="217">
        <v>43699.590053437496</v>
      </c>
      <c r="B7307" s="3" t="s">
        <v>5092</v>
      </c>
      <c r="C7307" s="3" t="s">
        <v>2150</v>
      </c>
      <c r="D7307" s="265">
        <v>1.0</v>
      </c>
      <c r="G7307" s="266">
        <v>43691.0</v>
      </c>
    </row>
    <row r="7308">
      <c r="A7308" s="217">
        <v>43699.59058362269</v>
      </c>
      <c r="B7308" s="3" t="s">
        <v>5092</v>
      </c>
      <c r="C7308" s="3" t="s">
        <v>2267</v>
      </c>
      <c r="D7308" s="265">
        <v>1.0</v>
      </c>
      <c r="G7308" s="266">
        <v>43691.0</v>
      </c>
    </row>
    <row r="7309">
      <c r="A7309" s="217">
        <v>43699.591482777774</v>
      </c>
      <c r="B7309" s="3" t="s">
        <v>5092</v>
      </c>
      <c r="C7309" s="3" t="s">
        <v>8810</v>
      </c>
      <c r="D7309" s="265">
        <v>1.0</v>
      </c>
      <c r="G7309" s="266">
        <v>43691.0</v>
      </c>
    </row>
    <row r="7310">
      <c r="A7310" s="217">
        <v>43699.59198626157</v>
      </c>
      <c r="B7310" s="3" t="s">
        <v>5092</v>
      </c>
      <c r="C7310" s="3" t="s">
        <v>9429</v>
      </c>
      <c r="D7310" s="265">
        <v>1.0</v>
      </c>
      <c r="G7310" s="266">
        <v>43691.0</v>
      </c>
    </row>
    <row r="7311">
      <c r="A7311" s="217">
        <v>43699.616314513885</v>
      </c>
      <c r="B7311" s="3" t="s">
        <v>5092</v>
      </c>
      <c r="C7311" s="3" t="s">
        <v>8815</v>
      </c>
      <c r="D7311" s="265">
        <v>1.0</v>
      </c>
      <c r="G7311" s="266">
        <v>43691.0</v>
      </c>
    </row>
    <row r="7312">
      <c r="A7312" s="217">
        <v>43699.61684418982</v>
      </c>
      <c r="B7312" s="3" t="s">
        <v>5092</v>
      </c>
      <c r="C7312" s="3" t="s">
        <v>9170</v>
      </c>
      <c r="D7312" s="265">
        <v>1.0</v>
      </c>
      <c r="G7312" s="266">
        <v>43691.0</v>
      </c>
    </row>
    <row r="7313">
      <c r="A7313" s="217">
        <v>43699.617443090276</v>
      </c>
      <c r="B7313" s="3" t="s">
        <v>5092</v>
      </c>
      <c r="C7313" s="3" t="s">
        <v>2095</v>
      </c>
      <c r="D7313" s="265">
        <v>1.0</v>
      </c>
      <c r="G7313" s="266">
        <v>43691.0</v>
      </c>
    </row>
    <row r="7314">
      <c r="A7314" s="217">
        <v>43699.617959270836</v>
      </c>
      <c r="B7314" s="3" t="s">
        <v>5092</v>
      </c>
      <c r="C7314" s="3" t="s">
        <v>8777</v>
      </c>
      <c r="D7314" s="265">
        <v>1.0</v>
      </c>
      <c r="G7314" s="266">
        <v>43691.0</v>
      </c>
    </row>
    <row r="7315">
      <c r="A7315" s="217">
        <v>43699.618714861106</v>
      </c>
      <c r="B7315" s="3" t="s">
        <v>5092</v>
      </c>
      <c r="C7315" s="3" t="s">
        <v>9430</v>
      </c>
      <c r="D7315" s="265">
        <v>1.0</v>
      </c>
      <c r="G7315" s="266">
        <v>43691.0</v>
      </c>
    </row>
    <row r="7316">
      <c r="A7316" s="217">
        <v>43699.6191875</v>
      </c>
      <c r="B7316" s="3" t="s">
        <v>5092</v>
      </c>
      <c r="C7316" s="3" t="s">
        <v>9431</v>
      </c>
      <c r="D7316" s="265">
        <v>1.0</v>
      </c>
      <c r="G7316" s="266">
        <v>43691.0</v>
      </c>
    </row>
    <row r="7317">
      <c r="A7317" s="217">
        <v>43699.61972729166</v>
      </c>
      <c r="B7317" s="3" t="s">
        <v>5092</v>
      </c>
      <c r="C7317" s="3" t="s">
        <v>9432</v>
      </c>
      <c r="D7317" s="265">
        <v>1.0</v>
      </c>
      <c r="G7317" s="266">
        <v>43691.0</v>
      </c>
    </row>
    <row r="7318">
      <c r="A7318" s="217">
        <v>43699.62019936343</v>
      </c>
      <c r="B7318" s="3" t="s">
        <v>5092</v>
      </c>
      <c r="C7318" s="3" t="s">
        <v>2225</v>
      </c>
      <c r="D7318" s="265">
        <v>1.0</v>
      </c>
      <c r="G7318" s="266">
        <v>43691.0</v>
      </c>
    </row>
    <row r="7319">
      <c r="A7319" s="217">
        <v>43699.62140017361</v>
      </c>
      <c r="B7319" s="3" t="s">
        <v>5092</v>
      </c>
      <c r="C7319" s="3" t="s">
        <v>9433</v>
      </c>
      <c r="D7319" s="265">
        <v>1.0</v>
      </c>
      <c r="G7319" s="266">
        <v>43691.0</v>
      </c>
    </row>
    <row r="7320">
      <c r="A7320" s="217">
        <v>43699.62205582176</v>
      </c>
      <c r="B7320" s="3" t="s">
        <v>5092</v>
      </c>
      <c r="C7320" s="3" t="s">
        <v>9434</v>
      </c>
      <c r="D7320" s="265">
        <v>1.0</v>
      </c>
      <c r="G7320" s="266">
        <v>43691.0</v>
      </c>
    </row>
    <row r="7321">
      <c r="A7321" s="217">
        <v>43699.62257148148</v>
      </c>
      <c r="B7321" s="3" t="s">
        <v>5092</v>
      </c>
      <c r="C7321" s="3" t="s">
        <v>2278</v>
      </c>
      <c r="D7321" s="265">
        <v>2.0</v>
      </c>
      <c r="G7321" s="266">
        <v>43691.0</v>
      </c>
    </row>
    <row r="7322">
      <c r="A7322" s="217">
        <v>43699.62315503472</v>
      </c>
      <c r="B7322" s="3" t="s">
        <v>5092</v>
      </c>
      <c r="C7322" s="3" t="s">
        <v>8796</v>
      </c>
      <c r="D7322" s="265">
        <v>1.0</v>
      </c>
      <c r="G7322" s="266">
        <v>43691.0</v>
      </c>
    </row>
    <row r="7323">
      <c r="A7323" s="217">
        <v>43699.62389148148</v>
      </c>
      <c r="B7323" s="3" t="s">
        <v>5092</v>
      </c>
      <c r="C7323" s="3" t="s">
        <v>9435</v>
      </c>
      <c r="D7323" s="265">
        <v>2.0</v>
      </c>
      <c r="G7323" s="266">
        <v>43691.0</v>
      </c>
    </row>
    <row r="7324">
      <c r="A7324" s="217">
        <v>43699.62446549768</v>
      </c>
      <c r="B7324" s="3" t="s">
        <v>5092</v>
      </c>
      <c r="C7324" s="3" t="s">
        <v>9141</v>
      </c>
      <c r="D7324" s="265">
        <v>1.0</v>
      </c>
      <c r="G7324" s="266">
        <v>43691.0</v>
      </c>
    </row>
    <row r="7325">
      <c r="A7325" s="217">
        <v>43699.624951770835</v>
      </c>
      <c r="B7325" s="3" t="s">
        <v>5092</v>
      </c>
      <c r="C7325" s="3" t="s">
        <v>9142</v>
      </c>
      <c r="D7325" s="265">
        <v>1.0</v>
      </c>
      <c r="G7325" s="266">
        <v>43691.0</v>
      </c>
    </row>
    <row r="7326">
      <c r="A7326" s="217">
        <v>43699.62549387732</v>
      </c>
      <c r="B7326" s="3" t="s">
        <v>5092</v>
      </c>
      <c r="C7326" s="3" t="s">
        <v>9144</v>
      </c>
      <c r="D7326" s="265">
        <v>1.0</v>
      </c>
      <c r="G7326" s="266">
        <v>43691.0</v>
      </c>
    </row>
    <row r="7327">
      <c r="A7327" s="217">
        <v>43699.62607384259</v>
      </c>
      <c r="B7327" s="3" t="s">
        <v>5092</v>
      </c>
      <c r="C7327" s="3" t="s">
        <v>9120</v>
      </c>
      <c r="D7327" s="265">
        <v>1.0</v>
      </c>
      <c r="G7327" s="266">
        <v>43691.0</v>
      </c>
    </row>
    <row r="7328">
      <c r="A7328" s="217">
        <v>43699.62664086805</v>
      </c>
      <c r="B7328" s="3" t="s">
        <v>5092</v>
      </c>
      <c r="C7328" s="3" t="s">
        <v>9122</v>
      </c>
      <c r="D7328" s="265">
        <v>1.0</v>
      </c>
      <c r="G7328" s="266">
        <v>43691.0</v>
      </c>
    </row>
    <row r="7329">
      <c r="A7329" s="217">
        <v>43699.627185034726</v>
      </c>
      <c r="B7329" s="3" t="s">
        <v>5092</v>
      </c>
      <c r="C7329" s="3" t="s">
        <v>9436</v>
      </c>
      <c r="D7329" s="265">
        <v>1.0</v>
      </c>
      <c r="G7329" s="266">
        <v>43691.0</v>
      </c>
    </row>
    <row r="7330">
      <c r="A7330" s="217">
        <v>43699.62849634259</v>
      </c>
      <c r="B7330" s="3" t="s">
        <v>5092</v>
      </c>
      <c r="C7330" s="3" t="s">
        <v>9216</v>
      </c>
      <c r="D7330" s="265">
        <v>1.0</v>
      </c>
      <c r="G7330" s="266">
        <v>43691.0</v>
      </c>
    </row>
    <row r="7331">
      <c r="A7331" s="217">
        <v>43699.62903271991</v>
      </c>
      <c r="B7331" s="3" t="s">
        <v>5092</v>
      </c>
      <c r="C7331" s="3" t="s">
        <v>2139</v>
      </c>
      <c r="D7331" s="265">
        <v>2.0</v>
      </c>
      <c r="G7331" s="266">
        <v>43691.0</v>
      </c>
    </row>
    <row r="7332">
      <c r="A7332" s="217">
        <v>43699.62954231481</v>
      </c>
      <c r="B7332" s="3" t="s">
        <v>5092</v>
      </c>
      <c r="C7332" s="3" t="s">
        <v>5533</v>
      </c>
      <c r="D7332" s="265">
        <v>1.0</v>
      </c>
      <c r="G7332" s="266">
        <v>43691.0</v>
      </c>
    </row>
    <row r="7333">
      <c r="A7333" s="217">
        <v>43699.62997620371</v>
      </c>
      <c r="B7333" s="3" t="s">
        <v>5092</v>
      </c>
      <c r="C7333" s="3" t="s">
        <v>9437</v>
      </c>
      <c r="D7333" s="265">
        <v>1.0</v>
      </c>
      <c r="G7333" s="266">
        <v>43691.0</v>
      </c>
    </row>
    <row r="7334">
      <c r="A7334" s="217">
        <v>43700.39932943287</v>
      </c>
      <c r="B7334" s="3" t="s">
        <v>5184</v>
      </c>
      <c r="C7334" s="3" t="s">
        <v>1078</v>
      </c>
      <c r="D7334" s="265">
        <v>1.0</v>
      </c>
      <c r="E7334" s="3">
        <v>1800.0</v>
      </c>
      <c r="G7334" s="266">
        <v>43694.0</v>
      </c>
    </row>
    <row r="7335">
      <c r="A7335" s="217">
        <v>43700.40057105324</v>
      </c>
      <c r="B7335" s="3" t="s">
        <v>5184</v>
      </c>
      <c r="C7335" s="3" t="s">
        <v>1248</v>
      </c>
      <c r="D7335" s="265">
        <v>2.0</v>
      </c>
      <c r="E7335" s="3">
        <v>2150.0</v>
      </c>
      <c r="G7335" s="266">
        <v>43694.0</v>
      </c>
    </row>
    <row r="7336">
      <c r="A7336" s="217">
        <v>43700.40264880787</v>
      </c>
      <c r="B7336" s="3" t="s">
        <v>5184</v>
      </c>
      <c r="C7336" s="3" t="s">
        <v>4705</v>
      </c>
      <c r="D7336" s="265">
        <v>3.0</v>
      </c>
      <c r="G7336" s="266">
        <v>43694.0</v>
      </c>
    </row>
    <row r="7337">
      <c r="A7337" s="217">
        <v>43700.4035021875</v>
      </c>
      <c r="B7337" s="3" t="s">
        <v>5184</v>
      </c>
      <c r="C7337" s="3" t="s">
        <v>695</v>
      </c>
      <c r="D7337" s="265">
        <v>2.0</v>
      </c>
      <c r="G7337" s="266">
        <v>43694.0</v>
      </c>
    </row>
    <row r="7338">
      <c r="A7338" s="217">
        <v>43700.404312280094</v>
      </c>
      <c r="B7338" s="3" t="s">
        <v>5184</v>
      </c>
      <c r="C7338" s="3" t="s">
        <v>1261</v>
      </c>
      <c r="D7338" s="265">
        <v>1.0</v>
      </c>
      <c r="E7338" s="3">
        <v>2395.0</v>
      </c>
      <c r="G7338" s="266">
        <v>43694.0</v>
      </c>
    </row>
    <row r="7339">
      <c r="A7339" s="217">
        <v>43700.40641321759</v>
      </c>
      <c r="B7339" s="3" t="s">
        <v>5184</v>
      </c>
      <c r="C7339" s="3" t="s">
        <v>9358</v>
      </c>
      <c r="D7339" s="265">
        <v>1.0</v>
      </c>
      <c r="G7339" s="266">
        <v>43694.0</v>
      </c>
    </row>
    <row r="7340">
      <c r="A7340" s="217">
        <v>43700.40795729167</v>
      </c>
      <c r="B7340" s="3" t="s">
        <v>5184</v>
      </c>
      <c r="C7340" s="3" t="s">
        <v>1273</v>
      </c>
      <c r="D7340" s="265">
        <v>2.0</v>
      </c>
      <c r="G7340" s="266">
        <v>43694.0</v>
      </c>
    </row>
    <row r="7341">
      <c r="A7341" s="217">
        <v>43700.40871217592</v>
      </c>
      <c r="B7341" s="3" t="s">
        <v>5184</v>
      </c>
      <c r="C7341" s="3" t="s">
        <v>4966</v>
      </c>
      <c r="D7341" s="265">
        <v>1.0</v>
      </c>
      <c r="G7341" s="266">
        <v>43694.0</v>
      </c>
    </row>
    <row r="7342">
      <c r="A7342" s="217">
        <v>43700.40947679398</v>
      </c>
      <c r="B7342" s="3" t="s">
        <v>5184</v>
      </c>
      <c r="C7342" s="3" t="s">
        <v>9360</v>
      </c>
      <c r="D7342" s="265">
        <v>3.0</v>
      </c>
      <c r="G7342" s="266">
        <v>43694.0</v>
      </c>
    </row>
    <row r="7343">
      <c r="A7343" s="217">
        <v>43700.410220949074</v>
      </c>
      <c r="B7343" s="3" t="s">
        <v>5184</v>
      </c>
      <c r="C7343" s="3" t="s">
        <v>4999</v>
      </c>
      <c r="D7343" s="265">
        <v>2.0</v>
      </c>
      <c r="G7343" s="266">
        <v>43694.0</v>
      </c>
    </row>
    <row r="7344">
      <c r="A7344" s="217">
        <v>43700.41103606482</v>
      </c>
      <c r="B7344" s="3" t="s">
        <v>5184</v>
      </c>
      <c r="C7344" s="3" t="s">
        <v>4993</v>
      </c>
      <c r="D7344" s="265">
        <v>2.0</v>
      </c>
      <c r="G7344" s="266">
        <v>43694.0</v>
      </c>
    </row>
    <row r="7345">
      <c r="A7345" s="217">
        <v>43700.41179975694</v>
      </c>
      <c r="B7345" s="3" t="s">
        <v>5184</v>
      </c>
      <c r="C7345" s="3" t="s">
        <v>738</v>
      </c>
      <c r="D7345" s="265">
        <v>1.0</v>
      </c>
      <c r="E7345" s="3">
        <v>2850.0</v>
      </c>
      <c r="G7345" s="266">
        <v>43694.0</v>
      </c>
    </row>
    <row r="7346">
      <c r="A7346" s="217">
        <v>43700.41266592593</v>
      </c>
      <c r="B7346" s="3" t="s">
        <v>5184</v>
      </c>
      <c r="C7346" s="3" t="s">
        <v>9439</v>
      </c>
      <c r="D7346" s="265">
        <v>1.0</v>
      </c>
      <c r="E7346" s="3">
        <v>2350.0</v>
      </c>
      <c r="G7346" s="266">
        <v>43694.0</v>
      </c>
    </row>
    <row r="7347">
      <c r="A7347" s="217">
        <v>43700.41335145834</v>
      </c>
      <c r="B7347" s="3" t="s">
        <v>5184</v>
      </c>
      <c r="C7347" s="3" t="s">
        <v>8619</v>
      </c>
      <c r="D7347" s="265">
        <v>1.0</v>
      </c>
      <c r="E7347" s="3">
        <v>2590.0</v>
      </c>
      <c r="G7347" s="266">
        <v>43694.0</v>
      </c>
    </row>
    <row r="7348">
      <c r="A7348" s="217">
        <v>43700.41693143519</v>
      </c>
      <c r="B7348" s="3" t="s">
        <v>5184</v>
      </c>
      <c r="C7348" s="3" t="s">
        <v>1518</v>
      </c>
      <c r="D7348" s="265">
        <v>1.0</v>
      </c>
      <c r="E7348" s="3">
        <v>2780.0</v>
      </c>
      <c r="G7348" s="266">
        <v>43694.0</v>
      </c>
    </row>
    <row r="7349">
      <c r="A7349" s="217">
        <v>43700.41754480324</v>
      </c>
      <c r="B7349" s="3" t="s">
        <v>5184</v>
      </c>
      <c r="C7349" s="3" t="s">
        <v>8616</v>
      </c>
      <c r="D7349" s="265">
        <v>1.0</v>
      </c>
      <c r="E7349" s="3">
        <v>2780.0</v>
      </c>
      <c r="G7349" s="266">
        <v>43694.0</v>
      </c>
    </row>
    <row r="7350">
      <c r="A7350" s="217">
        <v>43700.41830372685</v>
      </c>
      <c r="B7350" s="3" t="s">
        <v>5184</v>
      </c>
      <c r="C7350" s="3" t="s">
        <v>8615</v>
      </c>
      <c r="D7350" s="265">
        <v>1.0</v>
      </c>
      <c r="E7350" s="3">
        <v>2590.0</v>
      </c>
      <c r="G7350" s="266">
        <v>43694.0</v>
      </c>
    </row>
    <row r="7351">
      <c r="A7351" s="217">
        <v>43700.41976809027</v>
      </c>
      <c r="B7351" s="3" t="s">
        <v>5184</v>
      </c>
      <c r="C7351" s="3" t="s">
        <v>8646</v>
      </c>
      <c r="D7351" s="265">
        <v>1.0</v>
      </c>
      <c r="E7351" s="3">
        <v>2780.0</v>
      </c>
      <c r="G7351" s="266">
        <v>43694.0</v>
      </c>
    </row>
    <row r="7352">
      <c r="A7352" s="217">
        <v>43700.42065763889</v>
      </c>
      <c r="B7352" s="3" t="s">
        <v>5184</v>
      </c>
      <c r="C7352" s="3" t="s">
        <v>8647</v>
      </c>
      <c r="D7352" s="265">
        <v>2.0</v>
      </c>
      <c r="E7352" s="3">
        <v>2780.0</v>
      </c>
      <c r="G7352" s="266">
        <v>43694.0</v>
      </c>
    </row>
    <row r="7353">
      <c r="A7353" s="217">
        <v>43700.42160461805</v>
      </c>
      <c r="B7353" s="3" t="s">
        <v>5184</v>
      </c>
      <c r="C7353" s="3" t="s">
        <v>8648</v>
      </c>
      <c r="D7353" s="265">
        <v>2.0</v>
      </c>
      <c r="E7353" s="3">
        <v>2780.0</v>
      </c>
      <c r="G7353" s="266">
        <v>43694.0</v>
      </c>
    </row>
    <row r="7354">
      <c r="A7354" s="217">
        <v>43700.42234493056</v>
      </c>
      <c r="B7354" s="3" t="s">
        <v>5184</v>
      </c>
      <c r="C7354" s="3" t="s">
        <v>9440</v>
      </c>
      <c r="D7354" s="265">
        <v>1.0</v>
      </c>
      <c r="E7354" s="3">
        <v>2350.0</v>
      </c>
      <c r="G7354" s="266">
        <v>43694.0</v>
      </c>
    </row>
    <row r="7355">
      <c r="A7355" s="217">
        <v>43700.42314189815</v>
      </c>
      <c r="B7355" s="3" t="s">
        <v>5184</v>
      </c>
      <c r="C7355" s="3" t="s">
        <v>8650</v>
      </c>
      <c r="D7355" s="265">
        <v>2.0</v>
      </c>
      <c r="E7355" s="3">
        <v>2590.0</v>
      </c>
      <c r="G7355" s="266">
        <v>43694.0</v>
      </c>
    </row>
    <row r="7356">
      <c r="A7356" s="217">
        <v>43700.42390658565</v>
      </c>
      <c r="B7356" s="3" t="s">
        <v>5184</v>
      </c>
      <c r="C7356" s="3" t="s">
        <v>8651</v>
      </c>
      <c r="D7356" s="265">
        <v>1.0</v>
      </c>
      <c r="E7356" s="3">
        <v>2590.0</v>
      </c>
      <c r="G7356" s="266">
        <v>43694.0</v>
      </c>
    </row>
    <row r="7357">
      <c r="A7357" s="217">
        <v>43700.42460189815</v>
      </c>
      <c r="B7357" s="3" t="s">
        <v>5184</v>
      </c>
      <c r="C7357" s="3" t="s">
        <v>8652</v>
      </c>
      <c r="D7357" s="265">
        <v>2.0</v>
      </c>
      <c r="E7357" s="3">
        <v>2590.0</v>
      </c>
      <c r="G7357" s="266">
        <v>43694.0</v>
      </c>
    </row>
    <row r="7358">
      <c r="A7358" s="217">
        <v>43700.42544388889</v>
      </c>
      <c r="B7358" s="3" t="s">
        <v>5184</v>
      </c>
      <c r="C7358" s="3" t="s">
        <v>8654</v>
      </c>
      <c r="D7358" s="265">
        <v>1.0</v>
      </c>
      <c r="E7358" s="3">
        <v>2780.0</v>
      </c>
      <c r="G7358" s="266">
        <v>43694.0</v>
      </c>
    </row>
    <row r="7359">
      <c r="A7359" s="217">
        <v>43700.42604668981</v>
      </c>
      <c r="B7359" s="3" t="s">
        <v>5184</v>
      </c>
      <c r="C7359" s="3" t="s">
        <v>8655</v>
      </c>
      <c r="D7359" s="265">
        <v>1.0</v>
      </c>
      <c r="E7359" s="3">
        <v>2780.0</v>
      </c>
      <c r="G7359" s="266">
        <v>43694.0</v>
      </c>
    </row>
    <row r="7360">
      <c r="A7360" s="217">
        <v>43700.426761006944</v>
      </c>
      <c r="B7360" s="3" t="s">
        <v>5184</v>
      </c>
      <c r="C7360" s="3" t="s">
        <v>8666</v>
      </c>
      <c r="D7360" s="265">
        <v>1.0</v>
      </c>
      <c r="E7360" s="3">
        <v>2850.0</v>
      </c>
      <c r="G7360" s="266">
        <v>43694.0</v>
      </c>
    </row>
    <row r="7361">
      <c r="A7361" s="217">
        <v>43700.42735814815</v>
      </c>
      <c r="B7361" s="3" t="s">
        <v>5184</v>
      </c>
      <c r="C7361" s="3" t="s">
        <v>8667</v>
      </c>
      <c r="D7361" s="265">
        <v>1.0</v>
      </c>
      <c r="E7361" s="3">
        <v>2850.0</v>
      </c>
      <c r="G7361" s="266">
        <v>43694.0</v>
      </c>
    </row>
    <row r="7362">
      <c r="A7362" s="217">
        <v>43700.42796540509</v>
      </c>
      <c r="B7362" s="3" t="s">
        <v>5184</v>
      </c>
      <c r="C7362" s="3" t="s">
        <v>8668</v>
      </c>
      <c r="D7362" s="265">
        <v>1.0</v>
      </c>
      <c r="E7362" s="3">
        <v>2850.0</v>
      </c>
      <c r="G7362" s="266">
        <v>43694.0</v>
      </c>
    </row>
    <row r="7363">
      <c r="A7363" s="217">
        <v>43700.42870079861</v>
      </c>
      <c r="B7363" s="3" t="s">
        <v>5184</v>
      </c>
      <c r="C7363" s="3" t="s">
        <v>8669</v>
      </c>
      <c r="D7363" s="265">
        <v>1.0</v>
      </c>
      <c r="E7363" s="3">
        <v>2850.0</v>
      </c>
      <c r="G7363" s="266">
        <v>43694.0</v>
      </c>
    </row>
    <row r="7364">
      <c r="A7364" s="217">
        <v>43700.43442099537</v>
      </c>
      <c r="B7364" s="3" t="s">
        <v>5184</v>
      </c>
      <c r="C7364" s="3" t="s">
        <v>8670</v>
      </c>
      <c r="D7364" s="265">
        <v>1.0</v>
      </c>
      <c r="E7364" s="3">
        <v>2850.0</v>
      </c>
      <c r="G7364" s="266">
        <v>43694.0</v>
      </c>
    </row>
    <row r="7365">
      <c r="A7365" s="217">
        <v>43700.435446574076</v>
      </c>
      <c r="B7365" s="3" t="s">
        <v>5184</v>
      </c>
      <c r="C7365" s="3" t="s">
        <v>8671</v>
      </c>
      <c r="D7365" s="265">
        <v>2.0</v>
      </c>
      <c r="E7365" s="3">
        <v>2850.0</v>
      </c>
      <c r="G7365" s="266">
        <v>43694.0</v>
      </c>
    </row>
    <row r="7366">
      <c r="A7366" s="217">
        <v>43700.436031053236</v>
      </c>
      <c r="B7366" s="3" t="s">
        <v>5184</v>
      </c>
      <c r="C7366" s="3" t="s">
        <v>8672</v>
      </c>
      <c r="D7366" s="265">
        <v>1.0</v>
      </c>
      <c r="E7366" s="3">
        <v>2850.0</v>
      </c>
      <c r="G7366" s="266">
        <v>43694.0</v>
      </c>
    </row>
    <row r="7367">
      <c r="A7367" s="217">
        <v>43700.43663950231</v>
      </c>
      <c r="B7367" s="3" t="s">
        <v>5184</v>
      </c>
      <c r="C7367" s="3" t="s">
        <v>8673</v>
      </c>
      <c r="D7367" s="265">
        <v>1.0</v>
      </c>
      <c r="E7367" s="3">
        <v>2950.0</v>
      </c>
      <c r="G7367" s="266">
        <v>43694.0</v>
      </c>
    </row>
    <row r="7368">
      <c r="A7368" s="217">
        <v>43700.43840866898</v>
      </c>
      <c r="B7368" s="3" t="s">
        <v>5184</v>
      </c>
      <c r="C7368" s="3" t="s">
        <v>8674</v>
      </c>
      <c r="D7368" s="265">
        <v>2.0</v>
      </c>
      <c r="E7368" s="3">
        <v>2350.0</v>
      </c>
      <c r="G7368" s="266">
        <v>43694.0</v>
      </c>
    </row>
    <row r="7369">
      <c r="A7369" s="217">
        <v>43700.43907246528</v>
      </c>
      <c r="B7369" s="3" t="s">
        <v>5184</v>
      </c>
      <c r="C7369" s="3" t="s">
        <v>8680</v>
      </c>
      <c r="D7369" s="265">
        <v>1.0</v>
      </c>
      <c r="E7369" s="3">
        <v>2590.0</v>
      </c>
      <c r="G7369" s="266">
        <v>43694.0</v>
      </c>
    </row>
    <row r="7370">
      <c r="A7370" s="217">
        <v>43700.439673622684</v>
      </c>
      <c r="B7370" s="3" t="s">
        <v>5184</v>
      </c>
      <c r="C7370" s="3" t="s">
        <v>8689</v>
      </c>
      <c r="D7370" s="265">
        <v>1.0</v>
      </c>
      <c r="E7370" s="3">
        <v>2590.0</v>
      </c>
      <c r="G7370" s="266">
        <v>43694.0</v>
      </c>
    </row>
    <row r="7371">
      <c r="A7371" s="217">
        <v>43700.44047594907</v>
      </c>
      <c r="B7371" s="3" t="s">
        <v>5184</v>
      </c>
      <c r="C7371" s="3" t="s">
        <v>8695</v>
      </c>
      <c r="D7371" s="265">
        <v>1.0</v>
      </c>
      <c r="E7371" s="3">
        <v>2950.0</v>
      </c>
      <c r="G7371" s="266">
        <v>43694.0</v>
      </c>
    </row>
    <row r="7372">
      <c r="A7372" s="217">
        <v>43700.44119837963</v>
      </c>
      <c r="B7372" s="3" t="s">
        <v>5184</v>
      </c>
      <c r="C7372" s="3" t="s">
        <v>8699</v>
      </c>
      <c r="D7372" s="265">
        <v>1.0</v>
      </c>
      <c r="E7372" s="3">
        <v>2950.0</v>
      </c>
      <c r="G7372" s="266">
        <v>43694.0</v>
      </c>
    </row>
    <row r="7373">
      <c r="A7373" s="217">
        <v>43700.441901666665</v>
      </c>
      <c r="B7373" s="3" t="s">
        <v>5184</v>
      </c>
      <c r="C7373" s="3" t="s">
        <v>1566</v>
      </c>
      <c r="D7373" s="265">
        <v>1.0</v>
      </c>
      <c r="E7373" s="3">
        <v>2850.0</v>
      </c>
      <c r="G7373" s="266">
        <v>43694.0</v>
      </c>
    </row>
    <row r="7374">
      <c r="A7374" s="217">
        <v>43700.45191091435</v>
      </c>
      <c r="B7374" s="3" t="s">
        <v>5184</v>
      </c>
      <c r="C7374" s="3" t="s">
        <v>1568</v>
      </c>
      <c r="D7374" s="265">
        <v>1.0</v>
      </c>
      <c r="E7374" s="3">
        <v>2850.0</v>
      </c>
      <c r="G7374" s="266">
        <v>43694.0</v>
      </c>
    </row>
    <row r="7375">
      <c r="A7375" s="217">
        <v>43700.453612997684</v>
      </c>
      <c r="B7375" s="3" t="s">
        <v>5184</v>
      </c>
      <c r="C7375" s="3" t="s">
        <v>8701</v>
      </c>
      <c r="D7375" s="265">
        <v>2.0</v>
      </c>
      <c r="E7375" s="3">
        <v>2850.0</v>
      </c>
      <c r="G7375" s="266">
        <v>43694.0</v>
      </c>
    </row>
    <row r="7376">
      <c r="A7376" s="217">
        <v>43700.4566659375</v>
      </c>
      <c r="B7376" s="3" t="s">
        <v>5184</v>
      </c>
      <c r="C7376" s="3" t="s">
        <v>8703</v>
      </c>
      <c r="D7376" s="265">
        <v>1.0</v>
      </c>
      <c r="E7376" s="3">
        <v>2850.0</v>
      </c>
      <c r="G7376" s="266">
        <v>43694.0</v>
      </c>
    </row>
    <row r="7377">
      <c r="A7377" s="217">
        <v>43700.45759103009</v>
      </c>
      <c r="B7377" s="3" t="s">
        <v>5184</v>
      </c>
      <c r="C7377" s="3" t="s">
        <v>8705</v>
      </c>
      <c r="D7377" s="265">
        <v>1.0</v>
      </c>
      <c r="E7377" s="3">
        <v>2850.0</v>
      </c>
      <c r="G7377" s="266">
        <v>43694.0</v>
      </c>
    </row>
    <row r="7378">
      <c r="A7378" s="217">
        <v>43700.459218703705</v>
      </c>
      <c r="B7378" s="3" t="s">
        <v>5184</v>
      </c>
      <c r="C7378" s="3" t="s">
        <v>9361</v>
      </c>
      <c r="D7378" s="265">
        <v>1.0</v>
      </c>
      <c r="G7378" s="266">
        <v>43694.0</v>
      </c>
    </row>
    <row r="7379">
      <c r="A7379" s="217">
        <v>43700.45992515046</v>
      </c>
      <c r="B7379" s="3" t="s">
        <v>5184</v>
      </c>
      <c r="C7379" s="3" t="s">
        <v>9363</v>
      </c>
      <c r="D7379" s="265">
        <v>1.0</v>
      </c>
      <c r="G7379" s="266">
        <v>43694.0</v>
      </c>
    </row>
    <row r="7380">
      <c r="A7380" s="217">
        <v>43700.46173954861</v>
      </c>
      <c r="B7380" s="3" t="s">
        <v>5184</v>
      </c>
      <c r="C7380" s="3" t="s">
        <v>2011</v>
      </c>
      <c r="D7380" s="265">
        <v>1.0</v>
      </c>
      <c r="G7380" s="266">
        <v>43694.0</v>
      </c>
    </row>
    <row r="7381">
      <c r="A7381" s="217">
        <v>43700.46310199074</v>
      </c>
      <c r="B7381" s="3" t="s">
        <v>5184</v>
      </c>
      <c r="C7381" s="3" t="s">
        <v>2014</v>
      </c>
      <c r="D7381" s="265">
        <v>1.0</v>
      </c>
      <c r="G7381" s="266">
        <v>43694.0</v>
      </c>
    </row>
    <row r="7382">
      <c r="A7382" s="217">
        <v>43700.46369116898</v>
      </c>
      <c r="B7382" s="3" t="s">
        <v>5184</v>
      </c>
      <c r="C7382" s="3" t="s">
        <v>2015</v>
      </c>
      <c r="D7382" s="265">
        <v>1.0</v>
      </c>
      <c r="G7382" s="266">
        <v>43694.0</v>
      </c>
    </row>
    <row r="7383">
      <c r="A7383" s="217">
        <v>43700.46449670139</v>
      </c>
      <c r="B7383" s="3" t="s">
        <v>5184</v>
      </c>
      <c r="C7383" s="3" t="s">
        <v>9441</v>
      </c>
      <c r="D7383" s="265">
        <v>1.0</v>
      </c>
      <c r="E7383" s="3">
        <v>2350.0</v>
      </c>
      <c r="G7383" s="266">
        <v>43694.0</v>
      </c>
    </row>
    <row r="7384">
      <c r="A7384" s="217">
        <v>43700.46525421296</v>
      </c>
      <c r="B7384" s="3" t="s">
        <v>5184</v>
      </c>
      <c r="C7384" s="3" t="s">
        <v>8634</v>
      </c>
      <c r="D7384" s="265">
        <v>1.0</v>
      </c>
      <c r="E7384" s="3">
        <v>2350.0</v>
      </c>
      <c r="G7384" s="266">
        <v>43694.0</v>
      </c>
    </row>
    <row r="7385">
      <c r="A7385" s="217">
        <v>43700.46775861111</v>
      </c>
      <c r="B7385" s="3" t="s">
        <v>5184</v>
      </c>
      <c r="C7385" s="3" t="s">
        <v>2129</v>
      </c>
      <c r="D7385" s="265">
        <v>1.0</v>
      </c>
      <c r="E7385" s="3">
        <v>3790.0</v>
      </c>
      <c r="G7385" s="266">
        <v>43694.0</v>
      </c>
    </row>
    <row r="7386">
      <c r="A7386" s="217">
        <v>43700.46846267361</v>
      </c>
      <c r="B7386" s="3" t="s">
        <v>5184</v>
      </c>
      <c r="C7386" s="3" t="s">
        <v>9212</v>
      </c>
      <c r="D7386" s="265">
        <v>1.0</v>
      </c>
      <c r="E7386" s="3">
        <v>3390.0</v>
      </c>
      <c r="G7386" s="266">
        <v>43694.0</v>
      </c>
    </row>
    <row r="7387">
      <c r="A7387" s="217">
        <v>43700.46917820602</v>
      </c>
      <c r="B7387" s="3" t="s">
        <v>5184</v>
      </c>
      <c r="C7387" s="3" t="s">
        <v>9276</v>
      </c>
      <c r="D7387" s="265">
        <v>1.0</v>
      </c>
      <c r="G7387" s="266">
        <v>43694.0</v>
      </c>
    </row>
    <row r="7388">
      <c r="A7388" s="217">
        <v>43700.47003013889</v>
      </c>
      <c r="B7388" s="3" t="s">
        <v>5184</v>
      </c>
      <c r="C7388" s="3" t="s">
        <v>9217</v>
      </c>
      <c r="D7388" s="265">
        <v>3.0</v>
      </c>
      <c r="E7388" s="3">
        <v>3190.0</v>
      </c>
      <c r="G7388" s="266">
        <v>43694.0</v>
      </c>
    </row>
    <row r="7389">
      <c r="A7389" s="217">
        <v>43700.47074392361</v>
      </c>
      <c r="B7389" s="3" t="s">
        <v>5184</v>
      </c>
      <c r="C7389" s="3" t="s">
        <v>9245</v>
      </c>
      <c r="D7389" s="265">
        <v>1.0</v>
      </c>
      <c r="E7389" s="3">
        <v>3190.0</v>
      </c>
      <c r="G7389" s="266">
        <v>43694.0</v>
      </c>
    </row>
    <row r="7390">
      <c r="A7390" s="217">
        <v>43700.471473287034</v>
      </c>
      <c r="B7390" s="3" t="s">
        <v>5184</v>
      </c>
      <c r="C7390" s="3" t="s">
        <v>2201</v>
      </c>
      <c r="D7390" s="265">
        <v>1.0</v>
      </c>
      <c r="E7390" s="3">
        <v>6190.0</v>
      </c>
      <c r="G7390" s="266">
        <v>43694.0</v>
      </c>
    </row>
    <row r="7391">
      <c r="A7391" s="217">
        <v>43700.472752581016</v>
      </c>
      <c r="B7391" s="3" t="s">
        <v>5184</v>
      </c>
      <c r="C7391" s="3" t="s">
        <v>9442</v>
      </c>
      <c r="D7391" s="265">
        <v>1.0</v>
      </c>
      <c r="E7391" s="3">
        <v>3790.0</v>
      </c>
      <c r="G7391" s="266">
        <v>43694.0</v>
      </c>
    </row>
    <row r="7392">
      <c r="A7392" s="217">
        <v>43700.47419956018</v>
      </c>
      <c r="B7392" s="3" t="s">
        <v>5184</v>
      </c>
      <c r="C7392" s="3" t="s">
        <v>9315</v>
      </c>
      <c r="D7392" s="265">
        <v>2.0</v>
      </c>
      <c r="E7392" s="3">
        <v>3890.0</v>
      </c>
      <c r="G7392" s="266">
        <v>43694.0</v>
      </c>
    </row>
    <row r="7393">
      <c r="A7393" s="217">
        <v>43700.47484292824</v>
      </c>
      <c r="B7393" s="3" t="s">
        <v>5184</v>
      </c>
      <c r="C7393" s="3" t="s">
        <v>2220</v>
      </c>
      <c r="D7393" s="265">
        <v>1.0</v>
      </c>
      <c r="E7393" s="3">
        <v>3790.0</v>
      </c>
      <c r="G7393" s="266">
        <v>43694.0</v>
      </c>
    </row>
    <row r="7394">
      <c r="A7394" s="217">
        <v>43700.47556872685</v>
      </c>
      <c r="B7394" s="3" t="s">
        <v>5184</v>
      </c>
      <c r="C7394" s="3" t="s">
        <v>9278</v>
      </c>
      <c r="D7394" s="265">
        <v>1.0</v>
      </c>
      <c r="E7394" s="3">
        <v>6390.0</v>
      </c>
      <c r="G7394" s="266">
        <v>43694.0</v>
      </c>
    </row>
    <row r="7395">
      <c r="A7395" s="217">
        <v>43700.476413275464</v>
      </c>
      <c r="B7395" s="3" t="s">
        <v>5184</v>
      </c>
      <c r="C7395" s="3" t="s">
        <v>6717</v>
      </c>
      <c r="D7395" s="265">
        <v>2.0</v>
      </c>
      <c r="E7395" s="3">
        <v>3890.0</v>
      </c>
      <c r="G7395" s="266">
        <v>43694.0</v>
      </c>
    </row>
    <row r="7396">
      <c r="A7396" s="217">
        <v>43700.477165752316</v>
      </c>
      <c r="B7396" s="3" t="s">
        <v>5184</v>
      </c>
      <c r="C7396" s="3" t="s">
        <v>6342</v>
      </c>
      <c r="D7396" s="265">
        <v>1.0</v>
      </c>
      <c r="E7396" s="3">
        <v>3890.0</v>
      </c>
      <c r="G7396" s="266">
        <v>43694.0</v>
      </c>
    </row>
    <row r="7397">
      <c r="A7397" s="217">
        <v>43700.477827662035</v>
      </c>
      <c r="B7397" s="3" t="s">
        <v>5184</v>
      </c>
      <c r="C7397" s="3" t="s">
        <v>9254</v>
      </c>
      <c r="D7397" s="265">
        <v>1.0</v>
      </c>
      <c r="E7397" s="3">
        <v>4990.0</v>
      </c>
      <c r="G7397" s="266">
        <v>43694.0</v>
      </c>
    </row>
    <row r="7398">
      <c r="A7398" s="217">
        <v>43700.48379439815</v>
      </c>
      <c r="B7398" s="3" t="s">
        <v>5184</v>
      </c>
      <c r="C7398" s="3" t="s">
        <v>9219</v>
      </c>
      <c r="D7398" s="265">
        <v>2.0</v>
      </c>
      <c r="E7398" s="3">
        <v>3590.0</v>
      </c>
      <c r="G7398" s="266">
        <v>43694.0</v>
      </c>
    </row>
    <row r="7399">
      <c r="A7399" s="217">
        <v>43700.48493769676</v>
      </c>
      <c r="B7399" s="3" t="s">
        <v>5184</v>
      </c>
      <c r="C7399" s="3" t="s">
        <v>2263</v>
      </c>
      <c r="D7399" s="265">
        <v>1.0</v>
      </c>
      <c r="E7399" s="3">
        <v>4290.0</v>
      </c>
      <c r="G7399" s="266">
        <v>43694.0</v>
      </c>
    </row>
    <row r="7400">
      <c r="A7400" s="217">
        <v>43700.485729050924</v>
      </c>
      <c r="B7400" s="3" t="s">
        <v>5184</v>
      </c>
      <c r="C7400" s="3" t="s">
        <v>2261</v>
      </c>
      <c r="D7400" s="265">
        <v>1.0</v>
      </c>
      <c r="E7400" s="3">
        <v>4290.0</v>
      </c>
      <c r="G7400" s="266">
        <v>43694.0</v>
      </c>
    </row>
    <row r="7401">
      <c r="A7401" s="217">
        <v>43700.4864916088</v>
      </c>
      <c r="B7401" s="3" t="s">
        <v>5184</v>
      </c>
      <c r="C7401" s="3" t="s">
        <v>6349</v>
      </c>
      <c r="D7401" s="265">
        <v>2.0</v>
      </c>
      <c r="E7401" s="3">
        <v>3290.0</v>
      </c>
      <c r="G7401" s="266">
        <v>43694.0</v>
      </c>
    </row>
    <row r="7402">
      <c r="A7402" s="217">
        <v>43700.48728850695</v>
      </c>
      <c r="B7402" s="3" t="s">
        <v>5184</v>
      </c>
      <c r="C7402" s="3" t="s">
        <v>9252</v>
      </c>
      <c r="D7402" s="265">
        <v>1.0</v>
      </c>
      <c r="E7402" s="3">
        <v>5290.0</v>
      </c>
      <c r="G7402" s="266">
        <v>43694.0</v>
      </c>
    </row>
    <row r="7403">
      <c r="A7403" s="217">
        <v>43700.48798984954</v>
      </c>
      <c r="B7403" s="3" t="s">
        <v>5184</v>
      </c>
      <c r="C7403" s="3" t="s">
        <v>2273</v>
      </c>
      <c r="D7403" s="265">
        <v>2.0</v>
      </c>
      <c r="E7403" s="3">
        <v>4290.0</v>
      </c>
      <c r="G7403" s="266">
        <v>43694.0</v>
      </c>
    </row>
    <row r="7404">
      <c r="A7404" s="217">
        <v>43700.48861980324</v>
      </c>
      <c r="B7404" s="3" t="s">
        <v>5184</v>
      </c>
      <c r="C7404" s="3" t="s">
        <v>9257</v>
      </c>
      <c r="D7404" s="265">
        <v>1.0</v>
      </c>
      <c r="E7404" s="3">
        <v>4290.0</v>
      </c>
      <c r="G7404" s="266">
        <v>43694.0</v>
      </c>
    </row>
    <row r="7405">
      <c r="A7405" s="217">
        <v>43700.48934818287</v>
      </c>
      <c r="B7405" s="3" t="s">
        <v>5184</v>
      </c>
      <c r="C7405" s="3" t="s">
        <v>2282</v>
      </c>
      <c r="D7405" s="265">
        <v>1.0</v>
      </c>
      <c r="G7405" s="266">
        <v>43694.0</v>
      </c>
    </row>
    <row r="7406">
      <c r="A7406" s="217">
        <v>43700.49013575232</v>
      </c>
      <c r="B7406" s="3" t="s">
        <v>5184</v>
      </c>
      <c r="C7406" s="3" t="s">
        <v>2012</v>
      </c>
      <c r="D7406" s="265">
        <v>1.0</v>
      </c>
      <c r="G7406" s="266">
        <v>43694.0</v>
      </c>
    </row>
    <row r="7407">
      <c r="A7407" s="217">
        <v>43700.49085590278</v>
      </c>
      <c r="B7407" s="3" t="s">
        <v>5184</v>
      </c>
      <c r="C7407" s="3" t="s">
        <v>8700</v>
      </c>
      <c r="D7407" s="265">
        <v>1.0</v>
      </c>
      <c r="E7407" s="3">
        <v>2850.0</v>
      </c>
      <c r="G7407" s="266">
        <v>43694.0</v>
      </c>
    </row>
    <row r="7408">
      <c r="A7408" s="217">
        <v>43700.49157414352</v>
      </c>
      <c r="B7408" s="3" t="s">
        <v>5184</v>
      </c>
      <c r="C7408" s="3" t="s">
        <v>698</v>
      </c>
      <c r="D7408" s="265">
        <v>2.0</v>
      </c>
      <c r="G7408" s="266">
        <v>43694.0</v>
      </c>
    </row>
    <row r="7409">
      <c r="A7409" s="217">
        <v>43700.54045284722</v>
      </c>
      <c r="B7409" s="3" t="s">
        <v>5184</v>
      </c>
      <c r="C7409" s="3" t="s">
        <v>9303</v>
      </c>
      <c r="D7409" s="265">
        <v>1.0</v>
      </c>
      <c r="E7409" s="3">
        <v>6925.0</v>
      </c>
      <c r="G7409" s="266">
        <v>43699.0</v>
      </c>
    </row>
    <row r="7410">
      <c r="A7410" s="217">
        <v>43700.541437569445</v>
      </c>
      <c r="B7410" s="3" t="s">
        <v>5184</v>
      </c>
      <c r="C7410" s="3" t="s">
        <v>4503</v>
      </c>
      <c r="D7410" s="265">
        <v>2.0</v>
      </c>
      <c r="E7410" s="3">
        <v>1850.0</v>
      </c>
      <c r="G7410" s="266">
        <v>43699.0</v>
      </c>
    </row>
    <row r="7411">
      <c r="A7411" s="217">
        <v>43700.54274452546</v>
      </c>
      <c r="B7411" s="3" t="s">
        <v>5184</v>
      </c>
      <c r="C7411" s="3" t="s">
        <v>1260</v>
      </c>
      <c r="D7411" s="265">
        <v>1.0</v>
      </c>
      <c r="E7411" s="3">
        <v>995.0</v>
      </c>
      <c r="G7411" s="266">
        <v>43699.0</v>
      </c>
    </row>
    <row r="7412">
      <c r="A7412" s="217">
        <v>43700.544772291665</v>
      </c>
      <c r="B7412" s="3" t="s">
        <v>5184</v>
      </c>
      <c r="C7412" s="3" t="s">
        <v>4662</v>
      </c>
      <c r="D7412" s="265">
        <v>1.0</v>
      </c>
      <c r="E7412" s="3">
        <v>995.0</v>
      </c>
      <c r="G7412" s="266">
        <v>43699.0</v>
      </c>
    </row>
    <row r="7413">
      <c r="A7413" s="217">
        <v>43700.54548598379</v>
      </c>
      <c r="B7413" s="3" t="s">
        <v>5184</v>
      </c>
      <c r="C7413" s="3" t="s">
        <v>6438</v>
      </c>
      <c r="D7413" s="265">
        <v>2.0</v>
      </c>
      <c r="E7413" s="3">
        <v>1560.0</v>
      </c>
      <c r="G7413" s="266">
        <v>43699.0</v>
      </c>
    </row>
    <row r="7414">
      <c r="A7414" s="217">
        <v>43700.54636548611</v>
      </c>
      <c r="B7414" s="3" t="s">
        <v>5184</v>
      </c>
      <c r="C7414" s="3" t="s">
        <v>1501</v>
      </c>
      <c r="D7414" s="265">
        <v>1.0</v>
      </c>
      <c r="E7414" s="3">
        <v>2950.0</v>
      </c>
      <c r="G7414" s="266">
        <v>43699.0</v>
      </c>
    </row>
    <row r="7415">
      <c r="A7415" s="217">
        <v>43700.547171087965</v>
      </c>
      <c r="B7415" s="3" t="s">
        <v>5184</v>
      </c>
      <c r="C7415" s="3" t="s">
        <v>8637</v>
      </c>
      <c r="D7415" s="265">
        <v>1.0</v>
      </c>
      <c r="E7415" s="3">
        <v>2650.0</v>
      </c>
      <c r="G7415" s="266">
        <v>43699.0</v>
      </c>
    </row>
    <row r="7416">
      <c r="A7416" s="217">
        <v>43700.54812905093</v>
      </c>
      <c r="B7416" s="3" t="s">
        <v>5184</v>
      </c>
      <c r="C7416" s="3" t="s">
        <v>8639</v>
      </c>
      <c r="D7416" s="265">
        <v>1.0</v>
      </c>
      <c r="E7416" s="3">
        <v>2650.0</v>
      </c>
      <c r="G7416" s="266">
        <v>43699.0</v>
      </c>
    </row>
    <row r="7417">
      <c r="A7417" s="217">
        <v>43700.548720729166</v>
      </c>
      <c r="B7417" s="3" t="s">
        <v>5184</v>
      </c>
      <c r="C7417" s="3" t="s">
        <v>9444</v>
      </c>
      <c r="D7417" s="265">
        <v>1.0</v>
      </c>
      <c r="E7417" s="3">
        <v>2150.0</v>
      </c>
      <c r="G7417" s="266">
        <v>43699.0</v>
      </c>
    </row>
    <row r="7418">
      <c r="A7418" s="217">
        <v>43700.54944274305</v>
      </c>
      <c r="B7418" s="3" t="s">
        <v>5184</v>
      </c>
      <c r="C7418" s="3" t="s">
        <v>8726</v>
      </c>
      <c r="D7418" s="265">
        <v>1.0</v>
      </c>
      <c r="E7418" s="3">
        <v>2350.0</v>
      </c>
      <c r="G7418" s="266">
        <v>43699.0</v>
      </c>
    </row>
    <row r="7419">
      <c r="A7419" s="217">
        <v>43700.550065324074</v>
      </c>
      <c r="B7419" s="3" t="s">
        <v>5184</v>
      </c>
      <c r="C7419" s="3" t="s">
        <v>8635</v>
      </c>
      <c r="D7419" s="265">
        <v>1.0</v>
      </c>
      <c r="E7419" s="3">
        <v>2780.0</v>
      </c>
      <c r="G7419" s="266">
        <v>43699.0</v>
      </c>
    </row>
    <row r="7420">
      <c r="A7420" s="217">
        <v>43700.550794930554</v>
      </c>
      <c r="B7420" s="3" t="s">
        <v>5184</v>
      </c>
      <c r="C7420" s="3" t="s">
        <v>8646</v>
      </c>
      <c r="D7420" s="265">
        <v>1.0</v>
      </c>
      <c r="E7420" s="3">
        <v>2780.0</v>
      </c>
      <c r="G7420" s="266">
        <v>43699.0</v>
      </c>
    </row>
    <row r="7421">
      <c r="A7421" s="217">
        <v>43700.55144390046</v>
      </c>
      <c r="B7421" s="3" t="s">
        <v>5184</v>
      </c>
      <c r="C7421" s="3" t="s">
        <v>8651</v>
      </c>
      <c r="D7421" s="265">
        <v>1.0</v>
      </c>
      <c r="E7421" s="3">
        <v>2590.0</v>
      </c>
      <c r="G7421" s="266">
        <v>43699.0</v>
      </c>
    </row>
    <row r="7422">
      <c r="A7422" s="217">
        <v>43700.55217018518</v>
      </c>
      <c r="B7422" s="3" t="s">
        <v>5184</v>
      </c>
      <c r="C7422" s="3" t="s">
        <v>8582</v>
      </c>
      <c r="D7422" s="265">
        <v>1.0</v>
      </c>
      <c r="E7422" s="3">
        <v>2350.0</v>
      </c>
      <c r="G7422" s="266">
        <v>43699.0</v>
      </c>
    </row>
    <row r="7423">
      <c r="A7423" s="217">
        <v>43700.553049016205</v>
      </c>
      <c r="B7423" s="3" t="s">
        <v>5184</v>
      </c>
      <c r="C7423" s="3" t="s">
        <v>8676</v>
      </c>
      <c r="D7423" s="265">
        <v>2.0</v>
      </c>
      <c r="E7423" s="3">
        <v>2350.0</v>
      </c>
      <c r="G7423" s="266">
        <v>43699.0</v>
      </c>
    </row>
    <row r="7424">
      <c r="A7424" s="217">
        <v>43700.55368142361</v>
      </c>
      <c r="B7424" s="3" t="s">
        <v>5184</v>
      </c>
      <c r="C7424" s="3" t="s">
        <v>8581</v>
      </c>
      <c r="D7424" s="265">
        <v>1.0</v>
      </c>
      <c r="E7424" s="3">
        <v>2590.0</v>
      </c>
      <c r="G7424" s="266">
        <v>43699.0</v>
      </c>
    </row>
    <row r="7425">
      <c r="A7425" s="217">
        <v>43700.55440197917</v>
      </c>
      <c r="B7425" s="3" t="s">
        <v>5184</v>
      </c>
      <c r="C7425" s="3" t="s">
        <v>8677</v>
      </c>
      <c r="D7425" s="265">
        <v>1.0</v>
      </c>
      <c r="E7425" s="3">
        <v>2590.0</v>
      </c>
      <c r="G7425" s="266">
        <v>43699.0</v>
      </c>
    </row>
    <row r="7426">
      <c r="A7426" s="217">
        <v>43700.564991886575</v>
      </c>
      <c r="B7426" s="3" t="s">
        <v>5184</v>
      </c>
      <c r="C7426" s="3" t="s">
        <v>1553</v>
      </c>
      <c r="D7426" s="265">
        <v>1.0</v>
      </c>
      <c r="E7426" s="3">
        <v>2590.0</v>
      </c>
      <c r="G7426" s="266">
        <v>43699.0</v>
      </c>
    </row>
    <row r="7427">
      <c r="A7427" s="217">
        <v>43700.56558228009</v>
      </c>
      <c r="B7427" s="3" t="s">
        <v>5184</v>
      </c>
      <c r="C7427" s="3" t="s">
        <v>8683</v>
      </c>
      <c r="D7427" s="265">
        <v>1.0</v>
      </c>
      <c r="E7427" s="3">
        <v>2590.0</v>
      </c>
      <c r="G7427" s="266">
        <v>43699.0</v>
      </c>
    </row>
    <row r="7428">
      <c r="A7428" s="217">
        <v>43700.56625047454</v>
      </c>
      <c r="B7428" s="3" t="s">
        <v>5184</v>
      </c>
      <c r="C7428" s="3" t="s">
        <v>1556</v>
      </c>
      <c r="D7428" s="265">
        <v>1.0</v>
      </c>
      <c r="E7428" s="3">
        <v>2780.0</v>
      </c>
      <c r="G7428" s="266">
        <v>43699.0</v>
      </c>
    </row>
    <row r="7429">
      <c r="A7429" s="217">
        <v>43700.56682724537</v>
      </c>
      <c r="B7429" s="3" t="s">
        <v>5184</v>
      </c>
      <c r="C7429" s="3" t="s">
        <v>8583</v>
      </c>
      <c r="D7429" s="265">
        <v>1.0</v>
      </c>
      <c r="E7429" s="3">
        <v>2590.0</v>
      </c>
      <c r="G7429" s="266">
        <v>43699.0</v>
      </c>
    </row>
    <row r="7430">
      <c r="A7430" s="217">
        <v>43700.56735243056</v>
      </c>
      <c r="B7430" s="3" t="s">
        <v>5184</v>
      </c>
      <c r="C7430" s="3" t="s">
        <v>1557</v>
      </c>
      <c r="D7430" s="265">
        <v>1.0</v>
      </c>
      <c r="E7430" s="3">
        <v>2590.0</v>
      </c>
      <c r="G7430" s="266">
        <v>43699.0</v>
      </c>
    </row>
    <row r="7431">
      <c r="A7431" s="217">
        <v>43700.56813605324</v>
      </c>
      <c r="B7431" s="3" t="s">
        <v>5184</v>
      </c>
      <c r="C7431" s="3" t="s">
        <v>1558</v>
      </c>
      <c r="D7431" s="265">
        <v>1.0</v>
      </c>
      <c r="E7431" s="3">
        <v>2590.0</v>
      </c>
      <c r="G7431" s="266">
        <v>43699.0</v>
      </c>
    </row>
    <row r="7432">
      <c r="A7432" s="217">
        <v>43700.56873197916</v>
      </c>
      <c r="B7432" s="3" t="s">
        <v>5184</v>
      </c>
      <c r="C7432" s="3" t="s">
        <v>8702</v>
      </c>
      <c r="D7432" s="265">
        <v>1.0</v>
      </c>
      <c r="E7432" s="3">
        <v>2850.0</v>
      </c>
      <c r="G7432" s="266">
        <v>43699.0</v>
      </c>
    </row>
    <row r="7433">
      <c r="A7433" s="217">
        <v>43700.569579710645</v>
      </c>
      <c r="B7433" s="3" t="s">
        <v>5184</v>
      </c>
      <c r="C7433" s="3" t="s">
        <v>8725</v>
      </c>
      <c r="D7433" s="265">
        <v>1.0</v>
      </c>
      <c r="G7433" s="266">
        <v>43699.0</v>
      </c>
    </row>
    <row r="7434">
      <c r="A7434" s="217">
        <v>43700.570208819445</v>
      </c>
      <c r="B7434" s="3" t="s">
        <v>5184</v>
      </c>
      <c r="C7434" s="3" t="s">
        <v>1759</v>
      </c>
      <c r="D7434" s="265">
        <v>1.0</v>
      </c>
      <c r="E7434" s="3">
        <v>3750.0</v>
      </c>
      <c r="G7434" s="266">
        <v>43699.0</v>
      </c>
    </row>
    <row r="7435">
      <c r="A7435" s="217">
        <v>43700.570813819446</v>
      </c>
      <c r="B7435" s="3" t="s">
        <v>5184</v>
      </c>
      <c r="C7435" s="3" t="s">
        <v>9363</v>
      </c>
      <c r="D7435" s="265">
        <v>1.0</v>
      </c>
      <c r="G7435" s="266">
        <v>43699.0</v>
      </c>
    </row>
    <row r="7436">
      <c r="A7436" s="217">
        <v>43700.57139287037</v>
      </c>
      <c r="B7436" s="3" t="s">
        <v>5184</v>
      </c>
      <c r="C7436" s="3" t="s">
        <v>2011</v>
      </c>
      <c r="D7436" s="265">
        <v>1.0</v>
      </c>
      <c r="G7436" s="266">
        <v>43699.0</v>
      </c>
    </row>
    <row r="7437">
      <c r="A7437" s="217">
        <v>43700.572925092594</v>
      </c>
      <c r="B7437" s="3" t="s">
        <v>5184</v>
      </c>
      <c r="C7437" s="3" t="s">
        <v>2095</v>
      </c>
      <c r="D7437" s="265">
        <v>1.0</v>
      </c>
      <c r="E7437" s="3">
        <v>4590.0</v>
      </c>
      <c r="G7437" s="266">
        <v>43699.0</v>
      </c>
    </row>
    <row r="7438">
      <c r="A7438" s="217">
        <v>43700.57349943287</v>
      </c>
      <c r="B7438" s="3" t="s">
        <v>5184</v>
      </c>
      <c r="C7438" s="3" t="s">
        <v>9426</v>
      </c>
      <c r="D7438" s="265">
        <v>1.0</v>
      </c>
      <c r="E7438" s="3">
        <v>5290.0</v>
      </c>
      <c r="G7438" s="266">
        <v>43699.0</v>
      </c>
    </row>
    <row r="7439">
      <c r="A7439" s="217">
        <v>43700.57452155092</v>
      </c>
      <c r="B7439" s="3" t="s">
        <v>5184</v>
      </c>
      <c r="C7439" s="3" t="s">
        <v>2111</v>
      </c>
      <c r="D7439" s="265">
        <v>1.0</v>
      </c>
      <c r="E7439" s="3">
        <v>4590.0</v>
      </c>
      <c r="G7439" s="266">
        <v>43699.0</v>
      </c>
    </row>
    <row r="7440">
      <c r="A7440" s="217">
        <v>43700.5752855787</v>
      </c>
      <c r="B7440" s="3" t="s">
        <v>5184</v>
      </c>
      <c r="C7440" s="3" t="s">
        <v>2138</v>
      </c>
      <c r="D7440" s="265">
        <v>1.0</v>
      </c>
      <c r="E7440" s="3">
        <v>3490.0</v>
      </c>
      <c r="G7440" s="266">
        <v>43699.0</v>
      </c>
    </row>
    <row r="7441">
      <c r="A7441" s="217">
        <v>43700.5758305787</v>
      </c>
      <c r="B7441" s="3" t="s">
        <v>5184</v>
      </c>
      <c r="C7441" s="3" t="s">
        <v>9212</v>
      </c>
      <c r="D7441" s="265">
        <v>1.0</v>
      </c>
      <c r="E7441" s="3">
        <v>3390.0</v>
      </c>
      <c r="G7441" s="266">
        <v>43699.0</v>
      </c>
    </row>
    <row r="7442">
      <c r="A7442" s="217">
        <v>43700.5764016551</v>
      </c>
      <c r="B7442" s="3" t="s">
        <v>5184</v>
      </c>
      <c r="C7442" s="3" t="s">
        <v>9218</v>
      </c>
      <c r="D7442" s="265">
        <v>1.0</v>
      </c>
      <c r="E7442" s="3">
        <v>3390.0</v>
      </c>
      <c r="G7442" s="266">
        <v>43699.0</v>
      </c>
    </row>
    <row r="7443">
      <c r="A7443" s="217">
        <v>43700.57734555556</v>
      </c>
      <c r="B7443" s="3" t="s">
        <v>5184</v>
      </c>
      <c r="C7443" s="3" t="s">
        <v>2139</v>
      </c>
      <c r="D7443" s="265">
        <v>5.0</v>
      </c>
      <c r="E7443" s="3">
        <v>3390.0</v>
      </c>
      <c r="G7443" s="266">
        <v>43699.0</v>
      </c>
    </row>
    <row r="7444">
      <c r="A7444" s="217">
        <v>43700.582311238424</v>
      </c>
      <c r="B7444" s="3" t="s">
        <v>5184</v>
      </c>
      <c r="C7444" s="3" t="s">
        <v>9216</v>
      </c>
      <c r="D7444" s="265">
        <v>2.0</v>
      </c>
      <c r="E7444" s="3">
        <v>3290.0</v>
      </c>
      <c r="G7444" s="266">
        <v>43699.0</v>
      </c>
    </row>
    <row r="7445">
      <c r="A7445" s="217">
        <v>43700.583032800925</v>
      </c>
      <c r="B7445" s="3" t="s">
        <v>5184</v>
      </c>
      <c r="C7445" s="3" t="s">
        <v>2142</v>
      </c>
      <c r="D7445" s="265">
        <v>1.0</v>
      </c>
      <c r="E7445" s="3">
        <v>3290.0</v>
      </c>
      <c r="G7445" s="266">
        <v>43699.0</v>
      </c>
    </row>
    <row r="7446">
      <c r="A7446" s="217">
        <v>43700.583845625</v>
      </c>
      <c r="B7446" s="3" t="s">
        <v>5184</v>
      </c>
      <c r="C7446" s="3" t="s">
        <v>5463</v>
      </c>
      <c r="D7446" s="265">
        <v>2.0</v>
      </c>
      <c r="E7446" s="3">
        <v>4790.0</v>
      </c>
      <c r="G7446" s="266">
        <v>43699.0</v>
      </c>
    </row>
    <row r="7447">
      <c r="A7447" s="217">
        <v>43700.59046386574</v>
      </c>
      <c r="B7447" s="3" t="s">
        <v>5184</v>
      </c>
      <c r="C7447" s="3" t="s">
        <v>9170</v>
      </c>
      <c r="D7447" s="265">
        <v>1.0</v>
      </c>
      <c r="E7447" s="3">
        <v>5490.0</v>
      </c>
      <c r="G7447" s="266">
        <v>43699.0</v>
      </c>
    </row>
    <row r="7448">
      <c r="A7448" s="217">
        <v>43700.59141278935</v>
      </c>
      <c r="B7448" s="3" t="s">
        <v>5184</v>
      </c>
      <c r="C7448" s="3" t="s">
        <v>9199</v>
      </c>
      <c r="D7448" s="265">
        <v>2.0</v>
      </c>
      <c r="E7448" s="3">
        <v>3290.0</v>
      </c>
      <c r="G7448" s="266">
        <v>43699.0</v>
      </c>
    </row>
    <row r="7449">
      <c r="A7449" s="217">
        <v>43700.59237126158</v>
      </c>
      <c r="B7449" s="3" t="s">
        <v>5184</v>
      </c>
      <c r="C7449" s="3" t="s">
        <v>9200</v>
      </c>
      <c r="D7449" s="265">
        <v>1.0</v>
      </c>
      <c r="E7449" s="3">
        <v>3290.0</v>
      </c>
      <c r="G7449" s="266">
        <v>43699.0</v>
      </c>
    </row>
    <row r="7450">
      <c r="A7450" s="217">
        <v>43700.59301502314</v>
      </c>
      <c r="B7450" s="3" t="s">
        <v>5184</v>
      </c>
      <c r="C7450" s="3" t="s">
        <v>9427</v>
      </c>
      <c r="D7450" s="265">
        <v>1.0</v>
      </c>
      <c r="E7450" s="3">
        <v>5490.0</v>
      </c>
      <c r="G7450" s="266">
        <v>43699.0</v>
      </c>
    </row>
    <row r="7451">
      <c r="A7451" s="217">
        <v>43700.59412793981</v>
      </c>
      <c r="B7451" s="3" t="s">
        <v>5184</v>
      </c>
      <c r="C7451" s="3" t="s">
        <v>8818</v>
      </c>
      <c r="D7451" s="265">
        <v>3.0</v>
      </c>
      <c r="G7451" s="266">
        <v>43699.0</v>
      </c>
    </row>
    <row r="7452">
      <c r="A7452" s="217">
        <v>43700.59470019676</v>
      </c>
      <c r="B7452" s="3" t="s">
        <v>5184</v>
      </c>
      <c r="C7452" s="3" t="s">
        <v>2202</v>
      </c>
      <c r="D7452" s="265">
        <v>1.0</v>
      </c>
      <c r="E7452" s="3">
        <v>4790.0</v>
      </c>
      <c r="G7452" s="266">
        <v>43699.0</v>
      </c>
    </row>
    <row r="7453">
      <c r="A7453" s="217">
        <v>43700.59531059027</v>
      </c>
      <c r="B7453" s="3" t="s">
        <v>5184</v>
      </c>
      <c r="C7453" s="3" t="s">
        <v>2222</v>
      </c>
      <c r="D7453" s="265">
        <v>1.0</v>
      </c>
      <c r="E7453" s="3">
        <v>4290.0</v>
      </c>
      <c r="G7453" s="266">
        <v>43699.0</v>
      </c>
    </row>
    <row r="7454">
      <c r="A7454" s="217">
        <v>43700.59623550926</v>
      </c>
      <c r="B7454" s="3" t="s">
        <v>5184</v>
      </c>
      <c r="C7454" s="3" t="s">
        <v>2226</v>
      </c>
      <c r="D7454" s="265">
        <v>4.0</v>
      </c>
      <c r="G7454" s="266">
        <v>43699.0</v>
      </c>
    </row>
    <row r="7455">
      <c r="A7455" s="217">
        <v>43700.5968472338</v>
      </c>
      <c r="B7455" s="3" t="s">
        <v>5184</v>
      </c>
      <c r="C7455" s="3" t="s">
        <v>2246</v>
      </c>
      <c r="D7455" s="265">
        <v>2.0</v>
      </c>
      <c r="E7455" s="3">
        <v>3990.0</v>
      </c>
      <c r="G7455" s="266">
        <v>43699.0</v>
      </c>
    </row>
    <row r="7456">
      <c r="A7456" s="217">
        <v>43700.59736671296</v>
      </c>
      <c r="B7456" s="3" t="s">
        <v>5184</v>
      </c>
      <c r="C7456" s="3" t="s">
        <v>8810</v>
      </c>
      <c r="D7456" s="265">
        <v>1.0</v>
      </c>
      <c r="E7456" s="3">
        <v>4990.0</v>
      </c>
      <c r="G7456" s="266">
        <v>43699.0</v>
      </c>
    </row>
    <row r="7457">
      <c r="A7457" s="217">
        <v>43700.59798414352</v>
      </c>
      <c r="B7457" s="3" t="s">
        <v>5184</v>
      </c>
      <c r="C7457" s="3" t="s">
        <v>6347</v>
      </c>
      <c r="D7457" s="265">
        <v>2.0</v>
      </c>
      <c r="E7457" s="3">
        <v>3990.0</v>
      </c>
      <c r="G7457" s="266">
        <v>43699.0</v>
      </c>
    </row>
    <row r="7458">
      <c r="A7458" s="217">
        <v>43700.60295543981</v>
      </c>
      <c r="B7458" s="3" t="s">
        <v>5184</v>
      </c>
      <c r="C7458" s="3" t="s">
        <v>2259</v>
      </c>
      <c r="D7458" s="265">
        <v>3.0</v>
      </c>
      <c r="E7458" s="3">
        <v>3990.0</v>
      </c>
      <c r="G7458" s="266">
        <v>43699.0</v>
      </c>
    </row>
    <row r="7459">
      <c r="A7459" s="217">
        <v>43700.60353900463</v>
      </c>
      <c r="B7459" s="3" t="s">
        <v>5184</v>
      </c>
      <c r="C7459" s="3" t="s">
        <v>2261</v>
      </c>
      <c r="D7459" s="265">
        <v>5.0</v>
      </c>
      <c r="E7459" s="3">
        <v>4290.0</v>
      </c>
      <c r="G7459" s="266">
        <v>43699.0</v>
      </c>
    </row>
    <row r="7460">
      <c r="A7460" s="217">
        <v>43700.60425510417</v>
      </c>
      <c r="B7460" s="3" t="s">
        <v>5184</v>
      </c>
      <c r="C7460" s="3" t="s">
        <v>2270</v>
      </c>
      <c r="D7460" s="265">
        <v>1.0</v>
      </c>
      <c r="E7460" s="3">
        <v>5590.0</v>
      </c>
      <c r="G7460" s="266">
        <v>43699.0</v>
      </c>
    </row>
    <row r="7461">
      <c r="A7461" s="217">
        <v>43700.60472495371</v>
      </c>
      <c r="B7461" s="3" t="s">
        <v>5184</v>
      </c>
      <c r="C7461" s="3" t="s">
        <v>9252</v>
      </c>
      <c r="D7461" s="265">
        <v>1.0</v>
      </c>
      <c r="E7461" s="3">
        <v>5290.0</v>
      </c>
      <c r="G7461" s="266">
        <v>43699.0</v>
      </c>
    </row>
    <row r="7462">
      <c r="A7462" s="217">
        <v>43700.61478689815</v>
      </c>
      <c r="B7462" s="3" t="s">
        <v>5184</v>
      </c>
      <c r="C7462" s="3" t="s">
        <v>2273</v>
      </c>
      <c r="D7462" s="265">
        <v>3.0</v>
      </c>
      <c r="E7462" s="3">
        <v>4290.0</v>
      </c>
      <c r="G7462" s="266">
        <v>43699.0</v>
      </c>
    </row>
    <row r="7463">
      <c r="A7463" s="217">
        <v>43700.61567237269</v>
      </c>
      <c r="B7463" s="3" t="s">
        <v>5184</v>
      </c>
      <c r="C7463" s="3" t="s">
        <v>9435</v>
      </c>
      <c r="D7463" s="265">
        <v>2.0</v>
      </c>
      <c r="E7463" s="3">
        <v>5590.0</v>
      </c>
      <c r="G7463" s="266">
        <v>43699.0</v>
      </c>
    </row>
    <row r="7464">
      <c r="A7464" s="217">
        <v>43700.61648508102</v>
      </c>
      <c r="B7464" s="3" t="s">
        <v>5184</v>
      </c>
      <c r="C7464" s="3" t="s">
        <v>2276</v>
      </c>
      <c r="D7464" s="265">
        <v>1.0</v>
      </c>
      <c r="E7464" s="3">
        <v>7190.0</v>
      </c>
      <c r="G7464" s="266">
        <v>43699.0</v>
      </c>
    </row>
    <row r="7465">
      <c r="A7465" s="217">
        <v>43700.61710613426</v>
      </c>
      <c r="B7465" s="3" t="s">
        <v>5184</v>
      </c>
      <c r="C7465" s="3" t="s">
        <v>8796</v>
      </c>
      <c r="D7465" s="265">
        <v>1.0</v>
      </c>
      <c r="E7465" s="3">
        <v>5790.0</v>
      </c>
      <c r="G7465" s="266">
        <v>43699.0</v>
      </c>
    </row>
    <row r="7466">
      <c r="A7466" s="217">
        <v>43700.61772358796</v>
      </c>
      <c r="B7466" s="3" t="s">
        <v>5184</v>
      </c>
      <c r="C7466" s="3" t="s">
        <v>2306</v>
      </c>
      <c r="D7466" s="265">
        <v>1.0</v>
      </c>
      <c r="E7466" s="3">
        <v>5590.0</v>
      </c>
      <c r="G7466" s="266">
        <v>43699.0</v>
      </c>
    </row>
    <row r="7467">
      <c r="A7467" s="217">
        <v>43700.61834842592</v>
      </c>
      <c r="B7467" s="3" t="s">
        <v>5184</v>
      </c>
      <c r="C7467" s="3" t="s">
        <v>5461</v>
      </c>
      <c r="D7467" s="265">
        <v>1.0</v>
      </c>
      <c r="E7467" s="3">
        <v>5290.0</v>
      </c>
      <c r="G7467" s="266">
        <v>43699.0</v>
      </c>
    </row>
    <row r="7468">
      <c r="A7468" s="217">
        <v>43700.716124548606</v>
      </c>
      <c r="B7468" s="3" t="s">
        <v>5092</v>
      </c>
      <c r="C7468" s="3" t="s">
        <v>4976</v>
      </c>
      <c r="D7468" s="265">
        <v>5.0</v>
      </c>
      <c r="E7468" s="3">
        <v>899.0</v>
      </c>
      <c r="G7468" s="266">
        <v>43699.0</v>
      </c>
    </row>
    <row r="7469">
      <c r="A7469" s="217">
        <v>43700.71673707176</v>
      </c>
      <c r="B7469" s="3" t="s">
        <v>5092</v>
      </c>
      <c r="C7469" s="3" t="s">
        <v>9445</v>
      </c>
      <c r="D7469" s="265">
        <v>1.0</v>
      </c>
      <c r="G7469" s="266">
        <v>43699.0</v>
      </c>
    </row>
    <row r="7470">
      <c r="A7470" s="217">
        <v>43700.71714315972</v>
      </c>
      <c r="B7470" s="3" t="s">
        <v>5092</v>
      </c>
      <c r="C7470" s="3" t="s">
        <v>9446</v>
      </c>
      <c r="D7470" s="265">
        <v>1.0</v>
      </c>
      <c r="E7470" s="3">
        <v>160.0</v>
      </c>
      <c r="G7470" s="266">
        <v>43699.0</v>
      </c>
    </row>
    <row r="7471">
      <c r="A7471" s="217">
        <v>43700.71752505787</v>
      </c>
      <c r="B7471" s="3" t="s">
        <v>5092</v>
      </c>
      <c r="C7471" s="3" t="s">
        <v>9447</v>
      </c>
      <c r="D7471" s="265">
        <v>1.0</v>
      </c>
      <c r="E7471" s="3">
        <v>270.0</v>
      </c>
      <c r="G7471" s="266">
        <v>43699.0</v>
      </c>
    </row>
    <row r="7472">
      <c r="A7472" s="217">
        <v>43700.71803578704</v>
      </c>
      <c r="B7472" s="3" t="s">
        <v>5092</v>
      </c>
      <c r="C7472" s="3" t="s">
        <v>9448</v>
      </c>
      <c r="D7472" s="265">
        <v>1.0</v>
      </c>
      <c r="E7472" s="3">
        <v>145.0</v>
      </c>
      <c r="G7472" s="266">
        <v>43699.0</v>
      </c>
    </row>
    <row r="7473">
      <c r="A7473" s="217">
        <v>43700.718716620366</v>
      </c>
      <c r="B7473" s="3" t="s">
        <v>5092</v>
      </c>
      <c r="C7473" s="3" t="s">
        <v>9449</v>
      </c>
      <c r="D7473" s="265">
        <v>1.0</v>
      </c>
      <c r="G7473" s="266">
        <v>43699.0</v>
      </c>
    </row>
    <row r="7474">
      <c r="A7474" s="217">
        <v>43700.7195296412</v>
      </c>
      <c r="B7474" s="3" t="s">
        <v>5092</v>
      </c>
      <c r="C7474" s="3" t="s">
        <v>4914</v>
      </c>
      <c r="D7474" s="265">
        <v>2.0</v>
      </c>
      <c r="E7474" s="3">
        <v>2099.0</v>
      </c>
      <c r="G7474" s="266">
        <v>43699.0</v>
      </c>
    </row>
    <row r="7475">
      <c r="A7475" s="217">
        <v>43700.72305568287</v>
      </c>
      <c r="B7475" s="3" t="s">
        <v>5092</v>
      </c>
      <c r="C7475" s="3" t="s">
        <v>9450</v>
      </c>
      <c r="D7475" s="265">
        <v>1.0</v>
      </c>
      <c r="E7475" s="3">
        <v>2499.0</v>
      </c>
      <c r="G7475" s="266">
        <v>43699.0</v>
      </c>
    </row>
    <row r="7476">
      <c r="A7476" s="217">
        <v>43700.723709259255</v>
      </c>
      <c r="B7476" s="3" t="s">
        <v>5092</v>
      </c>
      <c r="C7476" s="3" t="s">
        <v>1257</v>
      </c>
      <c r="D7476" s="265">
        <v>2.0</v>
      </c>
      <c r="E7476" s="3">
        <v>1299.0</v>
      </c>
      <c r="G7476" s="266">
        <v>43699.0</v>
      </c>
    </row>
    <row r="7477">
      <c r="A7477" s="217">
        <v>43700.72454098379</v>
      </c>
      <c r="B7477" s="3" t="s">
        <v>5092</v>
      </c>
      <c r="C7477" s="3" t="s">
        <v>4589</v>
      </c>
      <c r="D7477" s="265">
        <v>1.0</v>
      </c>
      <c r="E7477" s="3">
        <v>2099.0</v>
      </c>
      <c r="G7477" s="266">
        <v>43699.0</v>
      </c>
    </row>
    <row r="7478">
      <c r="A7478" s="217">
        <v>43700.724862268515</v>
      </c>
      <c r="B7478" s="3" t="s">
        <v>5092</v>
      </c>
      <c r="C7478" s="3" t="s">
        <v>4548</v>
      </c>
      <c r="D7478" s="265">
        <v>2.0</v>
      </c>
      <c r="E7478" s="3">
        <v>2699.0</v>
      </c>
      <c r="G7478" s="266">
        <v>43699.0</v>
      </c>
    </row>
    <row r="7479">
      <c r="A7479" s="217">
        <v>43700.725202581016</v>
      </c>
      <c r="B7479" s="3" t="s">
        <v>5092</v>
      </c>
      <c r="C7479" s="3" t="s">
        <v>9451</v>
      </c>
      <c r="D7479" s="265">
        <v>2.0</v>
      </c>
      <c r="E7479" s="3">
        <v>2899.0</v>
      </c>
      <c r="G7479" s="266">
        <v>43699.0</v>
      </c>
    </row>
    <row r="7480">
      <c r="A7480" s="217">
        <v>43700.72646809027</v>
      </c>
      <c r="B7480" s="3" t="s">
        <v>5092</v>
      </c>
      <c r="C7480" s="3" t="s">
        <v>4509</v>
      </c>
      <c r="D7480" s="265">
        <v>2.0</v>
      </c>
      <c r="E7480" s="3">
        <v>2499.0</v>
      </c>
      <c r="G7480" s="266">
        <v>43699.0</v>
      </c>
    </row>
    <row r="7481">
      <c r="A7481" s="217">
        <v>43700.72700111111</v>
      </c>
      <c r="B7481" s="3" t="s">
        <v>5092</v>
      </c>
      <c r="C7481" s="3" t="s">
        <v>4514</v>
      </c>
      <c r="D7481" s="265">
        <v>2.0</v>
      </c>
      <c r="E7481" s="3">
        <v>2699.0</v>
      </c>
      <c r="G7481" s="266">
        <v>43699.0</v>
      </c>
    </row>
    <row r="7482">
      <c r="A7482" s="217">
        <v>43700.72741482639</v>
      </c>
      <c r="B7482" s="3" t="s">
        <v>5092</v>
      </c>
      <c r="C7482" s="3" t="s">
        <v>9452</v>
      </c>
      <c r="D7482" s="265">
        <v>2.0</v>
      </c>
      <c r="E7482" s="3">
        <v>2699.0</v>
      </c>
      <c r="G7482" s="266">
        <v>43699.0</v>
      </c>
    </row>
    <row r="7483">
      <c r="A7483" s="217">
        <v>43700.72786349537</v>
      </c>
      <c r="B7483" s="3" t="s">
        <v>5092</v>
      </c>
      <c r="C7483" s="3" t="s">
        <v>9453</v>
      </c>
      <c r="D7483" s="265">
        <v>2.0</v>
      </c>
      <c r="E7483" s="3">
        <v>2899.0</v>
      </c>
      <c r="G7483" s="266">
        <v>43699.0</v>
      </c>
    </row>
    <row r="7484">
      <c r="A7484" s="217">
        <v>43700.72825381944</v>
      </c>
      <c r="B7484" s="3" t="s">
        <v>5092</v>
      </c>
      <c r="C7484" s="3" t="s">
        <v>1244</v>
      </c>
      <c r="D7484" s="265">
        <v>4.0</v>
      </c>
      <c r="E7484" s="3">
        <v>2699.0</v>
      </c>
      <c r="G7484" s="266">
        <v>43699.0</v>
      </c>
    </row>
    <row r="7485">
      <c r="A7485" s="217">
        <v>43700.728613009254</v>
      </c>
      <c r="B7485" s="3" t="s">
        <v>5092</v>
      </c>
      <c r="C7485" s="3" t="s">
        <v>1248</v>
      </c>
      <c r="D7485" s="265">
        <v>2.0</v>
      </c>
      <c r="E7485" s="3">
        <v>2699.0</v>
      </c>
      <c r="G7485" s="266">
        <v>43699.0</v>
      </c>
    </row>
    <row r="7486">
      <c r="A7486" s="217">
        <v>43700.72903430555</v>
      </c>
      <c r="B7486" s="3" t="s">
        <v>5092</v>
      </c>
      <c r="C7486" s="3" t="s">
        <v>9454</v>
      </c>
      <c r="D7486" s="265">
        <v>2.0</v>
      </c>
      <c r="E7486" s="3">
        <v>2699.0</v>
      </c>
      <c r="G7486" s="266">
        <v>43699.0</v>
      </c>
    </row>
    <row r="7487">
      <c r="A7487" s="217">
        <v>43700.729501724534</v>
      </c>
      <c r="B7487" s="3" t="s">
        <v>5092</v>
      </c>
      <c r="C7487" s="3" t="s">
        <v>1249</v>
      </c>
      <c r="D7487" s="265">
        <v>3.0</v>
      </c>
      <c r="E7487" s="3">
        <v>2699.0</v>
      </c>
      <c r="G7487" s="266">
        <v>43699.0</v>
      </c>
    </row>
    <row r="7488">
      <c r="A7488" s="217">
        <v>43700.73082703704</v>
      </c>
      <c r="B7488" s="3" t="s">
        <v>5092</v>
      </c>
      <c r="C7488" s="3" t="s">
        <v>4541</v>
      </c>
      <c r="D7488" s="265">
        <v>2.0</v>
      </c>
      <c r="E7488" s="3">
        <v>2899.0</v>
      </c>
      <c r="G7488" s="266">
        <v>43699.0</v>
      </c>
    </row>
    <row r="7489">
      <c r="A7489" s="217">
        <v>43700.731298321756</v>
      </c>
      <c r="B7489" s="3" t="s">
        <v>5092</v>
      </c>
      <c r="C7489" s="3" t="s">
        <v>4707</v>
      </c>
      <c r="D7489" s="265">
        <v>2.0</v>
      </c>
      <c r="E7489" s="3">
        <v>2699.0</v>
      </c>
      <c r="G7489" s="266">
        <v>43699.0</v>
      </c>
    </row>
    <row r="7490">
      <c r="A7490" s="217">
        <v>43700.73172241898</v>
      </c>
      <c r="B7490" s="3" t="s">
        <v>5092</v>
      </c>
      <c r="C7490" s="3" t="s">
        <v>4552</v>
      </c>
      <c r="D7490" s="265">
        <v>3.0</v>
      </c>
      <c r="E7490" s="3">
        <v>2699.0</v>
      </c>
      <c r="G7490" s="266">
        <v>43699.0</v>
      </c>
    </row>
    <row r="7491">
      <c r="A7491" s="217">
        <v>43700.732135949074</v>
      </c>
      <c r="B7491" s="3" t="s">
        <v>5092</v>
      </c>
      <c r="C7491" s="3" t="s">
        <v>4557</v>
      </c>
      <c r="D7491" s="265">
        <v>2.0</v>
      </c>
      <c r="E7491" s="3">
        <v>2599.0</v>
      </c>
      <c r="G7491" s="266">
        <v>43699.0</v>
      </c>
    </row>
    <row r="7492">
      <c r="A7492" s="217">
        <v>43700.73252630787</v>
      </c>
      <c r="B7492" s="3" t="s">
        <v>5092</v>
      </c>
      <c r="C7492" s="3" t="s">
        <v>4736</v>
      </c>
      <c r="D7492" s="265">
        <v>2.0</v>
      </c>
      <c r="E7492" s="3">
        <v>2299.0</v>
      </c>
      <c r="G7492" s="266">
        <v>43699.0</v>
      </c>
    </row>
    <row r="7493">
      <c r="A7493" s="217">
        <v>43700.732892569446</v>
      </c>
      <c r="B7493" s="3" t="s">
        <v>5092</v>
      </c>
      <c r="C7493" s="3" t="s">
        <v>4742</v>
      </c>
      <c r="D7493" s="265">
        <v>2.0</v>
      </c>
      <c r="E7493" s="3">
        <v>2099.0</v>
      </c>
      <c r="G7493" s="266">
        <v>43699.0</v>
      </c>
    </row>
    <row r="7494">
      <c r="A7494" s="217">
        <v>43700.73336642361</v>
      </c>
      <c r="B7494" s="3" t="s">
        <v>5092</v>
      </c>
      <c r="C7494" s="3" t="s">
        <v>1254</v>
      </c>
      <c r="D7494" s="265">
        <v>2.0</v>
      </c>
      <c r="E7494" s="3">
        <v>2299.0</v>
      </c>
      <c r="G7494" s="266">
        <v>43699.0</v>
      </c>
    </row>
    <row r="7495">
      <c r="A7495" s="217">
        <v>43700.733723275465</v>
      </c>
      <c r="B7495" s="3" t="s">
        <v>5092</v>
      </c>
      <c r="C7495" s="3" t="s">
        <v>9455</v>
      </c>
      <c r="D7495" s="265">
        <v>2.0</v>
      </c>
      <c r="E7495" s="3">
        <v>2099.0</v>
      </c>
      <c r="G7495" s="266">
        <v>43699.0</v>
      </c>
    </row>
    <row r="7496">
      <c r="A7496" s="217">
        <v>43700.73411148148</v>
      </c>
      <c r="B7496" s="3" t="s">
        <v>5092</v>
      </c>
      <c r="C7496" s="3" t="s">
        <v>1279</v>
      </c>
      <c r="D7496" s="265">
        <v>1.0</v>
      </c>
      <c r="E7496" s="3">
        <v>1699.0</v>
      </c>
      <c r="G7496" s="266">
        <v>43699.0</v>
      </c>
    </row>
    <row r="7497">
      <c r="A7497" s="217">
        <v>43700.73452304398</v>
      </c>
      <c r="B7497" s="3" t="s">
        <v>5092</v>
      </c>
      <c r="C7497" s="3" t="s">
        <v>4578</v>
      </c>
      <c r="D7497" s="265">
        <v>2.0</v>
      </c>
      <c r="E7497" s="3">
        <v>1299.0</v>
      </c>
      <c r="G7497" s="266">
        <v>43699.0</v>
      </c>
    </row>
    <row r="7498">
      <c r="A7498" s="217">
        <v>43700.734930439816</v>
      </c>
      <c r="B7498" s="3" t="s">
        <v>5092</v>
      </c>
      <c r="C7498" s="3" t="s">
        <v>4593</v>
      </c>
      <c r="D7498" s="265">
        <v>3.0</v>
      </c>
      <c r="E7498" s="3">
        <v>1299.0</v>
      </c>
      <c r="G7498" s="266">
        <v>43699.0</v>
      </c>
    </row>
    <row r="7499">
      <c r="A7499" s="217">
        <v>43700.73566179398</v>
      </c>
      <c r="B7499" s="3" t="s">
        <v>5092</v>
      </c>
      <c r="C7499" s="3" t="s">
        <v>4595</v>
      </c>
      <c r="D7499" s="265">
        <v>2.0</v>
      </c>
      <c r="E7499" s="3">
        <v>1295.0</v>
      </c>
      <c r="G7499" s="266">
        <v>43699.0</v>
      </c>
    </row>
    <row r="7500">
      <c r="A7500" s="217">
        <v>43700.73603641204</v>
      </c>
      <c r="B7500" s="3" t="s">
        <v>5092</v>
      </c>
      <c r="C7500" s="3" t="s">
        <v>4603</v>
      </c>
      <c r="D7500" s="265">
        <v>2.0</v>
      </c>
      <c r="E7500" s="3">
        <v>1299.0</v>
      </c>
      <c r="G7500" s="266">
        <v>43699.0</v>
      </c>
    </row>
    <row r="7501">
      <c r="A7501" s="217">
        <v>43700.736457418985</v>
      </c>
      <c r="B7501" s="3" t="s">
        <v>5092</v>
      </c>
      <c r="C7501" s="3" t="s">
        <v>4826</v>
      </c>
      <c r="D7501" s="265">
        <v>2.0</v>
      </c>
      <c r="E7501" s="3">
        <v>1999.0</v>
      </c>
      <c r="G7501" s="266">
        <v>43699.0</v>
      </c>
    </row>
    <row r="7502">
      <c r="A7502" s="217">
        <v>43700.737098171296</v>
      </c>
      <c r="B7502" s="3" t="s">
        <v>5092</v>
      </c>
      <c r="C7502" s="3" t="s">
        <v>1259</v>
      </c>
      <c r="D7502" s="265">
        <v>2.0</v>
      </c>
      <c r="E7502" s="3">
        <v>1299.0</v>
      </c>
      <c r="G7502" s="266">
        <v>43699.0</v>
      </c>
    </row>
    <row r="7503">
      <c r="A7503" s="217">
        <v>43700.737447974534</v>
      </c>
      <c r="B7503" s="3" t="s">
        <v>5092</v>
      </c>
      <c r="C7503" s="3" t="s">
        <v>4609</v>
      </c>
      <c r="D7503" s="265">
        <v>1.0</v>
      </c>
      <c r="E7503" s="3">
        <v>2450.0</v>
      </c>
      <c r="G7503" s="266">
        <v>43699.0</v>
      </c>
    </row>
    <row r="7504">
      <c r="A7504" s="217">
        <v>43700.73787753472</v>
      </c>
      <c r="B7504" s="3" t="s">
        <v>5092</v>
      </c>
      <c r="C7504" s="3" t="s">
        <v>1261</v>
      </c>
      <c r="D7504" s="265">
        <v>2.0</v>
      </c>
      <c r="E7504" s="3">
        <v>2450.0</v>
      </c>
      <c r="G7504" s="266">
        <v>43699.0</v>
      </c>
    </row>
    <row r="7505">
      <c r="A7505" s="217">
        <v>43700.73826894676</v>
      </c>
      <c r="B7505" s="3" t="s">
        <v>5092</v>
      </c>
      <c r="C7505" s="3" t="s">
        <v>4847</v>
      </c>
      <c r="D7505" s="265">
        <v>2.0</v>
      </c>
      <c r="E7505" s="3">
        <v>1699.0</v>
      </c>
      <c r="G7505" s="266">
        <v>43699.0</v>
      </c>
    </row>
    <row r="7506">
      <c r="A7506" s="217">
        <v>43700.7386365162</v>
      </c>
      <c r="B7506" s="3" t="s">
        <v>5092</v>
      </c>
      <c r="C7506" s="3" t="s">
        <v>1267</v>
      </c>
      <c r="D7506" s="265">
        <v>4.0</v>
      </c>
      <c r="E7506" s="3">
        <v>1999.0</v>
      </c>
      <c r="G7506" s="266">
        <v>43699.0</v>
      </c>
    </row>
    <row r="7507">
      <c r="A7507" s="217">
        <v>43700.739030324075</v>
      </c>
      <c r="B7507" s="3" t="s">
        <v>5092</v>
      </c>
      <c r="C7507" s="3" t="s">
        <v>4851</v>
      </c>
      <c r="D7507" s="265">
        <v>2.0</v>
      </c>
      <c r="E7507" s="3">
        <v>1999.0</v>
      </c>
      <c r="G7507" s="266">
        <v>43699.0</v>
      </c>
    </row>
    <row r="7508">
      <c r="A7508" s="217">
        <v>43700.73942545139</v>
      </c>
      <c r="B7508" s="3" t="s">
        <v>5092</v>
      </c>
      <c r="C7508" s="3" t="s">
        <v>1269</v>
      </c>
      <c r="D7508" s="265">
        <v>2.0</v>
      </c>
      <c r="E7508" s="3">
        <v>2099.0</v>
      </c>
      <c r="G7508" s="266">
        <v>43699.0</v>
      </c>
    </row>
    <row r="7509">
      <c r="A7509" s="217">
        <v>43700.739762384255</v>
      </c>
      <c r="B7509" s="3" t="s">
        <v>5092</v>
      </c>
      <c r="C7509" s="3" t="s">
        <v>700</v>
      </c>
      <c r="D7509" s="265">
        <v>3.0</v>
      </c>
      <c r="E7509" s="3">
        <v>1399.0</v>
      </c>
      <c r="G7509" s="266">
        <v>43699.0</v>
      </c>
    </row>
    <row r="7510">
      <c r="A7510" s="217">
        <v>43700.740276666664</v>
      </c>
      <c r="B7510" s="3" t="s">
        <v>5092</v>
      </c>
      <c r="C7510" s="3" t="s">
        <v>4620</v>
      </c>
      <c r="D7510" s="265">
        <v>3.0</v>
      </c>
      <c r="E7510" s="3">
        <v>1899.0</v>
      </c>
      <c r="G7510" s="266">
        <v>43699.0</v>
      </c>
    </row>
    <row r="7511">
      <c r="A7511" s="217">
        <v>43700.740733969906</v>
      </c>
      <c r="B7511" s="3" t="s">
        <v>5092</v>
      </c>
      <c r="C7511" s="3" t="s">
        <v>4622</v>
      </c>
      <c r="D7511" s="265">
        <v>2.0</v>
      </c>
      <c r="E7511" s="3">
        <v>1999.0</v>
      </c>
      <c r="G7511" s="266">
        <v>43699.0</v>
      </c>
    </row>
    <row r="7512">
      <c r="A7512" s="217">
        <v>43700.74115613426</v>
      </c>
      <c r="B7512" s="3" t="s">
        <v>5092</v>
      </c>
      <c r="C7512" s="3" t="s">
        <v>9456</v>
      </c>
      <c r="D7512" s="265">
        <v>3.0</v>
      </c>
      <c r="E7512" s="3">
        <v>2099.0</v>
      </c>
      <c r="G7512" s="266">
        <v>43699.0</v>
      </c>
    </row>
    <row r="7513">
      <c r="A7513" s="217">
        <v>43700.74155497685</v>
      </c>
      <c r="B7513" s="3" t="s">
        <v>5092</v>
      </c>
      <c r="C7513" s="3" t="s">
        <v>4626</v>
      </c>
      <c r="D7513" s="265">
        <v>3.0</v>
      </c>
      <c r="E7513" s="3">
        <v>1799.0</v>
      </c>
      <c r="G7513" s="266">
        <v>43699.0</v>
      </c>
    </row>
    <row r="7514">
      <c r="A7514" s="217">
        <v>43700.741912673606</v>
      </c>
      <c r="B7514" s="3" t="s">
        <v>5092</v>
      </c>
      <c r="C7514" s="3" t="s">
        <v>4885</v>
      </c>
      <c r="D7514" s="265">
        <v>2.0</v>
      </c>
      <c r="E7514" s="3">
        <v>1699.0</v>
      </c>
      <c r="G7514" s="266">
        <v>43699.0</v>
      </c>
    </row>
    <row r="7515">
      <c r="A7515" s="217">
        <v>43700.74367241898</v>
      </c>
      <c r="B7515" s="3" t="s">
        <v>5092</v>
      </c>
      <c r="C7515" s="3" t="s">
        <v>4891</v>
      </c>
      <c r="D7515" s="265">
        <v>2.0</v>
      </c>
      <c r="E7515" s="3">
        <v>1699.0</v>
      </c>
      <c r="G7515" s="266">
        <v>43699.0</v>
      </c>
    </row>
    <row r="7516">
      <c r="A7516" s="217">
        <v>43700.744098020834</v>
      </c>
      <c r="B7516" s="3" t="s">
        <v>5092</v>
      </c>
      <c r="C7516" s="3" t="s">
        <v>4897</v>
      </c>
      <c r="D7516" s="265">
        <v>2.0</v>
      </c>
      <c r="E7516" s="3">
        <v>1999.0</v>
      </c>
      <c r="G7516" s="266">
        <v>43699.0</v>
      </c>
    </row>
    <row r="7517">
      <c r="A7517" s="217">
        <v>43700.74438376157</v>
      </c>
      <c r="B7517" s="3" t="s">
        <v>5092</v>
      </c>
      <c r="C7517" s="3" t="s">
        <v>9457</v>
      </c>
      <c r="D7517" s="265">
        <v>2.0</v>
      </c>
      <c r="E7517" s="3">
        <v>1999.0</v>
      </c>
      <c r="G7517" s="266">
        <v>43699.0</v>
      </c>
    </row>
    <row r="7518">
      <c r="A7518" s="217">
        <v>43700.74469572917</v>
      </c>
      <c r="B7518" s="3" t="s">
        <v>5092</v>
      </c>
      <c r="C7518" s="3" t="s">
        <v>1275</v>
      </c>
      <c r="D7518" s="265">
        <v>2.0</v>
      </c>
      <c r="E7518" s="3">
        <v>1999.0</v>
      </c>
      <c r="G7518" s="266">
        <v>43699.0</v>
      </c>
    </row>
    <row r="7519">
      <c r="A7519" s="217">
        <v>43700.74512280093</v>
      </c>
      <c r="B7519" s="3" t="s">
        <v>5092</v>
      </c>
      <c r="C7519" s="3" t="s">
        <v>1278</v>
      </c>
      <c r="D7519" s="265">
        <v>2.0</v>
      </c>
      <c r="E7519" s="3">
        <v>2212.0</v>
      </c>
      <c r="G7519" s="266">
        <v>43699.0</v>
      </c>
    </row>
    <row r="7520">
      <c r="A7520" s="217">
        <v>43700.74555815972</v>
      </c>
      <c r="B7520" s="3" t="s">
        <v>5092</v>
      </c>
      <c r="C7520" s="3" t="s">
        <v>5005</v>
      </c>
      <c r="D7520" s="265">
        <v>2.0</v>
      </c>
      <c r="E7520" s="3">
        <v>1399.0</v>
      </c>
      <c r="G7520" s="266">
        <v>43699.0</v>
      </c>
    </row>
    <row r="7521">
      <c r="A7521" s="217">
        <v>43700.74592071759</v>
      </c>
      <c r="B7521" s="3" t="s">
        <v>5092</v>
      </c>
      <c r="C7521" s="3" t="s">
        <v>9458</v>
      </c>
      <c r="D7521" s="265">
        <v>2.0</v>
      </c>
      <c r="E7521" s="3">
        <v>1299.0</v>
      </c>
      <c r="G7521" s="266">
        <v>43699.0</v>
      </c>
    </row>
    <row r="7522">
      <c r="A7522" s="217">
        <v>43700.74626587963</v>
      </c>
      <c r="B7522" s="3" t="s">
        <v>5092</v>
      </c>
      <c r="C7522" s="3" t="s">
        <v>5007</v>
      </c>
      <c r="D7522" s="265">
        <v>2.0</v>
      </c>
      <c r="E7522" s="3">
        <v>1399.0</v>
      </c>
      <c r="G7522" s="266">
        <v>43699.0</v>
      </c>
    </row>
    <row r="7523">
      <c r="A7523" s="217">
        <v>43700.74670309028</v>
      </c>
      <c r="B7523" s="3" t="s">
        <v>5092</v>
      </c>
      <c r="C7523" s="3" t="s">
        <v>9459</v>
      </c>
      <c r="D7523" s="265">
        <v>2.0</v>
      </c>
      <c r="E7523" s="3">
        <v>1399.0</v>
      </c>
      <c r="G7523" s="266">
        <v>43699.0</v>
      </c>
    </row>
    <row r="7524">
      <c r="A7524" s="217">
        <v>43700.74702116898</v>
      </c>
      <c r="B7524" s="3" t="s">
        <v>5092</v>
      </c>
      <c r="C7524" s="3" t="s">
        <v>5013</v>
      </c>
      <c r="D7524" s="265">
        <v>3.0</v>
      </c>
      <c r="E7524" s="3">
        <v>1299.0</v>
      </c>
      <c r="G7524" s="266">
        <v>43699.0</v>
      </c>
    </row>
    <row r="7525">
      <c r="A7525" s="217">
        <v>43700.74745601852</v>
      </c>
      <c r="B7525" s="3" t="s">
        <v>5092</v>
      </c>
      <c r="C7525" s="3" t="s">
        <v>5015</v>
      </c>
      <c r="D7525" s="265">
        <v>2.0</v>
      </c>
      <c r="E7525" s="3">
        <v>1399.0</v>
      </c>
      <c r="G7525" s="266">
        <v>43699.0</v>
      </c>
    </row>
    <row r="7526">
      <c r="A7526" s="217">
        <v>43700.7477893287</v>
      </c>
      <c r="B7526" s="3" t="s">
        <v>5092</v>
      </c>
      <c r="C7526" s="3" t="s">
        <v>9460</v>
      </c>
      <c r="D7526" s="265">
        <v>3.0</v>
      </c>
      <c r="E7526" s="3">
        <v>2499.0</v>
      </c>
      <c r="G7526" s="266">
        <v>43699.0</v>
      </c>
    </row>
    <row r="7527">
      <c r="A7527" s="217">
        <v>43700.748049305555</v>
      </c>
      <c r="B7527" s="3" t="s">
        <v>5092</v>
      </c>
      <c r="C7527" s="3" t="s">
        <v>2063</v>
      </c>
      <c r="D7527" s="265">
        <v>1.0</v>
      </c>
      <c r="G7527" s="266">
        <v>43699.0</v>
      </c>
    </row>
    <row r="7528">
      <c r="A7528" s="217">
        <v>43704.5285177662</v>
      </c>
      <c r="B7528" s="3" t="s">
        <v>2322</v>
      </c>
      <c r="C7528" s="3" t="s">
        <v>6342</v>
      </c>
      <c r="D7528" s="265">
        <v>0.0</v>
      </c>
      <c r="E7528" s="3">
        <v>3890.0</v>
      </c>
      <c r="G7528" s="266">
        <v>43701.0</v>
      </c>
    </row>
    <row r="7529">
      <c r="A7529" s="217">
        <v>43704.53130973379</v>
      </c>
      <c r="B7529" s="3" t="s">
        <v>5184</v>
      </c>
      <c r="C7529" s="3" t="s">
        <v>4659</v>
      </c>
      <c r="D7529" s="265">
        <v>2.0</v>
      </c>
      <c r="E7529" s="3">
        <v>995.0</v>
      </c>
      <c r="G7529" s="266">
        <v>43704.0</v>
      </c>
    </row>
    <row r="7530">
      <c r="A7530" s="217">
        <v>43704.53348266204</v>
      </c>
      <c r="B7530" s="3" t="s">
        <v>5184</v>
      </c>
      <c r="C7530" s="3" t="s">
        <v>5007</v>
      </c>
      <c r="D7530" s="265">
        <v>2.0</v>
      </c>
      <c r="G7530" s="266">
        <v>43704.0</v>
      </c>
    </row>
    <row r="7531">
      <c r="A7531" s="217">
        <v>43704.74307435185</v>
      </c>
      <c r="B7531" s="3" t="s">
        <v>5092</v>
      </c>
      <c r="C7531" s="3" t="s">
        <v>7806</v>
      </c>
      <c r="D7531" s="265">
        <v>4.0</v>
      </c>
      <c r="E7531" s="3">
        <v>600.0</v>
      </c>
      <c r="G7531" s="266">
        <v>43703.0</v>
      </c>
    </row>
    <row r="7532">
      <c r="A7532" s="217">
        <v>43704.743629062505</v>
      </c>
      <c r="B7532" s="3" t="s">
        <v>5092</v>
      </c>
      <c r="C7532" s="3" t="s">
        <v>8874</v>
      </c>
      <c r="D7532" s="265">
        <v>6.0</v>
      </c>
      <c r="E7532" s="3">
        <v>300.0</v>
      </c>
      <c r="G7532" s="266">
        <v>43703.0</v>
      </c>
    </row>
    <row r="7533">
      <c r="A7533" s="217">
        <v>43704.744146990735</v>
      </c>
      <c r="B7533" s="3" t="s">
        <v>5092</v>
      </c>
      <c r="C7533" s="3" t="s">
        <v>244</v>
      </c>
      <c r="D7533" s="265">
        <v>2.0</v>
      </c>
      <c r="E7533" s="3">
        <v>400.0</v>
      </c>
      <c r="G7533" s="266">
        <v>43703.0</v>
      </c>
    </row>
    <row r="7534">
      <c r="A7534" s="217">
        <v>43704.744535300924</v>
      </c>
      <c r="B7534" s="3" t="s">
        <v>5092</v>
      </c>
      <c r="C7534" s="3" t="s">
        <v>8874</v>
      </c>
      <c r="D7534" s="265">
        <v>1.0</v>
      </c>
      <c r="E7534" s="3">
        <v>300.0</v>
      </c>
      <c r="G7534" s="266">
        <v>43703.0</v>
      </c>
    </row>
    <row r="7535">
      <c r="A7535" s="217">
        <v>43704.74487792824</v>
      </c>
      <c r="B7535" s="3" t="s">
        <v>5092</v>
      </c>
      <c r="C7535" s="3" t="s">
        <v>284</v>
      </c>
      <c r="D7535" s="265">
        <v>6.0</v>
      </c>
      <c r="E7535" s="3">
        <v>500.0</v>
      </c>
      <c r="G7535" s="266">
        <v>43703.0</v>
      </c>
    </row>
    <row r="7536">
      <c r="A7536" s="217">
        <v>43708.61648515046</v>
      </c>
      <c r="B7536" s="3" t="s">
        <v>5184</v>
      </c>
      <c r="C7536" s="3" t="s">
        <v>4509</v>
      </c>
      <c r="D7536" s="265">
        <v>2.0</v>
      </c>
      <c r="E7536" s="3">
        <v>2499.0</v>
      </c>
      <c r="G7536" s="266">
        <v>43706.0</v>
      </c>
    </row>
    <row r="7537">
      <c r="A7537" s="217">
        <v>43708.6177131713</v>
      </c>
      <c r="B7537" s="3" t="s">
        <v>5184</v>
      </c>
      <c r="C7537" s="3" t="s">
        <v>4514</v>
      </c>
      <c r="D7537" s="265">
        <v>2.0</v>
      </c>
      <c r="E7537" s="3">
        <v>2699.0</v>
      </c>
      <c r="G7537" s="266">
        <v>43706.0</v>
      </c>
    </row>
    <row r="7538">
      <c r="A7538" s="217">
        <v>43708.61853662037</v>
      </c>
      <c r="B7538" s="3" t="s">
        <v>5184</v>
      </c>
      <c r="C7538" s="3" t="s">
        <v>9452</v>
      </c>
      <c r="D7538" s="265">
        <v>2.0</v>
      </c>
      <c r="E7538" s="3">
        <v>2699.0</v>
      </c>
      <c r="G7538" s="266">
        <v>43706.0</v>
      </c>
    </row>
    <row r="7539">
      <c r="A7539" s="217">
        <v>43708.61943574074</v>
      </c>
      <c r="B7539" s="3" t="s">
        <v>5184</v>
      </c>
      <c r="C7539" s="3" t="s">
        <v>9453</v>
      </c>
      <c r="D7539" s="265">
        <v>2.0</v>
      </c>
      <c r="E7539" s="3">
        <v>2899.0</v>
      </c>
      <c r="G7539" s="266">
        <v>43706.0</v>
      </c>
    </row>
    <row r="7540">
      <c r="A7540" s="217">
        <v>43708.620195625</v>
      </c>
      <c r="B7540" s="3" t="s">
        <v>5184</v>
      </c>
      <c r="C7540" s="3" t="s">
        <v>1244</v>
      </c>
      <c r="D7540" s="265">
        <v>4.0</v>
      </c>
      <c r="E7540" s="3">
        <v>2699.0</v>
      </c>
      <c r="G7540" s="266">
        <v>43706.0</v>
      </c>
    </row>
    <row r="7541">
      <c r="A7541" s="217">
        <v>43708.62102118056</v>
      </c>
      <c r="B7541" s="3" t="s">
        <v>5184</v>
      </c>
      <c r="C7541" s="3" t="s">
        <v>1248</v>
      </c>
      <c r="D7541" s="265">
        <v>2.0</v>
      </c>
      <c r="E7541" s="3">
        <v>2699.0</v>
      </c>
      <c r="G7541" s="266">
        <v>43706.0</v>
      </c>
    </row>
    <row r="7542">
      <c r="A7542" s="217">
        <v>43708.62180179398</v>
      </c>
      <c r="B7542" s="3" t="s">
        <v>5184</v>
      </c>
      <c r="C7542" s="3" t="s">
        <v>9454</v>
      </c>
      <c r="D7542" s="265">
        <v>2.0</v>
      </c>
      <c r="E7542" s="3">
        <v>2699.0</v>
      </c>
      <c r="G7542" s="266">
        <v>43706.0</v>
      </c>
    </row>
    <row r="7543">
      <c r="A7543" s="217">
        <v>43708.62249050926</v>
      </c>
      <c r="B7543" s="3" t="s">
        <v>5184</v>
      </c>
      <c r="C7543" s="3" t="s">
        <v>1249</v>
      </c>
      <c r="D7543" s="265">
        <v>3.0</v>
      </c>
      <c r="E7543" s="3">
        <v>2699.0</v>
      </c>
      <c r="G7543" s="266">
        <v>43706.0</v>
      </c>
    </row>
    <row r="7544">
      <c r="A7544" s="217">
        <v>43708.6247043287</v>
      </c>
      <c r="B7544" s="3" t="s">
        <v>5184</v>
      </c>
      <c r="C7544" s="3" t="s">
        <v>4541</v>
      </c>
      <c r="D7544" s="265">
        <v>2.0</v>
      </c>
      <c r="E7544" s="3">
        <v>2899.0</v>
      </c>
      <c r="G7544" s="266">
        <v>43706.0</v>
      </c>
    </row>
    <row r="7545">
      <c r="A7545" s="217">
        <v>43708.62539336806</v>
      </c>
      <c r="B7545" s="3" t="s">
        <v>5184</v>
      </c>
      <c r="C7545" s="3" t="s">
        <v>9451</v>
      </c>
      <c r="D7545" s="265">
        <v>2.0</v>
      </c>
      <c r="E7545" s="3">
        <v>2899.0</v>
      </c>
      <c r="G7545" s="266">
        <v>43706.0</v>
      </c>
    </row>
    <row r="7546">
      <c r="A7546" s="217">
        <v>43708.72188761574</v>
      </c>
      <c r="B7546" s="3" t="s">
        <v>5184</v>
      </c>
      <c r="C7546" s="3" t="s">
        <v>4548</v>
      </c>
      <c r="D7546" s="265">
        <v>2.0</v>
      </c>
      <c r="E7546" s="3">
        <v>2699.0</v>
      </c>
      <c r="G7546" s="266">
        <v>43706.0</v>
      </c>
    </row>
    <row r="7547">
      <c r="A7547" s="217">
        <v>43708.72252574074</v>
      </c>
      <c r="B7547" s="3" t="s">
        <v>5184</v>
      </c>
      <c r="C7547" s="3" t="s">
        <v>4552</v>
      </c>
      <c r="D7547" s="265">
        <v>3.0</v>
      </c>
      <c r="E7547" s="3">
        <v>2699.0</v>
      </c>
      <c r="G7547" s="266">
        <v>43706.0</v>
      </c>
    </row>
    <row r="7548">
      <c r="A7548" s="217">
        <v>43708.765703136574</v>
      </c>
      <c r="B7548" s="3" t="s">
        <v>5184</v>
      </c>
      <c r="C7548" s="3" t="s">
        <v>4736</v>
      </c>
      <c r="D7548" s="265">
        <v>2.0</v>
      </c>
      <c r="E7548" s="3">
        <v>2299.0</v>
      </c>
      <c r="G7548" s="266">
        <v>43706.0</v>
      </c>
    </row>
    <row r="7549">
      <c r="A7549" s="217">
        <v>43708.76635099537</v>
      </c>
      <c r="B7549" s="3" t="s">
        <v>5184</v>
      </c>
      <c r="C7549" s="3" t="s">
        <v>1254</v>
      </c>
      <c r="D7549" s="265">
        <v>2.0</v>
      </c>
      <c r="E7549" s="3">
        <v>2299.0</v>
      </c>
      <c r="G7549" s="266">
        <v>43706.0</v>
      </c>
    </row>
    <row r="7550">
      <c r="A7550" s="217">
        <v>43709.42742853009</v>
      </c>
      <c r="B7550" s="3" t="s">
        <v>5184</v>
      </c>
      <c r="C7550" s="3" t="s">
        <v>9455</v>
      </c>
      <c r="D7550" s="265">
        <v>2.0</v>
      </c>
      <c r="E7550" s="3">
        <v>2099.0</v>
      </c>
      <c r="G7550" s="266">
        <v>43706.0</v>
      </c>
    </row>
    <row r="7551">
      <c r="A7551" s="217">
        <v>43709.42816913195</v>
      </c>
      <c r="B7551" s="3" t="s">
        <v>5184</v>
      </c>
      <c r="C7551" s="3" t="s">
        <v>1279</v>
      </c>
      <c r="D7551" s="265">
        <v>1.0</v>
      </c>
      <c r="E7551" s="3">
        <v>1699.0</v>
      </c>
      <c r="G7551" s="266">
        <v>43706.0</v>
      </c>
    </row>
    <row r="7552">
      <c r="A7552" s="217">
        <v>43709.42897221065</v>
      </c>
      <c r="B7552" s="3" t="s">
        <v>5184</v>
      </c>
      <c r="C7552" s="3" t="s">
        <v>4578</v>
      </c>
      <c r="D7552" s="265">
        <v>2.0</v>
      </c>
      <c r="E7552" s="3">
        <v>1299.0</v>
      </c>
      <c r="G7552" s="266">
        <v>43706.0</v>
      </c>
    </row>
    <row r="7553">
      <c r="A7553" s="217">
        <v>43709.430114421295</v>
      </c>
      <c r="B7553" s="3" t="s">
        <v>5184</v>
      </c>
      <c r="C7553" s="3" t="s">
        <v>4589</v>
      </c>
      <c r="D7553" s="265">
        <v>1.0</v>
      </c>
      <c r="E7553" s="3">
        <v>2099.0</v>
      </c>
      <c r="G7553" s="266">
        <v>43706.0</v>
      </c>
    </row>
    <row r="7554">
      <c r="A7554" s="217">
        <v>43709.43141493056</v>
      </c>
      <c r="B7554" s="3" t="s">
        <v>5184</v>
      </c>
      <c r="C7554" s="3" t="s">
        <v>4593</v>
      </c>
      <c r="D7554" s="265">
        <v>3.0</v>
      </c>
      <c r="E7554" s="3">
        <v>1299.0</v>
      </c>
      <c r="G7554" s="266">
        <v>43706.0</v>
      </c>
    </row>
    <row r="7555">
      <c r="A7555" s="217">
        <v>43709.4322577662</v>
      </c>
      <c r="B7555" s="3" t="s">
        <v>5184</v>
      </c>
      <c r="C7555" s="3" t="s">
        <v>1257</v>
      </c>
      <c r="D7555" s="265">
        <v>2.0</v>
      </c>
      <c r="E7555" s="3">
        <v>1299.0</v>
      </c>
      <c r="G7555" s="266">
        <v>43706.0</v>
      </c>
    </row>
    <row r="7556">
      <c r="A7556" s="217">
        <v>43709.43292199074</v>
      </c>
      <c r="B7556" s="3" t="s">
        <v>5184</v>
      </c>
      <c r="C7556" s="3" t="s">
        <v>4595</v>
      </c>
      <c r="D7556" s="265">
        <v>2.0</v>
      </c>
      <c r="E7556" s="3">
        <v>1295.0</v>
      </c>
      <c r="G7556" s="266">
        <v>43706.0</v>
      </c>
    </row>
    <row r="7557">
      <c r="A7557" s="217">
        <v>43709.43358166667</v>
      </c>
      <c r="B7557" s="3" t="s">
        <v>5184</v>
      </c>
      <c r="C7557" s="3" t="s">
        <v>4603</v>
      </c>
      <c r="D7557" s="265">
        <v>2.0</v>
      </c>
      <c r="E7557" s="3">
        <v>1299.0</v>
      </c>
      <c r="G7557" s="266">
        <v>43706.0</v>
      </c>
    </row>
    <row r="7558">
      <c r="A7558" s="217">
        <v>43709.43427846065</v>
      </c>
      <c r="B7558" s="3" t="s">
        <v>5184</v>
      </c>
      <c r="C7558" s="3" t="s">
        <v>1259</v>
      </c>
      <c r="D7558" s="265">
        <v>2.0</v>
      </c>
      <c r="E7558" s="3">
        <v>1299.0</v>
      </c>
      <c r="G7558" s="266">
        <v>43706.0</v>
      </c>
    </row>
    <row r="7559">
      <c r="A7559" s="217">
        <v>43709.434957418984</v>
      </c>
      <c r="B7559" s="3" t="s">
        <v>5184</v>
      </c>
      <c r="C7559" s="3" t="s">
        <v>4609</v>
      </c>
      <c r="D7559" s="265">
        <v>1.0</v>
      </c>
      <c r="E7559" s="3">
        <v>2450.0</v>
      </c>
      <c r="G7559" s="266">
        <v>43706.0</v>
      </c>
    </row>
    <row r="7560">
      <c r="A7560" s="217">
        <v>43709.43562576389</v>
      </c>
      <c r="B7560" s="3" t="s">
        <v>5184</v>
      </c>
      <c r="C7560" s="3" t="s">
        <v>1261</v>
      </c>
      <c r="D7560" s="265">
        <v>2.0</v>
      </c>
      <c r="E7560" s="3">
        <v>2450.0</v>
      </c>
      <c r="G7560" s="266">
        <v>43706.0</v>
      </c>
    </row>
    <row r="7561">
      <c r="A7561" s="217">
        <v>43709.43634731481</v>
      </c>
      <c r="B7561" s="3" t="s">
        <v>5184</v>
      </c>
      <c r="C7561" s="3" t="s">
        <v>4847</v>
      </c>
      <c r="D7561" s="265">
        <v>2.0</v>
      </c>
      <c r="E7561" s="3">
        <v>1699.0</v>
      </c>
      <c r="G7561" s="266">
        <v>43706.0</v>
      </c>
    </row>
    <row r="7562">
      <c r="A7562" s="217">
        <v>43709.43706010417</v>
      </c>
      <c r="B7562" s="3" t="s">
        <v>5184</v>
      </c>
      <c r="C7562" s="3" t="s">
        <v>1267</v>
      </c>
      <c r="D7562" s="265">
        <v>4.0</v>
      </c>
      <c r="E7562" s="3">
        <v>1999.0</v>
      </c>
      <c r="G7562" s="266">
        <v>43706.0</v>
      </c>
    </row>
    <row r="7563">
      <c r="A7563" s="217">
        <v>43709.43860815972</v>
      </c>
      <c r="B7563" s="3" t="s">
        <v>5184</v>
      </c>
      <c r="C7563" s="3" t="s">
        <v>9450</v>
      </c>
      <c r="D7563" s="265">
        <v>1.0</v>
      </c>
      <c r="E7563" s="3">
        <v>2499.0</v>
      </c>
      <c r="G7563" s="266">
        <v>43706.0</v>
      </c>
    </row>
    <row r="7564">
      <c r="A7564" s="217">
        <v>43710.44679552084</v>
      </c>
      <c r="B7564" s="3" t="s">
        <v>5184</v>
      </c>
      <c r="C7564" s="3" t="s">
        <v>700</v>
      </c>
      <c r="D7564" s="265">
        <v>3.0</v>
      </c>
      <c r="E7564" s="3">
        <v>1399.0</v>
      </c>
      <c r="G7564" s="266">
        <v>43706.0</v>
      </c>
    </row>
    <row r="7565">
      <c r="A7565" s="217">
        <v>43710.44913976852</v>
      </c>
      <c r="B7565" s="3" t="s">
        <v>5184</v>
      </c>
      <c r="C7565" s="3" t="s">
        <v>4620</v>
      </c>
      <c r="D7565" s="265">
        <v>3.0</v>
      </c>
      <c r="E7565" s="3">
        <v>1699.0</v>
      </c>
      <c r="G7565" s="266">
        <v>43706.0</v>
      </c>
    </row>
    <row r="7566">
      <c r="A7566" s="217">
        <v>43710.45340009259</v>
      </c>
      <c r="B7566" s="3" t="s">
        <v>5184</v>
      </c>
      <c r="C7566" s="3" t="s">
        <v>4622</v>
      </c>
      <c r="D7566" s="265">
        <v>2.0</v>
      </c>
      <c r="E7566" s="3">
        <v>1999.0</v>
      </c>
      <c r="G7566" s="266">
        <v>43706.0</v>
      </c>
    </row>
    <row r="7567">
      <c r="A7567" s="217">
        <v>43710.4548042824</v>
      </c>
      <c r="B7567" s="3" t="s">
        <v>5184</v>
      </c>
      <c r="C7567" s="3" t="s">
        <v>9456</v>
      </c>
      <c r="D7567" s="265">
        <v>3.0</v>
      </c>
      <c r="E7567" s="3">
        <v>2099.0</v>
      </c>
      <c r="G7567" s="266">
        <v>43706.0</v>
      </c>
    </row>
    <row r="7568">
      <c r="A7568" s="217">
        <v>43710.455939085645</v>
      </c>
      <c r="B7568" s="3" t="s">
        <v>5184</v>
      </c>
      <c r="C7568" s="3" t="s">
        <v>4626</v>
      </c>
      <c r="D7568" s="265">
        <v>3.0</v>
      </c>
      <c r="E7568" s="3">
        <v>1799.0</v>
      </c>
      <c r="G7568" s="266">
        <v>43706.0</v>
      </c>
    </row>
    <row r="7569">
      <c r="A7569" s="217">
        <v>43710.45750340278</v>
      </c>
      <c r="B7569" s="3" t="s">
        <v>5184</v>
      </c>
      <c r="C7569" s="3" t="s">
        <v>4885</v>
      </c>
      <c r="D7569" s="265">
        <v>2.0</v>
      </c>
      <c r="E7569" s="3">
        <v>1699.0</v>
      </c>
      <c r="G7569" s="266">
        <v>43706.0</v>
      </c>
    </row>
    <row r="7570">
      <c r="A7570" s="217">
        <v>43710.45853229167</v>
      </c>
      <c r="B7570" s="3" t="s">
        <v>5184</v>
      </c>
      <c r="C7570" s="3" t="s">
        <v>4891</v>
      </c>
      <c r="D7570" s="265">
        <v>2.0</v>
      </c>
      <c r="E7570" s="3">
        <v>1699.0</v>
      </c>
      <c r="G7570" s="266">
        <v>43706.0</v>
      </c>
    </row>
    <row r="7571">
      <c r="A7571" s="217">
        <v>43710.45956150463</v>
      </c>
      <c r="B7571" s="3" t="s">
        <v>5184</v>
      </c>
      <c r="C7571" s="3" t="s">
        <v>4897</v>
      </c>
      <c r="D7571" s="265">
        <v>2.0</v>
      </c>
      <c r="E7571" s="3">
        <v>1999.0</v>
      </c>
      <c r="G7571" s="266">
        <v>43706.0</v>
      </c>
    </row>
    <row r="7572">
      <c r="A7572" s="217">
        <v>43710.46079297454</v>
      </c>
      <c r="B7572" s="3" t="s">
        <v>5184</v>
      </c>
      <c r="C7572" s="3" t="s">
        <v>9457</v>
      </c>
      <c r="D7572" s="265">
        <v>2.0</v>
      </c>
      <c r="E7572" s="3">
        <v>1999.0</v>
      </c>
      <c r="G7572" s="266">
        <v>43706.0</v>
      </c>
    </row>
    <row r="7573">
      <c r="A7573" s="217">
        <v>43710.46183594907</v>
      </c>
      <c r="B7573" s="3" t="s">
        <v>5184</v>
      </c>
      <c r="C7573" s="3" t="s">
        <v>1275</v>
      </c>
      <c r="D7573" s="265">
        <v>2.0</v>
      </c>
      <c r="E7573" s="3">
        <v>1999.0</v>
      </c>
      <c r="G7573" s="266">
        <v>43706.0</v>
      </c>
    </row>
    <row r="7574">
      <c r="A7574" s="217">
        <v>43710.462814687504</v>
      </c>
      <c r="B7574" s="3" t="s">
        <v>5184</v>
      </c>
      <c r="C7574" s="3" t="s">
        <v>1278</v>
      </c>
      <c r="D7574" s="265">
        <v>2.0</v>
      </c>
      <c r="E7574" s="3">
        <v>2212.0</v>
      </c>
      <c r="G7574" s="266">
        <v>43706.0</v>
      </c>
    </row>
    <row r="7575">
      <c r="A7575" s="217">
        <v>43710.46364887731</v>
      </c>
      <c r="B7575" s="3" t="s">
        <v>5184</v>
      </c>
      <c r="C7575" s="3" t="s">
        <v>4976</v>
      </c>
      <c r="D7575" s="265">
        <v>5.0</v>
      </c>
      <c r="E7575" s="3">
        <v>899.0</v>
      </c>
      <c r="G7575" s="266">
        <v>43706.0</v>
      </c>
    </row>
    <row r="7576">
      <c r="A7576" s="217">
        <v>43710.465061180555</v>
      </c>
      <c r="B7576" s="3" t="s">
        <v>5184</v>
      </c>
      <c r="C7576" s="3" t="s">
        <v>5005</v>
      </c>
      <c r="D7576" s="265">
        <v>2.0</v>
      </c>
      <c r="E7576" s="3">
        <v>1399.0</v>
      </c>
      <c r="G7576" s="266">
        <v>43706.0</v>
      </c>
    </row>
    <row r="7577">
      <c r="A7577" s="217">
        <v>43710.46591126158</v>
      </c>
      <c r="B7577" s="3" t="s">
        <v>5184</v>
      </c>
      <c r="C7577" s="3" t="s">
        <v>9466</v>
      </c>
      <c r="D7577" s="265">
        <v>2.0</v>
      </c>
      <c r="E7577" s="3">
        <v>1399.0</v>
      </c>
      <c r="G7577" s="266">
        <v>43706.0</v>
      </c>
    </row>
    <row r="7578">
      <c r="A7578" s="217">
        <v>43710.4666096875</v>
      </c>
      <c r="B7578" s="3" t="s">
        <v>5184</v>
      </c>
      <c r="C7578" s="3" t="s">
        <v>5013</v>
      </c>
      <c r="D7578" s="265">
        <v>3.0</v>
      </c>
      <c r="E7578" s="3">
        <v>1299.0</v>
      </c>
      <c r="G7578" s="266">
        <v>43706.0</v>
      </c>
    </row>
    <row r="7579">
      <c r="A7579" s="217">
        <v>43710.46737060185</v>
      </c>
      <c r="B7579" s="3" t="s">
        <v>5184</v>
      </c>
      <c r="C7579" s="3" t="s">
        <v>9460</v>
      </c>
      <c r="D7579" s="265">
        <v>3.0</v>
      </c>
      <c r="E7579" s="3">
        <v>2499.0</v>
      </c>
      <c r="G7579" s="266">
        <v>43706.0</v>
      </c>
    </row>
    <row r="7580">
      <c r="A7580" s="217">
        <v>43710.468503842596</v>
      </c>
      <c r="B7580" s="3" t="s">
        <v>5184</v>
      </c>
      <c r="C7580" s="3" t="s">
        <v>1470</v>
      </c>
      <c r="D7580" s="265">
        <v>3.0</v>
      </c>
      <c r="E7580" s="3">
        <v>2150.0</v>
      </c>
      <c r="G7580" s="266">
        <v>43706.0</v>
      </c>
    </row>
    <row r="7581">
      <c r="A7581" s="217">
        <v>43710.469168842596</v>
      </c>
      <c r="B7581" s="3" t="s">
        <v>5184</v>
      </c>
      <c r="C7581" s="3" t="s">
        <v>1661</v>
      </c>
      <c r="D7581" s="265">
        <v>1.0</v>
      </c>
      <c r="E7581" s="3">
        <v>2225.0</v>
      </c>
      <c r="G7581" s="266">
        <v>43706.0</v>
      </c>
    </row>
    <row r="7582">
      <c r="A7582" s="217">
        <v>43710.47003273148</v>
      </c>
      <c r="B7582" s="3" t="s">
        <v>5184</v>
      </c>
      <c r="C7582" s="3" t="s">
        <v>1662</v>
      </c>
      <c r="D7582" s="265">
        <v>1.0</v>
      </c>
      <c r="E7582" s="3">
        <v>2225.0</v>
      </c>
      <c r="G7582" s="266">
        <v>43706.0</v>
      </c>
    </row>
    <row r="7583">
      <c r="A7583" s="217">
        <v>43710.47113049768</v>
      </c>
      <c r="B7583" s="3" t="s">
        <v>5184</v>
      </c>
      <c r="C7583" s="3" t="s">
        <v>9467</v>
      </c>
      <c r="D7583" s="265">
        <v>1.0</v>
      </c>
      <c r="E7583" s="3">
        <v>1950.0</v>
      </c>
      <c r="G7583" s="266">
        <v>43706.0</v>
      </c>
    </row>
    <row r="7584">
      <c r="A7584" s="217">
        <v>43710.47198528935</v>
      </c>
      <c r="B7584" s="3" t="s">
        <v>5184</v>
      </c>
      <c r="C7584" s="3" t="s">
        <v>1754</v>
      </c>
      <c r="D7584" s="265">
        <v>1.0</v>
      </c>
      <c r="E7584" s="3">
        <v>3375.0</v>
      </c>
      <c r="G7584" s="266">
        <v>43706.0</v>
      </c>
    </row>
    <row r="7585">
      <c r="A7585" s="217">
        <v>43710.47975946759</v>
      </c>
      <c r="B7585" s="3" t="s">
        <v>5184</v>
      </c>
      <c r="C7585" s="3" t="s">
        <v>9468</v>
      </c>
      <c r="D7585" s="265">
        <v>2.0</v>
      </c>
      <c r="E7585" s="3">
        <v>2950.0</v>
      </c>
      <c r="G7585" s="266">
        <v>43706.0</v>
      </c>
    </row>
    <row r="7586">
      <c r="A7586" s="217">
        <v>43710.48043138889</v>
      </c>
      <c r="B7586" s="3" t="s">
        <v>5184</v>
      </c>
      <c r="C7586" s="3" t="s">
        <v>1766</v>
      </c>
      <c r="D7586" s="265">
        <v>1.0</v>
      </c>
      <c r="E7586" s="3">
        <v>3500.0</v>
      </c>
      <c r="G7586" s="266">
        <v>43706.0</v>
      </c>
    </row>
    <row r="7587">
      <c r="A7587" s="217">
        <v>43710.4812084838</v>
      </c>
      <c r="B7587" s="3" t="s">
        <v>5184</v>
      </c>
      <c r="C7587" s="3" t="s">
        <v>9388</v>
      </c>
      <c r="D7587" s="265">
        <v>1.0</v>
      </c>
      <c r="E7587" s="3">
        <v>7900.0</v>
      </c>
      <c r="G7587" s="266">
        <v>43706.0</v>
      </c>
    </row>
    <row r="7588">
      <c r="A7588" s="217">
        <v>43710.482337141206</v>
      </c>
      <c r="B7588" s="3" t="s">
        <v>5184</v>
      </c>
      <c r="C7588" s="3" t="s">
        <v>8617</v>
      </c>
      <c r="D7588" s="265">
        <v>1.0</v>
      </c>
      <c r="E7588" s="3">
        <v>2590.0</v>
      </c>
      <c r="G7588" s="266">
        <v>43706.0</v>
      </c>
    </row>
    <row r="7589">
      <c r="A7589" s="217">
        <v>43710.4832375</v>
      </c>
      <c r="B7589" s="3" t="s">
        <v>5184</v>
      </c>
      <c r="C7589" s="3" t="s">
        <v>2158</v>
      </c>
      <c r="D7589" s="265">
        <v>2.0</v>
      </c>
      <c r="E7589" s="3">
        <v>3490.0</v>
      </c>
      <c r="G7589" s="266">
        <v>43706.0</v>
      </c>
    </row>
    <row r="7590">
      <c r="A7590" s="217">
        <v>43710.48415753472</v>
      </c>
      <c r="B7590" s="3" t="s">
        <v>5184</v>
      </c>
      <c r="C7590" s="3" t="s">
        <v>9469</v>
      </c>
      <c r="D7590" s="265">
        <v>1.0</v>
      </c>
      <c r="E7590" s="3">
        <v>3390.0</v>
      </c>
      <c r="G7590" s="266">
        <v>43706.0</v>
      </c>
    </row>
    <row r="7591">
      <c r="A7591" s="217">
        <v>43710.48481818287</v>
      </c>
      <c r="B7591" s="3" t="s">
        <v>5184</v>
      </c>
      <c r="C7591" s="3" t="s">
        <v>8777</v>
      </c>
      <c r="D7591" s="265">
        <v>1.0</v>
      </c>
      <c r="E7591" s="3">
        <v>7190.0</v>
      </c>
      <c r="G7591" s="266">
        <v>43699.0</v>
      </c>
    </row>
    <row r="7592">
      <c r="A7592" s="217">
        <v>43710.48546642361</v>
      </c>
      <c r="B7592" s="3" t="s">
        <v>5184</v>
      </c>
      <c r="C7592" s="3" t="s">
        <v>8776</v>
      </c>
      <c r="D7592" s="265">
        <v>1.0</v>
      </c>
      <c r="E7592" s="3">
        <v>7190.0</v>
      </c>
      <c r="G7592" s="266">
        <v>43706.0</v>
      </c>
    </row>
    <row r="7593">
      <c r="A7593" s="217">
        <v>43710.48624380787</v>
      </c>
      <c r="B7593" s="3" t="s">
        <v>5184</v>
      </c>
      <c r="C7593" s="3" t="s">
        <v>5531</v>
      </c>
      <c r="D7593" s="265">
        <v>1.0</v>
      </c>
      <c r="E7593" s="3">
        <v>3390.0</v>
      </c>
      <c r="G7593" s="266">
        <v>43706.0</v>
      </c>
    </row>
    <row r="7594">
      <c r="A7594" s="217">
        <v>43710.48698262731</v>
      </c>
      <c r="B7594" s="3" t="s">
        <v>5184</v>
      </c>
      <c r="C7594" s="3" t="s">
        <v>2276</v>
      </c>
      <c r="D7594" s="265">
        <v>1.0</v>
      </c>
      <c r="E7594" s="3">
        <v>7190.0</v>
      </c>
      <c r="G7594" s="266">
        <v>43706.0</v>
      </c>
    </row>
    <row r="7595">
      <c r="A7595" s="217">
        <v>43710.48768096065</v>
      </c>
      <c r="B7595" s="3" t="s">
        <v>5184</v>
      </c>
      <c r="C7595" s="3" t="s">
        <v>9289</v>
      </c>
      <c r="D7595" s="265">
        <v>1.0</v>
      </c>
      <c r="E7595" s="3">
        <v>6190.0</v>
      </c>
      <c r="G7595" s="266">
        <v>43706.0</v>
      </c>
    </row>
    <row r="7596">
      <c r="A7596" s="217">
        <v>43711.481028379625</v>
      </c>
      <c r="B7596" s="3" t="s">
        <v>5184</v>
      </c>
      <c r="C7596" s="3" t="s">
        <v>2222</v>
      </c>
      <c r="D7596" s="265">
        <v>1.0</v>
      </c>
      <c r="E7596" s="3">
        <v>3636.0</v>
      </c>
      <c r="G7596" s="266">
        <v>43682.0</v>
      </c>
    </row>
    <row r="7597">
      <c r="A7597" s="217">
        <v>43711.483459236115</v>
      </c>
      <c r="B7597" s="3" t="s">
        <v>5184</v>
      </c>
      <c r="C7597" s="3" t="s">
        <v>6342</v>
      </c>
      <c r="D7597" s="265">
        <v>1.0</v>
      </c>
      <c r="E7597" s="3">
        <v>3297.0</v>
      </c>
      <c r="G7597" s="266">
        <v>43683.0</v>
      </c>
    </row>
    <row r="7598">
      <c r="A7598" s="217">
        <v>43711.485351400464</v>
      </c>
      <c r="B7598" s="3" t="s">
        <v>5184</v>
      </c>
      <c r="C7598" s="3" t="s">
        <v>1248</v>
      </c>
      <c r="D7598" s="265">
        <v>1.0</v>
      </c>
      <c r="E7598" s="3">
        <v>2118.0</v>
      </c>
      <c r="G7598" s="266">
        <v>43703.0</v>
      </c>
    </row>
    <row r="7599">
      <c r="A7599" s="217">
        <v>43711.48746363426</v>
      </c>
      <c r="B7599" s="3" t="s">
        <v>5184</v>
      </c>
      <c r="C7599" s="3" t="s">
        <v>1248</v>
      </c>
      <c r="D7599" s="265">
        <v>1.0</v>
      </c>
      <c r="E7599" s="3">
        <v>2118.0</v>
      </c>
      <c r="G7599" s="266">
        <v>43704.0</v>
      </c>
    </row>
    <row r="7600">
      <c r="A7600" s="217">
        <v>43711.48897957176</v>
      </c>
      <c r="B7600" s="3" t="s">
        <v>5184</v>
      </c>
      <c r="C7600" s="3" t="s">
        <v>4503</v>
      </c>
      <c r="D7600" s="265">
        <v>1.0</v>
      </c>
      <c r="E7600" s="3">
        <v>1568.0</v>
      </c>
      <c r="G7600" s="266">
        <v>43705.0</v>
      </c>
    </row>
    <row r="7601">
      <c r="A7601" s="217">
        <v>43711.491141122686</v>
      </c>
      <c r="B7601" s="3" t="s">
        <v>5184</v>
      </c>
      <c r="C7601" s="3" t="s">
        <v>4503</v>
      </c>
      <c r="D7601" s="265">
        <v>1.0</v>
      </c>
      <c r="E7601" s="3">
        <v>1568.0</v>
      </c>
      <c r="G7601" s="266">
        <v>43707.0</v>
      </c>
    </row>
    <row r="7602">
      <c r="A7602" s="217">
        <v>43711.49289043981</v>
      </c>
      <c r="B7602" s="3" t="s">
        <v>5184</v>
      </c>
      <c r="C7602" s="3" t="s">
        <v>9254</v>
      </c>
      <c r="D7602" s="265">
        <v>1.0</v>
      </c>
      <c r="E7602" s="3">
        <v>2773.0</v>
      </c>
      <c r="G7602" s="266">
        <v>43709.0</v>
      </c>
    </row>
    <row r="7603">
      <c r="A7603" s="217">
        <v>43711.494107384264</v>
      </c>
      <c r="B7603" s="3" t="s">
        <v>5184</v>
      </c>
      <c r="C7603" s="3" t="s">
        <v>9218</v>
      </c>
      <c r="D7603" s="265">
        <v>1.0</v>
      </c>
      <c r="E7603" s="3">
        <v>1573.0</v>
      </c>
      <c r="G7603" s="266">
        <v>43709.0</v>
      </c>
    </row>
    <row r="7604">
      <c r="A7604" s="217">
        <v>43711.495747650464</v>
      </c>
      <c r="B7604" s="3" t="s">
        <v>5184</v>
      </c>
      <c r="C7604" s="3" t="s">
        <v>8818</v>
      </c>
      <c r="D7604" s="265">
        <v>1.0</v>
      </c>
      <c r="E7604" s="3">
        <v>2420.0</v>
      </c>
      <c r="G7604" s="266">
        <v>43710.0</v>
      </c>
    </row>
    <row r="7605">
      <c r="A7605" s="217">
        <v>43711.562964247685</v>
      </c>
      <c r="B7605" s="3" t="s">
        <v>2322</v>
      </c>
      <c r="C7605" s="3" t="s">
        <v>2222</v>
      </c>
      <c r="D7605" s="265">
        <v>1.0</v>
      </c>
      <c r="E7605" s="3">
        <v>4290.0</v>
      </c>
      <c r="G7605" s="266">
        <v>43711.0</v>
      </c>
    </row>
    <row r="7606">
      <c r="A7606" s="217">
        <v>43712.45955881945</v>
      </c>
      <c r="B7606" s="3" t="s">
        <v>5184</v>
      </c>
      <c r="C7606" s="3" t="s">
        <v>6349</v>
      </c>
      <c r="D7606" s="265">
        <v>1.0</v>
      </c>
      <c r="E7606" s="3">
        <v>2286.0</v>
      </c>
      <c r="G7606" s="266">
        <v>43708.0</v>
      </c>
    </row>
    <row r="7607">
      <c r="A7607" s="217">
        <v>43712.46129075231</v>
      </c>
      <c r="B7607" s="3" t="s">
        <v>5184</v>
      </c>
      <c r="C7607" s="3" t="s">
        <v>2142</v>
      </c>
      <c r="D7607" s="265">
        <v>1.0</v>
      </c>
      <c r="E7607" s="3">
        <v>1580.0</v>
      </c>
      <c r="G7607" s="266">
        <v>43710.0</v>
      </c>
    </row>
    <row r="7608">
      <c r="A7608" s="217">
        <v>43712.463086041666</v>
      </c>
      <c r="B7608" s="3" t="s">
        <v>5184</v>
      </c>
      <c r="C7608" s="3" t="s">
        <v>2270</v>
      </c>
      <c r="D7608" s="265">
        <v>1.0</v>
      </c>
      <c r="E7608" s="3">
        <v>3108.0</v>
      </c>
      <c r="G7608" s="266">
        <v>43710.0</v>
      </c>
    </row>
    <row r="7609">
      <c r="A7609" s="217">
        <v>43712.46481023148</v>
      </c>
      <c r="B7609" s="3" t="s">
        <v>5184</v>
      </c>
      <c r="C7609" s="3" t="s">
        <v>8670</v>
      </c>
      <c r="D7609" s="265">
        <v>1.0</v>
      </c>
      <c r="E7609" s="3">
        <v>1186.0</v>
      </c>
      <c r="G7609" s="266">
        <v>43710.0</v>
      </c>
    </row>
    <row r="7610">
      <c r="A7610" s="217">
        <v>43712.46626527778</v>
      </c>
      <c r="B7610" s="3" t="s">
        <v>5184</v>
      </c>
      <c r="C7610" s="3" t="s">
        <v>1518</v>
      </c>
      <c r="D7610" s="265">
        <v>1.0</v>
      </c>
      <c r="E7610" s="3">
        <v>1154.0</v>
      </c>
      <c r="G7610" s="266">
        <v>43710.0</v>
      </c>
    </row>
    <row r="7611">
      <c r="A7611" s="217">
        <v>43712.46873450231</v>
      </c>
      <c r="B7611" s="3" t="s">
        <v>5184</v>
      </c>
      <c r="C7611" s="3" t="s">
        <v>8674</v>
      </c>
      <c r="D7611" s="265">
        <v>1.0</v>
      </c>
      <c r="E7611" s="3">
        <v>979.0</v>
      </c>
      <c r="G7611" s="266">
        <v>43710.0</v>
      </c>
    </row>
    <row r="7612">
      <c r="A7612" s="217">
        <v>43712.47050016204</v>
      </c>
      <c r="B7612" s="3" t="s">
        <v>5184</v>
      </c>
      <c r="C7612" s="3" t="s">
        <v>8818</v>
      </c>
      <c r="D7612" s="265">
        <v>1.0</v>
      </c>
      <c r="E7612" s="3">
        <v>2420.0</v>
      </c>
      <c r="G7612" s="266">
        <v>43710.0</v>
      </c>
    </row>
    <row r="7613">
      <c r="A7613" s="217">
        <v>43712.47238601852</v>
      </c>
      <c r="B7613" s="3" t="s">
        <v>5184</v>
      </c>
      <c r="C7613" s="3" t="s">
        <v>9212</v>
      </c>
      <c r="D7613" s="265">
        <v>1.0</v>
      </c>
      <c r="E7613" s="3">
        <v>1885.0</v>
      </c>
      <c r="G7613" s="266">
        <v>43710.0</v>
      </c>
    </row>
    <row r="7614">
      <c r="A7614" s="217">
        <v>43712.74022328704</v>
      </c>
      <c r="B7614" s="3" t="s">
        <v>5092</v>
      </c>
      <c r="C7614" s="3" t="s">
        <v>8874</v>
      </c>
      <c r="D7614" s="265">
        <v>14.0</v>
      </c>
      <c r="E7614" s="3">
        <v>300.0</v>
      </c>
      <c r="G7614" s="266">
        <v>43712.0</v>
      </c>
    </row>
    <row r="7615">
      <c r="A7615" s="217">
        <v>43712.7407490162</v>
      </c>
      <c r="B7615" s="3" t="s">
        <v>5092</v>
      </c>
      <c r="C7615" s="3" t="s">
        <v>8874</v>
      </c>
      <c r="D7615" s="265">
        <v>14.0</v>
      </c>
      <c r="E7615" s="3">
        <v>300.0</v>
      </c>
      <c r="G7615" s="266">
        <v>43712.0</v>
      </c>
    </row>
    <row r="7616">
      <c r="A7616" s="217">
        <v>43720.52840203704</v>
      </c>
      <c r="B7616" s="3" t="s">
        <v>5184</v>
      </c>
      <c r="C7616" s="3" t="s">
        <v>7241</v>
      </c>
      <c r="D7616" s="265">
        <v>1.0</v>
      </c>
      <c r="E7616" s="3">
        <v>5090.0</v>
      </c>
      <c r="G7616" s="266">
        <v>43718.0</v>
      </c>
    </row>
    <row r="7617">
      <c r="A7617" s="217">
        <v>43720.52982438657</v>
      </c>
      <c r="B7617" s="3" t="s">
        <v>5184</v>
      </c>
      <c r="C7617" s="3" t="s">
        <v>9517</v>
      </c>
      <c r="D7617" s="265">
        <v>1.0</v>
      </c>
      <c r="E7617" s="3">
        <v>1000.0</v>
      </c>
      <c r="G7617" s="266">
        <v>43718.0</v>
      </c>
    </row>
    <row r="7618">
      <c r="A7618" s="217">
        <v>43720.53169005787</v>
      </c>
      <c r="B7618" s="3" t="s">
        <v>5092</v>
      </c>
      <c r="C7618" s="3" t="s">
        <v>6765</v>
      </c>
      <c r="D7618" s="265">
        <v>1.0</v>
      </c>
      <c r="E7618" s="3">
        <v>5290.0</v>
      </c>
      <c r="G7618" s="266">
        <v>43718.0</v>
      </c>
    </row>
    <row r="7619">
      <c r="A7619" s="217">
        <v>43720.53263260417</v>
      </c>
      <c r="B7619" s="3" t="s">
        <v>5092</v>
      </c>
      <c r="C7619" s="3" t="s">
        <v>1923</v>
      </c>
      <c r="D7619" s="265">
        <v>2.0</v>
      </c>
      <c r="E7619" s="3">
        <v>5090.0</v>
      </c>
      <c r="G7619" s="266">
        <v>43718.0</v>
      </c>
    </row>
    <row r="7620">
      <c r="A7620" s="217">
        <v>43720.53363440972</v>
      </c>
      <c r="B7620" s="3" t="s">
        <v>5092</v>
      </c>
      <c r="C7620" s="3" t="s">
        <v>6390</v>
      </c>
      <c r="D7620" s="265">
        <v>1.0</v>
      </c>
      <c r="E7620" s="3">
        <v>5090.0</v>
      </c>
      <c r="G7620" s="266">
        <v>43718.0</v>
      </c>
    </row>
    <row r="7621">
      <c r="A7621" s="217">
        <v>43720.53433621528</v>
      </c>
      <c r="B7621" s="3" t="s">
        <v>5092</v>
      </c>
      <c r="C7621" s="3" t="s">
        <v>1925</v>
      </c>
      <c r="D7621" s="265">
        <v>1.0</v>
      </c>
      <c r="E7621" s="3">
        <v>5090.0</v>
      </c>
      <c r="G7621" s="266">
        <v>43718.0</v>
      </c>
    </row>
    <row r="7622">
      <c r="A7622" s="217">
        <v>43720.53504224537</v>
      </c>
      <c r="B7622" s="3" t="s">
        <v>5092</v>
      </c>
      <c r="C7622" s="3" t="s">
        <v>6774</v>
      </c>
      <c r="D7622" s="265">
        <v>1.0</v>
      </c>
      <c r="E7622" s="3">
        <v>4590.0</v>
      </c>
      <c r="G7622" s="266">
        <v>43718.0</v>
      </c>
    </row>
    <row r="7623">
      <c r="A7623" s="217">
        <v>43720.53574072917</v>
      </c>
      <c r="B7623" s="3" t="s">
        <v>5092</v>
      </c>
      <c r="C7623" s="3" t="s">
        <v>1911</v>
      </c>
      <c r="D7623" s="265">
        <v>1.0</v>
      </c>
      <c r="E7623" s="3">
        <v>5290.0</v>
      </c>
      <c r="G7623" s="266">
        <v>43718.0</v>
      </c>
    </row>
    <row r="7624">
      <c r="A7624" s="217">
        <v>43720.53629024306</v>
      </c>
      <c r="B7624" s="3" t="s">
        <v>5092</v>
      </c>
      <c r="C7624" s="3" t="s">
        <v>5193</v>
      </c>
      <c r="D7624" s="265">
        <v>1.0</v>
      </c>
      <c r="E7624" s="3">
        <v>3590.0</v>
      </c>
      <c r="G7624" s="266">
        <v>43718.0</v>
      </c>
    </row>
    <row r="7625">
      <c r="A7625" s="217">
        <v>43720.53687298611</v>
      </c>
      <c r="B7625" s="3" t="s">
        <v>5092</v>
      </c>
      <c r="C7625" s="3" t="s">
        <v>9519</v>
      </c>
      <c r="D7625" s="265">
        <v>1.0</v>
      </c>
      <c r="E7625" s="3">
        <v>4590.0</v>
      </c>
      <c r="G7625" s="266">
        <v>43718.0</v>
      </c>
    </row>
    <row r="7626">
      <c r="A7626" s="217">
        <v>43720.53750726852</v>
      </c>
      <c r="B7626" s="3" t="s">
        <v>5092</v>
      </c>
      <c r="C7626" s="3" t="s">
        <v>5403</v>
      </c>
      <c r="D7626" s="265">
        <v>1.0</v>
      </c>
      <c r="E7626" s="3">
        <v>5290.0</v>
      </c>
      <c r="G7626" s="266">
        <v>43718.0</v>
      </c>
    </row>
    <row r="7627">
      <c r="A7627" s="217">
        <v>43720.538090277776</v>
      </c>
      <c r="B7627" s="3" t="s">
        <v>5092</v>
      </c>
      <c r="C7627" s="3" t="s">
        <v>6392</v>
      </c>
      <c r="D7627" s="265">
        <v>1.0</v>
      </c>
      <c r="E7627" s="3">
        <v>6390.0</v>
      </c>
      <c r="G7627" s="266">
        <v>43718.0</v>
      </c>
    </row>
    <row r="7628">
      <c r="A7628" s="217">
        <v>43720.53910547454</v>
      </c>
      <c r="B7628" s="3" t="s">
        <v>5092</v>
      </c>
      <c r="C7628" s="3" t="s">
        <v>9520</v>
      </c>
      <c r="D7628" s="265">
        <v>1.0</v>
      </c>
      <c r="E7628" s="3">
        <v>7390.0</v>
      </c>
      <c r="G7628" s="266">
        <v>43718.0</v>
      </c>
    </row>
    <row r="7629">
      <c r="A7629" s="217">
        <v>43720.53972688658</v>
      </c>
      <c r="B7629" s="3" t="s">
        <v>5092</v>
      </c>
      <c r="C7629" s="3" t="s">
        <v>1905</v>
      </c>
      <c r="D7629" s="265">
        <v>1.0</v>
      </c>
      <c r="E7629" s="3">
        <v>7390.0</v>
      </c>
      <c r="G7629" s="266">
        <v>43718.0</v>
      </c>
    </row>
    <row r="7630">
      <c r="A7630" s="217">
        <v>43720.54064678241</v>
      </c>
      <c r="B7630" s="3" t="s">
        <v>5092</v>
      </c>
      <c r="C7630" s="3" t="s">
        <v>1906</v>
      </c>
      <c r="D7630" s="265">
        <v>1.0</v>
      </c>
      <c r="E7630" s="3">
        <v>7390.0</v>
      </c>
      <c r="G7630" s="266">
        <v>43718.0</v>
      </c>
    </row>
    <row r="7631">
      <c r="A7631" s="217">
        <v>43720.541340428244</v>
      </c>
      <c r="B7631" s="3" t="s">
        <v>5092</v>
      </c>
      <c r="C7631" s="3" t="s">
        <v>1909</v>
      </c>
      <c r="D7631" s="265">
        <v>1.0</v>
      </c>
      <c r="E7631" s="3">
        <v>4990.0</v>
      </c>
      <c r="G7631" s="266">
        <v>43718.0</v>
      </c>
    </row>
    <row r="7632">
      <c r="A7632" s="217">
        <v>43720.54219253472</v>
      </c>
      <c r="B7632" s="3" t="s">
        <v>5092</v>
      </c>
      <c r="C7632" s="3" t="s">
        <v>1920</v>
      </c>
      <c r="D7632" s="265">
        <v>1.0</v>
      </c>
      <c r="E7632" s="3">
        <v>10490.0</v>
      </c>
      <c r="G7632" s="266">
        <v>43718.0</v>
      </c>
    </row>
    <row r="7633">
      <c r="A7633" s="217">
        <v>43720.542911481476</v>
      </c>
      <c r="B7633" s="3" t="s">
        <v>5092</v>
      </c>
      <c r="C7633" s="3" t="s">
        <v>1932</v>
      </c>
      <c r="D7633" s="265">
        <v>1.0</v>
      </c>
      <c r="E7633" s="3">
        <v>5290.0</v>
      </c>
      <c r="G7633" s="266">
        <v>43718.0</v>
      </c>
    </row>
    <row r="7634">
      <c r="A7634" s="217">
        <v>43720.54363767361</v>
      </c>
      <c r="B7634" s="3" t="s">
        <v>5092</v>
      </c>
      <c r="C7634" s="3" t="s">
        <v>1938</v>
      </c>
      <c r="D7634" s="265">
        <v>2.0</v>
      </c>
      <c r="E7634" s="3">
        <v>4790.0</v>
      </c>
      <c r="G7634" s="266">
        <v>43718.0</v>
      </c>
    </row>
    <row r="7635">
      <c r="A7635" s="217">
        <v>43720.54431509259</v>
      </c>
      <c r="B7635" s="3" t="s">
        <v>5092</v>
      </c>
      <c r="C7635" s="3" t="s">
        <v>9521</v>
      </c>
      <c r="D7635" s="265">
        <v>1.0</v>
      </c>
      <c r="E7635" s="3">
        <v>4790.0</v>
      </c>
      <c r="G7635" s="266">
        <v>43718.0</v>
      </c>
    </row>
    <row r="7636">
      <c r="A7636" s="217">
        <v>43720.55272380787</v>
      </c>
      <c r="B7636" s="3" t="s">
        <v>5092</v>
      </c>
      <c r="C7636" s="3" t="s">
        <v>1953</v>
      </c>
      <c r="D7636" s="265">
        <v>1.0</v>
      </c>
      <c r="E7636" s="3">
        <v>4590.0</v>
      </c>
      <c r="G7636" s="266">
        <v>43718.0</v>
      </c>
    </row>
    <row r="7637">
      <c r="A7637" s="217">
        <v>43720.55340726852</v>
      </c>
      <c r="B7637" s="3" t="s">
        <v>5092</v>
      </c>
      <c r="C7637" s="3" t="s">
        <v>6768</v>
      </c>
      <c r="D7637" s="265">
        <v>1.0</v>
      </c>
      <c r="E7637" s="3">
        <v>4990.0</v>
      </c>
      <c r="G7637" s="266">
        <v>43718.0</v>
      </c>
    </row>
    <row r="7638">
      <c r="A7638" s="217">
        <v>43725.39845385417</v>
      </c>
      <c r="B7638" s="3" t="s">
        <v>5184</v>
      </c>
      <c r="C7638" s="3" t="s">
        <v>8936</v>
      </c>
      <c r="D7638" s="265">
        <v>1.0</v>
      </c>
      <c r="E7638" s="3">
        <v>1490.0</v>
      </c>
      <c r="G7638" s="266">
        <v>43722.0</v>
      </c>
    </row>
    <row r="7639">
      <c r="A7639" s="217">
        <v>43725.39946616898</v>
      </c>
      <c r="B7639" s="3" t="s">
        <v>5184</v>
      </c>
      <c r="C7639" s="3" t="s">
        <v>9517</v>
      </c>
      <c r="D7639" s="265">
        <v>1.0</v>
      </c>
      <c r="E7639" s="3">
        <v>1000.0</v>
      </c>
      <c r="G7639" s="266">
        <v>43722.0</v>
      </c>
    </row>
    <row r="7640">
      <c r="A7640" s="217">
        <v>43728.56132695602</v>
      </c>
      <c r="B7640" s="3" t="s">
        <v>5184</v>
      </c>
      <c r="C7640" s="3" t="s">
        <v>5247</v>
      </c>
      <c r="D7640" s="265">
        <v>1.0</v>
      </c>
      <c r="E7640" s="3">
        <v>10500.0</v>
      </c>
      <c r="G7640" s="266">
        <v>43728.0</v>
      </c>
    </row>
    <row r="7641">
      <c r="A7641" s="217">
        <v>43728.56239101852</v>
      </c>
      <c r="B7641" s="3" t="s">
        <v>5184</v>
      </c>
      <c r="C7641" s="3" t="s">
        <v>4557</v>
      </c>
      <c r="D7641" s="265">
        <v>2.0</v>
      </c>
      <c r="E7641" s="3">
        <v>2599.0</v>
      </c>
      <c r="G7641" s="266">
        <v>43728.0</v>
      </c>
    </row>
    <row r="7642">
      <c r="A7642" s="217">
        <v>43728.56325636574</v>
      </c>
      <c r="B7642" s="3" t="s">
        <v>5184</v>
      </c>
      <c r="C7642" s="3" t="s">
        <v>9457</v>
      </c>
      <c r="D7642" s="265">
        <v>1.0</v>
      </c>
      <c r="E7642" s="3">
        <v>1999.0</v>
      </c>
      <c r="G7642" s="266">
        <v>43728.0</v>
      </c>
    </row>
    <row r="7643">
      <c r="A7643" s="217">
        <v>43728.563970891206</v>
      </c>
      <c r="B7643" s="3" t="s">
        <v>5184</v>
      </c>
      <c r="C7643" s="3" t="s">
        <v>4914</v>
      </c>
      <c r="D7643" s="265">
        <v>2.0</v>
      </c>
      <c r="E7643" s="3">
        <v>2099.0</v>
      </c>
      <c r="G7643" s="266">
        <v>43728.0</v>
      </c>
    </row>
    <row r="7644">
      <c r="A7644" s="217">
        <v>43728.56477200231</v>
      </c>
      <c r="B7644" s="3" t="s">
        <v>5184</v>
      </c>
      <c r="C7644" s="3" t="s">
        <v>9359</v>
      </c>
      <c r="D7644" s="265">
        <v>1.0</v>
      </c>
      <c r="E7644" s="3">
        <v>1399.0</v>
      </c>
      <c r="G7644" s="266">
        <v>43728.0</v>
      </c>
    </row>
    <row r="7645">
      <c r="A7645" s="217">
        <v>43728.565905625</v>
      </c>
      <c r="B7645" s="3" t="s">
        <v>5184</v>
      </c>
      <c r="C7645" s="3" t="s">
        <v>2024</v>
      </c>
      <c r="D7645" s="265">
        <v>2.0</v>
      </c>
      <c r="E7645" s="3">
        <v>8190.0</v>
      </c>
      <c r="G7645" s="266">
        <v>43728.0</v>
      </c>
    </row>
    <row r="7646">
      <c r="A7646" s="217">
        <v>43728.566685625</v>
      </c>
      <c r="B7646" s="3" t="s">
        <v>5184</v>
      </c>
      <c r="C7646" s="3" t="s">
        <v>9386</v>
      </c>
      <c r="D7646" s="265">
        <v>1.0</v>
      </c>
      <c r="E7646" s="3">
        <v>8190.0</v>
      </c>
      <c r="G7646" s="266">
        <v>43728.0</v>
      </c>
    </row>
    <row r="7647">
      <c r="A7647" s="217">
        <v>43728.56741822917</v>
      </c>
      <c r="B7647" s="3" t="s">
        <v>5184</v>
      </c>
      <c r="C7647" s="3" t="s">
        <v>2027</v>
      </c>
      <c r="D7647" s="265">
        <v>1.0</v>
      </c>
      <c r="E7647" s="3">
        <v>8190.0</v>
      </c>
      <c r="G7647" s="266">
        <v>43728.0</v>
      </c>
    </row>
    <row r="7648">
      <c r="A7648" s="217">
        <v>43728.56824412037</v>
      </c>
      <c r="B7648" s="3" t="s">
        <v>5184</v>
      </c>
      <c r="C7648" s="3" t="s">
        <v>9390</v>
      </c>
      <c r="D7648" s="265">
        <v>1.0</v>
      </c>
      <c r="E7648" s="3">
        <v>8590.0</v>
      </c>
      <c r="G7648" s="266">
        <v>43728.0</v>
      </c>
    </row>
    <row r="7649">
      <c r="A7649" s="217">
        <v>43728.56898416667</v>
      </c>
      <c r="B7649" s="3" t="s">
        <v>5184</v>
      </c>
      <c r="C7649" s="3" t="s">
        <v>9088</v>
      </c>
      <c r="D7649" s="265">
        <v>1.0</v>
      </c>
      <c r="E7649" s="3">
        <v>6990.0</v>
      </c>
      <c r="G7649" s="266">
        <v>43728.0</v>
      </c>
    </row>
    <row r="7650">
      <c r="A7650" s="217">
        <v>43728.56993611111</v>
      </c>
      <c r="B7650" s="3" t="s">
        <v>5184</v>
      </c>
      <c r="C7650" s="3" t="s">
        <v>9380</v>
      </c>
      <c r="D7650" s="265">
        <v>2.0</v>
      </c>
      <c r="E7650" s="3">
        <v>8590.0</v>
      </c>
      <c r="G7650" s="266">
        <v>43728.0</v>
      </c>
    </row>
    <row r="7651">
      <c r="A7651" s="217">
        <v>43728.570718055555</v>
      </c>
      <c r="B7651" s="3" t="s">
        <v>5184</v>
      </c>
      <c r="C7651" s="3" t="s">
        <v>2063</v>
      </c>
      <c r="D7651" s="265">
        <v>1.0</v>
      </c>
      <c r="E7651" s="3">
        <v>8500.0</v>
      </c>
      <c r="G7651" s="266">
        <v>43728.0</v>
      </c>
    </row>
    <row r="7652">
      <c r="A7652" s="217">
        <v>43728.57149346065</v>
      </c>
      <c r="B7652" s="3" t="s">
        <v>5184</v>
      </c>
      <c r="C7652" s="3" t="s">
        <v>9449</v>
      </c>
      <c r="D7652" s="265">
        <v>1.0</v>
      </c>
      <c r="E7652" s="3">
        <v>6250.0</v>
      </c>
      <c r="G7652" s="266">
        <v>43728.0</v>
      </c>
    </row>
    <row r="7653">
      <c r="A7653" s="217">
        <v>43728.572237500004</v>
      </c>
      <c r="B7653" s="3" t="s">
        <v>5184</v>
      </c>
      <c r="C7653" s="3" t="s">
        <v>9385</v>
      </c>
      <c r="D7653" s="265">
        <v>1.0</v>
      </c>
      <c r="E7653" s="3">
        <v>5130.0</v>
      </c>
      <c r="G7653" s="266">
        <v>43728.0</v>
      </c>
    </row>
    <row r="7654">
      <c r="A7654" s="217">
        <v>43728.57922168981</v>
      </c>
      <c r="B7654" s="3" t="s">
        <v>5184</v>
      </c>
      <c r="C7654" s="3" t="s">
        <v>9404</v>
      </c>
      <c r="D7654" s="265">
        <v>1.0</v>
      </c>
      <c r="E7654" s="3">
        <v>9900.0</v>
      </c>
      <c r="G7654" s="266">
        <v>43728.0</v>
      </c>
    </row>
    <row r="7655">
      <c r="A7655" s="217">
        <v>43728.579871504626</v>
      </c>
      <c r="B7655" s="3" t="s">
        <v>5184</v>
      </c>
      <c r="C7655" s="3" t="s">
        <v>2070</v>
      </c>
      <c r="D7655" s="265">
        <v>1.0</v>
      </c>
      <c r="E7655" s="3">
        <v>9900.0</v>
      </c>
      <c r="G7655" s="266">
        <v>43728.0</v>
      </c>
    </row>
    <row r="7656">
      <c r="A7656" s="217">
        <v>43728.58057438658</v>
      </c>
      <c r="B7656" s="3" t="s">
        <v>5184</v>
      </c>
      <c r="C7656" s="3" t="s">
        <v>9406</v>
      </c>
      <c r="D7656" s="265">
        <v>1.0</v>
      </c>
      <c r="E7656" s="3">
        <v>8000.0</v>
      </c>
      <c r="G7656" s="266">
        <v>43728.0</v>
      </c>
    </row>
    <row r="7657">
      <c r="A7657" s="217">
        <v>43728.58132084491</v>
      </c>
      <c r="B7657" s="3" t="s">
        <v>5184</v>
      </c>
      <c r="C7657" s="3" t="s">
        <v>2110</v>
      </c>
      <c r="D7657" s="265">
        <v>1.0</v>
      </c>
      <c r="E7657" s="3">
        <v>5990.0</v>
      </c>
      <c r="G7657" s="266">
        <v>43728.0</v>
      </c>
    </row>
    <row r="7658">
      <c r="A7658" s="217">
        <v>43728.582207824074</v>
      </c>
      <c r="B7658" s="3" t="s">
        <v>5184</v>
      </c>
      <c r="C7658" s="3" t="s">
        <v>2195</v>
      </c>
      <c r="D7658" s="265">
        <v>1.0</v>
      </c>
      <c r="E7658" s="3">
        <v>5490.0</v>
      </c>
      <c r="G7658" s="266">
        <v>43728.0</v>
      </c>
    </row>
    <row r="7659">
      <c r="A7659" s="217">
        <v>43728.583013298616</v>
      </c>
      <c r="B7659" s="3" t="s">
        <v>5184</v>
      </c>
      <c r="C7659" s="3" t="s">
        <v>8819</v>
      </c>
      <c r="D7659" s="265">
        <v>2.0</v>
      </c>
      <c r="E7659" s="3">
        <v>4290.0</v>
      </c>
      <c r="G7659" s="266">
        <v>43728.0</v>
      </c>
    </row>
    <row r="7660">
      <c r="A7660" s="217">
        <v>43728.583789282406</v>
      </c>
      <c r="B7660" s="3" t="s">
        <v>5184</v>
      </c>
      <c r="C7660" s="3" t="s">
        <v>2215</v>
      </c>
      <c r="D7660" s="265">
        <v>1.0</v>
      </c>
      <c r="E7660" s="3">
        <v>3790.0</v>
      </c>
      <c r="G7660" s="266">
        <v>43728.0</v>
      </c>
    </row>
    <row r="7661">
      <c r="A7661" s="217">
        <v>43728.58455716435</v>
      </c>
      <c r="B7661" s="3" t="s">
        <v>5184</v>
      </c>
      <c r="C7661" s="3" t="s">
        <v>8775</v>
      </c>
      <c r="D7661" s="265">
        <v>1.0</v>
      </c>
      <c r="E7661" s="3">
        <v>4390.0</v>
      </c>
      <c r="G7661" s="266">
        <v>43728.0</v>
      </c>
    </row>
    <row r="7662">
      <c r="A7662" s="217">
        <v>43728.58541619213</v>
      </c>
      <c r="B7662" s="3" t="s">
        <v>5184</v>
      </c>
      <c r="C7662" s="3" t="s">
        <v>8812</v>
      </c>
      <c r="D7662" s="265">
        <v>1.0</v>
      </c>
      <c r="E7662" s="3">
        <v>6190.0</v>
      </c>
      <c r="G7662" s="266">
        <v>43728.0</v>
      </c>
    </row>
    <row r="7663">
      <c r="A7663" s="217">
        <v>43728.58614438657</v>
      </c>
      <c r="B7663" s="3" t="s">
        <v>5184</v>
      </c>
      <c r="C7663" s="3" t="s">
        <v>8781</v>
      </c>
      <c r="D7663" s="265">
        <v>2.0</v>
      </c>
      <c r="E7663" s="3">
        <v>4390.0</v>
      </c>
      <c r="G7663" s="266">
        <v>43728.0</v>
      </c>
    </row>
    <row r="7664">
      <c r="A7664" s="217">
        <v>43729.49486569445</v>
      </c>
      <c r="B7664" s="3" t="s">
        <v>5184</v>
      </c>
      <c r="C7664" s="3" t="s">
        <v>9002</v>
      </c>
      <c r="D7664" s="265">
        <v>1.0</v>
      </c>
      <c r="E7664" s="3">
        <v>2100.0</v>
      </c>
      <c r="G7664" s="266">
        <v>43727.0</v>
      </c>
    </row>
    <row r="7665">
      <c r="A7665" s="217">
        <v>43729.49597715278</v>
      </c>
      <c r="B7665" s="3" t="s">
        <v>5184</v>
      </c>
      <c r="C7665" s="3" t="s">
        <v>8874</v>
      </c>
      <c r="D7665" s="265">
        <v>1.0</v>
      </c>
      <c r="E7665" s="3">
        <v>300.0</v>
      </c>
      <c r="G7665" s="266">
        <v>43727.0</v>
      </c>
    </row>
    <row r="7666">
      <c r="A7666" s="217">
        <v>43731.47279111111</v>
      </c>
      <c r="B7666" s="3" t="s">
        <v>5092</v>
      </c>
      <c r="C7666" s="3" t="s">
        <v>6770</v>
      </c>
      <c r="D7666" s="265">
        <v>2.0</v>
      </c>
      <c r="E7666" s="3">
        <v>4590.0</v>
      </c>
      <c r="G7666" s="266">
        <v>43731.0</v>
      </c>
    </row>
    <row r="7667">
      <c r="A7667" s="217">
        <v>43731.47370864583</v>
      </c>
      <c r="B7667" s="3" t="s">
        <v>5092</v>
      </c>
      <c r="C7667" s="3" t="s">
        <v>6390</v>
      </c>
      <c r="D7667" s="265">
        <v>1.0</v>
      </c>
      <c r="E7667" s="3">
        <v>5090.0</v>
      </c>
      <c r="G7667" s="266">
        <v>43731.0</v>
      </c>
    </row>
    <row r="7668">
      <c r="A7668" s="217">
        <v>43731.474468182874</v>
      </c>
      <c r="B7668" s="3" t="s">
        <v>5092</v>
      </c>
      <c r="C7668" s="3" t="s">
        <v>1925</v>
      </c>
      <c r="D7668" s="265">
        <v>1.0</v>
      </c>
      <c r="E7668" s="3">
        <v>5090.0</v>
      </c>
      <c r="G7668" s="266">
        <v>43731.0</v>
      </c>
    </row>
    <row r="7669">
      <c r="A7669" s="217">
        <v>43731.47511121527</v>
      </c>
      <c r="B7669" s="3" t="s">
        <v>5092</v>
      </c>
      <c r="C7669" s="3" t="s">
        <v>6774</v>
      </c>
      <c r="D7669" s="265">
        <v>1.0</v>
      </c>
      <c r="E7669" s="3">
        <v>4590.0</v>
      </c>
      <c r="G7669" s="266">
        <v>43731.0</v>
      </c>
    </row>
    <row r="7670">
      <c r="A7670" s="217">
        <v>43731.475785682866</v>
      </c>
      <c r="B7670" s="3" t="s">
        <v>5092</v>
      </c>
      <c r="C7670" s="3" t="s">
        <v>6775</v>
      </c>
      <c r="D7670" s="265">
        <v>2.0</v>
      </c>
      <c r="E7670" s="3">
        <v>4590.0</v>
      </c>
      <c r="G7670" s="266">
        <v>43731.0</v>
      </c>
    </row>
    <row r="7671">
      <c r="A7671" s="217">
        <v>43731.47642663194</v>
      </c>
      <c r="B7671" s="3" t="s">
        <v>5092</v>
      </c>
      <c r="C7671" s="3" t="s">
        <v>9525</v>
      </c>
      <c r="D7671" s="265">
        <v>1.0</v>
      </c>
      <c r="E7671" s="3">
        <v>5090.0</v>
      </c>
      <c r="G7671" s="266">
        <v>43731.0</v>
      </c>
    </row>
    <row r="7672">
      <c r="A7672" s="217">
        <v>43731.47709314815</v>
      </c>
      <c r="B7672" s="3" t="s">
        <v>5092</v>
      </c>
      <c r="C7672" s="3" t="s">
        <v>5182</v>
      </c>
      <c r="D7672" s="265">
        <v>1.0</v>
      </c>
      <c r="E7672" s="3">
        <v>4590.0</v>
      </c>
      <c r="G7672" s="266">
        <v>43731.0</v>
      </c>
    </row>
    <row r="7673">
      <c r="A7673" s="217">
        <v>43733.43983793982</v>
      </c>
      <c r="B7673" s="3" t="s">
        <v>5184</v>
      </c>
      <c r="C7673" s="3" t="s">
        <v>7438</v>
      </c>
      <c r="D7673" s="265">
        <v>1.0</v>
      </c>
      <c r="E7673" s="3">
        <v>3445.0</v>
      </c>
      <c r="G7673" s="266">
        <v>43733.0</v>
      </c>
    </row>
    <row r="7674">
      <c r="A7674" s="217">
        <v>43733.4455584838</v>
      </c>
      <c r="B7674" s="3" t="s">
        <v>5184</v>
      </c>
      <c r="C7674" s="3" t="s">
        <v>2363</v>
      </c>
      <c r="D7674" s="265">
        <v>1.0</v>
      </c>
      <c r="E7674" s="3">
        <v>3445.0</v>
      </c>
      <c r="G7674" s="266">
        <v>43733.0</v>
      </c>
    </row>
    <row r="7675">
      <c r="A7675" s="217">
        <v>43733.446168634255</v>
      </c>
      <c r="B7675" s="3" t="s">
        <v>5184</v>
      </c>
      <c r="C7675" s="3" t="s">
        <v>7433</v>
      </c>
      <c r="D7675" s="265">
        <v>1.0</v>
      </c>
      <c r="E7675" s="3">
        <v>3445.0</v>
      </c>
      <c r="G7675" s="266">
        <v>43733.0</v>
      </c>
    </row>
    <row r="7676">
      <c r="A7676" s="217">
        <v>43733.44691695602</v>
      </c>
      <c r="B7676" s="3" t="s">
        <v>5184</v>
      </c>
      <c r="C7676" s="3" t="s">
        <v>7432</v>
      </c>
      <c r="D7676" s="265">
        <v>1.0</v>
      </c>
      <c r="E7676" s="3">
        <v>3125.0</v>
      </c>
      <c r="G7676" s="266">
        <v>43733.0</v>
      </c>
    </row>
    <row r="7677">
      <c r="A7677" s="217">
        <v>43733.44775446759</v>
      </c>
      <c r="B7677" s="3" t="s">
        <v>5184</v>
      </c>
      <c r="C7677" s="3" t="s">
        <v>7434</v>
      </c>
      <c r="D7677" s="265">
        <v>1.0</v>
      </c>
      <c r="E7677" s="3">
        <v>3125.0</v>
      </c>
      <c r="G7677" s="266">
        <v>43733.0</v>
      </c>
    </row>
    <row r="7678">
      <c r="A7678" s="217">
        <v>43733.44949483796</v>
      </c>
      <c r="B7678" s="3" t="s">
        <v>5184</v>
      </c>
      <c r="C7678" s="3" t="s">
        <v>1684</v>
      </c>
      <c r="D7678" s="265">
        <v>1.0</v>
      </c>
      <c r="E7678" s="3">
        <v>4000.0</v>
      </c>
      <c r="G7678" s="266">
        <v>43733.0</v>
      </c>
    </row>
    <row r="7679">
      <c r="A7679" s="217">
        <v>43733.4502331713</v>
      </c>
      <c r="B7679" s="3" t="s">
        <v>5184</v>
      </c>
      <c r="C7679" s="3" t="s">
        <v>9526</v>
      </c>
      <c r="D7679" s="265">
        <v>1.0</v>
      </c>
      <c r="E7679" s="3">
        <v>4000.0</v>
      </c>
      <c r="G7679" s="266">
        <v>43733.0</v>
      </c>
    </row>
    <row r="7680">
      <c r="A7680" s="217">
        <v>43733.45098916667</v>
      </c>
      <c r="B7680" s="3" t="s">
        <v>5184</v>
      </c>
      <c r="C7680" s="3" t="s">
        <v>1692</v>
      </c>
      <c r="D7680" s="265">
        <v>1.0</v>
      </c>
      <c r="E7680" s="3">
        <v>4000.0</v>
      </c>
      <c r="G7680" s="266">
        <v>43733.0</v>
      </c>
    </row>
    <row r="7681">
      <c r="A7681" s="217">
        <v>43733.451965659726</v>
      </c>
      <c r="B7681" s="3" t="s">
        <v>5184</v>
      </c>
      <c r="C7681" s="3" t="s">
        <v>1694</v>
      </c>
      <c r="D7681" s="265">
        <v>1.0</v>
      </c>
      <c r="E7681" s="3">
        <v>4000.0</v>
      </c>
      <c r="G7681" s="266">
        <v>43733.0</v>
      </c>
    </row>
    <row r="7682">
      <c r="A7682" s="217">
        <v>43733.4529040162</v>
      </c>
      <c r="B7682" s="3" t="s">
        <v>5184</v>
      </c>
      <c r="C7682" s="3" t="s">
        <v>1696</v>
      </c>
      <c r="D7682" s="265">
        <v>1.0</v>
      </c>
      <c r="E7682" s="3">
        <v>4000.0</v>
      </c>
      <c r="G7682" s="266">
        <v>43733.0</v>
      </c>
    </row>
    <row r="7683">
      <c r="A7683" s="217">
        <v>43733.45374121528</v>
      </c>
      <c r="B7683" s="3" t="s">
        <v>5184</v>
      </c>
      <c r="C7683" s="3" t="s">
        <v>5516</v>
      </c>
      <c r="D7683" s="265">
        <v>1.0</v>
      </c>
      <c r="E7683" s="3">
        <v>3090.0</v>
      </c>
      <c r="G7683" s="266">
        <v>43733.0</v>
      </c>
    </row>
    <row r="7684">
      <c r="A7684" s="217">
        <v>43733.454628391206</v>
      </c>
      <c r="B7684" s="3" t="s">
        <v>5184</v>
      </c>
      <c r="C7684" s="3" t="s">
        <v>9280</v>
      </c>
      <c r="D7684" s="265">
        <v>1.0</v>
      </c>
      <c r="E7684" s="3">
        <v>3690.0</v>
      </c>
      <c r="G7684" s="266">
        <v>43733.0</v>
      </c>
    </row>
    <row r="7685">
      <c r="A7685" s="217">
        <v>43733.455354375</v>
      </c>
      <c r="B7685" s="3" t="s">
        <v>5184</v>
      </c>
      <c r="C7685" s="3" t="s">
        <v>9527</v>
      </c>
      <c r="D7685" s="265">
        <v>1.0</v>
      </c>
      <c r="E7685" s="3">
        <v>3190.0</v>
      </c>
      <c r="G7685" s="266">
        <v>43733.0</v>
      </c>
    </row>
    <row r="7686">
      <c r="A7686" s="217">
        <v>43733.45596707176</v>
      </c>
      <c r="B7686" s="3" t="s">
        <v>5184</v>
      </c>
      <c r="C7686" s="3" t="s">
        <v>6331</v>
      </c>
      <c r="D7686" s="265">
        <v>1.0</v>
      </c>
      <c r="E7686" s="3">
        <v>3990.0</v>
      </c>
      <c r="G7686" s="266">
        <v>43733.0</v>
      </c>
    </row>
    <row r="7687">
      <c r="A7687" s="217">
        <v>43733.45677207176</v>
      </c>
      <c r="B7687" s="3" t="s">
        <v>5184</v>
      </c>
      <c r="C7687" s="3" t="s">
        <v>9282</v>
      </c>
      <c r="D7687" s="265">
        <v>1.0</v>
      </c>
      <c r="E7687" s="3">
        <v>3690.0</v>
      </c>
      <c r="G7687" s="266">
        <v>43733.0</v>
      </c>
    </row>
    <row r="7688">
      <c r="A7688" s="217">
        <v>43733.45755040509</v>
      </c>
      <c r="B7688" s="3" t="s">
        <v>5184</v>
      </c>
      <c r="C7688" s="3" t="s">
        <v>2218</v>
      </c>
      <c r="D7688" s="265">
        <v>1.0</v>
      </c>
      <c r="E7688" s="3">
        <v>3790.0</v>
      </c>
      <c r="G7688" s="266">
        <v>43733.0</v>
      </c>
    </row>
    <row r="7689">
      <c r="A7689" s="217">
        <v>43733.45842055556</v>
      </c>
      <c r="B7689" s="3" t="s">
        <v>5184</v>
      </c>
      <c r="C7689" s="3" t="s">
        <v>2224</v>
      </c>
      <c r="D7689" s="265">
        <v>1.0</v>
      </c>
      <c r="E7689" s="3">
        <v>4290.0</v>
      </c>
      <c r="G7689" s="266">
        <v>43733.0</v>
      </c>
    </row>
    <row r="7690">
      <c r="A7690" s="217">
        <v>43733.4590736574</v>
      </c>
      <c r="B7690" s="3" t="s">
        <v>5184</v>
      </c>
      <c r="C7690" s="3" t="s">
        <v>2222</v>
      </c>
      <c r="D7690" s="265">
        <v>1.0</v>
      </c>
      <c r="E7690" s="3">
        <v>4290.0</v>
      </c>
      <c r="G7690" s="266">
        <v>43733.0</v>
      </c>
    </row>
    <row r="7691">
      <c r="A7691" s="217">
        <v>43733.45987415509</v>
      </c>
      <c r="B7691" s="3" t="s">
        <v>5184</v>
      </c>
      <c r="C7691" s="3" t="s">
        <v>9409</v>
      </c>
      <c r="D7691" s="265">
        <v>1.0</v>
      </c>
      <c r="E7691" s="3">
        <v>6390.0</v>
      </c>
      <c r="G7691" s="266">
        <v>43733.0</v>
      </c>
    </row>
    <row r="7692">
      <c r="A7692" s="217">
        <v>43733.46071347222</v>
      </c>
      <c r="B7692" s="3" t="s">
        <v>5184</v>
      </c>
      <c r="C7692" s="3" t="s">
        <v>6346</v>
      </c>
      <c r="D7692" s="265">
        <v>1.0</v>
      </c>
      <c r="E7692" s="3">
        <v>3490.0</v>
      </c>
      <c r="G7692" s="266">
        <v>43733.0</v>
      </c>
    </row>
    <row r="7693">
      <c r="A7693" s="217">
        <v>43733.46152320602</v>
      </c>
      <c r="B7693" s="3" t="s">
        <v>5184</v>
      </c>
      <c r="C7693" s="3" t="s">
        <v>6350</v>
      </c>
      <c r="D7693" s="265">
        <v>1.0</v>
      </c>
      <c r="E7693" s="3">
        <v>3790.0</v>
      </c>
      <c r="G7693" s="266">
        <v>43733.0</v>
      </c>
    </row>
    <row r="7694">
      <c r="A7694" s="217">
        <v>43733.46230623843</v>
      </c>
      <c r="B7694" s="3" t="s">
        <v>5184</v>
      </c>
      <c r="C7694" s="3" t="s">
        <v>2266</v>
      </c>
      <c r="D7694" s="265">
        <v>1.0</v>
      </c>
      <c r="E7694" s="3">
        <v>3790.0</v>
      </c>
      <c r="G7694" s="266">
        <v>43733.0</v>
      </c>
    </row>
    <row r="7695">
      <c r="A7695" s="217">
        <v>43733.750920555554</v>
      </c>
      <c r="B7695" s="3" t="s">
        <v>5092</v>
      </c>
      <c r="C7695" s="3" t="s">
        <v>8874</v>
      </c>
      <c r="D7695" s="265">
        <v>4.0</v>
      </c>
      <c r="E7695" s="3">
        <v>300.0</v>
      </c>
      <c r="G7695" s="266">
        <v>43733.0</v>
      </c>
    </row>
    <row r="7696">
      <c r="A7696" s="217">
        <v>43733.75148133102</v>
      </c>
      <c r="B7696" s="3" t="s">
        <v>5092</v>
      </c>
      <c r="C7696" s="3" t="s">
        <v>9529</v>
      </c>
      <c r="D7696" s="265">
        <v>2.0</v>
      </c>
      <c r="E7696" s="3">
        <v>600.0</v>
      </c>
      <c r="G7696" s="266">
        <v>43733.0</v>
      </c>
    </row>
    <row r="7697">
      <c r="A7697" s="217">
        <v>43738.47135523148</v>
      </c>
      <c r="B7697" s="3" t="s">
        <v>5184</v>
      </c>
      <c r="C7697" s="3" t="s">
        <v>6774</v>
      </c>
      <c r="D7697" s="265">
        <v>2.0</v>
      </c>
      <c r="E7697" s="3">
        <v>4590.0</v>
      </c>
      <c r="G7697" s="266">
        <v>43738.0</v>
      </c>
    </row>
    <row r="7698">
      <c r="A7698" s="217">
        <v>43738.47595984954</v>
      </c>
      <c r="B7698" s="3" t="s">
        <v>5184</v>
      </c>
      <c r="C7698" s="3" t="s">
        <v>6765</v>
      </c>
      <c r="D7698" s="265">
        <v>1.0</v>
      </c>
      <c r="E7698" s="3">
        <v>5090.0</v>
      </c>
      <c r="G7698" s="266">
        <v>43738.0</v>
      </c>
    </row>
    <row r="7699">
      <c r="A7699" s="217">
        <v>43738.75627842592</v>
      </c>
      <c r="B7699" s="3" t="s">
        <v>5092</v>
      </c>
      <c r="C7699" s="3" t="s">
        <v>9517</v>
      </c>
      <c r="D7699" s="265">
        <v>2.0</v>
      </c>
      <c r="E7699" s="3">
        <v>1000.0</v>
      </c>
      <c r="G7699" s="266">
        <v>43738.0</v>
      </c>
    </row>
    <row r="7700">
      <c r="A7700" s="217">
        <v>43738.75686479166</v>
      </c>
      <c r="B7700" s="3" t="s">
        <v>5092</v>
      </c>
      <c r="C7700" s="3" t="s">
        <v>244</v>
      </c>
      <c r="D7700" s="265">
        <v>1.0</v>
      </c>
      <c r="E7700" s="3">
        <v>400.0</v>
      </c>
      <c r="G7700" s="266">
        <v>43738.0</v>
      </c>
    </row>
    <row r="7701">
      <c r="A7701" s="217">
        <v>43738.75750028936</v>
      </c>
      <c r="B7701" s="3" t="s">
        <v>5092</v>
      </c>
      <c r="C7701" s="3" t="s">
        <v>244</v>
      </c>
      <c r="D7701" s="265">
        <v>2.0</v>
      </c>
      <c r="E7701" s="3">
        <v>300.0</v>
      </c>
      <c r="G7701" s="266">
        <v>43738.0</v>
      </c>
    </row>
    <row r="7702">
      <c r="A7702" s="217">
        <v>43738.757977939815</v>
      </c>
      <c r="B7702" s="3" t="s">
        <v>5092</v>
      </c>
      <c r="C7702" s="3" t="s">
        <v>8874</v>
      </c>
      <c r="D7702" s="265">
        <v>6.0</v>
      </c>
      <c r="E7702" s="3">
        <v>300.0</v>
      </c>
      <c r="G7702" s="266">
        <v>43738.0</v>
      </c>
    </row>
    <row r="7703">
      <c r="A7703" s="217">
        <v>43738.767587766204</v>
      </c>
      <c r="B7703" s="3" t="s">
        <v>5092</v>
      </c>
      <c r="C7703" s="3" t="s">
        <v>244</v>
      </c>
      <c r="D7703" s="265">
        <v>4.0</v>
      </c>
      <c r="E7703" s="3">
        <v>400.0</v>
      </c>
      <c r="G7703" s="266">
        <v>43738.0</v>
      </c>
    </row>
    <row r="7704">
      <c r="A7704" s="217">
        <v>43738.76825804399</v>
      </c>
      <c r="B7704" s="3" t="s">
        <v>5092</v>
      </c>
      <c r="C7704" s="3" t="s">
        <v>244</v>
      </c>
      <c r="D7704" s="265">
        <v>3.0</v>
      </c>
      <c r="E7704" s="3">
        <v>400.0</v>
      </c>
      <c r="G7704" s="266">
        <v>43738.0</v>
      </c>
    </row>
    <row r="7705">
      <c r="A7705" s="217">
        <v>43738.768864537036</v>
      </c>
      <c r="B7705" s="3" t="s">
        <v>5092</v>
      </c>
      <c r="C7705" s="3" t="s">
        <v>8874</v>
      </c>
      <c r="D7705" s="265">
        <v>2.0</v>
      </c>
      <c r="E7705" s="3">
        <v>300.0</v>
      </c>
      <c r="G7705" s="266">
        <v>43738.0</v>
      </c>
    </row>
    <row r="7706">
      <c r="A7706" s="217">
        <v>43738.77513145833</v>
      </c>
      <c r="B7706" s="3" t="s">
        <v>5092</v>
      </c>
      <c r="C7706" s="3" t="s">
        <v>8874</v>
      </c>
      <c r="D7706" s="265">
        <v>1.0</v>
      </c>
      <c r="E7706" s="3">
        <v>150.0</v>
      </c>
      <c r="G7706" s="266">
        <v>43738.0</v>
      </c>
    </row>
    <row r="7707">
      <c r="A7707" s="217">
        <v>43739.56850518519</v>
      </c>
      <c r="B7707" s="3" t="s">
        <v>5092</v>
      </c>
      <c r="C7707" s="3" t="s">
        <v>6765</v>
      </c>
      <c r="D7707" s="265">
        <v>1.0</v>
      </c>
      <c r="E7707" s="3">
        <v>5290.0</v>
      </c>
      <c r="G7707" s="266">
        <v>43739.0</v>
      </c>
    </row>
    <row r="7708">
      <c r="A7708" s="217">
        <v>43739.56935305556</v>
      </c>
      <c r="B7708" s="3" t="s">
        <v>5092</v>
      </c>
      <c r="C7708" s="3" t="s">
        <v>9534</v>
      </c>
      <c r="D7708" s="265">
        <v>2.0</v>
      </c>
      <c r="E7708" s="3">
        <v>4190.0</v>
      </c>
      <c r="G7708" s="266">
        <v>43739.0</v>
      </c>
    </row>
    <row r="7709">
      <c r="A7709" s="217">
        <v>43739.57039804399</v>
      </c>
      <c r="B7709" s="3" t="s">
        <v>5092</v>
      </c>
      <c r="C7709" s="3" t="s">
        <v>5202</v>
      </c>
      <c r="D7709" s="265">
        <v>2.0</v>
      </c>
      <c r="E7709" s="3">
        <v>5090.0</v>
      </c>
      <c r="G7709" s="266">
        <v>43739.0</v>
      </c>
    </row>
    <row r="7710">
      <c r="A7710" s="217">
        <v>43739.571014120374</v>
      </c>
      <c r="B7710" s="3" t="s">
        <v>5092</v>
      </c>
      <c r="C7710" s="3" t="s">
        <v>1899</v>
      </c>
      <c r="D7710" s="265">
        <v>1.0</v>
      </c>
      <c r="E7710" s="3">
        <v>7890.0</v>
      </c>
      <c r="G7710" s="266">
        <v>43739.0</v>
      </c>
    </row>
    <row r="7711">
      <c r="A7711" s="217">
        <v>43739.57160081019</v>
      </c>
      <c r="B7711" s="3" t="s">
        <v>5092</v>
      </c>
      <c r="C7711" s="3" t="s">
        <v>1945</v>
      </c>
      <c r="D7711" s="265">
        <v>1.0</v>
      </c>
      <c r="E7711" s="3">
        <v>7890.0</v>
      </c>
      <c r="G7711" s="266">
        <v>43739.0</v>
      </c>
    </row>
    <row r="7712">
      <c r="A7712" s="217">
        <v>43741.474848287035</v>
      </c>
      <c r="B7712" s="3" t="s">
        <v>5092</v>
      </c>
      <c r="C7712" s="3" t="s">
        <v>4514</v>
      </c>
      <c r="D7712" s="265">
        <v>1.0</v>
      </c>
      <c r="E7712" s="3">
        <v>2699.0</v>
      </c>
      <c r="G7712" s="266">
        <v>43739.0</v>
      </c>
    </row>
    <row r="7713">
      <c r="A7713" s="217">
        <v>43741.488429861114</v>
      </c>
      <c r="B7713" s="3" t="s">
        <v>5092</v>
      </c>
      <c r="C7713" s="3" t="s">
        <v>1244</v>
      </c>
      <c r="D7713" s="265">
        <v>1.0</v>
      </c>
      <c r="E7713" s="3">
        <v>2699.0</v>
      </c>
      <c r="G7713" s="266">
        <v>43739.0</v>
      </c>
    </row>
    <row r="7714">
      <c r="A7714" s="217">
        <v>43741.48897332176</v>
      </c>
      <c r="B7714" s="3" t="s">
        <v>5092</v>
      </c>
      <c r="C7714" s="3" t="s">
        <v>4705</v>
      </c>
      <c r="D7714" s="265">
        <v>1.0</v>
      </c>
      <c r="E7714" s="3">
        <v>2699.0</v>
      </c>
      <c r="G7714" s="266">
        <v>43739.0</v>
      </c>
    </row>
    <row r="7715">
      <c r="A7715" s="217">
        <v>43741.4895441088</v>
      </c>
      <c r="B7715" s="3" t="s">
        <v>5092</v>
      </c>
      <c r="C7715" s="3" t="s">
        <v>1249</v>
      </c>
      <c r="D7715" s="265">
        <v>1.0</v>
      </c>
      <c r="E7715" s="3">
        <v>2699.0</v>
      </c>
      <c r="G7715" s="266">
        <v>43739.0</v>
      </c>
    </row>
    <row r="7716">
      <c r="A7716" s="217">
        <v>43741.490097256945</v>
      </c>
      <c r="B7716" s="3" t="s">
        <v>5092</v>
      </c>
      <c r="C7716" s="3" t="s">
        <v>9451</v>
      </c>
      <c r="D7716" s="265">
        <v>1.0</v>
      </c>
      <c r="E7716" s="3">
        <v>2899.0</v>
      </c>
      <c r="G7716" s="266">
        <v>43739.0</v>
      </c>
    </row>
    <row r="7717">
      <c r="A7717" s="217">
        <v>43741.490742141206</v>
      </c>
      <c r="B7717" s="3" t="s">
        <v>5092</v>
      </c>
      <c r="C7717" s="3" t="s">
        <v>4557</v>
      </c>
      <c r="D7717" s="265">
        <v>1.0</v>
      </c>
      <c r="E7717" s="3">
        <v>2599.0</v>
      </c>
      <c r="G7717" s="266">
        <v>43739.0</v>
      </c>
    </row>
    <row r="7718">
      <c r="A7718" s="217">
        <v>43741.49132983796</v>
      </c>
      <c r="B7718" s="3" t="s">
        <v>5092</v>
      </c>
      <c r="C7718" s="3" t="s">
        <v>4714</v>
      </c>
      <c r="D7718" s="265">
        <v>1.0</v>
      </c>
      <c r="E7718" s="3">
        <v>2699.0</v>
      </c>
      <c r="G7718" s="266">
        <v>43739.0</v>
      </c>
    </row>
    <row r="7719">
      <c r="A7719" s="217">
        <v>43741.49199717592</v>
      </c>
      <c r="B7719" s="3" t="s">
        <v>5092</v>
      </c>
      <c r="C7719" s="3" t="s">
        <v>1252</v>
      </c>
      <c r="D7719" s="265">
        <v>2.0</v>
      </c>
      <c r="E7719" s="3">
        <v>1995.0</v>
      </c>
      <c r="G7719" s="266">
        <v>43739.0</v>
      </c>
    </row>
    <row r="7720">
      <c r="A7720" s="217">
        <v>43741.49261395833</v>
      </c>
      <c r="B7720" s="3" t="s">
        <v>5092</v>
      </c>
      <c r="C7720" s="3" t="s">
        <v>1254</v>
      </c>
      <c r="D7720" s="265">
        <v>1.0</v>
      </c>
      <c r="E7720" s="3">
        <v>2299.0</v>
      </c>
      <c r="G7720" s="266">
        <v>43739.0</v>
      </c>
    </row>
    <row r="7721">
      <c r="A7721" s="217">
        <v>43741.49315011574</v>
      </c>
      <c r="B7721" s="3" t="s">
        <v>5092</v>
      </c>
      <c r="C7721" s="3" t="s">
        <v>4795</v>
      </c>
      <c r="D7721" s="265">
        <v>1.0</v>
      </c>
      <c r="E7721" s="3">
        <v>1699.0</v>
      </c>
      <c r="G7721" s="266">
        <v>43739.0</v>
      </c>
    </row>
    <row r="7722">
      <c r="A7722" s="217">
        <v>43741.49381581019</v>
      </c>
      <c r="B7722" s="3" t="s">
        <v>5092</v>
      </c>
      <c r="C7722" s="3" t="s">
        <v>698</v>
      </c>
      <c r="D7722" s="265">
        <v>1.0</v>
      </c>
      <c r="E7722" s="3">
        <v>1699.0</v>
      </c>
      <c r="G7722" s="266">
        <v>43739.0</v>
      </c>
    </row>
    <row r="7723">
      <c r="A7723" s="217">
        <v>43741.49435925926</v>
      </c>
      <c r="B7723" s="3" t="s">
        <v>5092</v>
      </c>
      <c r="C7723" s="3" t="s">
        <v>4593</v>
      </c>
      <c r="D7723" s="265">
        <v>1.0</v>
      </c>
      <c r="E7723" s="3">
        <v>1299.0</v>
      </c>
      <c r="G7723" s="266">
        <v>43739.0</v>
      </c>
    </row>
    <row r="7724">
      <c r="A7724" s="217">
        <v>43741.49499535879</v>
      </c>
      <c r="B7724" s="3" t="s">
        <v>5092</v>
      </c>
      <c r="C7724" s="3" t="s">
        <v>4847</v>
      </c>
      <c r="D7724" s="265">
        <v>1.0</v>
      </c>
      <c r="E7724" s="3">
        <v>1699.0</v>
      </c>
      <c r="G7724" s="266">
        <v>43739.0</v>
      </c>
    </row>
    <row r="7725">
      <c r="A7725" s="217">
        <v>43741.495545046295</v>
      </c>
      <c r="B7725" s="3" t="s">
        <v>5092</v>
      </c>
      <c r="C7725" s="3" t="s">
        <v>1267</v>
      </c>
      <c r="D7725" s="265">
        <v>1.0</v>
      </c>
      <c r="E7725" s="3">
        <v>1566.0</v>
      </c>
      <c r="G7725" s="266">
        <v>43739.0</v>
      </c>
    </row>
    <row r="7726">
      <c r="A7726" s="217">
        <v>43741.49616391204</v>
      </c>
      <c r="B7726" s="3" t="s">
        <v>5092</v>
      </c>
      <c r="C7726" s="3" t="s">
        <v>1270</v>
      </c>
      <c r="D7726" s="265">
        <v>1.0</v>
      </c>
      <c r="E7726" s="3">
        <v>2099.0</v>
      </c>
      <c r="G7726" s="266">
        <v>43739.0</v>
      </c>
    </row>
    <row r="7727">
      <c r="A7727" s="217">
        <v>43741.502914004624</v>
      </c>
      <c r="B7727" s="3" t="s">
        <v>5092</v>
      </c>
      <c r="C7727" s="3" t="s">
        <v>1271</v>
      </c>
      <c r="D7727" s="265">
        <v>1.0</v>
      </c>
      <c r="E7727" s="3">
        <v>1499.0</v>
      </c>
      <c r="G7727" s="266">
        <v>43739.0</v>
      </c>
    </row>
    <row r="7728">
      <c r="A7728" s="217">
        <v>43741.503388391204</v>
      </c>
      <c r="B7728" s="3" t="s">
        <v>5092</v>
      </c>
      <c r="C7728" s="3" t="s">
        <v>700</v>
      </c>
      <c r="D7728" s="265">
        <v>1.0</v>
      </c>
      <c r="E7728" s="3">
        <v>1399.0</v>
      </c>
      <c r="G7728" s="266">
        <v>43739.0</v>
      </c>
    </row>
    <row r="7729">
      <c r="A7729" s="217">
        <v>43741.503924143515</v>
      </c>
      <c r="B7729" s="3" t="s">
        <v>5092</v>
      </c>
      <c r="C7729" s="3" t="s">
        <v>4875</v>
      </c>
      <c r="D7729" s="265">
        <v>2.0</v>
      </c>
      <c r="E7729" s="3">
        <v>1999.0</v>
      </c>
      <c r="G7729" s="266">
        <v>43739.0</v>
      </c>
    </row>
    <row r="7730">
      <c r="A7730" s="217">
        <v>43741.504432546295</v>
      </c>
      <c r="B7730" s="3" t="s">
        <v>5092</v>
      </c>
      <c r="C7730" s="3" t="s">
        <v>4632</v>
      </c>
      <c r="D7730" s="265">
        <v>1.0</v>
      </c>
      <c r="E7730" s="3">
        <v>1699.0</v>
      </c>
      <c r="G7730" s="266">
        <v>43739.0</v>
      </c>
    </row>
    <row r="7731">
      <c r="A7731" s="217">
        <v>43741.50497084491</v>
      </c>
      <c r="B7731" s="3" t="s">
        <v>5092</v>
      </c>
      <c r="C7731" s="3" t="s">
        <v>4885</v>
      </c>
      <c r="D7731" s="265">
        <v>1.0</v>
      </c>
      <c r="E7731" s="3">
        <v>1699.0</v>
      </c>
      <c r="G7731" s="266">
        <v>43739.0</v>
      </c>
    </row>
    <row r="7732">
      <c r="A7732" s="217">
        <v>43741.50749527778</v>
      </c>
      <c r="B7732" s="3" t="s">
        <v>5092</v>
      </c>
      <c r="C7732" s="3" t="s">
        <v>4897</v>
      </c>
      <c r="D7732" s="265">
        <v>1.0</v>
      </c>
      <c r="E7732" s="3">
        <v>1999.0</v>
      </c>
      <c r="G7732" s="266">
        <v>43739.0</v>
      </c>
    </row>
    <row r="7733">
      <c r="A7733" s="217">
        <v>43741.50805311343</v>
      </c>
      <c r="B7733" s="3" t="s">
        <v>5092</v>
      </c>
      <c r="C7733" s="3" t="s">
        <v>4908</v>
      </c>
      <c r="D7733" s="265">
        <v>1.0</v>
      </c>
      <c r="E7733" s="3">
        <v>1999.0</v>
      </c>
      <c r="G7733" s="266">
        <v>43739.0</v>
      </c>
    </row>
    <row r="7734">
      <c r="A7734" s="217">
        <v>43741.508558981484</v>
      </c>
      <c r="B7734" s="3" t="s">
        <v>5092</v>
      </c>
      <c r="C7734" s="3" t="s">
        <v>4643</v>
      </c>
      <c r="D7734" s="265">
        <v>3.0</v>
      </c>
      <c r="E7734" s="3">
        <v>1999.0</v>
      </c>
      <c r="G7734" s="266">
        <v>43739.0</v>
      </c>
    </row>
    <row r="7735">
      <c r="A7735" s="217">
        <v>43741.50909472222</v>
      </c>
      <c r="B7735" s="3" t="s">
        <v>5092</v>
      </c>
      <c r="C7735" s="3" t="s">
        <v>4972</v>
      </c>
      <c r="D7735" s="265">
        <v>1.0</v>
      </c>
      <c r="E7735" s="3">
        <v>1399.0</v>
      </c>
      <c r="G7735" s="266">
        <v>43739.0</v>
      </c>
    </row>
    <row r="7736">
      <c r="A7736" s="217">
        <v>43741.50961178241</v>
      </c>
      <c r="B7736" s="3" t="s">
        <v>5092</v>
      </c>
      <c r="C7736" s="3" t="s">
        <v>1281</v>
      </c>
      <c r="D7736" s="265">
        <v>1.0</v>
      </c>
      <c r="E7736" s="3">
        <v>1699.0</v>
      </c>
      <c r="G7736" s="266">
        <v>43739.0</v>
      </c>
    </row>
    <row r="7737">
      <c r="A7737" s="217">
        <v>43741.510222048615</v>
      </c>
      <c r="B7737" s="3" t="s">
        <v>5092</v>
      </c>
      <c r="C7737" s="3" t="s">
        <v>9535</v>
      </c>
      <c r="D7737" s="265">
        <v>1.0</v>
      </c>
      <c r="E7737" s="3">
        <v>1399.0</v>
      </c>
      <c r="G7737" s="266">
        <v>43739.0</v>
      </c>
    </row>
    <row r="7738">
      <c r="A7738" s="217">
        <v>43741.510777557865</v>
      </c>
      <c r="B7738" s="3" t="s">
        <v>5092</v>
      </c>
      <c r="C7738" s="3" t="s">
        <v>4658</v>
      </c>
      <c r="D7738" s="265">
        <v>1.0</v>
      </c>
      <c r="E7738" s="3">
        <v>1299.0</v>
      </c>
      <c r="G7738" s="266">
        <v>43739.0</v>
      </c>
    </row>
    <row r="7739">
      <c r="A7739" s="217">
        <v>43741.51131421296</v>
      </c>
      <c r="B7739" s="3" t="s">
        <v>5092</v>
      </c>
      <c r="C7739" s="3" t="s">
        <v>5013</v>
      </c>
      <c r="D7739" s="265">
        <v>1.0</v>
      </c>
      <c r="E7739" s="3">
        <v>1399.0</v>
      </c>
      <c r="G7739" s="266">
        <v>43739.0</v>
      </c>
    </row>
    <row r="7740">
      <c r="A7740" s="217">
        <v>43741.51183934028</v>
      </c>
      <c r="B7740" s="3" t="s">
        <v>5092</v>
      </c>
      <c r="C7740" s="3" t="s">
        <v>6921</v>
      </c>
      <c r="D7740" s="265">
        <v>1.0</v>
      </c>
      <c r="E7740" s="3">
        <v>2150.0</v>
      </c>
      <c r="G7740" s="266">
        <v>43739.0</v>
      </c>
    </row>
    <row r="7741">
      <c r="A7741" s="217">
        <v>43741.5123852199</v>
      </c>
      <c r="B7741" s="3" t="s">
        <v>5092</v>
      </c>
      <c r="C7741" s="3" t="s">
        <v>2009</v>
      </c>
      <c r="D7741" s="265">
        <v>2.0</v>
      </c>
      <c r="E7741" s="3">
        <v>8625.0</v>
      </c>
      <c r="G7741" s="266">
        <v>43739.0</v>
      </c>
    </row>
    <row r="7742">
      <c r="A7742" s="217">
        <v>43741.51298327546</v>
      </c>
      <c r="B7742" s="3" t="s">
        <v>5092</v>
      </c>
      <c r="C7742" s="3" t="s">
        <v>2016</v>
      </c>
      <c r="D7742" s="265">
        <v>1.0</v>
      </c>
      <c r="E7742" s="3">
        <v>8900.0</v>
      </c>
      <c r="G7742" s="266">
        <v>43739.0</v>
      </c>
    </row>
    <row r="7743">
      <c r="A7743" s="217">
        <v>43741.51358875</v>
      </c>
      <c r="B7743" s="3" t="s">
        <v>5092</v>
      </c>
      <c r="C7743" s="3" t="s">
        <v>2018</v>
      </c>
      <c r="D7743" s="265">
        <v>1.0</v>
      </c>
      <c r="E7743" s="3">
        <v>8900.0</v>
      </c>
      <c r="G7743" s="266">
        <v>43739.0</v>
      </c>
    </row>
    <row r="7744">
      <c r="A7744" s="217">
        <v>43741.51422003472</v>
      </c>
      <c r="B7744" s="3" t="s">
        <v>5092</v>
      </c>
      <c r="C7744" s="3" t="s">
        <v>2022</v>
      </c>
      <c r="D7744" s="265">
        <v>1.0</v>
      </c>
      <c r="E7744" s="3">
        <v>8190.0</v>
      </c>
      <c r="G7744" s="266">
        <v>43739.0</v>
      </c>
    </row>
    <row r="7745">
      <c r="A7745" s="217">
        <v>43741.514777847224</v>
      </c>
      <c r="B7745" s="3" t="s">
        <v>5092</v>
      </c>
      <c r="C7745" s="3" t="s">
        <v>2029</v>
      </c>
      <c r="D7745" s="265">
        <v>1.0</v>
      </c>
      <c r="E7745" s="3">
        <v>8190.0</v>
      </c>
      <c r="G7745" s="266">
        <v>43739.0</v>
      </c>
    </row>
    <row r="7746">
      <c r="A7746" s="217">
        <v>43741.51532883102</v>
      </c>
      <c r="B7746" s="3" t="s">
        <v>5092</v>
      </c>
      <c r="C7746" s="3" t="s">
        <v>9536</v>
      </c>
      <c r="D7746" s="265">
        <v>1.0</v>
      </c>
      <c r="E7746" s="3">
        <v>8590.0</v>
      </c>
      <c r="G7746" s="266">
        <v>43739.0</v>
      </c>
    </row>
    <row r="7747">
      <c r="A7747" s="217">
        <v>43741.51586861111</v>
      </c>
      <c r="B7747" s="3" t="s">
        <v>5092</v>
      </c>
      <c r="C7747" s="3" t="s">
        <v>2110</v>
      </c>
      <c r="D7747" s="265">
        <v>1.0</v>
      </c>
      <c r="E7747" s="3">
        <v>5990.0</v>
      </c>
      <c r="G7747" s="266">
        <v>43739.0</v>
      </c>
    </row>
    <row r="7748">
      <c r="A7748" s="217">
        <v>43741.51648873843</v>
      </c>
      <c r="B7748" s="3" t="s">
        <v>5092</v>
      </c>
      <c r="C7748" s="3" t="s">
        <v>2131</v>
      </c>
      <c r="D7748" s="265">
        <v>1.0</v>
      </c>
      <c r="E7748" s="3">
        <v>3490.0</v>
      </c>
      <c r="G7748" s="266">
        <v>43739.0</v>
      </c>
    </row>
    <row r="7749">
      <c r="A7749" s="217">
        <v>43741.517077233795</v>
      </c>
      <c r="B7749" s="3" t="s">
        <v>5092</v>
      </c>
      <c r="C7749" s="3" t="s">
        <v>2134</v>
      </c>
      <c r="D7749" s="265">
        <v>3.0</v>
      </c>
      <c r="E7749" s="3">
        <v>4290.0</v>
      </c>
      <c r="G7749" s="266">
        <v>43739.0</v>
      </c>
    </row>
    <row r="7750">
      <c r="A7750" s="217">
        <v>43741.51763297454</v>
      </c>
      <c r="B7750" s="3" t="s">
        <v>5092</v>
      </c>
      <c r="C7750" s="3" t="s">
        <v>2163</v>
      </c>
      <c r="D7750" s="265">
        <v>2.0</v>
      </c>
      <c r="E7750" s="3">
        <v>5490.0</v>
      </c>
      <c r="G7750" s="266">
        <v>43739.0</v>
      </c>
    </row>
    <row r="7751">
      <c r="A7751" s="217">
        <v>43741.51822586806</v>
      </c>
      <c r="B7751" s="3" t="s">
        <v>5092</v>
      </c>
      <c r="C7751" s="3" t="s">
        <v>2165</v>
      </c>
      <c r="D7751" s="265">
        <v>2.0</v>
      </c>
      <c r="E7751" s="3">
        <v>5490.0</v>
      </c>
      <c r="G7751" s="266">
        <v>43739.0</v>
      </c>
    </row>
    <row r="7752">
      <c r="A7752" s="217">
        <v>43741.518707083334</v>
      </c>
      <c r="B7752" s="3" t="s">
        <v>5092</v>
      </c>
      <c r="C7752" s="3" t="s">
        <v>5516</v>
      </c>
      <c r="D7752" s="265">
        <v>1.0</v>
      </c>
      <c r="E7752" s="3">
        <v>3290.0</v>
      </c>
      <c r="G7752" s="266">
        <v>43739.0</v>
      </c>
    </row>
    <row r="7753">
      <c r="A7753" s="217">
        <v>43741.5192175463</v>
      </c>
      <c r="B7753" s="3" t="s">
        <v>5092</v>
      </c>
      <c r="C7753" s="3" t="s">
        <v>6331</v>
      </c>
      <c r="D7753" s="265">
        <v>1.0</v>
      </c>
      <c r="E7753" s="3">
        <v>3290.0</v>
      </c>
      <c r="G7753" s="266">
        <v>43739.0</v>
      </c>
    </row>
    <row r="7754">
      <c r="A7754" s="217">
        <v>43741.522731793986</v>
      </c>
      <c r="B7754" s="3" t="s">
        <v>5092</v>
      </c>
      <c r="C7754" s="3" t="s">
        <v>2193</v>
      </c>
      <c r="D7754" s="265">
        <v>1.0</v>
      </c>
      <c r="E7754" s="3">
        <v>5990.0</v>
      </c>
      <c r="G7754" s="266">
        <v>43739.0</v>
      </c>
    </row>
    <row r="7755">
      <c r="A7755" s="217">
        <v>43741.52333571759</v>
      </c>
      <c r="B7755" s="3" t="s">
        <v>5092</v>
      </c>
      <c r="C7755" s="3" t="s">
        <v>5489</v>
      </c>
      <c r="D7755" s="265">
        <v>1.0</v>
      </c>
      <c r="E7755" s="3">
        <v>3990.0</v>
      </c>
      <c r="G7755" s="266">
        <v>43739.0</v>
      </c>
    </row>
    <row r="7756">
      <c r="A7756" s="217">
        <v>43741.523942858796</v>
      </c>
      <c r="B7756" s="3" t="s">
        <v>5092</v>
      </c>
      <c r="C7756" s="3" t="s">
        <v>6339</v>
      </c>
      <c r="D7756" s="265">
        <v>3.0</v>
      </c>
      <c r="E7756" s="3">
        <v>3790.0</v>
      </c>
      <c r="G7756" s="266">
        <v>43739.0</v>
      </c>
    </row>
    <row r="7757">
      <c r="A7757" s="217">
        <v>43741.52450774306</v>
      </c>
      <c r="B7757" s="3" t="s">
        <v>5092</v>
      </c>
      <c r="C7757" s="3" t="s">
        <v>6349</v>
      </c>
      <c r="D7757" s="265">
        <v>1.0</v>
      </c>
      <c r="E7757" s="3">
        <v>3390.0</v>
      </c>
      <c r="G7757" s="266">
        <v>43739.0</v>
      </c>
    </row>
    <row r="7758">
      <c r="A7758" s="217">
        <v>43741.52497508102</v>
      </c>
      <c r="B7758" s="3" t="s">
        <v>5092</v>
      </c>
      <c r="C7758" s="3" t="s">
        <v>5531</v>
      </c>
      <c r="D7758" s="265">
        <v>1.0</v>
      </c>
      <c r="E7758" s="3">
        <v>3390.0</v>
      </c>
      <c r="G7758" s="266">
        <v>43739.0</v>
      </c>
    </row>
    <row r="7759">
      <c r="A7759" s="217">
        <v>43741.53379799769</v>
      </c>
      <c r="B7759" s="3" t="s">
        <v>5184</v>
      </c>
      <c r="C7759" s="3" t="s">
        <v>9537</v>
      </c>
      <c r="D7759" s="265">
        <v>1.0</v>
      </c>
      <c r="E7759" s="3">
        <v>2699.0</v>
      </c>
      <c r="G7759" s="266">
        <v>43741.0</v>
      </c>
    </row>
    <row r="7760">
      <c r="A7760" s="217">
        <v>43741.53443033565</v>
      </c>
      <c r="B7760" s="3" t="s">
        <v>5184</v>
      </c>
      <c r="C7760" s="3" t="s">
        <v>9538</v>
      </c>
      <c r="D7760" s="265">
        <v>1.0</v>
      </c>
      <c r="E7760" s="3">
        <v>2699.0</v>
      </c>
      <c r="G7760" s="266">
        <v>43741.0</v>
      </c>
    </row>
    <row r="7761">
      <c r="A7761" s="217">
        <v>43741.53506260416</v>
      </c>
      <c r="B7761" s="3" t="s">
        <v>5184</v>
      </c>
      <c r="C7761" s="3" t="s">
        <v>9539</v>
      </c>
      <c r="D7761" s="265">
        <v>1.0</v>
      </c>
      <c r="E7761" s="3">
        <v>2699.0</v>
      </c>
      <c r="G7761" s="266">
        <v>43741.0</v>
      </c>
    </row>
    <row r="7762">
      <c r="A7762" s="217">
        <v>43741.53564016204</v>
      </c>
      <c r="B7762" s="3" t="s">
        <v>5184</v>
      </c>
      <c r="C7762" s="3" t="s">
        <v>9540</v>
      </c>
      <c r="D7762" s="265">
        <v>1.0</v>
      </c>
      <c r="E7762" s="3">
        <v>2699.0</v>
      </c>
      <c r="G7762" s="266">
        <v>43741.0</v>
      </c>
    </row>
    <row r="7763">
      <c r="A7763" s="217">
        <v>43741.536277349536</v>
      </c>
      <c r="B7763" s="3" t="s">
        <v>5184</v>
      </c>
      <c r="C7763" s="3" t="s">
        <v>9541</v>
      </c>
      <c r="D7763" s="265">
        <v>1.0</v>
      </c>
      <c r="E7763" s="3">
        <v>2899.0</v>
      </c>
      <c r="G7763" s="266">
        <v>43741.0</v>
      </c>
    </row>
    <row r="7764">
      <c r="A7764" s="217">
        <v>43741.53694827546</v>
      </c>
      <c r="B7764" s="3" t="s">
        <v>5184</v>
      </c>
      <c r="C7764" s="3" t="s">
        <v>9542</v>
      </c>
      <c r="D7764" s="265">
        <v>1.0</v>
      </c>
      <c r="E7764" s="3">
        <v>2599.0</v>
      </c>
      <c r="G7764" s="266">
        <v>43741.0</v>
      </c>
    </row>
    <row r="7765">
      <c r="A7765" s="217">
        <v>43741.53754204861</v>
      </c>
      <c r="B7765" s="3" t="s">
        <v>5184</v>
      </c>
      <c r="C7765" s="3" t="s">
        <v>9543</v>
      </c>
      <c r="D7765" s="265">
        <v>1.0</v>
      </c>
      <c r="E7765" s="3">
        <v>2699.0</v>
      </c>
      <c r="G7765" s="266">
        <v>43741.0</v>
      </c>
    </row>
    <row r="7766">
      <c r="A7766" s="217">
        <v>43741.53820804398</v>
      </c>
      <c r="B7766" s="3" t="s">
        <v>5184</v>
      </c>
      <c r="C7766" s="3" t="s">
        <v>9544</v>
      </c>
      <c r="D7766" s="265">
        <v>2.0</v>
      </c>
      <c r="E7766" s="3">
        <v>1995.0</v>
      </c>
      <c r="G7766" s="266">
        <v>43741.0</v>
      </c>
    </row>
    <row r="7767">
      <c r="A7767" s="217">
        <v>43741.53890341435</v>
      </c>
      <c r="B7767" s="3" t="s">
        <v>5184</v>
      </c>
      <c r="C7767" s="3" t="s">
        <v>9545</v>
      </c>
      <c r="D7767" s="265">
        <v>1.0</v>
      </c>
      <c r="E7767" s="3">
        <v>2299.0</v>
      </c>
      <c r="G7767" s="266">
        <v>43741.0</v>
      </c>
    </row>
    <row r="7768">
      <c r="A7768" s="217">
        <v>43741.53952752315</v>
      </c>
      <c r="B7768" s="3" t="s">
        <v>5184</v>
      </c>
      <c r="C7768" s="3" t="s">
        <v>9546</v>
      </c>
      <c r="D7768" s="265">
        <v>1.0</v>
      </c>
      <c r="E7768" s="3">
        <v>1699.0</v>
      </c>
      <c r="G7768" s="266">
        <v>43741.0</v>
      </c>
    </row>
    <row r="7769">
      <c r="A7769" s="217">
        <v>43741.540190451386</v>
      </c>
      <c r="B7769" s="3" t="s">
        <v>5184</v>
      </c>
      <c r="C7769" s="3" t="s">
        <v>9547</v>
      </c>
      <c r="D7769" s="265">
        <v>1.0</v>
      </c>
      <c r="E7769" s="3">
        <v>1699.0</v>
      </c>
      <c r="G7769" s="266">
        <v>43741.0</v>
      </c>
    </row>
    <row r="7770">
      <c r="A7770" s="217">
        <v>43741.54392552083</v>
      </c>
      <c r="B7770" s="3" t="s">
        <v>5184</v>
      </c>
      <c r="C7770" s="3" t="s">
        <v>9548</v>
      </c>
      <c r="D7770" s="265">
        <v>1.0</v>
      </c>
      <c r="E7770" s="3">
        <v>1299.0</v>
      </c>
      <c r="G7770" s="266">
        <v>43741.0</v>
      </c>
    </row>
    <row r="7771">
      <c r="A7771" s="217">
        <v>43741.54451065972</v>
      </c>
      <c r="B7771" s="3" t="s">
        <v>5184</v>
      </c>
      <c r="C7771" s="3" t="s">
        <v>9549</v>
      </c>
      <c r="D7771" s="265">
        <v>1.0</v>
      </c>
      <c r="E7771" s="3">
        <v>1699.0</v>
      </c>
      <c r="G7771" s="266">
        <v>43741.0</v>
      </c>
    </row>
    <row r="7772">
      <c r="A7772" s="217">
        <v>43741.545124027776</v>
      </c>
      <c r="B7772" s="3" t="s">
        <v>5184</v>
      </c>
      <c r="C7772" s="3" t="s">
        <v>9550</v>
      </c>
      <c r="D7772" s="265">
        <v>1.0</v>
      </c>
      <c r="E7772" s="3">
        <v>1566.0</v>
      </c>
      <c r="G7772" s="266">
        <v>43741.0</v>
      </c>
    </row>
    <row r="7773">
      <c r="A7773" s="217">
        <v>43741.549299108796</v>
      </c>
      <c r="B7773" s="3" t="s">
        <v>5184</v>
      </c>
      <c r="C7773" s="3" t="s">
        <v>9551</v>
      </c>
      <c r="D7773" s="265">
        <v>1.0</v>
      </c>
      <c r="E7773" s="3">
        <v>2099.0</v>
      </c>
      <c r="G7773" s="266">
        <v>43741.0</v>
      </c>
    </row>
    <row r="7774">
      <c r="A7774" s="217">
        <v>43741.551341666665</v>
      </c>
      <c r="B7774" s="3" t="s">
        <v>5184</v>
      </c>
      <c r="C7774" s="3" t="s">
        <v>9552</v>
      </c>
      <c r="D7774" s="265">
        <v>1.0</v>
      </c>
      <c r="E7774" s="3">
        <v>1499.0</v>
      </c>
      <c r="G7774" s="266">
        <v>43741.0</v>
      </c>
    </row>
    <row r="7775">
      <c r="A7775" s="217">
        <v>43741.5519837037</v>
      </c>
      <c r="B7775" s="3" t="s">
        <v>5184</v>
      </c>
      <c r="C7775" s="3" t="s">
        <v>9553</v>
      </c>
      <c r="D7775" s="265">
        <v>1.0</v>
      </c>
      <c r="E7775" s="3">
        <v>1399.0</v>
      </c>
      <c r="G7775" s="266">
        <v>43741.0</v>
      </c>
    </row>
    <row r="7776">
      <c r="A7776" s="217">
        <v>43741.552654328705</v>
      </c>
      <c r="B7776" s="3" t="s">
        <v>5184</v>
      </c>
      <c r="C7776" s="3" t="s">
        <v>9554</v>
      </c>
      <c r="D7776" s="265">
        <v>2.0</v>
      </c>
      <c r="E7776" s="3">
        <v>1999.0</v>
      </c>
      <c r="G7776" s="266">
        <v>43741.0</v>
      </c>
    </row>
    <row r="7777">
      <c r="A7777" s="217">
        <v>43741.554809953705</v>
      </c>
      <c r="B7777" s="3" t="s">
        <v>5184</v>
      </c>
      <c r="C7777" s="3" t="s">
        <v>9555</v>
      </c>
      <c r="D7777" s="265">
        <v>1.0</v>
      </c>
      <c r="E7777" s="3">
        <v>1699.0</v>
      </c>
      <c r="G7777" s="266">
        <v>43741.0</v>
      </c>
    </row>
    <row r="7778">
      <c r="A7778" s="217">
        <v>43741.55544564815</v>
      </c>
      <c r="B7778" s="3" t="s">
        <v>5184</v>
      </c>
      <c r="C7778" s="3" t="s">
        <v>9556</v>
      </c>
      <c r="D7778" s="265">
        <v>1.0</v>
      </c>
      <c r="E7778" s="3">
        <v>1699.0</v>
      </c>
      <c r="G7778" s="266">
        <v>43741.0</v>
      </c>
    </row>
    <row r="7779">
      <c r="A7779" s="217">
        <v>43741.55608782408</v>
      </c>
      <c r="B7779" s="3" t="s">
        <v>5184</v>
      </c>
      <c r="C7779" s="3" t="s">
        <v>9557</v>
      </c>
      <c r="D7779" s="265">
        <v>1.0</v>
      </c>
      <c r="E7779" s="3">
        <v>1999.0</v>
      </c>
      <c r="G7779" s="266">
        <v>43741.0</v>
      </c>
    </row>
    <row r="7780">
      <c r="A7780" s="217">
        <v>43741.55658315972</v>
      </c>
      <c r="B7780" s="3" t="s">
        <v>5184</v>
      </c>
      <c r="C7780" s="3" t="s">
        <v>9558</v>
      </c>
      <c r="D7780" s="265">
        <v>1.0</v>
      </c>
      <c r="E7780" s="3">
        <v>1999.0</v>
      </c>
      <c r="G7780" s="266">
        <v>43741.0</v>
      </c>
    </row>
    <row r="7781">
      <c r="A7781" s="217">
        <v>43741.55724820602</v>
      </c>
      <c r="B7781" s="3" t="s">
        <v>5184</v>
      </c>
      <c r="C7781" s="3" t="s">
        <v>9559</v>
      </c>
      <c r="D7781" s="265">
        <v>3.0</v>
      </c>
      <c r="E7781" s="3">
        <v>1999.0</v>
      </c>
      <c r="G7781" s="266">
        <v>43741.0</v>
      </c>
    </row>
    <row r="7782">
      <c r="A7782" s="217">
        <v>43741.55783614583</v>
      </c>
      <c r="B7782" s="3" t="s">
        <v>5184</v>
      </c>
      <c r="C7782" s="3" t="s">
        <v>9560</v>
      </c>
      <c r="D7782" s="265">
        <v>1.0</v>
      </c>
      <c r="E7782" s="3">
        <v>1699.0</v>
      </c>
      <c r="G7782" s="266">
        <v>43741.0</v>
      </c>
    </row>
    <row r="7783">
      <c r="A7783" s="217">
        <v>43741.558383634256</v>
      </c>
      <c r="B7783" s="3" t="s">
        <v>5184</v>
      </c>
      <c r="C7783" s="3" t="s">
        <v>9561</v>
      </c>
      <c r="D7783" s="265">
        <v>1.0</v>
      </c>
      <c r="E7783" s="3">
        <v>1399.0</v>
      </c>
      <c r="G7783" s="266">
        <v>43741.0</v>
      </c>
    </row>
    <row r="7784">
      <c r="A7784" s="217">
        <v>43741.55896635416</v>
      </c>
      <c r="B7784" s="3" t="s">
        <v>5184</v>
      </c>
      <c r="C7784" s="3" t="s">
        <v>9562</v>
      </c>
      <c r="D7784" s="265">
        <v>1.0</v>
      </c>
      <c r="E7784" s="3">
        <v>1299.0</v>
      </c>
      <c r="G7784" s="266">
        <v>43741.0</v>
      </c>
    </row>
    <row r="7785">
      <c r="A7785" s="217">
        <v>43741.55951989583</v>
      </c>
      <c r="B7785" s="3" t="s">
        <v>5184</v>
      </c>
      <c r="C7785" s="3" t="s">
        <v>9563</v>
      </c>
      <c r="D7785" s="265">
        <v>1.0</v>
      </c>
      <c r="E7785" s="3">
        <v>1399.0</v>
      </c>
      <c r="G7785" s="266">
        <v>43741.0</v>
      </c>
    </row>
    <row r="7786">
      <c r="A7786" s="217">
        <v>43741.56008364583</v>
      </c>
      <c r="B7786" s="3" t="s">
        <v>5184</v>
      </c>
      <c r="C7786" s="3" t="s">
        <v>9564</v>
      </c>
      <c r="D7786" s="265">
        <v>1.0</v>
      </c>
      <c r="E7786" s="3">
        <v>2150.0</v>
      </c>
      <c r="G7786" s="266">
        <v>43741.0</v>
      </c>
    </row>
    <row r="7787">
      <c r="A7787" s="217">
        <v>43741.560685046294</v>
      </c>
      <c r="B7787" s="3" t="s">
        <v>5184</v>
      </c>
      <c r="C7787" s="3" t="s">
        <v>9565</v>
      </c>
      <c r="D7787" s="265">
        <v>2.0</v>
      </c>
      <c r="E7787" s="3">
        <v>8625.0</v>
      </c>
      <c r="G7787" s="266">
        <v>43741.0</v>
      </c>
    </row>
    <row r="7788">
      <c r="A7788" s="217">
        <v>43741.56135305556</v>
      </c>
      <c r="B7788" s="3" t="s">
        <v>5184</v>
      </c>
      <c r="C7788" s="3" t="s">
        <v>9566</v>
      </c>
      <c r="D7788" s="265">
        <v>1.0</v>
      </c>
      <c r="E7788" s="3">
        <v>8900.0</v>
      </c>
      <c r="G7788" s="266">
        <v>43741.0</v>
      </c>
    </row>
    <row r="7789">
      <c r="A7789" s="217">
        <v>43741.56216460648</v>
      </c>
      <c r="B7789" s="3" t="s">
        <v>5184</v>
      </c>
      <c r="C7789" s="3" t="s">
        <v>9567</v>
      </c>
      <c r="D7789" s="265">
        <v>1.0</v>
      </c>
      <c r="E7789" s="3">
        <v>8900.0</v>
      </c>
      <c r="G7789" s="266">
        <v>43741.0</v>
      </c>
    </row>
    <row r="7790">
      <c r="A7790" s="217">
        <v>43741.56268971065</v>
      </c>
      <c r="B7790" s="3" t="s">
        <v>5184</v>
      </c>
      <c r="C7790" s="3" t="s">
        <v>9568</v>
      </c>
      <c r="D7790" s="265">
        <v>1.0</v>
      </c>
      <c r="E7790" s="3">
        <v>8190.0</v>
      </c>
      <c r="G7790" s="266">
        <v>43741.0</v>
      </c>
    </row>
    <row r="7791">
      <c r="A7791" s="217">
        <v>43741.56315783565</v>
      </c>
      <c r="B7791" s="3" t="s">
        <v>5184</v>
      </c>
      <c r="C7791" s="3" t="s">
        <v>9569</v>
      </c>
      <c r="D7791" s="265">
        <v>1.0</v>
      </c>
      <c r="E7791" s="3">
        <v>8190.0</v>
      </c>
      <c r="G7791" s="266">
        <v>43741.0</v>
      </c>
    </row>
    <row r="7792">
      <c r="A7792" s="217">
        <v>43741.56366584491</v>
      </c>
      <c r="B7792" s="3" t="s">
        <v>5184</v>
      </c>
      <c r="C7792" s="3" t="s">
        <v>9570</v>
      </c>
      <c r="D7792" s="265">
        <v>1.0</v>
      </c>
      <c r="E7792" s="3">
        <v>8590.0</v>
      </c>
      <c r="G7792" s="266">
        <v>43741.0</v>
      </c>
    </row>
    <row r="7793">
      <c r="A7793" s="217">
        <v>43741.56426849537</v>
      </c>
      <c r="B7793" s="3" t="s">
        <v>5184</v>
      </c>
      <c r="C7793" s="3" t="s">
        <v>9571</v>
      </c>
      <c r="D7793" s="265">
        <v>1.0</v>
      </c>
      <c r="E7793" s="3">
        <v>5990.0</v>
      </c>
      <c r="G7793" s="266">
        <v>43741.0</v>
      </c>
    </row>
    <row r="7794">
      <c r="A7794" s="217">
        <v>43741.56474671296</v>
      </c>
      <c r="B7794" s="3" t="s">
        <v>5184</v>
      </c>
      <c r="C7794" s="3" t="s">
        <v>9572</v>
      </c>
      <c r="D7794" s="265">
        <v>1.0</v>
      </c>
      <c r="E7794" s="3">
        <v>3490.0</v>
      </c>
      <c r="G7794" s="266">
        <v>43741.0</v>
      </c>
    </row>
    <row r="7795">
      <c r="A7795" s="217">
        <v>43741.565235208334</v>
      </c>
      <c r="B7795" s="3" t="s">
        <v>5184</v>
      </c>
      <c r="C7795" s="3" t="s">
        <v>9573</v>
      </c>
      <c r="D7795" s="265">
        <v>3.0</v>
      </c>
      <c r="E7795" s="3">
        <v>4290.0</v>
      </c>
      <c r="G7795" s="266">
        <v>43741.0</v>
      </c>
    </row>
    <row r="7796">
      <c r="A7796" s="217">
        <v>43741.565884745374</v>
      </c>
      <c r="B7796" s="3" t="s">
        <v>5184</v>
      </c>
      <c r="C7796" s="3" t="s">
        <v>9574</v>
      </c>
      <c r="D7796" s="265">
        <v>2.0</v>
      </c>
      <c r="E7796" s="3">
        <v>5490.0</v>
      </c>
      <c r="G7796" s="266">
        <v>43741.0</v>
      </c>
    </row>
    <row r="7797">
      <c r="A7797" s="217">
        <v>43741.56669760417</v>
      </c>
      <c r="B7797" s="3" t="s">
        <v>5184</v>
      </c>
      <c r="C7797" s="3" t="s">
        <v>9575</v>
      </c>
      <c r="D7797" s="265">
        <v>2.0</v>
      </c>
      <c r="E7797" s="3">
        <v>5490.0</v>
      </c>
      <c r="G7797" s="266">
        <v>43741.0</v>
      </c>
    </row>
    <row r="7798">
      <c r="A7798" s="217">
        <v>43741.56773097222</v>
      </c>
      <c r="B7798" s="3" t="s">
        <v>5184</v>
      </c>
      <c r="C7798" s="3" t="s">
        <v>9576</v>
      </c>
      <c r="D7798" s="265">
        <v>1.0</v>
      </c>
      <c r="E7798" s="3">
        <v>3290.0</v>
      </c>
      <c r="G7798" s="266">
        <v>43741.0</v>
      </c>
    </row>
    <row r="7799">
      <c r="A7799" s="217">
        <v>43741.56814746528</v>
      </c>
      <c r="B7799" s="3" t="s">
        <v>5184</v>
      </c>
      <c r="C7799" s="3" t="s">
        <v>9577</v>
      </c>
      <c r="D7799" s="265">
        <v>1.0</v>
      </c>
      <c r="E7799" s="3">
        <v>3290.0</v>
      </c>
      <c r="G7799" s="266">
        <v>43741.0</v>
      </c>
    </row>
    <row r="7800">
      <c r="A7800" s="217">
        <v>43741.5685624537</v>
      </c>
      <c r="B7800" s="3" t="s">
        <v>5184</v>
      </c>
      <c r="C7800" s="3" t="s">
        <v>9578</v>
      </c>
      <c r="D7800" s="265">
        <v>1.0</v>
      </c>
      <c r="E7800" s="3">
        <v>5990.0</v>
      </c>
      <c r="G7800" s="266">
        <v>43741.0</v>
      </c>
    </row>
    <row r="7801">
      <c r="A7801" s="217">
        <v>43741.56906864583</v>
      </c>
      <c r="B7801" s="3" t="s">
        <v>5184</v>
      </c>
      <c r="C7801" s="3" t="s">
        <v>9579</v>
      </c>
      <c r="D7801" s="265">
        <v>1.0</v>
      </c>
      <c r="E7801" s="3">
        <v>3990.0</v>
      </c>
      <c r="G7801" s="266">
        <v>43741.0</v>
      </c>
    </row>
    <row r="7802">
      <c r="A7802" s="217">
        <v>43741.56967891204</v>
      </c>
      <c r="B7802" s="3" t="s">
        <v>5184</v>
      </c>
      <c r="C7802" s="3" t="s">
        <v>9580</v>
      </c>
      <c r="D7802" s="265">
        <v>3.0</v>
      </c>
      <c r="E7802" s="3">
        <v>3790.0</v>
      </c>
      <c r="G7802" s="266">
        <v>43741.0</v>
      </c>
    </row>
    <row r="7803">
      <c r="A7803" s="217">
        <v>43741.570212708335</v>
      </c>
      <c r="B7803" s="3" t="s">
        <v>5184</v>
      </c>
      <c r="C7803" s="3" t="s">
        <v>9581</v>
      </c>
      <c r="D7803" s="265">
        <v>1.0</v>
      </c>
      <c r="E7803" s="3">
        <v>3390.0</v>
      </c>
      <c r="G7803" s="266">
        <v>43741.0</v>
      </c>
    </row>
    <row r="7804">
      <c r="A7804" s="217">
        <v>43741.57066660879</v>
      </c>
      <c r="B7804" s="3" t="s">
        <v>5184</v>
      </c>
      <c r="C7804" s="3" t="s">
        <v>9582</v>
      </c>
      <c r="D7804" s="265">
        <v>1.0</v>
      </c>
      <c r="E7804" s="3">
        <v>3390.0</v>
      </c>
      <c r="G7804" s="266">
        <v>43741.0</v>
      </c>
    </row>
    <row r="7805">
      <c r="A7805" s="217">
        <v>43741.57107258102</v>
      </c>
      <c r="B7805" s="3" t="s">
        <v>5184</v>
      </c>
      <c r="C7805" s="3" t="s">
        <v>9583</v>
      </c>
      <c r="D7805" s="265">
        <v>1.0</v>
      </c>
      <c r="E7805" s="3">
        <v>4600.0</v>
      </c>
      <c r="G7805" s="266">
        <v>43741.0</v>
      </c>
    </row>
    <row r="7806">
      <c r="A7806" s="217">
        <v>43745.77244403935</v>
      </c>
      <c r="B7806" s="3" t="s">
        <v>5184</v>
      </c>
      <c r="C7806" s="3" t="s">
        <v>5403</v>
      </c>
      <c r="D7806" s="265">
        <v>1.0</v>
      </c>
      <c r="E7806" s="3">
        <v>4990.0</v>
      </c>
      <c r="G7806" s="266">
        <v>43745.0</v>
      </c>
    </row>
    <row r="7807">
      <c r="A7807" s="217">
        <v>43745.77328997685</v>
      </c>
      <c r="B7807" s="3" t="s">
        <v>5184</v>
      </c>
      <c r="C7807" s="3" t="s">
        <v>9255</v>
      </c>
      <c r="D7807" s="265">
        <v>1.0</v>
      </c>
      <c r="E7807" s="3">
        <v>5090.0</v>
      </c>
      <c r="G7807" s="266">
        <v>43745.0</v>
      </c>
    </row>
    <row r="7808">
      <c r="A7808" s="217">
        <v>43745.774296180556</v>
      </c>
      <c r="B7808" s="3" t="s">
        <v>5184</v>
      </c>
      <c r="C7808" s="3" t="s">
        <v>6775</v>
      </c>
      <c r="D7808" s="265">
        <v>2.0</v>
      </c>
      <c r="E7808" s="3">
        <v>4590.0</v>
      </c>
      <c r="G7808" s="266">
        <v>43745.0</v>
      </c>
    </row>
    <row r="7809">
      <c r="A7809" s="217">
        <v>43750.59083262732</v>
      </c>
      <c r="B7809" s="3" t="s">
        <v>5092</v>
      </c>
      <c r="C7809" s="3" t="s">
        <v>9585</v>
      </c>
      <c r="D7809" s="265">
        <v>1.0</v>
      </c>
      <c r="E7809" s="3">
        <v>2450.0</v>
      </c>
      <c r="G7809" s="266">
        <v>43745.0</v>
      </c>
    </row>
    <row r="7810">
      <c r="A7810" s="217">
        <v>43750.591973738425</v>
      </c>
      <c r="B7810" s="3" t="s">
        <v>5092</v>
      </c>
      <c r="C7810" s="3" t="s">
        <v>9537</v>
      </c>
      <c r="D7810" s="265">
        <v>1.0</v>
      </c>
      <c r="E7810" s="3">
        <v>2699.0</v>
      </c>
      <c r="G7810" s="266">
        <v>43745.0</v>
      </c>
    </row>
    <row r="7811">
      <c r="A7811" s="217">
        <v>43750.59279329861</v>
      </c>
      <c r="B7811" s="3" t="s">
        <v>5092</v>
      </c>
      <c r="C7811" s="3" t="s">
        <v>9586</v>
      </c>
      <c r="D7811" s="265">
        <v>1.0</v>
      </c>
      <c r="E7811" s="3">
        <v>2299.0</v>
      </c>
      <c r="G7811" s="266">
        <v>43745.0</v>
      </c>
    </row>
    <row r="7812">
      <c r="A7812" s="217">
        <v>43750.59333013889</v>
      </c>
      <c r="B7812" s="3" t="s">
        <v>5092</v>
      </c>
      <c r="C7812" s="3" t="s">
        <v>9587</v>
      </c>
      <c r="D7812" s="265">
        <v>1.0</v>
      </c>
      <c r="E7812" s="3">
        <v>2499.0</v>
      </c>
      <c r="G7812" s="266">
        <v>43745.0</v>
      </c>
    </row>
    <row r="7813">
      <c r="A7813" s="217">
        <v>43750.59384372685</v>
      </c>
      <c r="B7813" s="3" t="s">
        <v>5092</v>
      </c>
      <c r="C7813" s="3" t="s">
        <v>9588</v>
      </c>
      <c r="D7813" s="265">
        <v>1.0</v>
      </c>
      <c r="E7813" s="3">
        <v>2099.0</v>
      </c>
      <c r="G7813" s="266">
        <v>43745.0</v>
      </c>
    </row>
    <row r="7814">
      <c r="A7814" s="217">
        <v>43750.59435841435</v>
      </c>
      <c r="B7814" s="3" t="s">
        <v>5092</v>
      </c>
      <c r="C7814" s="3" t="s">
        <v>9589</v>
      </c>
      <c r="D7814" s="265">
        <v>1.0</v>
      </c>
      <c r="E7814" s="3">
        <v>2099.0</v>
      </c>
      <c r="G7814" s="266">
        <v>43745.0</v>
      </c>
    </row>
    <row r="7815">
      <c r="A7815" s="217">
        <v>43750.59493662037</v>
      </c>
      <c r="B7815" s="3" t="s">
        <v>5092</v>
      </c>
      <c r="C7815" s="3" t="s">
        <v>9590</v>
      </c>
      <c r="D7815" s="265">
        <v>1.0</v>
      </c>
      <c r="E7815" s="3">
        <v>2299.0</v>
      </c>
      <c r="G7815" s="266">
        <v>43745.0</v>
      </c>
    </row>
    <row r="7816">
      <c r="A7816" s="217">
        <v>43750.60709065972</v>
      </c>
      <c r="B7816" s="3" t="s">
        <v>5092</v>
      </c>
      <c r="C7816" s="3" t="s">
        <v>9591</v>
      </c>
      <c r="D7816" s="265">
        <v>1.0</v>
      </c>
      <c r="E7816" s="3">
        <v>1999.0</v>
      </c>
      <c r="G7816" s="266">
        <v>43745.0</v>
      </c>
    </row>
    <row r="7817">
      <c r="A7817" s="217">
        <v>43750.60799853009</v>
      </c>
      <c r="B7817" s="3" t="s">
        <v>5092</v>
      </c>
      <c r="C7817" s="3" t="s">
        <v>9592</v>
      </c>
      <c r="D7817" s="265">
        <v>1.0</v>
      </c>
      <c r="E7817" s="3">
        <v>2599.0</v>
      </c>
      <c r="G7817" s="266">
        <v>43745.0</v>
      </c>
    </row>
    <row r="7818">
      <c r="A7818" s="217">
        <v>43750.60836013889</v>
      </c>
      <c r="B7818" s="3" t="s">
        <v>5092</v>
      </c>
      <c r="C7818" s="3" t="s">
        <v>9538</v>
      </c>
      <c r="D7818" s="265">
        <v>1.0</v>
      </c>
      <c r="E7818" s="3">
        <v>2699.0</v>
      </c>
      <c r="G7818" s="266">
        <v>43745.0</v>
      </c>
    </row>
    <row r="7819">
      <c r="A7819" s="217">
        <v>43750.60885792824</v>
      </c>
      <c r="B7819" s="3" t="s">
        <v>5092</v>
      </c>
      <c r="C7819" s="3" t="s">
        <v>9593</v>
      </c>
      <c r="D7819" s="265">
        <v>1.0</v>
      </c>
      <c r="E7819" s="3">
        <v>2699.0</v>
      </c>
      <c r="G7819" s="266">
        <v>43745.0</v>
      </c>
    </row>
    <row r="7820">
      <c r="A7820" s="217">
        <v>43750.60926755787</v>
      </c>
      <c r="B7820" s="3" t="s">
        <v>5092</v>
      </c>
      <c r="C7820" s="3" t="s">
        <v>9539</v>
      </c>
      <c r="D7820" s="265">
        <v>1.0</v>
      </c>
      <c r="E7820" s="3">
        <v>2699.0</v>
      </c>
      <c r="G7820" s="266">
        <v>43745.0</v>
      </c>
    </row>
    <row r="7821">
      <c r="A7821" s="217">
        <v>43750.613513599536</v>
      </c>
      <c r="B7821" s="3" t="s">
        <v>5092</v>
      </c>
      <c r="C7821" s="3" t="s">
        <v>9594</v>
      </c>
      <c r="D7821" s="265">
        <v>1.0</v>
      </c>
      <c r="E7821" s="3">
        <v>2899.0</v>
      </c>
      <c r="G7821" s="266">
        <v>43745.0</v>
      </c>
    </row>
    <row r="7822">
      <c r="A7822" s="217">
        <v>43750.61391013888</v>
      </c>
      <c r="B7822" s="3" t="s">
        <v>5092</v>
      </c>
      <c r="C7822" s="3" t="s">
        <v>9540</v>
      </c>
      <c r="D7822" s="265">
        <v>1.0</v>
      </c>
      <c r="E7822" s="3">
        <v>2699.0</v>
      </c>
      <c r="G7822" s="266">
        <v>43745.0</v>
      </c>
    </row>
    <row r="7823">
      <c r="A7823" s="217">
        <v>43750.61426209491</v>
      </c>
      <c r="B7823" s="3" t="s">
        <v>5092</v>
      </c>
      <c r="C7823" s="3" t="s">
        <v>9595</v>
      </c>
      <c r="D7823" s="265">
        <v>1.0</v>
      </c>
      <c r="E7823" s="3">
        <v>2899.0</v>
      </c>
      <c r="G7823" s="266">
        <v>43745.0</v>
      </c>
    </row>
    <row r="7824">
      <c r="A7824" s="217">
        <v>43750.61463142361</v>
      </c>
      <c r="B7824" s="3" t="s">
        <v>5092</v>
      </c>
      <c r="C7824" s="3" t="s">
        <v>9596</v>
      </c>
      <c r="D7824" s="265">
        <v>1.0</v>
      </c>
      <c r="E7824" s="3">
        <v>2699.0</v>
      </c>
      <c r="G7824" s="266">
        <v>43745.0</v>
      </c>
    </row>
    <row r="7825">
      <c r="A7825" s="217">
        <v>43750.615020439815</v>
      </c>
      <c r="B7825" s="3" t="s">
        <v>5092</v>
      </c>
      <c r="C7825" s="3" t="s">
        <v>9597</v>
      </c>
      <c r="D7825" s="265">
        <v>1.0</v>
      </c>
      <c r="E7825" s="3">
        <v>2699.0</v>
      </c>
      <c r="G7825" s="266">
        <v>43745.0</v>
      </c>
    </row>
    <row r="7826">
      <c r="A7826" s="217">
        <v>43750.61543796296</v>
      </c>
      <c r="B7826" s="3" t="s">
        <v>5092</v>
      </c>
      <c r="C7826" s="3" t="s">
        <v>9542</v>
      </c>
      <c r="D7826" s="265">
        <v>1.0</v>
      </c>
      <c r="E7826" s="3">
        <v>2599.0</v>
      </c>
      <c r="G7826" s="266">
        <v>43745.0</v>
      </c>
    </row>
    <row r="7827">
      <c r="A7827" s="217">
        <v>43750.61584239583</v>
      </c>
      <c r="B7827" s="3" t="s">
        <v>5092</v>
      </c>
      <c r="C7827" s="3" t="s">
        <v>9598</v>
      </c>
      <c r="D7827" s="265">
        <v>1.0</v>
      </c>
      <c r="E7827" s="3">
        <v>2699.0</v>
      </c>
      <c r="G7827" s="266">
        <v>43745.0</v>
      </c>
    </row>
    <row r="7828">
      <c r="A7828" s="217">
        <v>43750.616225868056</v>
      </c>
      <c r="B7828" s="3" t="s">
        <v>5092</v>
      </c>
      <c r="C7828" s="3" t="s">
        <v>9599</v>
      </c>
      <c r="D7828" s="265">
        <v>1.0</v>
      </c>
      <c r="E7828" s="3">
        <v>2299.0</v>
      </c>
      <c r="G7828" s="266">
        <v>43745.0</v>
      </c>
    </row>
    <row r="7829">
      <c r="A7829" s="217">
        <v>43750.619098020834</v>
      </c>
      <c r="B7829" s="3" t="s">
        <v>5092</v>
      </c>
      <c r="C7829" s="3" t="s">
        <v>9600</v>
      </c>
      <c r="D7829" s="265">
        <v>1.0</v>
      </c>
      <c r="E7829" s="3">
        <v>2499.0</v>
      </c>
      <c r="G7829" s="266">
        <v>43745.0</v>
      </c>
    </row>
    <row r="7830">
      <c r="A7830" s="217">
        <v>43750.619502581016</v>
      </c>
      <c r="B7830" s="3" t="s">
        <v>5092</v>
      </c>
      <c r="C7830" s="3" t="s">
        <v>9601</v>
      </c>
      <c r="D7830" s="265">
        <v>1.0</v>
      </c>
      <c r="E7830" s="3">
        <v>2699.0</v>
      </c>
      <c r="G7830" s="266">
        <v>43745.0</v>
      </c>
    </row>
    <row r="7831">
      <c r="A7831" s="217">
        <v>43750.619885381944</v>
      </c>
      <c r="B7831" s="3" t="s">
        <v>5092</v>
      </c>
      <c r="C7831" s="3" t="s">
        <v>9602</v>
      </c>
      <c r="D7831" s="265">
        <v>1.0</v>
      </c>
      <c r="E7831" s="3">
        <v>2499.0</v>
      </c>
      <c r="G7831" s="266">
        <v>43745.0</v>
      </c>
    </row>
    <row r="7832">
      <c r="A7832" s="217">
        <v>43750.62030614584</v>
      </c>
      <c r="B7832" s="3" t="s">
        <v>5092</v>
      </c>
      <c r="C7832" s="3" t="s">
        <v>9544</v>
      </c>
      <c r="D7832" s="265">
        <v>1.0</v>
      </c>
      <c r="E7832" s="3">
        <v>1995.0</v>
      </c>
      <c r="G7832" s="266">
        <v>43745.0</v>
      </c>
    </row>
    <row r="7833">
      <c r="A7833" s="217">
        <v>43750.62144311343</v>
      </c>
      <c r="B7833" s="3" t="s">
        <v>5092</v>
      </c>
      <c r="C7833" s="3" t="s">
        <v>9545</v>
      </c>
      <c r="D7833" s="265">
        <v>1.0</v>
      </c>
      <c r="E7833" s="3">
        <v>2299.0</v>
      </c>
      <c r="G7833" s="266">
        <v>43745.0</v>
      </c>
    </row>
    <row r="7834">
      <c r="A7834" s="217">
        <v>43750.62182655092</v>
      </c>
      <c r="B7834" s="3" t="s">
        <v>5092</v>
      </c>
      <c r="C7834" s="3" t="s">
        <v>9603</v>
      </c>
      <c r="D7834" s="265">
        <v>1.0</v>
      </c>
      <c r="E7834" s="3">
        <v>2799.0</v>
      </c>
      <c r="G7834" s="266">
        <v>43745.0</v>
      </c>
    </row>
    <row r="7835">
      <c r="A7835" s="217">
        <v>43750.62222650463</v>
      </c>
      <c r="B7835" s="3" t="s">
        <v>5092</v>
      </c>
      <c r="C7835" s="3" t="s">
        <v>9604</v>
      </c>
      <c r="D7835" s="265">
        <v>1.0</v>
      </c>
      <c r="E7835" s="3">
        <v>1999.0</v>
      </c>
      <c r="G7835" s="266">
        <v>43745.0</v>
      </c>
    </row>
    <row r="7836">
      <c r="A7836" s="217">
        <v>43750.622651944446</v>
      </c>
      <c r="B7836" s="3" t="s">
        <v>5092</v>
      </c>
      <c r="C7836" s="3" t="s">
        <v>9605</v>
      </c>
      <c r="D7836" s="265">
        <v>1.0</v>
      </c>
      <c r="E7836" s="3">
        <v>1299.0</v>
      </c>
      <c r="G7836" s="266">
        <v>43745.0</v>
      </c>
    </row>
    <row r="7837">
      <c r="A7837" s="217">
        <v>43750.6231534375</v>
      </c>
      <c r="B7837" s="3" t="s">
        <v>5092</v>
      </c>
      <c r="C7837" s="3" t="s">
        <v>9606</v>
      </c>
      <c r="D7837" s="265">
        <v>1.0</v>
      </c>
      <c r="E7837" s="3">
        <v>1299.0</v>
      </c>
      <c r="G7837" s="266">
        <v>43745.0</v>
      </c>
    </row>
    <row r="7838">
      <c r="A7838" s="217">
        <v>43750.62360612268</v>
      </c>
      <c r="B7838" s="3" t="s">
        <v>5092</v>
      </c>
      <c r="C7838" s="3" t="s">
        <v>9546</v>
      </c>
      <c r="D7838" s="265">
        <v>1.0</v>
      </c>
      <c r="E7838" s="3">
        <v>1699.0</v>
      </c>
      <c r="G7838" s="266">
        <v>43745.0</v>
      </c>
    </row>
    <row r="7839">
      <c r="A7839" s="217">
        <v>43750.62400285879</v>
      </c>
      <c r="B7839" s="3" t="s">
        <v>5092</v>
      </c>
      <c r="C7839" s="3" t="s">
        <v>9547</v>
      </c>
      <c r="D7839" s="265">
        <v>1.0</v>
      </c>
      <c r="E7839" s="3">
        <v>1699.0</v>
      </c>
      <c r="G7839" s="266">
        <v>43745.0</v>
      </c>
    </row>
    <row r="7840">
      <c r="A7840" s="217">
        <v>43750.624628460646</v>
      </c>
      <c r="B7840" s="3" t="s">
        <v>5092</v>
      </c>
      <c r="C7840" s="3" t="s">
        <v>9607</v>
      </c>
      <c r="D7840" s="265">
        <v>1.0</v>
      </c>
      <c r="E7840" s="3">
        <v>1895.0</v>
      </c>
      <c r="G7840" s="266">
        <v>43745.0</v>
      </c>
    </row>
    <row r="7841">
      <c r="A7841" s="217">
        <v>43750.625111064815</v>
      </c>
      <c r="B7841" s="3" t="s">
        <v>5092</v>
      </c>
      <c r="C7841" s="3" t="s">
        <v>9608</v>
      </c>
      <c r="D7841" s="265">
        <v>1.0</v>
      </c>
      <c r="E7841" s="3">
        <v>2099.0</v>
      </c>
      <c r="G7841" s="266">
        <v>43745.0</v>
      </c>
    </row>
    <row r="7842">
      <c r="A7842" s="217">
        <v>43750.62553175926</v>
      </c>
      <c r="B7842" s="3" t="s">
        <v>5092</v>
      </c>
      <c r="C7842" s="3" t="s">
        <v>9609</v>
      </c>
      <c r="D7842" s="265">
        <v>1.0</v>
      </c>
      <c r="E7842" s="3">
        <v>1299.0</v>
      </c>
      <c r="G7842" s="266">
        <v>43745.0</v>
      </c>
    </row>
    <row r="7843">
      <c r="A7843" s="217">
        <v>43750.62600938657</v>
      </c>
      <c r="B7843" s="3" t="s">
        <v>5092</v>
      </c>
      <c r="C7843" s="3" t="s">
        <v>9610</v>
      </c>
      <c r="D7843" s="265">
        <v>1.0</v>
      </c>
      <c r="E7843" s="3">
        <v>1295.0</v>
      </c>
      <c r="G7843" s="266">
        <v>43745.0</v>
      </c>
    </row>
    <row r="7844">
      <c r="A7844" s="217">
        <v>43750.64883730324</v>
      </c>
      <c r="B7844" s="3" t="s">
        <v>5092</v>
      </c>
      <c r="C7844" s="3" t="s">
        <v>9611</v>
      </c>
      <c r="D7844" s="265">
        <v>1.0</v>
      </c>
      <c r="E7844" s="3">
        <v>1299.0</v>
      </c>
      <c r="G7844" s="266">
        <v>43745.0</v>
      </c>
    </row>
    <row r="7845">
      <c r="A7845" s="217">
        <v>43750.64918490741</v>
      </c>
      <c r="B7845" s="3" t="s">
        <v>5092</v>
      </c>
      <c r="C7845" s="3" t="s">
        <v>9612</v>
      </c>
      <c r="D7845" s="265">
        <v>1.0</v>
      </c>
      <c r="E7845" s="3">
        <v>1299.0</v>
      </c>
      <c r="G7845" s="266">
        <v>43745.0</v>
      </c>
    </row>
    <row r="7846">
      <c r="A7846" s="217">
        <v>43750.649580509256</v>
      </c>
      <c r="B7846" s="3" t="s">
        <v>5092</v>
      </c>
      <c r="C7846" s="3" t="s">
        <v>9613</v>
      </c>
      <c r="D7846" s="265">
        <v>1.0</v>
      </c>
      <c r="E7846" s="3">
        <v>1299.0</v>
      </c>
      <c r="G7846" s="266">
        <v>43745.0</v>
      </c>
    </row>
    <row r="7847">
      <c r="A7847" s="217">
        <v>43750.649916215276</v>
      </c>
      <c r="B7847" s="3" t="s">
        <v>5092</v>
      </c>
      <c r="C7847" s="3" t="s">
        <v>9614</v>
      </c>
      <c r="D7847" s="265">
        <v>1.0</v>
      </c>
      <c r="E7847" s="3">
        <v>1299.0</v>
      </c>
      <c r="G7847" s="266">
        <v>43745.0</v>
      </c>
    </row>
    <row r="7848">
      <c r="A7848" s="217">
        <v>43750.650261863426</v>
      </c>
      <c r="B7848" s="3" t="s">
        <v>5092</v>
      </c>
      <c r="C7848" s="3" t="s">
        <v>9615</v>
      </c>
      <c r="D7848" s="265">
        <v>1.0</v>
      </c>
      <c r="E7848" s="3">
        <v>999.0</v>
      </c>
      <c r="G7848" s="266">
        <v>43745.0</v>
      </c>
    </row>
    <row r="7849">
      <c r="A7849" s="217">
        <v>43750.650639803236</v>
      </c>
      <c r="B7849" s="3" t="s">
        <v>5092</v>
      </c>
      <c r="C7849" s="3" t="s">
        <v>9549</v>
      </c>
      <c r="D7849" s="265">
        <v>1.0</v>
      </c>
      <c r="E7849" s="3">
        <v>1699.0</v>
      </c>
      <c r="G7849" s="266">
        <v>43745.0</v>
      </c>
    </row>
    <row r="7850">
      <c r="A7850" s="217">
        <v>43750.650982210645</v>
      </c>
      <c r="B7850" s="3" t="s">
        <v>5092</v>
      </c>
      <c r="C7850" s="3" t="s">
        <v>9550</v>
      </c>
      <c r="D7850" s="265">
        <v>1.0</v>
      </c>
      <c r="E7850" s="3">
        <v>1566.0</v>
      </c>
      <c r="G7850" s="266">
        <v>43745.0</v>
      </c>
    </row>
    <row r="7851">
      <c r="A7851" s="217">
        <v>43750.65135743056</v>
      </c>
      <c r="B7851" s="3" t="s">
        <v>5092</v>
      </c>
      <c r="C7851" s="3" t="s">
        <v>9551</v>
      </c>
      <c r="D7851" s="265">
        <v>1.0</v>
      </c>
      <c r="E7851" s="3">
        <v>2099.0</v>
      </c>
      <c r="G7851" s="266">
        <v>43745.0</v>
      </c>
    </row>
    <row r="7852">
      <c r="A7852" s="217">
        <v>43750.65170780093</v>
      </c>
      <c r="B7852" s="3" t="s">
        <v>5092</v>
      </c>
      <c r="C7852" s="3" t="s">
        <v>9553</v>
      </c>
      <c r="D7852" s="265">
        <v>1.0</v>
      </c>
      <c r="E7852" s="3">
        <v>1399.0</v>
      </c>
      <c r="G7852" s="266">
        <v>43745.0</v>
      </c>
    </row>
    <row r="7853">
      <c r="A7853" s="217">
        <v>43750.65203215278</v>
      </c>
      <c r="B7853" s="3" t="s">
        <v>5092</v>
      </c>
      <c r="C7853" s="3" t="s">
        <v>9616</v>
      </c>
      <c r="D7853" s="265">
        <v>1.0</v>
      </c>
      <c r="E7853" s="3">
        <v>1699.0</v>
      </c>
      <c r="G7853" s="266">
        <v>43745.0</v>
      </c>
    </row>
    <row r="7854">
      <c r="A7854" s="217">
        <v>43750.652344664355</v>
      </c>
      <c r="B7854" s="3" t="s">
        <v>5092</v>
      </c>
      <c r="C7854" s="3" t="s">
        <v>9617</v>
      </c>
      <c r="D7854" s="265">
        <v>1.0</v>
      </c>
      <c r="E7854" s="3">
        <v>1999.0</v>
      </c>
      <c r="G7854" s="266">
        <v>43745.0</v>
      </c>
    </row>
    <row r="7855">
      <c r="A7855" s="217">
        <v>43750.65269228009</v>
      </c>
      <c r="B7855" s="3" t="s">
        <v>5092</v>
      </c>
      <c r="C7855" s="3" t="s">
        <v>9618</v>
      </c>
      <c r="D7855" s="265">
        <v>1.0</v>
      </c>
      <c r="E7855" s="3">
        <v>1999.0</v>
      </c>
      <c r="G7855" s="266">
        <v>43745.0</v>
      </c>
    </row>
    <row r="7856">
      <c r="A7856" s="217">
        <v>43750.653014745374</v>
      </c>
      <c r="B7856" s="3" t="s">
        <v>5092</v>
      </c>
      <c r="C7856" s="3" t="s">
        <v>9619</v>
      </c>
      <c r="D7856" s="265">
        <v>1.0</v>
      </c>
      <c r="E7856" s="3">
        <v>2099.0</v>
      </c>
      <c r="G7856" s="266">
        <v>43745.0</v>
      </c>
    </row>
    <row r="7857">
      <c r="A7857" s="217">
        <v>43750.65345626157</v>
      </c>
      <c r="B7857" s="3" t="s">
        <v>5092</v>
      </c>
      <c r="C7857" s="3" t="s">
        <v>9620</v>
      </c>
      <c r="D7857" s="265">
        <v>1.0</v>
      </c>
      <c r="E7857" s="3">
        <v>1999.0</v>
      </c>
      <c r="G7857" s="266">
        <v>43745.0</v>
      </c>
    </row>
    <row r="7858">
      <c r="A7858" s="217">
        <v>43750.65379232639</v>
      </c>
      <c r="B7858" s="3" t="s">
        <v>5092</v>
      </c>
      <c r="C7858" s="3" t="s">
        <v>9621</v>
      </c>
      <c r="D7858" s="265">
        <v>1.0</v>
      </c>
      <c r="E7858" s="3">
        <v>1799.0</v>
      </c>
      <c r="G7858" s="266">
        <v>43745.0</v>
      </c>
    </row>
    <row r="7859">
      <c r="A7859" s="217">
        <v>43750.65415430556</v>
      </c>
      <c r="B7859" s="3" t="s">
        <v>5092</v>
      </c>
      <c r="C7859" s="3" t="s">
        <v>9554</v>
      </c>
      <c r="D7859" s="265">
        <v>1.0</v>
      </c>
      <c r="E7859" s="3">
        <v>1999.0</v>
      </c>
      <c r="G7859" s="266">
        <v>43745.0</v>
      </c>
    </row>
    <row r="7860">
      <c r="A7860" s="217">
        <v>43750.654566921294</v>
      </c>
      <c r="B7860" s="3" t="s">
        <v>5092</v>
      </c>
      <c r="C7860" s="3" t="s">
        <v>9622</v>
      </c>
      <c r="D7860" s="265">
        <v>1.0</v>
      </c>
      <c r="E7860" s="3">
        <v>1799.0</v>
      </c>
      <c r="G7860" s="266">
        <v>43745.0</v>
      </c>
    </row>
    <row r="7861">
      <c r="A7861" s="217">
        <v>43750.65495591435</v>
      </c>
      <c r="B7861" s="3" t="s">
        <v>5092</v>
      </c>
      <c r="C7861" s="3" t="s">
        <v>9555</v>
      </c>
      <c r="D7861" s="265">
        <v>1.0</v>
      </c>
      <c r="E7861" s="3">
        <v>1699.0</v>
      </c>
      <c r="G7861" s="266">
        <v>43745.0</v>
      </c>
    </row>
    <row r="7862">
      <c r="A7862" s="217">
        <v>43750.655300266204</v>
      </c>
      <c r="B7862" s="3" t="s">
        <v>5092</v>
      </c>
      <c r="C7862" s="3" t="s">
        <v>9556</v>
      </c>
      <c r="D7862" s="265">
        <v>1.0</v>
      </c>
      <c r="E7862" s="3">
        <v>1699.0</v>
      </c>
      <c r="G7862" s="266">
        <v>43745.0</v>
      </c>
    </row>
    <row r="7863">
      <c r="A7863" s="217">
        <v>43750.65587502315</v>
      </c>
      <c r="B7863" s="3" t="s">
        <v>5092</v>
      </c>
      <c r="C7863" s="3" t="s">
        <v>9623</v>
      </c>
      <c r="D7863" s="265">
        <v>1.0</v>
      </c>
      <c r="E7863" s="3">
        <v>1699.0</v>
      </c>
      <c r="G7863" s="266">
        <v>43745.0</v>
      </c>
    </row>
    <row r="7864">
      <c r="A7864" s="217">
        <v>43750.656593125</v>
      </c>
      <c r="B7864" s="3" t="s">
        <v>5092</v>
      </c>
      <c r="C7864" s="3" t="s">
        <v>9624</v>
      </c>
      <c r="D7864" s="265">
        <v>1.0</v>
      </c>
      <c r="E7864" s="3">
        <v>1999.0</v>
      </c>
      <c r="G7864" s="266">
        <v>43745.0</v>
      </c>
    </row>
    <row r="7865">
      <c r="A7865" s="217">
        <v>43750.656900347225</v>
      </c>
      <c r="B7865" s="3" t="s">
        <v>5092</v>
      </c>
      <c r="C7865" s="3" t="s">
        <v>9557</v>
      </c>
      <c r="D7865" s="265">
        <v>1.0</v>
      </c>
      <c r="E7865" s="3">
        <v>1999.0</v>
      </c>
      <c r="G7865" s="266">
        <v>43745.0</v>
      </c>
    </row>
    <row r="7866">
      <c r="A7866" s="217">
        <v>43750.65721805555</v>
      </c>
      <c r="B7866" s="3" t="s">
        <v>5092</v>
      </c>
      <c r="C7866" s="3" t="s">
        <v>9558</v>
      </c>
      <c r="D7866" s="265">
        <v>1.0</v>
      </c>
      <c r="E7866" s="3">
        <v>1999.0</v>
      </c>
      <c r="G7866" s="266">
        <v>43745.0</v>
      </c>
    </row>
    <row r="7867">
      <c r="A7867" s="217">
        <v>43750.657544155096</v>
      </c>
      <c r="B7867" s="3" t="s">
        <v>5092</v>
      </c>
      <c r="C7867" s="3" t="s">
        <v>9625</v>
      </c>
      <c r="D7867" s="265">
        <v>1.0</v>
      </c>
      <c r="E7867" s="3">
        <v>2099.0</v>
      </c>
      <c r="G7867" s="266">
        <v>43745.0</v>
      </c>
    </row>
    <row r="7868">
      <c r="A7868" s="217">
        <v>43750.657851145836</v>
      </c>
      <c r="B7868" s="3" t="s">
        <v>5092</v>
      </c>
      <c r="C7868" s="3" t="s">
        <v>9559</v>
      </c>
      <c r="D7868" s="265">
        <v>1.0</v>
      </c>
      <c r="E7868" s="3">
        <v>1999.0</v>
      </c>
      <c r="G7868" s="266">
        <v>43745.0</v>
      </c>
    </row>
    <row r="7869">
      <c r="A7869" s="217">
        <v>43750.658407986106</v>
      </c>
      <c r="B7869" s="3" t="s">
        <v>5092</v>
      </c>
      <c r="C7869" s="3" t="s">
        <v>9626</v>
      </c>
      <c r="D7869" s="265">
        <v>2.0</v>
      </c>
      <c r="E7869" s="3">
        <v>1999.0</v>
      </c>
      <c r="G7869" s="266">
        <v>43745.0</v>
      </c>
    </row>
    <row r="7870">
      <c r="A7870" s="217">
        <v>43750.65880123843</v>
      </c>
      <c r="B7870" s="3" t="s">
        <v>5092</v>
      </c>
      <c r="C7870" s="3" t="s">
        <v>9627</v>
      </c>
      <c r="D7870" s="265">
        <v>1.0</v>
      </c>
      <c r="E7870" s="3">
        <v>2299.0</v>
      </c>
      <c r="G7870" s="266">
        <v>43745.0</v>
      </c>
    </row>
    <row r="7871">
      <c r="A7871" s="217">
        <v>43750.659138483796</v>
      </c>
      <c r="B7871" s="3" t="s">
        <v>5092</v>
      </c>
      <c r="C7871" s="3" t="s">
        <v>9628</v>
      </c>
      <c r="D7871" s="265">
        <v>1.0</v>
      </c>
      <c r="E7871" s="3">
        <v>2212.0</v>
      </c>
      <c r="G7871" s="266">
        <v>43745.0</v>
      </c>
    </row>
    <row r="7872">
      <c r="A7872" s="217">
        <v>43750.65941974537</v>
      </c>
      <c r="B7872" s="3" t="s">
        <v>5092</v>
      </c>
      <c r="C7872" s="3" t="s">
        <v>9629</v>
      </c>
      <c r="D7872" s="265">
        <v>1.0</v>
      </c>
      <c r="E7872" s="3">
        <v>1299.0</v>
      </c>
      <c r="G7872" s="266">
        <v>43745.0</v>
      </c>
    </row>
    <row r="7873">
      <c r="A7873" s="217">
        <v>43750.65977341435</v>
      </c>
      <c r="B7873" s="3" t="s">
        <v>5092</v>
      </c>
      <c r="C7873" s="3" t="s">
        <v>9630</v>
      </c>
      <c r="D7873" s="265">
        <v>1.0</v>
      </c>
      <c r="E7873" s="3">
        <v>799.0</v>
      </c>
      <c r="G7873" s="266">
        <v>43745.0</v>
      </c>
    </row>
    <row r="7874">
      <c r="A7874" s="217">
        <v>43750.660110937504</v>
      </c>
      <c r="B7874" s="3" t="s">
        <v>5092</v>
      </c>
      <c r="C7874" s="3" t="s">
        <v>9631</v>
      </c>
      <c r="D7874" s="265">
        <v>1.0</v>
      </c>
      <c r="E7874" s="3">
        <v>1399.0</v>
      </c>
      <c r="G7874" s="266">
        <v>43745.0</v>
      </c>
    </row>
    <row r="7875">
      <c r="A7875" s="217">
        <v>43750.660417314815</v>
      </c>
      <c r="B7875" s="3" t="s">
        <v>5092</v>
      </c>
      <c r="C7875" s="3" t="s">
        <v>9632</v>
      </c>
      <c r="D7875" s="265">
        <v>1.0</v>
      </c>
      <c r="E7875" s="3">
        <v>1399.0</v>
      </c>
      <c r="G7875" s="266">
        <v>43745.0</v>
      </c>
    </row>
    <row r="7876">
      <c r="A7876" s="217">
        <v>43750.66077487268</v>
      </c>
      <c r="B7876" s="3" t="s">
        <v>5092</v>
      </c>
      <c r="C7876" s="3" t="s">
        <v>9560</v>
      </c>
      <c r="D7876" s="265">
        <v>1.0</v>
      </c>
      <c r="E7876" s="3">
        <v>1699.0</v>
      </c>
      <c r="G7876" s="266">
        <v>43745.0</v>
      </c>
    </row>
    <row r="7877">
      <c r="A7877" s="217">
        <v>43750.66108752315</v>
      </c>
      <c r="B7877" s="3" t="s">
        <v>5092</v>
      </c>
      <c r="C7877" s="3" t="s">
        <v>9633</v>
      </c>
      <c r="D7877" s="265">
        <v>1.0</v>
      </c>
      <c r="E7877" s="3">
        <v>1299.0</v>
      </c>
      <c r="G7877" s="266">
        <v>43745.0</v>
      </c>
    </row>
    <row r="7878">
      <c r="A7878" s="217">
        <v>43750.6614494213</v>
      </c>
      <c r="B7878" s="3" t="s">
        <v>5092</v>
      </c>
      <c r="C7878" s="3" t="s">
        <v>9634</v>
      </c>
      <c r="D7878" s="265">
        <v>1.0</v>
      </c>
      <c r="E7878" s="3">
        <v>1099.0</v>
      </c>
      <c r="G7878" s="266">
        <v>43745.0</v>
      </c>
    </row>
    <row r="7879">
      <c r="A7879" s="217">
        <v>43750.661741724536</v>
      </c>
      <c r="B7879" s="3" t="s">
        <v>5092</v>
      </c>
      <c r="C7879" s="3" t="s">
        <v>9635</v>
      </c>
      <c r="D7879" s="265">
        <v>1.0</v>
      </c>
      <c r="E7879" s="3">
        <v>1299.0</v>
      </c>
      <c r="G7879" s="266">
        <v>43745.0</v>
      </c>
    </row>
    <row r="7880">
      <c r="A7880" s="217">
        <v>43750.662026631944</v>
      </c>
      <c r="B7880" s="3" t="s">
        <v>5092</v>
      </c>
      <c r="C7880" s="3" t="s">
        <v>9636</v>
      </c>
      <c r="D7880" s="265">
        <v>1.0</v>
      </c>
      <c r="E7880" s="3">
        <v>1299.0</v>
      </c>
      <c r="G7880" s="266">
        <v>43745.0</v>
      </c>
    </row>
    <row r="7881">
      <c r="A7881" s="217">
        <v>43750.66238152778</v>
      </c>
      <c r="B7881" s="3" t="s">
        <v>5092</v>
      </c>
      <c r="C7881" s="3" t="s">
        <v>9563</v>
      </c>
      <c r="D7881" s="265">
        <v>1.0</v>
      </c>
      <c r="E7881" s="3">
        <v>1399.0</v>
      </c>
      <c r="G7881" s="266">
        <v>43745.0</v>
      </c>
    </row>
    <row r="7882">
      <c r="A7882" s="217">
        <v>43750.662673240746</v>
      </c>
      <c r="B7882" s="3" t="s">
        <v>5092</v>
      </c>
      <c r="C7882" s="3" t="s">
        <v>9637</v>
      </c>
      <c r="D7882" s="265">
        <v>1.0</v>
      </c>
      <c r="E7882" s="3">
        <v>1299.0</v>
      </c>
      <c r="G7882" s="266">
        <v>43745.0</v>
      </c>
    </row>
    <row r="7883">
      <c r="A7883" s="217">
        <v>43750.66300991898</v>
      </c>
      <c r="B7883" s="3" t="s">
        <v>5092</v>
      </c>
      <c r="C7883" s="3" t="s">
        <v>9638</v>
      </c>
      <c r="D7883" s="265">
        <v>1.0</v>
      </c>
      <c r="E7883" s="3">
        <v>2499.0</v>
      </c>
      <c r="G7883" s="266">
        <v>43745.0</v>
      </c>
    </row>
    <row r="7884">
      <c r="A7884" s="217">
        <v>43750.663313287034</v>
      </c>
      <c r="B7884" s="3" t="s">
        <v>5092</v>
      </c>
      <c r="C7884" s="3" t="s">
        <v>9564</v>
      </c>
      <c r="D7884" s="265">
        <v>1.0</v>
      </c>
      <c r="E7884" s="3">
        <v>2150.0</v>
      </c>
      <c r="G7884" s="266">
        <v>43745.0</v>
      </c>
    </row>
    <row r="7885">
      <c r="A7885" s="217">
        <v>43750.66360465278</v>
      </c>
      <c r="B7885" s="3" t="s">
        <v>5092</v>
      </c>
      <c r="C7885" s="3" t="s">
        <v>9639</v>
      </c>
      <c r="D7885" s="265">
        <v>1.0</v>
      </c>
      <c r="E7885" s="3">
        <v>8970.0</v>
      </c>
      <c r="G7885" s="266">
        <v>43745.0</v>
      </c>
    </row>
    <row r="7886">
      <c r="A7886" s="217">
        <v>43750.664042268516</v>
      </c>
      <c r="B7886" s="3" t="s">
        <v>5092</v>
      </c>
      <c r="C7886" s="3" t="s">
        <v>9640</v>
      </c>
      <c r="D7886" s="265">
        <v>1.0</v>
      </c>
      <c r="E7886" s="3">
        <v>8970.0</v>
      </c>
      <c r="G7886" s="266">
        <v>43745.0</v>
      </c>
    </row>
    <row r="7887">
      <c r="A7887" s="217">
        <v>43750.66435982639</v>
      </c>
      <c r="B7887" s="3" t="s">
        <v>5092</v>
      </c>
      <c r="C7887" s="3" t="s">
        <v>9641</v>
      </c>
      <c r="D7887" s="265">
        <v>1.0</v>
      </c>
      <c r="E7887" s="3">
        <v>8970.0</v>
      </c>
      <c r="G7887" s="266">
        <v>43745.0</v>
      </c>
    </row>
    <row r="7888">
      <c r="A7888" s="217">
        <v>43750.66469359954</v>
      </c>
      <c r="B7888" s="3" t="s">
        <v>5092</v>
      </c>
      <c r="C7888" s="3" t="s">
        <v>9565</v>
      </c>
      <c r="D7888" s="265">
        <v>1.0</v>
      </c>
      <c r="E7888" s="3">
        <v>8625.0</v>
      </c>
      <c r="G7888" s="266">
        <v>43745.0</v>
      </c>
    </row>
    <row r="7889">
      <c r="A7889" s="217">
        <v>43750.66498934028</v>
      </c>
      <c r="B7889" s="3" t="s">
        <v>5092</v>
      </c>
      <c r="C7889" s="3" t="s">
        <v>9566</v>
      </c>
      <c r="D7889" s="265">
        <v>1.0</v>
      </c>
      <c r="E7889" s="3">
        <v>8900.0</v>
      </c>
      <c r="G7889" s="266">
        <v>43745.0</v>
      </c>
    </row>
    <row r="7890">
      <c r="A7890" s="217">
        <v>43750.66527027778</v>
      </c>
      <c r="B7890" s="3" t="s">
        <v>5092</v>
      </c>
      <c r="C7890" s="3" t="s">
        <v>9567</v>
      </c>
      <c r="D7890" s="265">
        <v>1.0</v>
      </c>
      <c r="E7890" s="3">
        <v>8900.0</v>
      </c>
      <c r="G7890" s="266">
        <v>43745.0</v>
      </c>
    </row>
    <row r="7891">
      <c r="A7891" s="217">
        <v>43750.6655528125</v>
      </c>
      <c r="B7891" s="3" t="s">
        <v>5092</v>
      </c>
      <c r="C7891" s="3" t="s">
        <v>9568</v>
      </c>
      <c r="D7891" s="265">
        <v>1.0</v>
      </c>
      <c r="E7891" s="3">
        <v>8190.0</v>
      </c>
      <c r="G7891" s="266">
        <v>43745.0</v>
      </c>
    </row>
    <row r="7892">
      <c r="A7892" s="217">
        <v>43750.66589798611</v>
      </c>
      <c r="B7892" s="3" t="s">
        <v>5092</v>
      </c>
      <c r="C7892" s="3" t="s">
        <v>9642</v>
      </c>
      <c r="D7892" s="265">
        <v>1.0</v>
      </c>
      <c r="E7892" s="3">
        <v>8190.0</v>
      </c>
      <c r="G7892" s="266">
        <v>43745.0</v>
      </c>
    </row>
    <row r="7893">
      <c r="A7893" s="217">
        <v>43750.666217210644</v>
      </c>
      <c r="B7893" s="3" t="s">
        <v>5092</v>
      </c>
      <c r="C7893" s="3" t="s">
        <v>9643</v>
      </c>
      <c r="D7893" s="265">
        <v>1.0</v>
      </c>
      <c r="E7893" s="3">
        <v>8190.0</v>
      </c>
      <c r="G7893" s="266">
        <v>43745.0</v>
      </c>
    </row>
    <row r="7894">
      <c r="A7894" s="217">
        <v>43750.66659065972</v>
      </c>
      <c r="B7894" s="3" t="s">
        <v>5092</v>
      </c>
      <c r="C7894" s="3" t="s">
        <v>9644</v>
      </c>
      <c r="D7894" s="265">
        <v>1.0</v>
      </c>
      <c r="E7894" s="3">
        <v>8190.0</v>
      </c>
      <c r="G7894" s="266">
        <v>43745.0</v>
      </c>
    </row>
    <row r="7895">
      <c r="A7895" s="217">
        <v>43750.66688877315</v>
      </c>
      <c r="B7895" s="3" t="s">
        <v>5092</v>
      </c>
      <c r="C7895" s="3" t="s">
        <v>9645</v>
      </c>
      <c r="D7895" s="265">
        <v>1.0</v>
      </c>
      <c r="E7895" s="3">
        <v>6250.0</v>
      </c>
      <c r="G7895" s="266">
        <v>43745.0</v>
      </c>
    </row>
    <row r="7896">
      <c r="A7896" s="217">
        <v>43750.66726608796</v>
      </c>
      <c r="B7896" s="3" t="s">
        <v>5092</v>
      </c>
      <c r="C7896" s="3" t="s">
        <v>9571</v>
      </c>
      <c r="D7896" s="265">
        <v>1.0</v>
      </c>
      <c r="E7896" s="3">
        <v>5990.0</v>
      </c>
      <c r="G7896" s="266">
        <v>43745.0</v>
      </c>
    </row>
    <row r="7897">
      <c r="A7897" s="217">
        <v>43750.667719363424</v>
      </c>
      <c r="B7897" s="3" t="s">
        <v>5092</v>
      </c>
      <c r="C7897" s="3" t="s">
        <v>9646</v>
      </c>
      <c r="D7897" s="265">
        <v>1.0</v>
      </c>
      <c r="E7897" s="3">
        <v>4290.0</v>
      </c>
      <c r="G7897" s="266">
        <v>43745.0</v>
      </c>
    </row>
    <row r="7898">
      <c r="A7898" s="217">
        <v>43750.66808005787</v>
      </c>
      <c r="B7898" s="3" t="s">
        <v>5092</v>
      </c>
      <c r="C7898" s="3" t="s">
        <v>9647</v>
      </c>
      <c r="D7898" s="265">
        <v>3.0</v>
      </c>
      <c r="E7898" s="3">
        <v>6490.0</v>
      </c>
      <c r="G7898" s="266">
        <v>43745.0</v>
      </c>
    </row>
    <row r="7899">
      <c r="A7899" s="217">
        <v>43750.66837155093</v>
      </c>
      <c r="B7899" s="3" t="s">
        <v>5092</v>
      </c>
      <c r="C7899" s="3" t="s">
        <v>9648</v>
      </c>
      <c r="D7899" s="265">
        <v>1.0</v>
      </c>
      <c r="E7899" s="3">
        <v>4790.0</v>
      </c>
      <c r="G7899" s="266">
        <v>43745.0</v>
      </c>
    </row>
    <row r="7900">
      <c r="A7900" s="217">
        <v>43750.66864939815</v>
      </c>
      <c r="B7900" s="3" t="s">
        <v>5092</v>
      </c>
      <c r="C7900" s="3" t="s">
        <v>9572</v>
      </c>
      <c r="D7900" s="265">
        <v>1.0</v>
      </c>
      <c r="E7900" s="3">
        <v>3490.0</v>
      </c>
      <c r="G7900" s="266">
        <v>43745.0</v>
      </c>
    </row>
    <row r="7901">
      <c r="A7901" s="217">
        <v>43750.668973101856</v>
      </c>
      <c r="B7901" s="3" t="s">
        <v>5092</v>
      </c>
      <c r="C7901" s="3" t="s">
        <v>9649</v>
      </c>
      <c r="D7901" s="265">
        <v>1.0</v>
      </c>
      <c r="E7901" s="3">
        <v>3790.0</v>
      </c>
      <c r="G7901" s="266">
        <v>43745.0</v>
      </c>
    </row>
    <row r="7902">
      <c r="A7902" s="217">
        <v>43750.669249756946</v>
      </c>
      <c r="B7902" s="3" t="s">
        <v>5092</v>
      </c>
      <c r="C7902" s="3" t="s">
        <v>9573</v>
      </c>
      <c r="D7902" s="265">
        <v>1.0</v>
      </c>
      <c r="E7902" s="3">
        <v>4290.0</v>
      </c>
      <c r="G7902" s="266">
        <v>43745.0</v>
      </c>
    </row>
    <row r="7903">
      <c r="A7903" s="217">
        <v>43750.66955731482</v>
      </c>
      <c r="B7903" s="3" t="s">
        <v>5092</v>
      </c>
      <c r="C7903" s="3" t="s">
        <v>9650</v>
      </c>
      <c r="D7903" s="265">
        <v>1.0</v>
      </c>
      <c r="E7903" s="3">
        <v>3790.0</v>
      </c>
      <c r="G7903" s="266">
        <v>43745.0</v>
      </c>
    </row>
    <row r="7904">
      <c r="A7904" s="217">
        <v>43750.66996668981</v>
      </c>
      <c r="B7904" s="3" t="s">
        <v>5092</v>
      </c>
      <c r="C7904" s="3" t="s">
        <v>9574</v>
      </c>
      <c r="D7904" s="265">
        <v>1.0</v>
      </c>
      <c r="E7904" s="3">
        <v>5490.0</v>
      </c>
      <c r="G7904" s="266">
        <v>43745.0</v>
      </c>
    </row>
    <row r="7905">
      <c r="A7905" s="217">
        <v>43750.670288877314</v>
      </c>
      <c r="B7905" s="3" t="s">
        <v>5092</v>
      </c>
      <c r="C7905" s="3" t="s">
        <v>9575</v>
      </c>
      <c r="D7905" s="265">
        <v>1.0</v>
      </c>
      <c r="E7905" s="3">
        <v>5490.0</v>
      </c>
      <c r="G7905" s="266">
        <v>43745.0</v>
      </c>
    </row>
    <row r="7906">
      <c r="A7906" s="217">
        <v>43750.67072568287</v>
      </c>
      <c r="B7906" s="3" t="s">
        <v>5092</v>
      </c>
      <c r="C7906" s="3" t="s">
        <v>9651</v>
      </c>
      <c r="D7906" s="265">
        <v>1.0</v>
      </c>
      <c r="E7906" s="3">
        <v>3290.0</v>
      </c>
      <c r="G7906" s="266">
        <v>43745.0</v>
      </c>
    </row>
    <row r="7907">
      <c r="A7907" s="217">
        <v>43750.67105643518</v>
      </c>
      <c r="B7907" s="3" t="s">
        <v>5092</v>
      </c>
      <c r="C7907" s="3" t="s">
        <v>9652</v>
      </c>
      <c r="D7907" s="265">
        <v>2.0</v>
      </c>
      <c r="E7907" s="3">
        <v>3090.0</v>
      </c>
      <c r="G7907" s="266">
        <v>43745.0</v>
      </c>
    </row>
    <row r="7908">
      <c r="A7908" s="217">
        <v>43750.671349421296</v>
      </c>
      <c r="B7908" s="3" t="s">
        <v>5092</v>
      </c>
      <c r="C7908" s="3" t="s">
        <v>9653</v>
      </c>
      <c r="D7908" s="265">
        <v>1.0</v>
      </c>
      <c r="E7908" s="3">
        <v>3790.0</v>
      </c>
      <c r="G7908" s="266">
        <v>43745.0</v>
      </c>
    </row>
    <row r="7909">
      <c r="A7909" s="217">
        <v>43750.6716606713</v>
      </c>
      <c r="B7909" s="3" t="s">
        <v>5092</v>
      </c>
      <c r="C7909" s="3" t="s">
        <v>9654</v>
      </c>
      <c r="D7909" s="265">
        <v>1.0</v>
      </c>
      <c r="E7909" s="3">
        <v>5990.0</v>
      </c>
      <c r="G7909" s="266">
        <v>43745.0</v>
      </c>
    </row>
    <row r="7910">
      <c r="A7910" s="217">
        <v>43750.672020972226</v>
      </c>
      <c r="B7910" s="3" t="s">
        <v>5092</v>
      </c>
      <c r="C7910" s="3" t="s">
        <v>9579</v>
      </c>
      <c r="D7910" s="265">
        <v>1.0</v>
      </c>
      <c r="E7910" s="3">
        <v>3990.0</v>
      </c>
      <c r="G7910" s="266">
        <v>43745.0</v>
      </c>
    </row>
    <row r="7911">
      <c r="A7911" s="217">
        <v>43750.672329837966</v>
      </c>
      <c r="B7911" s="3" t="s">
        <v>5092</v>
      </c>
      <c r="C7911" s="3" t="s">
        <v>9655</v>
      </c>
      <c r="D7911" s="265">
        <v>1.0</v>
      </c>
      <c r="E7911" s="3">
        <v>3790.0</v>
      </c>
      <c r="G7911" s="266">
        <v>43745.0</v>
      </c>
    </row>
    <row r="7912">
      <c r="A7912" s="217">
        <v>43750.672821527776</v>
      </c>
      <c r="B7912" s="3" t="s">
        <v>5092</v>
      </c>
      <c r="C7912" s="3" t="s">
        <v>9656</v>
      </c>
      <c r="D7912" s="265">
        <v>2.0</v>
      </c>
      <c r="E7912" s="3">
        <v>3490.0</v>
      </c>
      <c r="G7912" s="266">
        <v>43745.0</v>
      </c>
    </row>
    <row r="7913">
      <c r="A7913" s="217">
        <v>43750.673281828706</v>
      </c>
      <c r="B7913" s="3" t="s">
        <v>5092</v>
      </c>
      <c r="C7913" s="3" t="s">
        <v>9657</v>
      </c>
      <c r="D7913" s="265">
        <v>1.0</v>
      </c>
      <c r="E7913" s="3">
        <v>3390.0</v>
      </c>
      <c r="G7913" s="266">
        <v>43745.0</v>
      </c>
    </row>
    <row r="7914">
      <c r="A7914" s="217">
        <v>43750.67360362269</v>
      </c>
      <c r="B7914" s="3" t="s">
        <v>5092</v>
      </c>
      <c r="C7914" s="3" t="s">
        <v>9658</v>
      </c>
      <c r="D7914" s="265">
        <v>1.0</v>
      </c>
      <c r="E7914" s="3">
        <v>3390.0</v>
      </c>
      <c r="G7914" s="266">
        <v>43745.0</v>
      </c>
    </row>
    <row r="7915">
      <c r="A7915" s="217">
        <v>43750.67387261574</v>
      </c>
      <c r="B7915" s="3" t="s">
        <v>5092</v>
      </c>
      <c r="C7915" s="3" t="s">
        <v>9581</v>
      </c>
      <c r="D7915" s="265">
        <v>1.0</v>
      </c>
      <c r="E7915" s="3">
        <v>4290.0</v>
      </c>
      <c r="G7915" s="266">
        <v>43745.0</v>
      </c>
    </row>
    <row r="7916">
      <c r="A7916" s="217">
        <v>43750.67424922454</v>
      </c>
      <c r="B7916" s="3" t="s">
        <v>5092</v>
      </c>
      <c r="C7916" s="3" t="s">
        <v>9582</v>
      </c>
      <c r="D7916" s="265">
        <v>1.0</v>
      </c>
      <c r="E7916" s="3">
        <v>3890.0</v>
      </c>
      <c r="G7916" s="266">
        <v>43745.0</v>
      </c>
    </row>
    <row r="7917">
      <c r="A7917" s="217">
        <v>43752.61802231481</v>
      </c>
      <c r="B7917" s="3" t="s">
        <v>5092</v>
      </c>
      <c r="C7917" s="3" t="s">
        <v>9659</v>
      </c>
      <c r="D7917" s="265">
        <v>1.0</v>
      </c>
      <c r="E7917" s="3">
        <v>5890.0</v>
      </c>
      <c r="G7917" s="266">
        <v>43749.0</v>
      </c>
    </row>
    <row r="7918">
      <c r="A7918" s="217">
        <v>43752.61932729167</v>
      </c>
      <c r="B7918" s="3" t="s">
        <v>5092</v>
      </c>
      <c r="C7918" s="3" t="s">
        <v>9661</v>
      </c>
      <c r="D7918" s="265">
        <v>1.0</v>
      </c>
      <c r="E7918" s="3">
        <v>7490.0</v>
      </c>
      <c r="G7918" s="266">
        <v>43749.0</v>
      </c>
    </row>
    <row r="7919">
      <c r="A7919" s="217">
        <v>43752.62056267361</v>
      </c>
      <c r="B7919" s="3" t="s">
        <v>5092</v>
      </c>
      <c r="C7919" s="3" t="s">
        <v>9662</v>
      </c>
      <c r="D7919" s="265">
        <v>1.0</v>
      </c>
      <c r="E7919" s="3">
        <v>6990.0</v>
      </c>
      <c r="G7919" s="266">
        <v>43749.0</v>
      </c>
    </row>
    <row r="7920">
      <c r="A7920" s="217">
        <v>43752.62647949074</v>
      </c>
      <c r="B7920" s="3" t="s">
        <v>5092</v>
      </c>
      <c r="C7920" s="3" t="s">
        <v>9663</v>
      </c>
      <c r="D7920" s="265">
        <v>1.0</v>
      </c>
      <c r="E7920" s="3">
        <v>6390.0</v>
      </c>
      <c r="G7920" s="266">
        <v>43749.0</v>
      </c>
    </row>
    <row r="7921">
      <c r="A7921" s="217">
        <v>43752.62921572917</v>
      </c>
      <c r="B7921" s="3" t="s">
        <v>5092</v>
      </c>
      <c r="C7921" s="3" t="s">
        <v>9664</v>
      </c>
      <c r="D7921" s="265">
        <v>1.0</v>
      </c>
      <c r="E7921" s="3">
        <v>6990.0</v>
      </c>
      <c r="G7921" s="266">
        <v>43749.0</v>
      </c>
    </row>
    <row r="7922">
      <c r="A7922" s="217">
        <v>43752.63025740741</v>
      </c>
      <c r="B7922" s="3" t="s">
        <v>5092</v>
      </c>
      <c r="C7922" s="3" t="s">
        <v>9665</v>
      </c>
      <c r="D7922" s="265">
        <v>1.0</v>
      </c>
      <c r="E7922" s="3">
        <v>6990.0</v>
      </c>
      <c r="G7922" s="266">
        <v>43749.0</v>
      </c>
    </row>
    <row r="7923">
      <c r="A7923" s="217">
        <v>43752.63115813657</v>
      </c>
      <c r="B7923" s="3" t="s">
        <v>5092</v>
      </c>
      <c r="C7923" s="3" t="s">
        <v>9666</v>
      </c>
      <c r="D7923" s="265">
        <v>1.0</v>
      </c>
      <c r="E7923" s="3">
        <v>6990.0</v>
      </c>
      <c r="G7923" s="266">
        <v>43749.0</v>
      </c>
    </row>
    <row r="7924">
      <c r="A7924" s="217">
        <v>43753.57989392361</v>
      </c>
      <c r="B7924" s="3" t="s">
        <v>5184</v>
      </c>
      <c r="C7924" s="3" t="s">
        <v>4512</v>
      </c>
      <c r="D7924" s="265">
        <v>1.0</v>
      </c>
      <c r="E7924" s="3">
        <v>2450.0</v>
      </c>
      <c r="G7924" s="266">
        <v>43752.0</v>
      </c>
    </row>
    <row r="7925">
      <c r="A7925" s="217">
        <v>43753.58031746528</v>
      </c>
      <c r="B7925" s="3" t="s">
        <v>5184</v>
      </c>
      <c r="C7925" s="3" t="s">
        <v>4514</v>
      </c>
      <c r="D7925" s="265">
        <v>1.0</v>
      </c>
      <c r="E7925" s="3">
        <v>2699.0</v>
      </c>
      <c r="G7925" s="266">
        <v>43752.0</v>
      </c>
    </row>
    <row r="7926">
      <c r="A7926" s="217">
        <v>43753.58127664352</v>
      </c>
      <c r="B7926" s="3" t="s">
        <v>5184</v>
      </c>
      <c r="C7926" s="3" t="s">
        <v>4525</v>
      </c>
      <c r="D7926" s="265">
        <v>1.0</v>
      </c>
      <c r="E7926" s="3">
        <v>2299.0</v>
      </c>
      <c r="G7926" s="266">
        <v>43752.0</v>
      </c>
    </row>
    <row r="7927">
      <c r="A7927" s="217">
        <v>43753.58168174769</v>
      </c>
      <c r="B7927" s="3" t="s">
        <v>5184</v>
      </c>
      <c r="C7927" s="3" t="s">
        <v>7815</v>
      </c>
      <c r="D7927" s="265">
        <v>1.0</v>
      </c>
      <c r="E7927" s="3">
        <v>2499.0</v>
      </c>
      <c r="G7927" s="266">
        <v>43752.0</v>
      </c>
    </row>
    <row r="7928">
      <c r="A7928" s="217">
        <v>43753.58217571759</v>
      </c>
      <c r="B7928" s="3" t="s">
        <v>5184</v>
      </c>
      <c r="C7928" s="3" t="s">
        <v>4528</v>
      </c>
      <c r="D7928" s="265">
        <v>1.0</v>
      </c>
      <c r="E7928" s="3">
        <v>2099.0</v>
      </c>
      <c r="G7928" s="266">
        <v>43752.0</v>
      </c>
    </row>
    <row r="7929">
      <c r="A7929" s="217">
        <v>43753.58323402778</v>
      </c>
      <c r="B7929" s="3" t="s">
        <v>5184</v>
      </c>
      <c r="C7929" s="3" t="s">
        <v>4531</v>
      </c>
      <c r="D7929" s="265">
        <v>1.0</v>
      </c>
      <c r="E7929" s="3">
        <v>2099.0</v>
      </c>
      <c r="G7929" s="266">
        <v>43752.0</v>
      </c>
    </row>
    <row r="7930">
      <c r="A7930" s="217">
        <v>43753.58721186343</v>
      </c>
      <c r="B7930" s="3" t="s">
        <v>5184</v>
      </c>
      <c r="C7930" s="3" t="s">
        <v>1289</v>
      </c>
      <c r="D7930" s="265">
        <v>1.0</v>
      </c>
      <c r="E7930" s="3">
        <v>2299.0</v>
      </c>
      <c r="G7930" s="266">
        <v>43752.0</v>
      </c>
    </row>
    <row r="7931">
      <c r="A7931" s="217">
        <v>43753.587668506945</v>
      </c>
      <c r="B7931" s="3" t="s">
        <v>5184</v>
      </c>
      <c r="C7931" s="3" t="s">
        <v>9668</v>
      </c>
      <c r="D7931" s="265">
        <v>1.0</v>
      </c>
      <c r="E7931" s="3">
        <v>1999.0</v>
      </c>
      <c r="G7931" s="266">
        <v>43752.0</v>
      </c>
    </row>
    <row r="7932">
      <c r="A7932" s="217">
        <v>43753.588496875</v>
      </c>
      <c r="B7932" s="3" t="s">
        <v>5184</v>
      </c>
      <c r="C7932" s="3" t="s">
        <v>9669</v>
      </c>
      <c r="D7932" s="265">
        <v>1.0</v>
      </c>
      <c r="E7932" s="3">
        <v>2599.0</v>
      </c>
      <c r="G7932" s="266">
        <v>43752.0</v>
      </c>
    </row>
    <row r="7933">
      <c r="A7933" s="217">
        <v>43753.589034641205</v>
      </c>
      <c r="B7933" s="3" t="s">
        <v>5184</v>
      </c>
      <c r="C7933" s="3" t="s">
        <v>1244</v>
      </c>
      <c r="D7933" s="265">
        <v>1.0</v>
      </c>
      <c r="E7933" s="3">
        <v>2699.0</v>
      </c>
      <c r="G7933" s="266">
        <v>43752.0</v>
      </c>
    </row>
    <row r="7934">
      <c r="A7934" s="217">
        <v>43753.58981103009</v>
      </c>
      <c r="B7934" s="3" t="s">
        <v>5184</v>
      </c>
      <c r="C7934" s="3" t="s">
        <v>1248</v>
      </c>
      <c r="D7934" s="265">
        <v>1.0</v>
      </c>
      <c r="E7934" s="3">
        <v>2699.0</v>
      </c>
      <c r="G7934" s="266">
        <v>43752.0</v>
      </c>
    </row>
    <row r="7935">
      <c r="A7935" s="217">
        <v>43753.59125403935</v>
      </c>
      <c r="B7935" s="3" t="s">
        <v>5184</v>
      </c>
      <c r="C7935" s="3" t="s">
        <v>9670</v>
      </c>
      <c r="D7935" s="265">
        <v>1.0</v>
      </c>
      <c r="E7935" s="3">
        <v>2699.0</v>
      </c>
      <c r="G7935" s="266">
        <v>43752.0</v>
      </c>
    </row>
    <row r="7936">
      <c r="A7936" s="217">
        <v>43753.59214679398</v>
      </c>
      <c r="B7936" s="3" t="s">
        <v>5184</v>
      </c>
      <c r="C7936" s="3" t="s">
        <v>695</v>
      </c>
      <c r="D7936" s="265">
        <v>1.0</v>
      </c>
      <c r="E7936" s="3">
        <v>2899.0</v>
      </c>
      <c r="G7936" s="266">
        <v>43752.0</v>
      </c>
    </row>
    <row r="7937">
      <c r="A7937" s="217">
        <v>43753.59258008102</v>
      </c>
      <c r="B7937" s="3" t="s">
        <v>5184</v>
      </c>
      <c r="C7937" s="3" t="s">
        <v>1249</v>
      </c>
      <c r="D7937" s="265">
        <v>1.0</v>
      </c>
      <c r="E7937" s="3">
        <v>2699.0</v>
      </c>
      <c r="G7937" s="266">
        <v>43752.0</v>
      </c>
    </row>
    <row r="7938">
      <c r="A7938" s="217">
        <v>43753.59297770834</v>
      </c>
      <c r="B7938" s="3" t="s">
        <v>5184</v>
      </c>
      <c r="C7938" s="3" t="s">
        <v>4541</v>
      </c>
      <c r="D7938" s="265">
        <v>1.0</v>
      </c>
      <c r="E7938" s="3">
        <v>2899.0</v>
      </c>
      <c r="G7938" s="266">
        <v>43752.0</v>
      </c>
    </row>
    <row r="7939">
      <c r="A7939" s="217">
        <v>43753.59365040509</v>
      </c>
      <c r="B7939" s="3" t="s">
        <v>5184</v>
      </c>
      <c r="C7939" s="3" t="s">
        <v>4548</v>
      </c>
      <c r="D7939" s="265">
        <v>1.0</v>
      </c>
      <c r="E7939" s="3">
        <v>2699.0</v>
      </c>
      <c r="G7939" s="266">
        <v>43752.0</v>
      </c>
    </row>
    <row r="7940">
      <c r="A7940" s="217">
        <v>43753.594019791664</v>
      </c>
      <c r="B7940" s="3" t="s">
        <v>5184</v>
      </c>
      <c r="C7940" s="3" t="s">
        <v>1250</v>
      </c>
      <c r="D7940" s="265">
        <v>1.0</v>
      </c>
      <c r="E7940" s="3">
        <v>2699.0</v>
      </c>
      <c r="G7940" s="266">
        <v>43752.0</v>
      </c>
    </row>
    <row r="7941">
      <c r="A7941" s="217">
        <v>43753.59475578704</v>
      </c>
      <c r="B7941" s="3" t="s">
        <v>5184</v>
      </c>
      <c r="C7941" s="3" t="s">
        <v>4557</v>
      </c>
      <c r="D7941" s="265">
        <v>1.0</v>
      </c>
      <c r="E7941" s="3">
        <v>2599.0</v>
      </c>
      <c r="G7941" s="266">
        <v>43752.0</v>
      </c>
    </row>
    <row r="7942">
      <c r="A7942" s="217">
        <v>43753.59542935185</v>
      </c>
      <c r="B7942" s="3" t="s">
        <v>5184</v>
      </c>
      <c r="C7942" s="3" t="s">
        <v>4726</v>
      </c>
      <c r="D7942" s="265">
        <v>1.0</v>
      </c>
      <c r="E7942" s="3">
        <v>2699.0</v>
      </c>
      <c r="G7942" s="266">
        <v>43752.0</v>
      </c>
    </row>
    <row r="7943">
      <c r="A7943" s="217">
        <v>43753.595866435186</v>
      </c>
      <c r="B7943" s="3" t="s">
        <v>5184</v>
      </c>
      <c r="C7943" s="3" t="s">
        <v>4754</v>
      </c>
      <c r="D7943" s="265">
        <v>1.0</v>
      </c>
      <c r="E7943" s="3">
        <v>2299.0</v>
      </c>
      <c r="G7943" s="266">
        <v>43752.0</v>
      </c>
    </row>
    <row r="7944">
      <c r="A7944" s="217">
        <v>43753.596476701394</v>
      </c>
      <c r="B7944" s="3" t="s">
        <v>5184</v>
      </c>
      <c r="C7944" s="3" t="s">
        <v>4756</v>
      </c>
      <c r="D7944" s="265">
        <v>1.0</v>
      </c>
      <c r="E7944" s="3">
        <v>2499.0</v>
      </c>
      <c r="G7944" s="266">
        <v>43752.0</v>
      </c>
    </row>
    <row r="7945">
      <c r="A7945" s="217">
        <v>43753.59705672454</v>
      </c>
      <c r="B7945" s="3" t="s">
        <v>5184</v>
      </c>
      <c r="C7945" s="3" t="s">
        <v>4762</v>
      </c>
      <c r="D7945" s="265">
        <v>1.0</v>
      </c>
      <c r="E7945" s="3">
        <v>2699.0</v>
      </c>
      <c r="G7945" s="266">
        <v>43752.0</v>
      </c>
    </row>
    <row r="7946">
      <c r="A7946" s="217">
        <v>43753.59740949074</v>
      </c>
      <c r="B7946" s="3" t="s">
        <v>5184</v>
      </c>
      <c r="C7946" s="3" t="s">
        <v>4764</v>
      </c>
      <c r="D7946" s="265">
        <v>1.0</v>
      </c>
      <c r="E7946" s="3">
        <v>2499.0</v>
      </c>
      <c r="G7946" s="266">
        <v>43752.0</v>
      </c>
    </row>
    <row r="7947">
      <c r="A7947" s="217">
        <v>43753.59816275463</v>
      </c>
      <c r="B7947" s="3" t="s">
        <v>5184</v>
      </c>
      <c r="C7947" s="3" t="s">
        <v>1252</v>
      </c>
      <c r="D7947" s="265">
        <v>1.0</v>
      </c>
      <c r="E7947" s="3">
        <v>1995.0</v>
      </c>
      <c r="G7947" s="266">
        <v>43752.0</v>
      </c>
    </row>
    <row r="7948">
      <c r="A7948" s="217">
        <v>43753.59876716435</v>
      </c>
      <c r="B7948" s="3" t="s">
        <v>5184</v>
      </c>
      <c r="C7948" s="3" t="s">
        <v>1254</v>
      </c>
      <c r="D7948" s="265">
        <v>1.0</v>
      </c>
      <c r="E7948" s="3">
        <v>2299.0</v>
      </c>
      <c r="G7948" s="266">
        <v>43752.0</v>
      </c>
    </row>
    <row r="7949">
      <c r="A7949" s="217">
        <v>43753.59956</v>
      </c>
      <c r="B7949" s="3" t="s">
        <v>5184</v>
      </c>
      <c r="C7949" s="3" t="s">
        <v>1255</v>
      </c>
      <c r="D7949" s="265">
        <v>1.0</v>
      </c>
      <c r="E7949" s="3">
        <v>2799.0</v>
      </c>
      <c r="G7949" s="266">
        <v>43752.0</v>
      </c>
    </row>
    <row r="7950">
      <c r="A7950" s="217">
        <v>43753.59994857639</v>
      </c>
      <c r="B7950" s="3" t="s">
        <v>5184</v>
      </c>
      <c r="C7950" s="3" t="s">
        <v>9671</v>
      </c>
      <c r="D7950" s="265">
        <v>1.0</v>
      </c>
      <c r="E7950" s="3">
        <v>1999.0</v>
      </c>
      <c r="G7950" s="266">
        <v>43752.0</v>
      </c>
    </row>
    <row r="7951">
      <c r="A7951" s="217">
        <v>43753.6003340625</v>
      </c>
      <c r="B7951" s="3" t="s">
        <v>5184</v>
      </c>
      <c r="C7951" s="3" t="s">
        <v>4578</v>
      </c>
      <c r="D7951" s="265">
        <v>1.0</v>
      </c>
      <c r="E7951" s="3">
        <v>1299.0</v>
      </c>
      <c r="G7951" s="266">
        <v>43752.0</v>
      </c>
    </row>
    <row r="7952">
      <c r="A7952" s="217">
        <v>43753.60070336805</v>
      </c>
      <c r="B7952" s="3" t="s">
        <v>5184</v>
      </c>
      <c r="C7952" s="3" t="s">
        <v>694</v>
      </c>
      <c r="D7952" s="265">
        <v>1.0</v>
      </c>
      <c r="E7952" s="3">
        <v>1299.0</v>
      </c>
      <c r="G7952" s="266">
        <v>43752.0</v>
      </c>
    </row>
    <row r="7953">
      <c r="A7953" s="217">
        <v>43753.60496118055</v>
      </c>
      <c r="B7953" s="3" t="s">
        <v>5184</v>
      </c>
      <c r="C7953" s="3" t="s">
        <v>4795</v>
      </c>
      <c r="D7953" s="265">
        <v>1.0</v>
      </c>
      <c r="E7953" s="3">
        <v>1699.0</v>
      </c>
      <c r="G7953" s="266">
        <v>43752.0</v>
      </c>
    </row>
    <row r="7954">
      <c r="A7954" s="217">
        <v>43753.60538819444</v>
      </c>
      <c r="B7954" s="3" t="s">
        <v>5184</v>
      </c>
      <c r="C7954" s="3" t="s">
        <v>698</v>
      </c>
      <c r="D7954" s="265">
        <v>1.0</v>
      </c>
      <c r="E7954" s="3">
        <v>1699.0</v>
      </c>
      <c r="G7954" s="266">
        <v>43752.0</v>
      </c>
    </row>
    <row r="7955">
      <c r="A7955" s="217">
        <v>43753.60583581019</v>
      </c>
      <c r="B7955" s="3" t="s">
        <v>5184</v>
      </c>
      <c r="C7955" s="3" t="s">
        <v>4590</v>
      </c>
      <c r="D7955" s="265">
        <v>1.0</v>
      </c>
      <c r="E7955" s="3">
        <v>1895.0</v>
      </c>
      <c r="G7955" s="266">
        <v>43752.0</v>
      </c>
    </row>
    <row r="7956">
      <c r="A7956" s="217">
        <v>43753.60659887732</v>
      </c>
      <c r="B7956" s="3" t="s">
        <v>5184</v>
      </c>
      <c r="C7956" s="3" t="s">
        <v>1256</v>
      </c>
      <c r="D7956" s="265">
        <v>1.0</v>
      </c>
      <c r="E7956" s="3">
        <v>2099.0</v>
      </c>
      <c r="G7956" s="266">
        <v>43752.0</v>
      </c>
    </row>
    <row r="7957">
      <c r="A7957" s="217">
        <v>43753.60813158564</v>
      </c>
      <c r="B7957" s="3" t="s">
        <v>5184</v>
      </c>
      <c r="C7957" s="3" t="s">
        <v>1257</v>
      </c>
      <c r="D7957" s="265">
        <v>1.0</v>
      </c>
      <c r="E7957" s="3">
        <v>1299.0</v>
      </c>
      <c r="G7957" s="266">
        <v>43752.0</v>
      </c>
    </row>
    <row r="7958">
      <c r="A7958" s="217">
        <v>43753.60849759259</v>
      </c>
      <c r="B7958" s="3" t="s">
        <v>5184</v>
      </c>
      <c r="C7958" s="3" t="s">
        <v>4595</v>
      </c>
      <c r="D7958" s="265">
        <v>1.0</v>
      </c>
      <c r="E7958" s="3">
        <v>1295.0</v>
      </c>
      <c r="G7958" s="266">
        <v>43752.0</v>
      </c>
    </row>
    <row r="7959">
      <c r="A7959" s="217">
        <v>43753.60902454861</v>
      </c>
      <c r="B7959" s="3" t="s">
        <v>5184</v>
      </c>
      <c r="C7959" s="3" t="s">
        <v>4820</v>
      </c>
      <c r="D7959" s="265">
        <v>1.0</v>
      </c>
      <c r="E7959" s="3">
        <v>1299.0</v>
      </c>
      <c r="G7959" s="266">
        <v>43752.0</v>
      </c>
    </row>
    <row r="7960">
      <c r="A7960" s="217">
        <v>43753.609658368056</v>
      </c>
      <c r="B7960" s="3" t="s">
        <v>5184</v>
      </c>
      <c r="C7960" s="3" t="s">
        <v>4603</v>
      </c>
      <c r="D7960" s="265">
        <v>1.0</v>
      </c>
      <c r="E7960" s="3">
        <v>1299.0</v>
      </c>
      <c r="G7960" s="266">
        <v>43752.0</v>
      </c>
    </row>
    <row r="7961">
      <c r="A7961" s="217">
        <v>43753.61023416667</v>
      </c>
      <c r="B7961" s="3" t="s">
        <v>5184</v>
      </c>
      <c r="C7961" s="3" t="s">
        <v>1260</v>
      </c>
      <c r="D7961" s="265">
        <v>1.0</v>
      </c>
      <c r="E7961" s="3">
        <v>1299.0</v>
      </c>
      <c r="G7961" s="266">
        <v>43752.0</v>
      </c>
    </row>
    <row r="7962">
      <c r="A7962" s="217">
        <v>43753.6107100463</v>
      </c>
      <c r="B7962" s="3" t="s">
        <v>5184</v>
      </c>
      <c r="C7962" s="3" t="s">
        <v>1259</v>
      </c>
      <c r="D7962" s="265">
        <v>1.0</v>
      </c>
      <c r="E7962" s="3">
        <v>1299.0</v>
      </c>
      <c r="G7962" s="266">
        <v>43752.0</v>
      </c>
    </row>
    <row r="7963">
      <c r="A7963" s="217">
        <v>43753.61131232639</v>
      </c>
      <c r="B7963" s="3" t="s">
        <v>5184</v>
      </c>
      <c r="C7963" s="3" t="s">
        <v>4844</v>
      </c>
      <c r="D7963" s="265">
        <v>1.0</v>
      </c>
      <c r="E7963" s="3">
        <v>999.0</v>
      </c>
      <c r="G7963" s="266">
        <v>43752.0</v>
      </c>
    </row>
    <row r="7964">
      <c r="A7964" s="217">
        <v>43753.611675532404</v>
      </c>
      <c r="B7964" s="3" t="s">
        <v>5184</v>
      </c>
      <c r="C7964" s="3" t="s">
        <v>4847</v>
      </c>
      <c r="D7964" s="265">
        <v>1.0</v>
      </c>
      <c r="E7964" s="3">
        <v>1699.0</v>
      </c>
      <c r="G7964" s="266">
        <v>43752.0</v>
      </c>
    </row>
    <row r="7965">
      <c r="A7965" s="217">
        <v>43753.61206673611</v>
      </c>
      <c r="B7965" s="3" t="s">
        <v>5184</v>
      </c>
      <c r="C7965" s="3" t="s">
        <v>1267</v>
      </c>
      <c r="D7965" s="265">
        <v>1.0</v>
      </c>
      <c r="E7965" s="3">
        <v>1566.0</v>
      </c>
      <c r="G7965" s="266">
        <v>43752.0</v>
      </c>
    </row>
    <row r="7966">
      <c r="A7966" s="217">
        <v>43753.61238228009</v>
      </c>
      <c r="B7966" s="3" t="s">
        <v>5184</v>
      </c>
      <c r="C7966" s="3" t="s">
        <v>1270</v>
      </c>
      <c r="D7966" s="265">
        <v>1.0</v>
      </c>
      <c r="E7966" s="3">
        <v>2099.0</v>
      </c>
      <c r="G7966" s="266">
        <v>43752.0</v>
      </c>
    </row>
    <row r="7967">
      <c r="A7967" s="217">
        <v>43753.612722777776</v>
      </c>
      <c r="B7967" s="3" t="s">
        <v>5184</v>
      </c>
      <c r="C7967" s="3" t="s">
        <v>700</v>
      </c>
      <c r="D7967" s="265">
        <v>1.0</v>
      </c>
      <c r="E7967" s="3">
        <v>1399.0</v>
      </c>
      <c r="G7967" s="266">
        <v>43752.0</v>
      </c>
    </row>
    <row r="7968">
      <c r="A7968" s="217">
        <v>43753.613481747685</v>
      </c>
      <c r="B7968" s="3" t="s">
        <v>5184</v>
      </c>
      <c r="C7968" s="3" t="s">
        <v>4620</v>
      </c>
      <c r="D7968" s="265">
        <v>1.0</v>
      </c>
      <c r="E7968" s="3">
        <v>1699.0</v>
      </c>
      <c r="G7968" s="266">
        <v>43752.0</v>
      </c>
    </row>
    <row r="7969">
      <c r="A7969" s="217">
        <v>43753.61381440972</v>
      </c>
      <c r="B7969" s="3" t="s">
        <v>5184</v>
      </c>
      <c r="C7969" s="3" t="s">
        <v>1273</v>
      </c>
      <c r="D7969" s="265">
        <v>1.0</v>
      </c>
      <c r="E7969" s="3">
        <v>1999.0</v>
      </c>
      <c r="G7969" s="266">
        <v>43752.0</v>
      </c>
    </row>
    <row r="7970">
      <c r="A7970" s="217">
        <v>43753.61419555555</v>
      </c>
      <c r="B7970" s="3" t="s">
        <v>5184</v>
      </c>
      <c r="C7970" s="3" t="s">
        <v>4622</v>
      </c>
      <c r="D7970" s="265">
        <v>1.0</v>
      </c>
      <c r="E7970" s="3">
        <v>1999.0</v>
      </c>
      <c r="G7970" s="266">
        <v>43752.0</v>
      </c>
    </row>
    <row r="7971">
      <c r="A7971" s="217">
        <v>43753.614554479165</v>
      </c>
      <c r="B7971" s="3" t="s">
        <v>5184</v>
      </c>
      <c r="C7971" s="3" t="s">
        <v>9456</v>
      </c>
      <c r="D7971" s="265">
        <v>1.0</v>
      </c>
      <c r="E7971" s="3">
        <v>2099.0</v>
      </c>
      <c r="G7971" s="266">
        <v>43752.0</v>
      </c>
    </row>
    <row r="7972">
      <c r="A7972" s="217">
        <v>43753.615055</v>
      </c>
      <c r="B7972" s="3" t="s">
        <v>5184</v>
      </c>
      <c r="C7972" s="3" t="s">
        <v>4871</v>
      </c>
      <c r="D7972" s="265">
        <v>1.0</v>
      </c>
      <c r="E7972" s="3">
        <v>1999.0</v>
      </c>
      <c r="G7972" s="266">
        <v>43752.0</v>
      </c>
    </row>
    <row r="7973">
      <c r="A7973" s="217">
        <v>43753.615832511576</v>
      </c>
      <c r="B7973" s="3" t="s">
        <v>5184</v>
      </c>
      <c r="C7973" s="3" t="s">
        <v>4873</v>
      </c>
      <c r="D7973" s="265">
        <v>1.0</v>
      </c>
      <c r="E7973" s="3">
        <v>1799.0</v>
      </c>
      <c r="G7973" s="266">
        <v>43752.0</v>
      </c>
    </row>
    <row r="7974">
      <c r="A7974" s="217">
        <v>43753.616267314814</v>
      </c>
      <c r="B7974" s="3" t="s">
        <v>5184</v>
      </c>
      <c r="C7974" s="3" t="s">
        <v>4875</v>
      </c>
      <c r="D7974" s="265">
        <v>1.0</v>
      </c>
      <c r="E7974" s="3">
        <v>1999.0</v>
      </c>
      <c r="G7974" s="266">
        <v>43752.0</v>
      </c>
    </row>
    <row r="7975">
      <c r="A7975" s="217">
        <v>43753.616751458336</v>
      </c>
      <c r="B7975" s="3" t="s">
        <v>5184</v>
      </c>
      <c r="C7975" s="3" t="s">
        <v>4626</v>
      </c>
      <c r="D7975" s="265">
        <v>1.0</v>
      </c>
      <c r="E7975" s="3">
        <v>1799.0</v>
      </c>
      <c r="G7975" s="266">
        <v>43752.0</v>
      </c>
    </row>
    <row r="7976">
      <c r="A7976" s="217">
        <v>43753.61706408564</v>
      </c>
      <c r="B7976" s="3" t="s">
        <v>5184</v>
      </c>
      <c r="C7976" s="3" t="s">
        <v>4632</v>
      </c>
      <c r="D7976" s="265">
        <v>1.0</v>
      </c>
      <c r="E7976" s="3">
        <v>1699.0</v>
      </c>
      <c r="G7976" s="266">
        <v>43752.0</v>
      </c>
    </row>
    <row r="7977">
      <c r="A7977" s="217">
        <v>43753.61741681713</v>
      </c>
      <c r="B7977" s="3" t="s">
        <v>5184</v>
      </c>
      <c r="C7977" s="3" t="s">
        <v>4885</v>
      </c>
      <c r="D7977" s="265">
        <v>1.0</v>
      </c>
      <c r="E7977" s="3">
        <v>1699.0</v>
      </c>
      <c r="G7977" s="266">
        <v>43752.0</v>
      </c>
    </row>
    <row r="7978">
      <c r="A7978" s="217">
        <v>43753.61777849537</v>
      </c>
      <c r="B7978" s="3" t="s">
        <v>5184</v>
      </c>
      <c r="C7978" s="3" t="s">
        <v>4891</v>
      </c>
      <c r="D7978" s="265">
        <v>1.0</v>
      </c>
      <c r="E7978" s="3">
        <v>1699.0</v>
      </c>
      <c r="G7978" s="266">
        <v>43752.0</v>
      </c>
    </row>
    <row r="7979">
      <c r="A7979" s="217">
        <v>43753.61867923611</v>
      </c>
      <c r="B7979" s="3" t="s">
        <v>5184</v>
      </c>
      <c r="C7979" s="3" t="s">
        <v>4893</v>
      </c>
      <c r="D7979" s="265">
        <v>1.0</v>
      </c>
      <c r="E7979" s="3">
        <v>1999.0</v>
      </c>
      <c r="G7979" s="266">
        <v>43752.0</v>
      </c>
    </row>
    <row r="7980">
      <c r="A7980" s="217">
        <v>43753.61901833334</v>
      </c>
      <c r="B7980" s="3" t="s">
        <v>5184</v>
      </c>
      <c r="C7980" s="3" t="s">
        <v>4897</v>
      </c>
      <c r="D7980" s="265">
        <v>1.0</v>
      </c>
      <c r="E7980" s="3">
        <v>1999.0</v>
      </c>
      <c r="G7980" s="266">
        <v>43752.0</v>
      </c>
    </row>
    <row r="7981">
      <c r="A7981" s="217">
        <v>43753.619345416664</v>
      </c>
      <c r="B7981" s="3" t="s">
        <v>5184</v>
      </c>
      <c r="C7981" s="3" t="s">
        <v>4908</v>
      </c>
      <c r="D7981" s="265">
        <v>1.0</v>
      </c>
      <c r="E7981" s="3">
        <v>1999.0</v>
      </c>
      <c r="G7981" s="266">
        <v>43752.0</v>
      </c>
    </row>
    <row r="7982">
      <c r="A7982" s="217">
        <v>43753.61966989584</v>
      </c>
      <c r="B7982" s="3" t="s">
        <v>5184</v>
      </c>
      <c r="C7982" s="3" t="s">
        <v>4914</v>
      </c>
      <c r="D7982" s="265">
        <v>1.0</v>
      </c>
      <c r="E7982" s="3">
        <v>2099.0</v>
      </c>
      <c r="G7982" s="266">
        <v>43752.0</v>
      </c>
    </row>
    <row r="7983">
      <c r="A7983" s="217">
        <v>43753.619996319445</v>
      </c>
      <c r="B7983" s="3" t="s">
        <v>5184</v>
      </c>
      <c r="C7983" s="3" t="s">
        <v>4643</v>
      </c>
      <c r="D7983" s="265">
        <v>1.0</v>
      </c>
      <c r="E7983" s="3">
        <v>1999.0</v>
      </c>
      <c r="G7983" s="266">
        <v>43752.0</v>
      </c>
    </row>
    <row r="7984">
      <c r="A7984" s="217">
        <v>43753.62074107639</v>
      </c>
      <c r="B7984" s="3" t="s">
        <v>5184</v>
      </c>
      <c r="C7984" s="3" t="s">
        <v>1275</v>
      </c>
      <c r="D7984" s="265">
        <v>2.0</v>
      </c>
      <c r="E7984" s="3">
        <v>1999.0</v>
      </c>
      <c r="G7984" s="266">
        <v>43752.0</v>
      </c>
    </row>
    <row r="7985">
      <c r="A7985" s="217">
        <v>43753.62111732639</v>
      </c>
      <c r="B7985" s="3" t="s">
        <v>5184</v>
      </c>
      <c r="C7985" s="3" t="s">
        <v>4919</v>
      </c>
      <c r="D7985" s="265">
        <v>1.0</v>
      </c>
      <c r="E7985" s="3">
        <v>2299.0</v>
      </c>
      <c r="G7985" s="266">
        <v>43752.0</v>
      </c>
    </row>
    <row r="7986">
      <c r="A7986" s="217">
        <v>43753.62158366898</v>
      </c>
      <c r="B7986" s="3" t="s">
        <v>5184</v>
      </c>
      <c r="C7986" s="3" t="s">
        <v>1278</v>
      </c>
      <c r="D7986" s="265">
        <v>1.0</v>
      </c>
      <c r="E7986" s="3">
        <v>2212.0</v>
      </c>
      <c r="G7986" s="266">
        <v>43752.0</v>
      </c>
    </row>
    <row r="7987">
      <c r="A7987" s="217">
        <v>43753.62191178241</v>
      </c>
      <c r="B7987" s="3" t="s">
        <v>5184</v>
      </c>
      <c r="C7987" s="3" t="s">
        <v>4948</v>
      </c>
      <c r="D7987" s="265">
        <v>1.0</v>
      </c>
      <c r="E7987" s="3">
        <v>1299.0</v>
      </c>
      <c r="G7987" s="266">
        <v>43752.0</v>
      </c>
    </row>
    <row r="7988">
      <c r="A7988" s="217">
        <v>43753.622287754624</v>
      </c>
      <c r="B7988" s="3" t="s">
        <v>5184</v>
      </c>
      <c r="C7988" s="3" t="s">
        <v>4966</v>
      </c>
      <c r="D7988" s="265">
        <v>1.0</v>
      </c>
      <c r="E7988" s="3">
        <v>799.0</v>
      </c>
      <c r="G7988" s="266">
        <v>43752.0</v>
      </c>
    </row>
    <row r="7989">
      <c r="A7989" s="217">
        <v>43753.622639340276</v>
      </c>
      <c r="B7989" s="3" t="s">
        <v>5184</v>
      </c>
      <c r="C7989" s="3" t="s">
        <v>4968</v>
      </c>
      <c r="D7989" s="265">
        <v>1.0</v>
      </c>
      <c r="E7989" s="3">
        <v>1399.0</v>
      </c>
      <c r="G7989" s="266">
        <v>43752.0</v>
      </c>
    </row>
    <row r="7990">
      <c r="A7990" s="217">
        <v>43753.623462442134</v>
      </c>
      <c r="B7990" s="3" t="s">
        <v>5184</v>
      </c>
      <c r="C7990" s="3" t="s">
        <v>1281</v>
      </c>
      <c r="D7990" s="265">
        <v>1.0</v>
      </c>
      <c r="E7990" s="3">
        <v>1699.0</v>
      </c>
      <c r="G7990" s="266">
        <v>43752.0</v>
      </c>
    </row>
    <row r="7991">
      <c r="A7991" s="217">
        <v>43753.62381951389</v>
      </c>
      <c r="B7991" s="3" t="s">
        <v>5184</v>
      </c>
      <c r="C7991" s="3" t="s">
        <v>4650</v>
      </c>
      <c r="D7991" s="265">
        <v>1.0</v>
      </c>
      <c r="E7991" s="3">
        <v>1299.0</v>
      </c>
      <c r="G7991" s="266">
        <v>43752.0</v>
      </c>
    </row>
    <row r="7992">
      <c r="A7992" s="217">
        <v>43753.6241669213</v>
      </c>
      <c r="B7992" s="3" t="s">
        <v>5184</v>
      </c>
      <c r="C7992" s="3" t="s">
        <v>4656</v>
      </c>
      <c r="D7992" s="265">
        <v>1.0</v>
      </c>
      <c r="E7992" s="3">
        <v>1299.0</v>
      </c>
      <c r="G7992" s="266">
        <v>43752.0</v>
      </c>
    </row>
    <row r="7993">
      <c r="A7993" s="217">
        <v>43753.624493634255</v>
      </c>
      <c r="B7993" s="3" t="s">
        <v>5184</v>
      </c>
      <c r="C7993" s="3" t="s">
        <v>4659</v>
      </c>
      <c r="D7993" s="265">
        <v>1.0</v>
      </c>
      <c r="E7993" s="3">
        <v>1299.0</v>
      </c>
      <c r="G7993" s="266">
        <v>43752.0</v>
      </c>
    </row>
    <row r="7994">
      <c r="A7994" s="217">
        <v>43753.62483717593</v>
      </c>
      <c r="B7994" s="3" t="s">
        <v>5184</v>
      </c>
      <c r="C7994" s="3" t="s">
        <v>5013</v>
      </c>
      <c r="D7994" s="265">
        <v>1.0</v>
      </c>
      <c r="E7994" s="3">
        <v>1399.0</v>
      </c>
      <c r="G7994" s="266">
        <v>43752.0</v>
      </c>
    </row>
    <row r="7995">
      <c r="A7995" s="217">
        <v>43753.66174509259</v>
      </c>
      <c r="B7995" s="3" t="s">
        <v>5184</v>
      </c>
      <c r="C7995" s="3" t="s">
        <v>5025</v>
      </c>
      <c r="D7995" s="265">
        <v>1.0</v>
      </c>
      <c r="E7995" s="3">
        <v>1299.0</v>
      </c>
      <c r="G7995" s="266">
        <v>43752.0</v>
      </c>
    </row>
    <row r="7996">
      <c r="A7996" s="217">
        <v>43753.66205815972</v>
      </c>
      <c r="B7996" s="3" t="s">
        <v>5184</v>
      </c>
      <c r="C7996" s="3" t="s">
        <v>9460</v>
      </c>
      <c r="D7996" s="265">
        <v>1.0</v>
      </c>
      <c r="E7996" s="3">
        <v>2499.0</v>
      </c>
      <c r="G7996" s="266">
        <v>43752.0</v>
      </c>
    </row>
    <row r="7997">
      <c r="A7997" s="217">
        <v>43753.66238327546</v>
      </c>
      <c r="B7997" s="3" t="s">
        <v>5184</v>
      </c>
      <c r="C7997" s="3" t="s">
        <v>6921</v>
      </c>
      <c r="D7997" s="265">
        <v>1.0</v>
      </c>
      <c r="E7997" s="3">
        <v>2150.0</v>
      </c>
      <c r="G7997" s="266">
        <v>43752.0</v>
      </c>
    </row>
    <row r="7998">
      <c r="A7998" s="217">
        <v>43753.66273524305</v>
      </c>
      <c r="B7998" s="3" t="s">
        <v>5184</v>
      </c>
      <c r="C7998" s="3" t="s">
        <v>2006</v>
      </c>
      <c r="D7998" s="265">
        <v>1.0</v>
      </c>
      <c r="E7998" s="3">
        <v>8970.0</v>
      </c>
      <c r="G7998" s="266">
        <v>43752.0</v>
      </c>
    </row>
    <row r="7999">
      <c r="A7999" s="217">
        <v>43753.66334479167</v>
      </c>
      <c r="B7999" s="3" t="s">
        <v>5184</v>
      </c>
      <c r="C7999" s="3" t="s">
        <v>2008</v>
      </c>
      <c r="D7999" s="265">
        <v>1.0</v>
      </c>
      <c r="E7999" s="3">
        <v>8970.0</v>
      </c>
      <c r="G7999" s="266">
        <v>43752.0</v>
      </c>
    </row>
    <row r="8000">
      <c r="A8000" s="217">
        <v>43753.66368297454</v>
      </c>
      <c r="B8000" s="3" t="s">
        <v>5184</v>
      </c>
      <c r="C8000" s="3" t="s">
        <v>9672</v>
      </c>
      <c r="D8000" s="265">
        <v>1.0</v>
      </c>
      <c r="E8000" s="3">
        <v>8970.0</v>
      </c>
      <c r="G8000" s="266">
        <v>43752.0</v>
      </c>
    </row>
    <row r="8001">
      <c r="A8001" s="217">
        <v>43753.6640378125</v>
      </c>
      <c r="B8001" s="3" t="s">
        <v>5184</v>
      </c>
      <c r="C8001" s="3" t="s">
        <v>2009</v>
      </c>
      <c r="D8001" s="265">
        <v>1.0</v>
      </c>
      <c r="E8001" s="3">
        <v>8625.0</v>
      </c>
      <c r="G8001" s="266">
        <v>43752.0</v>
      </c>
    </row>
    <row r="8002">
      <c r="A8002" s="217">
        <v>43753.664395844906</v>
      </c>
      <c r="B8002" s="3" t="s">
        <v>5184</v>
      </c>
      <c r="C8002" s="3" t="s">
        <v>2016</v>
      </c>
      <c r="D8002" s="265">
        <v>1.0</v>
      </c>
      <c r="E8002" s="3">
        <v>8900.0</v>
      </c>
      <c r="G8002" s="266">
        <v>43752.0</v>
      </c>
    </row>
    <row r="8003">
      <c r="A8003" s="217">
        <v>43753.66471134259</v>
      </c>
      <c r="B8003" s="3" t="s">
        <v>5184</v>
      </c>
      <c r="C8003" s="3" t="s">
        <v>2018</v>
      </c>
      <c r="D8003" s="265">
        <v>1.0</v>
      </c>
      <c r="E8003" s="3">
        <v>8900.0</v>
      </c>
      <c r="G8003" s="266">
        <v>43752.0</v>
      </c>
    </row>
    <row r="8004">
      <c r="A8004" s="217">
        <v>43753.66508505787</v>
      </c>
      <c r="B8004" s="3" t="s">
        <v>5184</v>
      </c>
      <c r="C8004" s="3" t="s">
        <v>2022</v>
      </c>
      <c r="D8004" s="265">
        <v>1.0</v>
      </c>
      <c r="E8004" s="3">
        <v>8190.0</v>
      </c>
      <c r="G8004" s="266">
        <v>43752.0</v>
      </c>
    </row>
    <row r="8005">
      <c r="A8005" s="217">
        <v>43753.66618853009</v>
      </c>
      <c r="B8005" s="3" t="s">
        <v>5184</v>
      </c>
      <c r="C8005" s="3" t="s">
        <v>2025</v>
      </c>
      <c r="D8005" s="265">
        <v>1.0</v>
      </c>
      <c r="E8005" s="3">
        <v>8190.0</v>
      </c>
      <c r="G8005" s="266">
        <v>43752.0</v>
      </c>
    </row>
    <row r="8006">
      <c r="A8006" s="217">
        <v>43753.66657540509</v>
      </c>
      <c r="B8006" s="3" t="s">
        <v>5184</v>
      </c>
      <c r="C8006" s="3" t="s">
        <v>2026</v>
      </c>
      <c r="D8006" s="265">
        <v>1.0</v>
      </c>
      <c r="E8006" s="3">
        <v>8190.0</v>
      </c>
      <c r="G8006" s="266">
        <v>43752.0</v>
      </c>
    </row>
    <row r="8007">
      <c r="A8007" s="217">
        <v>43753.66691341435</v>
      </c>
      <c r="B8007" s="3" t="s">
        <v>5184</v>
      </c>
      <c r="C8007" s="3" t="s">
        <v>2031</v>
      </c>
      <c r="D8007" s="265">
        <v>1.0</v>
      </c>
      <c r="E8007" s="3">
        <v>8190.0</v>
      </c>
      <c r="G8007" s="266">
        <v>43752.0</v>
      </c>
    </row>
    <row r="8008">
      <c r="A8008" s="217">
        <v>43753.66739530093</v>
      </c>
      <c r="B8008" s="3" t="s">
        <v>5184</v>
      </c>
      <c r="C8008" s="3" t="s">
        <v>2057</v>
      </c>
      <c r="D8008" s="265">
        <v>1.0</v>
      </c>
      <c r="E8008" s="3">
        <v>6250.0</v>
      </c>
      <c r="G8008" s="266">
        <v>43752.0</v>
      </c>
    </row>
    <row r="8009">
      <c r="A8009" s="217">
        <v>43753.66773047454</v>
      </c>
      <c r="B8009" s="3" t="s">
        <v>5184</v>
      </c>
      <c r="C8009" s="3" t="s">
        <v>2110</v>
      </c>
      <c r="D8009" s="265">
        <v>1.0</v>
      </c>
      <c r="E8009" s="3">
        <v>5990.0</v>
      </c>
      <c r="G8009" s="266">
        <v>43752.0</v>
      </c>
    </row>
    <row r="8010">
      <c r="A8010" s="217">
        <v>43753.66805684028</v>
      </c>
      <c r="B8010" s="3" t="s">
        <v>5184</v>
      </c>
      <c r="C8010" s="3" t="s">
        <v>2117</v>
      </c>
      <c r="D8010" s="265">
        <v>1.0</v>
      </c>
      <c r="E8010" s="3">
        <v>4290.0</v>
      </c>
      <c r="G8010" s="266">
        <v>43752.0</v>
      </c>
    </row>
    <row r="8011">
      <c r="A8011" s="217">
        <v>43753.66889008102</v>
      </c>
      <c r="B8011" s="3" t="s">
        <v>5184</v>
      </c>
      <c r="C8011" s="3" t="s">
        <v>5442</v>
      </c>
      <c r="D8011" s="265">
        <v>3.0</v>
      </c>
      <c r="E8011" s="3">
        <v>6490.0</v>
      </c>
      <c r="G8011" s="266">
        <v>43752.0</v>
      </c>
    </row>
    <row r="8012">
      <c r="A8012" s="217">
        <v>43753.669287349534</v>
      </c>
      <c r="B8012" s="3" t="s">
        <v>5184</v>
      </c>
      <c r="C8012" s="3" t="s">
        <v>5539</v>
      </c>
      <c r="D8012" s="265">
        <v>1.0</v>
      </c>
      <c r="E8012" s="3">
        <v>4790.0</v>
      </c>
      <c r="G8012" s="266">
        <v>43752.0</v>
      </c>
    </row>
    <row r="8013">
      <c r="A8013" s="217">
        <v>43753.66961200231</v>
      </c>
      <c r="B8013" s="3" t="s">
        <v>5184</v>
      </c>
      <c r="C8013" s="3" t="s">
        <v>2131</v>
      </c>
      <c r="D8013" s="265">
        <v>1.0</v>
      </c>
      <c r="E8013" s="3">
        <v>3490.0</v>
      </c>
      <c r="G8013" s="266">
        <v>43752.0</v>
      </c>
    </row>
    <row r="8014">
      <c r="A8014" s="217">
        <v>43753.67014195602</v>
      </c>
      <c r="B8014" s="3" t="s">
        <v>5184</v>
      </c>
      <c r="C8014" s="3" t="s">
        <v>2129</v>
      </c>
      <c r="D8014" s="265">
        <v>1.0</v>
      </c>
      <c r="E8014" s="3">
        <v>3790.0</v>
      </c>
      <c r="G8014" s="266">
        <v>43752.0</v>
      </c>
    </row>
    <row r="8015">
      <c r="A8015" s="217">
        <v>43753.670518530096</v>
      </c>
      <c r="B8015" s="3" t="s">
        <v>5184</v>
      </c>
      <c r="C8015" s="3" t="s">
        <v>2134</v>
      </c>
      <c r="D8015" s="265">
        <v>1.0</v>
      </c>
      <c r="E8015" s="3">
        <v>4290.0</v>
      </c>
      <c r="G8015" s="266">
        <v>43752.0</v>
      </c>
    </row>
    <row r="8016">
      <c r="A8016" s="217">
        <v>43753.67084740741</v>
      </c>
      <c r="B8016" s="3" t="s">
        <v>5184</v>
      </c>
      <c r="C8016" s="3" t="s">
        <v>2157</v>
      </c>
      <c r="D8016" s="265">
        <v>1.0</v>
      </c>
      <c r="E8016" s="3">
        <v>3790.0</v>
      </c>
      <c r="G8016" s="266">
        <v>43752.0</v>
      </c>
    </row>
    <row r="8017">
      <c r="A8017" s="217">
        <v>43753.678269745375</v>
      </c>
      <c r="B8017" s="3" t="s">
        <v>5184</v>
      </c>
      <c r="C8017" s="3" t="s">
        <v>2163</v>
      </c>
      <c r="D8017" s="265">
        <v>1.0</v>
      </c>
      <c r="E8017" s="3">
        <v>5490.0</v>
      </c>
      <c r="G8017" s="266">
        <v>43752.0</v>
      </c>
    </row>
    <row r="8018">
      <c r="A8018" s="217">
        <v>43753.678611041665</v>
      </c>
      <c r="B8018" s="3" t="s">
        <v>5184</v>
      </c>
      <c r="C8018" s="3" t="s">
        <v>2165</v>
      </c>
      <c r="D8018" s="265">
        <v>1.0</v>
      </c>
      <c r="E8018" s="3">
        <v>5490.0</v>
      </c>
      <c r="G8018" s="266">
        <v>43752.0</v>
      </c>
    </row>
    <row r="8019">
      <c r="A8019" s="217">
        <v>43753.67895189815</v>
      </c>
      <c r="B8019" s="3" t="s">
        <v>5184</v>
      </c>
      <c r="C8019" s="3" t="s">
        <v>5516</v>
      </c>
      <c r="D8019" s="265">
        <v>1.0</v>
      </c>
      <c r="E8019" s="3">
        <v>3290.0</v>
      </c>
      <c r="G8019" s="266">
        <v>43752.0</v>
      </c>
    </row>
    <row r="8020">
      <c r="A8020" s="217">
        <v>43753.67937662037</v>
      </c>
      <c r="B8020" s="3" t="s">
        <v>5184</v>
      </c>
      <c r="C8020" s="3" t="s">
        <v>2173</v>
      </c>
      <c r="D8020" s="265">
        <v>2.0</v>
      </c>
      <c r="E8020" s="3">
        <v>3090.0</v>
      </c>
      <c r="G8020" s="266">
        <v>43752.0</v>
      </c>
    </row>
    <row r="8021">
      <c r="A8021" s="217">
        <v>43753.67979072916</v>
      </c>
      <c r="B8021" s="3" t="s">
        <v>5184</v>
      </c>
      <c r="C8021" s="3" t="s">
        <v>9673</v>
      </c>
      <c r="D8021" s="265">
        <v>1.0</v>
      </c>
      <c r="E8021" s="3">
        <v>3790.0</v>
      </c>
      <c r="G8021" s="266">
        <v>43752.0</v>
      </c>
    </row>
    <row r="8022">
      <c r="A8022" s="217">
        <v>43753.680474629626</v>
      </c>
      <c r="B8022" s="3" t="s">
        <v>5184</v>
      </c>
      <c r="C8022" s="3" t="s">
        <v>7242</v>
      </c>
      <c r="D8022" s="265">
        <v>1.0</v>
      </c>
      <c r="E8022" s="3">
        <v>5990.0</v>
      </c>
      <c r="G8022" s="266">
        <v>43752.0</v>
      </c>
    </row>
    <row r="8023">
      <c r="A8023" s="217">
        <v>43753.68087244213</v>
      </c>
      <c r="B8023" s="3" t="s">
        <v>5184</v>
      </c>
      <c r="C8023" s="3" t="s">
        <v>5489</v>
      </c>
      <c r="D8023" s="265">
        <v>1.0</v>
      </c>
      <c r="E8023" s="3">
        <v>3990.0</v>
      </c>
      <c r="G8023" s="266">
        <v>43752.0</v>
      </c>
    </row>
    <row r="8024">
      <c r="A8024" s="217">
        <v>43753.68120634259</v>
      </c>
      <c r="B8024" s="3" t="s">
        <v>5184</v>
      </c>
      <c r="C8024" s="3" t="s">
        <v>2220</v>
      </c>
      <c r="D8024" s="265">
        <v>1.0</v>
      </c>
      <c r="E8024" s="3">
        <v>3790.0</v>
      </c>
      <c r="G8024" s="266">
        <v>43752.0</v>
      </c>
    </row>
    <row r="8025">
      <c r="A8025" s="217">
        <v>43753.681640173614</v>
      </c>
      <c r="B8025" s="3" t="s">
        <v>5184</v>
      </c>
      <c r="C8025" s="3" t="s">
        <v>5483</v>
      </c>
      <c r="D8025" s="265">
        <v>2.0</v>
      </c>
      <c r="E8025" s="3">
        <v>3490.0</v>
      </c>
      <c r="G8025" s="266">
        <v>43752.0</v>
      </c>
    </row>
    <row r="8026">
      <c r="A8026" s="217">
        <v>43753.68232734954</v>
      </c>
      <c r="B8026" s="3" t="s">
        <v>5184</v>
      </c>
      <c r="C8026" s="3" t="s">
        <v>6349</v>
      </c>
      <c r="D8026" s="265">
        <v>1.0</v>
      </c>
      <c r="E8026" s="3">
        <v>3390.0</v>
      </c>
      <c r="G8026" s="266">
        <v>43752.0</v>
      </c>
    </row>
    <row r="8027">
      <c r="A8027" s="217">
        <v>43753.68264871528</v>
      </c>
      <c r="B8027" s="3" t="s">
        <v>5184</v>
      </c>
      <c r="C8027" s="3" t="s">
        <v>5531</v>
      </c>
      <c r="D8027" s="265">
        <v>1.0</v>
      </c>
      <c r="E8027" s="3">
        <v>3390.0</v>
      </c>
      <c r="G8027" s="266">
        <v>43752.0</v>
      </c>
    </row>
    <row r="8028">
      <c r="A8028" s="217">
        <v>43753.68303888889</v>
      </c>
      <c r="B8028" s="3" t="s">
        <v>5184</v>
      </c>
      <c r="C8028" s="3" t="s">
        <v>2263</v>
      </c>
      <c r="D8028" s="265">
        <v>1.0</v>
      </c>
      <c r="E8028" s="3">
        <v>4290.0</v>
      </c>
      <c r="G8028" s="266">
        <v>43752.0</v>
      </c>
    </row>
    <row r="8029">
      <c r="A8029" s="217">
        <v>43753.683462500005</v>
      </c>
      <c r="B8029" s="3" t="s">
        <v>5184</v>
      </c>
      <c r="C8029" s="3" t="s">
        <v>6717</v>
      </c>
      <c r="D8029" s="265">
        <v>1.0</v>
      </c>
      <c r="E8029" s="3">
        <v>3890.0</v>
      </c>
      <c r="G8029" s="266">
        <v>43752.0</v>
      </c>
    </row>
    <row r="8030">
      <c r="A8030" s="217">
        <v>43756.53832821759</v>
      </c>
      <c r="B8030" s="3" t="s">
        <v>5092</v>
      </c>
      <c r="C8030" s="3" t="s">
        <v>5451</v>
      </c>
      <c r="D8030" s="265">
        <v>1.0</v>
      </c>
      <c r="E8030" s="3">
        <v>4590.0</v>
      </c>
      <c r="G8030" s="266">
        <v>43755.0</v>
      </c>
    </row>
    <row r="8031">
      <c r="A8031" s="217">
        <v>43756.53967142361</v>
      </c>
      <c r="B8031" s="3" t="s">
        <v>5092</v>
      </c>
      <c r="C8031" s="3" t="s">
        <v>5492</v>
      </c>
      <c r="D8031" s="265">
        <v>1.0</v>
      </c>
      <c r="E8031" s="3">
        <v>5290.0</v>
      </c>
      <c r="G8031" s="266">
        <v>43755.0</v>
      </c>
    </row>
    <row r="8032">
      <c r="A8032" s="217">
        <v>43756.54045172453</v>
      </c>
      <c r="B8032" s="3" t="s">
        <v>5092</v>
      </c>
      <c r="C8032" s="3" t="s">
        <v>5433</v>
      </c>
      <c r="D8032" s="265">
        <v>1.0</v>
      </c>
      <c r="E8032" s="3">
        <v>4590.0</v>
      </c>
      <c r="G8032" s="266">
        <v>43755.0</v>
      </c>
    </row>
    <row r="8033">
      <c r="A8033" s="217">
        <v>43756.54117251157</v>
      </c>
      <c r="B8033" s="3" t="s">
        <v>5092</v>
      </c>
      <c r="C8033" s="3" t="s">
        <v>2136</v>
      </c>
      <c r="D8033" s="265">
        <v>1.0</v>
      </c>
      <c r="E8033" s="3">
        <v>4290.0</v>
      </c>
      <c r="G8033" s="266">
        <v>43755.0</v>
      </c>
    </row>
    <row r="8034">
      <c r="A8034" s="217">
        <v>43756.557907939816</v>
      </c>
      <c r="B8034" s="3" t="s">
        <v>5092</v>
      </c>
      <c r="C8034" s="3" t="s">
        <v>6321</v>
      </c>
      <c r="D8034" s="265">
        <v>1.0</v>
      </c>
      <c r="E8034" s="3">
        <v>5090.0</v>
      </c>
      <c r="G8034" s="266">
        <v>43755.0</v>
      </c>
    </row>
    <row r="8035">
      <c r="A8035" s="217">
        <v>43756.55857666666</v>
      </c>
      <c r="B8035" s="3" t="s">
        <v>5092</v>
      </c>
      <c r="C8035" s="3" t="s">
        <v>6322</v>
      </c>
      <c r="D8035" s="265">
        <v>1.0</v>
      </c>
      <c r="E8035" s="3">
        <v>5090.0</v>
      </c>
      <c r="G8035" s="266">
        <v>43755.0</v>
      </c>
    </row>
    <row r="8036">
      <c r="A8036" s="217">
        <v>43756.5593196875</v>
      </c>
      <c r="B8036" s="3" t="s">
        <v>5092</v>
      </c>
      <c r="C8036" s="3" t="s">
        <v>9675</v>
      </c>
      <c r="D8036" s="265">
        <v>1.0</v>
      </c>
      <c r="E8036" s="3">
        <v>3290.0</v>
      </c>
      <c r="G8036" s="266">
        <v>43755.0</v>
      </c>
    </row>
    <row r="8037">
      <c r="A8037" s="217">
        <v>43756.560076504626</v>
      </c>
      <c r="B8037" s="3" t="s">
        <v>5092</v>
      </c>
      <c r="C8037" s="3" t="s">
        <v>9676</v>
      </c>
      <c r="D8037" s="265">
        <v>1.0</v>
      </c>
      <c r="E8037" s="3">
        <v>4590.0</v>
      </c>
      <c r="G8037" s="266">
        <v>43755.0</v>
      </c>
    </row>
    <row r="8038">
      <c r="A8038" s="217">
        <v>43756.56073297454</v>
      </c>
      <c r="B8038" s="3" t="s">
        <v>5092</v>
      </c>
      <c r="C8038" s="3" t="s">
        <v>9677</v>
      </c>
      <c r="D8038" s="265">
        <v>1.0</v>
      </c>
      <c r="E8038" s="3">
        <v>6690.0</v>
      </c>
      <c r="G8038" s="266">
        <v>43755.0</v>
      </c>
    </row>
    <row r="8039">
      <c r="A8039" s="217">
        <v>43756.56144771991</v>
      </c>
      <c r="B8039" s="3" t="s">
        <v>5092</v>
      </c>
      <c r="C8039" s="3" t="s">
        <v>9678</v>
      </c>
      <c r="D8039" s="265">
        <v>1.0</v>
      </c>
      <c r="E8039" s="3">
        <v>4790.0</v>
      </c>
      <c r="G8039" s="266">
        <v>43755.0</v>
      </c>
    </row>
    <row r="8040">
      <c r="A8040" s="217">
        <v>43756.56205728009</v>
      </c>
      <c r="B8040" s="3" t="s">
        <v>5092</v>
      </c>
      <c r="C8040" s="3" t="s">
        <v>9679</v>
      </c>
      <c r="D8040" s="265">
        <v>1.0</v>
      </c>
      <c r="E8040" s="3">
        <v>5790.0</v>
      </c>
      <c r="G8040" s="266">
        <v>43755.0</v>
      </c>
    </row>
    <row r="8041">
      <c r="A8041" s="217">
        <v>43756.56292631944</v>
      </c>
      <c r="B8041" s="3" t="s">
        <v>5092</v>
      </c>
      <c r="C8041" s="3" t="s">
        <v>2203</v>
      </c>
      <c r="D8041" s="265">
        <v>1.0</v>
      </c>
      <c r="E8041" s="3">
        <v>5090.0</v>
      </c>
      <c r="G8041" s="266">
        <v>43755.0</v>
      </c>
    </row>
    <row r="8042">
      <c r="A8042" s="217">
        <v>43756.56358739584</v>
      </c>
      <c r="B8042" s="3" t="s">
        <v>5092</v>
      </c>
      <c r="C8042" s="3" t="s">
        <v>5470</v>
      </c>
      <c r="D8042" s="265">
        <v>1.0</v>
      </c>
      <c r="E8042" s="3">
        <v>5090.0</v>
      </c>
      <c r="G8042" s="266">
        <v>43755.0</v>
      </c>
    </row>
    <row r="8043">
      <c r="A8043" s="217">
        <v>43756.62820576389</v>
      </c>
      <c r="B8043" s="3" t="s">
        <v>5184</v>
      </c>
      <c r="C8043" s="3" t="s">
        <v>5451</v>
      </c>
      <c r="D8043" s="265">
        <v>1.0</v>
      </c>
      <c r="E8043" s="3">
        <v>4590.0</v>
      </c>
      <c r="G8043" s="266">
        <v>43756.0</v>
      </c>
    </row>
    <row r="8044">
      <c r="A8044" s="217">
        <v>43756.629149699074</v>
      </c>
      <c r="B8044" s="3" t="s">
        <v>5184</v>
      </c>
      <c r="C8044" s="3" t="s">
        <v>5492</v>
      </c>
      <c r="D8044" s="265">
        <v>1.0</v>
      </c>
      <c r="E8044" s="3">
        <v>5290.0</v>
      </c>
      <c r="G8044" s="266">
        <v>43756.0</v>
      </c>
    </row>
    <row r="8045">
      <c r="A8045" s="217">
        <v>43756.62988494213</v>
      </c>
      <c r="B8045" s="3" t="s">
        <v>5184</v>
      </c>
      <c r="C8045" s="3" t="s">
        <v>5433</v>
      </c>
      <c r="D8045" s="265">
        <v>1.0</v>
      </c>
      <c r="E8045" s="3">
        <v>4590.0</v>
      </c>
      <c r="G8045" s="266">
        <v>43756.0</v>
      </c>
    </row>
    <row r="8046">
      <c r="A8046" s="217">
        <v>43756.63061275463</v>
      </c>
      <c r="B8046" s="3" t="s">
        <v>5184</v>
      </c>
      <c r="C8046" s="3" t="s">
        <v>6322</v>
      </c>
      <c r="D8046" s="265">
        <v>1.0</v>
      </c>
      <c r="E8046" s="3">
        <v>5090.0</v>
      </c>
      <c r="G8046" s="266">
        <v>43756.0</v>
      </c>
    </row>
    <row r="8047">
      <c r="A8047" s="217">
        <v>43756.63134582176</v>
      </c>
      <c r="B8047" s="3" t="s">
        <v>5184</v>
      </c>
      <c r="C8047" s="3" t="s">
        <v>9676</v>
      </c>
      <c r="D8047" s="265">
        <v>1.0</v>
      </c>
      <c r="E8047" s="3">
        <v>4590.0</v>
      </c>
      <c r="G8047" s="266">
        <v>43756.0</v>
      </c>
    </row>
    <row r="8048">
      <c r="A8048" s="217">
        <v>43756.63201164352</v>
      </c>
      <c r="B8048" s="3" t="s">
        <v>5184</v>
      </c>
      <c r="C8048" s="3" t="s">
        <v>5470</v>
      </c>
      <c r="D8048" s="265">
        <v>1.0</v>
      </c>
      <c r="E8048" s="3">
        <v>5090.0</v>
      </c>
      <c r="G8048" s="266">
        <v>43756.0</v>
      </c>
    </row>
    <row r="8049">
      <c r="A8049" s="217">
        <v>43757.59347458334</v>
      </c>
      <c r="B8049" s="3" t="s">
        <v>5184</v>
      </c>
      <c r="C8049" s="3" t="s">
        <v>5199</v>
      </c>
      <c r="D8049" s="265">
        <v>1.0</v>
      </c>
      <c r="E8049" s="3">
        <v>5090.0</v>
      </c>
      <c r="G8049" s="266">
        <v>43757.0</v>
      </c>
    </row>
    <row r="8050">
      <c r="A8050" s="217">
        <v>43757.59462297454</v>
      </c>
      <c r="B8050" s="3" t="s">
        <v>5184</v>
      </c>
      <c r="C8050" s="3" t="s">
        <v>5182</v>
      </c>
      <c r="D8050" s="265">
        <v>1.0</v>
      </c>
      <c r="E8050" s="3">
        <v>4290.0</v>
      </c>
      <c r="G8050" s="266">
        <v>43757.0</v>
      </c>
    </row>
    <row r="8051">
      <c r="A8051" s="217">
        <v>43757.595602974536</v>
      </c>
      <c r="B8051" s="3" t="s">
        <v>5184</v>
      </c>
      <c r="C8051" s="3" t="s">
        <v>6390</v>
      </c>
      <c r="D8051" s="265">
        <v>1.0</v>
      </c>
      <c r="E8051" s="3">
        <v>4790.0</v>
      </c>
      <c r="G8051" s="266">
        <v>43757.0</v>
      </c>
    </row>
    <row r="8052">
      <c r="A8052" s="217">
        <v>43758.45467924769</v>
      </c>
      <c r="B8052" s="3" t="s">
        <v>5092</v>
      </c>
      <c r="C8052" s="3" t="s">
        <v>1712</v>
      </c>
      <c r="D8052" s="265">
        <v>1.0</v>
      </c>
      <c r="E8052" s="3">
        <v>8190.0</v>
      </c>
      <c r="G8052" s="266">
        <v>43756.0</v>
      </c>
    </row>
    <row r="8053">
      <c r="A8053" s="217">
        <v>43758.455339155094</v>
      </c>
      <c r="B8053" s="3" t="s">
        <v>5092</v>
      </c>
      <c r="C8053" s="3" t="s">
        <v>8283</v>
      </c>
      <c r="D8053" s="265">
        <v>1.0</v>
      </c>
      <c r="E8053" s="3">
        <v>6990.0</v>
      </c>
      <c r="G8053" s="266">
        <v>43756.0</v>
      </c>
    </row>
    <row r="8054">
      <c r="A8054" s="217">
        <v>43758.46409461806</v>
      </c>
      <c r="B8054" s="3" t="s">
        <v>5092</v>
      </c>
      <c r="C8054" s="3" t="s">
        <v>9684</v>
      </c>
      <c r="D8054" s="265">
        <v>1.0</v>
      </c>
      <c r="E8054" s="3">
        <v>8690.0</v>
      </c>
      <c r="G8054" s="266">
        <v>43756.0</v>
      </c>
    </row>
    <row r="8055">
      <c r="A8055" s="217">
        <v>43758.46496964121</v>
      </c>
      <c r="B8055" s="3" t="s">
        <v>5092</v>
      </c>
      <c r="C8055" s="3" t="s">
        <v>9685</v>
      </c>
      <c r="D8055" s="265">
        <v>1.0</v>
      </c>
      <c r="E8055" s="3">
        <v>8090.0</v>
      </c>
      <c r="G8055" s="266">
        <v>43756.0</v>
      </c>
    </row>
    <row r="8056">
      <c r="A8056" s="217">
        <v>43758.46580799768</v>
      </c>
      <c r="B8056" s="3" t="s">
        <v>5092</v>
      </c>
      <c r="C8056" s="3" t="s">
        <v>9686</v>
      </c>
      <c r="D8056" s="265">
        <v>1.0</v>
      </c>
      <c r="E8056" s="3">
        <v>6990.0</v>
      </c>
      <c r="G8056" s="266">
        <v>43756.0</v>
      </c>
    </row>
    <row r="8057">
      <c r="A8057" s="217">
        <v>43758.46654546296</v>
      </c>
      <c r="B8057" s="3" t="s">
        <v>5092</v>
      </c>
      <c r="C8057" s="3" t="s">
        <v>9687</v>
      </c>
      <c r="D8057" s="265">
        <v>1.0</v>
      </c>
      <c r="E8057" s="3">
        <v>8690.0</v>
      </c>
      <c r="G8057" s="266">
        <v>43756.0</v>
      </c>
    </row>
    <row r="8058">
      <c r="A8058" s="217">
        <v>43758.46718392361</v>
      </c>
      <c r="B8058" s="3" t="s">
        <v>5092</v>
      </c>
      <c r="C8058" s="3" t="s">
        <v>9688</v>
      </c>
      <c r="D8058" s="265">
        <v>1.0</v>
      </c>
      <c r="E8058" s="3">
        <v>9290.0</v>
      </c>
      <c r="G8058" s="266">
        <v>43756.0</v>
      </c>
    </row>
    <row r="8059">
      <c r="A8059" s="217">
        <v>43758.474387002316</v>
      </c>
      <c r="B8059" s="3" t="s">
        <v>5092</v>
      </c>
      <c r="C8059" s="3" t="s">
        <v>9689</v>
      </c>
      <c r="D8059" s="265">
        <v>1.0</v>
      </c>
      <c r="E8059" s="3">
        <v>7490.0</v>
      </c>
      <c r="G8059" s="266">
        <v>43756.0</v>
      </c>
    </row>
    <row r="8060">
      <c r="A8060" s="217">
        <v>43758.47503209491</v>
      </c>
      <c r="B8060" s="3" t="s">
        <v>5092</v>
      </c>
      <c r="C8060" s="3" t="s">
        <v>9690</v>
      </c>
      <c r="D8060" s="265">
        <v>1.0</v>
      </c>
      <c r="E8060" s="3">
        <v>8090.0</v>
      </c>
      <c r="G8060" s="266">
        <v>43756.0</v>
      </c>
    </row>
    <row r="8061">
      <c r="A8061" s="217">
        <v>43758.475744571755</v>
      </c>
      <c r="B8061" s="3" t="s">
        <v>5092</v>
      </c>
      <c r="C8061" s="3" t="s">
        <v>9691</v>
      </c>
      <c r="D8061" s="265">
        <v>1.0</v>
      </c>
      <c r="E8061" s="3">
        <v>10390.0</v>
      </c>
      <c r="G8061" s="266">
        <v>43756.0</v>
      </c>
    </row>
    <row r="8062">
      <c r="A8062" s="217">
        <v>43760.62355351852</v>
      </c>
      <c r="B8062" s="3" t="s">
        <v>5092</v>
      </c>
      <c r="C8062" s="3" t="s">
        <v>2762</v>
      </c>
      <c r="D8062" s="265">
        <v>1.0</v>
      </c>
      <c r="G8062" s="266">
        <v>43757.0</v>
      </c>
    </row>
    <row r="8063">
      <c r="A8063" s="217">
        <v>43760.624891342595</v>
      </c>
      <c r="B8063" s="3" t="s">
        <v>5092</v>
      </c>
      <c r="C8063" s="3" t="s">
        <v>694</v>
      </c>
      <c r="D8063" s="265">
        <v>1.0</v>
      </c>
      <c r="G8063" s="266">
        <v>43757.0</v>
      </c>
    </row>
    <row r="8064">
      <c r="A8064" s="217">
        <v>43760.625999247684</v>
      </c>
      <c r="B8064" s="3" t="s">
        <v>5092</v>
      </c>
      <c r="C8064" s="3" t="s">
        <v>4893</v>
      </c>
      <c r="D8064" s="265">
        <v>1.0</v>
      </c>
      <c r="G8064" s="266">
        <v>43757.0</v>
      </c>
    </row>
    <row r="8065">
      <c r="A8065" s="217">
        <v>43760.63627398148</v>
      </c>
      <c r="B8065" s="3" t="s">
        <v>5092</v>
      </c>
      <c r="C8065" s="3" t="s">
        <v>5072</v>
      </c>
      <c r="D8065" s="265">
        <v>1.0</v>
      </c>
      <c r="G8065" s="266">
        <v>43757.0</v>
      </c>
    </row>
    <row r="8066">
      <c r="A8066" s="217">
        <v>43760.63713393519</v>
      </c>
      <c r="B8066" s="3" t="s">
        <v>5092</v>
      </c>
      <c r="C8066" s="3" t="s">
        <v>5583</v>
      </c>
      <c r="D8066" s="265">
        <v>1.0</v>
      </c>
      <c r="G8066" s="266">
        <v>43757.0</v>
      </c>
    </row>
    <row r="8067">
      <c r="A8067" s="217">
        <v>43760.638144745375</v>
      </c>
      <c r="B8067" s="3" t="s">
        <v>5092</v>
      </c>
      <c r="C8067" s="3" t="s">
        <v>9692</v>
      </c>
      <c r="D8067" s="265">
        <v>1.0</v>
      </c>
      <c r="G8067" s="266">
        <v>43757.0</v>
      </c>
    </row>
    <row r="8068">
      <c r="A8068" s="217">
        <v>43760.63886090278</v>
      </c>
      <c r="B8068" s="3" t="s">
        <v>5092</v>
      </c>
      <c r="C8068" s="3" t="s">
        <v>9693</v>
      </c>
      <c r="D8068" s="265">
        <v>1.0</v>
      </c>
      <c r="G8068" s="266">
        <v>43757.0</v>
      </c>
    </row>
    <row r="8069">
      <c r="A8069" s="217">
        <v>43760.64061069445</v>
      </c>
      <c r="B8069" s="3" t="s">
        <v>5092</v>
      </c>
      <c r="C8069" s="3" t="s">
        <v>8728</v>
      </c>
      <c r="D8069" s="265">
        <v>1.0</v>
      </c>
      <c r="G8069" s="266">
        <v>43757.0</v>
      </c>
    </row>
    <row r="8070">
      <c r="A8070" s="217">
        <v>43760.64111027778</v>
      </c>
      <c r="B8070" s="3" t="s">
        <v>5092</v>
      </c>
      <c r="C8070" s="3" t="s">
        <v>8603</v>
      </c>
      <c r="D8070" s="265">
        <v>1.0</v>
      </c>
      <c r="G8070" s="266">
        <v>43757.0</v>
      </c>
    </row>
    <row r="8071">
      <c r="A8071" s="217">
        <v>43760.642028807866</v>
      </c>
      <c r="B8071" s="3" t="s">
        <v>5092</v>
      </c>
      <c r="C8071" s="3" t="s">
        <v>9694</v>
      </c>
      <c r="D8071" s="265">
        <v>3.0</v>
      </c>
      <c r="G8071" s="266">
        <v>43757.0</v>
      </c>
    </row>
    <row r="8072">
      <c r="A8072" s="217">
        <v>43760.642697152776</v>
      </c>
      <c r="B8072" s="3" t="s">
        <v>5092</v>
      </c>
      <c r="C8072" s="3" t="s">
        <v>720</v>
      </c>
      <c r="D8072" s="265">
        <v>1.0</v>
      </c>
      <c r="G8072" s="266">
        <v>43757.0</v>
      </c>
    </row>
    <row r="8073">
      <c r="A8073" s="217">
        <v>43760.64358400463</v>
      </c>
      <c r="B8073" s="3" t="s">
        <v>5092</v>
      </c>
      <c r="C8073" s="3" t="s">
        <v>1390</v>
      </c>
      <c r="D8073" s="265">
        <v>1.0</v>
      </c>
      <c r="G8073" s="266">
        <v>43757.0</v>
      </c>
    </row>
    <row r="8074">
      <c r="A8074" s="217">
        <v>43760.644862800924</v>
      </c>
      <c r="B8074" s="3" t="s">
        <v>5092</v>
      </c>
      <c r="C8074" s="3" t="s">
        <v>1393</v>
      </c>
      <c r="D8074" s="265">
        <v>1.0</v>
      </c>
      <c r="G8074" s="266">
        <v>43757.0</v>
      </c>
    </row>
    <row r="8075">
      <c r="A8075" s="217">
        <v>43760.645421724534</v>
      </c>
      <c r="B8075" s="3" t="s">
        <v>5092</v>
      </c>
      <c r="C8075" s="3" t="s">
        <v>1395</v>
      </c>
      <c r="D8075" s="265">
        <v>1.0</v>
      </c>
      <c r="G8075" s="266">
        <v>43757.0</v>
      </c>
    </row>
    <row r="8076">
      <c r="A8076" s="217">
        <v>43760.64614600694</v>
      </c>
      <c r="B8076" s="3" t="s">
        <v>5092</v>
      </c>
      <c r="C8076" s="3" t="s">
        <v>9695</v>
      </c>
      <c r="D8076" s="265">
        <v>1.0</v>
      </c>
      <c r="G8076" s="266">
        <v>43757.0</v>
      </c>
    </row>
    <row r="8077">
      <c r="A8077" s="217">
        <v>43760.646902928245</v>
      </c>
      <c r="B8077" s="3" t="s">
        <v>5092</v>
      </c>
      <c r="C8077" s="3" t="s">
        <v>9696</v>
      </c>
      <c r="D8077" s="265">
        <v>1.0</v>
      </c>
      <c r="G8077" s="266">
        <v>43757.0</v>
      </c>
    </row>
    <row r="8078">
      <c r="A8078" s="217">
        <v>43760.6476985301</v>
      </c>
      <c r="B8078" s="3" t="s">
        <v>5092</v>
      </c>
      <c r="C8078" s="3" t="s">
        <v>8598</v>
      </c>
      <c r="D8078" s="265">
        <v>1.0</v>
      </c>
      <c r="G8078" s="266">
        <v>43757.0</v>
      </c>
    </row>
    <row r="8079">
      <c r="A8079" s="217">
        <v>43760.64852938657</v>
      </c>
      <c r="B8079" s="3" t="s">
        <v>5092</v>
      </c>
      <c r="C8079" s="3" t="s">
        <v>9697</v>
      </c>
      <c r="D8079" s="265">
        <v>1.0</v>
      </c>
      <c r="G8079" s="266">
        <v>43757.0</v>
      </c>
    </row>
    <row r="8080">
      <c r="A8080" s="217">
        <v>43760.64972133102</v>
      </c>
      <c r="B8080" s="3" t="s">
        <v>5092</v>
      </c>
      <c r="C8080" s="3" t="s">
        <v>9413</v>
      </c>
      <c r="D8080" s="265">
        <v>1.0</v>
      </c>
      <c r="G8080" s="266">
        <v>43757.0</v>
      </c>
    </row>
    <row r="8081">
      <c r="A8081" s="217">
        <v>43760.650451678244</v>
      </c>
      <c r="B8081" s="3" t="s">
        <v>5092</v>
      </c>
      <c r="C8081" s="3" t="s">
        <v>9698</v>
      </c>
      <c r="D8081" s="265">
        <v>1.0</v>
      </c>
      <c r="G8081" s="266">
        <v>43757.0</v>
      </c>
    </row>
    <row r="8082">
      <c r="A8082" s="217">
        <v>43760.652524062505</v>
      </c>
      <c r="B8082" s="3" t="s">
        <v>5092</v>
      </c>
      <c r="C8082" s="3" t="s">
        <v>9699</v>
      </c>
      <c r="D8082" s="265">
        <v>1.0</v>
      </c>
      <c r="G8082" s="266">
        <v>43757.0</v>
      </c>
    </row>
    <row r="8083">
      <c r="A8083" s="217">
        <v>43760.65357790509</v>
      </c>
      <c r="B8083" s="3" t="s">
        <v>5092</v>
      </c>
      <c r="C8083" s="3" t="s">
        <v>9700</v>
      </c>
      <c r="D8083" s="265">
        <v>1.0</v>
      </c>
      <c r="G8083" s="266">
        <v>43757.0</v>
      </c>
    </row>
    <row r="8084">
      <c r="A8084" s="217">
        <v>43760.654628958335</v>
      </c>
      <c r="B8084" s="3" t="s">
        <v>5092</v>
      </c>
      <c r="C8084" s="3" t="s">
        <v>9701</v>
      </c>
      <c r="D8084" s="265">
        <v>1.0</v>
      </c>
      <c r="G8084" s="266">
        <v>43757.0</v>
      </c>
    </row>
    <row r="8085">
      <c r="A8085" s="217">
        <v>43760.655213136575</v>
      </c>
      <c r="B8085" s="3" t="s">
        <v>5092</v>
      </c>
      <c r="C8085" s="3" t="s">
        <v>9702</v>
      </c>
      <c r="D8085" s="265">
        <v>1.0</v>
      </c>
      <c r="G8085" s="266">
        <v>43757.0</v>
      </c>
    </row>
    <row r="8086">
      <c r="A8086" s="217">
        <v>43760.656103692134</v>
      </c>
      <c r="B8086" s="3" t="s">
        <v>5092</v>
      </c>
      <c r="C8086" s="3" t="s">
        <v>9421</v>
      </c>
      <c r="D8086" s="265">
        <v>1.0</v>
      </c>
      <c r="G8086" s="266">
        <v>43757.0</v>
      </c>
    </row>
    <row r="8087">
      <c r="A8087" s="217">
        <v>43760.657258437495</v>
      </c>
      <c r="B8087" s="3" t="s">
        <v>5092</v>
      </c>
      <c r="C8087" s="3" t="s">
        <v>1722</v>
      </c>
      <c r="D8087" s="265">
        <v>2.0</v>
      </c>
      <c r="G8087" s="266">
        <v>43757.0</v>
      </c>
    </row>
    <row r="8088">
      <c r="A8088" s="217">
        <v>43760.65816402777</v>
      </c>
      <c r="B8088" s="3" t="s">
        <v>5092</v>
      </c>
      <c r="C8088" s="3" t="s">
        <v>1722</v>
      </c>
      <c r="D8088" s="265">
        <v>1.0</v>
      </c>
      <c r="G8088" s="266">
        <v>43757.0</v>
      </c>
    </row>
    <row r="8089">
      <c r="A8089" s="217">
        <v>43760.6589565162</v>
      </c>
      <c r="B8089" s="3" t="s">
        <v>5092</v>
      </c>
      <c r="C8089" s="3" t="s">
        <v>1772</v>
      </c>
      <c r="D8089" s="265">
        <v>1.0</v>
      </c>
      <c r="G8089" s="266">
        <v>43757.0</v>
      </c>
    </row>
    <row r="8090">
      <c r="A8090" s="217">
        <v>43760.65985023148</v>
      </c>
      <c r="B8090" s="3" t="s">
        <v>5092</v>
      </c>
      <c r="C8090" s="3" t="s">
        <v>1776</v>
      </c>
      <c r="D8090" s="265">
        <v>1.0</v>
      </c>
      <c r="G8090" s="266">
        <v>43757.0</v>
      </c>
    </row>
    <row r="8091">
      <c r="A8091" s="217">
        <v>43760.66057461806</v>
      </c>
      <c r="B8091" s="3" t="s">
        <v>5092</v>
      </c>
      <c r="C8091" s="3" t="s">
        <v>9703</v>
      </c>
      <c r="D8091" s="265">
        <v>1.0</v>
      </c>
      <c r="G8091" s="266">
        <v>43757.0</v>
      </c>
    </row>
    <row r="8092">
      <c r="A8092" s="217">
        <v>43760.661508564815</v>
      </c>
      <c r="B8092" s="3" t="s">
        <v>5092</v>
      </c>
      <c r="C8092" s="3" t="s">
        <v>9704</v>
      </c>
      <c r="D8092" s="265">
        <v>1.0</v>
      </c>
      <c r="G8092" s="266">
        <v>43757.0</v>
      </c>
    </row>
    <row r="8093">
      <c r="A8093" s="217">
        <v>43760.662489166665</v>
      </c>
      <c r="B8093" s="3" t="s">
        <v>5092</v>
      </c>
      <c r="C8093" s="3" t="s">
        <v>9705</v>
      </c>
      <c r="D8093" s="265">
        <v>1.0</v>
      </c>
      <c r="G8093" s="266">
        <v>43757.0</v>
      </c>
    </row>
    <row r="8094">
      <c r="A8094" s="217">
        <v>43760.668728703706</v>
      </c>
      <c r="B8094" s="3" t="s">
        <v>5092</v>
      </c>
      <c r="C8094" s="3" t="s">
        <v>2104</v>
      </c>
      <c r="D8094" s="265">
        <v>1.0</v>
      </c>
      <c r="G8094" s="266">
        <v>43757.0</v>
      </c>
    </row>
    <row r="8095">
      <c r="A8095" s="217">
        <v>43760.67020228009</v>
      </c>
      <c r="B8095" s="3" t="s">
        <v>5092</v>
      </c>
      <c r="C8095" s="3" t="s">
        <v>2104</v>
      </c>
      <c r="D8095" s="265">
        <v>2.0</v>
      </c>
      <c r="G8095" s="266">
        <v>43757.0</v>
      </c>
    </row>
    <row r="8096">
      <c r="A8096" s="217">
        <v>43760.671401238425</v>
      </c>
      <c r="B8096" s="3" t="s">
        <v>5092</v>
      </c>
      <c r="C8096" s="3" t="s">
        <v>9706</v>
      </c>
      <c r="D8096" s="265">
        <v>1.0</v>
      </c>
      <c r="G8096" s="266">
        <v>43757.0</v>
      </c>
    </row>
    <row r="8097">
      <c r="A8097" s="217">
        <v>43760.673255393514</v>
      </c>
      <c r="B8097" s="3" t="s">
        <v>5092</v>
      </c>
      <c r="C8097" s="3" t="s">
        <v>2138</v>
      </c>
      <c r="D8097" s="265">
        <v>1.0</v>
      </c>
      <c r="G8097" s="266">
        <v>43757.0</v>
      </c>
    </row>
    <row r="8098">
      <c r="A8098" s="217">
        <v>43760.67839512731</v>
      </c>
      <c r="B8098" s="3" t="s">
        <v>5092</v>
      </c>
      <c r="C8098" s="3" t="s">
        <v>6339</v>
      </c>
      <c r="D8098" s="265">
        <v>3.0</v>
      </c>
      <c r="G8098" s="266">
        <v>43757.0</v>
      </c>
    </row>
    <row r="8099">
      <c r="A8099" s="217">
        <v>43760.67921596065</v>
      </c>
      <c r="B8099" s="3" t="s">
        <v>5092</v>
      </c>
      <c r="C8099" s="3" t="s">
        <v>9707</v>
      </c>
      <c r="D8099" s="265">
        <v>2.0</v>
      </c>
      <c r="G8099" s="266">
        <v>43757.0</v>
      </c>
    </row>
    <row r="8100">
      <c r="A8100" s="217">
        <v>43760.68060453703</v>
      </c>
      <c r="B8100" s="3" t="s">
        <v>5092</v>
      </c>
      <c r="C8100" s="3" t="s">
        <v>2270</v>
      </c>
      <c r="D8100" s="265">
        <v>1.0</v>
      </c>
      <c r="G8100" s="266">
        <v>43757.0</v>
      </c>
    </row>
    <row r="8101">
      <c r="A8101" s="217">
        <v>43760.681783402775</v>
      </c>
      <c r="B8101" s="3" t="s">
        <v>5092</v>
      </c>
      <c r="C8101" s="3" t="s">
        <v>2755</v>
      </c>
      <c r="D8101" s="265">
        <v>2.0</v>
      </c>
      <c r="G8101" s="266">
        <v>43757.0</v>
      </c>
    </row>
    <row r="8102">
      <c r="A8102" s="217">
        <v>43760.68267141204</v>
      </c>
      <c r="B8102" s="3" t="s">
        <v>5092</v>
      </c>
      <c r="C8102" s="3" t="s">
        <v>5391</v>
      </c>
      <c r="D8102" s="265">
        <v>2.0</v>
      </c>
      <c r="G8102" s="266">
        <v>43757.0</v>
      </c>
    </row>
    <row r="8103">
      <c r="A8103" s="217">
        <v>43760.683358622686</v>
      </c>
      <c r="B8103" s="3" t="s">
        <v>5092</v>
      </c>
      <c r="C8103" s="3" t="s">
        <v>9708</v>
      </c>
      <c r="D8103" s="265">
        <v>2.0</v>
      </c>
      <c r="G8103" s="266">
        <v>43757.0</v>
      </c>
    </row>
    <row r="8104">
      <c r="A8104" s="217">
        <v>43760.684732905094</v>
      </c>
      <c r="B8104" s="3" t="s">
        <v>5092</v>
      </c>
      <c r="C8104" s="3" t="s">
        <v>4826</v>
      </c>
      <c r="D8104" s="265">
        <v>2.0</v>
      </c>
      <c r="G8104" s="266">
        <v>43757.0</v>
      </c>
    </row>
    <row r="8105">
      <c r="A8105" s="217">
        <v>43760.68569320602</v>
      </c>
      <c r="B8105" s="3" t="s">
        <v>5092</v>
      </c>
      <c r="C8105" s="3" t="s">
        <v>4851</v>
      </c>
      <c r="D8105" s="265">
        <v>2.0</v>
      </c>
      <c r="G8105" s="266">
        <v>43757.0</v>
      </c>
    </row>
    <row r="8106">
      <c r="A8106" s="217">
        <v>43760.687166620366</v>
      </c>
      <c r="B8106" s="3" t="s">
        <v>5092</v>
      </c>
      <c r="C8106" s="3" t="s">
        <v>1334</v>
      </c>
      <c r="D8106" s="265">
        <v>2.0</v>
      </c>
      <c r="G8106" s="266">
        <v>43757.0</v>
      </c>
    </row>
    <row r="8107">
      <c r="A8107" s="217">
        <v>43760.695653946765</v>
      </c>
      <c r="B8107" s="3" t="s">
        <v>5092</v>
      </c>
      <c r="C8107" s="3" t="s">
        <v>1359</v>
      </c>
      <c r="D8107" s="265">
        <v>2.0</v>
      </c>
      <c r="G8107" s="266">
        <v>43757.0</v>
      </c>
    </row>
    <row r="8108">
      <c r="A8108" s="217">
        <v>43760.69664391204</v>
      </c>
      <c r="B8108" s="3" t="s">
        <v>5092</v>
      </c>
      <c r="C8108" s="3" t="s">
        <v>9709</v>
      </c>
      <c r="D8108" s="265">
        <v>2.0</v>
      </c>
      <c r="G8108" s="266">
        <v>43757.0</v>
      </c>
    </row>
    <row r="8109">
      <c r="A8109" s="217">
        <v>43760.697151064815</v>
      </c>
      <c r="B8109" s="3" t="s">
        <v>5092</v>
      </c>
      <c r="C8109" s="3" t="s">
        <v>9710</v>
      </c>
      <c r="D8109" s="265">
        <v>2.0</v>
      </c>
      <c r="G8109" s="266">
        <v>43757.0</v>
      </c>
    </row>
    <row r="8110">
      <c r="A8110" s="217">
        <v>43760.69807211806</v>
      </c>
      <c r="B8110" s="3" t="s">
        <v>5092</v>
      </c>
      <c r="C8110" s="3" t="s">
        <v>1389</v>
      </c>
      <c r="D8110" s="265">
        <v>2.0</v>
      </c>
      <c r="G8110" s="266">
        <v>43757.0</v>
      </c>
    </row>
    <row r="8111">
      <c r="A8111" s="217">
        <v>43760.69882609954</v>
      </c>
      <c r="B8111" s="3" t="s">
        <v>5092</v>
      </c>
      <c r="C8111" s="3" t="s">
        <v>725</v>
      </c>
      <c r="D8111" s="265">
        <v>3.0</v>
      </c>
      <c r="G8111" s="266">
        <v>43757.0</v>
      </c>
    </row>
    <row r="8112">
      <c r="A8112" s="217">
        <v>43760.69970939815</v>
      </c>
      <c r="B8112" s="3" t="s">
        <v>5092</v>
      </c>
      <c r="C8112" s="3" t="s">
        <v>5868</v>
      </c>
      <c r="D8112" s="265">
        <v>3.0</v>
      </c>
      <c r="G8112" s="266">
        <v>43757.0</v>
      </c>
    </row>
    <row r="8113">
      <c r="A8113" s="217">
        <v>43760.700496875</v>
      </c>
      <c r="B8113" s="3" t="s">
        <v>5092</v>
      </c>
      <c r="C8113" s="3" t="s">
        <v>1446</v>
      </c>
      <c r="D8113" s="265">
        <v>2.0</v>
      </c>
      <c r="G8113" s="266">
        <v>43757.0</v>
      </c>
    </row>
    <row r="8114">
      <c r="A8114" s="217">
        <v>43760.70149619213</v>
      </c>
      <c r="B8114" s="3" t="s">
        <v>5092</v>
      </c>
      <c r="C8114" s="3" t="s">
        <v>5282</v>
      </c>
      <c r="D8114" s="265">
        <v>2.0</v>
      </c>
      <c r="G8114" s="266">
        <v>43757.0</v>
      </c>
    </row>
    <row r="8115">
      <c r="A8115" s="217">
        <v>43760.702414189815</v>
      </c>
      <c r="B8115" s="3" t="s">
        <v>5092</v>
      </c>
      <c r="C8115" s="3" t="s">
        <v>1724</v>
      </c>
      <c r="D8115" s="265">
        <v>2.0</v>
      </c>
      <c r="G8115" s="266">
        <v>43757.0</v>
      </c>
    </row>
    <row r="8116">
      <c r="A8116" s="217">
        <v>43760.70318445602</v>
      </c>
      <c r="B8116" s="3" t="s">
        <v>5092</v>
      </c>
      <c r="C8116" s="3" t="s">
        <v>9711</v>
      </c>
      <c r="D8116" s="265">
        <v>2.0</v>
      </c>
      <c r="G8116" s="266">
        <v>43757.0</v>
      </c>
    </row>
    <row r="8117">
      <c r="A8117" s="217">
        <v>43760.70393192129</v>
      </c>
      <c r="B8117" s="3" t="s">
        <v>5092</v>
      </c>
      <c r="C8117" s="3" t="s">
        <v>9712</v>
      </c>
      <c r="D8117" s="265">
        <v>2.0</v>
      </c>
      <c r="G8117" s="266">
        <v>43757.0</v>
      </c>
    </row>
    <row r="8118">
      <c r="A8118" s="217">
        <v>43760.704944930556</v>
      </c>
      <c r="B8118" s="3" t="s">
        <v>5092</v>
      </c>
      <c r="C8118" s="3" t="s">
        <v>5493</v>
      </c>
      <c r="D8118" s="265">
        <v>2.0</v>
      </c>
      <c r="G8118" s="266">
        <v>43757.0</v>
      </c>
    </row>
    <row r="8119">
      <c r="A8119" s="217">
        <v>43760.705849039354</v>
      </c>
      <c r="B8119" s="3" t="s">
        <v>5092</v>
      </c>
      <c r="C8119" s="3" t="s">
        <v>9713</v>
      </c>
      <c r="D8119" s="265">
        <v>2.0</v>
      </c>
      <c r="G8119" s="266">
        <v>43757.0</v>
      </c>
    </row>
    <row r="8120">
      <c r="A8120" s="217">
        <v>43760.706591979164</v>
      </c>
      <c r="B8120" s="3" t="s">
        <v>5092</v>
      </c>
      <c r="C8120" s="3" t="s">
        <v>6319</v>
      </c>
      <c r="D8120" s="265">
        <v>2.0</v>
      </c>
      <c r="G8120" s="266">
        <v>43757.0</v>
      </c>
    </row>
    <row r="8121">
      <c r="A8121" s="217">
        <v>43760.707200624995</v>
      </c>
      <c r="B8121" s="3" t="s">
        <v>5092</v>
      </c>
      <c r="C8121" s="3" t="s">
        <v>2159</v>
      </c>
      <c r="D8121" s="265">
        <v>4.0</v>
      </c>
      <c r="G8121" s="266">
        <v>43757.0</v>
      </c>
    </row>
    <row r="8122">
      <c r="A8122" s="217">
        <v>43760.707955474536</v>
      </c>
      <c r="B8122" s="3" t="s">
        <v>5092</v>
      </c>
      <c r="C8122" s="3" t="s">
        <v>5373</v>
      </c>
      <c r="D8122" s="265">
        <v>1.0</v>
      </c>
      <c r="G8122" s="266">
        <v>43757.0</v>
      </c>
    </row>
    <row r="8123">
      <c r="A8123" s="217">
        <v>43760.708678553245</v>
      </c>
      <c r="B8123" s="3" t="s">
        <v>5092</v>
      </c>
      <c r="C8123" s="3" t="s">
        <v>5368</v>
      </c>
      <c r="D8123" s="265">
        <v>1.0</v>
      </c>
      <c r="G8123" s="266">
        <v>43757.0</v>
      </c>
    </row>
    <row r="8124">
      <c r="A8124" s="217">
        <v>43760.70943086805</v>
      </c>
      <c r="B8124" s="3" t="s">
        <v>5092</v>
      </c>
      <c r="C8124" s="3" t="s">
        <v>1037</v>
      </c>
      <c r="D8124" s="265">
        <v>1.0</v>
      </c>
      <c r="G8124" s="266">
        <v>43757.0</v>
      </c>
    </row>
    <row r="8125">
      <c r="A8125" s="217">
        <v>43760.71012712963</v>
      </c>
      <c r="B8125" s="3" t="s">
        <v>5092</v>
      </c>
      <c r="C8125" s="3" t="s">
        <v>1035</v>
      </c>
      <c r="D8125" s="265">
        <v>1.0</v>
      </c>
      <c r="G8125" s="266">
        <v>43757.0</v>
      </c>
    </row>
    <row r="8126">
      <c r="A8126" s="217">
        <v>43760.71105287037</v>
      </c>
      <c r="B8126" s="3" t="s">
        <v>5092</v>
      </c>
      <c r="C8126" s="3" t="s">
        <v>5370</v>
      </c>
      <c r="D8126" s="265">
        <v>1.0</v>
      </c>
      <c r="G8126" s="266">
        <v>43757.0</v>
      </c>
    </row>
    <row r="8127">
      <c r="A8127" s="217">
        <v>43760.71179880787</v>
      </c>
      <c r="B8127" s="3" t="s">
        <v>5092</v>
      </c>
      <c r="C8127" s="3" t="s">
        <v>5364</v>
      </c>
      <c r="D8127" s="265">
        <v>1.0</v>
      </c>
      <c r="G8127" s="266">
        <v>43757.0</v>
      </c>
    </row>
    <row r="8128">
      <c r="A8128" s="217">
        <v>43760.712318136575</v>
      </c>
      <c r="B8128" s="3" t="s">
        <v>5092</v>
      </c>
      <c r="C8128" s="3" t="s">
        <v>5375</v>
      </c>
      <c r="D8128" s="265">
        <v>1.0</v>
      </c>
      <c r="G8128" s="266">
        <v>43757.0</v>
      </c>
    </row>
    <row r="8129">
      <c r="A8129" s="217">
        <v>43760.71295515046</v>
      </c>
      <c r="B8129" s="3" t="s">
        <v>5092</v>
      </c>
      <c r="C8129" s="3" t="s">
        <v>6141</v>
      </c>
      <c r="D8129" s="265">
        <v>1.0</v>
      </c>
      <c r="G8129" s="266">
        <v>43757.0</v>
      </c>
    </row>
    <row r="8130">
      <c r="A8130" s="217">
        <v>43760.714032476855</v>
      </c>
      <c r="B8130" s="3" t="s">
        <v>5092</v>
      </c>
      <c r="C8130" s="3" t="s">
        <v>6843</v>
      </c>
      <c r="D8130" s="265">
        <v>1.0</v>
      </c>
      <c r="G8130" s="266">
        <v>43757.0</v>
      </c>
    </row>
    <row r="8131">
      <c r="A8131" s="217">
        <v>43760.7650984375</v>
      </c>
      <c r="B8131" s="3" t="s">
        <v>5092</v>
      </c>
      <c r="C8131" s="3" t="s">
        <v>6053</v>
      </c>
      <c r="D8131" s="265">
        <v>53.0</v>
      </c>
      <c r="E8131" s="3">
        <v>300.0</v>
      </c>
      <c r="G8131" s="266">
        <v>43760.0</v>
      </c>
    </row>
    <row r="8132">
      <c r="A8132" s="217">
        <v>43760.76569771991</v>
      </c>
      <c r="B8132" s="3" t="s">
        <v>5092</v>
      </c>
      <c r="C8132" s="3" t="s">
        <v>6053</v>
      </c>
      <c r="D8132" s="265">
        <v>8.0</v>
      </c>
      <c r="E8132" s="3">
        <v>300.0</v>
      </c>
      <c r="G8132" s="266">
        <v>43760.0</v>
      </c>
    </row>
    <row r="8133">
      <c r="A8133" s="217">
        <v>43760.76636565972</v>
      </c>
      <c r="B8133" s="3" t="s">
        <v>5092</v>
      </c>
      <c r="C8133" s="3" t="s">
        <v>6053</v>
      </c>
      <c r="D8133" s="265">
        <v>48.0</v>
      </c>
      <c r="E8133" s="3">
        <v>300.0</v>
      </c>
      <c r="G8133" s="266">
        <v>43760.0</v>
      </c>
    </row>
    <row r="8134">
      <c r="A8134" s="217">
        <v>43760.76704074074</v>
      </c>
      <c r="B8134" s="3" t="s">
        <v>5092</v>
      </c>
      <c r="C8134" s="3" t="s">
        <v>9529</v>
      </c>
      <c r="D8134" s="265">
        <v>40.0</v>
      </c>
      <c r="E8134" s="3">
        <v>600.0</v>
      </c>
      <c r="G8134" s="266">
        <v>43760.0</v>
      </c>
    </row>
    <row r="8135">
      <c r="A8135" s="217">
        <v>43760.76770519676</v>
      </c>
      <c r="B8135" s="3" t="s">
        <v>5092</v>
      </c>
      <c r="C8135" s="3" t="s">
        <v>6053</v>
      </c>
      <c r="D8135" s="265">
        <v>10.0</v>
      </c>
      <c r="E8135" s="3">
        <v>300.0</v>
      </c>
      <c r="G8135" s="266">
        <v>43760.0</v>
      </c>
    </row>
    <row r="8136">
      <c r="A8136" s="217">
        <v>43760.7682003125</v>
      </c>
      <c r="B8136" s="3" t="s">
        <v>5092</v>
      </c>
      <c r="C8136" s="3" t="s">
        <v>284</v>
      </c>
      <c r="D8136" s="265">
        <v>4.0</v>
      </c>
      <c r="E8136" s="3">
        <v>500.0</v>
      </c>
      <c r="G8136" s="266">
        <v>43760.0</v>
      </c>
    </row>
    <row r="8137">
      <c r="A8137" s="217">
        <v>43760.76868591435</v>
      </c>
      <c r="B8137" s="3" t="s">
        <v>5092</v>
      </c>
      <c r="C8137" s="3" t="s">
        <v>284</v>
      </c>
      <c r="D8137" s="265">
        <v>32.0</v>
      </c>
      <c r="E8137" s="3">
        <v>500.0</v>
      </c>
      <c r="G8137" s="266">
        <v>43760.0</v>
      </c>
    </row>
    <row r="8138">
      <c r="A8138" s="217">
        <v>43761.59991379629</v>
      </c>
      <c r="B8138" s="3" t="s">
        <v>5092</v>
      </c>
      <c r="C8138" s="3" t="s">
        <v>9715</v>
      </c>
      <c r="D8138" s="265">
        <v>1.0</v>
      </c>
      <c r="G8138" s="266">
        <v>43757.0</v>
      </c>
    </row>
    <row r="8139">
      <c r="A8139" s="217">
        <v>43761.600715555556</v>
      </c>
      <c r="B8139" s="3" t="s">
        <v>5092</v>
      </c>
      <c r="C8139" s="3" t="s">
        <v>4519</v>
      </c>
      <c r="D8139" s="265">
        <v>1.0</v>
      </c>
      <c r="G8139" s="266">
        <v>43757.0</v>
      </c>
    </row>
    <row r="8140">
      <c r="A8140" s="217">
        <v>43761.60154916666</v>
      </c>
      <c r="B8140" s="3" t="s">
        <v>5092</v>
      </c>
      <c r="C8140" s="3" t="s">
        <v>4541</v>
      </c>
      <c r="D8140" s="265">
        <v>1.0</v>
      </c>
      <c r="G8140" s="266">
        <v>43757.0</v>
      </c>
    </row>
    <row r="8141">
      <c r="A8141" s="217">
        <v>43761.60249952546</v>
      </c>
      <c r="B8141" s="3" t="s">
        <v>5092</v>
      </c>
      <c r="C8141" s="3" t="s">
        <v>4760</v>
      </c>
      <c r="D8141" s="265">
        <v>1.0</v>
      </c>
      <c r="G8141" s="266">
        <v>43757.0</v>
      </c>
    </row>
    <row r="8142">
      <c r="A8142" s="217">
        <v>43761.603526238425</v>
      </c>
      <c r="B8142" s="3" t="s">
        <v>5092</v>
      </c>
      <c r="C8142" s="3" t="s">
        <v>9716</v>
      </c>
      <c r="D8142" s="265">
        <v>1.0</v>
      </c>
      <c r="G8142" s="266">
        <v>43757.0</v>
      </c>
    </row>
    <row r="8143">
      <c r="A8143" s="217">
        <v>43761.60469638889</v>
      </c>
      <c r="B8143" s="3" t="s">
        <v>5092</v>
      </c>
      <c r="C8143" s="3" t="s">
        <v>9717</v>
      </c>
      <c r="D8143" s="265">
        <v>1.0</v>
      </c>
      <c r="G8143" s="266">
        <v>43757.0</v>
      </c>
    </row>
    <row r="8144">
      <c r="A8144" s="217">
        <v>43761.60597453704</v>
      </c>
      <c r="B8144" s="3" t="s">
        <v>5092</v>
      </c>
      <c r="C8144" s="3" t="s">
        <v>9718</v>
      </c>
      <c r="D8144" s="265">
        <v>1.0</v>
      </c>
      <c r="G8144" s="266">
        <v>43757.0</v>
      </c>
    </row>
    <row r="8145">
      <c r="A8145" s="217">
        <v>43761.60709153935</v>
      </c>
      <c r="B8145" s="3" t="s">
        <v>5092</v>
      </c>
      <c r="C8145" s="3" t="s">
        <v>1269</v>
      </c>
      <c r="D8145" s="265">
        <v>1.0</v>
      </c>
      <c r="G8145" s="266">
        <v>43757.0</v>
      </c>
    </row>
    <row r="8146">
      <c r="A8146" s="217">
        <v>43761.60807040509</v>
      </c>
      <c r="B8146" s="3" t="s">
        <v>5092</v>
      </c>
      <c r="C8146" s="3" t="s">
        <v>1271</v>
      </c>
      <c r="D8146" s="265">
        <v>1.0</v>
      </c>
      <c r="G8146" s="266">
        <v>43757.0</v>
      </c>
    </row>
    <row r="8147">
      <c r="A8147" s="217">
        <v>43761.60895130787</v>
      </c>
      <c r="B8147" s="3" t="s">
        <v>5092</v>
      </c>
      <c r="C8147" s="3" t="s">
        <v>9456</v>
      </c>
      <c r="D8147" s="265">
        <v>1.0</v>
      </c>
      <c r="G8147" s="266">
        <v>43757.0</v>
      </c>
    </row>
    <row r="8148">
      <c r="A8148" s="217">
        <v>43761.60957207176</v>
      </c>
      <c r="B8148" s="3" t="s">
        <v>5092</v>
      </c>
      <c r="C8148" s="3" t="s">
        <v>9719</v>
      </c>
      <c r="D8148" s="265">
        <v>1.0</v>
      </c>
      <c r="G8148" s="266">
        <v>43757.0</v>
      </c>
    </row>
    <row r="8149">
      <c r="A8149" s="217">
        <v>43761.61054329861</v>
      </c>
      <c r="B8149" s="3" t="s">
        <v>5092</v>
      </c>
      <c r="C8149" s="3" t="s">
        <v>9720</v>
      </c>
      <c r="D8149" s="265">
        <v>1.0</v>
      </c>
      <c r="G8149" s="266">
        <v>43757.0</v>
      </c>
    </row>
    <row r="8150">
      <c r="A8150" s="217">
        <v>43761.61125420139</v>
      </c>
      <c r="B8150" s="3" t="s">
        <v>5092</v>
      </c>
      <c r="C8150" s="3" t="s">
        <v>4899</v>
      </c>
      <c r="D8150" s="265">
        <v>1.0</v>
      </c>
      <c r="G8150" s="266">
        <v>43757.0</v>
      </c>
    </row>
    <row r="8151">
      <c r="A8151" s="217">
        <v>43761.612036875</v>
      </c>
      <c r="B8151" s="3" t="s">
        <v>5092</v>
      </c>
      <c r="C8151" s="3" t="s">
        <v>4901</v>
      </c>
      <c r="D8151" s="265">
        <v>1.0</v>
      </c>
      <c r="G8151" s="266">
        <v>43757.0</v>
      </c>
    </row>
    <row r="8152">
      <c r="A8152" s="217">
        <v>43761.61283641204</v>
      </c>
      <c r="B8152" s="3" t="s">
        <v>5092</v>
      </c>
      <c r="C8152" s="3" t="s">
        <v>1274</v>
      </c>
      <c r="D8152" s="265">
        <v>1.0</v>
      </c>
      <c r="G8152" s="266">
        <v>43757.0</v>
      </c>
    </row>
    <row r="8153">
      <c r="A8153" s="217">
        <v>43761.61369462963</v>
      </c>
      <c r="B8153" s="3" t="s">
        <v>5092</v>
      </c>
      <c r="C8153" s="3" t="s">
        <v>9721</v>
      </c>
      <c r="D8153" s="265">
        <v>1.0</v>
      </c>
      <c r="G8153" s="266">
        <v>43757.0</v>
      </c>
    </row>
    <row r="8154">
      <c r="A8154" s="217">
        <v>43761.61526333333</v>
      </c>
      <c r="B8154" s="3" t="s">
        <v>5092</v>
      </c>
      <c r="C8154" s="3" t="s">
        <v>9722</v>
      </c>
      <c r="D8154" s="265">
        <v>1.0</v>
      </c>
      <c r="G8154" s="266">
        <v>43757.0</v>
      </c>
    </row>
    <row r="8155">
      <c r="A8155" s="217">
        <v>43761.61606435185</v>
      </c>
      <c r="B8155" s="3" t="s">
        <v>5092</v>
      </c>
      <c r="C8155" s="3" t="s">
        <v>9535</v>
      </c>
      <c r="D8155" s="265">
        <v>1.0</v>
      </c>
      <c r="G8155" s="266">
        <v>43757.0</v>
      </c>
    </row>
    <row r="8156">
      <c r="A8156" s="217">
        <v>43761.627958067125</v>
      </c>
      <c r="B8156" s="3" t="s">
        <v>5092</v>
      </c>
      <c r="C8156" s="3" t="s">
        <v>5015</v>
      </c>
      <c r="D8156" s="265">
        <v>1.0</v>
      </c>
      <c r="G8156" s="266">
        <v>43757.0</v>
      </c>
    </row>
    <row r="8157">
      <c r="A8157" s="217">
        <v>43762.437627060186</v>
      </c>
      <c r="B8157" s="3" t="s">
        <v>5092</v>
      </c>
      <c r="C8157" s="3" t="s">
        <v>9723</v>
      </c>
      <c r="D8157" s="265">
        <v>1.0</v>
      </c>
      <c r="G8157" s="266">
        <v>43757.0</v>
      </c>
    </row>
    <row r="8158">
      <c r="A8158" s="217">
        <v>43762.43791930555</v>
      </c>
      <c r="B8158" s="3" t="s">
        <v>5092</v>
      </c>
      <c r="C8158" s="3" t="s">
        <v>9724</v>
      </c>
      <c r="D8158" s="265">
        <v>1.0</v>
      </c>
      <c r="G8158" s="266">
        <v>43757.0</v>
      </c>
    </row>
    <row r="8159">
      <c r="A8159" s="217">
        <v>43762.4382265162</v>
      </c>
      <c r="B8159" s="3" t="s">
        <v>5092</v>
      </c>
      <c r="C8159" s="3" t="s">
        <v>9725</v>
      </c>
      <c r="D8159" s="265">
        <v>1.0</v>
      </c>
      <c r="G8159" s="266">
        <v>43757.0</v>
      </c>
    </row>
    <row r="8160">
      <c r="A8160" s="217">
        <v>43762.43848435185</v>
      </c>
      <c r="B8160" s="3" t="s">
        <v>5092</v>
      </c>
      <c r="C8160" s="3" t="s">
        <v>9726</v>
      </c>
      <c r="D8160" s="265">
        <v>1.0</v>
      </c>
      <c r="G8160" s="266">
        <v>43757.0</v>
      </c>
    </row>
    <row r="8161">
      <c r="A8161" s="217">
        <v>43762.43878409722</v>
      </c>
      <c r="B8161" s="3" t="s">
        <v>5092</v>
      </c>
      <c r="C8161" s="3" t="s">
        <v>9727</v>
      </c>
      <c r="D8161" s="265">
        <v>1.0</v>
      </c>
      <c r="G8161" s="266">
        <v>43757.0</v>
      </c>
    </row>
    <row r="8162">
      <c r="A8162" s="217">
        <v>43762.43908966435</v>
      </c>
      <c r="B8162" s="3" t="s">
        <v>5092</v>
      </c>
      <c r="C8162" s="3" t="s">
        <v>9728</v>
      </c>
      <c r="D8162" s="265">
        <v>1.0</v>
      </c>
      <c r="G8162" s="266">
        <v>43757.0</v>
      </c>
    </row>
    <row r="8163">
      <c r="A8163" s="217">
        <v>43762.44106116898</v>
      </c>
      <c r="B8163" s="3" t="s">
        <v>5092</v>
      </c>
      <c r="C8163" s="3" t="s">
        <v>9729</v>
      </c>
      <c r="D8163" s="265">
        <v>1.0</v>
      </c>
      <c r="G8163" s="266">
        <v>43757.0</v>
      </c>
    </row>
    <row r="8164">
      <c r="A8164" s="217">
        <v>43762.44138502315</v>
      </c>
      <c r="B8164" s="3" t="s">
        <v>5092</v>
      </c>
      <c r="C8164" s="3" t="s">
        <v>9730</v>
      </c>
      <c r="D8164" s="265">
        <v>1.0</v>
      </c>
      <c r="G8164" s="266">
        <v>43757.0</v>
      </c>
    </row>
    <row r="8165">
      <c r="A8165" s="217">
        <v>43762.44168451389</v>
      </c>
      <c r="B8165" s="3" t="s">
        <v>5092</v>
      </c>
      <c r="C8165" s="3" t="s">
        <v>9731</v>
      </c>
      <c r="D8165" s="265">
        <v>1.0</v>
      </c>
      <c r="G8165" s="266">
        <v>43757.0</v>
      </c>
    </row>
    <row r="8166">
      <c r="A8166" s="217">
        <v>43762.44201096064</v>
      </c>
      <c r="B8166" s="3" t="s">
        <v>5092</v>
      </c>
      <c r="C8166" s="3" t="s">
        <v>9732</v>
      </c>
      <c r="D8166" s="265">
        <v>1.0</v>
      </c>
      <c r="G8166" s="266">
        <v>43757.0</v>
      </c>
    </row>
    <row r="8167">
      <c r="A8167" s="217">
        <v>43762.44230038194</v>
      </c>
      <c r="B8167" s="3" t="s">
        <v>5092</v>
      </c>
      <c r="C8167" s="3" t="s">
        <v>9733</v>
      </c>
      <c r="D8167" s="265">
        <v>1.0</v>
      </c>
      <c r="G8167" s="266">
        <v>43757.0</v>
      </c>
    </row>
    <row r="8168">
      <c r="A8168" s="217">
        <v>43762.44256328704</v>
      </c>
      <c r="B8168" s="3" t="s">
        <v>5092</v>
      </c>
      <c r="C8168" s="3" t="s">
        <v>9734</v>
      </c>
      <c r="D8168" s="265">
        <v>1.0</v>
      </c>
      <c r="G8168" s="266">
        <v>43757.0</v>
      </c>
    </row>
    <row r="8169">
      <c r="A8169" s="217">
        <v>43762.44281101852</v>
      </c>
      <c r="B8169" s="3" t="s">
        <v>5092</v>
      </c>
      <c r="C8169" s="3" t="s">
        <v>9735</v>
      </c>
      <c r="D8169" s="265">
        <v>1.0</v>
      </c>
      <c r="G8169" s="266">
        <v>43757.0</v>
      </c>
    </row>
    <row r="8170">
      <c r="A8170" s="217">
        <v>43762.443124791665</v>
      </c>
      <c r="B8170" s="3" t="s">
        <v>5092</v>
      </c>
      <c r="C8170" s="3" t="s">
        <v>9736</v>
      </c>
      <c r="D8170" s="265">
        <v>1.0</v>
      </c>
      <c r="G8170" s="266">
        <v>43757.0</v>
      </c>
    </row>
    <row r="8171">
      <c r="A8171" s="217">
        <v>43762.44337692129</v>
      </c>
      <c r="B8171" s="3" t="s">
        <v>5092</v>
      </c>
      <c r="C8171" s="3" t="s">
        <v>9737</v>
      </c>
      <c r="D8171" s="265">
        <v>1.0</v>
      </c>
      <c r="G8171" s="266">
        <v>43757.0</v>
      </c>
    </row>
    <row r="8172">
      <c r="A8172" s="217">
        <v>43762.44396488426</v>
      </c>
      <c r="B8172" s="3" t="s">
        <v>5092</v>
      </c>
      <c r="C8172" s="3" t="s">
        <v>9738</v>
      </c>
      <c r="D8172" s="265">
        <v>1.0</v>
      </c>
      <c r="G8172" s="266">
        <v>43757.0</v>
      </c>
    </row>
    <row r="8173">
      <c r="A8173" s="217">
        <v>43762.44366434027</v>
      </c>
      <c r="B8173" s="3" t="s">
        <v>5092</v>
      </c>
      <c r="C8173" s="3" t="s">
        <v>9739</v>
      </c>
      <c r="D8173" s="265">
        <v>1.0</v>
      </c>
      <c r="G8173" s="266">
        <v>43757.0</v>
      </c>
    </row>
    <row r="8174">
      <c r="A8174" s="217">
        <v>43762.444217337965</v>
      </c>
      <c r="B8174" s="3" t="s">
        <v>5092</v>
      </c>
      <c r="C8174" s="3" t="s">
        <v>9740</v>
      </c>
      <c r="D8174" s="265">
        <v>1.0</v>
      </c>
      <c r="G8174" s="266">
        <v>43757.0</v>
      </c>
    </row>
    <row r="8175">
      <c r="A8175" s="217">
        <v>43762.44462717592</v>
      </c>
      <c r="B8175" s="3" t="s">
        <v>5092</v>
      </c>
      <c r="C8175" s="3" t="s">
        <v>9741</v>
      </c>
      <c r="D8175" s="265">
        <v>1.0</v>
      </c>
      <c r="G8175" s="266">
        <v>43757.0</v>
      </c>
    </row>
    <row r="8176">
      <c r="A8176" s="217">
        <v>43762.444892025465</v>
      </c>
      <c r="B8176" s="3" t="s">
        <v>5092</v>
      </c>
      <c r="C8176" s="3" t="s">
        <v>9742</v>
      </c>
      <c r="D8176" s="265">
        <v>1.0</v>
      </c>
      <c r="G8176" s="266">
        <v>43757.0</v>
      </c>
    </row>
    <row r="8177">
      <c r="A8177" s="217">
        <v>43762.44512847222</v>
      </c>
      <c r="B8177" s="3" t="s">
        <v>5092</v>
      </c>
      <c r="C8177" s="3" t="s">
        <v>9743</v>
      </c>
      <c r="D8177" s="265">
        <v>1.0</v>
      </c>
      <c r="G8177" s="266">
        <v>43757.0</v>
      </c>
    </row>
    <row r="8178">
      <c r="A8178" s="217">
        <v>43762.44545557871</v>
      </c>
      <c r="B8178" s="3" t="s">
        <v>5092</v>
      </c>
      <c r="C8178" s="3" t="s">
        <v>9744</v>
      </c>
      <c r="D8178" s="265">
        <v>1.0</v>
      </c>
      <c r="G8178" s="266">
        <v>43757.0</v>
      </c>
    </row>
    <row r="8179">
      <c r="A8179" s="217">
        <v>43762.44568744213</v>
      </c>
      <c r="B8179" s="3" t="s">
        <v>5092</v>
      </c>
      <c r="C8179" s="3" t="s">
        <v>9745</v>
      </c>
      <c r="D8179" s="265">
        <v>1.0</v>
      </c>
      <c r="G8179" s="266">
        <v>43757.0</v>
      </c>
    </row>
    <row r="8180">
      <c r="A8180" s="217">
        <v>43762.44592193287</v>
      </c>
      <c r="B8180" s="3" t="s">
        <v>5092</v>
      </c>
      <c r="C8180" s="3" t="s">
        <v>9746</v>
      </c>
      <c r="D8180" s="265">
        <v>1.0</v>
      </c>
      <c r="G8180" s="266">
        <v>43757.0</v>
      </c>
    </row>
    <row r="8181">
      <c r="A8181" s="217">
        <v>43762.44619469908</v>
      </c>
      <c r="B8181" s="3" t="s">
        <v>5092</v>
      </c>
      <c r="C8181" s="3" t="s">
        <v>9747</v>
      </c>
      <c r="D8181" s="265">
        <v>1.0</v>
      </c>
      <c r="G8181" s="266">
        <v>43757.0</v>
      </c>
    </row>
    <row r="8182">
      <c r="A8182" s="217">
        <v>43762.44648331018</v>
      </c>
      <c r="B8182" s="3" t="s">
        <v>5092</v>
      </c>
      <c r="C8182" s="3" t="s">
        <v>9748</v>
      </c>
      <c r="D8182" s="265">
        <v>1.0</v>
      </c>
      <c r="G8182" s="266">
        <v>43757.0</v>
      </c>
    </row>
    <row r="8183">
      <c r="A8183" s="217">
        <v>43762.44675591435</v>
      </c>
      <c r="B8183" s="3" t="s">
        <v>5092</v>
      </c>
      <c r="C8183" s="3" t="s">
        <v>9749</v>
      </c>
      <c r="D8183" s="265">
        <v>1.0</v>
      </c>
      <c r="G8183" s="266">
        <v>43757.0</v>
      </c>
    </row>
    <row r="8184">
      <c r="A8184" s="217">
        <v>43762.44708774306</v>
      </c>
      <c r="B8184" s="3" t="s">
        <v>5092</v>
      </c>
      <c r="C8184" s="3" t="s">
        <v>9750</v>
      </c>
      <c r="D8184" s="265">
        <v>1.0</v>
      </c>
      <c r="G8184" s="266">
        <v>43757.0</v>
      </c>
    </row>
    <row r="8185">
      <c r="A8185" s="217">
        <v>43762.44736667824</v>
      </c>
      <c r="B8185" s="3" t="s">
        <v>5092</v>
      </c>
      <c r="C8185" s="3" t="s">
        <v>9751</v>
      </c>
      <c r="D8185" s="265">
        <v>1.0</v>
      </c>
      <c r="G8185" s="266">
        <v>43757.0</v>
      </c>
    </row>
    <row r="8186">
      <c r="A8186" s="217">
        <v>43762.44760275463</v>
      </c>
      <c r="B8186" s="3" t="s">
        <v>5092</v>
      </c>
      <c r="C8186" s="3" t="s">
        <v>9752</v>
      </c>
      <c r="D8186" s="265">
        <v>1.0</v>
      </c>
      <c r="G8186" s="266">
        <v>43757.0</v>
      </c>
    </row>
    <row r="8187">
      <c r="A8187" s="217">
        <v>43762.44786197916</v>
      </c>
      <c r="B8187" s="3" t="s">
        <v>5092</v>
      </c>
      <c r="C8187" s="3" t="s">
        <v>9753</v>
      </c>
      <c r="D8187" s="265">
        <v>1.0</v>
      </c>
      <c r="G8187" s="266">
        <v>43757.0</v>
      </c>
    </row>
    <row r="8188">
      <c r="A8188" s="217">
        <v>43762.44809348379</v>
      </c>
      <c r="B8188" s="3" t="s">
        <v>5092</v>
      </c>
      <c r="C8188" s="3" t="s">
        <v>9754</v>
      </c>
      <c r="D8188" s="265">
        <v>1.0</v>
      </c>
      <c r="G8188" s="266">
        <v>43757.0</v>
      </c>
    </row>
    <row r="8189">
      <c r="A8189" s="217">
        <v>43762.4483656713</v>
      </c>
      <c r="B8189" s="3" t="s">
        <v>5092</v>
      </c>
      <c r="C8189" s="3" t="s">
        <v>9755</v>
      </c>
      <c r="D8189" s="265">
        <v>1.0</v>
      </c>
      <c r="G8189" s="266">
        <v>43757.0</v>
      </c>
    </row>
    <row r="8190">
      <c r="A8190" s="217">
        <v>43762.448627743055</v>
      </c>
      <c r="B8190" s="3" t="s">
        <v>5092</v>
      </c>
      <c r="C8190" s="3" t="s">
        <v>9756</v>
      </c>
      <c r="D8190" s="265">
        <v>1.0</v>
      </c>
      <c r="G8190" s="266">
        <v>43757.0</v>
      </c>
    </row>
    <row r="8191">
      <c r="A8191" s="217">
        <v>43762.44895693287</v>
      </c>
      <c r="B8191" s="3" t="s">
        <v>5092</v>
      </c>
      <c r="C8191" s="3" t="s">
        <v>9757</v>
      </c>
      <c r="D8191" s="265">
        <v>1.0</v>
      </c>
      <c r="G8191" s="266">
        <v>43757.0</v>
      </c>
    </row>
    <row r="8192">
      <c r="A8192" s="217">
        <v>43762.449220069444</v>
      </c>
      <c r="B8192" s="3" t="s">
        <v>5092</v>
      </c>
      <c r="C8192" s="3" t="s">
        <v>9758</v>
      </c>
      <c r="D8192" s="265">
        <v>1.0</v>
      </c>
      <c r="G8192" s="266">
        <v>43757.0</v>
      </c>
    </row>
    <row r="8193">
      <c r="A8193" s="217">
        <v>43762.4522885301</v>
      </c>
      <c r="B8193" s="3" t="s">
        <v>5092</v>
      </c>
      <c r="C8193" s="3" t="s">
        <v>9759</v>
      </c>
      <c r="D8193" s="265">
        <v>1.0</v>
      </c>
      <c r="G8193" s="266">
        <v>43757.0</v>
      </c>
    </row>
    <row r="8194">
      <c r="A8194" s="217">
        <v>43762.452619421296</v>
      </c>
      <c r="B8194" s="3" t="s">
        <v>5092</v>
      </c>
      <c r="C8194" s="3" t="s">
        <v>9760</v>
      </c>
      <c r="D8194" s="265">
        <v>1.0</v>
      </c>
      <c r="G8194" s="266">
        <v>43757.0</v>
      </c>
    </row>
    <row r="8195">
      <c r="A8195" s="217">
        <v>43762.452865196756</v>
      </c>
      <c r="B8195" s="3" t="s">
        <v>5092</v>
      </c>
      <c r="C8195" s="3" t="s">
        <v>9761</v>
      </c>
      <c r="D8195" s="265">
        <v>1.0</v>
      </c>
      <c r="G8195" s="266">
        <v>43757.0</v>
      </c>
    </row>
    <row r="8196">
      <c r="A8196" s="217">
        <v>43762.453165729166</v>
      </c>
      <c r="B8196" s="3" t="s">
        <v>5092</v>
      </c>
      <c r="C8196" s="3" t="s">
        <v>9762</v>
      </c>
      <c r="D8196" s="265">
        <v>1.0</v>
      </c>
      <c r="G8196" s="266">
        <v>43757.0</v>
      </c>
    </row>
    <row r="8197">
      <c r="A8197" s="217">
        <v>43762.45340383102</v>
      </c>
      <c r="B8197" s="3" t="s">
        <v>5092</v>
      </c>
      <c r="C8197" s="3" t="s">
        <v>9763</v>
      </c>
      <c r="D8197" s="265">
        <v>1.0</v>
      </c>
      <c r="G8197" s="266">
        <v>43757.0</v>
      </c>
    </row>
    <row r="8198">
      <c r="A8198" s="217">
        <v>43762.45365512732</v>
      </c>
      <c r="B8198" s="3" t="s">
        <v>5092</v>
      </c>
      <c r="C8198" s="3" t="s">
        <v>9764</v>
      </c>
      <c r="D8198" s="265">
        <v>1.0</v>
      </c>
      <c r="G8198" s="266">
        <v>43757.0</v>
      </c>
    </row>
    <row r="8199">
      <c r="A8199" s="217">
        <v>43762.45389005787</v>
      </c>
      <c r="B8199" s="3" t="s">
        <v>5092</v>
      </c>
      <c r="C8199" s="3" t="s">
        <v>9765</v>
      </c>
      <c r="D8199" s="265">
        <v>1.0</v>
      </c>
      <c r="G8199" s="266">
        <v>43757.0</v>
      </c>
    </row>
    <row r="8200">
      <c r="A8200" s="217">
        <v>43762.45414789351</v>
      </c>
      <c r="B8200" s="3" t="s">
        <v>5092</v>
      </c>
      <c r="C8200" s="3" t="s">
        <v>9766</v>
      </c>
      <c r="D8200" s="265">
        <v>1.0</v>
      </c>
      <c r="G8200" s="266">
        <v>43757.0</v>
      </c>
    </row>
    <row r="8201">
      <c r="A8201" s="217">
        <v>43762.45435806713</v>
      </c>
      <c r="B8201" s="3" t="s">
        <v>5092</v>
      </c>
      <c r="C8201" s="3" t="s">
        <v>9767</v>
      </c>
      <c r="D8201" s="265">
        <v>1.0</v>
      </c>
      <c r="G8201" s="266">
        <v>43757.0</v>
      </c>
    </row>
    <row r="8202">
      <c r="A8202" s="217">
        <v>43762.454604074075</v>
      </c>
      <c r="B8202" s="3" t="s">
        <v>5092</v>
      </c>
      <c r="C8202" s="3" t="s">
        <v>9768</v>
      </c>
      <c r="D8202" s="265">
        <v>1.0</v>
      </c>
      <c r="G8202" s="266">
        <v>43757.0</v>
      </c>
    </row>
    <row r="8203">
      <c r="A8203" s="217">
        <v>43762.454848877314</v>
      </c>
      <c r="B8203" s="3" t="s">
        <v>5092</v>
      </c>
      <c r="C8203" s="3" t="s">
        <v>9769</v>
      </c>
      <c r="D8203" s="265">
        <v>1.0</v>
      </c>
      <c r="G8203" s="266">
        <v>43757.0</v>
      </c>
    </row>
    <row r="8204">
      <c r="A8204" s="217">
        <v>43762.455076053244</v>
      </c>
      <c r="B8204" s="3" t="s">
        <v>5092</v>
      </c>
      <c r="C8204" s="3" t="s">
        <v>9770</v>
      </c>
      <c r="D8204" s="265">
        <v>1.0</v>
      </c>
      <c r="G8204" s="266">
        <v>43757.0</v>
      </c>
    </row>
    <row r="8205">
      <c r="A8205" s="217">
        <v>43762.45536556713</v>
      </c>
      <c r="B8205" s="3" t="s">
        <v>5092</v>
      </c>
      <c r="C8205" s="3" t="s">
        <v>9771</v>
      </c>
      <c r="D8205" s="265">
        <v>1.0</v>
      </c>
      <c r="G8205" s="266">
        <v>43757.0</v>
      </c>
    </row>
    <row r="8206">
      <c r="A8206" s="217">
        <v>43762.455599189816</v>
      </c>
      <c r="B8206" s="3" t="s">
        <v>5092</v>
      </c>
      <c r="C8206" s="3" t="s">
        <v>9772</v>
      </c>
      <c r="D8206" s="265">
        <v>1.0</v>
      </c>
      <c r="G8206" s="266">
        <v>43757.0</v>
      </c>
    </row>
    <row r="8207">
      <c r="A8207" s="217">
        <v>43762.45685488426</v>
      </c>
      <c r="B8207" s="3" t="s">
        <v>5092</v>
      </c>
      <c r="C8207" s="3" t="s">
        <v>9773</v>
      </c>
      <c r="D8207" s="265">
        <v>1.0</v>
      </c>
      <c r="G8207" s="266">
        <v>43757.0</v>
      </c>
    </row>
    <row r="8208">
      <c r="A8208" s="217">
        <v>43762.45718201389</v>
      </c>
      <c r="B8208" s="3" t="s">
        <v>5092</v>
      </c>
      <c r="C8208" s="3" t="s">
        <v>9774</v>
      </c>
      <c r="D8208" s="265">
        <v>1.0</v>
      </c>
      <c r="G8208" s="266">
        <v>43757.0</v>
      </c>
    </row>
    <row r="8209">
      <c r="A8209" s="217">
        <v>43762.45743974537</v>
      </c>
      <c r="B8209" s="3" t="s">
        <v>5092</v>
      </c>
      <c r="C8209" s="3" t="s">
        <v>9775</v>
      </c>
      <c r="D8209" s="265">
        <v>1.0</v>
      </c>
      <c r="G8209" s="266">
        <v>43757.0</v>
      </c>
    </row>
    <row r="8210">
      <c r="A8210" s="217">
        <v>43762.45768420139</v>
      </c>
      <c r="B8210" s="3" t="s">
        <v>5092</v>
      </c>
      <c r="C8210" s="3" t="s">
        <v>9776</v>
      </c>
      <c r="D8210" s="265">
        <v>1.0</v>
      </c>
      <c r="G8210" s="266">
        <v>43757.0</v>
      </c>
    </row>
    <row r="8211">
      <c r="A8211" s="217">
        <v>43762.457949398144</v>
      </c>
      <c r="B8211" s="3" t="s">
        <v>5092</v>
      </c>
      <c r="C8211" s="3" t="s">
        <v>9777</v>
      </c>
      <c r="D8211" s="265">
        <v>1.0</v>
      </c>
      <c r="G8211" s="266">
        <v>43757.0</v>
      </c>
    </row>
    <row r="8212">
      <c r="A8212" s="217">
        <v>43762.458168495374</v>
      </c>
      <c r="B8212" s="3" t="s">
        <v>5092</v>
      </c>
      <c r="C8212" s="3" t="s">
        <v>9778</v>
      </c>
      <c r="D8212" s="265">
        <v>1.0</v>
      </c>
      <c r="G8212" s="266">
        <v>43757.0</v>
      </c>
    </row>
    <row r="8213">
      <c r="A8213" s="217">
        <v>43762.45840732639</v>
      </c>
      <c r="B8213" s="3" t="s">
        <v>5092</v>
      </c>
      <c r="C8213" s="3" t="s">
        <v>9779</v>
      </c>
      <c r="D8213" s="265">
        <v>1.0</v>
      </c>
      <c r="G8213" s="266">
        <v>43757.0</v>
      </c>
    </row>
    <row r="8214">
      <c r="A8214" s="217">
        <v>43762.45863105324</v>
      </c>
      <c r="B8214" s="3" t="s">
        <v>5092</v>
      </c>
      <c r="C8214" s="3" t="s">
        <v>9780</v>
      </c>
      <c r="D8214" s="265">
        <v>1.0</v>
      </c>
      <c r="G8214" s="266">
        <v>43757.0</v>
      </c>
    </row>
    <row r="8215">
      <c r="A8215" s="217">
        <v>43762.46564708333</v>
      </c>
      <c r="B8215" s="3" t="s">
        <v>5092</v>
      </c>
      <c r="C8215" s="3" t="s">
        <v>9781</v>
      </c>
      <c r="D8215" s="265">
        <v>1.0</v>
      </c>
      <c r="G8215" s="266">
        <v>43757.0</v>
      </c>
    </row>
    <row r="8216">
      <c r="A8216" s="217">
        <v>43762.46586099537</v>
      </c>
      <c r="B8216" s="3" t="s">
        <v>5092</v>
      </c>
      <c r="C8216" s="3" t="s">
        <v>9782</v>
      </c>
      <c r="D8216" s="265">
        <v>1.0</v>
      </c>
      <c r="G8216" s="266">
        <v>43757.0</v>
      </c>
    </row>
    <row r="8217">
      <c r="A8217" s="217">
        <v>43762.466092118055</v>
      </c>
      <c r="B8217" s="3" t="s">
        <v>5092</v>
      </c>
      <c r="C8217" s="3" t="s">
        <v>9783</v>
      </c>
      <c r="D8217" s="265">
        <v>1.0</v>
      </c>
      <c r="G8217" s="266">
        <v>43757.0</v>
      </c>
    </row>
    <row r="8218">
      <c r="A8218" s="217">
        <v>43762.466316087965</v>
      </c>
      <c r="B8218" s="3" t="s">
        <v>5092</v>
      </c>
      <c r="C8218" s="3" t="s">
        <v>9784</v>
      </c>
      <c r="D8218" s="265">
        <v>1.0</v>
      </c>
      <c r="G8218" s="266">
        <v>43757.0</v>
      </c>
    </row>
    <row r="8219">
      <c r="A8219" s="217">
        <v>43762.46653839121</v>
      </c>
      <c r="B8219" s="3" t="s">
        <v>5092</v>
      </c>
      <c r="C8219" s="3" t="s">
        <v>9785</v>
      </c>
      <c r="D8219" s="265">
        <v>1.0</v>
      </c>
      <c r="G8219" s="266">
        <v>43757.0</v>
      </c>
    </row>
    <row r="8220">
      <c r="A8220" s="217">
        <v>43762.46678754629</v>
      </c>
      <c r="B8220" s="3" t="s">
        <v>5092</v>
      </c>
      <c r="C8220" s="3" t="s">
        <v>9786</v>
      </c>
      <c r="D8220" s="265">
        <v>1.0</v>
      </c>
      <c r="G8220" s="266">
        <v>43757.0</v>
      </c>
    </row>
    <row r="8221">
      <c r="A8221" s="217">
        <v>43762.46700212963</v>
      </c>
      <c r="B8221" s="3" t="s">
        <v>5092</v>
      </c>
      <c r="C8221" s="3" t="s">
        <v>9787</v>
      </c>
      <c r="D8221" s="265">
        <v>1.0</v>
      </c>
      <c r="G8221" s="266">
        <v>43757.0</v>
      </c>
    </row>
    <row r="8222">
      <c r="A8222" s="217">
        <v>43762.46729552084</v>
      </c>
      <c r="B8222" s="3" t="s">
        <v>5092</v>
      </c>
      <c r="C8222" s="3" t="s">
        <v>9788</v>
      </c>
      <c r="D8222" s="265">
        <v>1.0</v>
      </c>
      <c r="G8222" s="266">
        <v>43757.0</v>
      </c>
    </row>
    <row r="8223">
      <c r="A8223" s="217">
        <v>43762.46756414352</v>
      </c>
      <c r="B8223" s="3" t="s">
        <v>5092</v>
      </c>
      <c r="C8223" s="3" t="s">
        <v>4714</v>
      </c>
      <c r="D8223" s="265">
        <v>1.0</v>
      </c>
      <c r="G8223" s="266">
        <v>43757.0</v>
      </c>
    </row>
    <row r="8224">
      <c r="A8224" s="217">
        <v>43762.46780960648</v>
      </c>
      <c r="B8224" s="3" t="s">
        <v>5092</v>
      </c>
      <c r="C8224" s="3" t="s">
        <v>9789</v>
      </c>
      <c r="D8224" s="265">
        <v>1.0</v>
      </c>
      <c r="G8224" s="266">
        <v>43757.0</v>
      </c>
    </row>
    <row r="8225">
      <c r="A8225" s="217">
        <v>43762.46810104167</v>
      </c>
      <c r="B8225" s="3" t="s">
        <v>5092</v>
      </c>
      <c r="C8225" s="3" t="s">
        <v>9790</v>
      </c>
      <c r="D8225" s="265">
        <v>1.0</v>
      </c>
      <c r="G8225" s="266">
        <v>43757.0</v>
      </c>
    </row>
    <row r="8226">
      <c r="A8226" s="217">
        <v>43762.46831628472</v>
      </c>
      <c r="B8226" s="3" t="s">
        <v>5092</v>
      </c>
      <c r="C8226" s="3" t="s">
        <v>9791</v>
      </c>
      <c r="D8226" s="265">
        <v>1.0</v>
      </c>
      <c r="G8226" s="266">
        <v>43757.0</v>
      </c>
    </row>
    <row r="8227">
      <c r="A8227" s="217">
        <v>43762.46869815972</v>
      </c>
      <c r="B8227" s="3" t="s">
        <v>5092</v>
      </c>
      <c r="C8227" s="3" t="s">
        <v>9792</v>
      </c>
      <c r="D8227" s="265">
        <v>1.0</v>
      </c>
      <c r="G8227" s="266">
        <v>43757.0</v>
      </c>
    </row>
    <row r="8228">
      <c r="A8228" s="217">
        <v>43762.46892579861</v>
      </c>
      <c r="B8228" s="3" t="s">
        <v>5092</v>
      </c>
      <c r="C8228" s="3" t="s">
        <v>9793</v>
      </c>
      <c r="D8228" s="265">
        <v>1.0</v>
      </c>
      <c r="G8228" s="266">
        <v>43757.0</v>
      </c>
    </row>
    <row r="8229">
      <c r="A8229" s="217">
        <v>43762.46920234954</v>
      </c>
      <c r="B8229" s="3" t="s">
        <v>5092</v>
      </c>
      <c r="C8229" s="3" t="s">
        <v>9794</v>
      </c>
      <c r="D8229" s="265">
        <v>1.0</v>
      </c>
      <c r="G8229" s="266">
        <v>43757.0</v>
      </c>
    </row>
    <row r="8230">
      <c r="A8230" s="217">
        <v>43762.4694196875</v>
      </c>
      <c r="B8230" s="3" t="s">
        <v>5092</v>
      </c>
      <c r="C8230" s="3" t="s">
        <v>9795</v>
      </c>
      <c r="D8230" s="265">
        <v>1.0</v>
      </c>
      <c r="G8230" s="266">
        <v>43757.0</v>
      </c>
    </row>
    <row r="8231">
      <c r="A8231" s="217">
        <v>43762.469653912034</v>
      </c>
      <c r="B8231" s="3" t="s">
        <v>5092</v>
      </c>
      <c r="C8231" s="3" t="s">
        <v>9796</v>
      </c>
      <c r="D8231" s="265">
        <v>1.0</v>
      </c>
      <c r="G8231" s="266">
        <v>43757.0</v>
      </c>
    </row>
    <row r="8232">
      <c r="A8232" s="217">
        <v>43762.46988025463</v>
      </c>
      <c r="B8232" s="3" t="s">
        <v>5092</v>
      </c>
      <c r="C8232" s="3" t="s">
        <v>9797</v>
      </c>
      <c r="D8232" s="265">
        <v>1.0</v>
      </c>
      <c r="G8232" s="266">
        <v>43757.0</v>
      </c>
    </row>
    <row r="8233">
      <c r="A8233" s="217">
        <v>43762.4701759375</v>
      </c>
      <c r="B8233" s="3" t="s">
        <v>5092</v>
      </c>
      <c r="C8233" s="3" t="s">
        <v>9798</v>
      </c>
      <c r="D8233" s="265">
        <v>1.0</v>
      </c>
      <c r="G8233" s="266">
        <v>43757.0</v>
      </c>
    </row>
    <row r="8234">
      <c r="A8234" s="217">
        <v>43762.47039836805</v>
      </c>
      <c r="B8234" s="3" t="s">
        <v>5092</v>
      </c>
      <c r="C8234" s="3" t="s">
        <v>9799</v>
      </c>
      <c r="D8234" s="265">
        <v>1.0</v>
      </c>
      <c r="G8234" s="266">
        <v>43757.0</v>
      </c>
    </row>
    <row r="8235">
      <c r="A8235" s="217">
        <v>43762.47168767361</v>
      </c>
      <c r="B8235" s="3" t="s">
        <v>5092</v>
      </c>
      <c r="C8235" s="3" t="s">
        <v>9800</v>
      </c>
      <c r="D8235" s="265">
        <v>1.0</v>
      </c>
      <c r="G8235" s="266">
        <v>43757.0</v>
      </c>
    </row>
    <row r="8236">
      <c r="A8236" s="217">
        <v>43762.47193704861</v>
      </c>
      <c r="B8236" s="3" t="s">
        <v>5092</v>
      </c>
      <c r="C8236" s="3" t="s">
        <v>9801</v>
      </c>
      <c r="D8236" s="265">
        <v>1.0</v>
      </c>
      <c r="G8236" s="266">
        <v>43757.0</v>
      </c>
    </row>
    <row r="8237">
      <c r="A8237" s="217">
        <v>43762.47217450231</v>
      </c>
      <c r="B8237" s="3" t="s">
        <v>5092</v>
      </c>
      <c r="C8237" s="3" t="s">
        <v>9802</v>
      </c>
      <c r="D8237" s="265">
        <v>1.0</v>
      </c>
      <c r="G8237" s="266">
        <v>43757.0</v>
      </c>
    </row>
    <row r="8238">
      <c r="A8238" s="217">
        <v>43762.47243201389</v>
      </c>
      <c r="B8238" s="3" t="s">
        <v>5092</v>
      </c>
      <c r="C8238" s="3" t="s">
        <v>9803</v>
      </c>
      <c r="D8238" s="265">
        <v>1.0</v>
      </c>
      <c r="G8238" s="266">
        <v>43757.0</v>
      </c>
    </row>
    <row r="8239">
      <c r="A8239" s="217">
        <v>43762.47264474537</v>
      </c>
      <c r="B8239" s="3" t="s">
        <v>5092</v>
      </c>
      <c r="C8239" s="3" t="s">
        <v>9804</v>
      </c>
      <c r="D8239" s="265">
        <v>1.0</v>
      </c>
      <c r="G8239" s="266">
        <v>43757.0</v>
      </c>
    </row>
    <row r="8240">
      <c r="A8240" s="217">
        <v>43762.472929456024</v>
      </c>
      <c r="B8240" s="3" t="s">
        <v>5092</v>
      </c>
      <c r="C8240" s="3" t="s">
        <v>9805</v>
      </c>
      <c r="D8240" s="265">
        <v>1.0</v>
      </c>
      <c r="G8240" s="266">
        <v>43757.0</v>
      </c>
    </row>
    <row r="8241">
      <c r="A8241" s="217">
        <v>43762.47315075231</v>
      </c>
      <c r="B8241" s="3" t="s">
        <v>5092</v>
      </c>
      <c r="C8241" s="3" t="s">
        <v>9806</v>
      </c>
      <c r="D8241" s="265">
        <v>1.0</v>
      </c>
      <c r="G8241" s="266">
        <v>43757.0</v>
      </c>
    </row>
    <row r="8242">
      <c r="A8242" s="217">
        <v>43762.47336346065</v>
      </c>
      <c r="B8242" s="3" t="s">
        <v>5092</v>
      </c>
      <c r="C8242" s="3" t="s">
        <v>9807</v>
      </c>
      <c r="D8242" s="265">
        <v>1.0</v>
      </c>
      <c r="G8242" s="266">
        <v>43757.0</v>
      </c>
    </row>
    <row r="8243">
      <c r="A8243" s="217">
        <v>43762.47366754629</v>
      </c>
      <c r="B8243" s="3" t="s">
        <v>5092</v>
      </c>
      <c r="C8243" s="3" t="s">
        <v>9808</v>
      </c>
      <c r="D8243" s="265">
        <v>1.0</v>
      </c>
      <c r="G8243" s="266">
        <v>43757.0</v>
      </c>
    </row>
    <row r="8244">
      <c r="A8244" s="217">
        <v>43762.47394578704</v>
      </c>
      <c r="B8244" s="3" t="s">
        <v>5092</v>
      </c>
      <c r="C8244" s="3" t="s">
        <v>9809</v>
      </c>
      <c r="D8244" s="265">
        <v>1.0</v>
      </c>
      <c r="G8244" s="266">
        <v>43757.0</v>
      </c>
    </row>
    <row r="8245">
      <c r="A8245" s="217">
        <v>43762.474159861114</v>
      </c>
      <c r="B8245" s="3" t="s">
        <v>5092</v>
      </c>
      <c r="C8245" s="3" t="s">
        <v>9810</v>
      </c>
      <c r="D8245" s="265">
        <v>1.0</v>
      </c>
      <c r="G8245" s="266">
        <v>43757.0</v>
      </c>
    </row>
    <row r="8246">
      <c r="A8246" s="217">
        <v>43762.47440446759</v>
      </c>
      <c r="B8246" s="3" t="s">
        <v>5092</v>
      </c>
      <c r="C8246" s="3" t="s">
        <v>9811</v>
      </c>
      <c r="D8246" s="265">
        <v>1.0</v>
      </c>
      <c r="G8246" s="266">
        <v>43757.0</v>
      </c>
    </row>
    <row r="8247">
      <c r="A8247" s="217">
        <v>43762.474624270835</v>
      </c>
      <c r="B8247" s="3" t="s">
        <v>5092</v>
      </c>
      <c r="C8247" s="3" t="s">
        <v>9812</v>
      </c>
      <c r="D8247" s="265">
        <v>1.0</v>
      </c>
      <c r="G8247" s="266">
        <v>43757.0</v>
      </c>
    </row>
    <row r="8248">
      <c r="A8248" s="217">
        <v>43762.47485949074</v>
      </c>
      <c r="B8248" s="3" t="s">
        <v>5092</v>
      </c>
      <c r="C8248" s="3" t="s">
        <v>9813</v>
      </c>
      <c r="D8248" s="265">
        <v>1.0</v>
      </c>
      <c r="G8248" s="266">
        <v>43757.0</v>
      </c>
    </row>
    <row r="8249">
      <c r="A8249" s="217">
        <v>43762.47508290509</v>
      </c>
      <c r="B8249" s="3" t="s">
        <v>5092</v>
      </c>
      <c r="C8249" s="3" t="s">
        <v>9814</v>
      </c>
      <c r="D8249" s="265">
        <v>1.0</v>
      </c>
      <c r="G8249" s="266">
        <v>43757.0</v>
      </c>
    </row>
    <row r="8250">
      <c r="A8250" s="217">
        <v>43762.47536803241</v>
      </c>
      <c r="B8250" s="3" t="s">
        <v>5092</v>
      </c>
      <c r="C8250" s="3" t="s">
        <v>9815</v>
      </c>
      <c r="D8250" s="265">
        <v>1.0</v>
      </c>
      <c r="G8250" s="266">
        <v>43757.0</v>
      </c>
    </row>
    <row r="8251">
      <c r="A8251" s="217">
        <v>43762.47564019676</v>
      </c>
      <c r="B8251" s="3" t="s">
        <v>5092</v>
      </c>
      <c r="C8251" s="3" t="s">
        <v>9816</v>
      </c>
      <c r="D8251" s="265">
        <v>1.0</v>
      </c>
      <c r="G8251" s="266">
        <v>43757.0</v>
      </c>
    </row>
    <row r="8252">
      <c r="A8252" s="217">
        <v>43762.47592961806</v>
      </c>
      <c r="B8252" s="3" t="s">
        <v>5092</v>
      </c>
      <c r="C8252" s="3" t="s">
        <v>9817</v>
      </c>
      <c r="D8252" s="265">
        <v>1.0</v>
      </c>
      <c r="G8252" s="266">
        <v>43757.0</v>
      </c>
    </row>
    <row r="8253">
      <c r="A8253" s="217">
        <v>43762.47621710648</v>
      </c>
      <c r="B8253" s="3" t="s">
        <v>5092</v>
      </c>
      <c r="C8253" s="3" t="s">
        <v>9818</v>
      </c>
      <c r="D8253" s="265">
        <v>1.0</v>
      </c>
      <c r="G8253" s="266">
        <v>43757.0</v>
      </c>
    </row>
    <row r="8254">
      <c r="A8254" s="217">
        <v>43762.47642407408</v>
      </c>
      <c r="B8254" s="3" t="s">
        <v>5092</v>
      </c>
      <c r="C8254" s="3" t="s">
        <v>9819</v>
      </c>
      <c r="D8254" s="265">
        <v>1.0</v>
      </c>
      <c r="G8254" s="266">
        <v>43757.0</v>
      </c>
    </row>
    <row r="8255">
      <c r="A8255" s="217">
        <v>43762.47667315972</v>
      </c>
      <c r="B8255" s="3" t="s">
        <v>5092</v>
      </c>
      <c r="C8255" s="3" t="s">
        <v>9820</v>
      </c>
      <c r="D8255" s="265">
        <v>1.0</v>
      </c>
      <c r="G8255" s="266">
        <v>43757.0</v>
      </c>
    </row>
    <row r="8256">
      <c r="A8256" s="217">
        <v>43762.47696615741</v>
      </c>
      <c r="B8256" s="3" t="s">
        <v>5092</v>
      </c>
      <c r="C8256" s="3" t="s">
        <v>9821</v>
      </c>
      <c r="D8256" s="265">
        <v>1.0</v>
      </c>
      <c r="G8256" s="266">
        <v>43757.0</v>
      </c>
    </row>
    <row r="8257">
      <c r="A8257" s="217">
        <v>43762.477188425924</v>
      </c>
      <c r="B8257" s="3" t="s">
        <v>5092</v>
      </c>
      <c r="C8257" s="3" t="s">
        <v>9822</v>
      </c>
      <c r="D8257" s="265">
        <v>1.0</v>
      </c>
      <c r="G8257" s="266">
        <v>43757.0</v>
      </c>
    </row>
    <row r="8258">
      <c r="A8258" s="217">
        <v>43762.47744618056</v>
      </c>
      <c r="B8258" s="3" t="s">
        <v>5092</v>
      </c>
      <c r="C8258" s="3" t="s">
        <v>9823</v>
      </c>
      <c r="D8258" s="265">
        <v>1.0</v>
      </c>
      <c r="G8258" s="266">
        <v>43757.0</v>
      </c>
    </row>
    <row r="8259">
      <c r="A8259" s="217">
        <v>43762.47766157407</v>
      </c>
      <c r="B8259" s="3" t="s">
        <v>5092</v>
      </c>
      <c r="C8259" s="3" t="s">
        <v>9824</v>
      </c>
      <c r="D8259" s="265">
        <v>1.0</v>
      </c>
      <c r="G8259" s="266">
        <v>43757.0</v>
      </c>
    </row>
    <row r="8260">
      <c r="A8260" s="217">
        <v>43762.47800077546</v>
      </c>
      <c r="B8260" s="3" t="s">
        <v>5092</v>
      </c>
      <c r="C8260" s="3" t="s">
        <v>9825</v>
      </c>
      <c r="D8260" s="265">
        <v>1.0</v>
      </c>
      <c r="G8260" s="266">
        <v>43757.0</v>
      </c>
    </row>
    <row r="8261">
      <c r="A8261" s="217">
        <v>43762.47823866898</v>
      </c>
      <c r="B8261" s="3" t="s">
        <v>5092</v>
      </c>
      <c r="C8261" s="3" t="s">
        <v>9826</v>
      </c>
      <c r="D8261" s="265">
        <v>1.0</v>
      </c>
      <c r="G8261" s="266">
        <v>43757.0</v>
      </c>
    </row>
    <row r="8262">
      <c r="A8262" s="217">
        <v>43762.47848842593</v>
      </c>
      <c r="B8262" s="3" t="s">
        <v>5092</v>
      </c>
      <c r="C8262" s="3" t="s">
        <v>9827</v>
      </c>
      <c r="D8262" s="265">
        <v>1.0</v>
      </c>
      <c r="G8262" s="266">
        <v>43757.0</v>
      </c>
    </row>
    <row r="8263">
      <c r="A8263" s="217">
        <v>43762.47870613426</v>
      </c>
      <c r="B8263" s="3" t="s">
        <v>5092</v>
      </c>
      <c r="C8263" s="3" t="s">
        <v>9828</v>
      </c>
      <c r="D8263" s="265">
        <v>1.0</v>
      </c>
      <c r="G8263" s="266">
        <v>43757.0</v>
      </c>
    </row>
    <row r="8264">
      <c r="A8264" s="217">
        <v>43762.479781041664</v>
      </c>
      <c r="B8264" s="3" t="s">
        <v>5092</v>
      </c>
      <c r="C8264" s="3" t="s">
        <v>9829</v>
      </c>
      <c r="D8264" s="265">
        <v>1.0</v>
      </c>
      <c r="G8264" s="266">
        <v>43757.0</v>
      </c>
    </row>
    <row r="8265">
      <c r="A8265" s="217">
        <v>43762.48282917824</v>
      </c>
      <c r="B8265" s="3" t="s">
        <v>5092</v>
      </c>
      <c r="C8265" s="3" t="s">
        <v>9830</v>
      </c>
      <c r="D8265" s="265">
        <v>1.0</v>
      </c>
      <c r="G8265" s="266">
        <v>43757.0</v>
      </c>
    </row>
    <row r="8266">
      <c r="A8266" s="217">
        <v>43762.4832746875</v>
      </c>
      <c r="B8266" s="3" t="s">
        <v>5092</v>
      </c>
      <c r="C8266" s="3" t="s">
        <v>9831</v>
      </c>
      <c r="D8266" s="265">
        <v>1.0</v>
      </c>
      <c r="G8266" s="266">
        <v>43757.0</v>
      </c>
    </row>
    <row r="8267">
      <c r="A8267" s="217">
        <v>43762.483507916666</v>
      </c>
      <c r="B8267" s="3" t="s">
        <v>5092</v>
      </c>
      <c r="C8267" s="3" t="s">
        <v>9832</v>
      </c>
      <c r="D8267" s="265">
        <v>1.0</v>
      </c>
      <c r="G8267" s="266">
        <v>43757.0</v>
      </c>
    </row>
    <row r="8268">
      <c r="A8268" s="217">
        <v>43762.48385655093</v>
      </c>
      <c r="B8268" s="3" t="s">
        <v>5092</v>
      </c>
      <c r="C8268" s="3" t="s">
        <v>9833</v>
      </c>
      <c r="D8268" s="265">
        <v>1.0</v>
      </c>
      <c r="G8268" s="266">
        <v>43757.0</v>
      </c>
    </row>
    <row r="8269">
      <c r="A8269" s="217">
        <v>43762.4840805787</v>
      </c>
      <c r="B8269" s="3" t="s">
        <v>5092</v>
      </c>
      <c r="C8269" s="3" t="s">
        <v>9834</v>
      </c>
      <c r="D8269" s="265">
        <v>1.0</v>
      </c>
      <c r="G8269" s="266">
        <v>43757.0</v>
      </c>
    </row>
    <row r="8270">
      <c r="A8270" s="217">
        <v>43762.48432802083</v>
      </c>
      <c r="B8270" s="3" t="s">
        <v>5092</v>
      </c>
      <c r="C8270" s="3" t="s">
        <v>9835</v>
      </c>
      <c r="D8270" s="265">
        <v>1.0</v>
      </c>
      <c r="G8270" s="266">
        <v>43757.0</v>
      </c>
    </row>
    <row r="8271">
      <c r="A8271" s="217">
        <v>43762.48460116898</v>
      </c>
      <c r="B8271" s="3" t="s">
        <v>5092</v>
      </c>
      <c r="C8271" s="3" t="s">
        <v>9836</v>
      </c>
      <c r="D8271" s="265">
        <v>1.0</v>
      </c>
      <c r="G8271" s="266">
        <v>43757.0</v>
      </c>
    </row>
    <row r="8272">
      <c r="A8272" s="217">
        <v>43762.48485596065</v>
      </c>
      <c r="B8272" s="3" t="s">
        <v>5092</v>
      </c>
      <c r="C8272" s="3" t="s">
        <v>9837</v>
      </c>
      <c r="D8272" s="265">
        <v>1.0</v>
      </c>
      <c r="G8272" s="266">
        <v>43757.0</v>
      </c>
    </row>
    <row r="8273">
      <c r="A8273" s="217">
        <v>43762.48512631944</v>
      </c>
      <c r="B8273" s="3" t="s">
        <v>5092</v>
      </c>
      <c r="C8273" s="3" t="s">
        <v>9838</v>
      </c>
      <c r="D8273" s="265">
        <v>1.0</v>
      </c>
      <c r="G8273" s="266">
        <v>43757.0</v>
      </c>
    </row>
    <row r="8274">
      <c r="A8274" s="217">
        <v>43762.485328738425</v>
      </c>
      <c r="B8274" s="3" t="s">
        <v>5092</v>
      </c>
      <c r="C8274" s="3" t="s">
        <v>9839</v>
      </c>
      <c r="D8274" s="265">
        <v>1.0</v>
      </c>
      <c r="G8274" s="266">
        <v>43757.0</v>
      </c>
    </row>
    <row r="8275">
      <c r="A8275" s="217">
        <v>43762.48554119213</v>
      </c>
      <c r="B8275" s="3" t="s">
        <v>5092</v>
      </c>
      <c r="C8275" s="3" t="s">
        <v>9840</v>
      </c>
      <c r="D8275" s="265">
        <v>1.0</v>
      </c>
      <c r="G8275" s="266">
        <v>43757.0</v>
      </c>
    </row>
    <row r="8276">
      <c r="A8276" s="217">
        <v>43762.485858078704</v>
      </c>
      <c r="B8276" s="3" t="s">
        <v>5092</v>
      </c>
      <c r="C8276" s="3" t="s">
        <v>9841</v>
      </c>
      <c r="D8276" s="265">
        <v>1.0</v>
      </c>
      <c r="G8276" s="266">
        <v>43757.0</v>
      </c>
    </row>
    <row r="8277">
      <c r="A8277" s="217">
        <v>43762.48606618056</v>
      </c>
      <c r="B8277" s="3" t="s">
        <v>5092</v>
      </c>
      <c r="C8277" s="3" t="s">
        <v>9842</v>
      </c>
      <c r="D8277" s="265">
        <v>1.0</v>
      </c>
      <c r="G8277" s="266">
        <v>43757.0</v>
      </c>
    </row>
    <row r="8278">
      <c r="A8278" s="217">
        <v>43762.486306446765</v>
      </c>
      <c r="B8278" s="3" t="s">
        <v>5092</v>
      </c>
      <c r="C8278" s="3" t="s">
        <v>9843</v>
      </c>
      <c r="D8278" s="265">
        <v>1.0</v>
      </c>
      <c r="G8278" s="266">
        <v>43757.0</v>
      </c>
    </row>
    <row r="8279">
      <c r="A8279" s="217">
        <v>43762.48651819445</v>
      </c>
      <c r="B8279" s="3" t="s">
        <v>5092</v>
      </c>
      <c r="C8279" s="3" t="s">
        <v>9844</v>
      </c>
      <c r="D8279" s="265">
        <v>1.0</v>
      </c>
      <c r="G8279" s="266">
        <v>43757.0</v>
      </c>
    </row>
    <row r="8280">
      <c r="A8280" s="217">
        <v>43762.486735949075</v>
      </c>
      <c r="B8280" s="3" t="s">
        <v>5092</v>
      </c>
      <c r="C8280" s="3" t="s">
        <v>9845</v>
      </c>
      <c r="D8280" s="265">
        <v>1.0</v>
      </c>
      <c r="G8280" s="266">
        <v>43757.0</v>
      </c>
    </row>
    <row r="8281">
      <c r="A8281" s="217">
        <v>43762.4869921875</v>
      </c>
      <c r="B8281" s="3" t="s">
        <v>5092</v>
      </c>
      <c r="C8281" s="3" t="s">
        <v>9846</v>
      </c>
      <c r="D8281" s="265">
        <v>1.0</v>
      </c>
      <c r="G8281" s="266">
        <v>43757.0</v>
      </c>
    </row>
    <row r="8282">
      <c r="A8282" s="217">
        <v>43762.49068393519</v>
      </c>
      <c r="B8282" s="3" t="s">
        <v>5092</v>
      </c>
      <c r="C8282" s="3" t="s">
        <v>9847</v>
      </c>
      <c r="D8282" s="265">
        <v>1.0</v>
      </c>
      <c r="G8282" s="266">
        <v>43757.0</v>
      </c>
    </row>
    <row r="8283">
      <c r="A8283" s="217">
        <v>43762.490990266204</v>
      </c>
      <c r="B8283" s="3" t="s">
        <v>5092</v>
      </c>
      <c r="C8283" s="3" t="s">
        <v>9848</v>
      </c>
      <c r="D8283" s="265">
        <v>1.0</v>
      </c>
      <c r="G8283" s="266">
        <v>43757.0</v>
      </c>
    </row>
    <row r="8284">
      <c r="A8284" s="217">
        <v>43762.49122862269</v>
      </c>
      <c r="B8284" s="3" t="s">
        <v>5092</v>
      </c>
      <c r="C8284" s="3" t="s">
        <v>9849</v>
      </c>
      <c r="D8284" s="265">
        <v>1.0</v>
      </c>
      <c r="G8284" s="266">
        <v>43757.0</v>
      </c>
    </row>
    <row r="8285">
      <c r="A8285" s="217">
        <v>43762.491468148146</v>
      </c>
      <c r="B8285" s="3" t="s">
        <v>5092</v>
      </c>
      <c r="C8285" s="3" t="s">
        <v>9850</v>
      </c>
      <c r="D8285" s="265">
        <v>1.0</v>
      </c>
      <c r="G8285" s="266">
        <v>43757.0</v>
      </c>
    </row>
    <row r="8286">
      <c r="A8286" s="217">
        <v>43762.491691365736</v>
      </c>
      <c r="B8286" s="3" t="s">
        <v>5092</v>
      </c>
      <c r="C8286" s="3" t="s">
        <v>9851</v>
      </c>
      <c r="D8286" s="265">
        <v>1.0</v>
      </c>
      <c r="G8286" s="266">
        <v>43757.0</v>
      </c>
    </row>
    <row r="8287">
      <c r="A8287" s="217">
        <v>43762.491941307875</v>
      </c>
      <c r="B8287" s="3" t="s">
        <v>5092</v>
      </c>
      <c r="C8287" s="3" t="s">
        <v>9852</v>
      </c>
      <c r="D8287" s="265">
        <v>1.0</v>
      </c>
      <c r="G8287" s="266">
        <v>43757.0</v>
      </c>
    </row>
    <row r="8288">
      <c r="A8288" s="217">
        <v>43762.492158900466</v>
      </c>
      <c r="B8288" s="3" t="s">
        <v>5092</v>
      </c>
      <c r="C8288" s="3" t="s">
        <v>9853</v>
      </c>
      <c r="D8288" s="265">
        <v>1.0</v>
      </c>
      <c r="G8288" s="266">
        <v>43757.0</v>
      </c>
    </row>
    <row r="8289">
      <c r="A8289" s="217">
        <v>43762.49236278935</v>
      </c>
      <c r="B8289" s="3" t="s">
        <v>5092</v>
      </c>
      <c r="C8289" s="3" t="s">
        <v>9854</v>
      </c>
      <c r="D8289" s="265">
        <v>1.0</v>
      </c>
      <c r="G8289" s="266">
        <v>43757.0</v>
      </c>
    </row>
    <row r="8290">
      <c r="A8290" s="217">
        <v>43762.4925806713</v>
      </c>
      <c r="B8290" s="3" t="s">
        <v>5092</v>
      </c>
      <c r="C8290" s="3" t="s">
        <v>9855</v>
      </c>
      <c r="D8290" s="265">
        <v>1.0</v>
      </c>
      <c r="G8290" s="266">
        <v>43757.0</v>
      </c>
    </row>
    <row r="8291">
      <c r="A8291" s="217">
        <v>43762.49281591435</v>
      </c>
      <c r="B8291" s="3" t="s">
        <v>5092</v>
      </c>
      <c r="C8291" s="3" t="s">
        <v>9856</v>
      </c>
      <c r="D8291" s="265">
        <v>1.0</v>
      </c>
      <c r="G8291" s="266">
        <v>43757.0</v>
      </c>
    </row>
    <row r="8292">
      <c r="A8292" s="217">
        <v>43762.493057326385</v>
      </c>
      <c r="B8292" s="3" t="s">
        <v>5092</v>
      </c>
      <c r="C8292" s="3" t="s">
        <v>9857</v>
      </c>
      <c r="D8292" s="265">
        <v>1.0</v>
      </c>
      <c r="G8292" s="266">
        <v>43757.0</v>
      </c>
    </row>
    <row r="8293">
      <c r="A8293" s="217">
        <v>43762.49328148148</v>
      </c>
      <c r="B8293" s="3" t="s">
        <v>5092</v>
      </c>
      <c r="C8293" s="3" t="s">
        <v>9858</v>
      </c>
      <c r="D8293" s="265">
        <v>1.0</v>
      </c>
      <c r="G8293" s="266">
        <v>43757.0</v>
      </c>
    </row>
    <row r="8294">
      <c r="A8294" s="217">
        <v>43762.493497187505</v>
      </c>
      <c r="B8294" s="3" t="s">
        <v>5092</v>
      </c>
      <c r="C8294" s="3" t="s">
        <v>9859</v>
      </c>
      <c r="D8294" s="265">
        <v>1.0</v>
      </c>
      <c r="G8294" s="266">
        <v>43757.0</v>
      </c>
    </row>
    <row r="8295">
      <c r="A8295" s="217">
        <v>43762.493714745375</v>
      </c>
      <c r="B8295" s="3" t="s">
        <v>5092</v>
      </c>
      <c r="C8295" s="3" t="s">
        <v>9860</v>
      </c>
      <c r="D8295" s="265">
        <v>1.0</v>
      </c>
      <c r="G8295" s="266">
        <v>43757.0</v>
      </c>
    </row>
    <row r="8296">
      <c r="A8296" s="217">
        <v>43762.494098055555</v>
      </c>
      <c r="B8296" s="3" t="s">
        <v>5092</v>
      </c>
      <c r="C8296" s="3" t="s">
        <v>9861</v>
      </c>
      <c r="D8296" s="265">
        <v>1.0</v>
      </c>
      <c r="G8296" s="266">
        <v>43757.0</v>
      </c>
    </row>
    <row r="8297">
      <c r="A8297" s="217">
        <v>43762.49429659722</v>
      </c>
      <c r="B8297" s="3" t="s">
        <v>5092</v>
      </c>
      <c r="C8297" s="3" t="s">
        <v>9862</v>
      </c>
      <c r="D8297" s="265">
        <v>1.0</v>
      </c>
      <c r="G8297" s="266">
        <v>43757.0</v>
      </c>
    </row>
    <row r="8298">
      <c r="A8298" s="217">
        <v>43762.494584618056</v>
      </c>
      <c r="B8298" s="3" t="s">
        <v>5092</v>
      </c>
      <c r="C8298" s="3" t="s">
        <v>9863</v>
      </c>
      <c r="D8298" s="265">
        <v>1.0</v>
      </c>
      <c r="G8298" s="266">
        <v>43757.0</v>
      </c>
    </row>
    <row r="8299">
      <c r="A8299" s="217">
        <v>43762.494791481484</v>
      </c>
      <c r="B8299" s="3" t="s">
        <v>5092</v>
      </c>
      <c r="C8299" s="3" t="s">
        <v>9864</v>
      </c>
      <c r="D8299" s="265">
        <v>1.0</v>
      </c>
      <c r="G8299" s="266">
        <v>43757.0</v>
      </c>
    </row>
    <row r="8300">
      <c r="A8300" s="217">
        <v>43762.49501423611</v>
      </c>
      <c r="B8300" s="3" t="s">
        <v>5092</v>
      </c>
      <c r="C8300" s="3" t="s">
        <v>9865</v>
      </c>
      <c r="D8300" s="265">
        <v>1.0</v>
      </c>
      <c r="G8300" s="266">
        <v>43757.0</v>
      </c>
    </row>
    <row r="8301">
      <c r="A8301" s="217">
        <v>43762.495296493056</v>
      </c>
      <c r="B8301" s="3" t="s">
        <v>5092</v>
      </c>
      <c r="C8301" s="3" t="s">
        <v>9866</v>
      </c>
      <c r="D8301" s="265">
        <v>1.0</v>
      </c>
      <c r="G8301" s="266">
        <v>43757.0</v>
      </c>
    </row>
    <row r="8302">
      <c r="A8302" s="217">
        <v>43762.49550200232</v>
      </c>
      <c r="B8302" s="3" t="s">
        <v>5092</v>
      </c>
      <c r="C8302" s="3" t="s">
        <v>9867</v>
      </c>
      <c r="D8302" s="265">
        <v>1.0</v>
      </c>
      <c r="G8302" s="266">
        <v>43757.0</v>
      </c>
    </row>
    <row r="8303">
      <c r="A8303" s="217">
        <v>43762.495712511576</v>
      </c>
      <c r="B8303" s="3" t="s">
        <v>5092</v>
      </c>
      <c r="C8303" s="3" t="s">
        <v>9868</v>
      </c>
      <c r="D8303" s="265">
        <v>1.0</v>
      </c>
      <c r="G8303" s="266">
        <v>43757.0</v>
      </c>
    </row>
    <row r="8304">
      <c r="A8304" s="217">
        <v>43762.49591063657</v>
      </c>
      <c r="B8304" s="3" t="s">
        <v>5092</v>
      </c>
      <c r="C8304" s="3" t="s">
        <v>9869</v>
      </c>
      <c r="D8304" s="265">
        <v>1.0</v>
      </c>
      <c r="G8304" s="266">
        <v>43757.0</v>
      </c>
    </row>
    <row r="8305">
      <c r="A8305" s="217">
        <v>43762.49614449074</v>
      </c>
      <c r="B8305" s="3" t="s">
        <v>5092</v>
      </c>
      <c r="C8305" s="3" t="s">
        <v>9870</v>
      </c>
      <c r="D8305" s="265">
        <v>1.0</v>
      </c>
      <c r="G8305" s="266">
        <v>43757.0</v>
      </c>
    </row>
    <row r="8306">
      <c r="A8306" s="217">
        <v>43762.49670289352</v>
      </c>
      <c r="B8306" s="3" t="s">
        <v>5092</v>
      </c>
      <c r="C8306" s="3" t="s">
        <v>9871</v>
      </c>
      <c r="D8306" s="265">
        <v>1.0</v>
      </c>
      <c r="G8306" s="266">
        <v>43757.0</v>
      </c>
    </row>
    <row r="8307">
      <c r="A8307" s="217">
        <v>43762.50195600695</v>
      </c>
      <c r="B8307" s="3" t="s">
        <v>5092</v>
      </c>
      <c r="C8307" s="3" t="s">
        <v>9872</v>
      </c>
      <c r="D8307" s="265">
        <v>1.0</v>
      </c>
      <c r="G8307" s="266">
        <v>43757.0</v>
      </c>
    </row>
    <row r="8308">
      <c r="A8308" s="217">
        <v>43762.502201435185</v>
      </c>
      <c r="B8308" s="3" t="s">
        <v>5092</v>
      </c>
      <c r="C8308" s="3" t="s">
        <v>9873</v>
      </c>
      <c r="D8308" s="265">
        <v>1.0</v>
      </c>
      <c r="G8308" s="266">
        <v>43757.0</v>
      </c>
    </row>
    <row r="8309">
      <c r="A8309" s="217">
        <v>43762.502501180556</v>
      </c>
      <c r="B8309" s="3" t="s">
        <v>5092</v>
      </c>
      <c r="C8309" s="3" t="s">
        <v>9874</v>
      </c>
      <c r="D8309" s="265">
        <v>1.0</v>
      </c>
      <c r="G8309" s="266">
        <v>43757.0</v>
      </c>
    </row>
    <row r="8310">
      <c r="A8310" s="217">
        <v>43762.50270045139</v>
      </c>
      <c r="B8310" s="3" t="s">
        <v>5092</v>
      </c>
      <c r="C8310" s="3" t="s">
        <v>9875</v>
      </c>
      <c r="D8310" s="265">
        <v>1.0</v>
      </c>
      <c r="G8310" s="266">
        <v>43757.0</v>
      </c>
    </row>
    <row r="8311">
      <c r="A8311" s="217">
        <v>43762.50296813657</v>
      </c>
      <c r="B8311" s="3" t="s">
        <v>5092</v>
      </c>
      <c r="C8311" s="3" t="s">
        <v>9876</v>
      </c>
      <c r="D8311" s="265">
        <v>1.0</v>
      </c>
      <c r="G8311" s="266">
        <v>43757.0</v>
      </c>
    </row>
    <row r="8312">
      <c r="A8312" s="217">
        <v>43762.50318560185</v>
      </c>
      <c r="B8312" s="3" t="s">
        <v>5092</v>
      </c>
      <c r="C8312" s="3" t="s">
        <v>9877</v>
      </c>
      <c r="D8312" s="265">
        <v>1.0</v>
      </c>
      <c r="G8312" s="266">
        <v>43757.0</v>
      </c>
    </row>
    <row r="8313">
      <c r="A8313" s="217">
        <v>43762.50338744213</v>
      </c>
      <c r="B8313" s="3" t="s">
        <v>5092</v>
      </c>
      <c r="C8313" s="3" t="s">
        <v>9878</v>
      </c>
      <c r="D8313" s="265">
        <v>1.0</v>
      </c>
      <c r="G8313" s="266">
        <v>43757.0</v>
      </c>
    </row>
    <row r="8314">
      <c r="A8314" s="217">
        <v>43762.503597222225</v>
      </c>
      <c r="B8314" s="3" t="s">
        <v>5092</v>
      </c>
      <c r="C8314" s="3" t="s">
        <v>9879</v>
      </c>
      <c r="D8314" s="265">
        <v>1.0</v>
      </c>
      <c r="G8314" s="266">
        <v>43757.0</v>
      </c>
    </row>
    <row r="8315">
      <c r="A8315" s="217">
        <v>43762.50389233796</v>
      </c>
      <c r="B8315" s="3" t="s">
        <v>5092</v>
      </c>
      <c r="C8315" s="3" t="s">
        <v>9880</v>
      </c>
      <c r="D8315" s="265">
        <v>1.0</v>
      </c>
      <c r="G8315" s="266">
        <v>43757.0</v>
      </c>
    </row>
    <row r="8316">
      <c r="A8316" s="217">
        <v>43762.50414023148</v>
      </c>
      <c r="B8316" s="3" t="s">
        <v>5092</v>
      </c>
      <c r="C8316" s="3" t="s">
        <v>9881</v>
      </c>
      <c r="D8316" s="265">
        <v>1.0</v>
      </c>
      <c r="G8316" s="266">
        <v>43757.0</v>
      </c>
    </row>
    <row r="8317">
      <c r="A8317" s="217">
        <v>43762.50435873843</v>
      </c>
      <c r="B8317" s="3" t="s">
        <v>5092</v>
      </c>
      <c r="C8317" s="3" t="s">
        <v>9882</v>
      </c>
      <c r="D8317" s="265">
        <v>1.0</v>
      </c>
      <c r="G8317" s="266">
        <v>43757.0</v>
      </c>
    </row>
    <row r="8318">
      <c r="A8318" s="217">
        <v>43762.50457076389</v>
      </c>
      <c r="B8318" s="3" t="s">
        <v>5092</v>
      </c>
      <c r="C8318" s="3" t="s">
        <v>9883</v>
      </c>
      <c r="D8318" s="265">
        <v>1.0</v>
      </c>
      <c r="G8318" s="266">
        <v>43757.0</v>
      </c>
    </row>
    <row r="8319">
      <c r="A8319" s="217">
        <v>43762.5047931713</v>
      </c>
      <c r="B8319" s="3" t="s">
        <v>5092</v>
      </c>
      <c r="C8319" s="3" t="s">
        <v>9884</v>
      </c>
      <c r="D8319" s="265">
        <v>1.0</v>
      </c>
      <c r="G8319" s="266">
        <v>43757.0</v>
      </c>
    </row>
    <row r="8320">
      <c r="A8320" s="217">
        <v>43762.505012361114</v>
      </c>
      <c r="B8320" s="3" t="s">
        <v>5092</v>
      </c>
      <c r="C8320" s="3" t="s">
        <v>9885</v>
      </c>
      <c r="D8320" s="265">
        <v>1.0</v>
      </c>
      <c r="G8320" s="266">
        <v>43757.0</v>
      </c>
    </row>
    <row r="8321">
      <c r="A8321" s="217">
        <v>43762.50520930556</v>
      </c>
      <c r="B8321" s="3" t="s">
        <v>5092</v>
      </c>
      <c r="C8321" s="3" t="s">
        <v>9886</v>
      </c>
      <c r="D8321" s="265">
        <v>1.0</v>
      </c>
      <c r="G8321" s="266">
        <v>43757.0</v>
      </c>
    </row>
    <row r="8322">
      <c r="A8322" s="217">
        <v>43762.505424930554</v>
      </c>
      <c r="B8322" s="3" t="s">
        <v>5092</v>
      </c>
      <c r="C8322" s="3" t="s">
        <v>9887</v>
      </c>
      <c r="D8322" s="265">
        <v>1.0</v>
      </c>
      <c r="G8322" s="266">
        <v>43757.0</v>
      </c>
    </row>
    <row r="8323">
      <c r="A8323" s="217">
        <v>43762.50571898148</v>
      </c>
      <c r="B8323" s="3" t="s">
        <v>5092</v>
      </c>
      <c r="C8323" s="3" t="s">
        <v>9888</v>
      </c>
      <c r="D8323" s="265">
        <v>1.0</v>
      </c>
      <c r="G8323" s="266">
        <v>43757.0</v>
      </c>
    </row>
    <row r="8324">
      <c r="A8324" s="217">
        <v>43762.505927094906</v>
      </c>
      <c r="B8324" s="3" t="s">
        <v>5092</v>
      </c>
      <c r="C8324" s="3" t="s">
        <v>9889</v>
      </c>
      <c r="D8324" s="265">
        <v>1.0</v>
      </c>
      <c r="G8324" s="266">
        <v>43757.0</v>
      </c>
    </row>
    <row r="8325">
      <c r="A8325" s="217">
        <v>43762.506159745375</v>
      </c>
      <c r="B8325" s="3" t="s">
        <v>5092</v>
      </c>
      <c r="C8325" s="3" t="s">
        <v>9890</v>
      </c>
      <c r="D8325" s="265">
        <v>1.0</v>
      </c>
      <c r="G8325" s="266">
        <v>43757.0</v>
      </c>
    </row>
    <row r="8326">
      <c r="A8326" s="217">
        <v>43762.50636486111</v>
      </c>
      <c r="B8326" s="3" t="s">
        <v>5092</v>
      </c>
      <c r="C8326" s="3" t="s">
        <v>9891</v>
      </c>
      <c r="D8326" s="265">
        <v>1.0</v>
      </c>
      <c r="G8326" s="266">
        <v>43757.0</v>
      </c>
    </row>
    <row r="8327">
      <c r="A8327" s="217">
        <v>43762.50656361111</v>
      </c>
      <c r="B8327" s="3" t="s">
        <v>5092</v>
      </c>
      <c r="C8327" s="3" t="s">
        <v>9892</v>
      </c>
      <c r="D8327" s="265">
        <v>1.0</v>
      </c>
      <c r="G8327" s="266">
        <v>43757.0</v>
      </c>
    </row>
    <row r="8328">
      <c r="A8328" s="217">
        <v>43762.50680671296</v>
      </c>
      <c r="B8328" s="3" t="s">
        <v>5092</v>
      </c>
      <c r="C8328" s="3" t="s">
        <v>9893</v>
      </c>
      <c r="D8328" s="265">
        <v>1.0</v>
      </c>
      <c r="G8328" s="266">
        <v>43757.0</v>
      </c>
    </row>
    <row r="8329">
      <c r="A8329" s="217">
        <v>43762.50705488426</v>
      </c>
      <c r="B8329" s="3" t="s">
        <v>5092</v>
      </c>
      <c r="C8329" s="3" t="s">
        <v>9894</v>
      </c>
      <c r="D8329" s="265">
        <v>1.0</v>
      </c>
      <c r="G8329" s="266">
        <v>43757.0</v>
      </c>
    </row>
    <row r="8330">
      <c r="A8330" s="217">
        <v>43762.507283796294</v>
      </c>
      <c r="B8330" s="3" t="s">
        <v>5092</v>
      </c>
      <c r="C8330" s="3" t="s">
        <v>9895</v>
      </c>
      <c r="D8330" s="265">
        <v>1.0</v>
      </c>
      <c r="G8330" s="266">
        <v>43757.0</v>
      </c>
    </row>
    <row r="8331">
      <c r="A8331" s="217">
        <v>43762.50875046296</v>
      </c>
      <c r="B8331" s="3" t="s">
        <v>5092</v>
      </c>
      <c r="C8331" s="3" t="s">
        <v>9896</v>
      </c>
      <c r="D8331" s="265">
        <v>1.0</v>
      </c>
      <c r="G8331" s="266">
        <v>43757.0</v>
      </c>
    </row>
    <row r="8332">
      <c r="A8332" s="217">
        <v>43762.50901471065</v>
      </c>
      <c r="B8332" s="3" t="s">
        <v>5092</v>
      </c>
      <c r="C8332" s="3" t="s">
        <v>9897</v>
      </c>
      <c r="D8332" s="265">
        <v>1.0</v>
      </c>
      <c r="G8332" s="266">
        <v>43757.0</v>
      </c>
    </row>
    <row r="8333">
      <c r="A8333" s="217">
        <v>43762.50924018519</v>
      </c>
      <c r="B8333" s="3" t="s">
        <v>5092</v>
      </c>
      <c r="C8333" s="3" t="s">
        <v>9898</v>
      </c>
      <c r="D8333" s="265">
        <v>1.0</v>
      </c>
      <c r="G8333" s="266">
        <v>43757.0</v>
      </c>
    </row>
    <row r="8334">
      <c r="A8334" s="217">
        <v>43762.50944657407</v>
      </c>
      <c r="B8334" s="3" t="s">
        <v>5092</v>
      </c>
      <c r="C8334" s="3" t="s">
        <v>9899</v>
      </c>
      <c r="D8334" s="265">
        <v>1.0</v>
      </c>
      <c r="G8334" s="266">
        <v>43757.0</v>
      </c>
    </row>
    <row r="8335">
      <c r="A8335" s="217">
        <v>43762.50969909722</v>
      </c>
      <c r="B8335" s="3" t="s">
        <v>5092</v>
      </c>
      <c r="C8335" s="3" t="s">
        <v>9900</v>
      </c>
      <c r="D8335" s="265">
        <v>1.0</v>
      </c>
      <c r="G8335" s="266">
        <v>43757.0</v>
      </c>
    </row>
    <row r="8336">
      <c r="A8336" s="217">
        <v>43762.50989847222</v>
      </c>
      <c r="B8336" s="3" t="s">
        <v>5092</v>
      </c>
      <c r="C8336" s="3" t="s">
        <v>9901</v>
      </c>
      <c r="D8336" s="265">
        <v>1.0</v>
      </c>
      <c r="G8336" s="266">
        <v>43757.0</v>
      </c>
    </row>
    <row r="8337">
      <c r="A8337" s="217">
        <v>43762.51010195602</v>
      </c>
      <c r="B8337" s="3" t="s">
        <v>5092</v>
      </c>
      <c r="C8337" s="3" t="s">
        <v>9902</v>
      </c>
      <c r="D8337" s="265">
        <v>1.0</v>
      </c>
      <c r="G8337" s="266">
        <v>43757.0</v>
      </c>
    </row>
    <row r="8338">
      <c r="A8338" s="217">
        <v>43762.51032086805</v>
      </c>
      <c r="B8338" s="3" t="s">
        <v>5092</v>
      </c>
      <c r="C8338" s="3" t="s">
        <v>9903</v>
      </c>
      <c r="D8338" s="265">
        <v>1.0</v>
      </c>
      <c r="G8338" s="266">
        <v>43757.0</v>
      </c>
    </row>
    <row r="8339">
      <c r="A8339" s="217">
        <v>43762.51052135417</v>
      </c>
      <c r="B8339" s="3" t="s">
        <v>5092</v>
      </c>
      <c r="C8339" s="3" t="s">
        <v>9904</v>
      </c>
      <c r="D8339" s="265">
        <v>1.0</v>
      </c>
      <c r="G8339" s="266">
        <v>43757.0</v>
      </c>
    </row>
    <row r="8340">
      <c r="A8340" s="217">
        <v>43762.51072386574</v>
      </c>
      <c r="B8340" s="3" t="s">
        <v>5092</v>
      </c>
      <c r="C8340" s="3" t="s">
        <v>9905</v>
      </c>
      <c r="D8340" s="265">
        <v>1.0</v>
      </c>
      <c r="G8340" s="266">
        <v>43757.0</v>
      </c>
    </row>
    <row r="8341">
      <c r="A8341" s="217">
        <v>43762.51093960648</v>
      </c>
      <c r="B8341" s="3" t="s">
        <v>5092</v>
      </c>
      <c r="C8341" s="3" t="s">
        <v>9906</v>
      </c>
      <c r="D8341" s="265">
        <v>1.0</v>
      </c>
      <c r="G8341" s="266">
        <v>43757.0</v>
      </c>
    </row>
    <row r="8342">
      <c r="A8342" s="217">
        <v>43762.511174513886</v>
      </c>
      <c r="B8342" s="3" t="s">
        <v>5092</v>
      </c>
      <c r="C8342" s="3" t="s">
        <v>9907</v>
      </c>
      <c r="D8342" s="265">
        <v>1.0</v>
      </c>
      <c r="G8342" s="266">
        <v>43757.0</v>
      </c>
    </row>
    <row r="8343">
      <c r="A8343" s="217">
        <v>43762.51139846064</v>
      </c>
      <c r="B8343" s="3" t="s">
        <v>5092</v>
      </c>
      <c r="C8343" s="3" t="s">
        <v>9908</v>
      </c>
      <c r="D8343" s="265">
        <v>1.0</v>
      </c>
      <c r="G8343" s="266">
        <v>43757.0</v>
      </c>
    </row>
    <row r="8344">
      <c r="A8344" s="217">
        <v>43762.511680682874</v>
      </c>
      <c r="B8344" s="3" t="s">
        <v>5092</v>
      </c>
      <c r="C8344" s="3" t="s">
        <v>9909</v>
      </c>
      <c r="D8344" s="265">
        <v>1.0</v>
      </c>
      <c r="G8344" s="266">
        <v>43757.0</v>
      </c>
    </row>
    <row r="8345">
      <c r="A8345" s="217">
        <v>43762.51188974537</v>
      </c>
      <c r="B8345" s="3" t="s">
        <v>5092</v>
      </c>
      <c r="C8345" s="3" t="s">
        <v>9910</v>
      </c>
      <c r="D8345" s="265">
        <v>1.0</v>
      </c>
      <c r="G8345" s="266">
        <v>43757.0</v>
      </c>
    </row>
    <row r="8346">
      <c r="A8346" s="217">
        <v>43762.51209208333</v>
      </c>
      <c r="B8346" s="3" t="s">
        <v>5092</v>
      </c>
      <c r="C8346" s="3" t="s">
        <v>9911</v>
      </c>
      <c r="D8346" s="265">
        <v>1.0</v>
      </c>
      <c r="G8346" s="266">
        <v>43757.0</v>
      </c>
    </row>
    <row r="8347">
      <c r="A8347" s="217">
        <v>43762.51233193287</v>
      </c>
      <c r="B8347" s="3" t="s">
        <v>5092</v>
      </c>
      <c r="C8347" s="3" t="s">
        <v>9912</v>
      </c>
      <c r="D8347" s="265">
        <v>1.0</v>
      </c>
      <c r="G8347" s="266">
        <v>43757.0</v>
      </c>
    </row>
    <row r="8348">
      <c r="A8348" s="217">
        <v>43762.512593645835</v>
      </c>
      <c r="B8348" s="3" t="s">
        <v>5092</v>
      </c>
      <c r="C8348" s="3" t="s">
        <v>9913</v>
      </c>
      <c r="D8348" s="265">
        <v>1.0</v>
      </c>
      <c r="G8348" s="266">
        <v>43757.0</v>
      </c>
    </row>
    <row r="8349">
      <c r="A8349" s="217">
        <v>43762.51549575232</v>
      </c>
      <c r="B8349" s="3" t="s">
        <v>5184</v>
      </c>
      <c r="C8349" s="3" t="s">
        <v>9914</v>
      </c>
      <c r="D8349" s="265">
        <v>1.0</v>
      </c>
      <c r="G8349" s="266">
        <v>43760.0</v>
      </c>
    </row>
    <row r="8350">
      <c r="A8350" s="217">
        <v>43762.51602672454</v>
      </c>
      <c r="B8350" s="3" t="s">
        <v>5184</v>
      </c>
      <c r="C8350" s="3" t="s">
        <v>9917</v>
      </c>
      <c r="D8350" s="265">
        <v>1.0</v>
      </c>
      <c r="G8350" s="266">
        <v>43760.0</v>
      </c>
    </row>
    <row r="8351">
      <c r="A8351" s="217">
        <v>43762.51746001157</v>
      </c>
      <c r="B8351" s="3" t="s">
        <v>5184</v>
      </c>
      <c r="C8351" s="3" t="s">
        <v>9619</v>
      </c>
      <c r="D8351" s="265">
        <v>1.0</v>
      </c>
      <c r="G8351" s="266">
        <v>43760.0</v>
      </c>
    </row>
    <row r="8352">
      <c r="A8352" s="217">
        <v>43762.524711782404</v>
      </c>
      <c r="B8352" s="3" t="s">
        <v>5184</v>
      </c>
      <c r="C8352" s="3" t="s">
        <v>9608</v>
      </c>
      <c r="D8352" s="265">
        <v>1.0</v>
      </c>
      <c r="G8352" s="266">
        <v>43760.0</v>
      </c>
    </row>
    <row r="8353">
      <c r="A8353" s="217">
        <v>43762.525283553245</v>
      </c>
      <c r="B8353" s="3" t="s">
        <v>5184</v>
      </c>
      <c r="C8353" s="3" t="s">
        <v>9549</v>
      </c>
      <c r="D8353" s="265">
        <v>1.0</v>
      </c>
      <c r="G8353" s="266">
        <v>43757.0</v>
      </c>
    </row>
    <row r="8354">
      <c r="A8354" s="217">
        <v>43762.52587666667</v>
      </c>
      <c r="B8354" s="3" t="s">
        <v>5184</v>
      </c>
      <c r="C8354" s="3" t="s">
        <v>9918</v>
      </c>
      <c r="D8354" s="265">
        <v>1.0</v>
      </c>
      <c r="G8354" s="266">
        <v>43760.0</v>
      </c>
    </row>
    <row r="8355">
      <c r="A8355" s="217">
        <v>43762.52633350695</v>
      </c>
      <c r="B8355" s="3" t="s">
        <v>5184</v>
      </c>
      <c r="C8355" s="3" t="s">
        <v>9919</v>
      </c>
      <c r="D8355" s="265">
        <v>1.0</v>
      </c>
      <c r="G8355" s="266">
        <v>43757.0</v>
      </c>
    </row>
    <row r="8356">
      <c r="A8356" s="217">
        <v>43762.526809710645</v>
      </c>
      <c r="B8356" s="3" t="s">
        <v>5184</v>
      </c>
      <c r="C8356" s="3" t="s">
        <v>9920</v>
      </c>
      <c r="D8356" s="265">
        <v>1.0</v>
      </c>
      <c r="G8356" s="266">
        <v>43760.0</v>
      </c>
    </row>
    <row r="8357">
      <c r="A8357" s="217">
        <v>43762.5310250926</v>
      </c>
      <c r="B8357" s="3" t="s">
        <v>5184</v>
      </c>
      <c r="C8357" s="3" t="s">
        <v>1224</v>
      </c>
      <c r="D8357" s="265">
        <v>1.0</v>
      </c>
      <c r="E8357" s="3">
        <v>9500.0</v>
      </c>
      <c r="G8357" s="266">
        <v>43761.0</v>
      </c>
    </row>
    <row r="8358">
      <c r="A8358" s="217">
        <v>43762.531378368054</v>
      </c>
      <c r="B8358" s="3" t="s">
        <v>5184</v>
      </c>
      <c r="C8358" s="3" t="s">
        <v>4503</v>
      </c>
      <c r="D8358" s="265">
        <v>1.0</v>
      </c>
      <c r="E8358" s="3">
        <v>2299.0</v>
      </c>
      <c r="G8358" s="266">
        <v>43761.0</v>
      </c>
    </row>
    <row r="8359">
      <c r="A8359" s="217">
        <v>43762.531756909724</v>
      </c>
      <c r="B8359" s="3" t="s">
        <v>5184</v>
      </c>
      <c r="C8359" s="3" t="s">
        <v>4519</v>
      </c>
      <c r="D8359" s="265">
        <v>1.0</v>
      </c>
      <c r="E8359" s="3">
        <v>1699.0</v>
      </c>
      <c r="G8359" s="266">
        <v>43761.0</v>
      </c>
    </row>
    <row r="8360">
      <c r="A8360" s="217">
        <v>43762.5323309375</v>
      </c>
      <c r="B8360" s="3" t="s">
        <v>5184</v>
      </c>
      <c r="C8360" s="3" t="s">
        <v>4541</v>
      </c>
      <c r="D8360" s="265">
        <v>1.0</v>
      </c>
      <c r="E8360" s="3">
        <v>2899.0</v>
      </c>
      <c r="G8360" s="266">
        <v>43761.0</v>
      </c>
    </row>
    <row r="8361">
      <c r="A8361" s="217">
        <v>43762.53272697917</v>
      </c>
      <c r="B8361" s="3" t="s">
        <v>5184</v>
      </c>
      <c r="C8361" s="3" t="s">
        <v>4548</v>
      </c>
      <c r="D8361" s="265">
        <v>1.0</v>
      </c>
      <c r="E8361" s="3">
        <v>2699.0</v>
      </c>
      <c r="G8361" s="266">
        <v>43761.0</v>
      </c>
    </row>
    <row r="8362">
      <c r="A8362" s="217">
        <v>43762.53307755787</v>
      </c>
      <c r="B8362" s="3" t="s">
        <v>5184</v>
      </c>
      <c r="C8362" s="3" t="s">
        <v>1250</v>
      </c>
      <c r="D8362" s="265">
        <v>1.0</v>
      </c>
      <c r="E8362" s="3">
        <v>2699.0</v>
      </c>
      <c r="G8362" s="266">
        <v>43761.0</v>
      </c>
    </row>
    <row r="8363">
      <c r="A8363" s="217">
        <v>43762.533720127314</v>
      </c>
      <c r="B8363" s="3" t="s">
        <v>5184</v>
      </c>
      <c r="C8363" s="3" t="s">
        <v>4557</v>
      </c>
      <c r="D8363" s="265">
        <v>1.0</v>
      </c>
      <c r="E8363" s="3">
        <v>2599.0</v>
      </c>
      <c r="G8363" s="266">
        <v>43761.0</v>
      </c>
    </row>
    <row r="8364">
      <c r="A8364" s="217">
        <v>43762.53419467593</v>
      </c>
      <c r="B8364" s="3" t="s">
        <v>5184</v>
      </c>
      <c r="C8364" s="3" t="s">
        <v>4714</v>
      </c>
      <c r="D8364" s="265">
        <v>1.0</v>
      </c>
      <c r="E8364" s="3">
        <v>2699.0</v>
      </c>
      <c r="G8364" s="266">
        <v>43761.0</v>
      </c>
    </row>
    <row r="8365">
      <c r="A8365" s="217">
        <v>43762.53457672454</v>
      </c>
      <c r="B8365" s="3" t="s">
        <v>5184</v>
      </c>
      <c r="C8365" s="3" t="s">
        <v>4726</v>
      </c>
      <c r="D8365" s="265">
        <v>1.0</v>
      </c>
      <c r="E8365" s="3">
        <v>2699.0</v>
      </c>
      <c r="G8365" s="266">
        <v>43761.0</v>
      </c>
    </row>
    <row r="8366">
      <c r="A8366" s="217">
        <v>43762.53507585648</v>
      </c>
      <c r="B8366" s="3" t="s">
        <v>5184</v>
      </c>
      <c r="C8366" s="3" t="s">
        <v>4738</v>
      </c>
      <c r="D8366" s="265">
        <v>1.0</v>
      </c>
      <c r="E8366" s="3">
        <v>2199.0</v>
      </c>
      <c r="G8366" s="266">
        <v>43761.0</v>
      </c>
    </row>
    <row r="8367">
      <c r="A8367" s="217">
        <v>43762.53540983796</v>
      </c>
      <c r="B8367" s="3" t="s">
        <v>5184</v>
      </c>
      <c r="C8367" s="3" t="s">
        <v>4746</v>
      </c>
      <c r="D8367" s="265">
        <v>1.0</v>
      </c>
      <c r="E8367" s="3">
        <v>1999.0</v>
      </c>
      <c r="G8367" s="266">
        <v>43761.0</v>
      </c>
    </row>
    <row r="8368">
      <c r="A8368" s="217">
        <v>43762.536076261575</v>
      </c>
      <c r="B8368" s="3" t="s">
        <v>5184</v>
      </c>
      <c r="C8368" s="3" t="s">
        <v>4748</v>
      </c>
      <c r="D8368" s="265">
        <v>1.0</v>
      </c>
      <c r="E8368" s="3">
        <v>2299.0</v>
      </c>
      <c r="G8368" s="266">
        <v>43761.0</v>
      </c>
    </row>
    <row r="8369">
      <c r="A8369" s="217">
        <v>43762.5366397801</v>
      </c>
      <c r="B8369" s="3" t="s">
        <v>5184</v>
      </c>
      <c r="C8369" s="3" t="s">
        <v>4754</v>
      </c>
      <c r="D8369" s="265">
        <v>1.0</v>
      </c>
      <c r="E8369" s="3">
        <v>2299.0</v>
      </c>
      <c r="G8369" s="266">
        <v>43761.0</v>
      </c>
    </row>
    <row r="8370">
      <c r="A8370" s="217">
        <v>43762.53704789352</v>
      </c>
      <c r="B8370" s="3" t="s">
        <v>5184</v>
      </c>
      <c r="C8370" s="3" t="s">
        <v>4756</v>
      </c>
      <c r="D8370" s="265">
        <v>1.0</v>
      </c>
      <c r="E8370" s="3">
        <v>2499.0</v>
      </c>
      <c r="G8370" s="266">
        <v>43761.0</v>
      </c>
    </row>
    <row r="8371">
      <c r="A8371" s="217">
        <v>43762.537383622686</v>
      </c>
      <c r="B8371" s="3" t="s">
        <v>5184</v>
      </c>
      <c r="C8371" s="3" t="s">
        <v>4760</v>
      </c>
      <c r="D8371" s="265">
        <v>1.0</v>
      </c>
      <c r="E8371" s="3">
        <v>2099.0</v>
      </c>
      <c r="G8371" s="266">
        <v>43761.0</v>
      </c>
    </row>
    <row r="8372">
      <c r="A8372" s="217">
        <v>43762.537844085644</v>
      </c>
      <c r="B8372" s="3" t="s">
        <v>5184</v>
      </c>
      <c r="C8372" s="3" t="s">
        <v>4762</v>
      </c>
      <c r="D8372" s="265">
        <v>1.0</v>
      </c>
      <c r="E8372" s="3">
        <v>2699.0</v>
      </c>
      <c r="G8372" s="266">
        <v>43761.0</v>
      </c>
    </row>
    <row r="8373">
      <c r="A8373" s="217">
        <v>43762.53819651621</v>
      </c>
      <c r="B8373" s="3" t="s">
        <v>5184</v>
      </c>
      <c r="C8373" s="3" t="s">
        <v>4764</v>
      </c>
      <c r="D8373" s="265">
        <v>1.0</v>
      </c>
      <c r="E8373" s="3">
        <v>2499.0</v>
      </c>
      <c r="G8373" s="266">
        <v>43761.0</v>
      </c>
    </row>
    <row r="8374">
      <c r="A8374" s="217">
        <v>43762.538515023145</v>
      </c>
      <c r="B8374" s="3" t="s">
        <v>5184</v>
      </c>
      <c r="C8374" s="3" t="s">
        <v>9922</v>
      </c>
      <c r="D8374" s="265">
        <v>1.0</v>
      </c>
      <c r="E8374" s="3">
        <v>2250.0</v>
      </c>
      <c r="G8374" s="266">
        <v>43761.0</v>
      </c>
    </row>
    <row r="8375">
      <c r="A8375" s="217">
        <v>43762.53917425926</v>
      </c>
      <c r="B8375" s="3" t="s">
        <v>5184</v>
      </c>
      <c r="C8375" s="3" t="s">
        <v>1252</v>
      </c>
      <c r="D8375" s="265">
        <v>1.0</v>
      </c>
      <c r="E8375" s="3">
        <v>2499.0</v>
      </c>
      <c r="G8375" s="266">
        <v>43761.0</v>
      </c>
    </row>
    <row r="8376">
      <c r="A8376" s="217">
        <v>43762.53952172454</v>
      </c>
      <c r="B8376" s="3" t="s">
        <v>5184</v>
      </c>
      <c r="C8376" s="3" t="s">
        <v>1254</v>
      </c>
      <c r="D8376" s="265">
        <v>1.0</v>
      </c>
      <c r="E8376" s="3">
        <v>2299.0</v>
      </c>
      <c r="G8376" s="266">
        <v>43761.0</v>
      </c>
    </row>
    <row r="8377">
      <c r="A8377" s="217">
        <v>43762.53984895833</v>
      </c>
      <c r="B8377" s="3" t="s">
        <v>5184</v>
      </c>
      <c r="C8377" s="3" t="s">
        <v>4774</v>
      </c>
      <c r="D8377" s="265">
        <v>1.0</v>
      </c>
      <c r="E8377" s="3">
        <v>2699.0</v>
      </c>
      <c r="G8377" s="266">
        <v>43761.0</v>
      </c>
    </row>
    <row r="8378">
      <c r="A8378" s="217">
        <v>43762.5405415625</v>
      </c>
      <c r="B8378" s="3" t="s">
        <v>5184</v>
      </c>
      <c r="C8378" s="3" t="s">
        <v>4776</v>
      </c>
      <c r="D8378" s="265">
        <v>1.0</v>
      </c>
      <c r="E8378" s="3">
        <v>2699.0</v>
      </c>
      <c r="G8378" s="266">
        <v>43761.0</v>
      </c>
    </row>
    <row r="8379">
      <c r="A8379" s="217">
        <v>43762.54088353009</v>
      </c>
      <c r="B8379" s="3" t="s">
        <v>5184</v>
      </c>
      <c r="C8379" s="3" t="s">
        <v>1255</v>
      </c>
      <c r="D8379" s="265">
        <v>1.0</v>
      </c>
      <c r="E8379" s="3">
        <v>2799.0</v>
      </c>
      <c r="G8379" s="266">
        <v>43761.0</v>
      </c>
    </row>
    <row r="8380">
      <c r="A8380" s="217">
        <v>43762.541191435186</v>
      </c>
      <c r="B8380" s="3" t="s">
        <v>5184</v>
      </c>
      <c r="C8380" s="3" t="s">
        <v>9923</v>
      </c>
      <c r="D8380" s="265">
        <v>1.0</v>
      </c>
      <c r="E8380" s="3">
        <v>2099.0</v>
      </c>
      <c r="G8380" s="266">
        <v>43761.0</v>
      </c>
    </row>
    <row r="8381">
      <c r="A8381" s="217">
        <v>43762.54154144676</v>
      </c>
      <c r="B8381" s="3" t="s">
        <v>5184</v>
      </c>
      <c r="C8381" s="3" t="s">
        <v>9924</v>
      </c>
      <c r="D8381" s="265">
        <v>1.0</v>
      </c>
      <c r="E8381" s="3">
        <v>2099.0</v>
      </c>
      <c r="G8381" s="266">
        <v>43761.0</v>
      </c>
    </row>
    <row r="8382">
      <c r="A8382" s="217">
        <v>43762.54189194445</v>
      </c>
      <c r="B8382" s="3" t="s">
        <v>5184</v>
      </c>
      <c r="C8382" s="3" t="s">
        <v>4792</v>
      </c>
      <c r="D8382" s="265">
        <v>1.0</v>
      </c>
      <c r="E8382" s="3">
        <v>1499.0</v>
      </c>
      <c r="G8382" s="266">
        <v>43761.0</v>
      </c>
    </row>
    <row r="8383">
      <c r="A8383" s="217">
        <v>43762.54301866898</v>
      </c>
      <c r="B8383" s="3" t="s">
        <v>5184</v>
      </c>
      <c r="C8383" s="3" t="s">
        <v>694</v>
      </c>
      <c r="D8383" s="265">
        <v>1.0</v>
      </c>
      <c r="E8383" s="3">
        <v>1299.0</v>
      </c>
      <c r="G8383" s="266">
        <v>43761.0</v>
      </c>
    </row>
    <row r="8384">
      <c r="A8384" s="217">
        <v>43762.543555868055</v>
      </c>
      <c r="B8384" s="3" t="s">
        <v>5184</v>
      </c>
      <c r="C8384" s="3" t="s">
        <v>4795</v>
      </c>
      <c r="D8384" s="265">
        <v>1.0</v>
      </c>
      <c r="E8384" s="3">
        <v>1699.0</v>
      </c>
      <c r="G8384" s="266">
        <v>43761.0</v>
      </c>
    </row>
    <row r="8385">
      <c r="A8385" s="217">
        <v>43762.5438812963</v>
      </c>
      <c r="B8385" s="3" t="s">
        <v>5184</v>
      </c>
      <c r="C8385" s="3" t="s">
        <v>4798</v>
      </c>
      <c r="D8385" s="265">
        <v>1.0</v>
      </c>
      <c r="E8385" s="3">
        <v>2099.0</v>
      </c>
      <c r="G8385" s="266">
        <v>43757.0</v>
      </c>
    </row>
    <row r="8386">
      <c r="A8386" s="217">
        <v>43762.544234456014</v>
      </c>
      <c r="B8386" s="3" t="s">
        <v>5184</v>
      </c>
      <c r="C8386" s="3" t="s">
        <v>4588</v>
      </c>
      <c r="D8386" s="265">
        <v>1.0</v>
      </c>
      <c r="E8386" s="3">
        <v>2099.0</v>
      </c>
      <c r="G8386" s="266">
        <v>43761.0</v>
      </c>
    </row>
    <row r="8387">
      <c r="A8387" s="217">
        <v>43762.54480122685</v>
      </c>
      <c r="B8387" s="3" t="s">
        <v>5184</v>
      </c>
      <c r="C8387" s="3" t="s">
        <v>4590</v>
      </c>
      <c r="D8387" s="265">
        <v>1.0</v>
      </c>
      <c r="E8387" s="3">
        <v>1895.0</v>
      </c>
      <c r="G8387" s="266">
        <v>43761.0</v>
      </c>
    </row>
    <row r="8388">
      <c r="A8388" s="217">
        <v>43762.54516796296</v>
      </c>
      <c r="B8388" s="3" t="s">
        <v>5184</v>
      </c>
      <c r="C8388" s="3" t="s">
        <v>1257</v>
      </c>
      <c r="D8388" s="265">
        <v>1.0</v>
      </c>
      <c r="E8388" s="3">
        <v>1299.0</v>
      </c>
      <c r="G8388" s="266">
        <v>43761.0</v>
      </c>
    </row>
    <row r="8389">
      <c r="A8389" s="217">
        <v>43762.54563232639</v>
      </c>
      <c r="B8389" s="3" t="s">
        <v>5184</v>
      </c>
      <c r="C8389" s="3" t="s">
        <v>4595</v>
      </c>
      <c r="D8389" s="265">
        <v>1.0</v>
      </c>
      <c r="E8389" s="3">
        <v>1295.0</v>
      </c>
      <c r="G8389" s="266">
        <v>43761.0</v>
      </c>
    </row>
    <row r="8390">
      <c r="A8390" s="217">
        <v>43762.54596258102</v>
      </c>
      <c r="B8390" s="3" t="s">
        <v>5184</v>
      </c>
      <c r="C8390" s="3" t="s">
        <v>9925</v>
      </c>
      <c r="D8390" s="265">
        <v>1.0</v>
      </c>
      <c r="E8390" s="3">
        <v>1499.0</v>
      </c>
      <c r="G8390" s="266">
        <v>43761.0</v>
      </c>
    </row>
    <row r="8391">
      <c r="A8391" s="217">
        <v>43762.546303634255</v>
      </c>
      <c r="B8391" s="3" t="s">
        <v>5184</v>
      </c>
      <c r="C8391" s="3" t="s">
        <v>4603</v>
      </c>
      <c r="D8391" s="265">
        <v>1.0</v>
      </c>
      <c r="E8391" s="3">
        <v>1299.0</v>
      </c>
      <c r="G8391" s="266">
        <v>43761.0</v>
      </c>
    </row>
    <row r="8392">
      <c r="A8392" s="217">
        <v>43762.54662318287</v>
      </c>
      <c r="B8392" s="3" t="s">
        <v>5184</v>
      </c>
      <c r="C8392" s="3" t="s">
        <v>1260</v>
      </c>
      <c r="D8392" s="265">
        <v>1.0</v>
      </c>
      <c r="E8392" s="3">
        <v>1299.0</v>
      </c>
      <c r="G8392" s="266">
        <v>43761.0</v>
      </c>
    </row>
    <row r="8393">
      <c r="A8393" s="217">
        <v>43762.54695657408</v>
      </c>
      <c r="B8393" s="3" t="s">
        <v>5184</v>
      </c>
      <c r="C8393" s="3" t="s">
        <v>1259</v>
      </c>
      <c r="D8393" s="265">
        <v>1.0</v>
      </c>
      <c r="E8393" s="3">
        <v>1299.0</v>
      </c>
      <c r="G8393" s="266">
        <v>43761.0</v>
      </c>
    </row>
    <row r="8394">
      <c r="A8394" s="217">
        <v>43762.547500960645</v>
      </c>
      <c r="B8394" s="3" t="s">
        <v>5184</v>
      </c>
      <c r="C8394" s="3" t="s">
        <v>4609</v>
      </c>
      <c r="D8394" s="265">
        <v>1.0</v>
      </c>
      <c r="E8394" s="3">
        <v>2599.0</v>
      </c>
      <c r="G8394" s="266">
        <v>43761.0</v>
      </c>
    </row>
    <row r="8395">
      <c r="A8395" s="217">
        <v>43762.547802754634</v>
      </c>
      <c r="B8395" s="3" t="s">
        <v>5184</v>
      </c>
      <c r="C8395" s="3" t="s">
        <v>1261</v>
      </c>
      <c r="D8395" s="265">
        <v>1.0</v>
      </c>
      <c r="E8395" s="3">
        <v>2899.0</v>
      </c>
      <c r="G8395" s="266">
        <v>43761.0</v>
      </c>
    </row>
    <row r="8396">
      <c r="A8396" s="217">
        <v>43762.54818106482</v>
      </c>
      <c r="B8396" s="3" t="s">
        <v>5184</v>
      </c>
      <c r="C8396" s="3" t="s">
        <v>4611</v>
      </c>
      <c r="D8396" s="265">
        <v>1.0</v>
      </c>
      <c r="E8396" s="3">
        <v>1099.0</v>
      </c>
      <c r="G8396" s="266">
        <v>43761.0</v>
      </c>
    </row>
    <row r="8397">
      <c r="A8397" s="217">
        <v>43762.54867960648</v>
      </c>
      <c r="B8397" s="3" t="s">
        <v>5184</v>
      </c>
      <c r="C8397" s="3" t="s">
        <v>1267</v>
      </c>
      <c r="D8397" s="265">
        <v>1.0</v>
      </c>
      <c r="E8397" s="3">
        <v>1999.0</v>
      </c>
      <c r="G8397" s="266">
        <v>43761.0</v>
      </c>
    </row>
    <row r="8398">
      <c r="A8398" s="217">
        <v>43762.54915342593</v>
      </c>
      <c r="B8398" s="3" t="s">
        <v>5184</v>
      </c>
      <c r="C8398" s="3" t="s">
        <v>1270</v>
      </c>
      <c r="D8398" s="265">
        <v>1.0</v>
      </c>
      <c r="E8398" s="3">
        <v>2099.0</v>
      </c>
      <c r="G8398" s="266">
        <v>43761.0</v>
      </c>
    </row>
    <row r="8399">
      <c r="A8399" s="217">
        <v>43762.54957667824</v>
      </c>
      <c r="B8399" s="3" t="s">
        <v>5184</v>
      </c>
      <c r="C8399" s="3" t="s">
        <v>9311</v>
      </c>
      <c r="D8399" s="265">
        <v>1.0</v>
      </c>
      <c r="E8399" s="3">
        <v>2295.0</v>
      </c>
      <c r="G8399" s="266">
        <v>43761.0</v>
      </c>
    </row>
    <row r="8400">
      <c r="A8400" s="217">
        <v>43762.54990442129</v>
      </c>
      <c r="B8400" s="3" t="s">
        <v>5184</v>
      </c>
      <c r="C8400" s="3" t="s">
        <v>4893</v>
      </c>
      <c r="D8400" s="265">
        <v>1.0</v>
      </c>
      <c r="E8400" s="3">
        <v>1999.0</v>
      </c>
      <c r="G8400" s="266">
        <v>43761.0</v>
      </c>
    </row>
    <row r="8401">
      <c r="A8401" s="217">
        <v>43762.55033243056</v>
      </c>
      <c r="B8401" s="3" t="s">
        <v>5184</v>
      </c>
      <c r="C8401" s="3" t="s">
        <v>4899</v>
      </c>
      <c r="D8401" s="265">
        <v>1.0</v>
      </c>
      <c r="E8401" s="3">
        <v>1799.0</v>
      </c>
      <c r="G8401" s="266">
        <v>43761.0</v>
      </c>
    </row>
    <row r="8402">
      <c r="A8402" s="217">
        <v>43762.550673969905</v>
      </c>
      <c r="B8402" s="3" t="s">
        <v>5184</v>
      </c>
      <c r="C8402" s="3" t="s">
        <v>4901</v>
      </c>
      <c r="D8402" s="265">
        <v>1.0</v>
      </c>
      <c r="E8402" s="3">
        <v>1999.0</v>
      </c>
      <c r="G8402" s="266">
        <v>43761.0</v>
      </c>
    </row>
    <row r="8403">
      <c r="A8403" s="217">
        <v>43762.5509891088</v>
      </c>
      <c r="B8403" s="3" t="s">
        <v>5184</v>
      </c>
      <c r="C8403" s="3" t="s">
        <v>9535</v>
      </c>
      <c r="D8403" s="265">
        <v>1.0</v>
      </c>
      <c r="E8403" s="3">
        <v>1399.0</v>
      </c>
      <c r="G8403" s="266">
        <v>43761.0</v>
      </c>
    </row>
    <row r="8404">
      <c r="A8404" s="217">
        <v>43762.55136430556</v>
      </c>
      <c r="B8404" s="3" t="s">
        <v>5184</v>
      </c>
      <c r="C8404" s="3" t="s">
        <v>5027</v>
      </c>
      <c r="D8404" s="265">
        <v>1.0</v>
      </c>
      <c r="E8404" s="3">
        <v>999.0</v>
      </c>
      <c r="G8404" s="266">
        <v>43761.0</v>
      </c>
    </row>
    <row r="8405">
      <c r="A8405" s="217">
        <v>43762.55183355324</v>
      </c>
      <c r="B8405" s="3" t="s">
        <v>5184</v>
      </c>
      <c r="C8405" s="3" t="s">
        <v>8637</v>
      </c>
      <c r="D8405" s="265">
        <v>1.0</v>
      </c>
      <c r="E8405" s="3">
        <v>2650.0</v>
      </c>
      <c r="G8405" s="266">
        <v>43761.0</v>
      </c>
    </row>
    <row r="8406">
      <c r="A8406" s="217">
        <v>43762.55223649305</v>
      </c>
      <c r="B8406" s="3" t="s">
        <v>5184</v>
      </c>
      <c r="C8406" s="3" t="s">
        <v>8654</v>
      </c>
      <c r="D8406" s="265">
        <v>1.0</v>
      </c>
      <c r="E8406" s="3">
        <v>2780.0</v>
      </c>
      <c r="G8406" s="266">
        <v>43761.0</v>
      </c>
    </row>
    <row r="8407">
      <c r="A8407" s="217">
        <v>43762.5526934838</v>
      </c>
      <c r="B8407" s="3" t="s">
        <v>5184</v>
      </c>
      <c r="C8407" s="3" t="s">
        <v>8655</v>
      </c>
      <c r="D8407" s="265">
        <v>1.0</v>
      </c>
      <c r="E8407" s="3">
        <v>2780.0</v>
      </c>
      <c r="G8407" s="266">
        <v>43761.0</v>
      </c>
    </row>
    <row r="8408">
      <c r="A8408" s="217">
        <v>43762.55307188658</v>
      </c>
      <c r="B8408" s="3" t="s">
        <v>5184</v>
      </c>
      <c r="C8408" s="3" t="s">
        <v>8666</v>
      </c>
      <c r="D8408" s="265">
        <v>1.0</v>
      </c>
      <c r="E8408" s="3">
        <v>2850.0</v>
      </c>
      <c r="G8408" s="266">
        <v>43761.0</v>
      </c>
    </row>
    <row r="8409">
      <c r="A8409" s="217">
        <v>43762.553408506945</v>
      </c>
      <c r="B8409" s="3" t="s">
        <v>5184</v>
      </c>
      <c r="C8409" s="3" t="s">
        <v>8670</v>
      </c>
      <c r="D8409" s="265">
        <v>1.0</v>
      </c>
      <c r="E8409" s="3">
        <v>2850.0</v>
      </c>
      <c r="G8409" s="266">
        <v>43761.0</v>
      </c>
    </row>
    <row r="8410">
      <c r="A8410" s="217">
        <v>43762.553768125</v>
      </c>
      <c r="B8410" s="3" t="s">
        <v>5184</v>
      </c>
      <c r="C8410" s="3" t="s">
        <v>8672</v>
      </c>
      <c r="D8410" s="265">
        <v>1.0</v>
      </c>
      <c r="E8410" s="3">
        <v>2850.0</v>
      </c>
      <c r="G8410" s="266">
        <v>43761.0</v>
      </c>
    </row>
    <row r="8411">
      <c r="A8411" s="217">
        <v>43762.558700625</v>
      </c>
      <c r="B8411" s="3" t="s">
        <v>5184</v>
      </c>
      <c r="C8411" s="3" t="s">
        <v>8581</v>
      </c>
      <c r="D8411" s="265">
        <v>1.0</v>
      </c>
      <c r="E8411" s="3">
        <v>2590.0</v>
      </c>
      <c r="G8411" s="266">
        <v>43761.0</v>
      </c>
    </row>
    <row r="8412">
      <c r="A8412" s="217">
        <v>43762.55903415509</v>
      </c>
      <c r="B8412" s="3" t="s">
        <v>5184</v>
      </c>
      <c r="C8412" s="3" t="s">
        <v>8677</v>
      </c>
      <c r="D8412" s="265">
        <v>1.0</v>
      </c>
      <c r="E8412" s="3">
        <v>2590.0</v>
      </c>
      <c r="G8412" s="266">
        <v>43761.0</v>
      </c>
    </row>
    <row r="8413">
      <c r="A8413" s="217">
        <v>43762.559392696756</v>
      </c>
      <c r="B8413" s="3" t="s">
        <v>5184</v>
      </c>
      <c r="C8413" s="3" t="s">
        <v>1553</v>
      </c>
      <c r="D8413" s="265">
        <v>1.0</v>
      </c>
      <c r="E8413" s="3">
        <v>2590.0</v>
      </c>
      <c r="G8413" s="266">
        <v>43761.0</v>
      </c>
    </row>
    <row r="8414">
      <c r="A8414" s="217">
        <v>43762.55986145833</v>
      </c>
      <c r="B8414" s="3" t="s">
        <v>5184</v>
      </c>
      <c r="C8414" s="3" t="s">
        <v>8680</v>
      </c>
      <c r="D8414" s="265">
        <v>1.0</v>
      </c>
      <c r="E8414" s="3">
        <v>2590.0</v>
      </c>
      <c r="G8414" s="266">
        <v>43761.0</v>
      </c>
    </row>
    <row r="8415">
      <c r="A8415" s="217">
        <v>43762.56045761574</v>
      </c>
      <c r="B8415" s="3" t="s">
        <v>5184</v>
      </c>
      <c r="C8415" s="3" t="s">
        <v>1556</v>
      </c>
      <c r="D8415" s="265">
        <v>1.0</v>
      </c>
      <c r="E8415" s="3">
        <v>2780.0</v>
      </c>
      <c r="G8415" s="266">
        <v>43761.0</v>
      </c>
    </row>
    <row r="8416">
      <c r="A8416" s="217">
        <v>43762.56090798611</v>
      </c>
      <c r="B8416" s="3" t="s">
        <v>5184</v>
      </c>
      <c r="C8416" s="3" t="s">
        <v>2057</v>
      </c>
      <c r="D8416" s="265">
        <v>1.0</v>
      </c>
      <c r="E8416" s="3">
        <v>6250.0</v>
      </c>
      <c r="G8416" s="266">
        <v>43761.0</v>
      </c>
    </row>
    <row r="8417">
      <c r="A8417" s="217">
        <v>43762.56125997685</v>
      </c>
      <c r="B8417" s="3" t="s">
        <v>5184</v>
      </c>
      <c r="C8417" s="3" t="s">
        <v>5350</v>
      </c>
      <c r="D8417" s="265">
        <v>1.0</v>
      </c>
      <c r="E8417" s="3">
        <v>8415.0</v>
      </c>
      <c r="G8417" s="266">
        <v>43761.0</v>
      </c>
    </row>
    <row r="8418">
      <c r="A8418" s="217">
        <v>43762.56160377315</v>
      </c>
      <c r="B8418" s="3" t="s">
        <v>5184</v>
      </c>
      <c r="C8418" s="3" t="s">
        <v>2117</v>
      </c>
      <c r="D8418" s="265">
        <v>1.0</v>
      </c>
      <c r="E8418" s="3">
        <v>4290.0</v>
      </c>
      <c r="G8418" s="266">
        <v>43761.0</v>
      </c>
    </row>
    <row r="8419">
      <c r="A8419" s="217">
        <v>43762.562119166665</v>
      </c>
      <c r="B8419" s="3" t="s">
        <v>5184</v>
      </c>
      <c r="C8419" s="3" t="s">
        <v>5539</v>
      </c>
      <c r="D8419" s="265">
        <v>1.0</v>
      </c>
      <c r="E8419" s="3">
        <v>4790.0</v>
      </c>
      <c r="G8419" s="266">
        <v>43761.0</v>
      </c>
    </row>
    <row r="8420">
      <c r="A8420" s="217">
        <v>43762.56243449074</v>
      </c>
      <c r="B8420" s="3" t="s">
        <v>5184</v>
      </c>
      <c r="C8420" s="3" t="s">
        <v>2131</v>
      </c>
      <c r="D8420" s="265">
        <v>1.0</v>
      </c>
      <c r="E8420" s="3">
        <v>3790.0</v>
      </c>
      <c r="G8420" s="266">
        <v>43761.0</v>
      </c>
    </row>
    <row r="8421">
      <c r="A8421" s="217">
        <v>43762.56286924769</v>
      </c>
      <c r="B8421" s="3" t="s">
        <v>5184</v>
      </c>
      <c r="C8421" s="3" t="s">
        <v>2129</v>
      </c>
      <c r="D8421" s="265">
        <v>1.0</v>
      </c>
      <c r="E8421" s="3">
        <v>3790.0</v>
      </c>
      <c r="G8421" s="266">
        <v>43761.0</v>
      </c>
    </row>
    <row r="8422">
      <c r="A8422" s="217">
        <v>43762.56320668981</v>
      </c>
      <c r="B8422" s="3" t="s">
        <v>5184</v>
      </c>
      <c r="C8422" s="3" t="s">
        <v>5704</v>
      </c>
      <c r="D8422" s="265">
        <v>1.0</v>
      </c>
      <c r="E8422" s="3">
        <v>4590.0</v>
      </c>
      <c r="G8422" s="266">
        <v>43761.0</v>
      </c>
    </row>
    <row r="8423">
      <c r="A8423" s="217">
        <v>43762.56369090278</v>
      </c>
      <c r="B8423" s="3" t="s">
        <v>5184</v>
      </c>
      <c r="C8423" s="3" t="s">
        <v>2134</v>
      </c>
      <c r="D8423" s="265">
        <v>1.0</v>
      </c>
      <c r="E8423" s="3">
        <v>4290.0</v>
      </c>
      <c r="G8423" s="266">
        <v>43761.0</v>
      </c>
    </row>
    <row r="8424">
      <c r="A8424" s="217">
        <v>43762.564054884264</v>
      </c>
      <c r="B8424" s="3" t="s">
        <v>5184</v>
      </c>
      <c r="C8424" s="3" t="s">
        <v>2138</v>
      </c>
      <c r="D8424" s="265">
        <v>1.0</v>
      </c>
      <c r="E8424" s="3">
        <v>3490.0</v>
      </c>
      <c r="G8424" s="266">
        <v>43761.0</v>
      </c>
    </row>
    <row r="8425">
      <c r="A8425" s="217">
        <v>43762.56444354166</v>
      </c>
      <c r="B8425" s="3" t="s">
        <v>5184</v>
      </c>
      <c r="C8425" s="3" t="s">
        <v>2165</v>
      </c>
      <c r="D8425" s="265">
        <v>1.0</v>
      </c>
      <c r="E8425" s="3">
        <v>5490.0</v>
      </c>
      <c r="G8425" s="266">
        <v>43761.0</v>
      </c>
    </row>
    <row r="8426">
      <c r="A8426" s="217">
        <v>43762.56478857639</v>
      </c>
      <c r="B8426" s="3" t="s">
        <v>5184</v>
      </c>
      <c r="C8426" s="3" t="s">
        <v>6331</v>
      </c>
      <c r="D8426" s="265">
        <v>1.0</v>
      </c>
      <c r="E8426" s="3">
        <v>3290.0</v>
      </c>
      <c r="G8426" s="266">
        <v>43761.0</v>
      </c>
    </row>
    <row r="8427">
      <c r="A8427" s="217">
        <v>43762.56557943287</v>
      </c>
      <c r="B8427" s="3" t="s">
        <v>5184</v>
      </c>
      <c r="C8427" s="3" t="s">
        <v>2142</v>
      </c>
      <c r="D8427" s="265">
        <v>1.0</v>
      </c>
      <c r="E8427" s="3">
        <v>3390.0</v>
      </c>
      <c r="G8427" s="266">
        <v>43761.0</v>
      </c>
    </row>
    <row r="8428">
      <c r="A8428" s="217">
        <v>43762.565995937504</v>
      </c>
      <c r="B8428" s="3" t="s">
        <v>5184</v>
      </c>
      <c r="C8428" s="3" t="s">
        <v>9171</v>
      </c>
      <c r="D8428" s="265">
        <v>1.0</v>
      </c>
      <c r="E8428" s="3">
        <v>5090.0</v>
      </c>
      <c r="G8428" s="266">
        <v>43761.0</v>
      </c>
    </row>
    <row r="8429">
      <c r="A8429" s="217">
        <v>43762.56643420139</v>
      </c>
      <c r="B8429" s="3" t="s">
        <v>5184</v>
      </c>
      <c r="C8429" s="3" t="s">
        <v>6339</v>
      </c>
      <c r="D8429" s="265">
        <v>3.0</v>
      </c>
      <c r="E8429" s="3">
        <v>3790.0</v>
      </c>
      <c r="G8429" s="266">
        <v>43761.0</v>
      </c>
    </row>
    <row r="8430">
      <c r="A8430" s="217">
        <v>43762.56678511574</v>
      </c>
      <c r="B8430" s="3" t="s">
        <v>5184</v>
      </c>
      <c r="C8430" s="3" t="s">
        <v>2215</v>
      </c>
      <c r="D8430" s="265">
        <v>1.0</v>
      </c>
      <c r="E8430" s="3">
        <v>3790.0</v>
      </c>
      <c r="G8430" s="266">
        <v>43761.0</v>
      </c>
    </row>
    <row r="8431">
      <c r="A8431" s="217">
        <v>43762.56731436343</v>
      </c>
      <c r="B8431" s="3" t="s">
        <v>5184</v>
      </c>
      <c r="C8431" s="3" t="s">
        <v>2220</v>
      </c>
      <c r="D8431" s="265">
        <v>1.0</v>
      </c>
      <c r="E8431" s="3">
        <v>3790.0</v>
      </c>
      <c r="G8431" s="266">
        <v>43761.0</v>
      </c>
    </row>
    <row r="8432">
      <c r="A8432" s="217">
        <v>43762.567690578704</v>
      </c>
      <c r="B8432" s="3" t="s">
        <v>5184</v>
      </c>
      <c r="C8432" s="3" t="s">
        <v>2218</v>
      </c>
      <c r="D8432" s="265">
        <v>1.0</v>
      </c>
      <c r="E8432" s="3">
        <v>3790.0</v>
      </c>
      <c r="G8432" s="266">
        <v>43761.0</v>
      </c>
    </row>
    <row r="8433">
      <c r="A8433" s="217">
        <v>43762.568116712966</v>
      </c>
      <c r="B8433" s="3" t="s">
        <v>5184</v>
      </c>
      <c r="C8433" s="3" t="s">
        <v>8826</v>
      </c>
      <c r="D8433" s="265">
        <v>1.0</v>
      </c>
      <c r="E8433" s="3">
        <v>5790.0</v>
      </c>
      <c r="G8433" s="266">
        <v>43761.0</v>
      </c>
    </row>
    <row r="8434">
      <c r="A8434" s="217">
        <v>43762.56844980324</v>
      </c>
      <c r="B8434" s="3" t="s">
        <v>5184</v>
      </c>
      <c r="C8434" s="3" t="s">
        <v>2270</v>
      </c>
      <c r="D8434" s="265">
        <v>1.0</v>
      </c>
      <c r="E8434" s="3">
        <v>5590.0</v>
      </c>
      <c r="G8434" s="266">
        <v>43761.0</v>
      </c>
    </row>
    <row r="8435">
      <c r="A8435" s="217">
        <v>43762.57257770833</v>
      </c>
      <c r="B8435" s="3" t="s">
        <v>5092</v>
      </c>
      <c r="C8435" s="3" t="s">
        <v>1718</v>
      </c>
      <c r="D8435" s="265">
        <v>1.0</v>
      </c>
      <c r="E8435" s="3">
        <v>10790.0</v>
      </c>
      <c r="G8435" s="266">
        <v>43761.0</v>
      </c>
    </row>
    <row r="8436">
      <c r="A8436" s="217">
        <v>43762.72366565972</v>
      </c>
      <c r="B8436" s="3" t="s">
        <v>5184</v>
      </c>
      <c r="C8436" s="3" t="s">
        <v>1925</v>
      </c>
      <c r="D8436" s="265">
        <v>1.0</v>
      </c>
      <c r="G8436" s="266">
        <v>43761.0</v>
      </c>
    </row>
    <row r="8437">
      <c r="A8437" s="217">
        <v>43762.72416903936</v>
      </c>
      <c r="B8437" s="3" t="s">
        <v>5184</v>
      </c>
      <c r="C8437" s="3" t="s">
        <v>2232</v>
      </c>
      <c r="D8437" s="265">
        <v>1.0</v>
      </c>
      <c r="G8437" s="266">
        <v>43761.0</v>
      </c>
    </row>
    <row r="8438">
      <c r="A8438" s="217">
        <v>43762.724725567125</v>
      </c>
      <c r="B8438" s="3" t="s">
        <v>5184</v>
      </c>
      <c r="C8438" s="3" t="s">
        <v>6770</v>
      </c>
      <c r="D8438" s="265">
        <v>2.0</v>
      </c>
      <c r="G8438" s="266">
        <v>43761.0</v>
      </c>
    </row>
    <row r="8439">
      <c r="A8439" s="217">
        <v>43762.725344618055</v>
      </c>
      <c r="B8439" s="3" t="s">
        <v>5184</v>
      </c>
      <c r="C8439" s="3" t="s">
        <v>1923</v>
      </c>
      <c r="D8439" s="265">
        <v>2.0</v>
      </c>
      <c r="G8439" s="266">
        <v>43761.0</v>
      </c>
    </row>
    <row r="8440">
      <c r="A8440" s="217">
        <v>43762.7260215162</v>
      </c>
      <c r="B8440" s="3" t="s">
        <v>5184</v>
      </c>
      <c r="C8440" s="3" t="s">
        <v>6390</v>
      </c>
      <c r="D8440" s="265">
        <v>1.0</v>
      </c>
      <c r="G8440" s="266">
        <v>43761.0</v>
      </c>
    </row>
    <row r="8441">
      <c r="A8441" s="217">
        <v>43762.72763738426</v>
      </c>
      <c r="B8441" s="3" t="s">
        <v>5184</v>
      </c>
      <c r="C8441" s="3" t="s">
        <v>6346</v>
      </c>
      <c r="D8441" s="265">
        <v>1.0</v>
      </c>
      <c r="G8441" s="266">
        <v>43762.0</v>
      </c>
    </row>
    <row r="8442">
      <c r="A8442" s="217">
        <v>43762.728164444445</v>
      </c>
      <c r="B8442" s="3" t="s">
        <v>5184</v>
      </c>
      <c r="C8442" s="3" t="s">
        <v>4972</v>
      </c>
      <c r="D8442" s="265">
        <v>2.0</v>
      </c>
      <c r="G8442" s="266">
        <v>43762.0</v>
      </c>
    </row>
    <row r="8443">
      <c r="A8443" s="217">
        <v>43762.73533684028</v>
      </c>
      <c r="B8443" s="3" t="s">
        <v>5184</v>
      </c>
      <c r="C8443" s="3" t="s">
        <v>8829</v>
      </c>
      <c r="D8443" s="265">
        <v>1.0</v>
      </c>
      <c r="G8443" s="266">
        <v>43762.0</v>
      </c>
    </row>
    <row r="8444">
      <c r="A8444" s="217">
        <v>43762.735939328704</v>
      </c>
      <c r="B8444" s="3" t="s">
        <v>5184</v>
      </c>
      <c r="C8444" s="3" t="s">
        <v>9929</v>
      </c>
      <c r="D8444" s="265">
        <v>1.0</v>
      </c>
      <c r="G8444" s="266">
        <v>43762.0</v>
      </c>
    </row>
    <row r="8445">
      <c r="A8445" s="217">
        <v>43766.45096508102</v>
      </c>
      <c r="B8445" s="3" t="s">
        <v>5092</v>
      </c>
      <c r="C8445" s="3" t="s">
        <v>9930</v>
      </c>
      <c r="D8445" s="265">
        <v>1.0</v>
      </c>
      <c r="E8445" s="3">
        <v>3290.0</v>
      </c>
      <c r="G8445" s="266">
        <v>43759.0</v>
      </c>
    </row>
    <row r="8446">
      <c r="A8446" s="217">
        <v>43766.45162652778</v>
      </c>
      <c r="B8446" s="3" t="s">
        <v>5092</v>
      </c>
      <c r="C8446" s="3" t="s">
        <v>2147</v>
      </c>
      <c r="D8446" s="265">
        <v>1.0</v>
      </c>
      <c r="E8446" s="3">
        <v>4790.0</v>
      </c>
      <c r="G8446" s="266">
        <v>43759.0</v>
      </c>
    </row>
    <row r="8447">
      <c r="A8447" s="217">
        <v>43766.452398333335</v>
      </c>
      <c r="B8447" s="3" t="s">
        <v>5092</v>
      </c>
      <c r="C8447" s="3" t="s">
        <v>2149</v>
      </c>
      <c r="D8447" s="265">
        <v>1.0</v>
      </c>
      <c r="E8447" s="3">
        <v>4790.0</v>
      </c>
      <c r="G8447" s="266">
        <v>43759.0</v>
      </c>
    </row>
    <row r="8448">
      <c r="A8448" s="217">
        <v>43766.453208391205</v>
      </c>
      <c r="B8448" s="3" t="s">
        <v>5092</v>
      </c>
      <c r="C8448" s="3" t="s">
        <v>2212</v>
      </c>
      <c r="D8448" s="265">
        <v>1.0</v>
      </c>
      <c r="E8448" s="3">
        <v>4990.0</v>
      </c>
      <c r="G8448" s="266">
        <v>43759.0</v>
      </c>
    </row>
    <row r="8449">
      <c r="A8449" s="217">
        <v>43766.45379177084</v>
      </c>
      <c r="B8449" s="3" t="s">
        <v>5092</v>
      </c>
      <c r="C8449" s="3" t="s">
        <v>9933</v>
      </c>
      <c r="D8449" s="265">
        <v>1.0</v>
      </c>
      <c r="E8449" s="3">
        <v>5490.0</v>
      </c>
      <c r="G8449" s="266">
        <v>43759.0</v>
      </c>
    </row>
    <row r="8450">
      <c r="A8450" s="217">
        <v>43766.45442219907</v>
      </c>
      <c r="B8450" s="3" t="s">
        <v>5092</v>
      </c>
      <c r="C8450" s="3" t="s">
        <v>9934</v>
      </c>
      <c r="D8450" s="265">
        <v>1.0</v>
      </c>
      <c r="E8450" s="3">
        <v>5490.0</v>
      </c>
      <c r="G8450" s="266">
        <v>43759.0</v>
      </c>
    </row>
    <row r="8451">
      <c r="A8451" s="217">
        <v>43766.45520773148</v>
      </c>
      <c r="B8451" s="3" t="s">
        <v>5092</v>
      </c>
      <c r="C8451" s="3" t="s">
        <v>2153</v>
      </c>
      <c r="D8451" s="265">
        <v>1.0</v>
      </c>
      <c r="E8451" s="3">
        <v>7990.0</v>
      </c>
      <c r="G8451" s="266">
        <v>43759.0</v>
      </c>
    </row>
    <row r="8452">
      <c r="A8452" s="217">
        <v>43766.4574254051</v>
      </c>
      <c r="B8452" s="3" t="s">
        <v>5092</v>
      </c>
      <c r="C8452" s="3" t="s">
        <v>2095</v>
      </c>
      <c r="D8452" s="265">
        <v>1.0</v>
      </c>
      <c r="E8452" s="3">
        <v>4590.0</v>
      </c>
      <c r="G8452" s="266">
        <v>43759.0</v>
      </c>
    </row>
    <row r="8453">
      <c r="A8453" s="217">
        <v>43766.45845851852</v>
      </c>
      <c r="B8453" s="3" t="s">
        <v>5092</v>
      </c>
      <c r="C8453" s="3" t="s">
        <v>9936</v>
      </c>
      <c r="D8453" s="265">
        <v>1.0</v>
      </c>
      <c r="E8453" s="3">
        <v>5590.0</v>
      </c>
      <c r="G8453" s="266">
        <v>43759.0</v>
      </c>
    </row>
    <row r="8454">
      <c r="A8454" s="217">
        <v>43766.45926875</v>
      </c>
      <c r="B8454" s="3" t="s">
        <v>5092</v>
      </c>
      <c r="C8454" s="3" t="s">
        <v>9937</v>
      </c>
      <c r="D8454" s="265">
        <v>1.0</v>
      </c>
      <c r="E8454" s="3">
        <v>7190.0</v>
      </c>
      <c r="G8454" s="266">
        <v>43759.0</v>
      </c>
    </row>
    <row r="8455">
      <c r="A8455" s="217">
        <v>43766.45993532408</v>
      </c>
      <c r="B8455" s="3" t="s">
        <v>5092</v>
      </c>
      <c r="C8455" s="3" t="s">
        <v>9938</v>
      </c>
      <c r="D8455" s="265">
        <v>1.0</v>
      </c>
      <c r="E8455" s="3">
        <v>4590.0</v>
      </c>
      <c r="G8455" s="266">
        <v>43759.0</v>
      </c>
    </row>
    <row r="8456">
      <c r="A8456" s="217">
        <v>43766.46044289352</v>
      </c>
      <c r="B8456" s="3" t="s">
        <v>5092</v>
      </c>
      <c r="C8456" s="3" t="s">
        <v>2228</v>
      </c>
      <c r="D8456" s="265">
        <v>1.0</v>
      </c>
      <c r="E8456" s="3">
        <v>5790.0</v>
      </c>
      <c r="G8456" s="266">
        <v>43759.0</v>
      </c>
    </row>
    <row r="8457">
      <c r="A8457" s="217">
        <v>43767.68165295139</v>
      </c>
      <c r="B8457" s="3" t="s">
        <v>5184</v>
      </c>
      <c r="C8457" s="3" t="s">
        <v>9939</v>
      </c>
      <c r="D8457" s="265">
        <v>1.0</v>
      </c>
      <c r="E8457" s="3">
        <v>3390.0</v>
      </c>
      <c r="G8457" s="266">
        <v>43763.0</v>
      </c>
    </row>
    <row r="8458">
      <c r="A8458" s="217">
        <v>43767.68247646991</v>
      </c>
      <c r="B8458" s="3" t="s">
        <v>5184</v>
      </c>
      <c r="C8458" s="3" t="s">
        <v>9943</v>
      </c>
      <c r="D8458" s="265">
        <v>1.0</v>
      </c>
      <c r="E8458" s="3">
        <v>4290.0</v>
      </c>
      <c r="G8458" s="266">
        <v>43763.0</v>
      </c>
    </row>
    <row r="8459">
      <c r="A8459" s="217">
        <v>43767.683178611114</v>
      </c>
      <c r="B8459" s="3" t="s">
        <v>5184</v>
      </c>
      <c r="C8459" s="3" t="s">
        <v>9939</v>
      </c>
      <c r="D8459" s="265">
        <v>1.0</v>
      </c>
      <c r="E8459" s="3">
        <v>3390.0</v>
      </c>
      <c r="G8459" s="266">
        <v>43763.0</v>
      </c>
    </row>
    <row r="8460">
      <c r="A8460" s="217">
        <v>43767.68387256944</v>
      </c>
      <c r="B8460" s="3" t="s">
        <v>5184</v>
      </c>
      <c r="C8460" s="3" t="s">
        <v>9946</v>
      </c>
      <c r="D8460" s="265">
        <v>1.0</v>
      </c>
      <c r="E8460" s="3">
        <v>4790.0</v>
      </c>
      <c r="G8460" s="266">
        <v>43763.0</v>
      </c>
    </row>
    <row r="8461">
      <c r="A8461" s="217">
        <v>43767.68494319444</v>
      </c>
      <c r="B8461" s="3" t="s">
        <v>5184</v>
      </c>
      <c r="C8461" s="3" t="s">
        <v>9947</v>
      </c>
      <c r="D8461" s="265">
        <v>1.0</v>
      </c>
      <c r="E8461" s="3">
        <v>4990.0</v>
      </c>
      <c r="G8461" s="266">
        <v>43764.0</v>
      </c>
    </row>
    <row r="8462">
      <c r="A8462" s="217">
        <v>43767.68558225695</v>
      </c>
      <c r="B8462" s="3" t="s">
        <v>5184</v>
      </c>
      <c r="C8462" s="3" t="s">
        <v>9949</v>
      </c>
      <c r="D8462" s="265">
        <v>1.0</v>
      </c>
      <c r="E8462" s="3">
        <v>8415.0</v>
      </c>
      <c r="G8462" s="266">
        <v>43764.0</v>
      </c>
    </row>
    <row r="8463">
      <c r="A8463" s="217">
        <v>43767.68631849537</v>
      </c>
      <c r="B8463" s="3" t="s">
        <v>5184</v>
      </c>
      <c r="C8463" s="3" t="s">
        <v>9950</v>
      </c>
      <c r="D8463" s="265">
        <v>1.0</v>
      </c>
      <c r="E8463" s="3">
        <v>6790.0</v>
      </c>
      <c r="G8463" s="266">
        <v>43767.0</v>
      </c>
    </row>
    <row r="8464">
      <c r="A8464" s="217">
        <v>43770.465593506946</v>
      </c>
      <c r="B8464" s="3" t="s">
        <v>5184</v>
      </c>
      <c r="C8464" s="3" t="s">
        <v>9952</v>
      </c>
      <c r="D8464" s="265">
        <v>1.0</v>
      </c>
      <c r="E8464" s="3">
        <v>4590.0</v>
      </c>
      <c r="G8464" s="266">
        <v>43768.0</v>
      </c>
    </row>
    <row r="8465">
      <c r="A8465" s="217">
        <v>43770.46636490741</v>
      </c>
      <c r="B8465" s="3" t="s">
        <v>5184</v>
      </c>
      <c r="C8465" s="3" t="s">
        <v>9954</v>
      </c>
      <c r="D8465" s="265">
        <v>1.0</v>
      </c>
      <c r="E8465" s="3">
        <v>7290.0</v>
      </c>
      <c r="G8465" s="266">
        <v>43768.0</v>
      </c>
    </row>
    <row r="8466">
      <c r="A8466" s="217">
        <v>43770.46716516204</v>
      </c>
      <c r="B8466" s="3" t="s">
        <v>5184</v>
      </c>
      <c r="C8466" s="3" t="s">
        <v>9955</v>
      </c>
      <c r="D8466" s="265">
        <v>1.0</v>
      </c>
      <c r="E8466" s="3">
        <v>4990.0</v>
      </c>
      <c r="G8466" s="266">
        <v>43768.0</v>
      </c>
    </row>
    <row r="8467">
      <c r="A8467" s="217">
        <v>43770.46775545139</v>
      </c>
      <c r="B8467" s="3" t="s">
        <v>5184</v>
      </c>
      <c r="C8467" s="3" t="s">
        <v>9947</v>
      </c>
      <c r="D8467" s="265">
        <v>1.0</v>
      </c>
      <c r="E8467" s="3">
        <v>4990.0</v>
      </c>
      <c r="G8467" s="266">
        <v>43768.0</v>
      </c>
    </row>
    <row r="8468">
      <c r="A8468" s="217">
        <v>43770.468321747685</v>
      </c>
      <c r="B8468" s="3" t="s">
        <v>5184</v>
      </c>
      <c r="C8468" s="3" t="s">
        <v>9956</v>
      </c>
      <c r="D8468" s="265">
        <v>1.0</v>
      </c>
      <c r="E8468" s="3">
        <v>5090.0</v>
      </c>
      <c r="G8468" s="266">
        <v>43768.0</v>
      </c>
    </row>
    <row r="8469">
      <c r="A8469" s="217">
        <v>43770.46889690972</v>
      </c>
      <c r="B8469" s="3" t="s">
        <v>5184</v>
      </c>
      <c r="C8469" s="3" t="s">
        <v>9957</v>
      </c>
      <c r="D8469" s="265">
        <v>1.0</v>
      </c>
      <c r="E8469" s="3">
        <v>5790.0</v>
      </c>
      <c r="G8469" s="266">
        <v>43768.0</v>
      </c>
    </row>
    <row r="8470">
      <c r="A8470" s="217">
        <v>43770.46946623843</v>
      </c>
      <c r="B8470" s="3" t="s">
        <v>5184</v>
      </c>
      <c r="C8470" s="3" t="s">
        <v>9958</v>
      </c>
      <c r="D8470" s="265">
        <v>1.0</v>
      </c>
      <c r="E8470" s="3">
        <v>6990.0</v>
      </c>
      <c r="G8470" s="266">
        <v>43768.0</v>
      </c>
    </row>
    <row r="8471">
      <c r="A8471" s="217">
        <v>43770.47008929398</v>
      </c>
      <c r="B8471" s="3" t="s">
        <v>5184</v>
      </c>
      <c r="C8471" s="3" t="s">
        <v>9959</v>
      </c>
      <c r="D8471" s="265">
        <v>1.0</v>
      </c>
      <c r="E8471" s="3">
        <v>6690.0</v>
      </c>
      <c r="G8471" s="266">
        <v>43768.0</v>
      </c>
    </row>
    <row r="8472">
      <c r="A8472" s="217">
        <v>43770.47069711806</v>
      </c>
      <c r="B8472" s="3" t="s">
        <v>5184</v>
      </c>
      <c r="C8472" s="3" t="s">
        <v>9960</v>
      </c>
      <c r="D8472" s="265">
        <v>1.0</v>
      </c>
      <c r="E8472" s="3">
        <v>6690.0</v>
      </c>
      <c r="G8472" s="266">
        <v>43768.0</v>
      </c>
    </row>
    <row r="8473">
      <c r="A8473" s="217">
        <v>43770.47124461806</v>
      </c>
      <c r="B8473" s="3" t="s">
        <v>5184</v>
      </c>
      <c r="C8473" s="3" t="s">
        <v>9961</v>
      </c>
      <c r="D8473" s="265">
        <v>1.0</v>
      </c>
      <c r="E8473" s="3">
        <v>5890.0</v>
      </c>
      <c r="G8473" s="266">
        <v>43768.0</v>
      </c>
    </row>
    <row r="8474">
      <c r="A8474" s="217">
        <v>43770.47183768518</v>
      </c>
      <c r="B8474" s="3" t="s">
        <v>5184</v>
      </c>
      <c r="C8474" s="3" t="s">
        <v>9962</v>
      </c>
      <c r="D8474" s="265">
        <v>1.0</v>
      </c>
      <c r="E8474" s="3">
        <v>8290.0</v>
      </c>
      <c r="G8474" s="266">
        <v>43768.0</v>
      </c>
    </row>
    <row r="8475">
      <c r="A8475" s="217">
        <v>43770.47406097222</v>
      </c>
      <c r="B8475" s="3" t="s">
        <v>5184</v>
      </c>
      <c r="C8475" s="3" t="s">
        <v>9963</v>
      </c>
      <c r="D8475" s="265">
        <v>1.0</v>
      </c>
      <c r="E8475" s="3">
        <v>4790.0</v>
      </c>
      <c r="G8475" s="266">
        <v>43769.0</v>
      </c>
    </row>
    <row r="8476">
      <c r="A8476" s="217">
        <v>43770.474596354165</v>
      </c>
      <c r="B8476" s="3" t="s">
        <v>5184</v>
      </c>
      <c r="C8476" s="3" t="s">
        <v>9965</v>
      </c>
      <c r="D8476" s="265">
        <v>1.0</v>
      </c>
      <c r="E8476" s="3">
        <v>5090.0</v>
      </c>
      <c r="G8476" s="266">
        <v>43769.0</v>
      </c>
    </row>
    <row r="8477">
      <c r="A8477" s="217">
        <v>43770.475189930556</v>
      </c>
      <c r="B8477" s="3" t="s">
        <v>5184</v>
      </c>
      <c r="C8477" s="3" t="s">
        <v>9966</v>
      </c>
      <c r="D8477" s="265">
        <v>1.0</v>
      </c>
      <c r="E8477" s="3">
        <v>7890.0</v>
      </c>
      <c r="G8477" s="266">
        <v>43769.0</v>
      </c>
    </row>
    <row r="8478">
      <c r="A8478" s="217">
        <v>43770.475708032405</v>
      </c>
      <c r="B8478" s="3" t="s">
        <v>5184</v>
      </c>
      <c r="C8478" s="3" t="s">
        <v>9969</v>
      </c>
      <c r="D8478" s="265">
        <v>1.0</v>
      </c>
      <c r="E8478" s="3">
        <v>1895.0</v>
      </c>
      <c r="G8478" s="266">
        <v>43769.0</v>
      </c>
    </row>
    <row r="8479">
      <c r="A8479" s="217">
        <v>43773.79655886574</v>
      </c>
      <c r="B8479" s="3" t="s">
        <v>5092</v>
      </c>
      <c r="C8479" s="3" t="s">
        <v>9970</v>
      </c>
      <c r="D8479" s="265">
        <v>1.0</v>
      </c>
      <c r="G8479" s="266">
        <v>43773.0</v>
      </c>
    </row>
    <row r="8480">
      <c r="A8480" s="217">
        <v>43773.79805561343</v>
      </c>
      <c r="B8480" s="3" t="s">
        <v>5092</v>
      </c>
      <c r="C8480" s="3" t="s">
        <v>8635</v>
      </c>
      <c r="D8480" s="265">
        <v>1.0</v>
      </c>
      <c r="E8480" s="3">
        <v>2780.0</v>
      </c>
      <c r="G8480" s="266">
        <v>43773.0</v>
      </c>
    </row>
    <row r="8481">
      <c r="A8481" s="217">
        <v>43773.800331516206</v>
      </c>
      <c r="B8481" s="3" t="s">
        <v>5092</v>
      </c>
      <c r="C8481" s="3" t="s">
        <v>9972</v>
      </c>
      <c r="D8481" s="265">
        <v>1.0</v>
      </c>
      <c r="E8481" s="3">
        <v>2780.0</v>
      </c>
      <c r="G8481" s="266">
        <v>43773.0</v>
      </c>
    </row>
    <row r="8482">
      <c r="A8482" s="217">
        <v>43773.801333298616</v>
      </c>
      <c r="B8482" s="3" t="s">
        <v>5092</v>
      </c>
      <c r="C8482" s="3" t="s">
        <v>8650</v>
      </c>
      <c r="D8482" s="265">
        <v>1.0</v>
      </c>
      <c r="E8482" s="3">
        <v>2590.0</v>
      </c>
      <c r="G8482" s="266">
        <v>43773.0</v>
      </c>
    </row>
    <row r="8483">
      <c r="A8483" s="217">
        <v>43773.802304004625</v>
      </c>
      <c r="B8483" s="3" t="s">
        <v>5092</v>
      </c>
      <c r="C8483" s="3" t="s">
        <v>9466</v>
      </c>
      <c r="D8483" s="265">
        <v>1.0</v>
      </c>
      <c r="E8483" s="3">
        <v>1050.0</v>
      </c>
      <c r="G8483" s="266">
        <v>43773.0</v>
      </c>
    </row>
    <row r="8484">
      <c r="A8484" s="217">
        <v>43773.80318658565</v>
      </c>
      <c r="B8484" s="3" t="s">
        <v>5092</v>
      </c>
      <c r="C8484" s="3" t="s">
        <v>5247</v>
      </c>
      <c r="D8484" s="265">
        <v>1.0</v>
      </c>
      <c r="E8484" s="3">
        <v>10500.0</v>
      </c>
      <c r="G8484" s="266">
        <v>43773.0</v>
      </c>
    </row>
    <row r="8485">
      <c r="A8485" s="217">
        <v>43773.804171446754</v>
      </c>
      <c r="B8485" s="3" t="s">
        <v>5092</v>
      </c>
      <c r="C8485" s="3" t="s">
        <v>9973</v>
      </c>
      <c r="D8485" s="265">
        <v>1.0</v>
      </c>
      <c r="E8485" s="3">
        <v>2099.0</v>
      </c>
      <c r="G8485" s="266">
        <v>43773.0</v>
      </c>
    </row>
    <row r="8486">
      <c r="A8486" s="217">
        <v>43773.80811402778</v>
      </c>
      <c r="B8486" s="3" t="s">
        <v>2322</v>
      </c>
      <c r="C8486" s="3" t="s">
        <v>6346</v>
      </c>
      <c r="D8486" s="265">
        <v>1.0</v>
      </c>
      <c r="E8486" s="3">
        <v>3490.0</v>
      </c>
      <c r="G8486" s="266">
        <v>43773.0</v>
      </c>
    </row>
    <row r="8487">
      <c r="A8487" s="217">
        <v>43773.811762847225</v>
      </c>
      <c r="B8487" s="3" t="s">
        <v>2322</v>
      </c>
      <c r="C8487" s="3" t="s">
        <v>9974</v>
      </c>
      <c r="D8487" s="265">
        <v>1.0</v>
      </c>
      <c r="E8487" s="3">
        <v>4390.0</v>
      </c>
      <c r="G8487" s="266">
        <v>43773.0</v>
      </c>
    </row>
    <row r="8488">
      <c r="A8488" s="217">
        <v>43773.81333690972</v>
      </c>
      <c r="B8488" s="3" t="s">
        <v>2322</v>
      </c>
      <c r="C8488" s="3" t="s">
        <v>8615</v>
      </c>
      <c r="D8488" s="265">
        <v>1.0</v>
      </c>
      <c r="E8488" s="3">
        <v>2590.0</v>
      </c>
      <c r="G8488" s="266">
        <v>43773.0</v>
      </c>
    </row>
    <row r="8489">
      <c r="A8489" s="217">
        <v>43773.814318310186</v>
      </c>
      <c r="B8489" s="3" t="s">
        <v>2322</v>
      </c>
      <c r="C8489" s="3" t="s">
        <v>8695</v>
      </c>
      <c r="D8489" s="265">
        <v>1.0</v>
      </c>
      <c r="E8489" s="3">
        <v>2950.0</v>
      </c>
      <c r="G8489" s="266">
        <v>43773.0</v>
      </c>
    </row>
    <row r="8490">
      <c r="A8490" s="217">
        <v>43773.815324826384</v>
      </c>
      <c r="B8490" s="3" t="s">
        <v>2322</v>
      </c>
      <c r="C8490" s="3" t="s">
        <v>8651</v>
      </c>
      <c r="D8490" s="265">
        <v>1.0</v>
      </c>
      <c r="E8490" s="3">
        <v>2590.0</v>
      </c>
      <c r="G8490" s="266">
        <v>43773.0</v>
      </c>
    </row>
    <row r="8491">
      <c r="A8491" s="217">
        <v>43775.58427255787</v>
      </c>
      <c r="B8491" s="3" t="s">
        <v>5092</v>
      </c>
      <c r="C8491" s="3" t="s">
        <v>9975</v>
      </c>
      <c r="D8491" s="265">
        <v>2.0</v>
      </c>
      <c r="E8491" s="3">
        <v>5290.0</v>
      </c>
      <c r="G8491" s="266">
        <v>43774.0</v>
      </c>
    </row>
    <row r="8492">
      <c r="A8492" s="217">
        <v>43775.58535902778</v>
      </c>
      <c r="B8492" s="3" t="s">
        <v>5092</v>
      </c>
      <c r="C8492" s="3" t="s">
        <v>9977</v>
      </c>
      <c r="D8492" s="265">
        <v>1.0</v>
      </c>
      <c r="E8492" s="3">
        <v>4590.0</v>
      </c>
      <c r="G8492" s="266">
        <v>43774.0</v>
      </c>
    </row>
    <row r="8493">
      <c r="A8493" s="217">
        <v>43775.71145826389</v>
      </c>
      <c r="B8493" s="3" t="s">
        <v>5184</v>
      </c>
      <c r="C8493" s="3" t="s">
        <v>1037</v>
      </c>
      <c r="D8493" s="265">
        <v>1.0</v>
      </c>
      <c r="E8493" s="3">
        <v>9000.0</v>
      </c>
      <c r="G8493" s="266">
        <v>43772.0</v>
      </c>
    </row>
    <row r="8494">
      <c r="A8494" s="217">
        <v>43775.71293517361</v>
      </c>
      <c r="B8494" s="3" t="s">
        <v>5184</v>
      </c>
      <c r="C8494" s="3" t="s">
        <v>8828</v>
      </c>
      <c r="D8494" s="265">
        <v>1.0</v>
      </c>
      <c r="E8494" s="3">
        <v>5790.0</v>
      </c>
      <c r="G8494" s="266">
        <v>43772.0</v>
      </c>
    </row>
    <row r="8495">
      <c r="A8495" s="217">
        <v>43775.7136803125</v>
      </c>
      <c r="B8495" s="3" t="s">
        <v>5184</v>
      </c>
      <c r="C8495" s="3" t="s">
        <v>1915</v>
      </c>
      <c r="D8495" s="265">
        <v>2.0</v>
      </c>
      <c r="E8495" s="3">
        <v>3390.0</v>
      </c>
      <c r="G8495" s="266">
        <v>43772.0</v>
      </c>
    </row>
    <row r="8496">
      <c r="A8496" s="217">
        <v>43775.714226944445</v>
      </c>
      <c r="B8496" s="3" t="s">
        <v>5184</v>
      </c>
      <c r="C8496" s="3" t="s">
        <v>2054</v>
      </c>
      <c r="D8496" s="265">
        <v>1.0</v>
      </c>
      <c r="G8496" s="266">
        <v>43772.0</v>
      </c>
    </row>
    <row r="8497">
      <c r="A8497" s="217">
        <v>43775.71489717593</v>
      </c>
      <c r="B8497" s="3" t="s">
        <v>5184</v>
      </c>
      <c r="C8497" s="3" t="s">
        <v>9979</v>
      </c>
      <c r="D8497" s="265">
        <v>1.0</v>
      </c>
      <c r="E8497" s="3">
        <v>7290.0</v>
      </c>
      <c r="G8497" s="266">
        <v>43772.0</v>
      </c>
    </row>
    <row r="8498">
      <c r="A8498" s="217">
        <v>43775.715676875</v>
      </c>
      <c r="B8498" s="3" t="s">
        <v>5184</v>
      </c>
      <c r="C8498" s="3" t="s">
        <v>9980</v>
      </c>
      <c r="D8498" s="265">
        <v>1.0</v>
      </c>
      <c r="E8498" s="3">
        <v>7490.0</v>
      </c>
      <c r="G8498" s="266">
        <v>43772.0</v>
      </c>
    </row>
    <row r="8499">
      <c r="A8499" s="217">
        <v>43775.71623684028</v>
      </c>
      <c r="B8499" s="3" t="s">
        <v>5184</v>
      </c>
      <c r="C8499" s="3" t="s">
        <v>9981</v>
      </c>
      <c r="D8499" s="265">
        <v>1.0</v>
      </c>
      <c r="E8499" s="3">
        <v>6990.0</v>
      </c>
      <c r="G8499" s="266">
        <v>43772.0</v>
      </c>
    </row>
    <row r="8500">
      <c r="A8500" s="217">
        <v>43775.7166912963</v>
      </c>
      <c r="B8500" s="3" t="s">
        <v>5184</v>
      </c>
      <c r="C8500" s="3" t="s">
        <v>9688</v>
      </c>
      <c r="D8500" s="265">
        <v>1.0</v>
      </c>
      <c r="E8500" s="3">
        <v>9290.0</v>
      </c>
      <c r="G8500" s="266">
        <v>43772.0</v>
      </c>
    </row>
    <row r="8501">
      <c r="A8501" s="217">
        <v>43775.71741696759</v>
      </c>
      <c r="B8501" s="3" t="s">
        <v>5184</v>
      </c>
      <c r="C8501" s="3" t="s">
        <v>4828</v>
      </c>
      <c r="D8501" s="265">
        <v>1.0</v>
      </c>
      <c r="G8501" s="266">
        <v>43772.0</v>
      </c>
    </row>
    <row r="8502">
      <c r="A8502" s="217">
        <v>43775.719241053244</v>
      </c>
      <c r="B8502" s="3" t="s">
        <v>5184</v>
      </c>
      <c r="C8502" s="3" t="s">
        <v>9690</v>
      </c>
      <c r="D8502" s="265">
        <v>1.0</v>
      </c>
      <c r="E8502" s="3">
        <v>8090.0</v>
      </c>
      <c r="G8502" s="266">
        <v>43773.0</v>
      </c>
    </row>
    <row r="8503">
      <c r="A8503" s="217">
        <v>43775.71982194444</v>
      </c>
      <c r="B8503" s="3" t="s">
        <v>5184</v>
      </c>
      <c r="C8503" s="3" t="s">
        <v>9691</v>
      </c>
      <c r="D8503" s="265">
        <v>1.0</v>
      </c>
      <c r="E8503" s="3">
        <v>10390.0</v>
      </c>
      <c r="G8503" s="266">
        <v>43773.0</v>
      </c>
    </row>
    <row r="8504">
      <c r="A8504" s="217">
        <v>43775.720369305556</v>
      </c>
      <c r="B8504" s="3" t="s">
        <v>5184</v>
      </c>
      <c r="C8504" s="3" t="s">
        <v>9983</v>
      </c>
      <c r="D8504" s="265">
        <v>1.0</v>
      </c>
      <c r="E8504" s="3">
        <v>6390.0</v>
      </c>
      <c r="G8504" s="266">
        <v>43773.0</v>
      </c>
    </row>
    <row r="8505">
      <c r="A8505" s="217">
        <v>43775.72085489583</v>
      </c>
      <c r="B8505" s="3" t="s">
        <v>5184</v>
      </c>
      <c r="C8505" s="3" t="s">
        <v>9684</v>
      </c>
      <c r="D8505" s="265">
        <v>1.0</v>
      </c>
      <c r="E8505" s="3">
        <v>8690.0</v>
      </c>
      <c r="G8505" s="266">
        <v>43773.0</v>
      </c>
    </row>
    <row r="8506">
      <c r="A8506" s="217">
        <v>43775.721430000005</v>
      </c>
      <c r="B8506" s="3" t="s">
        <v>5184</v>
      </c>
      <c r="C8506" s="3" t="s">
        <v>1718</v>
      </c>
      <c r="D8506" s="265">
        <v>1.0</v>
      </c>
      <c r="E8506" s="3">
        <v>10790.0</v>
      </c>
      <c r="G8506" s="266">
        <v>43773.0</v>
      </c>
    </row>
    <row r="8507">
      <c r="A8507" s="217">
        <v>43775.721987847224</v>
      </c>
      <c r="B8507" s="3" t="s">
        <v>5184</v>
      </c>
      <c r="C8507" s="3" t="s">
        <v>9685</v>
      </c>
      <c r="D8507" s="265">
        <v>1.0</v>
      </c>
      <c r="E8507" s="3">
        <v>8090.0</v>
      </c>
      <c r="G8507" s="266">
        <v>43773.0</v>
      </c>
    </row>
    <row r="8508">
      <c r="A8508" s="217">
        <v>43775.722559953705</v>
      </c>
      <c r="B8508" s="3" t="s">
        <v>5184</v>
      </c>
      <c r="C8508" s="3" t="s">
        <v>9686</v>
      </c>
      <c r="D8508" s="265">
        <v>2.0</v>
      </c>
      <c r="E8508" s="3">
        <v>6990.0</v>
      </c>
      <c r="G8508" s="266">
        <v>43773.0</v>
      </c>
    </row>
    <row r="8509">
      <c r="A8509" s="217">
        <v>43775.722998576384</v>
      </c>
      <c r="B8509" s="3" t="s">
        <v>5184</v>
      </c>
      <c r="C8509" s="3" t="s">
        <v>9689</v>
      </c>
      <c r="D8509" s="265">
        <v>1.0</v>
      </c>
      <c r="E8509" s="3">
        <v>7490.0</v>
      </c>
      <c r="G8509" s="266">
        <v>43773.0</v>
      </c>
    </row>
    <row r="8510">
      <c r="A8510" s="217">
        <v>43775.72344232639</v>
      </c>
      <c r="B8510" s="3" t="s">
        <v>5184</v>
      </c>
      <c r="C8510" s="3" t="s">
        <v>9687</v>
      </c>
      <c r="D8510" s="265">
        <v>1.0</v>
      </c>
      <c r="E8510" s="3">
        <v>8690.0</v>
      </c>
      <c r="G8510" s="266">
        <v>43773.0</v>
      </c>
    </row>
    <row r="8511">
      <c r="A8511" s="217">
        <v>43775.72486702546</v>
      </c>
      <c r="B8511" s="3" t="s">
        <v>5184</v>
      </c>
      <c r="C8511" s="3" t="s">
        <v>9984</v>
      </c>
      <c r="D8511" s="265">
        <v>1.0</v>
      </c>
      <c r="E8511" s="3">
        <v>9000.0</v>
      </c>
      <c r="G8511" s="266">
        <v>43774.0</v>
      </c>
    </row>
    <row r="8512">
      <c r="A8512" s="217">
        <v>43775.72539386574</v>
      </c>
      <c r="B8512" s="3" t="s">
        <v>5184</v>
      </c>
      <c r="C8512" s="3" t="s">
        <v>1039</v>
      </c>
      <c r="D8512" s="265">
        <v>1.0</v>
      </c>
      <c r="E8512" s="3">
        <v>8750.0</v>
      </c>
      <c r="G8512" s="266">
        <v>43774.0</v>
      </c>
    </row>
    <row r="8513">
      <c r="A8513" s="217">
        <v>43775.72586751157</v>
      </c>
      <c r="B8513" s="3" t="s">
        <v>5184</v>
      </c>
      <c r="C8513" s="3" t="s">
        <v>2761</v>
      </c>
      <c r="D8513" s="265">
        <v>1.0</v>
      </c>
      <c r="E8513" s="3">
        <v>9000.0</v>
      </c>
      <c r="G8513" s="266">
        <v>43774.0</v>
      </c>
    </row>
    <row r="8514">
      <c r="A8514" s="217">
        <v>43775.72641599537</v>
      </c>
      <c r="B8514" s="3" t="s">
        <v>5184</v>
      </c>
      <c r="C8514" s="3" t="s">
        <v>2760</v>
      </c>
      <c r="D8514" s="265">
        <v>1.0</v>
      </c>
      <c r="E8514" s="3">
        <v>9000.0</v>
      </c>
      <c r="G8514" s="266">
        <v>43774.0</v>
      </c>
    </row>
    <row r="8515">
      <c r="A8515" s="217">
        <v>43775.72680616898</v>
      </c>
      <c r="B8515" s="3" t="s">
        <v>5184</v>
      </c>
      <c r="C8515" s="3" t="s">
        <v>9986</v>
      </c>
      <c r="D8515" s="265">
        <v>1.0</v>
      </c>
      <c r="E8515" s="3">
        <v>7650.0</v>
      </c>
      <c r="G8515" s="266">
        <v>43774.0</v>
      </c>
    </row>
    <row r="8516">
      <c r="A8516" s="217">
        <v>43775.72750774305</v>
      </c>
      <c r="B8516" s="3" t="s">
        <v>5184</v>
      </c>
      <c r="C8516" s="3" t="s">
        <v>2763</v>
      </c>
      <c r="D8516" s="265">
        <v>1.0</v>
      </c>
      <c r="E8516" s="3">
        <v>7650.0</v>
      </c>
      <c r="G8516" s="266">
        <v>43774.0</v>
      </c>
    </row>
    <row r="8517">
      <c r="A8517" s="217">
        <v>43775.7279077662</v>
      </c>
      <c r="B8517" s="3" t="s">
        <v>5184</v>
      </c>
      <c r="C8517" s="3" t="s">
        <v>5379</v>
      </c>
      <c r="D8517" s="265">
        <v>1.0</v>
      </c>
      <c r="E8517" s="3">
        <v>7650.0</v>
      </c>
      <c r="G8517" s="266">
        <v>43774.0</v>
      </c>
    </row>
    <row r="8518">
      <c r="A8518" s="217">
        <v>43775.728473298615</v>
      </c>
      <c r="B8518" s="3" t="s">
        <v>5184</v>
      </c>
      <c r="C8518" s="3" t="s">
        <v>5288</v>
      </c>
      <c r="D8518" s="265">
        <v>1.0</v>
      </c>
      <c r="E8518" s="3">
        <v>9990.0</v>
      </c>
      <c r="G8518" s="266">
        <v>43774.0</v>
      </c>
    </row>
    <row r="8519">
      <c r="A8519" s="217">
        <v>43775.7302665162</v>
      </c>
      <c r="B8519" s="3" t="s">
        <v>5184</v>
      </c>
      <c r="C8519" s="3" t="s">
        <v>6499</v>
      </c>
      <c r="D8519" s="265">
        <v>1.0</v>
      </c>
      <c r="E8519" s="3">
        <v>9500.0</v>
      </c>
      <c r="G8519" s="266">
        <v>43774.0</v>
      </c>
    </row>
    <row r="8520">
      <c r="A8520" s="217">
        <v>43775.730715046295</v>
      </c>
      <c r="B8520" s="3" t="s">
        <v>5184</v>
      </c>
      <c r="C8520" s="3" t="s">
        <v>6500</v>
      </c>
      <c r="D8520" s="265">
        <v>1.0</v>
      </c>
      <c r="E8520" s="3">
        <v>9500.0</v>
      </c>
      <c r="G8520" s="266">
        <v>43774.0</v>
      </c>
    </row>
    <row r="8521">
      <c r="A8521" s="217">
        <v>43775.7311246875</v>
      </c>
      <c r="B8521" s="3" t="s">
        <v>5184</v>
      </c>
      <c r="C8521" s="3" t="s">
        <v>1226</v>
      </c>
      <c r="D8521" s="265">
        <v>1.0</v>
      </c>
      <c r="E8521" s="3">
        <v>9500.0</v>
      </c>
      <c r="G8521" s="266">
        <v>43774.0</v>
      </c>
    </row>
    <row r="8522">
      <c r="A8522" s="217">
        <v>43777.59463157407</v>
      </c>
      <c r="B8522" s="3" t="s">
        <v>2322</v>
      </c>
      <c r="C8522" s="3" t="s">
        <v>9987</v>
      </c>
      <c r="D8522" s="265">
        <v>1.0</v>
      </c>
      <c r="E8522" s="3">
        <v>9790.0</v>
      </c>
      <c r="G8522" s="266">
        <v>43775.0</v>
      </c>
    </row>
    <row r="8523">
      <c r="A8523" s="217">
        <v>43777.59616083333</v>
      </c>
      <c r="B8523" s="3" t="s">
        <v>2322</v>
      </c>
      <c r="C8523" s="3" t="s">
        <v>4997</v>
      </c>
      <c r="D8523" s="265">
        <v>1.0</v>
      </c>
      <c r="E8523" s="3">
        <v>1050.0</v>
      </c>
      <c r="G8523" s="266">
        <v>43775.0</v>
      </c>
    </row>
    <row r="8524">
      <c r="A8524" s="217">
        <v>43781.49903082176</v>
      </c>
      <c r="B8524" s="3" t="s">
        <v>5184</v>
      </c>
      <c r="C8524" s="3" t="s">
        <v>4707</v>
      </c>
      <c r="D8524" s="265">
        <v>1.0</v>
      </c>
      <c r="E8524" s="3">
        <v>2150.0</v>
      </c>
      <c r="G8524" s="266">
        <v>43776.0</v>
      </c>
    </row>
    <row r="8525">
      <c r="A8525" s="217">
        <v>43781.50101983796</v>
      </c>
      <c r="B8525" s="3" t="s">
        <v>5184</v>
      </c>
      <c r="C8525" s="3" t="s">
        <v>9990</v>
      </c>
      <c r="D8525" s="265">
        <v>1.0</v>
      </c>
      <c r="G8525" s="266">
        <v>43776.0</v>
      </c>
    </row>
    <row r="8526">
      <c r="A8526" s="217">
        <v>43781.50165332176</v>
      </c>
      <c r="B8526" s="3" t="s">
        <v>5184</v>
      </c>
      <c r="C8526" s="3" t="s">
        <v>9721</v>
      </c>
      <c r="D8526" s="265">
        <v>1.0</v>
      </c>
      <c r="G8526" s="266">
        <v>43776.0</v>
      </c>
    </row>
    <row r="8527">
      <c r="A8527" s="217">
        <v>43781.50229752315</v>
      </c>
      <c r="B8527" s="3" t="s">
        <v>5184</v>
      </c>
      <c r="C8527" s="3" t="s">
        <v>9991</v>
      </c>
      <c r="D8527" s="265">
        <v>1.0</v>
      </c>
      <c r="G8527" s="266">
        <v>43776.0</v>
      </c>
    </row>
    <row r="8528">
      <c r="A8528" s="217">
        <v>43781.50472769676</v>
      </c>
      <c r="B8528" s="3" t="s">
        <v>5184</v>
      </c>
      <c r="C8528" s="3" t="s">
        <v>1269</v>
      </c>
      <c r="D8528" s="265">
        <v>3.0</v>
      </c>
      <c r="G8528" s="266">
        <v>43779.0</v>
      </c>
    </row>
    <row r="8529">
      <c r="A8529" s="217">
        <v>43781.512113055556</v>
      </c>
      <c r="B8529" s="3" t="s">
        <v>5184</v>
      </c>
      <c r="C8529" s="3" t="s">
        <v>9719</v>
      </c>
      <c r="D8529" s="265">
        <v>1.0</v>
      </c>
      <c r="G8529" s="266">
        <v>43779.0</v>
      </c>
    </row>
    <row r="8530">
      <c r="A8530" s="217">
        <v>43781.51294832176</v>
      </c>
      <c r="B8530" s="3" t="s">
        <v>5184</v>
      </c>
      <c r="C8530" s="3" t="s">
        <v>4742</v>
      </c>
      <c r="D8530" s="265">
        <v>3.0</v>
      </c>
      <c r="G8530" s="266">
        <v>43779.0</v>
      </c>
    </row>
    <row r="8531">
      <c r="A8531" s="217">
        <v>43781.51386734954</v>
      </c>
      <c r="B8531" s="3" t="s">
        <v>5184</v>
      </c>
      <c r="C8531" s="3" t="s">
        <v>4851</v>
      </c>
      <c r="D8531" s="265">
        <v>3.0</v>
      </c>
      <c r="G8531" s="266">
        <v>43779.0</v>
      </c>
    </row>
    <row r="8532">
      <c r="A8532" s="217">
        <v>43781.514692083336</v>
      </c>
      <c r="B8532" s="3" t="s">
        <v>5184</v>
      </c>
      <c r="C8532" s="3" t="s">
        <v>5015</v>
      </c>
      <c r="D8532" s="265">
        <v>3.0</v>
      </c>
      <c r="G8532" s="266">
        <v>43779.0</v>
      </c>
    </row>
    <row r="8533">
      <c r="A8533" s="217">
        <v>43781.515232199075</v>
      </c>
      <c r="B8533" s="3" t="s">
        <v>5184</v>
      </c>
      <c r="C8533" s="3" t="s">
        <v>9718</v>
      </c>
      <c r="D8533" s="265">
        <v>1.0</v>
      </c>
      <c r="G8533" s="266">
        <v>43779.0</v>
      </c>
    </row>
    <row r="8534">
      <c r="A8534" s="217">
        <v>43781.51581835648</v>
      </c>
      <c r="B8534" s="3" t="s">
        <v>5184</v>
      </c>
      <c r="C8534" s="3" t="s">
        <v>698</v>
      </c>
      <c r="D8534" s="265">
        <v>1.0</v>
      </c>
      <c r="E8534" s="3">
        <v>1699.0</v>
      </c>
      <c r="G8534" s="266">
        <v>43779.0</v>
      </c>
    </row>
    <row r="8535">
      <c r="A8535" s="217">
        <v>43781.51642252315</v>
      </c>
      <c r="B8535" s="3" t="s">
        <v>5184</v>
      </c>
      <c r="C8535" s="3" t="s">
        <v>4826</v>
      </c>
      <c r="D8535" s="265">
        <v>2.0</v>
      </c>
      <c r="G8535" s="266">
        <v>43779.0</v>
      </c>
    </row>
    <row r="8536">
      <c r="A8536" s="217">
        <v>43781.517032662035</v>
      </c>
      <c r="B8536" s="3" t="s">
        <v>5184</v>
      </c>
      <c r="C8536" s="3" t="s">
        <v>9720</v>
      </c>
      <c r="D8536" s="265">
        <v>1.0</v>
      </c>
      <c r="G8536" s="266">
        <v>43779.0</v>
      </c>
    </row>
    <row r="8537">
      <c r="A8537" s="217">
        <v>43781.517664363426</v>
      </c>
      <c r="B8537" s="3" t="s">
        <v>5184</v>
      </c>
      <c r="C8537" s="3" t="s">
        <v>4826</v>
      </c>
      <c r="D8537" s="265">
        <v>1.0</v>
      </c>
      <c r="G8537" s="266">
        <v>43779.0</v>
      </c>
    </row>
    <row r="8538">
      <c r="A8538" s="217">
        <v>43781.518753738426</v>
      </c>
      <c r="B8538" s="3" t="s">
        <v>5184</v>
      </c>
      <c r="C8538" s="3" t="s">
        <v>1274</v>
      </c>
      <c r="D8538" s="265">
        <v>1.0</v>
      </c>
      <c r="E8538" s="3">
        <v>1750.0</v>
      </c>
      <c r="G8538" s="266">
        <v>43779.0</v>
      </c>
    </row>
    <row r="8539">
      <c r="A8539" s="217">
        <v>43781.519647002315</v>
      </c>
      <c r="B8539" s="3" t="s">
        <v>5184</v>
      </c>
      <c r="C8539" s="3" t="s">
        <v>9708</v>
      </c>
      <c r="D8539" s="265">
        <v>2.0</v>
      </c>
      <c r="G8539" s="266">
        <v>43779.0</v>
      </c>
    </row>
    <row r="8540">
      <c r="A8540" s="217">
        <v>43781.52027502315</v>
      </c>
      <c r="B8540" s="3" t="s">
        <v>5184</v>
      </c>
      <c r="C8540" s="3" t="s">
        <v>1271</v>
      </c>
      <c r="D8540" s="265">
        <v>1.0</v>
      </c>
      <c r="G8540" s="266">
        <v>43779.0</v>
      </c>
    </row>
    <row r="8541">
      <c r="A8541" s="217">
        <v>43781.52095515047</v>
      </c>
      <c r="B8541" s="3" t="s">
        <v>5184</v>
      </c>
      <c r="C8541" s="3" t="s">
        <v>9716</v>
      </c>
      <c r="D8541" s="265">
        <v>1.0</v>
      </c>
      <c r="G8541" s="266">
        <v>43779.0</v>
      </c>
    </row>
    <row r="8542">
      <c r="A8542" s="217">
        <v>43781.52151851852</v>
      </c>
      <c r="B8542" s="3" t="s">
        <v>5184</v>
      </c>
      <c r="C8542" s="3" t="s">
        <v>9722</v>
      </c>
      <c r="D8542" s="265">
        <v>1.0</v>
      </c>
      <c r="G8542" s="266">
        <v>43779.0</v>
      </c>
    </row>
    <row r="8543">
      <c r="A8543" s="217">
        <v>43781.52214148148</v>
      </c>
      <c r="B8543" s="3" t="s">
        <v>5184</v>
      </c>
      <c r="C8543" s="3" t="s">
        <v>1725</v>
      </c>
      <c r="D8543" s="265">
        <v>1.0</v>
      </c>
      <c r="E8543" s="3">
        <v>8790.0</v>
      </c>
      <c r="G8543" s="266">
        <v>43779.0</v>
      </c>
    </row>
    <row r="8544">
      <c r="A8544" s="217">
        <v>43781.5226219676</v>
      </c>
      <c r="B8544" s="3" t="s">
        <v>5184</v>
      </c>
      <c r="C8544" s="3" t="s">
        <v>1727</v>
      </c>
      <c r="D8544" s="265">
        <v>1.0</v>
      </c>
      <c r="E8544" s="3">
        <v>8790.0</v>
      </c>
      <c r="G8544" s="266">
        <v>43779.0</v>
      </c>
    </row>
    <row r="8545">
      <c r="A8545" s="217">
        <v>43781.523038287036</v>
      </c>
      <c r="B8545" s="3" t="s">
        <v>5184</v>
      </c>
      <c r="C8545" s="3" t="s">
        <v>1724</v>
      </c>
      <c r="D8545" s="265">
        <v>1.0</v>
      </c>
      <c r="E8545" s="3">
        <v>6690.0</v>
      </c>
      <c r="G8545" s="266">
        <v>43779.0</v>
      </c>
    </row>
    <row r="8546">
      <c r="A8546" s="217">
        <v>43783.49157642361</v>
      </c>
      <c r="B8546" s="3" t="s">
        <v>5184</v>
      </c>
      <c r="C8546" s="3" t="s">
        <v>5493</v>
      </c>
      <c r="D8546" s="265">
        <v>1.0</v>
      </c>
      <c r="E8546" s="3">
        <v>4290.0</v>
      </c>
      <c r="G8546" s="266">
        <v>43783.0</v>
      </c>
    </row>
    <row r="8547">
      <c r="A8547" s="217">
        <v>43783.494475162035</v>
      </c>
      <c r="B8547" s="3" t="s">
        <v>5184</v>
      </c>
      <c r="C8547" s="3" t="s">
        <v>1309</v>
      </c>
      <c r="D8547" s="265">
        <v>1.0</v>
      </c>
      <c r="E8547" s="3">
        <v>1800.0</v>
      </c>
      <c r="G8547" s="266">
        <v>43783.0</v>
      </c>
    </row>
    <row r="8548">
      <c r="A8548" s="217">
        <v>43783.503499768514</v>
      </c>
      <c r="B8548" s="3" t="s">
        <v>5184</v>
      </c>
      <c r="C8548" s="3" t="s">
        <v>9244</v>
      </c>
      <c r="D8548" s="265">
        <v>1.0</v>
      </c>
      <c r="E8548" s="3">
        <v>3950.0</v>
      </c>
      <c r="G8548" s="266">
        <v>43783.0</v>
      </c>
    </row>
    <row r="8549">
      <c r="A8549" s="217">
        <v>43783.510891655096</v>
      </c>
      <c r="B8549" s="3" t="s">
        <v>5184</v>
      </c>
      <c r="C8549" s="3" t="s">
        <v>9677</v>
      </c>
      <c r="D8549" s="265">
        <v>1.0</v>
      </c>
      <c r="E8549" s="3">
        <v>6690.0</v>
      </c>
      <c r="G8549" s="266">
        <v>43783.0</v>
      </c>
    </row>
    <row r="8550">
      <c r="A8550" s="217">
        <v>43783.51235260417</v>
      </c>
      <c r="B8550" s="3" t="s">
        <v>5184</v>
      </c>
      <c r="C8550" s="3" t="s">
        <v>6893</v>
      </c>
      <c r="D8550" s="265">
        <v>1.0</v>
      </c>
      <c r="E8550" s="3">
        <v>2150.0</v>
      </c>
      <c r="G8550" s="266">
        <v>43783.0</v>
      </c>
    </row>
    <row r="8551">
      <c r="A8551" s="217">
        <v>43787.470460798606</v>
      </c>
      <c r="B8551" s="3" t="s">
        <v>5184</v>
      </c>
      <c r="C8551" s="3" t="s">
        <v>9995</v>
      </c>
      <c r="D8551" s="265">
        <v>1.0</v>
      </c>
      <c r="E8551" s="3">
        <v>7650.0</v>
      </c>
      <c r="G8551" s="266">
        <v>43787.0</v>
      </c>
    </row>
    <row r="8552">
      <c r="A8552" s="217">
        <v>43787.47147846065</v>
      </c>
      <c r="B8552" s="3" t="s">
        <v>5184</v>
      </c>
      <c r="C8552" s="3" t="s">
        <v>4997</v>
      </c>
      <c r="D8552" s="265">
        <v>1.0</v>
      </c>
      <c r="E8552" s="3">
        <v>1050.0</v>
      </c>
      <c r="G8552" s="266">
        <v>43787.0</v>
      </c>
    </row>
    <row r="8553">
      <c r="A8553" s="217">
        <v>43791.521027800925</v>
      </c>
      <c r="B8553" s="3" t="s">
        <v>5184</v>
      </c>
      <c r="C8553" s="3" t="s">
        <v>2059</v>
      </c>
      <c r="D8553" s="265">
        <v>1.0</v>
      </c>
      <c r="G8553" s="266">
        <v>43788.0</v>
      </c>
    </row>
    <row r="8554">
      <c r="A8554" s="217">
        <v>43791.521027800925</v>
      </c>
      <c r="B8554" s="3" t="s">
        <v>5184</v>
      </c>
      <c r="C8554" s="3" t="s">
        <v>9998</v>
      </c>
      <c r="D8554" s="265">
        <v>1.0</v>
      </c>
      <c r="E8554" s="3">
        <v>8415.0</v>
      </c>
      <c r="G8554" s="266">
        <v>43788.0</v>
      </c>
    </row>
    <row r="8555">
      <c r="A8555" s="217">
        <v>43791.522865844905</v>
      </c>
      <c r="B8555" s="3" t="s">
        <v>5184</v>
      </c>
      <c r="C8555" s="3" t="s">
        <v>9999</v>
      </c>
      <c r="D8555" s="265">
        <v>1.0</v>
      </c>
      <c r="E8555" s="3">
        <v>9920.0</v>
      </c>
      <c r="G8555" s="266">
        <v>43788.0</v>
      </c>
    </row>
    <row r="8556">
      <c r="A8556" s="217">
        <v>43791.523330613425</v>
      </c>
      <c r="B8556" s="3" t="s">
        <v>5184</v>
      </c>
      <c r="C8556" s="3" t="s">
        <v>2062</v>
      </c>
      <c r="D8556" s="265">
        <v>1.0</v>
      </c>
      <c r="G8556" s="266">
        <v>43788.0</v>
      </c>
    </row>
    <row r="8557">
      <c r="A8557" s="217">
        <v>43791.52378371528</v>
      </c>
      <c r="B8557" s="3" t="s">
        <v>5184</v>
      </c>
      <c r="C8557" s="3" t="s">
        <v>2065</v>
      </c>
      <c r="D8557" s="265">
        <v>1.0</v>
      </c>
      <c r="G8557" s="266">
        <v>43788.0</v>
      </c>
    </row>
    <row r="8558">
      <c r="A8558" s="217">
        <v>43791.5242240625</v>
      </c>
      <c r="B8558" s="3" t="s">
        <v>5184</v>
      </c>
      <c r="C8558" s="3" t="s">
        <v>10000</v>
      </c>
      <c r="D8558" s="265">
        <v>1.0</v>
      </c>
      <c r="G8558" s="266">
        <v>43788.0</v>
      </c>
    </row>
    <row r="8559">
      <c r="A8559" s="217">
        <v>43791.52467027778</v>
      </c>
      <c r="B8559" s="3" t="s">
        <v>5184</v>
      </c>
      <c r="C8559" s="3" t="s">
        <v>10001</v>
      </c>
      <c r="D8559" s="265">
        <v>1.0</v>
      </c>
      <c r="G8559" s="266">
        <v>43788.0</v>
      </c>
    </row>
    <row r="8560">
      <c r="A8560" s="217">
        <v>43791.52640371528</v>
      </c>
      <c r="B8560" s="3" t="s">
        <v>5184</v>
      </c>
      <c r="C8560" s="3" t="s">
        <v>5282</v>
      </c>
      <c r="D8560" s="265">
        <v>1.0</v>
      </c>
      <c r="E8560" s="3">
        <v>6690.0</v>
      </c>
      <c r="G8560" s="266">
        <v>43789.0</v>
      </c>
    </row>
    <row r="8561">
      <c r="A8561" s="217">
        <v>43791.52681701389</v>
      </c>
      <c r="B8561" s="3" t="s">
        <v>5184</v>
      </c>
      <c r="C8561" s="3" t="s">
        <v>10003</v>
      </c>
      <c r="D8561" s="265">
        <v>1.0</v>
      </c>
      <c r="E8561" s="3">
        <v>6790.0</v>
      </c>
      <c r="G8561" s="266">
        <v>43789.0</v>
      </c>
    </row>
    <row r="8562">
      <c r="A8562" s="217">
        <v>43791.52723121528</v>
      </c>
      <c r="B8562" s="3" t="s">
        <v>5184</v>
      </c>
      <c r="C8562" s="3" t="s">
        <v>10004</v>
      </c>
      <c r="D8562" s="265">
        <v>1.0</v>
      </c>
      <c r="E8562" s="3">
        <v>7990.0</v>
      </c>
      <c r="G8562" s="266">
        <v>43789.0</v>
      </c>
    </row>
    <row r="8563">
      <c r="A8563" s="217">
        <v>43791.527638009255</v>
      </c>
      <c r="B8563" s="3" t="s">
        <v>5184</v>
      </c>
      <c r="C8563" s="3" t="s">
        <v>10005</v>
      </c>
      <c r="D8563" s="265">
        <v>1.0</v>
      </c>
      <c r="E8563" s="3">
        <v>8625.0</v>
      </c>
      <c r="G8563" s="266">
        <v>43789.0</v>
      </c>
    </row>
    <row r="8564">
      <c r="A8564" s="217">
        <v>43791.52835179398</v>
      </c>
      <c r="B8564" s="3" t="s">
        <v>5184</v>
      </c>
      <c r="C8564" s="3" t="s">
        <v>10006</v>
      </c>
      <c r="D8564" s="265">
        <v>1.0</v>
      </c>
      <c r="G8564" s="266">
        <v>43789.0</v>
      </c>
    </row>
    <row r="8565">
      <c r="A8565" s="217">
        <v>43791.52872565972</v>
      </c>
      <c r="B8565" s="3" t="s">
        <v>5184</v>
      </c>
      <c r="C8565" s="3" t="s">
        <v>10007</v>
      </c>
      <c r="D8565" s="265">
        <v>1.0</v>
      </c>
      <c r="G8565" s="266">
        <v>43789.0</v>
      </c>
    </row>
    <row r="8566">
      <c r="A8566" s="217">
        <v>43791.52940834491</v>
      </c>
      <c r="B8566" s="3" t="s">
        <v>5184</v>
      </c>
      <c r="C8566" s="3" t="s">
        <v>9712</v>
      </c>
      <c r="D8566" s="265">
        <v>1.0</v>
      </c>
      <c r="G8566" s="266">
        <v>43789.0</v>
      </c>
    </row>
    <row r="8567">
      <c r="A8567" s="217">
        <v>43791.5297983912</v>
      </c>
      <c r="B8567" s="3" t="s">
        <v>5184</v>
      </c>
      <c r="C8567" s="3" t="s">
        <v>2037</v>
      </c>
      <c r="D8567" s="265">
        <v>1.0</v>
      </c>
      <c r="G8567" s="266">
        <v>43789.0</v>
      </c>
    </row>
    <row r="8568">
      <c r="A8568" s="217">
        <v>43791.5310530787</v>
      </c>
      <c r="B8568" s="3" t="s">
        <v>5184</v>
      </c>
      <c r="C8568" s="3" t="s">
        <v>2048</v>
      </c>
      <c r="D8568" s="265">
        <v>1.0</v>
      </c>
      <c r="G8568" s="266">
        <v>43789.0</v>
      </c>
    </row>
    <row r="8569">
      <c r="A8569" s="217">
        <v>43791.53182201389</v>
      </c>
      <c r="B8569" s="3" t="s">
        <v>5184</v>
      </c>
      <c r="C8569" s="3" t="s">
        <v>10008</v>
      </c>
      <c r="D8569" s="265">
        <v>1.0</v>
      </c>
      <c r="G8569" s="266">
        <v>43789.0</v>
      </c>
    </row>
    <row r="8570">
      <c r="A8570" s="217">
        <v>43791.53287984953</v>
      </c>
      <c r="B8570" s="3" t="s">
        <v>5184</v>
      </c>
      <c r="C8570" s="3" t="s">
        <v>2056</v>
      </c>
      <c r="D8570" s="265">
        <v>1.0</v>
      </c>
      <c r="G8570" s="266">
        <v>43789.0</v>
      </c>
    </row>
    <row r="8571">
      <c r="A8571" s="217">
        <v>43791.53327005787</v>
      </c>
      <c r="B8571" s="3" t="s">
        <v>5184</v>
      </c>
      <c r="C8571" s="3" t="s">
        <v>10009</v>
      </c>
      <c r="D8571" s="265">
        <v>1.0</v>
      </c>
      <c r="G8571" s="266">
        <v>43789.0</v>
      </c>
    </row>
    <row r="8572">
      <c r="A8572" s="217">
        <v>43791.533683842594</v>
      </c>
      <c r="B8572" s="3" t="s">
        <v>5184</v>
      </c>
      <c r="C8572" s="3" t="s">
        <v>10010</v>
      </c>
      <c r="D8572" s="265">
        <v>1.0</v>
      </c>
      <c r="G8572" s="266">
        <v>43789.0</v>
      </c>
    </row>
    <row r="8573">
      <c r="A8573" s="217">
        <v>43791.60576583333</v>
      </c>
      <c r="B8573" s="3" t="s">
        <v>2322</v>
      </c>
      <c r="C8573" s="3" t="s">
        <v>9441</v>
      </c>
      <c r="D8573" s="265">
        <v>1.0</v>
      </c>
      <c r="E8573" s="3">
        <v>2350.0</v>
      </c>
      <c r="G8573" s="266">
        <v>43791.0</v>
      </c>
    </row>
    <row r="8574">
      <c r="A8574" s="217">
        <v>43794.744016701385</v>
      </c>
      <c r="B8574" s="3" t="s">
        <v>5092</v>
      </c>
      <c r="C8574" s="3" t="s">
        <v>244</v>
      </c>
      <c r="D8574" s="265">
        <v>2.0</v>
      </c>
      <c r="E8574" s="3">
        <v>500.0</v>
      </c>
      <c r="G8574" s="266">
        <v>43794.0</v>
      </c>
    </row>
    <row r="8575">
      <c r="A8575" s="217">
        <v>43794.766267812505</v>
      </c>
      <c r="B8575" s="3" t="s">
        <v>5092</v>
      </c>
      <c r="C8575" s="3" t="s">
        <v>10012</v>
      </c>
      <c r="D8575" s="265">
        <v>2.0</v>
      </c>
      <c r="E8575" s="3">
        <v>1000.0</v>
      </c>
      <c r="G8575" s="266">
        <v>43794.0</v>
      </c>
    </row>
    <row r="8576">
      <c r="A8576" s="217">
        <v>43794.76706844907</v>
      </c>
      <c r="B8576" s="3" t="s">
        <v>5092</v>
      </c>
      <c r="C8576" s="3" t="s">
        <v>244</v>
      </c>
      <c r="D8576" s="265">
        <v>2.0</v>
      </c>
      <c r="E8576" s="3">
        <v>500.0</v>
      </c>
      <c r="G8576" s="266">
        <v>43794.0</v>
      </c>
    </row>
    <row r="8577">
      <c r="A8577" s="217">
        <v>43794.77126112269</v>
      </c>
      <c r="B8577" s="3" t="s">
        <v>5092</v>
      </c>
      <c r="C8577" s="3" t="s">
        <v>7884</v>
      </c>
      <c r="D8577" s="265">
        <v>10.0</v>
      </c>
      <c r="E8577" s="3">
        <v>300.0</v>
      </c>
      <c r="G8577" s="266">
        <v>43794.0</v>
      </c>
    </row>
    <row r="8578">
      <c r="A8578" s="217">
        <v>43794.771785578705</v>
      </c>
      <c r="B8578" s="3" t="s">
        <v>5092</v>
      </c>
      <c r="C8578" s="3" t="s">
        <v>7884</v>
      </c>
      <c r="D8578" s="265">
        <v>14.0</v>
      </c>
      <c r="E8578" s="3">
        <v>300.0</v>
      </c>
      <c r="G8578" s="266">
        <v>43794.0</v>
      </c>
    </row>
    <row r="8579">
      <c r="A8579" s="217">
        <v>43795.49191334491</v>
      </c>
      <c r="B8579" s="3" t="s">
        <v>5184</v>
      </c>
      <c r="C8579" s="3" t="s">
        <v>1720</v>
      </c>
      <c r="D8579" s="265">
        <v>1.0</v>
      </c>
      <c r="E8579" s="3">
        <v>10990.0</v>
      </c>
      <c r="G8579" s="266">
        <v>43790.0</v>
      </c>
    </row>
    <row r="8580">
      <c r="A8580" s="217">
        <v>43795.49240646991</v>
      </c>
      <c r="B8580" s="3" t="s">
        <v>5184</v>
      </c>
      <c r="C8580" s="3" t="s">
        <v>1722</v>
      </c>
      <c r="D8580" s="265">
        <v>2.0</v>
      </c>
      <c r="E8580" s="3">
        <v>20290.0</v>
      </c>
      <c r="G8580" s="266">
        <v>43790.0</v>
      </c>
    </row>
    <row r="8581">
      <c r="A8581" s="217">
        <v>43795.492961365744</v>
      </c>
      <c r="B8581" s="3" t="s">
        <v>5184</v>
      </c>
      <c r="C8581" s="3" t="s">
        <v>9711</v>
      </c>
      <c r="D8581" s="265">
        <v>2.0</v>
      </c>
      <c r="E8581" s="3">
        <v>8290.0</v>
      </c>
      <c r="G8581" s="266">
        <v>43790.0</v>
      </c>
    </row>
    <row r="8582">
      <c r="A8582" s="217">
        <v>43795.49347100694</v>
      </c>
      <c r="B8582" s="3" t="s">
        <v>5184</v>
      </c>
      <c r="C8582" s="3" t="s">
        <v>6296</v>
      </c>
      <c r="D8582" s="265">
        <v>1.0</v>
      </c>
      <c r="E8582" s="3">
        <v>5490.0</v>
      </c>
      <c r="G8582" s="266">
        <v>43790.0</v>
      </c>
    </row>
    <row r="8583">
      <c r="A8583" s="217">
        <v>43795.49411988426</v>
      </c>
      <c r="B8583" s="3" t="s">
        <v>5184</v>
      </c>
      <c r="C8583" s="3" t="s">
        <v>4707</v>
      </c>
      <c r="D8583" s="265">
        <v>1.0</v>
      </c>
      <c r="E8583" s="3">
        <v>2150.0</v>
      </c>
      <c r="G8583" s="266">
        <v>43790.0</v>
      </c>
    </row>
    <row r="8584">
      <c r="A8584" s="217">
        <v>43795.49466387731</v>
      </c>
      <c r="B8584" s="3" t="s">
        <v>5184</v>
      </c>
      <c r="C8584" s="3" t="s">
        <v>10014</v>
      </c>
      <c r="D8584" s="265">
        <v>1.0</v>
      </c>
      <c r="G8584" s="266">
        <v>43790.0</v>
      </c>
    </row>
    <row r="8585">
      <c r="A8585" s="217">
        <v>43795.495217523145</v>
      </c>
      <c r="B8585" s="3" t="s">
        <v>5184</v>
      </c>
      <c r="C8585" s="3" t="s">
        <v>4826</v>
      </c>
      <c r="D8585" s="265">
        <v>1.0</v>
      </c>
      <c r="G8585" s="266">
        <v>43790.0</v>
      </c>
    </row>
    <row r="8586">
      <c r="A8586" s="217">
        <v>43795.4958075</v>
      </c>
      <c r="B8586" s="3" t="s">
        <v>5184</v>
      </c>
      <c r="C8586" s="3" t="s">
        <v>4851</v>
      </c>
      <c r="D8586" s="265">
        <v>1.0</v>
      </c>
      <c r="G8586" s="266">
        <v>43790.0</v>
      </c>
    </row>
    <row r="8587">
      <c r="A8587" s="217">
        <v>43795.49633738426</v>
      </c>
      <c r="B8587" s="3" t="s">
        <v>5184</v>
      </c>
      <c r="C8587" s="3" t="s">
        <v>4987</v>
      </c>
      <c r="D8587" s="265">
        <v>1.0</v>
      </c>
      <c r="G8587" s="266">
        <v>43790.0</v>
      </c>
    </row>
    <row r="8588">
      <c r="A8588" s="217">
        <v>43795.49984425926</v>
      </c>
      <c r="B8588" s="3" t="s">
        <v>5184</v>
      </c>
      <c r="C8588" s="3" t="s">
        <v>5373</v>
      </c>
      <c r="D8588" s="265">
        <v>1.0</v>
      </c>
      <c r="E8588" s="3">
        <v>8750.0</v>
      </c>
      <c r="G8588" s="266">
        <v>43791.0</v>
      </c>
    </row>
    <row r="8589">
      <c r="A8589" s="217">
        <v>43795.500431354165</v>
      </c>
      <c r="B8589" s="3" t="s">
        <v>5184</v>
      </c>
      <c r="C8589" s="3" t="s">
        <v>5368</v>
      </c>
      <c r="D8589" s="265">
        <v>1.0</v>
      </c>
      <c r="E8589" s="3">
        <v>8750.0</v>
      </c>
      <c r="G8589" s="266">
        <v>43791.0</v>
      </c>
    </row>
    <row r="8590">
      <c r="A8590" s="217">
        <v>43795.50104157407</v>
      </c>
      <c r="B8590" s="3" t="s">
        <v>5184</v>
      </c>
      <c r="C8590" s="3" t="s">
        <v>2755</v>
      </c>
      <c r="D8590" s="265">
        <v>2.0</v>
      </c>
      <c r="E8590" s="3">
        <v>9000.0</v>
      </c>
      <c r="G8590" s="266">
        <v>43791.0</v>
      </c>
    </row>
    <row r="8591">
      <c r="A8591" s="217">
        <v>43795.50164880787</v>
      </c>
      <c r="B8591" s="3" t="s">
        <v>5184</v>
      </c>
      <c r="C8591" s="3" t="s">
        <v>5391</v>
      </c>
      <c r="D8591" s="265">
        <v>2.0</v>
      </c>
      <c r="E8591" s="3">
        <v>9000.0</v>
      </c>
      <c r="G8591" s="266">
        <v>43791.0</v>
      </c>
    </row>
    <row r="8592">
      <c r="A8592" s="217">
        <v>43795.502477939815</v>
      </c>
      <c r="B8592" s="3" t="s">
        <v>5184</v>
      </c>
      <c r="C8592" s="3" t="s">
        <v>1035</v>
      </c>
      <c r="D8592" s="265">
        <v>1.0</v>
      </c>
      <c r="E8592" s="3">
        <v>9000.0</v>
      </c>
      <c r="G8592" s="266">
        <v>43791.0</v>
      </c>
    </row>
    <row r="8593">
      <c r="A8593" s="217">
        <v>43795.5031521412</v>
      </c>
      <c r="B8593" s="3" t="s">
        <v>5184</v>
      </c>
      <c r="C8593" s="3" t="s">
        <v>5370</v>
      </c>
      <c r="D8593" s="265">
        <v>1.0</v>
      </c>
      <c r="E8593" s="3">
        <v>9000.0</v>
      </c>
      <c r="G8593" s="266">
        <v>43791.0</v>
      </c>
    </row>
    <row r="8594">
      <c r="A8594" s="217">
        <v>43795.50378842592</v>
      </c>
      <c r="B8594" s="3" t="s">
        <v>5184</v>
      </c>
      <c r="C8594" s="3" t="s">
        <v>2762</v>
      </c>
      <c r="D8594" s="265">
        <v>1.0</v>
      </c>
      <c r="E8594" s="3">
        <v>7650.0</v>
      </c>
      <c r="G8594" s="266">
        <v>43791.0</v>
      </c>
    </row>
    <row r="8595">
      <c r="A8595" s="217">
        <v>43795.50434003472</v>
      </c>
      <c r="B8595" s="3" t="s">
        <v>5184</v>
      </c>
      <c r="C8595" s="3" t="s">
        <v>5247</v>
      </c>
      <c r="D8595" s="265">
        <v>1.0</v>
      </c>
      <c r="E8595" s="3">
        <v>10500.0</v>
      </c>
      <c r="G8595" s="266">
        <v>43791.0</v>
      </c>
    </row>
    <row r="8596">
      <c r="A8596" s="217">
        <v>43795.505034814814</v>
      </c>
      <c r="B8596" s="3" t="s">
        <v>5184</v>
      </c>
      <c r="C8596" s="3" t="s">
        <v>9389</v>
      </c>
      <c r="D8596" s="265">
        <v>1.0</v>
      </c>
      <c r="E8596" s="3">
        <v>8190.0</v>
      </c>
      <c r="G8596" s="266">
        <v>43791.0</v>
      </c>
    </row>
    <row r="8597">
      <c r="A8597" s="217">
        <v>43795.50549732639</v>
      </c>
      <c r="B8597" s="3" t="s">
        <v>5184</v>
      </c>
      <c r="C8597" s="3" t="s">
        <v>9391</v>
      </c>
      <c r="D8597" s="265">
        <v>1.0</v>
      </c>
      <c r="G8597" s="266">
        <v>43791.0</v>
      </c>
    </row>
    <row r="8598">
      <c r="A8598" s="217">
        <v>43795.50949822916</v>
      </c>
      <c r="B8598" s="3" t="s">
        <v>5184</v>
      </c>
      <c r="C8598" s="3" t="s">
        <v>9392</v>
      </c>
      <c r="D8598" s="265">
        <v>1.0</v>
      </c>
      <c r="G8598" s="266">
        <v>43792.0</v>
      </c>
    </row>
    <row r="8599">
      <c r="A8599" s="217">
        <v>43795.50999576389</v>
      </c>
      <c r="B8599" s="3" t="s">
        <v>5184</v>
      </c>
      <c r="C8599" s="3" t="s">
        <v>9088</v>
      </c>
      <c r="D8599" s="265">
        <v>1.0</v>
      </c>
      <c r="G8599" s="266">
        <v>43792.0</v>
      </c>
    </row>
    <row r="8600">
      <c r="A8600" s="217">
        <v>43795.51054311343</v>
      </c>
      <c r="B8600" s="3" t="s">
        <v>5184</v>
      </c>
      <c r="C8600" s="3" t="s">
        <v>9087</v>
      </c>
      <c r="D8600" s="265">
        <v>2.0</v>
      </c>
      <c r="G8600" s="266">
        <v>43792.0</v>
      </c>
    </row>
    <row r="8601">
      <c r="A8601" s="217">
        <v>43795.511135416666</v>
      </c>
      <c r="B8601" s="3" t="s">
        <v>5184</v>
      </c>
      <c r="C8601" s="3" t="s">
        <v>9085</v>
      </c>
      <c r="D8601" s="265">
        <v>1.0</v>
      </c>
      <c r="G8601" s="266">
        <v>43792.0</v>
      </c>
    </row>
    <row r="8602">
      <c r="A8602" s="217">
        <v>43795.511600729165</v>
      </c>
      <c r="B8602" s="3" t="s">
        <v>5184</v>
      </c>
      <c r="C8602" s="3" t="s">
        <v>9393</v>
      </c>
      <c r="D8602" s="265">
        <v>1.0</v>
      </c>
      <c r="G8602" s="266">
        <v>43792.0</v>
      </c>
    </row>
    <row r="8603">
      <c r="A8603" s="217">
        <v>43795.512158935184</v>
      </c>
      <c r="B8603" s="3" t="s">
        <v>5184</v>
      </c>
      <c r="C8603" s="3" t="s">
        <v>9394</v>
      </c>
      <c r="D8603" s="265">
        <v>1.0</v>
      </c>
      <c r="G8603" s="266">
        <v>43792.0</v>
      </c>
    </row>
    <row r="8604">
      <c r="A8604" s="217">
        <v>43795.512645740746</v>
      </c>
      <c r="B8604" s="3" t="s">
        <v>5184</v>
      </c>
      <c r="C8604" s="3" t="s">
        <v>9395</v>
      </c>
      <c r="D8604" s="265">
        <v>1.0</v>
      </c>
      <c r="G8604" s="266">
        <v>43792.0</v>
      </c>
    </row>
    <row r="8605">
      <c r="A8605" s="217">
        <v>43795.513274756944</v>
      </c>
      <c r="B8605" s="3" t="s">
        <v>5184</v>
      </c>
      <c r="C8605" s="3" t="s">
        <v>2040</v>
      </c>
      <c r="D8605" s="265">
        <v>1.0</v>
      </c>
      <c r="G8605" s="266">
        <v>43792.0</v>
      </c>
    </row>
    <row r="8606">
      <c r="A8606" s="217">
        <v>43795.51369811343</v>
      </c>
      <c r="B8606" s="3" t="s">
        <v>5184</v>
      </c>
      <c r="C8606" s="3" t="s">
        <v>2042</v>
      </c>
      <c r="D8606" s="265">
        <v>1.0</v>
      </c>
      <c r="G8606" s="266">
        <v>43792.0</v>
      </c>
    </row>
    <row r="8607">
      <c r="A8607" s="217">
        <v>43795.51417304398</v>
      </c>
      <c r="B8607" s="3" t="s">
        <v>5184</v>
      </c>
      <c r="C8607" s="3" t="s">
        <v>9396</v>
      </c>
      <c r="D8607" s="265">
        <v>1.0</v>
      </c>
      <c r="G8607" s="266">
        <v>43792.0</v>
      </c>
    </row>
    <row r="8608">
      <c r="A8608" s="217">
        <v>43795.514741736115</v>
      </c>
      <c r="B8608" s="3" t="s">
        <v>5184</v>
      </c>
      <c r="C8608" s="3" t="s">
        <v>9376</v>
      </c>
      <c r="D8608" s="265">
        <v>1.0</v>
      </c>
      <c r="G8608" s="266">
        <v>43792.0</v>
      </c>
    </row>
    <row r="8609">
      <c r="A8609" s="217">
        <v>43795.51530225694</v>
      </c>
      <c r="B8609" s="3" t="s">
        <v>5184</v>
      </c>
      <c r="C8609" s="3" t="s">
        <v>2051</v>
      </c>
      <c r="D8609" s="265">
        <v>1.0</v>
      </c>
      <c r="G8609" s="266">
        <v>43792.0</v>
      </c>
    </row>
    <row r="8610">
      <c r="A8610" s="217">
        <v>43795.51578685185</v>
      </c>
      <c r="B8610" s="3" t="s">
        <v>5184</v>
      </c>
      <c r="C8610" s="3" t="s">
        <v>9378</v>
      </c>
      <c r="D8610" s="265">
        <v>1.0</v>
      </c>
      <c r="G8610" s="266">
        <v>43792.0</v>
      </c>
    </row>
    <row r="8611">
      <c r="A8611" s="217">
        <v>43795.516375590276</v>
      </c>
      <c r="B8611" s="3" t="s">
        <v>5184</v>
      </c>
      <c r="C8611" s="3" t="s">
        <v>2052</v>
      </c>
      <c r="D8611" s="265">
        <v>1.0</v>
      </c>
      <c r="G8611" s="266">
        <v>43792.0</v>
      </c>
    </row>
    <row r="8612">
      <c r="A8612" s="217">
        <v>43795.51680460648</v>
      </c>
      <c r="B8612" s="3" t="s">
        <v>5184</v>
      </c>
      <c r="C8612" s="3" t="s">
        <v>9379</v>
      </c>
      <c r="D8612" s="265">
        <v>1.0</v>
      </c>
      <c r="G8612" s="266">
        <v>43792.0</v>
      </c>
    </row>
    <row r="8613">
      <c r="A8613" s="217">
        <v>43795.51862673611</v>
      </c>
      <c r="B8613" s="3" t="s">
        <v>5184</v>
      </c>
      <c r="C8613" s="3" t="s">
        <v>10017</v>
      </c>
      <c r="D8613" s="265">
        <v>1.0</v>
      </c>
      <c r="E8613" s="3">
        <v>8925.0</v>
      </c>
      <c r="G8613" s="266">
        <v>43793.0</v>
      </c>
    </row>
    <row r="8614">
      <c r="A8614" s="217">
        <v>43795.519074641204</v>
      </c>
      <c r="B8614" s="3" t="s">
        <v>5184</v>
      </c>
      <c r="C8614" s="3" t="s">
        <v>9381</v>
      </c>
      <c r="D8614" s="265">
        <v>1.0</v>
      </c>
      <c r="G8614" s="266">
        <v>43793.0</v>
      </c>
    </row>
    <row r="8615">
      <c r="A8615" s="217">
        <v>43795.51960270833</v>
      </c>
      <c r="B8615" s="3" t="s">
        <v>5184</v>
      </c>
      <c r="C8615" s="3" t="s">
        <v>2064</v>
      </c>
      <c r="D8615" s="265">
        <v>1.0</v>
      </c>
      <c r="E8615" s="3">
        <v>8797.0</v>
      </c>
      <c r="G8615" s="266">
        <v>43793.0</v>
      </c>
    </row>
    <row r="8616">
      <c r="A8616" s="217">
        <v>43795.520123877315</v>
      </c>
      <c r="B8616" s="3" t="s">
        <v>5184</v>
      </c>
      <c r="C8616" s="3" t="s">
        <v>2067</v>
      </c>
      <c r="D8616" s="265">
        <v>1.0</v>
      </c>
      <c r="G8616" s="266">
        <v>43793.0</v>
      </c>
    </row>
    <row r="8617">
      <c r="A8617" s="217">
        <v>43795.52066792824</v>
      </c>
      <c r="B8617" s="3" t="s">
        <v>5184</v>
      </c>
      <c r="C8617" s="3" t="s">
        <v>6779</v>
      </c>
      <c r="D8617" s="265">
        <v>1.0</v>
      </c>
      <c r="E8617" s="3">
        <v>8415.0</v>
      </c>
      <c r="G8617" s="266">
        <v>43793.0</v>
      </c>
    </row>
    <row r="8618">
      <c r="A8618" s="217">
        <v>43795.521183854165</v>
      </c>
      <c r="B8618" s="3" t="s">
        <v>5184</v>
      </c>
      <c r="C8618" s="3" t="s">
        <v>2081</v>
      </c>
      <c r="D8618" s="265">
        <v>1.0</v>
      </c>
      <c r="G8618" s="266">
        <v>43793.0</v>
      </c>
    </row>
    <row r="8619">
      <c r="A8619" s="217">
        <v>43795.52171359953</v>
      </c>
      <c r="B8619" s="3" t="s">
        <v>5184</v>
      </c>
      <c r="C8619" s="3" t="s">
        <v>9405</v>
      </c>
      <c r="D8619" s="265">
        <v>2.0</v>
      </c>
      <c r="G8619" s="266">
        <v>43793.0</v>
      </c>
    </row>
    <row r="8620">
      <c r="A8620" s="217">
        <v>43795.52223731481</v>
      </c>
      <c r="B8620" s="3" t="s">
        <v>5184</v>
      </c>
      <c r="C8620" s="3" t="s">
        <v>9406</v>
      </c>
      <c r="D8620" s="265">
        <v>1.0</v>
      </c>
      <c r="G8620" s="266">
        <v>43793.0</v>
      </c>
    </row>
    <row r="8621">
      <c r="A8621" s="217">
        <v>43795.522753576384</v>
      </c>
      <c r="B8621" s="3" t="s">
        <v>5184</v>
      </c>
      <c r="C8621" s="3" t="s">
        <v>9382</v>
      </c>
      <c r="D8621" s="265">
        <v>1.0</v>
      </c>
      <c r="G8621" s="266">
        <v>43793.0</v>
      </c>
    </row>
    <row r="8622">
      <c r="A8622" s="217">
        <v>43795.523237534726</v>
      </c>
      <c r="B8622" s="3" t="s">
        <v>5184</v>
      </c>
      <c r="C8622" s="3" t="s">
        <v>10019</v>
      </c>
      <c r="D8622" s="265">
        <v>1.0</v>
      </c>
      <c r="G8622" s="266">
        <v>43793.0</v>
      </c>
    </row>
    <row r="8623">
      <c r="A8623" s="217">
        <v>43795.52371623843</v>
      </c>
      <c r="B8623" s="3" t="s">
        <v>5184</v>
      </c>
      <c r="C8623" s="3" t="s">
        <v>9383</v>
      </c>
      <c r="D8623" s="265">
        <v>1.0</v>
      </c>
      <c r="G8623" s="266">
        <v>43793.0</v>
      </c>
    </row>
    <row r="8624">
      <c r="A8624" s="217">
        <v>43795.524310787034</v>
      </c>
      <c r="B8624" s="3" t="s">
        <v>5184</v>
      </c>
      <c r="C8624" s="3" t="s">
        <v>9449</v>
      </c>
      <c r="D8624" s="265">
        <v>1.0</v>
      </c>
      <c r="G8624" s="266">
        <v>43793.0</v>
      </c>
    </row>
    <row r="8625">
      <c r="A8625" s="217">
        <v>43795.52483673611</v>
      </c>
      <c r="B8625" s="3" t="s">
        <v>5184</v>
      </c>
      <c r="C8625" s="3" t="s">
        <v>9384</v>
      </c>
      <c r="D8625" s="265">
        <v>1.0</v>
      </c>
      <c r="G8625" s="266">
        <v>43793.0</v>
      </c>
    </row>
    <row r="8626">
      <c r="A8626" s="217">
        <v>43795.52528986111</v>
      </c>
      <c r="B8626" s="3" t="s">
        <v>5184</v>
      </c>
      <c r="C8626" s="3" t="s">
        <v>9364</v>
      </c>
      <c r="D8626" s="265">
        <v>1.0</v>
      </c>
      <c r="G8626" s="266">
        <v>43793.0</v>
      </c>
    </row>
    <row r="8627">
      <c r="A8627" s="217">
        <v>43795.52565447916</v>
      </c>
      <c r="B8627" s="3" t="s">
        <v>5184</v>
      </c>
      <c r="C8627" s="3" t="s">
        <v>9367</v>
      </c>
      <c r="D8627" s="265">
        <v>1.0</v>
      </c>
      <c r="G8627" s="266">
        <v>43793.0</v>
      </c>
    </row>
    <row r="8628">
      <c r="A8628" s="217">
        <v>43795.52697515047</v>
      </c>
      <c r="B8628" s="3" t="s">
        <v>5184</v>
      </c>
      <c r="C8628" s="3" t="s">
        <v>10020</v>
      </c>
      <c r="D8628" s="265">
        <v>1.0</v>
      </c>
      <c r="G8628" s="266">
        <v>43793.0</v>
      </c>
    </row>
    <row r="8629">
      <c r="A8629" s="217">
        <v>43795.52768746528</v>
      </c>
      <c r="B8629" s="3" t="s">
        <v>5184</v>
      </c>
      <c r="C8629" s="3" t="s">
        <v>10022</v>
      </c>
      <c r="D8629" s="265">
        <v>2.0</v>
      </c>
      <c r="G8629" s="266">
        <v>43793.0</v>
      </c>
    </row>
    <row r="8630">
      <c r="A8630" s="217">
        <v>43795.52938792824</v>
      </c>
      <c r="B8630" s="3" t="s">
        <v>5184</v>
      </c>
      <c r="C8630" s="3" t="s">
        <v>1338</v>
      </c>
      <c r="D8630" s="265">
        <v>1.0</v>
      </c>
      <c r="E8630" s="3">
        <v>2250.0</v>
      </c>
      <c r="G8630" s="266">
        <v>43795.0</v>
      </c>
    </row>
    <row r="8631">
      <c r="A8631" s="217">
        <v>43795.529878217596</v>
      </c>
      <c r="B8631" s="3" t="s">
        <v>5184</v>
      </c>
      <c r="C8631" s="3" t="s">
        <v>5565</v>
      </c>
      <c r="D8631" s="265">
        <v>1.0</v>
      </c>
      <c r="E8631" s="3">
        <v>1800.0</v>
      </c>
      <c r="G8631" s="266">
        <v>43795.0</v>
      </c>
    </row>
    <row r="8632">
      <c r="A8632" s="217">
        <v>43795.53055831019</v>
      </c>
      <c r="B8632" s="3" t="s">
        <v>5184</v>
      </c>
      <c r="C8632" s="3" t="s">
        <v>6895</v>
      </c>
      <c r="D8632" s="265">
        <v>1.0</v>
      </c>
      <c r="E8632" s="3">
        <v>2150.0</v>
      </c>
      <c r="G8632" s="266">
        <v>43795.0</v>
      </c>
    </row>
    <row r="8633">
      <c r="A8633" s="217">
        <v>43795.53096827546</v>
      </c>
      <c r="B8633" s="3" t="s">
        <v>5184</v>
      </c>
      <c r="C8633" s="3" t="s">
        <v>1359</v>
      </c>
      <c r="D8633" s="265">
        <v>1.0</v>
      </c>
      <c r="E8633" s="3">
        <v>2390.0</v>
      </c>
      <c r="G8633" s="266">
        <v>43795.0</v>
      </c>
    </row>
    <row r="8634">
      <c r="A8634" s="217">
        <v>43795.531488356486</v>
      </c>
      <c r="B8634" s="3" t="s">
        <v>5184</v>
      </c>
      <c r="C8634" s="3" t="s">
        <v>10025</v>
      </c>
      <c r="D8634" s="265">
        <v>1.0</v>
      </c>
      <c r="E8634" s="3">
        <v>1800.0</v>
      </c>
      <c r="G8634" s="266">
        <v>43795.0</v>
      </c>
    </row>
    <row r="8635">
      <c r="A8635" s="217">
        <v>43795.53201440972</v>
      </c>
      <c r="B8635" s="3" t="s">
        <v>5184</v>
      </c>
      <c r="C8635" s="3" t="s">
        <v>8472</v>
      </c>
      <c r="D8635" s="265">
        <v>1.0</v>
      </c>
      <c r="E8635" s="3">
        <v>2450.0</v>
      </c>
      <c r="G8635" s="266">
        <v>43795.0</v>
      </c>
    </row>
    <row r="8636">
      <c r="A8636" s="217">
        <v>43801.721058842595</v>
      </c>
      <c r="B8636" s="3" t="s">
        <v>5184</v>
      </c>
      <c r="C8636" s="3" t="s">
        <v>5493</v>
      </c>
      <c r="D8636" s="265">
        <v>1.0</v>
      </c>
      <c r="E8636" s="3">
        <v>4290.0</v>
      </c>
      <c r="G8636" s="266">
        <v>43796.0</v>
      </c>
    </row>
    <row r="8637">
      <c r="A8637" s="217">
        <v>43801.72212734954</v>
      </c>
      <c r="B8637" s="3" t="s">
        <v>5184</v>
      </c>
      <c r="C8637" s="3" t="s">
        <v>2126</v>
      </c>
      <c r="D8637" s="265">
        <v>1.0</v>
      </c>
      <c r="E8637" s="3">
        <v>3790.0</v>
      </c>
      <c r="G8637" s="266">
        <v>43796.0</v>
      </c>
    </row>
    <row r="8638">
      <c r="A8638" s="217">
        <v>43801.72307099537</v>
      </c>
      <c r="B8638" s="3" t="s">
        <v>5184</v>
      </c>
      <c r="C8638" s="3" t="s">
        <v>5500</v>
      </c>
      <c r="D8638" s="265">
        <v>1.0</v>
      </c>
      <c r="E8638" s="3">
        <v>4290.0</v>
      </c>
      <c r="G8638" s="266">
        <v>43796.0</v>
      </c>
    </row>
    <row r="8639">
      <c r="A8639" s="217">
        <v>43801.72370416667</v>
      </c>
      <c r="B8639" s="3" t="s">
        <v>5184</v>
      </c>
      <c r="C8639" s="3" t="s">
        <v>9678</v>
      </c>
      <c r="D8639" s="265">
        <v>1.0</v>
      </c>
      <c r="E8639" s="3">
        <v>4790.0</v>
      </c>
      <c r="G8639" s="266">
        <v>43796.0</v>
      </c>
    </row>
    <row r="8640">
      <c r="A8640" s="217">
        <v>43801.7241386574</v>
      </c>
      <c r="B8640" s="3" t="s">
        <v>5184</v>
      </c>
      <c r="C8640" s="3" t="s">
        <v>2136</v>
      </c>
      <c r="D8640" s="265">
        <v>1.0</v>
      </c>
      <c r="E8640" s="3">
        <v>4290.0</v>
      </c>
      <c r="G8640" s="266">
        <v>43796.0</v>
      </c>
    </row>
    <row r="8641">
      <c r="A8641" s="217">
        <v>43801.724611631944</v>
      </c>
      <c r="B8641" s="3" t="s">
        <v>5184</v>
      </c>
      <c r="C8641" s="3" t="s">
        <v>2135</v>
      </c>
      <c r="D8641" s="265">
        <v>1.0</v>
      </c>
      <c r="E8641" s="3">
        <v>4290.0</v>
      </c>
      <c r="G8641" s="266">
        <v>43796.0</v>
      </c>
    </row>
    <row r="8642">
      <c r="A8642" s="217">
        <v>43810.41735520834</v>
      </c>
      <c r="B8642" s="3" t="s">
        <v>5092</v>
      </c>
      <c r="C8642" s="3" t="s">
        <v>9529</v>
      </c>
      <c r="D8642" s="265">
        <v>18.0</v>
      </c>
      <c r="E8642" s="3">
        <v>600.0</v>
      </c>
      <c r="G8642" s="266">
        <v>43809.0</v>
      </c>
    </row>
    <row r="8643">
      <c r="A8643" s="217">
        <v>43810.418143194445</v>
      </c>
      <c r="B8643" s="3" t="s">
        <v>5092</v>
      </c>
      <c r="C8643" s="3" t="s">
        <v>284</v>
      </c>
      <c r="D8643" s="265">
        <v>12.0</v>
      </c>
      <c r="E8643" s="3">
        <v>500.0</v>
      </c>
      <c r="G8643" s="266">
        <v>43809.0</v>
      </c>
    </row>
    <row r="8644">
      <c r="A8644" s="217">
        <v>43810.41886773148</v>
      </c>
      <c r="B8644" s="3" t="s">
        <v>5092</v>
      </c>
      <c r="C8644" s="3" t="s">
        <v>284</v>
      </c>
      <c r="D8644" s="265">
        <v>20.0</v>
      </c>
      <c r="E8644" s="3">
        <v>500.0</v>
      </c>
      <c r="G8644" s="266">
        <v>43809.0</v>
      </c>
    </row>
    <row r="8645">
      <c r="A8645" s="217">
        <v>43810.42154738426</v>
      </c>
      <c r="B8645" s="3" t="s">
        <v>5092</v>
      </c>
      <c r="C8645" s="3" t="s">
        <v>6053</v>
      </c>
      <c r="D8645" s="265">
        <v>33.0</v>
      </c>
      <c r="E8645" s="3">
        <v>300.0</v>
      </c>
      <c r="G8645" s="266">
        <v>43809.0</v>
      </c>
    </row>
    <row r="8646">
      <c r="A8646" s="217">
        <v>43810.42225319444</v>
      </c>
      <c r="B8646" s="3" t="s">
        <v>5092</v>
      </c>
      <c r="C8646" s="3" t="s">
        <v>244</v>
      </c>
      <c r="D8646" s="265">
        <v>2.0</v>
      </c>
      <c r="E8646" s="3">
        <v>500.0</v>
      </c>
      <c r="G8646" s="266">
        <v>43809.0</v>
      </c>
    </row>
    <row r="8647">
      <c r="A8647" s="217">
        <v>43810.42304245371</v>
      </c>
      <c r="B8647" s="3" t="s">
        <v>5092</v>
      </c>
      <c r="C8647" s="3" t="s">
        <v>6053</v>
      </c>
      <c r="D8647" s="265">
        <v>2.0</v>
      </c>
      <c r="E8647" s="3">
        <v>300.0</v>
      </c>
      <c r="G8647" s="266">
        <v>43809.0</v>
      </c>
    </row>
    <row r="8648">
      <c r="A8648" s="217">
        <v>43810.42409581019</v>
      </c>
      <c r="B8648" s="3" t="s">
        <v>5092</v>
      </c>
      <c r="C8648" s="3" t="s">
        <v>6053</v>
      </c>
      <c r="D8648" s="265">
        <v>39.0</v>
      </c>
      <c r="E8648" s="3">
        <v>300.0</v>
      </c>
      <c r="G8648" s="266">
        <v>43809.0</v>
      </c>
    </row>
    <row r="8649">
      <c r="A8649" s="217">
        <v>43816.683892500005</v>
      </c>
      <c r="B8649" s="3" t="s">
        <v>2322</v>
      </c>
      <c r="C8649" s="3" t="s">
        <v>8674</v>
      </c>
      <c r="D8649" s="265">
        <v>1.0</v>
      </c>
      <c r="E8649" s="3">
        <v>2350.0</v>
      </c>
      <c r="G8649" s="266">
        <v>43799.0</v>
      </c>
    </row>
    <row r="8650">
      <c r="A8650" s="217">
        <v>43816.68484515046</v>
      </c>
      <c r="B8650" s="3" t="s">
        <v>2322</v>
      </c>
      <c r="C8650" s="3" t="s">
        <v>8648</v>
      </c>
      <c r="D8650" s="265">
        <v>1.0</v>
      </c>
      <c r="E8650" s="3">
        <v>2780.0</v>
      </c>
      <c r="G8650" s="266">
        <v>43799.0</v>
      </c>
    </row>
    <row r="8651">
      <c r="A8651" s="217">
        <v>43816.686224895835</v>
      </c>
      <c r="B8651" s="3" t="s">
        <v>2322</v>
      </c>
      <c r="C8651" s="3" t="s">
        <v>9453</v>
      </c>
      <c r="D8651" s="265">
        <v>0.0</v>
      </c>
      <c r="E8651" s="3">
        <v>2899.0</v>
      </c>
      <c r="G8651" s="266">
        <v>43799.0</v>
      </c>
    </row>
    <row r="8652">
      <c r="A8652" s="217">
        <v>43816.68711402778</v>
      </c>
      <c r="B8652" s="3" t="s">
        <v>2322</v>
      </c>
      <c r="C8652" s="3" t="s">
        <v>2142</v>
      </c>
      <c r="D8652" s="265">
        <v>1.0</v>
      </c>
      <c r="E8652" s="3">
        <v>3290.0</v>
      </c>
      <c r="G8652" s="266">
        <v>43799.0</v>
      </c>
    </row>
    <row r="8653">
      <c r="A8653" s="217">
        <v>43816.68817032407</v>
      </c>
      <c r="B8653" s="3" t="s">
        <v>2322</v>
      </c>
      <c r="C8653" s="3" t="s">
        <v>2270</v>
      </c>
      <c r="D8653" s="265">
        <v>1.0</v>
      </c>
      <c r="E8653" s="3">
        <v>5590.0</v>
      </c>
      <c r="G8653" s="266">
        <v>43799.0</v>
      </c>
    </row>
    <row r="8654">
      <c r="A8654" s="217">
        <v>43816.68971334491</v>
      </c>
      <c r="B8654" s="3" t="s">
        <v>2322</v>
      </c>
      <c r="C8654" s="3" t="s">
        <v>9406</v>
      </c>
      <c r="D8654" s="265">
        <v>1.0</v>
      </c>
      <c r="E8654" s="3">
        <v>8000.0</v>
      </c>
      <c r="G8654" s="266">
        <v>43799.0</v>
      </c>
    </row>
    <row r="8655">
      <c r="A8655" s="217">
        <v>43816.690817650466</v>
      </c>
      <c r="B8655" s="3" t="s">
        <v>2322</v>
      </c>
      <c r="C8655" s="3" t="s">
        <v>8819</v>
      </c>
      <c r="D8655" s="265">
        <v>1.0</v>
      </c>
      <c r="E8655" s="3">
        <v>4290.0</v>
      </c>
      <c r="G8655" s="266">
        <v>43799.0</v>
      </c>
    </row>
    <row r="8656">
      <c r="A8656" s="217">
        <v>43816.69164934028</v>
      </c>
      <c r="B8656" s="3" t="s">
        <v>2322</v>
      </c>
      <c r="C8656" s="3" t="s">
        <v>9088</v>
      </c>
      <c r="D8656" s="265">
        <v>1.0</v>
      </c>
      <c r="E8656" s="3">
        <v>6990.0</v>
      </c>
      <c r="G8656" s="266">
        <v>43799.0</v>
      </c>
    </row>
    <row r="8657">
      <c r="A8657" s="217">
        <v>43816.695157002316</v>
      </c>
      <c r="B8657" s="3" t="s">
        <v>5184</v>
      </c>
      <c r="C8657" s="3" t="s">
        <v>5375</v>
      </c>
      <c r="D8657" s="265">
        <v>1.0</v>
      </c>
      <c r="E8657" s="3">
        <v>9000.0</v>
      </c>
      <c r="G8657" s="266">
        <v>43813.0</v>
      </c>
    </row>
    <row r="8658">
      <c r="A8658" s="217">
        <v>43816.69566790509</v>
      </c>
      <c r="B8658" s="3" t="s">
        <v>5184</v>
      </c>
      <c r="C8658" s="3" t="s">
        <v>6141</v>
      </c>
      <c r="D8658" s="265">
        <v>1.0</v>
      </c>
      <c r="E8658" s="3">
        <v>9000.0</v>
      </c>
      <c r="G8658" s="266">
        <v>43813.0</v>
      </c>
    </row>
    <row r="8659">
      <c r="A8659" s="217">
        <v>43816.696204004635</v>
      </c>
      <c r="B8659" s="3" t="s">
        <v>5184</v>
      </c>
      <c r="C8659" s="3" t="s">
        <v>6843</v>
      </c>
      <c r="D8659" s="265">
        <v>1.0</v>
      </c>
      <c r="E8659" s="3">
        <v>9000.0</v>
      </c>
      <c r="G8659" s="266">
        <v>43813.0</v>
      </c>
    </row>
    <row r="8660">
      <c r="A8660" s="217">
        <v>43816.696842731486</v>
      </c>
      <c r="B8660" s="3" t="s">
        <v>5184</v>
      </c>
      <c r="C8660" s="3" t="s">
        <v>10034</v>
      </c>
      <c r="D8660" s="265">
        <v>1.0</v>
      </c>
      <c r="E8660" s="3">
        <v>9000.0</v>
      </c>
      <c r="G8660" s="266">
        <v>43813.0</v>
      </c>
    </row>
    <row r="8661">
      <c r="A8661" s="217">
        <v>43816.69751637732</v>
      </c>
      <c r="B8661" s="3" t="s">
        <v>5184</v>
      </c>
      <c r="C8661" s="3" t="s">
        <v>5371</v>
      </c>
      <c r="D8661" s="265">
        <v>1.0</v>
      </c>
      <c r="E8661" s="3">
        <v>9000.0</v>
      </c>
      <c r="G8661" s="266">
        <v>43813.0</v>
      </c>
    </row>
    <row r="8662">
      <c r="A8662" s="217">
        <v>43816.698448125</v>
      </c>
      <c r="B8662" s="3" t="s">
        <v>5184</v>
      </c>
      <c r="C8662" s="3" t="s">
        <v>4613</v>
      </c>
      <c r="D8662" s="265">
        <v>1.0</v>
      </c>
      <c r="E8662" s="3">
        <v>895.0</v>
      </c>
      <c r="G8662" s="266">
        <v>43813.0</v>
      </c>
    </row>
    <row r="8663">
      <c r="A8663" s="217">
        <v>43816.69890462963</v>
      </c>
      <c r="B8663" s="3" t="s">
        <v>5184</v>
      </c>
      <c r="C8663" s="3" t="s">
        <v>10036</v>
      </c>
      <c r="D8663" s="265">
        <v>1.0</v>
      </c>
      <c r="G8663" s="266">
        <v>43813.0</v>
      </c>
    </row>
    <row r="8664">
      <c r="A8664" s="217">
        <v>43816.69934118056</v>
      </c>
      <c r="B8664" s="3" t="s">
        <v>5184</v>
      </c>
      <c r="C8664" s="3" t="s">
        <v>10037</v>
      </c>
      <c r="D8664" s="265">
        <v>1.0</v>
      </c>
      <c r="G8664" s="266">
        <v>43813.0</v>
      </c>
    </row>
    <row r="8665">
      <c r="A8665" s="217">
        <v>43816.699800104165</v>
      </c>
      <c r="B8665" s="3" t="s">
        <v>5184</v>
      </c>
      <c r="C8665" s="3" t="s">
        <v>10038</v>
      </c>
      <c r="D8665" s="265">
        <v>1.0</v>
      </c>
      <c r="G8665" s="266">
        <v>43813.0</v>
      </c>
    </row>
    <row r="8666">
      <c r="A8666" s="217">
        <v>43816.70023003472</v>
      </c>
      <c r="B8666" s="3" t="s">
        <v>5184</v>
      </c>
      <c r="C8666" s="3" t="s">
        <v>10039</v>
      </c>
      <c r="D8666" s="265">
        <v>1.0</v>
      </c>
      <c r="G8666" s="266">
        <v>43813.0</v>
      </c>
    </row>
    <row r="8667">
      <c r="A8667" s="217">
        <v>43816.70066567129</v>
      </c>
      <c r="B8667" s="3" t="s">
        <v>5184</v>
      </c>
      <c r="C8667" s="3" t="s">
        <v>5598</v>
      </c>
      <c r="D8667" s="265">
        <v>1.0</v>
      </c>
      <c r="E8667" s="3">
        <v>1800.0</v>
      </c>
      <c r="G8667" s="266">
        <v>43813.0</v>
      </c>
    </row>
    <row r="8668">
      <c r="A8668" s="217">
        <v>43816.7013196412</v>
      </c>
      <c r="B8668" s="3" t="s">
        <v>5184</v>
      </c>
      <c r="C8668" s="3" t="s">
        <v>10040</v>
      </c>
      <c r="D8668" s="265">
        <v>1.0</v>
      </c>
      <c r="E8668" s="3">
        <v>1800.0</v>
      </c>
      <c r="G8668" s="266">
        <v>43813.0</v>
      </c>
    </row>
    <row r="8669">
      <c r="A8669" s="217">
        <v>43816.70182592593</v>
      </c>
      <c r="B8669" s="3" t="s">
        <v>5184</v>
      </c>
      <c r="C8669" s="3" t="s">
        <v>8534</v>
      </c>
      <c r="D8669" s="265">
        <v>1.0</v>
      </c>
      <c r="E8669" s="3">
        <v>1800.0</v>
      </c>
      <c r="G8669" s="266">
        <v>43813.0</v>
      </c>
    </row>
    <row r="8670">
      <c r="A8670" s="217">
        <v>43816.7022924537</v>
      </c>
      <c r="B8670" s="3" t="s">
        <v>5184</v>
      </c>
      <c r="C8670" s="3" t="s">
        <v>10041</v>
      </c>
      <c r="D8670" s="265">
        <v>1.0</v>
      </c>
      <c r="E8670" s="3">
        <v>1800.0</v>
      </c>
      <c r="G8670" s="266">
        <v>43813.0</v>
      </c>
    </row>
    <row r="8671">
      <c r="A8671" s="217">
        <v>43816.70298802083</v>
      </c>
      <c r="B8671" s="3" t="s">
        <v>5184</v>
      </c>
      <c r="C8671" s="3" t="s">
        <v>729</v>
      </c>
      <c r="D8671" s="265">
        <v>2.0</v>
      </c>
      <c r="E8671" s="3">
        <v>2590.0</v>
      </c>
      <c r="G8671" s="266">
        <v>43813.0</v>
      </c>
    </row>
    <row r="8672">
      <c r="A8672" s="217">
        <v>43816.70341120371</v>
      </c>
      <c r="B8672" s="3" t="s">
        <v>5184</v>
      </c>
      <c r="C8672" s="3" t="s">
        <v>1334</v>
      </c>
      <c r="D8672" s="265">
        <v>2.0</v>
      </c>
      <c r="E8672" s="3">
        <v>2000.0</v>
      </c>
      <c r="G8672" s="266">
        <v>43813.0</v>
      </c>
    </row>
    <row r="8673">
      <c r="A8673" s="217">
        <v>43816.703949560186</v>
      </c>
      <c r="B8673" s="3" t="s">
        <v>5184</v>
      </c>
      <c r="C8673" s="3" t="s">
        <v>1340</v>
      </c>
      <c r="D8673" s="265">
        <v>1.0</v>
      </c>
      <c r="E8673" s="3">
        <v>2450.0</v>
      </c>
      <c r="G8673" s="266">
        <v>43813.0</v>
      </c>
    </row>
    <row r="8674">
      <c r="A8674" s="217">
        <v>43816.70444947916</v>
      </c>
      <c r="B8674" s="3" t="s">
        <v>5184</v>
      </c>
      <c r="C8674" s="3" t="s">
        <v>715</v>
      </c>
      <c r="D8674" s="265">
        <v>1.0</v>
      </c>
      <c r="G8674" s="266">
        <v>43813.0</v>
      </c>
    </row>
    <row r="8675">
      <c r="A8675" s="217">
        <v>43816.70492363426</v>
      </c>
      <c r="B8675" s="3" t="s">
        <v>5184</v>
      </c>
      <c r="C8675" s="3" t="s">
        <v>8535</v>
      </c>
      <c r="D8675" s="265">
        <v>1.0</v>
      </c>
      <c r="E8675" s="3">
        <v>2390.0</v>
      </c>
      <c r="G8675" s="266">
        <v>43813.0</v>
      </c>
    </row>
    <row r="8676">
      <c r="A8676" s="217">
        <v>43816.70544665509</v>
      </c>
      <c r="B8676" s="3" t="s">
        <v>5184</v>
      </c>
      <c r="C8676" s="3" t="s">
        <v>6914</v>
      </c>
      <c r="D8676" s="265">
        <v>1.0</v>
      </c>
      <c r="E8676" s="3">
        <v>2160.0</v>
      </c>
      <c r="G8676" s="266">
        <v>43813.0</v>
      </c>
    </row>
    <row r="8677">
      <c r="A8677" s="217">
        <v>43816.70594696759</v>
      </c>
      <c r="B8677" s="3" t="s">
        <v>5184</v>
      </c>
      <c r="C8677" s="3" t="s">
        <v>1349</v>
      </c>
      <c r="D8677" s="265">
        <v>1.0</v>
      </c>
      <c r="E8677" s="3">
        <v>2160.0</v>
      </c>
      <c r="G8677" s="266">
        <v>43813.0</v>
      </c>
    </row>
    <row r="8678">
      <c r="A8678" s="217">
        <v>43816.706372835644</v>
      </c>
      <c r="B8678" s="3" t="s">
        <v>5184</v>
      </c>
      <c r="C8678" s="3" t="s">
        <v>718</v>
      </c>
      <c r="D8678" s="265">
        <v>1.0</v>
      </c>
      <c r="E8678" s="3">
        <v>2390.0</v>
      </c>
      <c r="G8678" s="266">
        <v>43813.0</v>
      </c>
    </row>
    <row r="8679">
      <c r="A8679" s="217">
        <v>43816.70683630787</v>
      </c>
      <c r="B8679" s="3" t="s">
        <v>5184</v>
      </c>
      <c r="C8679" s="3" t="s">
        <v>1359</v>
      </c>
      <c r="D8679" s="265">
        <v>1.0</v>
      </c>
      <c r="E8679" s="3">
        <v>2390.0</v>
      </c>
      <c r="G8679" s="266">
        <v>43813.0</v>
      </c>
    </row>
    <row r="8680">
      <c r="A8680" s="217">
        <v>43816.707345104165</v>
      </c>
      <c r="B8680" s="3" t="s">
        <v>5184</v>
      </c>
      <c r="C8680" s="3" t="s">
        <v>1382</v>
      </c>
      <c r="D8680" s="265">
        <v>1.0</v>
      </c>
      <c r="E8680" s="3">
        <v>2250.0</v>
      </c>
      <c r="G8680" s="266">
        <v>43813.0</v>
      </c>
    </row>
    <row r="8681">
      <c r="A8681" s="217">
        <v>43816.70792984954</v>
      </c>
      <c r="B8681" s="3" t="s">
        <v>5184</v>
      </c>
      <c r="C8681" s="3" t="s">
        <v>1389</v>
      </c>
      <c r="D8681" s="265">
        <v>2.0</v>
      </c>
      <c r="E8681" s="3">
        <v>1950.0</v>
      </c>
      <c r="G8681" s="266">
        <v>43813.0</v>
      </c>
    </row>
    <row r="8682">
      <c r="A8682" s="217">
        <v>43816.70846542824</v>
      </c>
      <c r="B8682" s="3" t="s">
        <v>5184</v>
      </c>
      <c r="C8682" s="3" t="s">
        <v>725</v>
      </c>
      <c r="D8682" s="265">
        <v>2.0</v>
      </c>
      <c r="E8682" s="3">
        <v>2160.0</v>
      </c>
      <c r="G8682" s="266">
        <v>43813.0</v>
      </c>
    </row>
    <row r="8683">
      <c r="A8683" s="217">
        <v>43816.70934113426</v>
      </c>
      <c r="B8683" s="3" t="s">
        <v>5184</v>
      </c>
      <c r="C8683" s="3" t="s">
        <v>1411</v>
      </c>
      <c r="D8683" s="265">
        <v>1.0</v>
      </c>
      <c r="E8683" s="3">
        <v>2590.0</v>
      </c>
      <c r="G8683" s="266">
        <v>43813.0</v>
      </c>
    </row>
    <row r="8684">
      <c r="A8684" s="217">
        <v>43816.70981545139</v>
      </c>
      <c r="B8684" s="3" t="s">
        <v>5184</v>
      </c>
      <c r="C8684" s="3" t="s">
        <v>1446</v>
      </c>
      <c r="D8684" s="265">
        <v>6.0</v>
      </c>
      <c r="E8684" s="3">
        <v>2450.0</v>
      </c>
      <c r="G8684" s="266">
        <v>43813.0</v>
      </c>
    </row>
    <row r="8685">
      <c r="A8685" s="217">
        <v>43816.710247696756</v>
      </c>
      <c r="B8685" s="3" t="s">
        <v>5184</v>
      </c>
      <c r="C8685" s="3" t="s">
        <v>8415</v>
      </c>
      <c r="D8685" s="265">
        <v>1.0</v>
      </c>
      <c r="E8685" s="3">
        <v>2450.0</v>
      </c>
      <c r="G8685" s="266">
        <v>43813.0</v>
      </c>
    </row>
    <row r="8686">
      <c r="A8686" s="217">
        <v>43816.71079877314</v>
      </c>
      <c r="B8686" s="3" t="s">
        <v>5184</v>
      </c>
      <c r="C8686" s="3" t="s">
        <v>1530</v>
      </c>
      <c r="D8686" s="265">
        <v>1.0</v>
      </c>
      <c r="E8686" s="3">
        <v>2590.0</v>
      </c>
      <c r="G8686" s="266">
        <v>43813.0</v>
      </c>
    </row>
    <row r="8687">
      <c r="A8687" s="217">
        <v>43816.71133959491</v>
      </c>
      <c r="B8687" s="3" t="s">
        <v>5184</v>
      </c>
      <c r="C8687" s="3" t="s">
        <v>6472</v>
      </c>
      <c r="D8687" s="265">
        <v>1.0</v>
      </c>
      <c r="E8687" s="3">
        <v>2590.0</v>
      </c>
      <c r="G8687" s="266">
        <v>43813.0</v>
      </c>
    </row>
    <row r="8688">
      <c r="A8688" s="217">
        <v>43816.71184856481</v>
      </c>
      <c r="B8688" s="3" t="s">
        <v>5184</v>
      </c>
      <c r="C8688" s="3" t="s">
        <v>8543</v>
      </c>
      <c r="D8688" s="265">
        <v>1.0</v>
      </c>
      <c r="E8688" s="3">
        <v>2590.0</v>
      </c>
      <c r="G8688" s="266">
        <v>43813.0</v>
      </c>
    </row>
    <row r="8689">
      <c r="A8689" s="217">
        <v>43816.71230417824</v>
      </c>
      <c r="B8689" s="3" t="s">
        <v>5184</v>
      </c>
      <c r="C8689" s="3" t="s">
        <v>8473</v>
      </c>
      <c r="D8689" s="265">
        <v>1.0</v>
      </c>
      <c r="E8689" s="3">
        <v>2350.0</v>
      </c>
      <c r="G8689" s="266">
        <v>43813.0</v>
      </c>
    </row>
    <row r="8690">
      <c r="A8690" s="217">
        <v>43816.712703576384</v>
      </c>
      <c r="B8690" s="3" t="s">
        <v>5184</v>
      </c>
      <c r="C8690" s="3" t="s">
        <v>8730</v>
      </c>
      <c r="D8690" s="265">
        <v>1.0</v>
      </c>
      <c r="E8690" s="3">
        <v>2350.0</v>
      </c>
      <c r="G8690" s="266">
        <v>43813.0</v>
      </c>
    </row>
    <row r="8691">
      <c r="A8691" s="217">
        <v>43816.71313255787</v>
      </c>
      <c r="B8691" s="3" t="s">
        <v>5184</v>
      </c>
      <c r="C8691" s="3" t="s">
        <v>8656</v>
      </c>
      <c r="D8691" s="265">
        <v>1.0</v>
      </c>
      <c r="E8691" s="3">
        <v>2780.0</v>
      </c>
      <c r="G8691" s="266">
        <v>43813.0</v>
      </c>
    </row>
    <row r="8692">
      <c r="A8692" s="217">
        <v>43816.713520000005</v>
      </c>
      <c r="B8692" s="3" t="s">
        <v>5184</v>
      </c>
      <c r="C8692" s="3" t="s">
        <v>1535</v>
      </c>
      <c r="D8692" s="265">
        <v>1.0</v>
      </c>
      <c r="E8692" s="3">
        <v>2780.0</v>
      </c>
      <c r="G8692" s="266">
        <v>43813.0</v>
      </c>
    </row>
    <row r="8693">
      <c r="A8693" s="217">
        <v>43816.7139678588</v>
      </c>
      <c r="B8693" s="3" t="s">
        <v>5184</v>
      </c>
      <c r="C8693" s="3" t="s">
        <v>8660</v>
      </c>
      <c r="D8693" s="265">
        <v>1.0</v>
      </c>
      <c r="E8693" s="3">
        <v>2590.0</v>
      </c>
      <c r="G8693" s="266">
        <v>43813.0</v>
      </c>
    </row>
    <row r="8694">
      <c r="A8694" s="217">
        <v>43816.71438575232</v>
      </c>
      <c r="B8694" s="3" t="s">
        <v>5184</v>
      </c>
      <c r="C8694" s="3" t="s">
        <v>8678</v>
      </c>
      <c r="D8694" s="265">
        <v>1.0</v>
      </c>
      <c r="E8694" s="3">
        <v>2780.0</v>
      </c>
      <c r="G8694" s="266">
        <v>43813.0</v>
      </c>
    </row>
    <row r="8695">
      <c r="A8695" s="217">
        <v>43816.71478222222</v>
      </c>
      <c r="B8695" s="3" t="s">
        <v>5184</v>
      </c>
      <c r="C8695" s="3" t="s">
        <v>1559</v>
      </c>
      <c r="D8695" s="265">
        <v>1.0</v>
      </c>
      <c r="E8695" s="3">
        <v>2590.0</v>
      </c>
      <c r="G8695" s="266">
        <v>43813.0</v>
      </c>
    </row>
    <row r="8696">
      <c r="A8696" s="217">
        <v>43816.71740890046</v>
      </c>
      <c r="B8696" s="3" t="s">
        <v>5184</v>
      </c>
      <c r="C8696" s="3" t="s">
        <v>1568</v>
      </c>
      <c r="D8696" s="265">
        <v>1.0</v>
      </c>
      <c r="E8696" s="3">
        <v>2850.0</v>
      </c>
      <c r="G8696" s="266">
        <v>43813.0</v>
      </c>
    </row>
    <row r="8697">
      <c r="A8697" s="217">
        <v>43816.71871638889</v>
      </c>
      <c r="B8697" s="3" t="s">
        <v>5184</v>
      </c>
      <c r="C8697" s="3" t="s">
        <v>8621</v>
      </c>
      <c r="D8697" s="265">
        <v>1.0</v>
      </c>
      <c r="E8697" s="3">
        <v>2780.0</v>
      </c>
      <c r="G8697" s="266">
        <v>43813.0</v>
      </c>
    </row>
    <row r="8698">
      <c r="A8698" s="217">
        <v>43816.71926831019</v>
      </c>
      <c r="B8698" s="3" t="s">
        <v>5184</v>
      </c>
      <c r="C8698" s="3" t="s">
        <v>8674</v>
      </c>
      <c r="D8698" s="265">
        <v>1.0</v>
      </c>
      <c r="E8698" s="3">
        <v>2350.0</v>
      </c>
      <c r="G8698" s="266">
        <v>43813.0</v>
      </c>
    </row>
    <row r="8699">
      <c r="A8699" s="217">
        <v>43816.71998579861</v>
      </c>
      <c r="B8699" s="3" t="s">
        <v>5184</v>
      </c>
      <c r="C8699" s="3" t="s">
        <v>1935</v>
      </c>
      <c r="D8699" s="265">
        <v>2.0</v>
      </c>
      <c r="E8699" s="3">
        <v>4990.0</v>
      </c>
      <c r="G8699" s="266">
        <v>43813.0</v>
      </c>
    </row>
    <row r="8700">
      <c r="A8700" s="217">
        <v>43816.720448900465</v>
      </c>
      <c r="B8700" s="3" t="s">
        <v>5184</v>
      </c>
      <c r="C8700" s="3" t="s">
        <v>1951</v>
      </c>
      <c r="D8700" s="265">
        <v>1.0</v>
      </c>
      <c r="E8700" s="3">
        <v>4290.0</v>
      </c>
      <c r="G8700" s="266">
        <v>43813.0</v>
      </c>
    </row>
    <row r="8701">
      <c r="A8701" s="217">
        <v>43816.72093884259</v>
      </c>
      <c r="B8701" s="3" t="s">
        <v>5184</v>
      </c>
      <c r="C8701" s="3" t="s">
        <v>8857</v>
      </c>
      <c r="D8701" s="265">
        <v>1.0</v>
      </c>
      <c r="E8701" s="3">
        <v>2590.0</v>
      </c>
      <c r="G8701" s="266">
        <v>43813.0</v>
      </c>
    </row>
    <row r="8702">
      <c r="A8702" s="217">
        <v>43816.72135813658</v>
      </c>
      <c r="B8702" s="3" t="s">
        <v>5184</v>
      </c>
      <c r="C8702" s="3" t="s">
        <v>1382</v>
      </c>
      <c r="D8702" s="265">
        <v>1.0</v>
      </c>
      <c r="E8702" s="3">
        <v>2250.0</v>
      </c>
      <c r="G8702" s="266">
        <v>43813.0</v>
      </c>
    </row>
    <row r="8703">
      <c r="A8703" s="217">
        <v>43817.47254915509</v>
      </c>
      <c r="B8703" s="3" t="s">
        <v>2322</v>
      </c>
      <c r="C8703" s="3" t="s">
        <v>8634</v>
      </c>
      <c r="D8703" s="265">
        <v>1.0</v>
      </c>
      <c r="E8703" s="3">
        <v>2350.0</v>
      </c>
      <c r="G8703" s="266">
        <v>43817.0</v>
      </c>
    </row>
    <row r="8704">
      <c r="A8704" s="217">
        <v>43817.47381778935</v>
      </c>
      <c r="B8704" s="3" t="s">
        <v>2322</v>
      </c>
      <c r="C8704" s="3" t="s">
        <v>9385</v>
      </c>
      <c r="D8704" s="265">
        <v>1.0</v>
      </c>
      <c r="G8704" s="266">
        <v>43817.0</v>
      </c>
    </row>
    <row r="8705">
      <c r="A8705" s="217">
        <v>43817.71573439815</v>
      </c>
      <c r="B8705" s="3" t="s">
        <v>5184</v>
      </c>
      <c r="C8705" s="3" t="s">
        <v>10042</v>
      </c>
      <c r="D8705" s="265">
        <v>1.0</v>
      </c>
      <c r="E8705" s="3">
        <v>2590.0</v>
      </c>
      <c r="G8705" s="266">
        <v>43813.0</v>
      </c>
    </row>
    <row r="8706">
      <c r="A8706" s="217">
        <v>43817.71719148148</v>
      </c>
      <c r="B8706" s="3" t="s">
        <v>5184</v>
      </c>
      <c r="C8706" s="3" t="s">
        <v>10045</v>
      </c>
      <c r="D8706" s="265">
        <v>1.0</v>
      </c>
      <c r="E8706" s="3">
        <v>999.0</v>
      </c>
      <c r="G8706" s="266">
        <v>43813.0</v>
      </c>
    </row>
    <row r="8707">
      <c r="A8707" s="217">
        <v>43828.48317057871</v>
      </c>
      <c r="B8707" s="3" t="s">
        <v>5092</v>
      </c>
      <c r="C8707" s="3" t="s">
        <v>10046</v>
      </c>
      <c r="D8707" s="265">
        <v>1.0</v>
      </c>
      <c r="G8707" s="266">
        <v>43826.0</v>
      </c>
    </row>
    <row r="8708">
      <c r="A8708" s="217">
        <v>43828.48464805556</v>
      </c>
      <c r="B8708" s="3" t="s">
        <v>5092</v>
      </c>
      <c r="C8708" s="3" t="s">
        <v>10048</v>
      </c>
      <c r="D8708" s="265">
        <v>1.0</v>
      </c>
      <c r="G8708" s="266">
        <v>43826.0</v>
      </c>
    </row>
    <row r="8709">
      <c r="A8709" s="217">
        <v>43828.49092199074</v>
      </c>
      <c r="B8709" s="3" t="s">
        <v>5092</v>
      </c>
      <c r="C8709" s="3" t="s">
        <v>10049</v>
      </c>
      <c r="D8709" s="265">
        <v>1.0</v>
      </c>
      <c r="G8709" s="266">
        <v>43826.0</v>
      </c>
    </row>
    <row r="8710">
      <c r="A8710" s="217">
        <v>43828.49196321759</v>
      </c>
      <c r="B8710" s="3" t="s">
        <v>5092</v>
      </c>
      <c r="C8710" s="3" t="s">
        <v>10050</v>
      </c>
      <c r="D8710" s="265">
        <v>1.0</v>
      </c>
      <c r="G8710" s="266">
        <v>43826.0</v>
      </c>
    </row>
    <row r="8711">
      <c r="A8711" s="217">
        <v>43828.493036631946</v>
      </c>
      <c r="B8711" s="3" t="s">
        <v>5092</v>
      </c>
      <c r="C8711" s="3" t="s">
        <v>10051</v>
      </c>
      <c r="D8711" s="265">
        <v>1.0</v>
      </c>
      <c r="G8711" s="266">
        <v>43826.0</v>
      </c>
    </row>
    <row r="8712">
      <c r="A8712" s="217">
        <v>43828.494030428235</v>
      </c>
      <c r="B8712" s="3" t="s">
        <v>5092</v>
      </c>
      <c r="C8712" s="3" t="s">
        <v>10052</v>
      </c>
      <c r="D8712" s="265">
        <v>1.0</v>
      </c>
      <c r="G8712" s="266">
        <v>43826.0</v>
      </c>
    </row>
    <row r="8713">
      <c r="A8713" s="217">
        <v>43828.49515121528</v>
      </c>
      <c r="B8713" s="3" t="s">
        <v>5092</v>
      </c>
      <c r="C8713" s="3" t="s">
        <v>10053</v>
      </c>
      <c r="D8713" s="265">
        <v>1.0</v>
      </c>
      <c r="G8713" s="266">
        <v>43826.0</v>
      </c>
    </row>
    <row r="8714">
      <c r="A8714" s="217">
        <v>43828.49598416667</v>
      </c>
      <c r="B8714" s="3" t="s">
        <v>5092</v>
      </c>
      <c r="C8714" s="3" t="s">
        <v>10054</v>
      </c>
      <c r="D8714" s="265">
        <v>1.0</v>
      </c>
      <c r="G8714" s="266">
        <v>43826.0</v>
      </c>
    </row>
    <row r="8715">
      <c r="A8715" s="217">
        <v>43828.49692392361</v>
      </c>
      <c r="B8715" s="3" t="s">
        <v>5092</v>
      </c>
      <c r="C8715" s="3" t="s">
        <v>10055</v>
      </c>
      <c r="D8715" s="265">
        <v>1.0</v>
      </c>
      <c r="G8715" s="266">
        <v>43826.0</v>
      </c>
    </row>
    <row r="8716">
      <c r="A8716" s="217">
        <v>43828.49862568287</v>
      </c>
      <c r="B8716" s="3" t="s">
        <v>5092</v>
      </c>
      <c r="C8716" s="3" t="s">
        <v>10056</v>
      </c>
      <c r="D8716" s="265">
        <v>1.0</v>
      </c>
      <c r="G8716" s="266">
        <v>43826.0</v>
      </c>
    </row>
    <row r="8717">
      <c r="A8717" s="217">
        <v>43828.50096341435</v>
      </c>
      <c r="B8717" s="3" t="s">
        <v>5092</v>
      </c>
      <c r="C8717" s="3" t="s">
        <v>10057</v>
      </c>
      <c r="D8717" s="265">
        <v>1.0</v>
      </c>
      <c r="G8717" s="266">
        <v>43826.0</v>
      </c>
    </row>
    <row r="8718">
      <c r="A8718" s="217">
        <v>43828.50187898148</v>
      </c>
      <c r="B8718" s="3" t="s">
        <v>5092</v>
      </c>
      <c r="C8718" s="3" t="s">
        <v>10058</v>
      </c>
      <c r="D8718" s="265">
        <v>1.0</v>
      </c>
      <c r="G8718" s="266">
        <v>43826.0</v>
      </c>
    </row>
    <row r="8719">
      <c r="A8719" s="217">
        <v>43828.50266302083</v>
      </c>
      <c r="B8719" s="3" t="s">
        <v>5092</v>
      </c>
      <c r="C8719" s="3" t="s">
        <v>10059</v>
      </c>
      <c r="D8719" s="265">
        <v>1.0</v>
      </c>
      <c r="G8719" s="266">
        <v>43826.0</v>
      </c>
    </row>
    <row r="8720">
      <c r="A8720" s="217">
        <v>43828.50460732639</v>
      </c>
      <c r="B8720" s="3" t="s">
        <v>5092</v>
      </c>
      <c r="C8720" s="3" t="s">
        <v>10060</v>
      </c>
      <c r="D8720" s="265">
        <v>1.0</v>
      </c>
      <c r="G8720" s="266">
        <v>43826.0</v>
      </c>
    </row>
    <row r="8721">
      <c r="A8721" s="217">
        <v>43828.50546447917</v>
      </c>
      <c r="B8721" s="3" t="s">
        <v>5092</v>
      </c>
      <c r="C8721" s="3" t="s">
        <v>10061</v>
      </c>
      <c r="D8721" s="265">
        <v>1.0</v>
      </c>
      <c r="G8721" s="266">
        <v>43826.0</v>
      </c>
    </row>
    <row r="8722">
      <c r="A8722" s="217">
        <v>43828.50644303241</v>
      </c>
      <c r="B8722" s="3" t="s">
        <v>5092</v>
      </c>
      <c r="C8722" s="3" t="s">
        <v>10062</v>
      </c>
      <c r="D8722" s="265">
        <v>1.0</v>
      </c>
      <c r="G8722" s="266">
        <v>43826.0</v>
      </c>
    </row>
    <row r="8723">
      <c r="A8723" s="217">
        <v>43828.507380613424</v>
      </c>
      <c r="B8723" s="3" t="s">
        <v>5092</v>
      </c>
      <c r="C8723" s="3" t="s">
        <v>10063</v>
      </c>
      <c r="D8723" s="265">
        <v>1.0</v>
      </c>
      <c r="G8723" s="266">
        <v>43826.0</v>
      </c>
    </row>
    <row r="8724">
      <c r="A8724" s="217">
        <v>43828.516662407405</v>
      </c>
      <c r="B8724" s="3" t="s">
        <v>5092</v>
      </c>
      <c r="C8724" s="3" t="s">
        <v>10064</v>
      </c>
      <c r="D8724" s="265">
        <v>1.0</v>
      </c>
      <c r="G8724" s="266">
        <v>43826.0</v>
      </c>
    </row>
    <row r="8725">
      <c r="A8725" s="217">
        <v>43828.51738524306</v>
      </c>
      <c r="B8725" s="3" t="s">
        <v>5092</v>
      </c>
      <c r="C8725" s="3" t="s">
        <v>1211</v>
      </c>
      <c r="D8725" s="265">
        <v>1.0</v>
      </c>
      <c r="G8725" s="266">
        <v>43826.0</v>
      </c>
    </row>
    <row r="8726">
      <c r="A8726" s="217">
        <v>43828.51786939814</v>
      </c>
      <c r="B8726" s="3" t="s">
        <v>5092</v>
      </c>
      <c r="C8726" s="3" t="s">
        <v>10065</v>
      </c>
      <c r="D8726" s="265">
        <v>1.0</v>
      </c>
      <c r="G8726" s="266">
        <v>43826.0</v>
      </c>
    </row>
    <row r="8727">
      <c r="A8727" s="217">
        <v>43828.51933127315</v>
      </c>
      <c r="B8727" s="3" t="s">
        <v>5092</v>
      </c>
      <c r="C8727" s="3" t="s">
        <v>1213</v>
      </c>
      <c r="D8727" s="265">
        <v>1.0</v>
      </c>
      <c r="G8727" s="266">
        <v>43826.0</v>
      </c>
    </row>
    <row r="8728">
      <c r="A8728" s="217">
        <v>43828.52018008102</v>
      </c>
      <c r="B8728" s="3" t="s">
        <v>5092</v>
      </c>
      <c r="C8728" s="3" t="s">
        <v>10066</v>
      </c>
      <c r="D8728" s="265">
        <v>1.0</v>
      </c>
      <c r="G8728" s="266">
        <v>43826.0</v>
      </c>
    </row>
    <row r="8729">
      <c r="A8729" s="217">
        <v>43828.52141349537</v>
      </c>
      <c r="B8729" s="3" t="s">
        <v>5092</v>
      </c>
      <c r="C8729" s="3" t="s">
        <v>10067</v>
      </c>
      <c r="D8729" s="265">
        <v>1.0</v>
      </c>
      <c r="G8729" s="266">
        <v>43826.0</v>
      </c>
    </row>
    <row r="8730">
      <c r="A8730" s="217">
        <v>43828.522284583334</v>
      </c>
      <c r="B8730" s="3" t="s">
        <v>5092</v>
      </c>
      <c r="C8730" s="3" t="s">
        <v>10068</v>
      </c>
      <c r="D8730" s="265">
        <v>1.0</v>
      </c>
      <c r="G8730" s="266">
        <v>43826.0</v>
      </c>
    </row>
    <row r="8731">
      <c r="A8731" s="217">
        <v>43828.5229541088</v>
      </c>
      <c r="B8731" s="3" t="s">
        <v>5092</v>
      </c>
      <c r="C8731" s="3" t="s">
        <v>10069</v>
      </c>
      <c r="D8731" s="265">
        <v>1.0</v>
      </c>
      <c r="G8731" s="266">
        <v>43826.0</v>
      </c>
    </row>
    <row r="8732">
      <c r="A8732" s="217">
        <v>43828.52371918982</v>
      </c>
      <c r="B8732" s="3" t="s">
        <v>5092</v>
      </c>
      <c r="C8732" s="3" t="s">
        <v>10070</v>
      </c>
      <c r="D8732" s="265">
        <v>1.0</v>
      </c>
      <c r="G8732" s="266">
        <v>43826.0</v>
      </c>
    </row>
    <row r="8733">
      <c r="A8733" s="217">
        <v>43828.52463881944</v>
      </c>
      <c r="B8733" s="3" t="s">
        <v>5092</v>
      </c>
      <c r="C8733" s="3" t="s">
        <v>10071</v>
      </c>
      <c r="D8733" s="265">
        <v>1.0</v>
      </c>
      <c r="G8733" s="266">
        <v>43826.0</v>
      </c>
    </row>
    <row r="8734">
      <c r="A8734" s="217">
        <v>43828.525369166666</v>
      </c>
      <c r="B8734" s="3" t="s">
        <v>5092</v>
      </c>
      <c r="C8734" s="3" t="s">
        <v>10072</v>
      </c>
      <c r="D8734" s="265">
        <v>1.0</v>
      </c>
      <c r="G8734" s="266">
        <v>43826.0</v>
      </c>
    </row>
    <row r="8735">
      <c r="A8735" s="217">
        <v>43828.52808513889</v>
      </c>
      <c r="B8735" s="3" t="s">
        <v>5092</v>
      </c>
      <c r="C8735" s="3" t="s">
        <v>10073</v>
      </c>
      <c r="D8735" s="265">
        <v>1.0</v>
      </c>
      <c r="G8735" s="266">
        <v>43826.0</v>
      </c>
    </row>
    <row r="8736">
      <c r="A8736" s="217">
        <v>43828.528750439815</v>
      </c>
      <c r="B8736" s="3" t="s">
        <v>5092</v>
      </c>
      <c r="C8736" s="3" t="s">
        <v>10074</v>
      </c>
      <c r="D8736" s="265">
        <v>1.0</v>
      </c>
      <c r="G8736" s="266">
        <v>43826.0</v>
      </c>
    </row>
    <row r="8737">
      <c r="A8737" s="217">
        <v>43828.529512974535</v>
      </c>
      <c r="B8737" s="3" t="s">
        <v>5092</v>
      </c>
      <c r="C8737" s="3" t="s">
        <v>10075</v>
      </c>
      <c r="D8737" s="265">
        <v>1.0</v>
      </c>
      <c r="G8737" s="266">
        <v>43826.0</v>
      </c>
    </row>
    <row r="8738">
      <c r="A8738" s="217">
        <v>43828.53026269676</v>
      </c>
      <c r="B8738" s="3" t="s">
        <v>5092</v>
      </c>
      <c r="C8738" s="3" t="s">
        <v>10076</v>
      </c>
      <c r="D8738" s="265">
        <v>1.0</v>
      </c>
      <c r="G8738" s="266">
        <v>43826.0</v>
      </c>
    </row>
    <row r="8739">
      <c r="A8739" s="217">
        <v>43828.53089524306</v>
      </c>
      <c r="B8739" s="3" t="s">
        <v>5092</v>
      </c>
      <c r="C8739" s="3" t="s">
        <v>10077</v>
      </c>
      <c r="D8739" s="265">
        <v>1.0</v>
      </c>
      <c r="G8739" s="266">
        <v>43826.0</v>
      </c>
    </row>
    <row r="8740">
      <c r="A8740" s="217">
        <v>43828.53177674768</v>
      </c>
      <c r="B8740" s="3" t="s">
        <v>5092</v>
      </c>
      <c r="C8740" s="3" t="s">
        <v>10078</v>
      </c>
      <c r="D8740" s="265">
        <v>1.0</v>
      </c>
      <c r="G8740" s="266">
        <v>43826.0</v>
      </c>
    </row>
    <row r="8741">
      <c r="A8741" s="217">
        <v>43828.53259185185</v>
      </c>
      <c r="B8741" s="3" t="s">
        <v>5092</v>
      </c>
      <c r="C8741" s="3" t="s">
        <v>1196</v>
      </c>
      <c r="D8741" s="265">
        <v>1.0</v>
      </c>
      <c r="G8741" s="266">
        <v>43826.0</v>
      </c>
    </row>
    <row r="8742">
      <c r="A8742" s="217">
        <v>43828.53388028935</v>
      </c>
      <c r="B8742" s="3" t="s">
        <v>5092</v>
      </c>
      <c r="C8742" s="3" t="s">
        <v>10079</v>
      </c>
      <c r="D8742" s="265">
        <v>1.0</v>
      </c>
      <c r="G8742" s="266">
        <v>43826.0</v>
      </c>
    </row>
    <row r="8743">
      <c r="A8743" s="217">
        <v>43828.534427175924</v>
      </c>
      <c r="B8743" s="3" t="s">
        <v>5092</v>
      </c>
      <c r="C8743" s="3" t="s">
        <v>10080</v>
      </c>
      <c r="D8743" s="265">
        <v>1.0</v>
      </c>
      <c r="G8743" s="266">
        <v>43826.0</v>
      </c>
    </row>
    <row r="8744">
      <c r="A8744" s="217">
        <v>43828.536020451385</v>
      </c>
      <c r="B8744" s="3" t="s">
        <v>5092</v>
      </c>
      <c r="C8744" s="3" t="s">
        <v>10081</v>
      </c>
      <c r="D8744" s="265">
        <v>1.0</v>
      </c>
      <c r="G8744" s="266">
        <v>43826.0</v>
      </c>
    </row>
    <row r="8745">
      <c r="A8745" s="217">
        <v>43828.53660416667</v>
      </c>
      <c r="B8745" s="3" t="s">
        <v>5092</v>
      </c>
      <c r="C8745" s="3" t="s">
        <v>10082</v>
      </c>
      <c r="D8745" s="265">
        <v>1.0</v>
      </c>
      <c r="G8745" s="266">
        <v>43826.0</v>
      </c>
    </row>
    <row r="8746">
      <c r="A8746" s="217">
        <v>43828.58876373843</v>
      </c>
      <c r="B8746" s="3" t="s">
        <v>5092</v>
      </c>
      <c r="C8746" s="3" t="s">
        <v>10083</v>
      </c>
      <c r="D8746" s="265">
        <v>1.0</v>
      </c>
      <c r="G8746" s="266">
        <v>43826.0</v>
      </c>
    </row>
    <row r="8747">
      <c r="A8747" s="217">
        <v>43828.589374884265</v>
      </c>
      <c r="B8747" s="3" t="s">
        <v>5092</v>
      </c>
      <c r="C8747" s="3" t="s">
        <v>10084</v>
      </c>
      <c r="D8747" s="265">
        <v>1.0</v>
      </c>
      <c r="G8747" s="266">
        <v>43826.0</v>
      </c>
    </row>
    <row r="8748">
      <c r="A8748" s="217">
        <v>43828.59008790509</v>
      </c>
      <c r="B8748" s="3" t="s">
        <v>5092</v>
      </c>
      <c r="C8748" s="3" t="s">
        <v>10085</v>
      </c>
      <c r="D8748" s="265">
        <v>1.0</v>
      </c>
      <c r="G8748" s="266">
        <v>43826.0</v>
      </c>
    </row>
    <row r="8749">
      <c r="A8749" s="217">
        <v>43828.591501296294</v>
      </c>
      <c r="B8749" s="3" t="s">
        <v>5092</v>
      </c>
      <c r="C8749" s="3" t="s">
        <v>10086</v>
      </c>
      <c r="D8749" s="265">
        <v>1.0</v>
      </c>
      <c r="G8749" s="266">
        <v>43826.0</v>
      </c>
    </row>
    <row r="8750">
      <c r="A8750" s="217">
        <v>43828.592222210646</v>
      </c>
      <c r="B8750" s="3" t="s">
        <v>5092</v>
      </c>
      <c r="C8750" s="3" t="s">
        <v>10087</v>
      </c>
      <c r="D8750" s="265">
        <v>1.0</v>
      </c>
      <c r="G8750" s="266">
        <v>43826.0</v>
      </c>
    </row>
    <row r="8751">
      <c r="A8751" s="217">
        <v>43828.59293576389</v>
      </c>
      <c r="B8751" s="3" t="s">
        <v>5092</v>
      </c>
      <c r="C8751" s="3" t="s">
        <v>10088</v>
      </c>
      <c r="D8751" s="265">
        <v>1.0</v>
      </c>
      <c r="G8751" s="266">
        <v>43826.0</v>
      </c>
    </row>
    <row r="8752">
      <c r="A8752" s="217">
        <v>43828.594484270834</v>
      </c>
      <c r="B8752" s="3" t="s">
        <v>5092</v>
      </c>
      <c r="C8752" s="3" t="s">
        <v>10089</v>
      </c>
      <c r="D8752" s="265">
        <v>1.0</v>
      </c>
      <c r="G8752" s="266">
        <v>43826.0</v>
      </c>
    </row>
    <row r="8753">
      <c r="A8753" s="217">
        <v>43828.596479988424</v>
      </c>
      <c r="B8753" s="3" t="s">
        <v>5092</v>
      </c>
      <c r="C8753" s="3" t="s">
        <v>10090</v>
      </c>
      <c r="D8753" s="265">
        <v>1.0</v>
      </c>
      <c r="G8753" s="266">
        <v>43826.0</v>
      </c>
    </row>
    <row r="8754">
      <c r="A8754" s="217">
        <v>43828.597030000004</v>
      </c>
      <c r="B8754" s="3" t="s">
        <v>5092</v>
      </c>
      <c r="C8754" s="3" t="s">
        <v>10091</v>
      </c>
      <c r="D8754" s="265">
        <v>1.0</v>
      </c>
      <c r="G8754" s="266">
        <v>43826.0</v>
      </c>
    </row>
    <row r="8755">
      <c r="A8755" s="217">
        <v>43828.597861319446</v>
      </c>
      <c r="B8755" s="3" t="s">
        <v>5092</v>
      </c>
      <c r="C8755" s="3" t="s">
        <v>928</v>
      </c>
      <c r="D8755" s="265">
        <v>1.0</v>
      </c>
      <c r="G8755" s="266">
        <v>43826.0</v>
      </c>
    </row>
    <row r="8756">
      <c r="A8756" s="217">
        <v>43828.598457071756</v>
      </c>
      <c r="B8756" s="3" t="s">
        <v>5092</v>
      </c>
      <c r="C8756" s="3" t="s">
        <v>925</v>
      </c>
      <c r="D8756" s="265">
        <v>1.0</v>
      </c>
      <c r="G8756" s="266">
        <v>43826.0</v>
      </c>
    </row>
    <row r="8757">
      <c r="A8757" s="217">
        <v>43830.74338505787</v>
      </c>
      <c r="B8757" s="3" t="s">
        <v>5092</v>
      </c>
      <c r="C8757" s="3" t="s">
        <v>10092</v>
      </c>
      <c r="D8757" s="265" t="s">
        <v>10093</v>
      </c>
      <c r="E8757" s="3">
        <v>10.0</v>
      </c>
      <c r="G8757" s="266">
        <v>43829.0</v>
      </c>
    </row>
    <row r="8758">
      <c r="A8758" s="217">
        <v>43830.744482546295</v>
      </c>
      <c r="B8758" s="3" t="s">
        <v>5092</v>
      </c>
      <c r="C8758" s="3" t="s">
        <v>6053</v>
      </c>
      <c r="D8758" s="265">
        <v>4.0</v>
      </c>
      <c r="E8758" s="3">
        <v>300.0</v>
      </c>
      <c r="G8758" s="266">
        <v>43829.0</v>
      </c>
    </row>
    <row r="8759">
      <c r="A8759" s="217">
        <v>43830.745165138884</v>
      </c>
      <c r="B8759" s="3" t="s">
        <v>5092</v>
      </c>
      <c r="C8759" s="3" t="s">
        <v>6053</v>
      </c>
      <c r="D8759" s="265">
        <v>8.0</v>
      </c>
      <c r="E8759" s="3">
        <v>300.0</v>
      </c>
      <c r="G8759" s="266">
        <v>43829.0</v>
      </c>
    </row>
    <row r="8760">
      <c r="A8760" s="217">
        <v>43831.497597546295</v>
      </c>
      <c r="B8760" s="3" t="s">
        <v>5184</v>
      </c>
      <c r="C8760" s="3" t="s">
        <v>2153</v>
      </c>
      <c r="D8760" s="265">
        <v>1.0</v>
      </c>
      <c r="E8760" s="3">
        <v>7990.0</v>
      </c>
      <c r="G8760" s="266">
        <v>43826.0</v>
      </c>
    </row>
    <row r="8761">
      <c r="A8761" s="217">
        <v>43831.49837349537</v>
      </c>
      <c r="B8761" s="3" t="s">
        <v>5184</v>
      </c>
      <c r="C8761" s="3" t="s">
        <v>9675</v>
      </c>
      <c r="D8761" s="265">
        <v>1.0</v>
      </c>
      <c r="E8761" s="3">
        <v>3290.0</v>
      </c>
      <c r="G8761" s="266">
        <v>43826.0</v>
      </c>
    </row>
    <row r="8762">
      <c r="A8762" s="217">
        <v>43831.49923239583</v>
      </c>
      <c r="B8762" s="3" t="s">
        <v>5184</v>
      </c>
      <c r="C8762" s="3" t="s">
        <v>2118</v>
      </c>
      <c r="D8762" s="265">
        <v>1.0</v>
      </c>
      <c r="E8762" s="3">
        <v>4990.0</v>
      </c>
      <c r="G8762" s="266">
        <v>43826.0</v>
      </c>
    </row>
    <row r="8763">
      <c r="A8763" s="217">
        <v>43831.499865474536</v>
      </c>
      <c r="B8763" s="3" t="s">
        <v>5184</v>
      </c>
      <c r="C8763" s="3" t="s">
        <v>2120</v>
      </c>
      <c r="D8763" s="265">
        <v>2.0</v>
      </c>
      <c r="E8763" s="3">
        <v>6690.0</v>
      </c>
      <c r="G8763" s="266">
        <v>43826.0</v>
      </c>
    </row>
    <row r="8764">
      <c r="A8764" s="217">
        <v>43831.505158113425</v>
      </c>
      <c r="B8764" s="3" t="s">
        <v>5184</v>
      </c>
      <c r="C8764" s="3" t="s">
        <v>2124</v>
      </c>
      <c r="D8764" s="265">
        <v>1.0</v>
      </c>
      <c r="E8764" s="3">
        <v>4990.0</v>
      </c>
      <c r="G8764" s="266">
        <v>43826.0</v>
      </c>
    </row>
    <row r="8765">
      <c r="A8765" s="217">
        <v>43831.506075763886</v>
      </c>
      <c r="B8765" s="3" t="s">
        <v>5184</v>
      </c>
      <c r="C8765" s="3" t="s">
        <v>6319</v>
      </c>
      <c r="D8765" s="265">
        <v>3.0</v>
      </c>
      <c r="E8765" s="3">
        <v>3790.0</v>
      </c>
      <c r="G8765" s="266">
        <v>43826.0</v>
      </c>
    </row>
    <row r="8766">
      <c r="A8766" s="217">
        <v>43831.50678174768</v>
      </c>
      <c r="B8766" s="3" t="s">
        <v>5184</v>
      </c>
      <c r="C8766" s="3" t="s">
        <v>5501</v>
      </c>
      <c r="D8766" s="265">
        <v>1.0</v>
      </c>
      <c r="E8766" s="3">
        <v>4590.0</v>
      </c>
      <c r="G8766" s="266">
        <v>43826.0</v>
      </c>
    </row>
    <row r="8767">
      <c r="A8767" s="217">
        <v>43831.508116111116</v>
      </c>
      <c r="B8767" s="3" t="s">
        <v>5184</v>
      </c>
      <c r="C8767" s="3" t="s">
        <v>2142</v>
      </c>
      <c r="D8767" s="265">
        <v>1.0</v>
      </c>
      <c r="E8767" s="3">
        <v>3390.0</v>
      </c>
      <c r="G8767" s="266">
        <v>43826.0</v>
      </c>
    </row>
    <row r="8768">
      <c r="A8768" s="217">
        <v>43831.50864202547</v>
      </c>
      <c r="B8768" s="3" t="s">
        <v>5184</v>
      </c>
      <c r="C8768" s="3" t="s">
        <v>2151</v>
      </c>
      <c r="D8768" s="265">
        <v>1.0</v>
      </c>
      <c r="E8768" s="3">
        <v>4990.0</v>
      </c>
      <c r="G8768" s="266">
        <v>43826.0</v>
      </c>
    </row>
    <row r="8769">
      <c r="A8769" s="217">
        <v>43831.50917350694</v>
      </c>
      <c r="B8769" s="3" t="s">
        <v>5184</v>
      </c>
      <c r="C8769" s="3" t="s">
        <v>6321</v>
      </c>
      <c r="D8769" s="265">
        <v>1.0</v>
      </c>
      <c r="E8769" s="3">
        <v>4790.0</v>
      </c>
      <c r="G8769" s="266">
        <v>43826.0</v>
      </c>
    </row>
    <row r="8770">
      <c r="A8770" s="217">
        <v>43831.50988894676</v>
      </c>
      <c r="B8770" s="3" t="s">
        <v>5184</v>
      </c>
      <c r="C8770" s="3" t="s">
        <v>2154</v>
      </c>
      <c r="D8770" s="265">
        <v>1.0</v>
      </c>
      <c r="E8770" s="3">
        <v>4990.0</v>
      </c>
      <c r="G8770" s="266">
        <v>43826.0</v>
      </c>
    </row>
    <row r="8771">
      <c r="A8771" s="217">
        <v>43831.51054451389</v>
      </c>
      <c r="B8771" s="3" t="s">
        <v>5184</v>
      </c>
      <c r="C8771" s="3" t="s">
        <v>2169</v>
      </c>
      <c r="D8771" s="265">
        <v>1.0</v>
      </c>
      <c r="E8771" s="3">
        <v>3290.0</v>
      </c>
      <c r="G8771" s="266">
        <v>43826.0</v>
      </c>
    </row>
    <row r="8772">
      <c r="A8772" s="217">
        <v>43831.51148072917</v>
      </c>
      <c r="B8772" s="3" t="s">
        <v>5184</v>
      </c>
      <c r="C8772" s="3" t="s">
        <v>10097</v>
      </c>
      <c r="D8772" s="265">
        <v>1.0</v>
      </c>
      <c r="E8772" s="3">
        <v>4290.0</v>
      </c>
      <c r="G8772" s="266">
        <v>43826.0</v>
      </c>
    </row>
    <row r="8773">
      <c r="A8773" s="217">
        <v>43831.511966516206</v>
      </c>
      <c r="B8773" s="3" t="s">
        <v>5184</v>
      </c>
      <c r="C8773" s="3" t="s">
        <v>5528</v>
      </c>
      <c r="D8773" s="265">
        <v>1.0</v>
      </c>
      <c r="E8773" s="3">
        <v>3990.0</v>
      </c>
      <c r="G8773" s="266">
        <v>43826.0</v>
      </c>
    </row>
    <row r="8774">
      <c r="A8774" s="217">
        <v>43831.51243686343</v>
      </c>
      <c r="B8774" s="3" t="s">
        <v>5184</v>
      </c>
      <c r="C8774" s="3" t="s">
        <v>2203</v>
      </c>
      <c r="D8774" s="265">
        <v>1.0</v>
      </c>
      <c r="E8774" s="3">
        <v>5090.0</v>
      </c>
      <c r="G8774" s="266">
        <v>43826.0</v>
      </c>
    </row>
    <row r="8775">
      <c r="A8775" s="217">
        <v>43831.52792658565</v>
      </c>
      <c r="B8775" s="3" t="s">
        <v>5184</v>
      </c>
      <c r="C8775" s="3" t="s">
        <v>6338</v>
      </c>
      <c r="D8775" s="265">
        <v>1.0</v>
      </c>
      <c r="E8775" s="3">
        <v>5590.0</v>
      </c>
      <c r="G8775" s="266">
        <v>43827.0</v>
      </c>
    </row>
    <row r="8776">
      <c r="A8776" s="217">
        <v>43831.528473275466</v>
      </c>
      <c r="B8776" s="3" t="s">
        <v>5184</v>
      </c>
      <c r="C8776" s="3" t="s">
        <v>9679</v>
      </c>
      <c r="D8776" s="265">
        <v>1.0</v>
      </c>
      <c r="E8776" s="3">
        <v>5790.0</v>
      </c>
      <c r="G8776" s="266">
        <v>43827.0</v>
      </c>
    </row>
    <row r="8777">
      <c r="A8777" s="217">
        <v>43831.529126678244</v>
      </c>
      <c r="B8777" s="3" t="s">
        <v>5184</v>
      </c>
      <c r="C8777" s="3" t="s">
        <v>10099</v>
      </c>
      <c r="D8777" s="265">
        <v>1.0</v>
      </c>
      <c r="E8777" s="3">
        <v>6190.0</v>
      </c>
      <c r="G8777" s="266">
        <v>43827.0</v>
      </c>
    </row>
    <row r="8778">
      <c r="A8778" s="217">
        <v>43831.52960854166</v>
      </c>
      <c r="B8778" s="3" t="s">
        <v>5184</v>
      </c>
      <c r="C8778" s="3" t="s">
        <v>8827</v>
      </c>
      <c r="D8778" s="265">
        <v>1.0</v>
      </c>
      <c r="E8778" s="3">
        <v>6190.0</v>
      </c>
      <c r="G8778" s="266">
        <v>43827.0</v>
      </c>
    </row>
    <row r="8779">
      <c r="A8779" s="217">
        <v>43831.530056041665</v>
      </c>
      <c r="B8779" s="3" t="s">
        <v>5184</v>
      </c>
      <c r="C8779" s="3" t="s">
        <v>2231</v>
      </c>
      <c r="D8779" s="265">
        <v>1.0</v>
      </c>
      <c r="E8779" s="3">
        <v>6690.0</v>
      </c>
      <c r="G8779" s="266">
        <v>43827.0</v>
      </c>
    </row>
    <row r="8780">
      <c r="A8780" s="217">
        <v>43831.53089601852</v>
      </c>
      <c r="B8780" s="3" t="s">
        <v>5184</v>
      </c>
      <c r="C8780" s="3" t="s">
        <v>8782</v>
      </c>
      <c r="D8780" s="265">
        <v>1.0</v>
      </c>
      <c r="E8780" s="3">
        <v>4290.0</v>
      </c>
      <c r="G8780" s="266">
        <v>43827.0</v>
      </c>
    </row>
    <row r="8781">
      <c r="A8781" s="217">
        <v>43831.5337640162</v>
      </c>
      <c r="B8781" s="3" t="s">
        <v>5184</v>
      </c>
      <c r="C8781" s="3" t="s">
        <v>9244</v>
      </c>
      <c r="D8781" s="265">
        <v>1.0</v>
      </c>
      <c r="E8781" s="3">
        <v>4090.0</v>
      </c>
      <c r="G8781" s="266">
        <v>43827.0</v>
      </c>
    </row>
    <row r="8782">
      <c r="A8782" s="217">
        <v>43831.53449041667</v>
      </c>
      <c r="B8782" s="3" t="s">
        <v>5184</v>
      </c>
      <c r="C8782" s="3" t="s">
        <v>5460</v>
      </c>
      <c r="D8782" s="265">
        <v>2.0</v>
      </c>
      <c r="E8782" s="3">
        <v>4290.0</v>
      </c>
      <c r="G8782" s="266">
        <v>43827.0</v>
      </c>
    </row>
    <row r="8783">
      <c r="A8783" s="217">
        <v>43831.53511972222</v>
      </c>
      <c r="B8783" s="3" t="s">
        <v>5184</v>
      </c>
      <c r="C8783" s="3" t="s">
        <v>2206</v>
      </c>
      <c r="D8783" s="265">
        <v>1.0</v>
      </c>
      <c r="E8783" s="3">
        <v>5290.0</v>
      </c>
      <c r="G8783" s="266">
        <v>43827.0</v>
      </c>
    </row>
    <row r="8784">
      <c r="A8784" s="217">
        <v>43831.535781388884</v>
      </c>
      <c r="B8784" s="3" t="s">
        <v>5184</v>
      </c>
      <c r="C8784" s="3" t="s">
        <v>9707</v>
      </c>
      <c r="D8784" s="265">
        <v>1.0</v>
      </c>
      <c r="E8784" s="3">
        <v>3890.0</v>
      </c>
      <c r="G8784" s="266">
        <v>43827.0</v>
      </c>
    </row>
    <row r="8785">
      <c r="A8785" s="217">
        <v>43831.53631490741</v>
      </c>
      <c r="B8785" s="3" t="s">
        <v>5184</v>
      </c>
      <c r="C8785" s="3" t="s">
        <v>2239</v>
      </c>
      <c r="D8785" s="265">
        <v>1.0</v>
      </c>
      <c r="E8785" s="3">
        <v>7190.0</v>
      </c>
      <c r="G8785" s="266">
        <v>43827.0</v>
      </c>
    </row>
    <row r="8786">
      <c r="A8786" s="217">
        <v>43831.53693347222</v>
      </c>
      <c r="B8786" s="3" t="s">
        <v>5184</v>
      </c>
      <c r="C8786" s="3" t="s">
        <v>5533</v>
      </c>
      <c r="D8786" s="265">
        <v>1.0</v>
      </c>
      <c r="E8786" s="3">
        <v>6090.0</v>
      </c>
      <c r="G8786" s="266">
        <v>43827.0</v>
      </c>
    </row>
    <row r="8787">
      <c r="A8787" s="217">
        <v>43831.537458032406</v>
      </c>
      <c r="B8787" s="3" t="s">
        <v>5184</v>
      </c>
      <c r="C8787" s="3" t="s">
        <v>2269</v>
      </c>
      <c r="D8787" s="265">
        <v>1.0</v>
      </c>
      <c r="E8787" s="3">
        <v>6190.0</v>
      </c>
      <c r="G8787" s="266">
        <v>43827.0</v>
      </c>
    </row>
    <row r="8788">
      <c r="A8788" s="217">
        <v>43831.53801417824</v>
      </c>
      <c r="B8788" s="3" t="s">
        <v>5184</v>
      </c>
      <c r="C8788" s="3" t="s">
        <v>6337</v>
      </c>
      <c r="D8788" s="265">
        <v>1.0</v>
      </c>
      <c r="E8788" s="3">
        <v>5590.0</v>
      </c>
      <c r="G8788" s="266">
        <v>43827.0</v>
      </c>
    </row>
    <row r="8789">
      <c r="A8789" s="217">
        <v>43831.709529444444</v>
      </c>
      <c r="B8789" s="3" t="s">
        <v>5092</v>
      </c>
      <c r="C8789" s="3" t="s">
        <v>10100</v>
      </c>
      <c r="D8789" s="265" t="s">
        <v>10101</v>
      </c>
      <c r="E8789" s="3">
        <v>3000.0</v>
      </c>
      <c r="G8789" s="266">
        <v>43830.0</v>
      </c>
    </row>
    <row r="8790">
      <c r="A8790" s="217">
        <v>43832.663995254625</v>
      </c>
      <c r="B8790" s="3" t="s">
        <v>5092</v>
      </c>
      <c r="C8790" s="3" t="s">
        <v>1861</v>
      </c>
      <c r="D8790" s="265">
        <v>1.0</v>
      </c>
      <c r="E8790" s="3">
        <v>6990.0</v>
      </c>
      <c r="G8790" s="266">
        <v>43814.0</v>
      </c>
    </row>
    <row r="8791">
      <c r="A8791" s="217">
        <v>43832.66994883102</v>
      </c>
      <c r="B8791" s="3" t="s">
        <v>5092</v>
      </c>
      <c r="C8791" s="3" t="s">
        <v>1879</v>
      </c>
      <c r="D8791" s="265">
        <v>1.0</v>
      </c>
      <c r="E8791" s="3">
        <v>9490.0</v>
      </c>
      <c r="G8791" s="266">
        <v>43814.0</v>
      </c>
    </row>
    <row r="8792">
      <c r="A8792" s="217">
        <v>43832.67072084491</v>
      </c>
      <c r="B8792" s="3" t="s">
        <v>5092</v>
      </c>
      <c r="C8792" s="3" t="s">
        <v>10103</v>
      </c>
      <c r="D8792" s="265">
        <v>2.0</v>
      </c>
      <c r="E8792" s="3">
        <v>10690.0</v>
      </c>
      <c r="G8792" s="266">
        <v>43814.0</v>
      </c>
    </row>
    <row r="8793">
      <c r="A8793" s="217">
        <v>43832.67130295139</v>
      </c>
      <c r="B8793" s="3" t="s">
        <v>5092</v>
      </c>
      <c r="C8793" s="3" t="s">
        <v>1874</v>
      </c>
      <c r="D8793" s="265">
        <v>2.0</v>
      </c>
      <c r="E8793" s="3">
        <v>9490.0</v>
      </c>
      <c r="G8793" s="266">
        <v>43814.0</v>
      </c>
    </row>
    <row r="8794">
      <c r="A8794" s="217">
        <v>43832.67197355324</v>
      </c>
      <c r="B8794" s="3" t="s">
        <v>5092</v>
      </c>
      <c r="C8794" s="3" t="s">
        <v>1797</v>
      </c>
      <c r="D8794" s="265">
        <v>1.0</v>
      </c>
      <c r="E8794" s="3">
        <v>9490.0</v>
      </c>
      <c r="G8794" s="266">
        <v>43814.0</v>
      </c>
    </row>
    <row r="8795">
      <c r="A8795" s="217">
        <v>43832.675184548614</v>
      </c>
      <c r="B8795" s="3" t="s">
        <v>5092</v>
      </c>
      <c r="C8795" s="3" t="s">
        <v>6302</v>
      </c>
      <c r="D8795" s="265">
        <v>2.0</v>
      </c>
      <c r="E8795" s="3">
        <v>8290.0</v>
      </c>
      <c r="G8795" s="266">
        <v>43815.0</v>
      </c>
    </row>
    <row r="8796">
      <c r="A8796" s="217">
        <v>43832.67593449074</v>
      </c>
      <c r="B8796" s="3" t="s">
        <v>5092</v>
      </c>
      <c r="C8796" s="3" t="s">
        <v>1799</v>
      </c>
      <c r="D8796" s="265">
        <v>2.0</v>
      </c>
      <c r="E8796" s="3">
        <v>7690.0</v>
      </c>
      <c r="G8796" s="266">
        <v>43815.0</v>
      </c>
    </row>
    <row r="8797">
      <c r="A8797" s="217">
        <v>43832.67680908565</v>
      </c>
      <c r="B8797" s="3" t="s">
        <v>5092</v>
      </c>
      <c r="C8797" s="3" t="s">
        <v>6491</v>
      </c>
      <c r="D8797" s="265">
        <v>1.0</v>
      </c>
      <c r="E8797" s="3">
        <v>7690.0</v>
      </c>
      <c r="G8797" s="266">
        <v>43815.0</v>
      </c>
    </row>
    <row r="8798">
      <c r="A8798" s="217">
        <v>43834.75290018518</v>
      </c>
      <c r="B8798" s="3" t="s">
        <v>5092</v>
      </c>
      <c r="C8798" s="3" t="s">
        <v>1811</v>
      </c>
      <c r="D8798" s="265">
        <v>3.0</v>
      </c>
      <c r="E8798" s="3">
        <v>8890.0</v>
      </c>
      <c r="G8798" s="266">
        <v>43815.0</v>
      </c>
    </row>
    <row r="8799">
      <c r="A8799" s="217">
        <v>43834.753583784724</v>
      </c>
      <c r="B8799" s="3" t="s">
        <v>5092</v>
      </c>
      <c r="C8799" s="3" t="s">
        <v>6644</v>
      </c>
      <c r="D8799" s="265">
        <v>1.0</v>
      </c>
      <c r="E8799" s="3">
        <v>6990.0</v>
      </c>
      <c r="G8799" s="266">
        <v>43815.0</v>
      </c>
    </row>
    <row r="8800">
      <c r="A8800" s="217">
        <v>43834.75430045139</v>
      </c>
      <c r="B8800" s="3" t="s">
        <v>5092</v>
      </c>
      <c r="C8800" s="3" t="s">
        <v>10104</v>
      </c>
      <c r="D8800" s="265">
        <v>1.0</v>
      </c>
      <c r="E8800" s="3">
        <v>6990.0</v>
      </c>
      <c r="G8800" s="266">
        <v>43816.0</v>
      </c>
    </row>
    <row r="8801">
      <c r="A8801" s="217">
        <v>43834.75515956018</v>
      </c>
      <c r="B8801" s="3" t="s">
        <v>5092</v>
      </c>
      <c r="C8801" s="3" t="s">
        <v>5883</v>
      </c>
      <c r="D8801" s="265">
        <v>1.0</v>
      </c>
      <c r="E8801" s="3">
        <v>8890.0</v>
      </c>
      <c r="G8801" s="266">
        <v>43816.0</v>
      </c>
    </row>
    <row r="8802">
      <c r="A8802" s="217">
        <v>43834.75630046296</v>
      </c>
      <c r="B8802" s="3" t="s">
        <v>5092</v>
      </c>
      <c r="C8802" s="3" t="s">
        <v>10106</v>
      </c>
      <c r="D8802" s="265">
        <v>1.0</v>
      </c>
      <c r="E8802" s="3">
        <v>5990.0</v>
      </c>
      <c r="G8802" s="266">
        <v>43816.0</v>
      </c>
    </row>
    <row r="8803">
      <c r="A8803" s="217">
        <v>43834.756819965274</v>
      </c>
      <c r="B8803" s="3" t="s">
        <v>5092</v>
      </c>
      <c r="C8803" s="3" t="s">
        <v>1857</v>
      </c>
      <c r="D8803" s="265">
        <v>1.0</v>
      </c>
      <c r="E8803" s="3">
        <v>8390.0</v>
      </c>
      <c r="G8803" s="266">
        <v>43816.0</v>
      </c>
    </row>
    <row r="8804">
      <c r="A8804" s="217">
        <v>43834.75726806713</v>
      </c>
      <c r="B8804" s="3" t="s">
        <v>5092</v>
      </c>
      <c r="C8804" s="3" t="s">
        <v>5129</v>
      </c>
      <c r="D8804" s="265">
        <v>1.0</v>
      </c>
      <c r="E8804" s="3">
        <v>6390.0</v>
      </c>
      <c r="G8804" s="266">
        <v>43816.0</v>
      </c>
    </row>
    <row r="8805">
      <c r="A8805" s="217">
        <v>43834.757746076386</v>
      </c>
      <c r="B8805" s="3" t="s">
        <v>5092</v>
      </c>
      <c r="C8805" s="3" t="s">
        <v>10107</v>
      </c>
      <c r="D8805" s="265">
        <v>1.0</v>
      </c>
      <c r="E8805" s="3">
        <v>9390.0</v>
      </c>
      <c r="G8805" s="266">
        <v>43816.0</v>
      </c>
    </row>
    <row r="8806">
      <c r="A8806" s="217">
        <v>43834.75833658565</v>
      </c>
      <c r="B8806" s="3" t="s">
        <v>5092</v>
      </c>
      <c r="C8806" s="3" t="s">
        <v>10108</v>
      </c>
      <c r="D8806" s="265">
        <v>2.0</v>
      </c>
      <c r="E8806" s="3">
        <v>9390.0</v>
      </c>
      <c r="G8806" s="266">
        <v>43816.0</v>
      </c>
    </row>
    <row r="8807">
      <c r="A8807" s="217">
        <v>43834.76150778936</v>
      </c>
      <c r="B8807" s="3" t="s">
        <v>5092</v>
      </c>
      <c r="C8807" s="3" t="s">
        <v>10109</v>
      </c>
      <c r="D8807" s="265">
        <v>1.0</v>
      </c>
      <c r="E8807" s="3">
        <v>9990.0</v>
      </c>
      <c r="G8807" s="266">
        <v>43817.0</v>
      </c>
    </row>
    <row r="8808">
      <c r="A8808" s="217">
        <v>43834.76515516204</v>
      </c>
      <c r="B8808" s="3" t="s">
        <v>5092</v>
      </c>
      <c r="C8808" s="3" t="s">
        <v>10111</v>
      </c>
      <c r="D8808" s="265">
        <v>1.0</v>
      </c>
      <c r="E8808" s="3">
        <v>9490.0</v>
      </c>
      <c r="G8808" s="266">
        <v>43817.0</v>
      </c>
    </row>
    <row r="8809">
      <c r="A8809" s="217">
        <v>43834.765884016204</v>
      </c>
      <c r="B8809" s="3" t="s">
        <v>5092</v>
      </c>
      <c r="C8809" s="3" t="s">
        <v>7328</v>
      </c>
      <c r="D8809" s="265">
        <v>1.0</v>
      </c>
      <c r="E8809" s="3">
        <v>8490.0</v>
      </c>
      <c r="G8809" s="266">
        <v>43817.0</v>
      </c>
    </row>
    <row r="8810">
      <c r="A8810" s="217">
        <v>43834.76634282408</v>
      </c>
      <c r="B8810" s="3" t="s">
        <v>5092</v>
      </c>
      <c r="C8810" s="3" t="s">
        <v>10112</v>
      </c>
      <c r="D8810" s="265">
        <v>1.0</v>
      </c>
      <c r="E8810" s="3">
        <v>8790.0</v>
      </c>
      <c r="G8810" s="266">
        <v>43817.0</v>
      </c>
    </row>
    <row r="8811">
      <c r="A8811" s="217">
        <v>43834.76680240741</v>
      </c>
      <c r="B8811" s="3" t="s">
        <v>5092</v>
      </c>
      <c r="C8811" s="3" t="s">
        <v>10113</v>
      </c>
      <c r="D8811" s="265">
        <v>1.0</v>
      </c>
      <c r="E8811" s="3">
        <v>9490.0</v>
      </c>
      <c r="G8811" s="266">
        <v>43817.0</v>
      </c>
    </row>
    <row r="8812">
      <c r="A8812" s="217">
        <v>43834.76748726852</v>
      </c>
      <c r="B8812" s="3" t="s">
        <v>5092</v>
      </c>
      <c r="C8812" s="3" t="s">
        <v>6195</v>
      </c>
      <c r="D8812" s="265">
        <v>1.0</v>
      </c>
      <c r="E8812" s="3">
        <v>6490.0</v>
      </c>
      <c r="G8812" s="266">
        <v>43817.0</v>
      </c>
    </row>
    <row r="8813">
      <c r="A8813" s="217">
        <v>43834.767928506946</v>
      </c>
      <c r="B8813" s="3" t="s">
        <v>5092</v>
      </c>
      <c r="C8813" s="3" t="s">
        <v>6196</v>
      </c>
      <c r="D8813" s="265">
        <v>1.0</v>
      </c>
      <c r="E8813" s="3">
        <v>7990.0</v>
      </c>
      <c r="G8813" s="266">
        <v>43817.0</v>
      </c>
    </row>
    <row r="8814">
      <c r="A8814" s="217">
        <v>43834.76975836806</v>
      </c>
      <c r="B8814" s="3" t="s">
        <v>5092</v>
      </c>
      <c r="C8814" s="3" t="s">
        <v>6198</v>
      </c>
      <c r="D8814" s="265">
        <v>1.0</v>
      </c>
      <c r="E8814" s="3">
        <v>8190.0</v>
      </c>
      <c r="G8814" s="266">
        <v>43819.0</v>
      </c>
    </row>
    <row r="8815">
      <c r="A8815" s="217">
        <v>43834.77035357639</v>
      </c>
      <c r="B8815" s="3" t="s">
        <v>5092</v>
      </c>
      <c r="C8815" s="3" t="s">
        <v>6199</v>
      </c>
      <c r="D8815" s="265">
        <v>1.0</v>
      </c>
      <c r="E8815" s="3">
        <v>7690.0</v>
      </c>
      <c r="G8815" s="266">
        <v>43819.0</v>
      </c>
    </row>
    <row r="8816">
      <c r="A8816" s="217">
        <v>43834.770909652776</v>
      </c>
      <c r="B8816" s="3" t="s">
        <v>5092</v>
      </c>
      <c r="C8816" s="3" t="s">
        <v>10115</v>
      </c>
      <c r="D8816" s="265">
        <v>1.0</v>
      </c>
      <c r="E8816" s="3">
        <v>8190.0</v>
      </c>
      <c r="G8816" s="266">
        <v>43819.0</v>
      </c>
    </row>
    <row r="8817">
      <c r="A8817" s="217">
        <v>43834.77144532408</v>
      </c>
      <c r="B8817" s="3" t="s">
        <v>5092</v>
      </c>
      <c r="C8817" s="3" t="s">
        <v>1869</v>
      </c>
      <c r="D8817" s="265">
        <v>1.0</v>
      </c>
      <c r="E8817" s="3">
        <v>10090.0</v>
      </c>
      <c r="G8817" s="266">
        <v>43819.0</v>
      </c>
    </row>
    <row r="8818">
      <c r="A8818" s="217">
        <v>43834.77200107639</v>
      </c>
      <c r="B8818" s="3" t="s">
        <v>5092</v>
      </c>
      <c r="C8818" s="3" t="s">
        <v>1872</v>
      </c>
      <c r="D8818" s="265">
        <v>1.0</v>
      </c>
      <c r="E8818" s="3">
        <v>8890.0</v>
      </c>
      <c r="G8818" s="266">
        <v>43819.0</v>
      </c>
    </row>
    <row r="8819">
      <c r="A8819" s="217">
        <v>43834.77952836806</v>
      </c>
      <c r="B8819" s="3" t="s">
        <v>5092</v>
      </c>
      <c r="C8819" s="3" t="s">
        <v>10116</v>
      </c>
      <c r="D8819" s="265">
        <v>1.0</v>
      </c>
      <c r="E8819" s="3">
        <v>8890.0</v>
      </c>
      <c r="G8819" s="266">
        <v>43819.0</v>
      </c>
    </row>
    <row r="8820">
      <c r="A8820" s="217">
        <v>43834.780113773144</v>
      </c>
      <c r="B8820" s="3" t="s">
        <v>5092</v>
      </c>
      <c r="C8820" s="3" t="s">
        <v>1873</v>
      </c>
      <c r="D8820" s="265">
        <v>1.0</v>
      </c>
      <c r="E8820" s="3">
        <v>10090.0</v>
      </c>
      <c r="G8820" s="266">
        <v>43819.0</v>
      </c>
    </row>
    <row r="8821">
      <c r="A8821" s="217">
        <v>43834.78057072917</v>
      </c>
      <c r="B8821" s="3" t="s">
        <v>5092</v>
      </c>
      <c r="C8821" s="3" t="s">
        <v>6494</v>
      </c>
      <c r="D8821" s="265">
        <v>1.0</v>
      </c>
      <c r="E8821" s="3">
        <v>7690.0</v>
      </c>
      <c r="G8821" s="266">
        <v>43819.0</v>
      </c>
    </row>
    <row r="8822">
      <c r="A8822" s="217">
        <v>43834.78120228009</v>
      </c>
      <c r="B8822" s="3" t="s">
        <v>5092</v>
      </c>
      <c r="C8822" s="3" t="s">
        <v>8413</v>
      </c>
      <c r="D8822" s="265">
        <v>1.0</v>
      </c>
      <c r="E8822" s="3">
        <v>5390.0</v>
      </c>
      <c r="G8822" s="266">
        <v>43821.0</v>
      </c>
    </row>
    <row r="8823">
      <c r="A8823" s="217">
        <v>43834.793968935184</v>
      </c>
      <c r="B8823" s="3" t="s">
        <v>5092</v>
      </c>
      <c r="C8823" s="3" t="s">
        <v>1878</v>
      </c>
      <c r="D8823" s="265">
        <v>2.0</v>
      </c>
      <c r="E8823" s="3">
        <v>8990.0</v>
      </c>
      <c r="G8823" s="266">
        <v>43821.0</v>
      </c>
    </row>
    <row r="8824">
      <c r="A8824" s="217">
        <v>43834.79446210648</v>
      </c>
      <c r="B8824" s="3" t="s">
        <v>5092</v>
      </c>
      <c r="C8824" s="3" t="s">
        <v>6667</v>
      </c>
      <c r="D8824" s="265">
        <v>1.0</v>
      </c>
      <c r="E8824" s="3">
        <v>8290.0</v>
      </c>
      <c r="G8824" s="266">
        <v>43821.0</v>
      </c>
    </row>
    <row r="8825">
      <c r="A8825" s="217">
        <v>43834.79491269676</v>
      </c>
      <c r="B8825" s="3" t="s">
        <v>5092</v>
      </c>
      <c r="C8825" s="3" t="s">
        <v>6668</v>
      </c>
      <c r="D8825" s="265">
        <v>1.0</v>
      </c>
      <c r="E8825" s="3">
        <v>8790.0</v>
      </c>
      <c r="G8825" s="266">
        <v>43821.0</v>
      </c>
    </row>
    <row r="8826">
      <c r="A8826" s="217">
        <v>43834.795430694445</v>
      </c>
      <c r="B8826" s="3" t="s">
        <v>5092</v>
      </c>
      <c r="C8826" s="3" t="s">
        <v>6669</v>
      </c>
      <c r="D8826" s="265">
        <v>1.0</v>
      </c>
      <c r="E8826" s="3">
        <v>8790.0</v>
      </c>
      <c r="G8826" s="266">
        <v>43821.0</v>
      </c>
    </row>
    <row r="8827">
      <c r="A8827" s="217">
        <v>43834.7959084375</v>
      </c>
      <c r="B8827" s="3" t="s">
        <v>5092</v>
      </c>
      <c r="C8827" s="3" t="s">
        <v>10117</v>
      </c>
      <c r="D8827" s="265">
        <v>1.0</v>
      </c>
      <c r="E8827" s="3">
        <v>8290.0</v>
      </c>
      <c r="G8827" s="266">
        <v>43821.0</v>
      </c>
    </row>
    <row r="8828">
      <c r="A8828" s="217">
        <v>43834.79658949074</v>
      </c>
      <c r="B8828" s="3" t="s">
        <v>5092</v>
      </c>
      <c r="C8828" s="3" t="s">
        <v>1880</v>
      </c>
      <c r="D8828" s="265">
        <v>4.0</v>
      </c>
      <c r="E8828" s="3">
        <v>8290.0</v>
      </c>
      <c r="G8828" s="266">
        <v>43823.0</v>
      </c>
    </row>
    <row r="8829">
      <c r="A8829" s="217">
        <v>43834.79718417824</v>
      </c>
      <c r="B8829" s="3" t="s">
        <v>5092</v>
      </c>
      <c r="C8829" s="3" t="s">
        <v>1882</v>
      </c>
      <c r="D8829" s="265">
        <v>2.0</v>
      </c>
      <c r="E8829" s="3">
        <v>9490.0</v>
      </c>
      <c r="G8829" s="266">
        <v>43823.0</v>
      </c>
    </row>
    <row r="8830">
      <c r="A8830" s="217">
        <v>43834.79760085648</v>
      </c>
      <c r="B8830" s="3" t="s">
        <v>5092</v>
      </c>
      <c r="C8830" s="3" t="s">
        <v>1883</v>
      </c>
      <c r="D8830" s="265">
        <v>1.0</v>
      </c>
      <c r="E8830" s="3">
        <v>8290.0</v>
      </c>
      <c r="G8830" s="266">
        <v>43823.0</v>
      </c>
    </row>
    <row r="8831">
      <c r="A8831" s="217">
        <v>43834.79819568287</v>
      </c>
      <c r="B8831" s="3" t="s">
        <v>5092</v>
      </c>
      <c r="C8831" s="3" t="s">
        <v>10119</v>
      </c>
      <c r="D8831" s="265">
        <v>1.0</v>
      </c>
      <c r="E8831" s="3">
        <v>7590.0</v>
      </c>
      <c r="G8831" s="266">
        <v>43823.0</v>
      </c>
    </row>
    <row r="8832">
      <c r="A8832" s="217">
        <v>43834.81209936342</v>
      </c>
      <c r="B8832" s="3" t="s">
        <v>5092</v>
      </c>
      <c r="C8832" s="3" t="s">
        <v>10120</v>
      </c>
      <c r="D8832" s="265">
        <v>3.0</v>
      </c>
      <c r="E8832" s="3">
        <v>6990.0</v>
      </c>
      <c r="G8832" s="266">
        <v>43824.0</v>
      </c>
    </row>
    <row r="8833">
      <c r="A8833" s="217">
        <v>43834.81314049769</v>
      </c>
      <c r="B8833" s="3" t="s">
        <v>5092</v>
      </c>
      <c r="C8833" s="3" t="s">
        <v>7209</v>
      </c>
      <c r="D8833" s="265">
        <v>1.0</v>
      </c>
      <c r="E8833" s="3">
        <v>7490.0</v>
      </c>
      <c r="G8833" s="266">
        <v>43824.0</v>
      </c>
    </row>
    <row r="8834">
      <c r="A8834" s="217">
        <v>43834.81366675926</v>
      </c>
      <c r="B8834" s="3" t="s">
        <v>5092</v>
      </c>
      <c r="C8834" s="3" t="s">
        <v>5156</v>
      </c>
      <c r="D8834" s="265">
        <v>2.0</v>
      </c>
      <c r="E8834" s="3">
        <v>7690.0</v>
      </c>
      <c r="G8834" s="266">
        <v>43824.0</v>
      </c>
    </row>
    <row r="8835">
      <c r="A8835" s="217">
        <v>43834.81411033565</v>
      </c>
      <c r="B8835" s="3" t="s">
        <v>5092</v>
      </c>
      <c r="C8835" s="3" t="s">
        <v>5154</v>
      </c>
      <c r="D8835" s="265">
        <v>1.0</v>
      </c>
      <c r="E8835" s="3">
        <v>8290.0</v>
      </c>
      <c r="G8835" s="266">
        <v>43824.0</v>
      </c>
    </row>
    <row r="8836">
      <c r="A8836" s="217">
        <v>43834.814541099535</v>
      </c>
      <c r="B8836" s="3" t="s">
        <v>5092</v>
      </c>
      <c r="C8836" s="3" t="s">
        <v>10122</v>
      </c>
      <c r="D8836" s="265">
        <v>1.0</v>
      </c>
      <c r="E8836" s="3">
        <v>6390.0</v>
      </c>
      <c r="G8836" s="266">
        <v>43824.0</v>
      </c>
    </row>
    <row r="8837">
      <c r="A8837" s="217">
        <v>43834.81522900463</v>
      </c>
      <c r="B8837" s="3" t="s">
        <v>5092</v>
      </c>
      <c r="C8837" s="3" t="s">
        <v>10123</v>
      </c>
      <c r="D8837" s="265">
        <v>1.0</v>
      </c>
      <c r="E8837" s="3">
        <v>7990.0</v>
      </c>
      <c r="G8837" s="266">
        <v>43824.0</v>
      </c>
    </row>
    <row r="8838">
      <c r="A8838" s="217">
        <v>43834.81565974537</v>
      </c>
      <c r="B8838" s="3" t="s">
        <v>5092</v>
      </c>
      <c r="C8838" s="3" t="s">
        <v>10124</v>
      </c>
      <c r="D8838" s="265">
        <v>1.0</v>
      </c>
      <c r="E8838" s="3">
        <v>7590.0</v>
      </c>
      <c r="G8838" s="266">
        <v>43825.0</v>
      </c>
    </row>
    <row r="8839">
      <c r="A8839" s="217">
        <v>43834.81606658565</v>
      </c>
      <c r="B8839" s="3" t="s">
        <v>5092</v>
      </c>
      <c r="C8839" s="3" t="s">
        <v>6675</v>
      </c>
      <c r="D8839" s="265">
        <v>1.0</v>
      </c>
      <c r="E8839" s="3">
        <v>7990.0</v>
      </c>
      <c r="G8839" s="266">
        <v>43825.0</v>
      </c>
    </row>
    <row r="8840">
      <c r="A8840" s="217">
        <v>43834.81650741898</v>
      </c>
      <c r="B8840" s="3" t="s">
        <v>5092</v>
      </c>
      <c r="C8840" s="3" t="s">
        <v>6674</v>
      </c>
      <c r="D8840" s="265">
        <v>1.0</v>
      </c>
      <c r="E8840" s="3">
        <v>6490.0</v>
      </c>
      <c r="G8840" s="266">
        <v>43825.0</v>
      </c>
    </row>
    <row r="8841">
      <c r="A8841" s="217">
        <v>43834.81692326389</v>
      </c>
      <c r="B8841" s="3" t="s">
        <v>5092</v>
      </c>
      <c r="C8841" s="3" t="s">
        <v>10126</v>
      </c>
      <c r="D8841" s="265">
        <v>2.0</v>
      </c>
      <c r="E8841" s="3">
        <v>7690.0</v>
      </c>
      <c r="G8841" s="266">
        <v>43825.0</v>
      </c>
    </row>
    <row r="8842">
      <c r="A8842" s="217">
        <v>43834.81738378472</v>
      </c>
      <c r="B8842" s="3" t="s">
        <v>5092</v>
      </c>
      <c r="C8842" s="3" t="s">
        <v>10127</v>
      </c>
      <c r="D8842" s="265">
        <v>1.0</v>
      </c>
      <c r="E8842" s="3">
        <v>8290.0</v>
      </c>
      <c r="G8842" s="266">
        <v>43825.0</v>
      </c>
    </row>
    <row r="8843">
      <c r="A8843" s="217">
        <v>43834.82155443287</v>
      </c>
      <c r="B8843" s="3" t="s">
        <v>5092</v>
      </c>
      <c r="C8843" s="3" t="s">
        <v>10128</v>
      </c>
      <c r="D8843" s="265">
        <v>1.0</v>
      </c>
      <c r="E8843" s="3">
        <v>7790.0</v>
      </c>
      <c r="G8843" s="266">
        <v>43825.0</v>
      </c>
    </row>
    <row r="8844">
      <c r="A8844" s="217">
        <v>43834.82258460648</v>
      </c>
      <c r="B8844" s="3" t="s">
        <v>5092</v>
      </c>
      <c r="C8844" s="3" t="s">
        <v>6591</v>
      </c>
      <c r="D8844" s="265">
        <v>1.0</v>
      </c>
      <c r="E8844" s="3">
        <v>7590.0</v>
      </c>
      <c r="G8844" s="266">
        <v>43825.0</v>
      </c>
    </row>
    <row r="8845">
      <c r="A8845" s="217">
        <v>43834.823255219904</v>
      </c>
      <c r="B8845" s="3" t="s">
        <v>5092</v>
      </c>
      <c r="C8845" s="3" t="s">
        <v>6204</v>
      </c>
      <c r="D8845" s="265">
        <v>1.0</v>
      </c>
      <c r="E8845" s="3">
        <v>6790.0</v>
      </c>
      <c r="G8845" s="266">
        <v>43825.0</v>
      </c>
    </row>
    <row r="8846">
      <c r="A8846" s="217">
        <v>43835.446271168985</v>
      </c>
      <c r="B8846" s="3" t="s">
        <v>5092</v>
      </c>
      <c r="C8846" s="3" t="s">
        <v>1884</v>
      </c>
      <c r="D8846" s="265">
        <v>1.0</v>
      </c>
      <c r="E8846" s="3">
        <v>6290.0</v>
      </c>
      <c r="G8846" s="266">
        <v>43826.0</v>
      </c>
    </row>
    <row r="8847">
      <c r="A8847" s="217">
        <v>43835.44676131944</v>
      </c>
      <c r="B8847" s="3" t="s">
        <v>5092</v>
      </c>
      <c r="C8847" s="3" t="s">
        <v>6207</v>
      </c>
      <c r="D8847" s="265">
        <v>1.0</v>
      </c>
      <c r="E8847" s="3">
        <v>10990.0</v>
      </c>
      <c r="G8847" s="266">
        <v>43826.0</v>
      </c>
    </row>
    <row r="8848">
      <c r="A8848" s="217">
        <v>43835.44715813657</v>
      </c>
      <c r="B8848" s="3" t="s">
        <v>5092</v>
      </c>
      <c r="C8848" s="3" t="s">
        <v>1885</v>
      </c>
      <c r="D8848" s="265">
        <v>1.0</v>
      </c>
      <c r="E8848" s="3">
        <v>6990.0</v>
      </c>
      <c r="G8848" s="266">
        <v>43826.0</v>
      </c>
    </row>
    <row r="8849">
      <c r="A8849" s="217">
        <v>43835.44764269676</v>
      </c>
      <c r="B8849" s="3" t="s">
        <v>5092</v>
      </c>
      <c r="C8849" s="3" t="s">
        <v>5168</v>
      </c>
      <c r="D8849" s="265">
        <v>1.0</v>
      </c>
      <c r="E8849" s="3">
        <v>7990.0</v>
      </c>
      <c r="G8849" s="266">
        <v>43826.0</v>
      </c>
    </row>
    <row r="8850">
      <c r="A8850" s="217">
        <v>43835.44808854167</v>
      </c>
      <c r="B8850" s="3" t="s">
        <v>5092</v>
      </c>
      <c r="C8850" s="3" t="s">
        <v>10130</v>
      </c>
      <c r="D8850" s="265">
        <v>1.0</v>
      </c>
      <c r="E8850" s="3">
        <v>11490.0</v>
      </c>
      <c r="G8850" s="266">
        <v>43826.0</v>
      </c>
    </row>
    <row r="8851">
      <c r="A8851" s="217">
        <v>43835.44852548611</v>
      </c>
      <c r="B8851" s="3" t="s">
        <v>5092</v>
      </c>
      <c r="C8851" s="3" t="s">
        <v>5169</v>
      </c>
      <c r="D8851" s="265">
        <v>1.0</v>
      </c>
      <c r="E8851" s="3">
        <v>5290.0</v>
      </c>
      <c r="G8851" s="266">
        <v>43826.0</v>
      </c>
    </row>
    <row r="8852">
      <c r="A8852" s="217">
        <v>43835.44899291667</v>
      </c>
      <c r="B8852" s="3" t="s">
        <v>5092</v>
      </c>
      <c r="C8852" s="3" t="s">
        <v>5186</v>
      </c>
      <c r="D8852" s="265">
        <v>2.0</v>
      </c>
      <c r="E8852" s="3">
        <v>4490.0</v>
      </c>
      <c r="G8852" s="266">
        <v>43826.0</v>
      </c>
    </row>
    <row r="8853">
      <c r="A8853" s="217">
        <v>43835.44945799769</v>
      </c>
      <c r="B8853" s="3" t="s">
        <v>5092</v>
      </c>
      <c r="C8853" s="3" t="s">
        <v>5189</v>
      </c>
      <c r="D8853" s="265">
        <v>1.0</v>
      </c>
      <c r="E8853" s="3">
        <v>7690.0</v>
      </c>
      <c r="G8853" s="266">
        <v>43826.0</v>
      </c>
    </row>
    <row r="8854">
      <c r="A8854" s="217">
        <v>43835.450017337964</v>
      </c>
      <c r="B8854" s="3" t="s">
        <v>5092</v>
      </c>
      <c r="C8854" s="3" t="s">
        <v>1887</v>
      </c>
      <c r="D8854" s="265">
        <v>4.0</v>
      </c>
      <c r="E8854" s="3">
        <v>5290.0</v>
      </c>
      <c r="G8854" s="266">
        <v>43827.0</v>
      </c>
    </row>
    <row r="8855">
      <c r="A8855" s="217">
        <v>43835.45062256945</v>
      </c>
      <c r="B8855" s="3" t="s">
        <v>5092</v>
      </c>
      <c r="C8855" s="3" t="s">
        <v>10132</v>
      </c>
      <c r="D8855" s="265">
        <v>1.0</v>
      </c>
      <c r="E8855" s="3">
        <v>9490.0</v>
      </c>
      <c r="G8855" s="266">
        <v>43827.0</v>
      </c>
    </row>
    <row r="8856">
      <c r="A8856" s="217">
        <v>43835.45107494213</v>
      </c>
      <c r="B8856" s="3" t="s">
        <v>5092</v>
      </c>
      <c r="C8856" s="3" t="s">
        <v>6209</v>
      </c>
      <c r="D8856" s="265">
        <v>1.0</v>
      </c>
      <c r="E8856" s="3">
        <v>7490.0</v>
      </c>
      <c r="G8856" s="266">
        <v>43827.0</v>
      </c>
    </row>
    <row r="8857">
      <c r="A8857" s="217">
        <v>43835.4514691088</v>
      </c>
      <c r="B8857" s="3" t="s">
        <v>5092</v>
      </c>
      <c r="C8857" s="3" t="s">
        <v>1888</v>
      </c>
      <c r="D8857" s="265">
        <v>1.0</v>
      </c>
      <c r="E8857" s="3">
        <v>9690.0</v>
      </c>
      <c r="G8857" s="266">
        <v>43827.0</v>
      </c>
    </row>
    <row r="8858">
      <c r="A8858" s="217">
        <v>43835.45192685185</v>
      </c>
      <c r="B8858" s="3" t="s">
        <v>5092</v>
      </c>
      <c r="C8858" s="3" t="s">
        <v>1891</v>
      </c>
      <c r="D8858" s="265">
        <v>1.0</v>
      </c>
      <c r="E8858" s="3">
        <v>10090.0</v>
      </c>
      <c r="G8858" s="266">
        <v>43827.0</v>
      </c>
    </row>
    <row r="8859">
      <c r="A8859" s="217">
        <v>43835.4524790625</v>
      </c>
      <c r="B8859" s="3" t="s">
        <v>5092</v>
      </c>
      <c r="C8859" s="3" t="s">
        <v>10133</v>
      </c>
      <c r="D8859" s="265">
        <v>1.0</v>
      </c>
      <c r="E8859" s="3">
        <v>10090.0</v>
      </c>
      <c r="G8859" s="266">
        <v>43827.0</v>
      </c>
    </row>
    <row r="8860">
      <c r="A8860" s="217">
        <v>43835.45301943287</v>
      </c>
      <c r="B8860" s="3" t="s">
        <v>5092</v>
      </c>
      <c r="C8860" s="3" t="s">
        <v>6313</v>
      </c>
      <c r="D8860" s="265">
        <v>1.0</v>
      </c>
      <c r="E8860" s="3">
        <v>17500.0</v>
      </c>
      <c r="G8860" s="266">
        <v>43828.0</v>
      </c>
    </row>
    <row r="8861">
      <c r="A8861" s="217">
        <v>43835.453405810185</v>
      </c>
      <c r="B8861" s="3" t="s">
        <v>5092</v>
      </c>
      <c r="C8861" s="3" t="s">
        <v>1792</v>
      </c>
      <c r="D8861" s="265">
        <v>1.0</v>
      </c>
      <c r="E8861" s="3">
        <v>7690.0</v>
      </c>
      <c r="G8861" s="266">
        <v>43828.0</v>
      </c>
    </row>
    <row r="8862">
      <c r="A8862" s="217">
        <v>43835.45387991898</v>
      </c>
      <c r="B8862" s="3" t="s">
        <v>5092</v>
      </c>
      <c r="C8862" s="3" t="s">
        <v>1795</v>
      </c>
      <c r="D8862" s="265">
        <v>2.0</v>
      </c>
      <c r="E8862" s="3">
        <v>8290.0</v>
      </c>
      <c r="G8862" s="266">
        <v>43828.0</v>
      </c>
    </row>
    <row r="8863">
      <c r="A8863" s="217">
        <v>43835.45436047454</v>
      </c>
      <c r="B8863" s="3" t="s">
        <v>5092</v>
      </c>
      <c r="C8863" s="3" t="s">
        <v>1804</v>
      </c>
      <c r="D8863" s="265">
        <v>1.0</v>
      </c>
      <c r="E8863" s="3">
        <v>9490.0</v>
      </c>
      <c r="G8863" s="266">
        <v>43828.0</v>
      </c>
    </row>
    <row r="8864">
      <c r="A8864" s="217">
        <v>43835.45484277778</v>
      </c>
      <c r="B8864" s="3" t="s">
        <v>5092</v>
      </c>
      <c r="C8864" s="3" t="s">
        <v>5102</v>
      </c>
      <c r="D8864" s="265">
        <v>1.0</v>
      </c>
      <c r="E8864" s="3">
        <v>8890.0</v>
      </c>
      <c r="G8864" s="266">
        <v>43828.0</v>
      </c>
    </row>
    <row r="8865">
      <c r="A8865" s="217">
        <v>43835.455259525464</v>
      </c>
      <c r="B8865" s="3" t="s">
        <v>5092</v>
      </c>
      <c r="C8865" s="3" t="s">
        <v>1815</v>
      </c>
      <c r="D8865" s="265">
        <v>1.0</v>
      </c>
      <c r="E8865" s="3">
        <v>8890.0</v>
      </c>
      <c r="G8865" s="266">
        <v>43828.0</v>
      </c>
    </row>
    <row r="8866">
      <c r="A8866" s="217">
        <v>43835.45600096065</v>
      </c>
      <c r="B8866" s="3" t="s">
        <v>5092</v>
      </c>
      <c r="C8866" s="3" t="s">
        <v>1843</v>
      </c>
      <c r="D8866" s="265">
        <v>1.0</v>
      </c>
      <c r="E8866" s="3">
        <v>8890.0</v>
      </c>
      <c r="G8866" s="266">
        <v>43828.0</v>
      </c>
    </row>
    <row r="8867">
      <c r="A8867" s="217">
        <v>43835.456509236115</v>
      </c>
      <c r="B8867" s="3" t="s">
        <v>5092</v>
      </c>
      <c r="C8867" s="3" t="s">
        <v>6641</v>
      </c>
      <c r="D8867" s="265">
        <v>4.0</v>
      </c>
      <c r="E8867" s="3">
        <v>8290.0</v>
      </c>
      <c r="G8867" s="266">
        <v>43829.0</v>
      </c>
    </row>
    <row r="8868">
      <c r="A8868" s="217">
        <v>43835.45697695602</v>
      </c>
      <c r="B8868" s="3" t="s">
        <v>5092</v>
      </c>
      <c r="C8868" s="3" t="s">
        <v>1846</v>
      </c>
      <c r="D8868" s="265">
        <v>2.0</v>
      </c>
      <c r="E8868" s="3">
        <v>8890.0</v>
      </c>
      <c r="G8868" s="266">
        <v>43829.0</v>
      </c>
    </row>
    <row r="8869">
      <c r="A8869" s="217">
        <v>43835.45737340278</v>
      </c>
      <c r="B8869" s="3" t="s">
        <v>5092</v>
      </c>
      <c r="C8869" s="3" t="s">
        <v>5130</v>
      </c>
      <c r="D8869" s="265">
        <v>1.0</v>
      </c>
      <c r="E8869" s="3">
        <v>7590.0</v>
      </c>
      <c r="G8869" s="266">
        <v>43829.0</v>
      </c>
    </row>
    <row r="8870">
      <c r="A8870" s="217">
        <v>43835.45776394676</v>
      </c>
      <c r="B8870" s="3" t="s">
        <v>5092</v>
      </c>
      <c r="C8870" s="3" t="s">
        <v>1892</v>
      </c>
      <c r="D8870" s="265">
        <v>1.0</v>
      </c>
      <c r="E8870" s="3">
        <v>5790.0</v>
      </c>
      <c r="G8870" s="266">
        <v>43829.0</v>
      </c>
    </row>
    <row r="8871">
      <c r="A8871" s="217">
        <v>43835.45823703703</v>
      </c>
      <c r="B8871" s="3" t="s">
        <v>5092</v>
      </c>
      <c r="C8871" s="3" t="s">
        <v>5106</v>
      </c>
      <c r="D8871" s="265">
        <v>1.0</v>
      </c>
      <c r="E8871" s="3">
        <v>8890.0</v>
      </c>
      <c r="G8871" s="266">
        <v>43829.0</v>
      </c>
    </row>
    <row r="8872">
      <c r="A8872" s="217">
        <v>43835.45939447917</v>
      </c>
      <c r="B8872" s="3" t="s">
        <v>5092</v>
      </c>
      <c r="C8872" s="3" t="s">
        <v>9337</v>
      </c>
      <c r="D8872" s="265">
        <v>2.0</v>
      </c>
      <c r="E8872" s="3">
        <v>8890.0</v>
      </c>
      <c r="G8872" s="266">
        <v>43830.0</v>
      </c>
    </row>
    <row r="8873">
      <c r="A8873" s="217">
        <v>43835.459876469904</v>
      </c>
      <c r="B8873" s="3" t="s">
        <v>5092</v>
      </c>
      <c r="C8873" s="3" t="s">
        <v>5136</v>
      </c>
      <c r="D8873" s="265">
        <v>2.0</v>
      </c>
      <c r="E8873" s="3">
        <v>9490.0</v>
      </c>
      <c r="G8873" s="266">
        <v>43830.0</v>
      </c>
    </row>
    <row r="8874">
      <c r="A8874" s="217">
        <v>43835.46033122685</v>
      </c>
      <c r="B8874" s="3" t="s">
        <v>5092</v>
      </c>
      <c r="C8874" s="3" t="s">
        <v>1822</v>
      </c>
      <c r="D8874" s="265">
        <v>1.0</v>
      </c>
      <c r="E8874" s="3">
        <v>8890.0</v>
      </c>
      <c r="G8874" s="266">
        <v>43830.0</v>
      </c>
    </row>
    <row r="8875">
      <c r="A8875" s="217">
        <v>43835.46085859954</v>
      </c>
      <c r="B8875" s="3" t="s">
        <v>5092</v>
      </c>
      <c r="C8875" s="3" t="s">
        <v>1824</v>
      </c>
      <c r="D8875" s="265">
        <v>3.0</v>
      </c>
      <c r="E8875" s="3">
        <v>8890.0</v>
      </c>
      <c r="G8875" s="266">
        <v>43830.0</v>
      </c>
    </row>
    <row r="8876">
      <c r="A8876" s="217">
        <v>43835.47473761574</v>
      </c>
      <c r="B8876" s="3" t="s">
        <v>5092</v>
      </c>
      <c r="C8876" s="3" t="s">
        <v>10137</v>
      </c>
      <c r="D8876" s="265">
        <v>1.0</v>
      </c>
      <c r="E8876" s="3">
        <v>250.0</v>
      </c>
      <c r="G8876" s="266">
        <v>43833.0</v>
      </c>
    </row>
    <row r="8877">
      <c r="A8877" s="217">
        <v>43835.47557703704</v>
      </c>
      <c r="B8877" s="3" t="s">
        <v>5092</v>
      </c>
      <c r="C8877" s="3" t="s">
        <v>10137</v>
      </c>
      <c r="D8877" s="265">
        <v>1.0</v>
      </c>
      <c r="E8877" s="3">
        <v>250.0</v>
      </c>
      <c r="G8877" s="266">
        <v>43833.0</v>
      </c>
    </row>
    <row r="8878">
      <c r="A8878" s="217">
        <v>43835.47639027778</v>
      </c>
      <c r="B8878" s="3" t="s">
        <v>5092</v>
      </c>
      <c r="C8878" s="3" t="s">
        <v>7884</v>
      </c>
      <c r="D8878" s="265">
        <v>1.0</v>
      </c>
      <c r="E8878" s="3">
        <v>300.0</v>
      </c>
      <c r="G8878" s="266">
        <v>43834.0</v>
      </c>
    </row>
    <row r="8879">
      <c r="A8879" s="217">
        <v>43835.47747915509</v>
      </c>
      <c r="B8879" s="3" t="s">
        <v>5092</v>
      </c>
      <c r="C8879" s="3" t="s">
        <v>284</v>
      </c>
      <c r="D8879" s="265">
        <v>2.0</v>
      </c>
      <c r="E8879" s="3">
        <v>500.0</v>
      </c>
      <c r="G8879" s="266">
        <v>43834.0</v>
      </c>
    </row>
    <row r="8880">
      <c r="A8880" s="217">
        <v>43835.479141504635</v>
      </c>
      <c r="B8880" s="3" t="s">
        <v>5092</v>
      </c>
      <c r="C8880" s="3" t="s">
        <v>10140</v>
      </c>
      <c r="D8880" s="265">
        <v>2.0</v>
      </c>
      <c r="E8880" s="3">
        <v>1900.0</v>
      </c>
      <c r="G8880" s="266">
        <v>43834.0</v>
      </c>
    </row>
    <row r="8881">
      <c r="A8881" s="217">
        <v>43835.48048491898</v>
      </c>
      <c r="B8881" s="3" t="s">
        <v>5092</v>
      </c>
      <c r="C8881" s="3" t="s">
        <v>7884</v>
      </c>
      <c r="D8881" s="265">
        <v>2.0</v>
      </c>
      <c r="E8881" s="3">
        <v>300.0</v>
      </c>
      <c r="G8881" s="266">
        <v>43834.0</v>
      </c>
    </row>
    <row r="8882">
      <c r="A8882" s="217">
        <v>43835.48239755787</v>
      </c>
      <c r="B8882" s="3" t="s">
        <v>5092</v>
      </c>
      <c r="C8882" s="3" t="s">
        <v>10137</v>
      </c>
      <c r="D8882" s="265">
        <v>2.0</v>
      </c>
      <c r="E8882" s="3">
        <v>300.0</v>
      </c>
      <c r="G8882" s="266">
        <v>43834.0</v>
      </c>
    </row>
    <row r="8883">
      <c r="A8883" s="217">
        <v>43835.4828844213</v>
      </c>
      <c r="B8883" s="3" t="s">
        <v>5092</v>
      </c>
      <c r="C8883" s="3" t="s">
        <v>7884</v>
      </c>
      <c r="D8883" s="265">
        <v>1.0</v>
      </c>
      <c r="E8883" s="3">
        <v>300.0</v>
      </c>
      <c r="G8883" s="266">
        <v>43834.0</v>
      </c>
    </row>
    <row r="8884">
      <c r="A8884" s="217">
        <v>43836.44653097222</v>
      </c>
      <c r="B8884" s="3" t="s">
        <v>5092</v>
      </c>
      <c r="C8884" s="3" t="s">
        <v>7884</v>
      </c>
      <c r="D8884" s="265">
        <v>994.0</v>
      </c>
      <c r="E8884" s="3">
        <v>300.0</v>
      </c>
      <c r="G8884" s="266">
        <v>43831.0</v>
      </c>
    </row>
    <row r="8885">
      <c r="A8885" s="217">
        <v>43836.48120917824</v>
      </c>
      <c r="B8885" s="3" t="s">
        <v>5092</v>
      </c>
      <c r="C8885" s="3" t="s">
        <v>7884</v>
      </c>
      <c r="D8885" s="265">
        <v>18.0</v>
      </c>
      <c r="E8885" s="3">
        <v>300.0</v>
      </c>
      <c r="G8885" s="266">
        <v>43831.0</v>
      </c>
    </row>
    <row r="8886">
      <c r="A8886" s="217">
        <v>43836.482018483795</v>
      </c>
      <c r="B8886" s="3" t="s">
        <v>5092</v>
      </c>
      <c r="C8886" s="3" t="s">
        <v>284</v>
      </c>
      <c r="D8886" s="265">
        <v>886.0</v>
      </c>
      <c r="E8886" s="3">
        <v>500.0</v>
      </c>
      <c r="G8886" s="266">
        <v>43832.0</v>
      </c>
    </row>
    <row r="8887">
      <c r="A8887" s="217">
        <v>43836.482673391205</v>
      </c>
      <c r="B8887" s="3" t="s">
        <v>5092</v>
      </c>
      <c r="C8887" s="3" t="s">
        <v>284</v>
      </c>
      <c r="D8887" s="265">
        <v>24.0</v>
      </c>
      <c r="E8887" s="3">
        <v>500.0</v>
      </c>
      <c r="G8887" s="266">
        <v>43832.0</v>
      </c>
    </row>
    <row r="8888">
      <c r="A8888" s="217">
        <v>43836.484260868056</v>
      </c>
      <c r="B8888" s="3" t="s">
        <v>5092</v>
      </c>
      <c r="C8888" s="3" t="s">
        <v>10143</v>
      </c>
      <c r="D8888" s="265">
        <v>150.0</v>
      </c>
      <c r="E8888" s="3">
        <v>300.0</v>
      </c>
      <c r="G8888" s="266">
        <v>43832.0</v>
      </c>
    </row>
    <row r="8889">
      <c r="A8889" s="217">
        <v>43836.78987502315</v>
      </c>
      <c r="B8889" s="3" t="s">
        <v>5092</v>
      </c>
      <c r="C8889" s="3" t="s">
        <v>847</v>
      </c>
      <c r="D8889" s="265">
        <v>2.0</v>
      </c>
      <c r="E8889" s="3">
        <v>1500.0</v>
      </c>
      <c r="G8889" s="266">
        <v>43834.0</v>
      </c>
    </row>
    <row r="8890">
      <c r="A8890" s="217">
        <v>43836.79048607639</v>
      </c>
      <c r="B8890" s="3" t="s">
        <v>5092</v>
      </c>
      <c r="C8890" s="3" t="s">
        <v>10137</v>
      </c>
      <c r="D8890" s="265">
        <v>1.0</v>
      </c>
      <c r="E8890" s="3">
        <v>250.0</v>
      </c>
      <c r="G8890" s="266">
        <v>43836.0</v>
      </c>
    </row>
    <row r="8891">
      <c r="A8891" s="217">
        <v>43836.79218680556</v>
      </c>
      <c r="B8891" s="3" t="s">
        <v>5092</v>
      </c>
      <c r="C8891" s="3" t="s">
        <v>10147</v>
      </c>
      <c r="D8891" s="265">
        <v>3.0</v>
      </c>
      <c r="E8891" s="3">
        <v>1200.0</v>
      </c>
      <c r="G8891" s="266">
        <v>43836.0</v>
      </c>
    </row>
    <row r="8892">
      <c r="A8892" s="217">
        <v>43836.79279446759</v>
      </c>
      <c r="B8892" s="3" t="s">
        <v>5092</v>
      </c>
      <c r="C8892" s="3" t="s">
        <v>7884</v>
      </c>
      <c r="D8892" s="265">
        <v>2.0</v>
      </c>
      <c r="E8892" s="3">
        <v>300.0</v>
      </c>
      <c r="G8892" s="266">
        <v>43836.0</v>
      </c>
    </row>
    <row r="8893">
      <c r="A8893" s="217">
        <v>43836.7933337963</v>
      </c>
      <c r="B8893" s="3" t="s">
        <v>5092</v>
      </c>
      <c r="C8893" s="3" t="s">
        <v>10137</v>
      </c>
      <c r="D8893" s="265">
        <v>4.0</v>
      </c>
      <c r="E8893" s="3">
        <v>500.0</v>
      </c>
      <c r="G8893" s="266">
        <v>43836.0</v>
      </c>
    </row>
    <row r="8894">
      <c r="A8894" s="217">
        <v>43836.79381457176</v>
      </c>
      <c r="B8894" s="3" t="s">
        <v>5092</v>
      </c>
      <c r="C8894" s="3" t="s">
        <v>10137</v>
      </c>
      <c r="D8894" s="265">
        <v>2.0</v>
      </c>
      <c r="E8894" s="3">
        <v>500.0</v>
      </c>
      <c r="G8894" s="266">
        <v>43836.0</v>
      </c>
    </row>
    <row r="8895">
      <c r="A8895" s="217">
        <v>43837.77242408565</v>
      </c>
      <c r="B8895" s="3" t="s">
        <v>5092</v>
      </c>
      <c r="C8895" s="3" t="s">
        <v>284</v>
      </c>
      <c r="D8895" s="265">
        <v>4.0</v>
      </c>
      <c r="E8895" s="3">
        <v>500.0</v>
      </c>
      <c r="G8895" s="266">
        <v>43837.0</v>
      </c>
    </row>
    <row r="8896">
      <c r="A8896" s="217">
        <v>43837.772966874996</v>
      </c>
      <c r="B8896" s="3" t="s">
        <v>5092</v>
      </c>
      <c r="C8896" s="3" t="s">
        <v>7884</v>
      </c>
      <c r="D8896" s="265">
        <v>2.0</v>
      </c>
      <c r="E8896" s="3">
        <v>300.0</v>
      </c>
      <c r="G8896" s="266">
        <v>43837.0</v>
      </c>
    </row>
    <row r="8897">
      <c r="A8897" s="217">
        <v>43845.42682137732</v>
      </c>
      <c r="B8897" s="3" t="s">
        <v>5092</v>
      </c>
      <c r="C8897" s="3" t="s">
        <v>1000</v>
      </c>
      <c r="D8897" s="265">
        <v>1.0</v>
      </c>
      <c r="E8897" s="3">
        <v>13000.0</v>
      </c>
      <c r="G8897" s="266">
        <v>43842.0</v>
      </c>
    </row>
    <row r="8898">
      <c r="A8898" s="217">
        <v>43845.42748224537</v>
      </c>
      <c r="B8898" s="3" t="s">
        <v>5092</v>
      </c>
      <c r="C8898" s="3" t="s">
        <v>4989</v>
      </c>
      <c r="D8898" s="265">
        <v>1.0</v>
      </c>
      <c r="E8898" s="3">
        <v>1899.0</v>
      </c>
      <c r="G8898" s="266">
        <v>43842.0</v>
      </c>
    </row>
    <row r="8899">
      <c r="A8899" s="217">
        <v>43845.43227472222</v>
      </c>
      <c r="B8899" s="3" t="s">
        <v>5092</v>
      </c>
      <c r="C8899" s="3" t="s">
        <v>4991</v>
      </c>
      <c r="D8899" s="265">
        <v>1.0</v>
      </c>
      <c r="E8899" s="3">
        <v>1899.0</v>
      </c>
      <c r="G8899" s="266">
        <v>43842.0</v>
      </c>
    </row>
    <row r="8900">
      <c r="A8900" s="217">
        <v>43845.43319597222</v>
      </c>
      <c r="B8900" s="3" t="s">
        <v>5092</v>
      </c>
      <c r="C8900" s="3" t="s">
        <v>8674</v>
      </c>
      <c r="D8900" s="265">
        <v>1.0</v>
      </c>
      <c r="E8900" s="3">
        <v>2350.0</v>
      </c>
      <c r="G8900" s="266">
        <v>43842.0</v>
      </c>
    </row>
    <row r="8901">
      <c r="A8901" s="217">
        <v>43845.433832986106</v>
      </c>
      <c r="B8901" s="3" t="s">
        <v>5092</v>
      </c>
      <c r="C8901" s="3" t="s">
        <v>10150</v>
      </c>
      <c r="D8901" s="265">
        <v>1.0</v>
      </c>
      <c r="E8901" s="3">
        <v>2500.0</v>
      </c>
      <c r="G8901" s="266">
        <v>43842.0</v>
      </c>
    </row>
    <row r="8902">
      <c r="A8902" s="217">
        <v>43845.434608703705</v>
      </c>
      <c r="B8902" s="3" t="s">
        <v>5092</v>
      </c>
      <c r="C8902" s="3" t="s">
        <v>1720</v>
      </c>
      <c r="D8902" s="265">
        <v>1.0</v>
      </c>
      <c r="E8902" s="3">
        <v>10990.0</v>
      </c>
      <c r="G8902" s="266">
        <v>43842.0</v>
      </c>
    </row>
    <row r="8903">
      <c r="A8903" s="217">
        <v>43845.43554643518</v>
      </c>
      <c r="B8903" s="3" t="s">
        <v>5092</v>
      </c>
      <c r="C8903" s="3" t="s">
        <v>1026</v>
      </c>
      <c r="D8903" s="265">
        <v>1.0</v>
      </c>
      <c r="E8903" s="3">
        <v>24990.0</v>
      </c>
      <c r="G8903" s="266">
        <v>43842.0</v>
      </c>
    </row>
    <row r="8904">
      <c r="A8904" s="217">
        <v>43845.43664612269</v>
      </c>
      <c r="B8904" s="3" t="s">
        <v>5092</v>
      </c>
      <c r="C8904" s="3" t="s">
        <v>2762</v>
      </c>
      <c r="D8904" s="265">
        <v>1.0</v>
      </c>
      <c r="G8904" s="266">
        <v>43842.0</v>
      </c>
    </row>
    <row r="8905">
      <c r="A8905" s="217">
        <v>43845.436963726854</v>
      </c>
      <c r="B8905" s="3" t="s">
        <v>5092</v>
      </c>
      <c r="C8905" s="3" t="s">
        <v>10151</v>
      </c>
      <c r="D8905" s="265">
        <v>1.0</v>
      </c>
      <c r="E8905" s="3">
        <v>9210.0</v>
      </c>
      <c r="G8905" s="266">
        <v>43842.0</v>
      </c>
    </row>
    <row r="8906">
      <c r="A8906" s="217">
        <v>43845.437352175926</v>
      </c>
      <c r="B8906" s="3" t="s">
        <v>5092</v>
      </c>
      <c r="C8906" s="3" t="s">
        <v>5247</v>
      </c>
      <c r="D8906" s="265">
        <v>1.0</v>
      </c>
      <c r="E8906" s="3">
        <v>11900.0</v>
      </c>
      <c r="G8906" s="266">
        <v>43842.0</v>
      </c>
    </row>
    <row r="8907">
      <c r="A8907" s="217">
        <v>43845.43774061343</v>
      </c>
      <c r="B8907" s="3" t="s">
        <v>5092</v>
      </c>
      <c r="C8907" s="3" t="s">
        <v>8857</v>
      </c>
      <c r="D8907" s="265">
        <v>1.0</v>
      </c>
      <c r="E8907" s="3">
        <v>2590.0</v>
      </c>
      <c r="G8907" s="266">
        <v>43842.0</v>
      </c>
    </row>
    <row r="8908">
      <c r="A8908" s="217">
        <v>43845.43870983797</v>
      </c>
      <c r="B8908" s="3" t="s">
        <v>5092</v>
      </c>
      <c r="C8908" s="3" t="s">
        <v>1386</v>
      </c>
      <c r="D8908" s="265">
        <v>1.0</v>
      </c>
      <c r="E8908" s="3">
        <v>1950.0</v>
      </c>
      <c r="G8908" s="266">
        <v>43842.0</v>
      </c>
    </row>
    <row r="8909">
      <c r="A8909" s="217">
        <v>43845.43944980324</v>
      </c>
      <c r="B8909" s="3" t="s">
        <v>5092</v>
      </c>
      <c r="C8909" s="3" t="s">
        <v>1722</v>
      </c>
      <c r="D8909" s="265">
        <v>2.0</v>
      </c>
      <c r="E8909" s="3">
        <v>20290.0</v>
      </c>
      <c r="G8909" s="266">
        <v>43843.0</v>
      </c>
    </row>
    <row r="8910">
      <c r="A8910" s="217">
        <v>43845.439910960646</v>
      </c>
      <c r="B8910" s="3" t="s">
        <v>5092</v>
      </c>
      <c r="C8910" s="3" t="s">
        <v>10153</v>
      </c>
      <c r="D8910" s="265">
        <v>1.0</v>
      </c>
      <c r="E8910" s="3">
        <v>7790.0</v>
      </c>
      <c r="G8910" s="266">
        <v>43843.0</v>
      </c>
    </row>
    <row r="8911">
      <c r="A8911" s="217">
        <v>43845.440687002316</v>
      </c>
      <c r="B8911" s="3" t="s">
        <v>5092</v>
      </c>
      <c r="C8911" s="3" t="s">
        <v>10154</v>
      </c>
      <c r="D8911" s="265">
        <v>1.0</v>
      </c>
      <c r="E8911" s="3">
        <v>8290.0</v>
      </c>
      <c r="G8911" s="266">
        <v>43843.0</v>
      </c>
    </row>
    <row r="8912">
      <c r="A8912" s="217">
        <v>43845.44104795139</v>
      </c>
      <c r="B8912" s="3" t="s">
        <v>5092</v>
      </c>
      <c r="C8912" s="3" t="s">
        <v>1792</v>
      </c>
      <c r="D8912" s="265">
        <v>1.0</v>
      </c>
      <c r="E8912" s="3">
        <v>7690.0</v>
      </c>
      <c r="G8912" s="266">
        <v>43843.0</v>
      </c>
    </row>
    <row r="8913">
      <c r="A8913" s="217">
        <v>43845.44141586806</v>
      </c>
      <c r="B8913" s="3" t="s">
        <v>5092</v>
      </c>
      <c r="C8913" s="3" t="s">
        <v>5102</v>
      </c>
      <c r="D8913" s="265">
        <v>1.0</v>
      </c>
      <c r="E8913" s="3">
        <v>8890.0</v>
      </c>
      <c r="G8913" s="266">
        <v>43843.0</v>
      </c>
    </row>
    <row r="8914">
      <c r="A8914" s="217">
        <v>43845.44189818287</v>
      </c>
      <c r="B8914" s="3" t="s">
        <v>5092</v>
      </c>
      <c r="C8914" s="3" t="s">
        <v>6296</v>
      </c>
      <c r="D8914" s="265">
        <v>1.0</v>
      </c>
      <c r="E8914" s="3">
        <v>5490.0</v>
      </c>
      <c r="G8914" s="266">
        <v>43843.0</v>
      </c>
    </row>
    <row r="8915">
      <c r="A8915" s="217">
        <v>43845.44661658564</v>
      </c>
      <c r="B8915" s="3" t="s">
        <v>5092</v>
      </c>
      <c r="C8915" s="3" t="s">
        <v>10155</v>
      </c>
      <c r="D8915" s="265">
        <v>1.0</v>
      </c>
      <c r="E8915" s="3">
        <v>8290.0</v>
      </c>
      <c r="G8915" s="266">
        <v>43844.0</v>
      </c>
    </row>
    <row r="8916">
      <c r="A8916" s="217">
        <v>43845.4470063426</v>
      </c>
      <c r="B8916" s="3" t="s">
        <v>5092</v>
      </c>
      <c r="C8916" s="3" t="s">
        <v>1795</v>
      </c>
      <c r="D8916" s="265">
        <v>1.0</v>
      </c>
      <c r="E8916" s="3">
        <v>8290.0</v>
      </c>
      <c r="G8916" s="266">
        <v>43844.0</v>
      </c>
    </row>
    <row r="8917">
      <c r="A8917" s="217">
        <v>43845.44743340278</v>
      </c>
      <c r="B8917" s="3" t="s">
        <v>5092</v>
      </c>
      <c r="C8917" s="3" t="s">
        <v>10157</v>
      </c>
      <c r="D8917" s="265">
        <v>1.0</v>
      </c>
      <c r="E8917" s="3">
        <v>10090.0</v>
      </c>
      <c r="G8917" s="266">
        <v>43844.0</v>
      </c>
    </row>
    <row r="8918">
      <c r="A8918" s="217">
        <v>43845.447844131944</v>
      </c>
      <c r="B8918" s="3" t="s">
        <v>5092</v>
      </c>
      <c r="C8918" s="3" t="s">
        <v>6181</v>
      </c>
      <c r="D8918" s="265">
        <v>1.0</v>
      </c>
      <c r="E8918" s="3">
        <v>7690.0</v>
      </c>
      <c r="G8918" s="266">
        <v>43844.0</v>
      </c>
    </row>
    <row r="8919">
      <c r="A8919" s="217">
        <v>43845.44832365741</v>
      </c>
      <c r="B8919" s="3" t="s">
        <v>5092</v>
      </c>
      <c r="C8919" s="3" t="s">
        <v>10133</v>
      </c>
      <c r="D8919" s="265">
        <v>1.0</v>
      </c>
      <c r="E8919" s="3">
        <v>10090.0</v>
      </c>
      <c r="G8919" s="266">
        <v>43844.0</v>
      </c>
    </row>
    <row r="8920">
      <c r="A8920" s="217">
        <v>43845.44875369213</v>
      </c>
      <c r="B8920" s="3" t="s">
        <v>5092</v>
      </c>
      <c r="C8920" s="3" t="s">
        <v>1803</v>
      </c>
      <c r="D8920" s="265">
        <v>1.0</v>
      </c>
      <c r="E8920" s="3">
        <v>8290.0</v>
      </c>
      <c r="G8920" s="266">
        <v>43844.0</v>
      </c>
    </row>
    <row r="8921">
      <c r="A8921" s="217">
        <v>43845.44920180556</v>
      </c>
      <c r="B8921" s="3" t="s">
        <v>5092</v>
      </c>
      <c r="C8921" s="3" t="s">
        <v>1804</v>
      </c>
      <c r="D8921" s="265">
        <v>1.0</v>
      </c>
      <c r="E8921" s="3">
        <v>9490.0</v>
      </c>
      <c r="G8921" s="266">
        <v>43844.0</v>
      </c>
    </row>
    <row r="8922">
      <c r="A8922" s="217">
        <v>43845.449564525465</v>
      </c>
      <c r="B8922" s="3" t="s">
        <v>5092</v>
      </c>
      <c r="C8922" s="3" t="s">
        <v>1815</v>
      </c>
      <c r="D8922" s="265">
        <v>1.0</v>
      </c>
      <c r="E8922" s="3">
        <v>8890.0</v>
      </c>
      <c r="G8922" s="266">
        <v>43844.0</v>
      </c>
    </row>
    <row r="8923">
      <c r="A8923" s="217">
        <v>43845.45012180555</v>
      </c>
      <c r="B8923" s="3" t="s">
        <v>5092</v>
      </c>
      <c r="C8923" s="3" t="s">
        <v>6641</v>
      </c>
      <c r="D8923" s="265">
        <v>1.0</v>
      </c>
      <c r="E8923" s="3">
        <v>8290.0</v>
      </c>
      <c r="G8923" s="266">
        <v>43845.0</v>
      </c>
    </row>
    <row r="8924">
      <c r="A8924" s="217">
        <v>43845.45050958333</v>
      </c>
      <c r="B8924" s="3" t="s">
        <v>5092</v>
      </c>
      <c r="C8924" s="3" t="s">
        <v>1813</v>
      </c>
      <c r="D8924" s="265">
        <v>8.0</v>
      </c>
      <c r="E8924" s="3">
        <v>8890.0</v>
      </c>
      <c r="G8924" s="266">
        <v>43845.0</v>
      </c>
    </row>
    <row r="8925">
      <c r="A8925" s="217">
        <v>43845.45086515046</v>
      </c>
      <c r="B8925" s="3" t="s">
        <v>5092</v>
      </c>
      <c r="C8925" s="3" t="s">
        <v>5103</v>
      </c>
      <c r="D8925" s="265">
        <v>1.0</v>
      </c>
      <c r="E8925" s="3">
        <v>8190.0</v>
      </c>
      <c r="G8925" s="266">
        <v>43845.0</v>
      </c>
    </row>
    <row r="8926">
      <c r="A8926" s="217">
        <v>43845.45151857639</v>
      </c>
      <c r="B8926" s="3" t="s">
        <v>5092</v>
      </c>
      <c r="C8926" s="3" t="s">
        <v>1807</v>
      </c>
      <c r="D8926" s="265">
        <v>1.0</v>
      </c>
      <c r="E8926" s="3">
        <v>8890.0</v>
      </c>
      <c r="G8926" s="266">
        <v>43847.0</v>
      </c>
    </row>
    <row r="8927">
      <c r="A8927" s="217">
        <v>43845.45207210648</v>
      </c>
      <c r="B8927" s="3" t="s">
        <v>5092</v>
      </c>
      <c r="C8927" s="3" t="s">
        <v>6640</v>
      </c>
      <c r="D8927" s="265">
        <v>1.0</v>
      </c>
      <c r="E8927" s="3">
        <v>8290.0</v>
      </c>
      <c r="G8927" s="266">
        <v>43847.0</v>
      </c>
    </row>
    <row r="8928">
      <c r="A8928" s="217">
        <v>43845.452364502315</v>
      </c>
      <c r="B8928" s="3" t="s">
        <v>5092</v>
      </c>
      <c r="C8928" s="3" t="s">
        <v>1808</v>
      </c>
      <c r="D8928" s="265">
        <v>1.0</v>
      </c>
      <c r="E8928" s="3">
        <v>8290.0</v>
      </c>
      <c r="G8928" s="266">
        <v>43847.0</v>
      </c>
    </row>
    <row r="8929">
      <c r="A8929" s="217">
        <v>43845.45271408565</v>
      </c>
      <c r="B8929" s="3" t="s">
        <v>5092</v>
      </c>
      <c r="C8929" s="3" t="s">
        <v>1810</v>
      </c>
      <c r="D8929" s="265">
        <v>1.0</v>
      </c>
      <c r="E8929" s="3">
        <v>8890.0</v>
      </c>
      <c r="G8929" s="266">
        <v>43847.0</v>
      </c>
    </row>
    <row r="8930">
      <c r="A8930" s="217">
        <v>43845.45330971065</v>
      </c>
      <c r="B8930" s="3" t="s">
        <v>5092</v>
      </c>
      <c r="C8930" s="3" t="s">
        <v>7207</v>
      </c>
      <c r="D8930" s="265">
        <v>2.0</v>
      </c>
      <c r="E8930" s="3">
        <v>6390.0</v>
      </c>
      <c r="G8930" s="266">
        <v>43847.0</v>
      </c>
    </row>
    <row r="8931">
      <c r="A8931" s="217">
        <v>43845.45364204861</v>
      </c>
      <c r="B8931" s="3" t="s">
        <v>5092</v>
      </c>
      <c r="C8931" s="3" t="s">
        <v>1822</v>
      </c>
      <c r="D8931" s="265">
        <v>3.0</v>
      </c>
      <c r="E8931" s="3">
        <v>8890.0</v>
      </c>
      <c r="G8931" s="266">
        <v>43847.0</v>
      </c>
    </row>
    <row r="8932">
      <c r="A8932" s="217">
        <v>43845.454166724536</v>
      </c>
      <c r="B8932" s="3" t="s">
        <v>5092</v>
      </c>
      <c r="C8932" s="3" t="s">
        <v>1824</v>
      </c>
      <c r="D8932" s="265">
        <v>4.0</v>
      </c>
      <c r="E8932" s="3">
        <v>8890.0</v>
      </c>
      <c r="G8932" s="266">
        <v>43848.0</v>
      </c>
    </row>
    <row r="8933">
      <c r="A8933" s="217">
        <v>43845.454661446754</v>
      </c>
      <c r="B8933" s="3" t="s">
        <v>5092</v>
      </c>
      <c r="C8933" s="3" t="s">
        <v>5106</v>
      </c>
      <c r="D8933" s="265">
        <v>2.0</v>
      </c>
      <c r="E8933" s="3">
        <v>8890.0</v>
      </c>
      <c r="G8933" s="266">
        <v>43848.0</v>
      </c>
    </row>
    <row r="8934">
      <c r="A8934" s="217">
        <v>43845.45508266204</v>
      </c>
      <c r="B8934" s="3" t="s">
        <v>5092</v>
      </c>
      <c r="C8934" s="3" t="s">
        <v>1828</v>
      </c>
      <c r="D8934" s="265">
        <v>1.0</v>
      </c>
      <c r="E8934" s="3">
        <v>10090.0</v>
      </c>
      <c r="G8934" s="266">
        <v>43848.0</v>
      </c>
    </row>
    <row r="8935">
      <c r="A8935" s="217">
        <v>43845.45542734954</v>
      </c>
      <c r="B8935" s="3" t="s">
        <v>5092</v>
      </c>
      <c r="C8935" s="3" t="s">
        <v>1829</v>
      </c>
      <c r="D8935" s="265">
        <v>1.0</v>
      </c>
      <c r="E8935" s="3">
        <v>10090.0</v>
      </c>
      <c r="G8935" s="266">
        <v>43848.0</v>
      </c>
    </row>
    <row r="8936">
      <c r="A8936" s="217">
        <v>43845.45617983796</v>
      </c>
      <c r="B8936" s="3" t="s">
        <v>5092</v>
      </c>
      <c r="C8936" s="3" t="s">
        <v>6183</v>
      </c>
      <c r="D8936" s="265">
        <v>1.0</v>
      </c>
      <c r="E8936" s="3">
        <v>9490.0</v>
      </c>
      <c r="G8936" s="266">
        <v>43848.0</v>
      </c>
    </row>
    <row r="8937">
      <c r="A8937" s="217">
        <v>43845.45671974537</v>
      </c>
      <c r="B8937" s="3" t="s">
        <v>5092</v>
      </c>
      <c r="C8937" s="3" t="s">
        <v>1834</v>
      </c>
      <c r="D8937" s="265">
        <v>1.0</v>
      </c>
      <c r="E8937" s="3">
        <v>9490.0</v>
      </c>
      <c r="G8937" s="266">
        <v>43849.0</v>
      </c>
    </row>
    <row r="8938">
      <c r="A8938" s="217">
        <v>43845.45706037037</v>
      </c>
      <c r="B8938" s="3" t="s">
        <v>5092</v>
      </c>
      <c r="C8938" s="3" t="s">
        <v>5110</v>
      </c>
      <c r="D8938" s="265">
        <v>3.0</v>
      </c>
      <c r="E8938" s="3">
        <v>6990.0</v>
      </c>
      <c r="G8938" s="266">
        <v>43849.0</v>
      </c>
    </row>
    <row r="8939">
      <c r="A8939" s="217">
        <v>43845.457499282405</v>
      </c>
      <c r="B8939" s="3" t="s">
        <v>5092</v>
      </c>
      <c r="C8939" s="3" t="s">
        <v>1835</v>
      </c>
      <c r="D8939" s="265">
        <v>1.0</v>
      </c>
      <c r="E8939" s="3">
        <v>10090.0</v>
      </c>
      <c r="G8939" s="266">
        <v>43849.0</v>
      </c>
    </row>
    <row r="8940">
      <c r="A8940" s="217">
        <v>43845.47346756945</v>
      </c>
      <c r="B8940" s="3" t="s">
        <v>5092</v>
      </c>
      <c r="C8940" s="3" t="s">
        <v>1839</v>
      </c>
      <c r="D8940" s="265">
        <v>3.0</v>
      </c>
      <c r="E8940" s="3">
        <v>8890.0</v>
      </c>
      <c r="G8940" s="266">
        <v>43849.0</v>
      </c>
    </row>
    <row r="8941">
      <c r="A8941" s="217">
        <v>43845.47385403935</v>
      </c>
      <c r="B8941" s="3" t="s">
        <v>5092</v>
      </c>
      <c r="C8941" s="3" t="s">
        <v>1840</v>
      </c>
      <c r="D8941" s="265">
        <v>1.0</v>
      </c>
      <c r="E8941" s="3">
        <v>8890.0</v>
      </c>
      <c r="G8941" s="266">
        <v>43849.0</v>
      </c>
    </row>
    <row r="8942">
      <c r="A8942" s="217">
        <v>43845.47446005787</v>
      </c>
      <c r="B8942" s="3" t="s">
        <v>5092</v>
      </c>
      <c r="C8942" s="3" t="s">
        <v>1842</v>
      </c>
      <c r="D8942" s="265">
        <v>6.0</v>
      </c>
      <c r="E8942" s="3">
        <v>6990.0</v>
      </c>
      <c r="G8942" s="266">
        <v>43850.0</v>
      </c>
    </row>
    <row r="8943">
      <c r="A8943" s="217">
        <v>43845.474850081024</v>
      </c>
      <c r="B8943" s="3" t="s">
        <v>5092</v>
      </c>
      <c r="C8943" s="3" t="s">
        <v>1843</v>
      </c>
      <c r="D8943" s="265">
        <v>1.0</v>
      </c>
      <c r="E8943" s="3">
        <v>8890.0</v>
      </c>
      <c r="G8943" s="266">
        <v>43850.0</v>
      </c>
    </row>
    <row r="8944">
      <c r="A8944" s="217">
        <v>43845.475525601854</v>
      </c>
      <c r="B8944" s="3" t="s">
        <v>5092</v>
      </c>
      <c r="C8944" s="3" t="s">
        <v>1846</v>
      </c>
      <c r="D8944" s="265">
        <v>1.0</v>
      </c>
      <c r="E8944" s="3">
        <v>8890.0</v>
      </c>
      <c r="G8944" s="266">
        <v>43850.0</v>
      </c>
    </row>
    <row r="8945">
      <c r="A8945" s="217">
        <v>43845.47612262731</v>
      </c>
      <c r="B8945" s="3" t="s">
        <v>5092</v>
      </c>
      <c r="C8945" s="3" t="s">
        <v>5114</v>
      </c>
      <c r="D8945" s="265">
        <v>1.0</v>
      </c>
      <c r="E8945" s="3">
        <v>10690.0</v>
      </c>
      <c r="G8945" s="266">
        <v>43850.0</v>
      </c>
    </row>
    <row r="8946">
      <c r="A8946" s="217">
        <v>43845.47655266203</v>
      </c>
      <c r="B8946" s="3" t="s">
        <v>5092</v>
      </c>
      <c r="C8946" s="3" t="s">
        <v>1848</v>
      </c>
      <c r="D8946" s="265">
        <v>3.0</v>
      </c>
      <c r="E8946" s="3">
        <v>8890.0</v>
      </c>
      <c r="G8946" s="266">
        <v>43851.0</v>
      </c>
    </row>
    <row r="8947">
      <c r="A8947" s="217">
        <v>43845.47696997685</v>
      </c>
      <c r="B8947" s="3" t="s">
        <v>5092</v>
      </c>
      <c r="C8947" s="3" t="s">
        <v>9337</v>
      </c>
      <c r="D8947" s="265">
        <v>2.0</v>
      </c>
      <c r="E8947" s="3">
        <v>8890.0</v>
      </c>
      <c r="G8947" s="266">
        <v>43851.0</v>
      </c>
    </row>
    <row r="8948">
      <c r="A8948" s="217">
        <v>43845.477339097226</v>
      </c>
      <c r="B8948" s="3" t="s">
        <v>5092</v>
      </c>
      <c r="C8948" s="3" t="s">
        <v>1850</v>
      </c>
      <c r="D8948" s="265">
        <v>1.0</v>
      </c>
      <c r="E8948" s="3">
        <v>10090.0</v>
      </c>
      <c r="G8948" s="266">
        <v>43851.0</v>
      </c>
    </row>
    <row r="8949">
      <c r="A8949" s="217">
        <v>43845.480956203704</v>
      </c>
      <c r="B8949" s="3" t="s">
        <v>5092</v>
      </c>
      <c r="C8949" s="3" t="s">
        <v>1851</v>
      </c>
      <c r="D8949" s="265">
        <v>2.0</v>
      </c>
      <c r="E8949" s="3">
        <v>10090.0</v>
      </c>
      <c r="G8949" s="266">
        <v>43851.0</v>
      </c>
    </row>
    <row r="8950">
      <c r="A8950" s="217">
        <v>43845.48127143519</v>
      </c>
      <c r="B8950" s="3" t="s">
        <v>5092</v>
      </c>
      <c r="C8950" s="3" t="s">
        <v>1855</v>
      </c>
      <c r="D8950" s="265">
        <v>1.0</v>
      </c>
      <c r="E8950" s="3">
        <v>6890.0</v>
      </c>
      <c r="G8950" s="266">
        <v>43851.0</v>
      </c>
    </row>
    <row r="8951">
      <c r="A8951" s="217">
        <v>43845.482192372685</v>
      </c>
      <c r="B8951" s="3" t="s">
        <v>5092</v>
      </c>
      <c r="C8951" s="3" t="s">
        <v>6646</v>
      </c>
      <c r="D8951" s="265">
        <v>2.0</v>
      </c>
      <c r="E8951" s="3">
        <v>6390.0</v>
      </c>
      <c r="G8951" s="266">
        <v>43852.0</v>
      </c>
    </row>
    <row r="8952">
      <c r="A8952" s="217">
        <v>43845.48273508102</v>
      </c>
      <c r="B8952" s="3" t="s">
        <v>5092</v>
      </c>
      <c r="C8952" s="3" t="s">
        <v>1854</v>
      </c>
      <c r="D8952" s="265">
        <v>1.0</v>
      </c>
      <c r="E8952" s="3">
        <v>6990.0</v>
      </c>
      <c r="G8952" s="266">
        <v>43852.0</v>
      </c>
    </row>
    <row r="8953">
      <c r="A8953" s="217">
        <v>43845.483232638886</v>
      </c>
      <c r="B8953" s="3" t="s">
        <v>5092</v>
      </c>
      <c r="C8953" s="3" t="s">
        <v>5136</v>
      </c>
      <c r="D8953" s="265">
        <v>2.0</v>
      </c>
      <c r="E8953" s="3">
        <v>9490.0</v>
      </c>
      <c r="G8953" s="266">
        <v>43852.0</v>
      </c>
    </row>
    <row r="8954">
      <c r="A8954" s="217">
        <v>43845.483610219904</v>
      </c>
      <c r="B8954" s="3" t="s">
        <v>5092</v>
      </c>
      <c r="C8954" s="3" t="s">
        <v>5116</v>
      </c>
      <c r="D8954" s="265">
        <v>3.0</v>
      </c>
      <c r="E8954" s="3">
        <v>9490.0</v>
      </c>
      <c r="G8954" s="266">
        <v>43852.0</v>
      </c>
    </row>
    <row r="8955">
      <c r="A8955" s="217">
        <v>43845.484119120374</v>
      </c>
      <c r="B8955" s="3" t="s">
        <v>5092</v>
      </c>
      <c r="C8955" s="3" t="s">
        <v>7208</v>
      </c>
      <c r="D8955" s="265">
        <v>1.0</v>
      </c>
      <c r="E8955" s="3">
        <v>6990.0</v>
      </c>
      <c r="G8955" s="266">
        <v>43853.0</v>
      </c>
    </row>
    <row r="8956">
      <c r="A8956" s="217">
        <v>43845.48446115741</v>
      </c>
      <c r="B8956" s="3" t="s">
        <v>5092</v>
      </c>
      <c r="C8956" s="3" t="s">
        <v>1856</v>
      </c>
      <c r="D8956" s="265">
        <v>1.0</v>
      </c>
      <c r="E8956" s="3">
        <v>9490.0</v>
      </c>
      <c r="G8956" s="266">
        <v>43853.0</v>
      </c>
    </row>
    <row r="8957">
      <c r="A8957" s="217">
        <v>43845.48506784722</v>
      </c>
      <c r="B8957" s="3" t="s">
        <v>5092</v>
      </c>
      <c r="C8957" s="3" t="s">
        <v>5128</v>
      </c>
      <c r="D8957" s="265">
        <v>1.0</v>
      </c>
      <c r="E8957" s="3">
        <v>7490.0</v>
      </c>
      <c r="G8957" s="266">
        <v>43853.0</v>
      </c>
    </row>
    <row r="8958">
      <c r="A8958" s="217">
        <v>43845.48557616898</v>
      </c>
      <c r="B8958" s="3" t="s">
        <v>5092</v>
      </c>
      <c r="C8958" s="3" t="s">
        <v>1859</v>
      </c>
      <c r="D8958" s="265">
        <v>1.0</v>
      </c>
      <c r="E8958" s="3">
        <v>8890.0</v>
      </c>
      <c r="G8958" s="266">
        <v>43853.0</v>
      </c>
    </row>
    <row r="8959">
      <c r="A8959" s="217">
        <v>43845.48604297454</v>
      </c>
      <c r="B8959" s="3" t="s">
        <v>5092</v>
      </c>
      <c r="C8959" s="3" t="s">
        <v>5130</v>
      </c>
      <c r="D8959" s="265">
        <v>1.0</v>
      </c>
      <c r="E8959" s="3">
        <v>7590.0</v>
      </c>
      <c r="G8959" s="266">
        <v>43853.0</v>
      </c>
    </row>
    <row r="8960">
      <c r="A8960" s="217">
        <v>43845.49567712963</v>
      </c>
      <c r="B8960" s="3" t="s">
        <v>5092</v>
      </c>
      <c r="C8960" s="3" t="s">
        <v>6188</v>
      </c>
      <c r="D8960" s="265">
        <v>2.0</v>
      </c>
      <c r="E8960" s="3">
        <v>8490.0</v>
      </c>
      <c r="G8960" s="266">
        <v>43853.0</v>
      </c>
    </row>
    <row r="8961">
      <c r="A8961" s="217">
        <v>43845.49622726852</v>
      </c>
      <c r="B8961" s="3" t="s">
        <v>5092</v>
      </c>
      <c r="C8961" s="3" t="s">
        <v>6190</v>
      </c>
      <c r="D8961" s="265">
        <v>1.0</v>
      </c>
      <c r="E8961" s="3">
        <v>9290.0</v>
      </c>
      <c r="G8961" s="266">
        <v>43853.0</v>
      </c>
    </row>
    <row r="8962">
      <c r="A8962" s="217">
        <v>43845.49674268518</v>
      </c>
      <c r="B8962" s="3" t="s">
        <v>5092</v>
      </c>
      <c r="C8962" s="3" t="s">
        <v>1919</v>
      </c>
      <c r="D8962" s="265">
        <v>1.0</v>
      </c>
      <c r="E8962" s="3">
        <v>3390.0</v>
      </c>
      <c r="G8962" s="266">
        <v>43854.0</v>
      </c>
    </row>
    <row r="8963">
      <c r="A8963" s="217">
        <v>43845.497346724536</v>
      </c>
      <c r="B8963" s="3" t="s">
        <v>5092</v>
      </c>
      <c r="C8963" s="3" t="s">
        <v>1915</v>
      </c>
      <c r="D8963" s="265">
        <v>5.0</v>
      </c>
      <c r="E8963" s="3">
        <v>3390.0</v>
      </c>
      <c r="G8963" s="266">
        <v>43854.0</v>
      </c>
    </row>
    <row r="8964">
      <c r="A8964" s="217">
        <v>43845.49823732639</v>
      </c>
      <c r="B8964" s="3" t="s">
        <v>5092</v>
      </c>
      <c r="C8964" s="3" t="s">
        <v>9391</v>
      </c>
      <c r="D8964" s="265">
        <v>1.0</v>
      </c>
      <c r="E8964" s="3">
        <v>6260.0</v>
      </c>
      <c r="G8964" s="266">
        <v>43854.0</v>
      </c>
    </row>
    <row r="8965">
      <c r="A8965" s="217">
        <v>43845.49865734954</v>
      </c>
      <c r="B8965" s="3" t="s">
        <v>5092</v>
      </c>
      <c r="C8965" s="3" t="s">
        <v>9392</v>
      </c>
      <c r="D8965" s="265">
        <v>1.0</v>
      </c>
      <c r="E8965" s="3">
        <v>6260.0</v>
      </c>
      <c r="G8965" s="266">
        <v>43854.0</v>
      </c>
    </row>
    <row r="8966">
      <c r="A8966" s="217">
        <v>43845.49925414352</v>
      </c>
      <c r="B8966" s="3" t="s">
        <v>5092</v>
      </c>
      <c r="C8966" s="3" t="s">
        <v>9088</v>
      </c>
      <c r="D8966" s="265">
        <v>1.0</v>
      </c>
      <c r="G8966" s="266">
        <v>43854.0</v>
      </c>
    </row>
    <row r="8967">
      <c r="A8967" s="217">
        <v>43845.49984020833</v>
      </c>
      <c r="B8967" s="3" t="s">
        <v>5092</v>
      </c>
      <c r="C8967" s="3" t="s">
        <v>9087</v>
      </c>
      <c r="D8967" s="265">
        <v>2.0</v>
      </c>
      <c r="G8967" s="266">
        <v>43854.0</v>
      </c>
    </row>
    <row r="8968">
      <c r="A8968" s="217">
        <v>43845.500420625</v>
      </c>
      <c r="B8968" s="3" t="s">
        <v>5092</v>
      </c>
      <c r="C8968" s="3" t="s">
        <v>9085</v>
      </c>
      <c r="D8968" s="265">
        <v>1.0</v>
      </c>
      <c r="G8968" s="266">
        <v>43854.0</v>
      </c>
    </row>
    <row r="8969">
      <c r="A8969" s="217">
        <v>43845.50070454861</v>
      </c>
      <c r="B8969" s="3" t="s">
        <v>5092</v>
      </c>
      <c r="C8969" s="3" t="s">
        <v>9393</v>
      </c>
      <c r="D8969" s="265">
        <v>1.0</v>
      </c>
      <c r="G8969" s="266">
        <v>43854.0</v>
      </c>
    </row>
    <row r="8970">
      <c r="A8970" s="217">
        <v>43845.50098710648</v>
      </c>
      <c r="B8970" s="3" t="s">
        <v>5092</v>
      </c>
      <c r="C8970" s="3" t="s">
        <v>9394</v>
      </c>
      <c r="D8970" s="265">
        <v>1.0</v>
      </c>
      <c r="G8970" s="266">
        <v>43854.0</v>
      </c>
    </row>
    <row r="8971">
      <c r="A8971" s="217">
        <v>43845.50130583333</v>
      </c>
      <c r="B8971" s="3" t="s">
        <v>5092</v>
      </c>
      <c r="C8971" s="3" t="s">
        <v>9395</v>
      </c>
      <c r="D8971" s="265">
        <v>1.0</v>
      </c>
      <c r="G8971" s="266">
        <v>43854.0</v>
      </c>
    </row>
    <row r="8972">
      <c r="A8972" s="217">
        <v>43845.501825694446</v>
      </c>
      <c r="B8972" s="3" t="s">
        <v>5092</v>
      </c>
      <c r="C8972" s="3" t="s">
        <v>2040</v>
      </c>
      <c r="D8972" s="265">
        <v>1.0</v>
      </c>
      <c r="G8972" s="266">
        <v>43854.0</v>
      </c>
    </row>
    <row r="8973">
      <c r="A8973" s="217">
        <v>43845.502100046295</v>
      </c>
      <c r="B8973" s="3" t="s">
        <v>5092</v>
      </c>
      <c r="C8973" s="3" t="s">
        <v>2042</v>
      </c>
      <c r="D8973" s="265">
        <v>1.0</v>
      </c>
      <c r="G8973" s="266">
        <v>43854.0</v>
      </c>
    </row>
    <row r="8974">
      <c r="A8974" s="217">
        <v>43845.50240996528</v>
      </c>
      <c r="B8974" s="3" t="s">
        <v>5092</v>
      </c>
      <c r="C8974" s="3" t="s">
        <v>9396</v>
      </c>
      <c r="D8974" s="265">
        <v>1.0</v>
      </c>
      <c r="G8974" s="266">
        <v>43854.0</v>
      </c>
    </row>
    <row r="8975">
      <c r="A8975" s="217">
        <v>43845.502736435184</v>
      </c>
      <c r="B8975" s="3" t="s">
        <v>5092</v>
      </c>
      <c r="C8975" s="3" t="s">
        <v>9376</v>
      </c>
      <c r="D8975" s="265">
        <v>1.0</v>
      </c>
      <c r="G8975" s="266">
        <v>43854.0</v>
      </c>
    </row>
    <row r="8976">
      <c r="A8976" s="217">
        <v>43845.51227349537</v>
      </c>
      <c r="B8976" s="3" t="s">
        <v>5092</v>
      </c>
      <c r="C8976" s="3" t="s">
        <v>2206</v>
      </c>
      <c r="D8976" s="265">
        <v>1.0</v>
      </c>
      <c r="E8976" s="3">
        <v>5290.0</v>
      </c>
      <c r="G8976" s="266">
        <v>43854.0</v>
      </c>
    </row>
    <row r="8977">
      <c r="A8977" s="217">
        <v>43845.512544004625</v>
      </c>
      <c r="B8977" s="3" t="s">
        <v>5092</v>
      </c>
      <c r="C8977" s="3" t="s">
        <v>6339</v>
      </c>
      <c r="D8977" s="265">
        <v>1.0</v>
      </c>
      <c r="E8977" s="3">
        <v>3790.0</v>
      </c>
      <c r="G8977" s="266">
        <v>43854.0</v>
      </c>
    </row>
    <row r="8978">
      <c r="A8978" s="217">
        <v>43845.51307072917</v>
      </c>
      <c r="B8978" s="3" t="s">
        <v>5092</v>
      </c>
      <c r="C8978" s="3" t="s">
        <v>9707</v>
      </c>
      <c r="D8978" s="265">
        <v>2.0</v>
      </c>
      <c r="E8978" s="3">
        <v>3890.0</v>
      </c>
      <c r="G8978" s="266">
        <v>43854.0</v>
      </c>
    </row>
    <row r="8979">
      <c r="A8979" s="217">
        <v>43845.51335460648</v>
      </c>
      <c r="B8979" s="3" t="s">
        <v>5092</v>
      </c>
      <c r="C8979" s="3" t="s">
        <v>5533</v>
      </c>
      <c r="D8979" s="265">
        <v>1.0</v>
      </c>
      <c r="E8979" s="3">
        <v>6090.0</v>
      </c>
      <c r="G8979" s="266">
        <v>43854.0</v>
      </c>
    </row>
    <row r="8980">
      <c r="A8980" s="217">
        <v>43845.51389818287</v>
      </c>
      <c r="B8980" s="3" t="s">
        <v>5092</v>
      </c>
      <c r="C8980" s="3" t="s">
        <v>6194</v>
      </c>
      <c r="D8980" s="265">
        <v>1.0</v>
      </c>
      <c r="E8980" s="3">
        <v>9490.0</v>
      </c>
      <c r="G8980" s="266">
        <v>43855.0</v>
      </c>
    </row>
    <row r="8981">
      <c r="A8981" s="217">
        <v>43845.514230925924</v>
      </c>
      <c r="B8981" s="3" t="s">
        <v>5092</v>
      </c>
      <c r="C8981" s="3" t="s">
        <v>1892</v>
      </c>
      <c r="D8981" s="265">
        <v>1.0</v>
      </c>
      <c r="E8981" s="3">
        <v>5790.0</v>
      </c>
      <c r="G8981" s="266">
        <v>43855.0</v>
      </c>
    </row>
    <row r="8982">
      <c r="A8982" s="217">
        <v>43845.51451966436</v>
      </c>
      <c r="B8982" s="3" t="s">
        <v>5092</v>
      </c>
      <c r="C8982" s="3" t="s">
        <v>1893</v>
      </c>
      <c r="D8982" s="265">
        <v>1.0</v>
      </c>
      <c r="E8982" s="3">
        <v>9490.0</v>
      </c>
      <c r="G8982" s="266">
        <v>43855.0</v>
      </c>
    </row>
    <row r="8983">
      <c r="A8983" s="217">
        <v>43845.51484012732</v>
      </c>
      <c r="B8983" s="3" t="s">
        <v>5092</v>
      </c>
      <c r="C8983" s="3" t="s">
        <v>9389</v>
      </c>
      <c r="D8983" s="265">
        <v>1.0</v>
      </c>
      <c r="E8983" s="3">
        <v>8190.0</v>
      </c>
      <c r="G8983" s="266">
        <v>43855.0</v>
      </c>
    </row>
    <row r="8984">
      <c r="A8984" s="217">
        <v>43845.5152211574</v>
      </c>
      <c r="B8984" s="3" t="s">
        <v>5092</v>
      </c>
      <c r="C8984" s="3" t="s">
        <v>2051</v>
      </c>
      <c r="D8984" s="265">
        <v>1.0</v>
      </c>
      <c r="G8984" s="266">
        <v>43855.0</v>
      </c>
    </row>
    <row r="8985">
      <c r="A8985" s="217">
        <v>43845.51572848379</v>
      </c>
      <c r="B8985" s="3" t="s">
        <v>5092</v>
      </c>
      <c r="C8985" s="3" t="s">
        <v>9378</v>
      </c>
      <c r="D8985" s="265">
        <v>1.0</v>
      </c>
      <c r="G8985" s="266">
        <v>43855.0</v>
      </c>
    </row>
    <row r="8986">
      <c r="A8986" s="217">
        <v>43845.516027743055</v>
      </c>
      <c r="B8986" s="3" t="s">
        <v>5092</v>
      </c>
      <c r="C8986" s="3" t="s">
        <v>2052</v>
      </c>
      <c r="D8986" s="265">
        <v>1.0</v>
      </c>
      <c r="G8986" s="266">
        <v>43855.0</v>
      </c>
    </row>
    <row r="8987">
      <c r="A8987" s="217">
        <v>43845.516302662036</v>
      </c>
      <c r="B8987" s="3" t="s">
        <v>5092</v>
      </c>
      <c r="C8987" s="3" t="s">
        <v>9379</v>
      </c>
      <c r="D8987" s="265">
        <v>1.0</v>
      </c>
      <c r="G8987" s="266">
        <v>43855.0</v>
      </c>
    </row>
    <row r="8988">
      <c r="A8988" s="217">
        <v>43845.51670446759</v>
      </c>
      <c r="B8988" s="3" t="s">
        <v>5092</v>
      </c>
      <c r="C8988" s="3" t="s">
        <v>9381</v>
      </c>
      <c r="D8988" s="265">
        <v>1.0</v>
      </c>
      <c r="G8988" s="266">
        <v>43855.0</v>
      </c>
    </row>
    <row r="8989">
      <c r="A8989" s="217">
        <v>43845.51705674769</v>
      </c>
      <c r="B8989" s="3" t="s">
        <v>5092</v>
      </c>
      <c r="C8989" s="3" t="s">
        <v>2067</v>
      </c>
      <c r="D8989" s="265">
        <v>1.0</v>
      </c>
      <c r="E8989" s="3">
        <v>6900.0</v>
      </c>
      <c r="G8989" s="266">
        <v>43855.0</v>
      </c>
    </row>
    <row r="8990">
      <c r="A8990" s="217">
        <v>43845.51741760416</v>
      </c>
      <c r="B8990" s="3" t="s">
        <v>5092</v>
      </c>
      <c r="C8990" s="3" t="s">
        <v>9382</v>
      </c>
      <c r="D8990" s="265">
        <v>1.0</v>
      </c>
      <c r="G8990" s="266">
        <v>43855.0</v>
      </c>
    </row>
    <row r="8991">
      <c r="A8991" s="217">
        <v>43845.51779582176</v>
      </c>
      <c r="B8991" s="3" t="s">
        <v>5092</v>
      </c>
      <c r="C8991" s="3" t="s">
        <v>9383</v>
      </c>
      <c r="D8991" s="265">
        <v>1.0</v>
      </c>
      <c r="G8991" s="266">
        <v>43855.0</v>
      </c>
    </row>
    <row r="8992">
      <c r="A8992" s="217">
        <v>43845.51813304398</v>
      </c>
      <c r="B8992" s="3" t="s">
        <v>5092</v>
      </c>
      <c r="C8992" s="3" t="s">
        <v>9449</v>
      </c>
      <c r="D8992" s="265">
        <v>1.0</v>
      </c>
      <c r="E8992" s="3">
        <v>6250.0</v>
      </c>
      <c r="G8992" s="266">
        <v>43855.0</v>
      </c>
    </row>
    <row r="8993">
      <c r="A8993" s="217">
        <v>43845.518505115746</v>
      </c>
      <c r="B8993" s="3" t="s">
        <v>5092</v>
      </c>
      <c r="C8993" s="3" t="s">
        <v>9384</v>
      </c>
      <c r="D8993" s="265">
        <v>1.0</v>
      </c>
      <c r="G8993" s="266">
        <v>43855.0</v>
      </c>
    </row>
    <row r="8994">
      <c r="A8994" s="217">
        <v>43845.51881954861</v>
      </c>
      <c r="B8994" s="3" t="s">
        <v>5092</v>
      </c>
      <c r="C8994" s="3" t="s">
        <v>9364</v>
      </c>
      <c r="D8994" s="265">
        <v>1.0</v>
      </c>
      <c r="G8994" s="266">
        <v>43855.0</v>
      </c>
    </row>
    <row r="8995">
      <c r="A8995" s="217">
        <v>43845.59104076389</v>
      </c>
      <c r="B8995" s="3" t="s">
        <v>5092</v>
      </c>
      <c r="C8995" s="3" t="s">
        <v>9367</v>
      </c>
      <c r="D8995" s="265">
        <v>1.0</v>
      </c>
      <c r="G8995" s="266">
        <v>43857.0</v>
      </c>
    </row>
    <row r="8996">
      <c r="A8996" s="217">
        <v>43845.59133402778</v>
      </c>
      <c r="B8996" s="3" t="s">
        <v>5092</v>
      </c>
      <c r="C8996" s="3" t="s">
        <v>9368</v>
      </c>
      <c r="D8996" s="265">
        <v>1.0</v>
      </c>
      <c r="G8996" s="266">
        <v>43857.0</v>
      </c>
    </row>
    <row r="8997">
      <c r="A8997" s="217">
        <v>43845.591703252314</v>
      </c>
      <c r="B8997" s="3" t="s">
        <v>5092</v>
      </c>
      <c r="C8997" s="3" t="s">
        <v>2074</v>
      </c>
      <c r="D8997" s="265">
        <v>2.0</v>
      </c>
      <c r="G8997" s="266">
        <v>43857.0</v>
      </c>
    </row>
    <row r="8998">
      <c r="A8998" s="217">
        <v>43845.592003240745</v>
      </c>
      <c r="B8998" s="3" t="s">
        <v>5092</v>
      </c>
      <c r="C8998" s="3" t="s">
        <v>2081</v>
      </c>
      <c r="D8998" s="265">
        <v>1.0</v>
      </c>
      <c r="G8998" s="266">
        <v>43857.0</v>
      </c>
    </row>
    <row r="8999">
      <c r="A8999" s="217">
        <v>43845.59234909722</v>
      </c>
      <c r="B8999" s="3" t="s">
        <v>5092</v>
      </c>
      <c r="C8999" s="3" t="s">
        <v>9405</v>
      </c>
      <c r="D8999" s="265">
        <v>2.0</v>
      </c>
      <c r="E8999" s="3">
        <v>8000.0</v>
      </c>
      <c r="G8999" s="266">
        <v>43857.0</v>
      </c>
    </row>
    <row r="9000">
      <c r="A9000" s="217">
        <v>43845.59267357639</v>
      </c>
      <c r="B9000" s="3" t="s">
        <v>5092</v>
      </c>
      <c r="C9000" s="3" t="s">
        <v>9406</v>
      </c>
      <c r="D9000" s="265">
        <v>1.0</v>
      </c>
      <c r="G9000" s="266">
        <v>43857.0</v>
      </c>
    </row>
    <row r="9001">
      <c r="A9001" s="217">
        <v>43845.59296015046</v>
      </c>
      <c r="B9001" s="3" t="s">
        <v>5092</v>
      </c>
      <c r="C9001" s="3" t="s">
        <v>2239</v>
      </c>
      <c r="D9001" s="265">
        <v>1.0</v>
      </c>
      <c r="E9001" s="3">
        <v>7190.0</v>
      </c>
      <c r="G9001" s="266">
        <v>43857.0</v>
      </c>
    </row>
    <row r="9002">
      <c r="A9002" s="217">
        <v>43845.59325554398</v>
      </c>
      <c r="B9002" s="3" t="s">
        <v>5092</v>
      </c>
      <c r="C9002" s="3" t="s">
        <v>2269</v>
      </c>
      <c r="D9002" s="265">
        <v>1.0</v>
      </c>
      <c r="E9002" s="3">
        <v>6190.0</v>
      </c>
      <c r="G9002" s="266">
        <v>43857.0</v>
      </c>
    </row>
    <row r="9003">
      <c r="A9003" s="217">
        <v>43845.76718592593</v>
      </c>
      <c r="B9003" s="3" t="s">
        <v>5092</v>
      </c>
      <c r="C9003" s="3" t="s">
        <v>10169</v>
      </c>
      <c r="D9003" s="265">
        <v>1.0</v>
      </c>
      <c r="E9003" s="3">
        <v>9490.0</v>
      </c>
      <c r="G9003" s="266">
        <v>43837.0</v>
      </c>
    </row>
    <row r="9004">
      <c r="A9004" s="217">
        <v>43845.76778100694</v>
      </c>
      <c r="B9004" s="3" t="s">
        <v>5092</v>
      </c>
      <c r="C9004" s="3" t="s">
        <v>1860</v>
      </c>
      <c r="D9004" s="265">
        <v>1.0</v>
      </c>
      <c r="E9004" s="3">
        <v>8890.0</v>
      </c>
      <c r="G9004" s="266">
        <v>43837.0</v>
      </c>
    </row>
    <row r="9005">
      <c r="A9005" s="217">
        <v>43845.77036303241</v>
      </c>
      <c r="B9005" s="3" t="s">
        <v>5092</v>
      </c>
      <c r="C9005" s="3" t="s">
        <v>10171</v>
      </c>
      <c r="D9005" s="265">
        <v>1.0</v>
      </c>
      <c r="G9005" s="266">
        <v>43830.0</v>
      </c>
    </row>
    <row r="9006">
      <c r="A9006" s="217">
        <v>43845.81506650463</v>
      </c>
      <c r="B9006" s="3" t="s">
        <v>5092</v>
      </c>
      <c r="C9006" s="3" t="s">
        <v>10172</v>
      </c>
      <c r="D9006" s="265">
        <v>1.0</v>
      </c>
      <c r="E9006" s="3">
        <v>1250.0</v>
      </c>
      <c r="G9006" s="266">
        <v>43827.0</v>
      </c>
    </row>
    <row r="9007">
      <c r="A9007" s="217">
        <v>43845.815677060185</v>
      </c>
      <c r="B9007" s="3" t="s">
        <v>5092</v>
      </c>
      <c r="C9007" s="3" t="s">
        <v>10175</v>
      </c>
      <c r="D9007" s="265">
        <v>1.0</v>
      </c>
      <c r="E9007" s="3">
        <v>1250.0</v>
      </c>
      <c r="G9007" s="266">
        <v>43827.0</v>
      </c>
    </row>
    <row r="9008">
      <c r="A9008" s="217">
        <v>43845.81614886574</v>
      </c>
      <c r="B9008" s="3" t="s">
        <v>5092</v>
      </c>
      <c r="C9008" s="3" t="s">
        <v>10176</v>
      </c>
      <c r="D9008" s="265">
        <v>1.0</v>
      </c>
      <c r="E9008" s="3">
        <v>1250.0</v>
      </c>
      <c r="G9008" s="266">
        <v>43827.0</v>
      </c>
    </row>
    <row r="9009">
      <c r="A9009" s="217">
        <v>43845.81768163195</v>
      </c>
      <c r="B9009" s="3" t="s">
        <v>5092</v>
      </c>
      <c r="C9009" s="3" t="s">
        <v>10177</v>
      </c>
      <c r="D9009" s="265">
        <v>1.0</v>
      </c>
      <c r="E9009" s="3">
        <v>1250.0</v>
      </c>
      <c r="G9009" s="266">
        <v>43827.0</v>
      </c>
    </row>
    <row r="9010">
      <c r="A9010" s="217">
        <v>43846.43309673612</v>
      </c>
      <c r="B9010" s="3" t="s">
        <v>5092</v>
      </c>
      <c r="C9010" s="3" t="s">
        <v>10178</v>
      </c>
      <c r="D9010" s="265">
        <v>1.0</v>
      </c>
      <c r="E9010" s="3">
        <v>1250.0</v>
      </c>
      <c r="G9010" s="266">
        <v>43827.0</v>
      </c>
    </row>
    <row r="9011">
      <c r="A9011" s="217">
        <v>43846.43364131944</v>
      </c>
      <c r="B9011" s="3" t="s">
        <v>5092</v>
      </c>
      <c r="C9011" s="3" t="s">
        <v>10179</v>
      </c>
      <c r="D9011" s="265">
        <v>1.0</v>
      </c>
      <c r="E9011" s="3">
        <v>1250.0</v>
      </c>
      <c r="G9011" s="266">
        <v>43827.0</v>
      </c>
    </row>
    <row r="9012">
      <c r="A9012" s="217">
        <v>43846.43426381944</v>
      </c>
      <c r="B9012" s="3" t="s">
        <v>5092</v>
      </c>
      <c r="C9012" s="3" t="s">
        <v>10180</v>
      </c>
      <c r="D9012" s="265">
        <v>1.0</v>
      </c>
      <c r="E9012" s="3">
        <v>1250.0</v>
      </c>
      <c r="G9012" s="266">
        <v>43827.0</v>
      </c>
    </row>
    <row r="9013">
      <c r="A9013" s="217">
        <v>43846.43485837963</v>
      </c>
      <c r="B9013" s="3" t="s">
        <v>5092</v>
      </c>
      <c r="C9013" s="3" t="s">
        <v>10181</v>
      </c>
      <c r="D9013" s="265">
        <v>1.0</v>
      </c>
      <c r="E9013" s="3">
        <v>1250.0</v>
      </c>
      <c r="G9013" s="266">
        <v>43827.0</v>
      </c>
    </row>
    <row r="9014">
      <c r="A9014" s="217">
        <v>43846.435908900465</v>
      </c>
      <c r="B9014" s="3" t="s">
        <v>5092</v>
      </c>
      <c r="C9014" s="3" t="s">
        <v>10182</v>
      </c>
      <c r="D9014" s="265">
        <v>1.0</v>
      </c>
      <c r="E9014" s="3">
        <v>1250.0</v>
      </c>
      <c r="G9014" s="266">
        <v>43827.0</v>
      </c>
    </row>
    <row r="9015">
      <c r="A9015" s="217">
        <v>43846.43638759259</v>
      </c>
      <c r="B9015" s="3" t="s">
        <v>5092</v>
      </c>
      <c r="C9015" s="3" t="s">
        <v>10183</v>
      </c>
      <c r="D9015" s="265">
        <v>1.0</v>
      </c>
      <c r="E9015" s="3">
        <v>1250.0</v>
      </c>
      <c r="G9015" s="266">
        <v>43827.0</v>
      </c>
    </row>
    <row r="9016">
      <c r="A9016" s="217">
        <v>43846.43691296296</v>
      </c>
      <c r="B9016" s="3" t="s">
        <v>5092</v>
      </c>
      <c r="C9016" s="3" t="s">
        <v>10184</v>
      </c>
      <c r="D9016" s="265">
        <v>1.0</v>
      </c>
      <c r="E9016" s="3">
        <v>1250.0</v>
      </c>
      <c r="G9016" s="266">
        <v>43827.0</v>
      </c>
    </row>
    <row r="9017">
      <c r="A9017" s="217">
        <v>43846.437454375</v>
      </c>
      <c r="B9017" s="3" t="s">
        <v>5092</v>
      </c>
      <c r="C9017" s="3" t="s">
        <v>10185</v>
      </c>
      <c r="D9017" s="265">
        <v>1.0</v>
      </c>
      <c r="E9017" s="3">
        <v>1250.0</v>
      </c>
      <c r="G9017" s="266">
        <v>43827.0</v>
      </c>
    </row>
    <row r="9018">
      <c r="A9018" s="217">
        <v>43846.43812128472</v>
      </c>
      <c r="B9018" s="3" t="s">
        <v>5092</v>
      </c>
      <c r="C9018" s="3" t="s">
        <v>10186</v>
      </c>
      <c r="D9018" s="265">
        <v>1.0</v>
      </c>
      <c r="E9018" s="3">
        <v>1250.0</v>
      </c>
      <c r="G9018" s="266">
        <v>43827.0</v>
      </c>
    </row>
    <row r="9019">
      <c r="A9019" s="217">
        <v>43846.43885888889</v>
      </c>
      <c r="B9019" s="3" t="s">
        <v>5092</v>
      </c>
      <c r="C9019" s="3" t="s">
        <v>10187</v>
      </c>
      <c r="D9019" s="265">
        <v>1.0</v>
      </c>
      <c r="E9019" s="3">
        <v>1250.0</v>
      </c>
      <c r="G9019" s="266">
        <v>43827.0</v>
      </c>
    </row>
    <row r="9020">
      <c r="A9020" s="217">
        <v>43846.439436863424</v>
      </c>
      <c r="B9020" s="3" t="s">
        <v>5092</v>
      </c>
      <c r="C9020" s="3" t="s">
        <v>10188</v>
      </c>
      <c r="D9020" s="265">
        <v>1.0</v>
      </c>
      <c r="E9020" s="3">
        <v>1250.0</v>
      </c>
      <c r="G9020" s="266">
        <v>43827.0</v>
      </c>
    </row>
    <row r="9021">
      <c r="A9021" s="217">
        <v>43846.440657060186</v>
      </c>
      <c r="B9021" s="3" t="s">
        <v>5092</v>
      </c>
      <c r="C9021" s="3" t="s">
        <v>10189</v>
      </c>
      <c r="D9021" s="265">
        <v>1.0</v>
      </c>
      <c r="E9021" s="3">
        <v>1300.0</v>
      </c>
      <c r="G9021" s="266">
        <v>43827.0</v>
      </c>
    </row>
    <row r="9022">
      <c r="A9022" s="217">
        <v>43846.44234409722</v>
      </c>
      <c r="B9022" s="3" t="s">
        <v>5092</v>
      </c>
      <c r="C9022" s="3" t="s">
        <v>10190</v>
      </c>
      <c r="D9022" s="265">
        <v>1.0</v>
      </c>
      <c r="E9022" s="3">
        <v>1300.0</v>
      </c>
      <c r="G9022" s="266">
        <v>43827.0</v>
      </c>
    </row>
    <row r="9023">
      <c r="A9023" s="217">
        <v>43846.442892824074</v>
      </c>
      <c r="B9023" s="3" t="s">
        <v>5092</v>
      </c>
      <c r="C9023" s="3" t="s">
        <v>10191</v>
      </c>
      <c r="D9023" s="265">
        <v>1.0</v>
      </c>
      <c r="E9023" s="3">
        <v>1300.0</v>
      </c>
      <c r="G9023" s="266">
        <v>43827.0</v>
      </c>
    </row>
    <row r="9024">
      <c r="A9024" s="217">
        <v>43846.443774444444</v>
      </c>
      <c r="B9024" s="3" t="s">
        <v>5092</v>
      </c>
      <c r="C9024" s="3" t="s">
        <v>10192</v>
      </c>
      <c r="D9024" s="265">
        <v>1.0</v>
      </c>
      <c r="E9024" s="3">
        <v>1300.0</v>
      </c>
      <c r="G9024" s="266">
        <v>43827.0</v>
      </c>
    </row>
    <row r="9025">
      <c r="A9025" s="217">
        <v>43846.444289756946</v>
      </c>
      <c r="B9025" s="3" t="s">
        <v>5092</v>
      </c>
      <c r="C9025" s="3" t="s">
        <v>10193</v>
      </c>
      <c r="D9025" s="265">
        <v>1.0</v>
      </c>
      <c r="E9025" s="3">
        <v>1300.0</v>
      </c>
      <c r="G9025" s="266">
        <v>43827.0</v>
      </c>
    </row>
    <row r="9026">
      <c r="A9026" s="217">
        <v>43846.44499166666</v>
      </c>
      <c r="B9026" s="3" t="s">
        <v>5092</v>
      </c>
      <c r="C9026" s="3" t="s">
        <v>10194</v>
      </c>
      <c r="D9026" s="265">
        <v>1.0</v>
      </c>
      <c r="E9026" s="3">
        <v>1300.0</v>
      </c>
      <c r="G9026" s="266">
        <v>43827.0</v>
      </c>
    </row>
    <row r="9027">
      <c r="A9027" s="217">
        <v>43846.446092812505</v>
      </c>
      <c r="B9027" s="3" t="s">
        <v>5092</v>
      </c>
      <c r="C9027" s="3" t="s">
        <v>10195</v>
      </c>
      <c r="D9027" s="265">
        <v>1.0</v>
      </c>
      <c r="E9027" s="3">
        <v>1300.0</v>
      </c>
      <c r="G9027" s="266">
        <v>43827.0</v>
      </c>
    </row>
    <row r="9028">
      <c r="A9028" s="217">
        <v>43846.44671592592</v>
      </c>
      <c r="B9028" s="3" t="s">
        <v>5092</v>
      </c>
      <c r="C9028" s="3" t="s">
        <v>10196</v>
      </c>
      <c r="D9028" s="265">
        <v>1.0</v>
      </c>
      <c r="E9028" s="3">
        <v>1300.0</v>
      </c>
      <c r="G9028" s="266">
        <v>43827.0</v>
      </c>
    </row>
    <row r="9029">
      <c r="A9029" s="217">
        <v>43846.4472053125</v>
      </c>
      <c r="B9029" s="3" t="s">
        <v>5092</v>
      </c>
      <c r="C9029" s="3" t="s">
        <v>10197</v>
      </c>
      <c r="D9029" s="265">
        <v>1.0</v>
      </c>
      <c r="E9029" s="3">
        <v>1300.0</v>
      </c>
      <c r="G9029" s="266">
        <v>43827.0</v>
      </c>
    </row>
    <row r="9030">
      <c r="A9030" s="217">
        <v>43846.448116921296</v>
      </c>
      <c r="B9030" s="3" t="s">
        <v>5092</v>
      </c>
      <c r="C9030" s="3" t="s">
        <v>10198</v>
      </c>
      <c r="D9030" s="265">
        <v>1.0</v>
      </c>
      <c r="E9030" s="3">
        <v>1500.0</v>
      </c>
      <c r="G9030" s="266">
        <v>43827.0</v>
      </c>
    </row>
    <row r="9031">
      <c r="A9031" s="217">
        <v>43846.44869635417</v>
      </c>
      <c r="B9031" s="3" t="s">
        <v>5092</v>
      </c>
      <c r="C9031" s="3" t="s">
        <v>10199</v>
      </c>
      <c r="D9031" s="265">
        <v>1.0</v>
      </c>
      <c r="E9031" s="3">
        <v>1500.0</v>
      </c>
      <c r="G9031" s="266">
        <v>43827.0</v>
      </c>
    </row>
    <row r="9032">
      <c r="A9032" s="217">
        <v>43846.4495809375</v>
      </c>
      <c r="B9032" s="3" t="s">
        <v>5092</v>
      </c>
      <c r="C9032" s="3" t="s">
        <v>10200</v>
      </c>
      <c r="D9032" s="265">
        <v>1.0</v>
      </c>
      <c r="G9032" s="266">
        <v>43827.0</v>
      </c>
    </row>
    <row r="9033">
      <c r="A9033" s="217">
        <v>43846.45019297454</v>
      </c>
      <c r="B9033" s="3" t="s">
        <v>5092</v>
      </c>
      <c r="C9033" s="3" t="s">
        <v>1139</v>
      </c>
      <c r="D9033" s="265">
        <v>1.0</v>
      </c>
      <c r="G9033" s="266">
        <v>43827.0</v>
      </c>
    </row>
    <row r="9034">
      <c r="A9034" s="217">
        <v>43846.45087377315</v>
      </c>
      <c r="B9034" s="3" t="s">
        <v>5092</v>
      </c>
      <c r="C9034" s="3" t="s">
        <v>10201</v>
      </c>
      <c r="D9034" s="265">
        <v>1.0</v>
      </c>
      <c r="E9034" s="3">
        <v>1900.0</v>
      </c>
      <c r="G9034" s="266">
        <v>43827.0</v>
      </c>
    </row>
    <row r="9035">
      <c r="A9035" s="217">
        <v>43846.45299903935</v>
      </c>
      <c r="B9035" s="3" t="s">
        <v>5092</v>
      </c>
      <c r="C9035" s="3" t="s">
        <v>10202</v>
      </c>
      <c r="D9035" s="265">
        <v>1.0</v>
      </c>
      <c r="E9035" s="3">
        <v>1900.0</v>
      </c>
      <c r="G9035" s="266">
        <v>43827.0</v>
      </c>
    </row>
    <row r="9036">
      <c r="A9036" s="217">
        <v>43846.454479374996</v>
      </c>
      <c r="B9036" s="3" t="s">
        <v>5092</v>
      </c>
      <c r="C9036" s="3" t="s">
        <v>10203</v>
      </c>
      <c r="D9036" s="265">
        <v>1.0</v>
      </c>
      <c r="E9036" s="3">
        <v>2475.0</v>
      </c>
      <c r="G9036" s="266">
        <v>43827.0</v>
      </c>
    </row>
    <row r="9037">
      <c r="A9037" s="217">
        <v>43846.45504402778</v>
      </c>
      <c r="B9037" s="3" t="s">
        <v>5092</v>
      </c>
      <c r="C9037" s="3" t="s">
        <v>10204</v>
      </c>
      <c r="D9037" s="265">
        <v>1.0</v>
      </c>
      <c r="E9037" s="3">
        <v>2475.0</v>
      </c>
      <c r="G9037" s="266">
        <v>43827.0</v>
      </c>
    </row>
    <row r="9038">
      <c r="A9038" s="217">
        <v>43846.455902754635</v>
      </c>
      <c r="B9038" s="3" t="s">
        <v>5092</v>
      </c>
      <c r="C9038" s="3" t="s">
        <v>10205</v>
      </c>
      <c r="D9038" s="265">
        <v>1.0</v>
      </c>
      <c r="G9038" s="266">
        <v>43827.0</v>
      </c>
    </row>
    <row r="9039">
      <c r="A9039" s="217">
        <v>43846.456985983794</v>
      </c>
      <c r="B9039" s="3" t="s">
        <v>5092</v>
      </c>
      <c r="C9039" s="3" t="s">
        <v>10206</v>
      </c>
      <c r="D9039" s="265">
        <v>1.0</v>
      </c>
      <c r="G9039" s="266">
        <v>43827.0</v>
      </c>
    </row>
    <row r="9040">
      <c r="A9040" s="217">
        <v>43846.45780684028</v>
      </c>
      <c r="B9040" s="3" t="s">
        <v>5092</v>
      </c>
      <c r="C9040" s="3" t="s">
        <v>1141</v>
      </c>
      <c r="D9040" s="265">
        <v>1.0</v>
      </c>
      <c r="G9040" s="266">
        <v>43827.0</v>
      </c>
    </row>
    <row r="9041">
      <c r="A9041" s="217">
        <v>43846.45848380787</v>
      </c>
      <c r="B9041" s="3" t="s">
        <v>5092</v>
      </c>
      <c r="C9041" s="3" t="s">
        <v>1142</v>
      </c>
      <c r="D9041" s="265">
        <v>1.0</v>
      </c>
      <c r="G9041" s="266">
        <v>43827.0</v>
      </c>
    </row>
    <row r="9042">
      <c r="A9042" s="217">
        <v>43846.45934818287</v>
      </c>
      <c r="B9042" s="3" t="s">
        <v>5092</v>
      </c>
      <c r="C9042" s="3" t="s">
        <v>964</v>
      </c>
      <c r="D9042" s="265">
        <v>1.0</v>
      </c>
      <c r="E9042" s="3">
        <v>1700.0</v>
      </c>
      <c r="G9042" s="266">
        <v>43827.0</v>
      </c>
    </row>
    <row r="9043">
      <c r="A9043" s="217">
        <v>43846.46192434028</v>
      </c>
      <c r="B9043" s="3" t="s">
        <v>5092</v>
      </c>
      <c r="C9043" s="3" t="s">
        <v>965</v>
      </c>
      <c r="D9043" s="265">
        <v>1.0</v>
      </c>
      <c r="E9043" s="3">
        <v>1700.0</v>
      </c>
      <c r="G9043" s="266">
        <v>43827.0</v>
      </c>
    </row>
    <row r="9044">
      <c r="A9044" s="217">
        <v>43846.46266657407</v>
      </c>
      <c r="B9044" s="3" t="s">
        <v>5092</v>
      </c>
      <c r="C9044" s="3" t="s">
        <v>966</v>
      </c>
      <c r="D9044" s="265">
        <v>1.0</v>
      </c>
      <c r="E9044" s="3">
        <v>1700.0</v>
      </c>
      <c r="G9044" s="266">
        <v>43827.0</v>
      </c>
    </row>
    <row r="9045">
      <c r="A9045" s="217">
        <v>43846.46738061342</v>
      </c>
      <c r="B9045" s="3" t="s">
        <v>5092</v>
      </c>
      <c r="C9045" s="3" t="s">
        <v>10207</v>
      </c>
      <c r="D9045" s="265">
        <v>1.0</v>
      </c>
      <c r="E9045" s="3">
        <v>1700.0</v>
      </c>
      <c r="G9045" s="266">
        <v>43827.0</v>
      </c>
    </row>
    <row r="9046">
      <c r="A9046" s="217">
        <v>43846.468021608795</v>
      </c>
      <c r="B9046" s="3" t="s">
        <v>5092</v>
      </c>
      <c r="C9046" s="3" t="s">
        <v>10208</v>
      </c>
      <c r="D9046" s="265">
        <v>1.0</v>
      </c>
      <c r="E9046" s="3">
        <v>1700.0</v>
      </c>
      <c r="G9046" s="266">
        <v>43827.0</v>
      </c>
    </row>
    <row r="9047">
      <c r="A9047" s="217">
        <v>43846.46860840278</v>
      </c>
      <c r="B9047" s="3" t="s">
        <v>5092</v>
      </c>
      <c r="C9047" s="3" t="s">
        <v>10209</v>
      </c>
      <c r="D9047" s="265">
        <v>1.0</v>
      </c>
      <c r="E9047" s="3">
        <v>1700.0</v>
      </c>
      <c r="G9047" s="266">
        <v>43827.0</v>
      </c>
    </row>
    <row r="9048">
      <c r="A9048" s="217">
        <v>43846.46956912037</v>
      </c>
      <c r="B9048" s="3" t="s">
        <v>5092</v>
      </c>
      <c r="C9048" s="3" t="s">
        <v>10210</v>
      </c>
      <c r="D9048" s="265">
        <v>1.0</v>
      </c>
      <c r="E9048" s="3">
        <v>1500.0</v>
      </c>
      <c r="G9048" s="266">
        <v>43827.0</v>
      </c>
    </row>
    <row r="9049">
      <c r="A9049" s="217">
        <v>43846.470129699075</v>
      </c>
      <c r="B9049" s="3" t="s">
        <v>5092</v>
      </c>
      <c r="C9049" s="3" t="s">
        <v>10211</v>
      </c>
      <c r="D9049" s="265">
        <v>1.0</v>
      </c>
      <c r="E9049" s="3">
        <v>1500.0</v>
      </c>
      <c r="G9049" s="266">
        <v>43827.0</v>
      </c>
    </row>
    <row r="9050">
      <c r="A9050" s="217">
        <v>43846.47204541667</v>
      </c>
      <c r="B9050" s="3" t="s">
        <v>5092</v>
      </c>
      <c r="C9050" s="3" t="s">
        <v>10212</v>
      </c>
      <c r="D9050" s="265">
        <v>2.0</v>
      </c>
      <c r="G9050" s="266">
        <v>43827.0</v>
      </c>
    </row>
    <row r="9051">
      <c r="A9051" s="217">
        <v>43846.472977638885</v>
      </c>
      <c r="B9051" s="3" t="s">
        <v>5092</v>
      </c>
      <c r="C9051" s="3" t="s">
        <v>10213</v>
      </c>
      <c r="D9051" s="265">
        <v>1.0</v>
      </c>
      <c r="G9051" s="266">
        <v>43827.0</v>
      </c>
    </row>
    <row r="9052">
      <c r="A9052" s="217">
        <v>43846.47363795139</v>
      </c>
      <c r="B9052" s="3" t="s">
        <v>5092</v>
      </c>
      <c r="C9052" s="3" t="s">
        <v>1080</v>
      </c>
      <c r="D9052" s="265">
        <v>1.0</v>
      </c>
      <c r="E9052" s="3">
        <v>1800.0</v>
      </c>
      <c r="G9052" s="266">
        <v>43827.0</v>
      </c>
    </row>
    <row r="9053">
      <c r="A9053" s="217">
        <v>43846.474515231486</v>
      </c>
      <c r="B9053" s="3" t="s">
        <v>5092</v>
      </c>
      <c r="C9053" s="3" t="s">
        <v>1143</v>
      </c>
      <c r="D9053" s="265">
        <v>1.0</v>
      </c>
      <c r="G9053" s="266">
        <v>43827.0</v>
      </c>
    </row>
    <row r="9054">
      <c r="A9054" s="217">
        <v>43846.48436408565</v>
      </c>
      <c r="B9054" s="3" t="s">
        <v>5092</v>
      </c>
      <c r="C9054" s="3" t="s">
        <v>10214</v>
      </c>
      <c r="D9054" s="265">
        <v>1.0</v>
      </c>
      <c r="G9054" s="266">
        <v>43827.0</v>
      </c>
    </row>
    <row r="9055">
      <c r="A9055" s="217">
        <v>43846.48569289352</v>
      </c>
      <c r="B9055" s="3" t="s">
        <v>5092</v>
      </c>
      <c r="C9055" s="3" t="s">
        <v>10215</v>
      </c>
      <c r="D9055" s="265">
        <v>1.0</v>
      </c>
      <c r="G9055" s="266">
        <v>43827.0</v>
      </c>
    </row>
    <row r="9056">
      <c r="A9056" s="217">
        <v>43846.486392384264</v>
      </c>
      <c r="B9056" s="3" t="s">
        <v>5092</v>
      </c>
      <c r="C9056" s="3" t="s">
        <v>10216</v>
      </c>
      <c r="D9056" s="265">
        <v>1.0</v>
      </c>
      <c r="G9056" s="266">
        <v>43827.0</v>
      </c>
    </row>
    <row r="9057">
      <c r="A9057" s="217">
        <v>43846.48807003473</v>
      </c>
      <c r="B9057" s="3" t="s">
        <v>5092</v>
      </c>
      <c r="C9057" s="3" t="s">
        <v>10217</v>
      </c>
      <c r="D9057" s="265">
        <v>1.0</v>
      </c>
      <c r="G9057" s="266">
        <v>43827.0</v>
      </c>
    </row>
    <row r="9058">
      <c r="A9058" s="217">
        <v>43846.488674409724</v>
      </c>
      <c r="B9058" s="3" t="s">
        <v>5092</v>
      </c>
      <c r="C9058" s="3" t="s">
        <v>10218</v>
      </c>
      <c r="D9058" s="265">
        <v>1.0</v>
      </c>
      <c r="G9058" s="266">
        <v>43827.0</v>
      </c>
    </row>
    <row r="9059">
      <c r="A9059" s="217">
        <v>43846.48925565972</v>
      </c>
      <c r="B9059" s="3" t="s">
        <v>5092</v>
      </c>
      <c r="C9059" s="3" t="s">
        <v>10219</v>
      </c>
      <c r="D9059" s="265">
        <v>1.0</v>
      </c>
      <c r="G9059" s="266">
        <v>43827.0</v>
      </c>
    </row>
    <row r="9060">
      <c r="A9060" s="217">
        <v>43846.489990173606</v>
      </c>
      <c r="B9060" s="3" t="s">
        <v>5092</v>
      </c>
      <c r="C9060" s="3" t="s">
        <v>10220</v>
      </c>
      <c r="D9060" s="265">
        <v>1.0</v>
      </c>
      <c r="E9060" s="3">
        <v>1700.0</v>
      </c>
      <c r="G9060" s="266">
        <v>43827.0</v>
      </c>
    </row>
    <row r="9061">
      <c r="A9061" s="217">
        <v>43846.50335090278</v>
      </c>
      <c r="B9061" s="3" t="s">
        <v>5092</v>
      </c>
      <c r="C9061" s="3" t="s">
        <v>10221</v>
      </c>
      <c r="D9061" s="265">
        <v>1.0</v>
      </c>
      <c r="E9061" s="3">
        <v>1500.0</v>
      </c>
      <c r="G9061" s="266">
        <v>43827.0</v>
      </c>
    </row>
    <row r="9062">
      <c r="A9062" s="217">
        <v>43846.504024814814</v>
      </c>
      <c r="B9062" s="3" t="s">
        <v>5092</v>
      </c>
      <c r="C9062" s="3" t="s">
        <v>10222</v>
      </c>
      <c r="D9062" s="265">
        <v>1.0</v>
      </c>
      <c r="E9062" s="3">
        <v>1500.0</v>
      </c>
      <c r="G9062" s="266">
        <v>43827.0</v>
      </c>
    </row>
    <row r="9063">
      <c r="A9063" s="217">
        <v>43846.50837923611</v>
      </c>
      <c r="B9063" s="3" t="s">
        <v>5092</v>
      </c>
      <c r="C9063" s="3" t="s">
        <v>10223</v>
      </c>
      <c r="D9063" s="265">
        <v>2.0</v>
      </c>
      <c r="G9063" s="266">
        <v>43827.0</v>
      </c>
    </row>
    <row r="9064">
      <c r="A9064" s="217">
        <v>43846.50952179398</v>
      </c>
      <c r="B9064" s="3" t="s">
        <v>5092</v>
      </c>
      <c r="C9064" s="3" t="s">
        <v>10224</v>
      </c>
      <c r="D9064" s="265">
        <v>1.0</v>
      </c>
      <c r="G9064" s="266">
        <v>43827.0</v>
      </c>
    </row>
    <row r="9065">
      <c r="A9065" s="217">
        <v>43846.51038525463</v>
      </c>
      <c r="B9065" s="3" t="s">
        <v>5092</v>
      </c>
      <c r="C9065" s="3" t="s">
        <v>10225</v>
      </c>
      <c r="D9065" s="265">
        <v>2.0</v>
      </c>
      <c r="G9065" s="266">
        <v>43827.0</v>
      </c>
    </row>
    <row r="9066">
      <c r="A9066" s="217">
        <v>43846.526433692125</v>
      </c>
      <c r="B9066" s="3" t="s">
        <v>5092</v>
      </c>
      <c r="C9066" s="3" t="s">
        <v>10226</v>
      </c>
      <c r="D9066" s="265">
        <v>1.0</v>
      </c>
      <c r="G9066" s="266">
        <v>43827.0</v>
      </c>
    </row>
    <row r="9067">
      <c r="A9067" s="217">
        <v>43846.52704006944</v>
      </c>
      <c r="B9067" s="3" t="s">
        <v>5092</v>
      </c>
      <c r="C9067" s="3" t="s">
        <v>10227</v>
      </c>
      <c r="D9067" s="265">
        <v>1.0</v>
      </c>
      <c r="G9067" s="266">
        <v>43827.0</v>
      </c>
    </row>
    <row r="9068">
      <c r="A9068" s="217">
        <v>43846.52826049768</v>
      </c>
      <c r="B9068" s="3" t="s">
        <v>5092</v>
      </c>
      <c r="C9068" s="3" t="s">
        <v>10228</v>
      </c>
      <c r="D9068" s="265">
        <v>1.0</v>
      </c>
      <c r="G9068" s="266">
        <v>43827.0</v>
      </c>
    </row>
    <row r="9069">
      <c r="A9069" s="217">
        <v>43846.61091200232</v>
      </c>
      <c r="B9069" s="3" t="s">
        <v>5092</v>
      </c>
      <c r="C9069" s="3" t="s">
        <v>3399</v>
      </c>
      <c r="D9069" s="265">
        <v>1.0</v>
      </c>
      <c r="G9069" s="266">
        <v>43827.0</v>
      </c>
    </row>
    <row r="9070">
      <c r="A9070" s="217">
        <v>43846.6124640162</v>
      </c>
      <c r="B9070" s="3" t="s">
        <v>5092</v>
      </c>
      <c r="C9070" s="3" t="s">
        <v>10229</v>
      </c>
      <c r="D9070" s="265">
        <v>1.0</v>
      </c>
      <c r="G9070" s="266">
        <v>43827.0</v>
      </c>
    </row>
    <row r="9071">
      <c r="A9071" s="217">
        <v>43846.61318238426</v>
      </c>
      <c r="B9071" s="3" t="s">
        <v>5092</v>
      </c>
      <c r="C9071" s="3" t="s">
        <v>1146</v>
      </c>
      <c r="D9071" s="265">
        <v>1.0</v>
      </c>
      <c r="G9071" s="266">
        <v>43827.0</v>
      </c>
    </row>
    <row r="9072">
      <c r="A9072" s="217">
        <v>43846.61392962963</v>
      </c>
      <c r="B9072" s="3" t="s">
        <v>5092</v>
      </c>
      <c r="C9072" s="3" t="s">
        <v>1147</v>
      </c>
      <c r="D9072" s="265">
        <v>1.0</v>
      </c>
      <c r="G9072" s="266">
        <v>43827.0</v>
      </c>
    </row>
    <row r="9073">
      <c r="A9073" s="217">
        <v>43846.61469596065</v>
      </c>
      <c r="B9073" s="3" t="s">
        <v>5092</v>
      </c>
      <c r="C9073" s="3" t="s">
        <v>10230</v>
      </c>
      <c r="D9073" s="265">
        <v>1.0</v>
      </c>
      <c r="E9073" s="3">
        <v>1500.0</v>
      </c>
      <c r="G9073" s="266">
        <v>43827.0</v>
      </c>
    </row>
    <row r="9074">
      <c r="A9074" s="217">
        <v>43846.61573186342</v>
      </c>
      <c r="B9074" s="3" t="s">
        <v>5092</v>
      </c>
      <c r="C9074" s="3" t="s">
        <v>10231</v>
      </c>
      <c r="D9074" s="265">
        <v>1.0</v>
      </c>
      <c r="E9074" s="3">
        <v>1500.0</v>
      </c>
      <c r="G9074" s="266">
        <v>43827.0</v>
      </c>
    </row>
    <row r="9075">
      <c r="A9075" s="217">
        <v>43846.77073600695</v>
      </c>
      <c r="B9075" s="3" t="s">
        <v>5092</v>
      </c>
      <c r="C9075" s="3" t="s">
        <v>10232</v>
      </c>
      <c r="D9075" s="265">
        <v>1.0</v>
      </c>
      <c r="E9075" s="3">
        <v>1400.0</v>
      </c>
      <c r="G9075" s="266">
        <v>43827.0</v>
      </c>
    </row>
    <row r="9076">
      <c r="A9076" s="217">
        <v>43846.775131296294</v>
      </c>
      <c r="B9076" s="3" t="s">
        <v>5092</v>
      </c>
      <c r="C9076" s="3" t="s">
        <v>10233</v>
      </c>
      <c r="D9076" s="265">
        <v>1.0</v>
      </c>
      <c r="E9076" s="3">
        <v>1400.0</v>
      </c>
      <c r="G9076" s="266">
        <v>43827.0</v>
      </c>
    </row>
    <row r="9077">
      <c r="A9077" s="217">
        <v>43846.77600798611</v>
      </c>
      <c r="B9077" s="3" t="s">
        <v>5092</v>
      </c>
      <c r="C9077" s="3" t="s">
        <v>1134</v>
      </c>
      <c r="D9077" s="265">
        <v>1.0</v>
      </c>
      <c r="G9077" s="266">
        <v>43827.0</v>
      </c>
    </row>
    <row r="9078">
      <c r="A9078" s="217">
        <v>43846.77675063658</v>
      </c>
      <c r="B9078" s="3" t="s">
        <v>5092</v>
      </c>
      <c r="C9078" s="3" t="s">
        <v>3387</v>
      </c>
      <c r="D9078" s="265">
        <v>1.0</v>
      </c>
      <c r="G9078" s="266">
        <v>43827.0</v>
      </c>
    </row>
    <row r="9079">
      <c r="A9079" s="217">
        <v>43847.543717650464</v>
      </c>
      <c r="B9079" s="3" t="s">
        <v>5092</v>
      </c>
      <c r="C9079" s="3" t="s">
        <v>960</v>
      </c>
      <c r="D9079" s="265">
        <v>1.0</v>
      </c>
      <c r="E9079" s="3">
        <v>1500.0</v>
      </c>
      <c r="G9079" s="266">
        <v>43827.0</v>
      </c>
    </row>
    <row r="9080">
      <c r="A9080" s="217">
        <v>43847.54437454861</v>
      </c>
      <c r="B9080" s="3" t="s">
        <v>5092</v>
      </c>
      <c r="C9080" s="3" t="s">
        <v>961</v>
      </c>
      <c r="D9080" s="265">
        <v>1.0</v>
      </c>
      <c r="E9080" s="3">
        <v>1500.0</v>
      </c>
      <c r="G9080" s="266">
        <v>43827.0</v>
      </c>
    </row>
    <row r="9081">
      <c r="A9081" s="217">
        <v>43847.54593168982</v>
      </c>
      <c r="B9081" s="3" t="s">
        <v>5092</v>
      </c>
      <c r="C9081" s="3" t="s">
        <v>962</v>
      </c>
      <c r="D9081" s="265">
        <v>1.0</v>
      </c>
      <c r="E9081" s="3">
        <v>1500.0</v>
      </c>
      <c r="G9081" s="266">
        <v>43827.0</v>
      </c>
    </row>
    <row r="9082">
      <c r="A9082" s="217">
        <v>43847.546794803246</v>
      </c>
      <c r="B9082" s="3" t="s">
        <v>5092</v>
      </c>
      <c r="C9082" s="3" t="s">
        <v>10234</v>
      </c>
      <c r="D9082" s="265">
        <v>1.0</v>
      </c>
      <c r="E9082" s="3">
        <v>1500.0</v>
      </c>
      <c r="G9082" s="266">
        <v>43827.0</v>
      </c>
    </row>
    <row r="9083">
      <c r="A9083" s="217">
        <v>43847.54721831018</v>
      </c>
      <c r="B9083" s="3" t="s">
        <v>5092</v>
      </c>
      <c r="C9083" s="3" t="s">
        <v>10235</v>
      </c>
      <c r="D9083" s="265">
        <v>1.0</v>
      </c>
      <c r="E9083" s="3">
        <v>1500.0</v>
      </c>
      <c r="G9083" s="266">
        <v>43827.0</v>
      </c>
    </row>
    <row r="9084">
      <c r="A9084" s="217">
        <v>43847.54783401621</v>
      </c>
      <c r="B9084" s="3" t="s">
        <v>5092</v>
      </c>
      <c r="C9084" s="3" t="s">
        <v>963</v>
      </c>
      <c r="D9084" s="265">
        <v>1.0</v>
      </c>
      <c r="E9084" s="3">
        <v>1500.0</v>
      </c>
      <c r="G9084" s="266">
        <v>43827.0</v>
      </c>
    </row>
    <row r="9085">
      <c r="A9085" s="217">
        <v>43847.548714375</v>
      </c>
      <c r="B9085" s="3" t="s">
        <v>5092</v>
      </c>
      <c r="C9085" s="3" t="s">
        <v>1136</v>
      </c>
      <c r="D9085" s="265">
        <v>1.0</v>
      </c>
      <c r="G9085" s="266">
        <v>43827.0</v>
      </c>
    </row>
    <row r="9086">
      <c r="A9086" s="217">
        <v>43847.54917421297</v>
      </c>
      <c r="B9086" s="3" t="s">
        <v>5092</v>
      </c>
      <c r="C9086" s="3" t="s">
        <v>1138</v>
      </c>
      <c r="D9086" s="265">
        <v>1.0</v>
      </c>
      <c r="G9086" s="266">
        <v>43827.0</v>
      </c>
    </row>
    <row r="9087">
      <c r="A9087" s="217">
        <v>43847.55257659723</v>
      </c>
      <c r="B9087" s="3" t="s">
        <v>5092</v>
      </c>
      <c r="C9087" s="3" t="s">
        <v>10236</v>
      </c>
      <c r="D9087" s="265">
        <v>2.0</v>
      </c>
      <c r="G9087" s="266">
        <v>43827.0</v>
      </c>
    </row>
    <row r="9088">
      <c r="A9088" s="217">
        <v>43847.553600694446</v>
      </c>
      <c r="B9088" s="3" t="s">
        <v>5092</v>
      </c>
      <c r="C9088" s="3" t="s">
        <v>10237</v>
      </c>
      <c r="D9088" s="265">
        <v>1.0</v>
      </c>
      <c r="G9088" s="266">
        <v>43827.0</v>
      </c>
    </row>
    <row r="9089">
      <c r="A9089" s="217">
        <v>43847.55413849537</v>
      </c>
      <c r="B9089" s="3" t="s">
        <v>5092</v>
      </c>
      <c r="C9089" s="3" t="s">
        <v>10238</v>
      </c>
      <c r="D9089" s="265">
        <v>1.0</v>
      </c>
      <c r="G9089" s="266">
        <v>43827.0</v>
      </c>
    </row>
    <row r="9090">
      <c r="A9090" s="217">
        <v>43847.55503541666</v>
      </c>
      <c r="B9090" s="3" t="s">
        <v>5092</v>
      </c>
      <c r="C9090" s="3" t="s">
        <v>10239</v>
      </c>
      <c r="D9090" s="265">
        <v>1.0</v>
      </c>
      <c r="G9090" s="266">
        <v>43827.0</v>
      </c>
    </row>
    <row r="9091">
      <c r="A9091" s="217">
        <v>43847.555858252315</v>
      </c>
      <c r="B9091" s="3" t="s">
        <v>5092</v>
      </c>
      <c r="C9091" s="3" t="s">
        <v>10240</v>
      </c>
      <c r="D9091" s="265">
        <v>1.0</v>
      </c>
      <c r="G9091" s="266">
        <v>43827.0</v>
      </c>
    </row>
    <row r="9092">
      <c r="A9092" s="217">
        <v>43847.556479583334</v>
      </c>
      <c r="B9092" s="3" t="s">
        <v>5092</v>
      </c>
      <c r="C9092" s="3" t="s">
        <v>10241</v>
      </c>
      <c r="D9092" s="265">
        <v>1.0</v>
      </c>
      <c r="G9092" s="266">
        <v>43827.0</v>
      </c>
    </row>
    <row r="9093">
      <c r="A9093" s="217">
        <v>43847.557850937505</v>
      </c>
      <c r="B9093" s="3" t="s">
        <v>5092</v>
      </c>
      <c r="C9093" s="3" t="s">
        <v>10242</v>
      </c>
      <c r="D9093" s="265">
        <v>1.0</v>
      </c>
      <c r="G9093" s="266">
        <v>43827.0</v>
      </c>
    </row>
    <row r="9094">
      <c r="A9094" s="217">
        <v>43847.55916903935</v>
      </c>
      <c r="B9094" s="3" t="s">
        <v>5092</v>
      </c>
      <c r="C9094" s="3" t="s">
        <v>10243</v>
      </c>
      <c r="D9094" s="265">
        <v>1.0</v>
      </c>
      <c r="G9094" s="266">
        <v>43827.0</v>
      </c>
    </row>
    <row r="9095">
      <c r="A9095" s="217">
        <v>43847.55998525463</v>
      </c>
      <c r="B9095" s="3" t="s">
        <v>5092</v>
      </c>
      <c r="C9095" s="3" t="s">
        <v>10244</v>
      </c>
      <c r="D9095" s="265">
        <v>1.0</v>
      </c>
      <c r="G9095" s="266">
        <v>43827.0</v>
      </c>
    </row>
    <row r="9096">
      <c r="A9096" s="217">
        <v>43847.56090658565</v>
      </c>
      <c r="B9096" s="3" t="s">
        <v>5092</v>
      </c>
      <c r="C9096" s="3" t="s">
        <v>10245</v>
      </c>
      <c r="D9096" s="265">
        <v>1.0</v>
      </c>
      <c r="E9096" s="3">
        <v>1000.0</v>
      </c>
      <c r="G9096" s="266">
        <v>43827.0</v>
      </c>
    </row>
    <row r="9097">
      <c r="A9097" s="217">
        <v>43847.56160247685</v>
      </c>
      <c r="B9097" s="3" t="s">
        <v>5092</v>
      </c>
      <c r="C9097" s="3" t="s">
        <v>10246</v>
      </c>
      <c r="D9097" s="265">
        <v>1.0</v>
      </c>
      <c r="E9097" s="3">
        <v>1100.0</v>
      </c>
      <c r="G9097" s="266">
        <v>43827.0</v>
      </c>
    </row>
    <row r="9098">
      <c r="A9098" s="217">
        <v>43847.56220136574</v>
      </c>
      <c r="B9098" s="3" t="s">
        <v>5092</v>
      </c>
      <c r="C9098" s="3" t="s">
        <v>10247</v>
      </c>
      <c r="D9098" s="265">
        <v>1.0</v>
      </c>
      <c r="E9098" s="3">
        <v>1100.0</v>
      </c>
      <c r="G9098" s="266">
        <v>43827.0</v>
      </c>
    </row>
    <row r="9099">
      <c r="A9099" s="217">
        <v>43847.56290300926</v>
      </c>
      <c r="B9099" s="3" t="s">
        <v>5092</v>
      </c>
      <c r="C9099" s="3" t="s">
        <v>10248</v>
      </c>
      <c r="D9099" s="265">
        <v>1.0</v>
      </c>
      <c r="E9099" s="3">
        <v>1100.0</v>
      </c>
      <c r="G9099" s="266">
        <v>43827.0</v>
      </c>
    </row>
    <row r="9100">
      <c r="A9100" s="217">
        <v>43847.56378622685</v>
      </c>
      <c r="B9100" s="3" t="s">
        <v>5092</v>
      </c>
      <c r="C9100" s="3" t="s">
        <v>10249</v>
      </c>
      <c r="D9100" s="265">
        <v>1.0</v>
      </c>
      <c r="E9100" s="3">
        <v>1000.0</v>
      </c>
      <c r="G9100" s="266">
        <v>43827.0</v>
      </c>
    </row>
    <row r="9101">
      <c r="A9101" s="217">
        <v>43847.564387314815</v>
      </c>
      <c r="B9101" s="3" t="s">
        <v>5092</v>
      </c>
      <c r="C9101" s="3" t="s">
        <v>10250</v>
      </c>
      <c r="D9101" s="265">
        <v>1.0</v>
      </c>
      <c r="E9101" s="3">
        <v>1000.0</v>
      </c>
      <c r="G9101" s="266">
        <v>43827.0</v>
      </c>
    </row>
    <row r="9102">
      <c r="A9102" s="217">
        <v>43847.565105057874</v>
      </c>
      <c r="B9102" s="3" t="s">
        <v>5092</v>
      </c>
      <c r="C9102" s="3" t="s">
        <v>10251</v>
      </c>
      <c r="D9102" s="265">
        <v>1.0</v>
      </c>
      <c r="E9102" s="3">
        <v>1000.0</v>
      </c>
      <c r="G9102" s="266">
        <v>43827.0</v>
      </c>
    </row>
    <row r="9103">
      <c r="A9103" s="217">
        <v>43847.56571086806</v>
      </c>
      <c r="B9103" s="3" t="s">
        <v>5092</v>
      </c>
      <c r="C9103" s="3" t="s">
        <v>10252</v>
      </c>
      <c r="D9103" s="265">
        <v>1.0</v>
      </c>
      <c r="E9103" s="3">
        <v>1000.0</v>
      </c>
      <c r="G9103" s="266">
        <v>43827.0</v>
      </c>
    </row>
    <row r="9104">
      <c r="A9104" s="217">
        <v>43847.568774988424</v>
      </c>
      <c r="B9104" s="3" t="s">
        <v>5092</v>
      </c>
      <c r="C9104" s="3" t="s">
        <v>8940</v>
      </c>
      <c r="D9104" s="265">
        <v>1.0</v>
      </c>
      <c r="E9104" s="3">
        <v>1000.0</v>
      </c>
      <c r="G9104" s="266">
        <v>43827.0</v>
      </c>
    </row>
    <row r="9105">
      <c r="A9105" s="217">
        <v>43847.58470334491</v>
      </c>
      <c r="B9105" s="3" t="s">
        <v>5092</v>
      </c>
      <c r="C9105" s="3" t="s">
        <v>8941</v>
      </c>
      <c r="D9105" s="265">
        <v>1.0</v>
      </c>
      <c r="E9105" s="3">
        <v>1000.0</v>
      </c>
      <c r="G9105" s="266">
        <v>43827.0</v>
      </c>
    </row>
    <row r="9106">
      <c r="A9106" s="217">
        <v>43847.585250324075</v>
      </c>
      <c r="B9106" s="3" t="s">
        <v>5092</v>
      </c>
      <c r="C9106" s="3" t="s">
        <v>10253</v>
      </c>
      <c r="D9106" s="265">
        <v>1.0</v>
      </c>
      <c r="E9106" s="3">
        <v>1000.0</v>
      </c>
      <c r="G9106" s="266">
        <v>43827.0</v>
      </c>
    </row>
    <row r="9107">
      <c r="A9107" s="217">
        <v>43847.585789537035</v>
      </c>
      <c r="B9107" s="3" t="s">
        <v>5092</v>
      </c>
      <c r="C9107" s="3" t="s">
        <v>10254</v>
      </c>
      <c r="D9107" s="265">
        <v>1.0</v>
      </c>
      <c r="G9107" s="266">
        <v>43827.0</v>
      </c>
    </row>
    <row r="9108">
      <c r="A9108" s="217">
        <v>43847.58665993056</v>
      </c>
      <c r="B9108" s="3" t="s">
        <v>5092</v>
      </c>
      <c r="C9108" s="3" t="s">
        <v>10255</v>
      </c>
      <c r="D9108" s="265">
        <v>1.0</v>
      </c>
      <c r="E9108" s="3">
        <v>1000.0</v>
      </c>
      <c r="G9108" s="266">
        <v>43827.0</v>
      </c>
    </row>
    <row r="9109">
      <c r="A9109" s="217">
        <v>43847.58729422453</v>
      </c>
      <c r="B9109" s="3" t="s">
        <v>5092</v>
      </c>
      <c r="C9109" s="3" t="s">
        <v>10256</v>
      </c>
      <c r="D9109" s="265">
        <v>3.0</v>
      </c>
      <c r="G9109" s="266">
        <v>43827.0</v>
      </c>
    </row>
    <row r="9110">
      <c r="A9110" s="217">
        <v>43847.58880704861</v>
      </c>
      <c r="B9110" s="3" t="s">
        <v>5092</v>
      </c>
      <c r="C9110" s="3" t="s">
        <v>10257</v>
      </c>
      <c r="D9110" s="265">
        <v>1.0</v>
      </c>
      <c r="E9110" s="3">
        <v>1100.0</v>
      </c>
      <c r="G9110" s="266">
        <v>43827.0</v>
      </c>
    </row>
    <row r="9111">
      <c r="A9111" s="217">
        <v>43847.58956425926</v>
      </c>
      <c r="B9111" s="3" t="s">
        <v>5092</v>
      </c>
      <c r="C9111" s="3" t="s">
        <v>10258</v>
      </c>
      <c r="D9111" s="265">
        <v>1.0</v>
      </c>
      <c r="G9111" s="266">
        <v>43827.0</v>
      </c>
    </row>
    <row r="9112">
      <c r="A9112" s="217">
        <v>43847.59114525463</v>
      </c>
      <c r="B9112" s="3" t="s">
        <v>5092</v>
      </c>
      <c r="C9112" s="3" t="s">
        <v>10259</v>
      </c>
      <c r="D9112" s="265">
        <v>1.0</v>
      </c>
      <c r="E9112" s="3">
        <v>1100.0</v>
      </c>
      <c r="G9112" s="266">
        <v>43827.0</v>
      </c>
    </row>
    <row r="9113">
      <c r="A9113" s="217">
        <v>43847.591574502316</v>
      </c>
      <c r="B9113" s="3" t="s">
        <v>5092</v>
      </c>
      <c r="C9113" s="3" t="s">
        <v>10260</v>
      </c>
      <c r="D9113" s="265">
        <v>1.0</v>
      </c>
      <c r="G9113" s="266">
        <v>43827.0</v>
      </c>
    </row>
    <row r="9114">
      <c r="A9114" s="217">
        <v>43847.59293825232</v>
      </c>
      <c r="B9114" s="3" t="s">
        <v>5092</v>
      </c>
      <c r="C9114" s="3" t="s">
        <v>10261</v>
      </c>
      <c r="D9114" s="265">
        <v>1.0</v>
      </c>
      <c r="E9114" s="3">
        <v>1100.0</v>
      </c>
      <c r="G9114" s="266">
        <v>43827.0</v>
      </c>
    </row>
    <row r="9115">
      <c r="A9115" s="217">
        <v>43847.59339318287</v>
      </c>
      <c r="B9115" s="3" t="s">
        <v>5092</v>
      </c>
      <c r="C9115" s="3" t="s">
        <v>10262</v>
      </c>
      <c r="D9115" s="265">
        <v>1.0</v>
      </c>
      <c r="E9115" s="3">
        <v>1100.0</v>
      </c>
      <c r="G9115" s="266">
        <v>43827.0</v>
      </c>
    </row>
    <row r="9116">
      <c r="A9116" s="217">
        <v>43847.5940090625</v>
      </c>
      <c r="B9116" s="3" t="s">
        <v>5092</v>
      </c>
      <c r="C9116" s="3" t="s">
        <v>10263</v>
      </c>
      <c r="D9116" s="265">
        <v>1.0</v>
      </c>
      <c r="E9116" s="3">
        <v>1100.0</v>
      </c>
      <c r="G9116" s="266">
        <v>43827.0</v>
      </c>
    </row>
    <row r="9117">
      <c r="A9117" s="217">
        <v>43847.59449847222</v>
      </c>
      <c r="B9117" s="3" t="s">
        <v>5092</v>
      </c>
      <c r="C9117" s="3" t="s">
        <v>10264</v>
      </c>
      <c r="D9117" s="265">
        <v>1.0</v>
      </c>
      <c r="E9117" s="3">
        <v>1100.0</v>
      </c>
      <c r="G9117" s="266">
        <v>43827.0</v>
      </c>
    </row>
    <row r="9118">
      <c r="A9118" s="217">
        <v>43847.59537451389</v>
      </c>
      <c r="B9118" s="3" t="s">
        <v>5092</v>
      </c>
      <c r="C9118" s="3" t="s">
        <v>10265</v>
      </c>
      <c r="D9118" s="265">
        <v>1.0</v>
      </c>
      <c r="E9118" s="3">
        <v>1250.0</v>
      </c>
      <c r="G9118" s="266">
        <v>43827.0</v>
      </c>
    </row>
    <row r="9119">
      <c r="A9119" s="217">
        <v>43847.59634862268</v>
      </c>
      <c r="B9119" s="3" t="s">
        <v>5092</v>
      </c>
      <c r="C9119" s="3" t="s">
        <v>10266</v>
      </c>
      <c r="D9119" s="265">
        <v>1.0</v>
      </c>
      <c r="G9119" s="266">
        <v>43827.0</v>
      </c>
    </row>
    <row r="9120">
      <c r="A9120" s="217">
        <v>43847.59733226852</v>
      </c>
      <c r="B9120" s="3" t="s">
        <v>5092</v>
      </c>
      <c r="C9120" s="3" t="s">
        <v>10267</v>
      </c>
      <c r="D9120" s="265">
        <v>1.0</v>
      </c>
      <c r="E9120" s="3">
        <v>1400.0</v>
      </c>
      <c r="G9120" s="266">
        <v>43827.0</v>
      </c>
    </row>
    <row r="9121">
      <c r="A9121" s="217">
        <v>43847.59875293981</v>
      </c>
      <c r="B9121" s="3" t="s">
        <v>5092</v>
      </c>
      <c r="C9121" s="3" t="s">
        <v>10268</v>
      </c>
      <c r="D9121" s="265">
        <v>1.0</v>
      </c>
      <c r="E9121" s="3">
        <v>1400.0</v>
      </c>
      <c r="G9121" s="266">
        <v>43827.0</v>
      </c>
    </row>
    <row r="9122">
      <c r="A9122" s="217">
        <v>43847.60239368056</v>
      </c>
      <c r="B9122" s="3" t="s">
        <v>5092</v>
      </c>
      <c r="C9122" s="3" t="s">
        <v>10269</v>
      </c>
      <c r="D9122" s="265">
        <v>1.0</v>
      </c>
      <c r="E9122" s="3">
        <v>1400.0</v>
      </c>
      <c r="G9122" s="266">
        <v>43827.0</v>
      </c>
    </row>
    <row r="9123">
      <c r="A9123" s="217">
        <v>43847.60309921297</v>
      </c>
      <c r="B9123" s="3" t="s">
        <v>5092</v>
      </c>
      <c r="C9123" s="3" t="s">
        <v>10270</v>
      </c>
      <c r="D9123" s="265">
        <v>1.0</v>
      </c>
      <c r="E9123" s="3">
        <v>1400.0</v>
      </c>
      <c r="G9123" s="266">
        <v>43827.0</v>
      </c>
    </row>
    <row r="9124">
      <c r="A9124" s="217">
        <v>43847.69137188657</v>
      </c>
      <c r="B9124" s="3" t="s">
        <v>5092</v>
      </c>
      <c r="C9124" s="3" t="s">
        <v>10271</v>
      </c>
      <c r="D9124" s="265">
        <v>1.0</v>
      </c>
      <c r="E9124" s="3">
        <v>1300.0</v>
      </c>
      <c r="G9124" s="266">
        <v>43827.0</v>
      </c>
    </row>
    <row r="9125">
      <c r="A9125" s="217">
        <v>43847.69220900463</v>
      </c>
      <c r="B9125" s="3" t="s">
        <v>5092</v>
      </c>
      <c r="C9125" s="3" t="s">
        <v>10272</v>
      </c>
      <c r="D9125" s="265">
        <v>2.0</v>
      </c>
      <c r="G9125" s="266">
        <v>43827.0</v>
      </c>
    </row>
    <row r="9126">
      <c r="A9126" s="217">
        <v>43847.69299805556</v>
      </c>
      <c r="B9126" s="3" t="s">
        <v>5092</v>
      </c>
      <c r="C9126" s="3" t="s">
        <v>10273</v>
      </c>
      <c r="D9126" s="265">
        <v>1.0</v>
      </c>
      <c r="G9126" s="266">
        <v>43827.0</v>
      </c>
    </row>
    <row r="9127">
      <c r="A9127" s="217">
        <v>43847.69348927084</v>
      </c>
      <c r="B9127" s="3" t="s">
        <v>5092</v>
      </c>
      <c r="C9127" s="3" t="s">
        <v>1133</v>
      </c>
      <c r="D9127" s="265">
        <v>1.0</v>
      </c>
      <c r="G9127" s="266">
        <v>43827.0</v>
      </c>
    </row>
    <row r="9128">
      <c r="A9128" s="217">
        <v>43847.6938925</v>
      </c>
      <c r="B9128" s="3" t="s">
        <v>5092</v>
      </c>
      <c r="C9128" s="3" t="s">
        <v>10274</v>
      </c>
      <c r="D9128" s="265">
        <v>1.0</v>
      </c>
      <c r="G9128" s="266">
        <v>43827.0</v>
      </c>
    </row>
    <row r="9129">
      <c r="A9129" s="217">
        <v>43847.69433034722</v>
      </c>
      <c r="B9129" s="3" t="s">
        <v>5092</v>
      </c>
      <c r="C9129" s="3" t="s">
        <v>10275</v>
      </c>
      <c r="D9129" s="265">
        <v>1.0</v>
      </c>
      <c r="G9129" s="266">
        <v>43827.0</v>
      </c>
    </row>
    <row r="9130">
      <c r="A9130" s="217">
        <v>43847.69510185185</v>
      </c>
      <c r="B9130" s="3" t="s">
        <v>5092</v>
      </c>
      <c r="C9130" s="3" t="s">
        <v>10276</v>
      </c>
      <c r="D9130" s="265">
        <v>1.0</v>
      </c>
      <c r="G9130" s="266">
        <v>43827.0</v>
      </c>
    </row>
    <row r="9131">
      <c r="A9131" s="217">
        <v>43847.69558663195</v>
      </c>
      <c r="B9131" s="3" t="s">
        <v>5092</v>
      </c>
      <c r="C9131" s="3" t="s">
        <v>10277</v>
      </c>
      <c r="D9131" s="265">
        <v>1.0</v>
      </c>
      <c r="G9131" s="266">
        <v>43827.0</v>
      </c>
    </row>
    <row r="9132">
      <c r="A9132" s="217">
        <v>43847.69613020834</v>
      </c>
      <c r="B9132" s="3" t="s">
        <v>5092</v>
      </c>
      <c r="C9132" s="3" t="s">
        <v>10278</v>
      </c>
      <c r="D9132" s="265">
        <v>1.0</v>
      </c>
      <c r="G9132" s="266">
        <v>43827.0</v>
      </c>
    </row>
    <row r="9133">
      <c r="A9133" s="217">
        <v>43847.70365790509</v>
      </c>
      <c r="B9133" s="3" t="s">
        <v>5092</v>
      </c>
      <c r="C9133" s="3" t="s">
        <v>10279</v>
      </c>
      <c r="D9133" s="265">
        <v>1.0</v>
      </c>
      <c r="G9133" s="266">
        <v>43827.0</v>
      </c>
    </row>
    <row r="9134">
      <c r="A9134" s="217">
        <v>43847.704244733795</v>
      </c>
      <c r="B9134" s="3" t="s">
        <v>5092</v>
      </c>
      <c r="C9134" s="3" t="s">
        <v>10280</v>
      </c>
      <c r="D9134" s="265">
        <v>1.0</v>
      </c>
      <c r="G9134" s="266">
        <v>43827.0</v>
      </c>
    </row>
    <row r="9135">
      <c r="A9135" s="217">
        <v>43847.70575434028</v>
      </c>
      <c r="B9135" s="3" t="s">
        <v>5092</v>
      </c>
      <c r="C9135" s="3" t="s">
        <v>10281</v>
      </c>
      <c r="D9135" s="265">
        <v>1.0</v>
      </c>
      <c r="G9135" s="266">
        <v>43827.0</v>
      </c>
    </row>
    <row r="9136">
      <c r="A9136" s="217">
        <v>43847.706527372684</v>
      </c>
      <c r="B9136" s="3" t="s">
        <v>5092</v>
      </c>
      <c r="C9136" s="3" t="s">
        <v>3368</v>
      </c>
      <c r="D9136" s="265">
        <v>1.0</v>
      </c>
      <c r="G9136" s="266">
        <v>43827.0</v>
      </c>
    </row>
    <row r="9137">
      <c r="A9137" s="217">
        <v>43847.70821039352</v>
      </c>
      <c r="B9137" s="3" t="s">
        <v>5092</v>
      </c>
      <c r="C9137" s="3" t="s">
        <v>10282</v>
      </c>
      <c r="D9137" s="265">
        <v>1.0</v>
      </c>
      <c r="G9137" s="266">
        <v>43827.0</v>
      </c>
    </row>
    <row r="9138">
      <c r="A9138" s="217">
        <v>43847.707745844906</v>
      </c>
      <c r="B9138" s="3" t="s">
        <v>5092</v>
      </c>
      <c r="C9138" s="3" t="s">
        <v>10283</v>
      </c>
      <c r="D9138" s="265">
        <v>1.0</v>
      </c>
      <c r="G9138" s="266">
        <v>43827.0</v>
      </c>
    </row>
    <row r="9139">
      <c r="A9139" s="217">
        <v>43847.70942672454</v>
      </c>
      <c r="B9139" s="3" t="s">
        <v>5092</v>
      </c>
      <c r="C9139" s="3" t="s">
        <v>10284</v>
      </c>
      <c r="D9139" s="265">
        <v>1.0</v>
      </c>
      <c r="G9139" s="266">
        <v>43827.0</v>
      </c>
    </row>
    <row r="9140">
      <c r="A9140" s="217">
        <v>43847.709975798614</v>
      </c>
      <c r="B9140" s="3" t="s">
        <v>5092</v>
      </c>
      <c r="C9140" s="3" t="s">
        <v>10285</v>
      </c>
      <c r="D9140" s="265">
        <v>1.0</v>
      </c>
      <c r="G9140" s="266">
        <v>43827.0</v>
      </c>
    </row>
    <row r="9141">
      <c r="A9141" s="217">
        <v>43847.71066412037</v>
      </c>
      <c r="B9141" s="3" t="s">
        <v>5092</v>
      </c>
      <c r="C9141" s="3" t="s">
        <v>10286</v>
      </c>
      <c r="D9141" s="265">
        <v>1.0</v>
      </c>
      <c r="G9141" s="266">
        <v>43827.0</v>
      </c>
    </row>
    <row r="9142">
      <c r="A9142" s="217">
        <v>43847.71148267361</v>
      </c>
      <c r="B9142" s="3" t="s">
        <v>5092</v>
      </c>
      <c r="C9142" s="3" t="s">
        <v>10287</v>
      </c>
      <c r="D9142" s="265">
        <v>1.0</v>
      </c>
      <c r="G9142" s="266">
        <v>43827.0</v>
      </c>
    </row>
    <row r="9143">
      <c r="A9143" s="217">
        <v>43847.71198825231</v>
      </c>
      <c r="B9143" s="3" t="s">
        <v>5092</v>
      </c>
      <c r="C9143" s="3" t="s">
        <v>10288</v>
      </c>
      <c r="D9143" s="265">
        <v>1.0</v>
      </c>
      <c r="G9143" s="266">
        <v>43827.0</v>
      </c>
    </row>
    <row r="9144">
      <c r="A9144" s="217">
        <v>43847.712532708334</v>
      </c>
      <c r="B9144" s="3" t="s">
        <v>5092</v>
      </c>
      <c r="C9144" s="3" t="s">
        <v>10289</v>
      </c>
      <c r="D9144" s="265">
        <v>1.0</v>
      </c>
      <c r="E9144" s="3">
        <v>1400.0</v>
      </c>
      <c r="G9144" s="266">
        <v>43827.0</v>
      </c>
    </row>
    <row r="9145">
      <c r="A9145" s="217">
        <v>43847.713078252316</v>
      </c>
      <c r="B9145" s="3" t="s">
        <v>5092</v>
      </c>
      <c r="C9145" s="3" t="s">
        <v>10290</v>
      </c>
      <c r="D9145" s="265">
        <v>1.0</v>
      </c>
      <c r="E9145" s="3">
        <v>1400.0</v>
      </c>
      <c r="G9145" s="266">
        <v>43827.0</v>
      </c>
    </row>
    <row r="9146">
      <c r="A9146" s="217">
        <v>43847.71380109954</v>
      </c>
      <c r="B9146" s="3" t="s">
        <v>5092</v>
      </c>
      <c r="C9146" s="3" t="s">
        <v>10291</v>
      </c>
      <c r="D9146" s="265">
        <v>1.0</v>
      </c>
      <c r="E9146" s="3">
        <v>1400.0</v>
      </c>
      <c r="G9146" s="266">
        <v>43827.0</v>
      </c>
    </row>
    <row r="9147">
      <c r="A9147" s="217">
        <v>43847.7218403588</v>
      </c>
      <c r="B9147" s="3" t="s">
        <v>5092</v>
      </c>
      <c r="C9147" s="3" t="s">
        <v>10292</v>
      </c>
      <c r="D9147" s="265">
        <v>1.0</v>
      </c>
      <c r="G9147" s="266">
        <v>43827.0</v>
      </c>
    </row>
    <row r="9148">
      <c r="A9148" s="217">
        <v>43847.722385092595</v>
      </c>
      <c r="B9148" s="3" t="s">
        <v>5092</v>
      </c>
      <c r="C9148" s="3" t="s">
        <v>10293</v>
      </c>
      <c r="D9148" s="265">
        <v>1.0</v>
      </c>
      <c r="G9148" s="266">
        <v>43827.0</v>
      </c>
    </row>
    <row r="9149">
      <c r="A9149" s="217">
        <v>43847.722891446756</v>
      </c>
      <c r="B9149" s="3" t="s">
        <v>5092</v>
      </c>
      <c r="C9149" s="3" t="s">
        <v>10294</v>
      </c>
      <c r="D9149" s="265">
        <v>1.0</v>
      </c>
      <c r="G9149" s="266">
        <v>43827.0</v>
      </c>
    </row>
    <row r="9150">
      <c r="A9150" s="217">
        <v>43847.723686550926</v>
      </c>
      <c r="B9150" s="3" t="s">
        <v>5092</v>
      </c>
      <c r="C9150" s="3" t="s">
        <v>10295</v>
      </c>
      <c r="D9150" s="265">
        <v>1.0</v>
      </c>
      <c r="G9150" s="266">
        <v>43827.0</v>
      </c>
    </row>
    <row r="9151">
      <c r="A9151" s="217">
        <v>43847.72444311343</v>
      </c>
      <c r="B9151" s="3" t="s">
        <v>5092</v>
      </c>
      <c r="C9151" s="3" t="s">
        <v>10296</v>
      </c>
      <c r="D9151" s="265">
        <v>2.0</v>
      </c>
      <c r="G9151" s="266">
        <v>43827.0</v>
      </c>
    </row>
    <row r="9152">
      <c r="A9152" s="217">
        <v>43847.725453692125</v>
      </c>
      <c r="B9152" s="3" t="s">
        <v>5092</v>
      </c>
      <c r="C9152" s="3" t="s">
        <v>10297</v>
      </c>
      <c r="D9152" s="265">
        <v>2.0</v>
      </c>
      <c r="G9152" s="266">
        <v>43827.0</v>
      </c>
    </row>
    <row r="9153">
      <c r="A9153" s="217">
        <v>43847.727234826394</v>
      </c>
      <c r="B9153" s="3" t="s">
        <v>5092</v>
      </c>
      <c r="C9153" s="3" t="s">
        <v>10298</v>
      </c>
      <c r="D9153" s="265">
        <v>1.0</v>
      </c>
      <c r="G9153" s="266">
        <v>43827.0</v>
      </c>
    </row>
    <row r="9154">
      <c r="A9154" s="217">
        <v>43847.72776616898</v>
      </c>
      <c r="B9154" s="3" t="s">
        <v>5092</v>
      </c>
      <c r="C9154" s="3" t="s">
        <v>10299</v>
      </c>
      <c r="D9154" s="265">
        <v>2.0</v>
      </c>
      <c r="G9154" s="266">
        <v>43827.0</v>
      </c>
    </row>
    <row r="9155">
      <c r="A9155" s="217">
        <v>43847.728667268515</v>
      </c>
      <c r="B9155" s="3" t="s">
        <v>5092</v>
      </c>
      <c r="C9155" s="3" t="s">
        <v>10300</v>
      </c>
      <c r="D9155" s="265">
        <v>1.0</v>
      </c>
      <c r="G9155" s="266">
        <v>43827.0</v>
      </c>
    </row>
    <row r="9156">
      <c r="A9156" s="217">
        <v>43847.72909930555</v>
      </c>
      <c r="B9156" s="3" t="s">
        <v>5092</v>
      </c>
      <c r="C9156" s="3" t="s">
        <v>10301</v>
      </c>
      <c r="D9156" s="265">
        <v>1.0</v>
      </c>
      <c r="G9156" s="266">
        <v>43827.0</v>
      </c>
    </row>
    <row r="9157">
      <c r="A9157" s="217">
        <v>43847.72954085648</v>
      </c>
      <c r="B9157" s="3" t="s">
        <v>5092</v>
      </c>
      <c r="C9157" s="3" t="s">
        <v>10302</v>
      </c>
      <c r="D9157" s="265">
        <v>1.0</v>
      </c>
      <c r="G9157" s="266">
        <v>43827.0</v>
      </c>
    </row>
    <row r="9158">
      <c r="A9158" s="217">
        <v>43847.73014827546</v>
      </c>
      <c r="B9158" s="3" t="s">
        <v>5092</v>
      </c>
      <c r="C9158" s="3" t="s">
        <v>10303</v>
      </c>
      <c r="D9158" s="265">
        <v>4.0</v>
      </c>
      <c r="G9158" s="266">
        <v>43827.0</v>
      </c>
    </row>
    <row r="9159">
      <c r="A9159" s="217">
        <v>43847.74197847222</v>
      </c>
      <c r="B9159" s="3" t="s">
        <v>5092</v>
      </c>
      <c r="C9159" s="3" t="s">
        <v>10304</v>
      </c>
      <c r="D9159" s="265">
        <v>1.0</v>
      </c>
      <c r="G9159" s="266">
        <v>43827.0</v>
      </c>
    </row>
    <row r="9160">
      <c r="A9160" s="217">
        <v>43847.7424358912</v>
      </c>
      <c r="B9160" s="3" t="s">
        <v>5092</v>
      </c>
      <c r="C9160" s="3" t="s">
        <v>10305</v>
      </c>
      <c r="D9160" s="265">
        <v>1.0</v>
      </c>
      <c r="G9160" s="266">
        <v>43827.0</v>
      </c>
    </row>
    <row r="9161">
      <c r="A9161" s="217">
        <v>43848.50379909722</v>
      </c>
      <c r="B9161" s="3" t="s">
        <v>5092</v>
      </c>
      <c r="C9161" s="3" t="s">
        <v>10306</v>
      </c>
      <c r="D9161" s="265">
        <v>1.0</v>
      </c>
      <c r="G9161" s="266">
        <v>43827.0</v>
      </c>
    </row>
    <row r="9162">
      <c r="A9162" s="217">
        <v>43848.695487627316</v>
      </c>
      <c r="B9162" s="3" t="s">
        <v>5092</v>
      </c>
      <c r="C9162" s="3" t="s">
        <v>10307</v>
      </c>
      <c r="D9162" s="265">
        <v>1.0</v>
      </c>
      <c r="G9162" s="266">
        <v>43827.0</v>
      </c>
    </row>
    <row r="9163">
      <c r="A9163" s="217">
        <v>43848.695995625</v>
      </c>
      <c r="B9163" s="3" t="s">
        <v>5092</v>
      </c>
      <c r="C9163" s="3" t="s">
        <v>10308</v>
      </c>
      <c r="D9163" s="265">
        <v>1.0</v>
      </c>
      <c r="G9163" s="266">
        <v>43827.0</v>
      </c>
    </row>
    <row r="9164">
      <c r="A9164" s="217">
        <v>43848.69660318287</v>
      </c>
      <c r="B9164" s="3" t="s">
        <v>5092</v>
      </c>
      <c r="C9164" s="3" t="s">
        <v>10309</v>
      </c>
      <c r="D9164" s="265">
        <v>1.0</v>
      </c>
      <c r="G9164" s="266">
        <v>43827.0</v>
      </c>
    </row>
    <row r="9165">
      <c r="A9165" s="217">
        <v>43848.69732994213</v>
      </c>
      <c r="B9165" s="3" t="s">
        <v>5092</v>
      </c>
      <c r="C9165" s="3" t="s">
        <v>10310</v>
      </c>
      <c r="D9165" s="265">
        <v>1.0</v>
      </c>
      <c r="G9165" s="266">
        <v>43827.0</v>
      </c>
    </row>
    <row r="9166">
      <c r="A9166" s="217">
        <v>43848.69782035879</v>
      </c>
      <c r="B9166" s="3" t="s">
        <v>5092</v>
      </c>
      <c r="C9166" s="3" t="s">
        <v>10311</v>
      </c>
      <c r="D9166" s="265">
        <v>1.0</v>
      </c>
      <c r="G9166" s="266">
        <v>43827.0</v>
      </c>
    </row>
    <row r="9167">
      <c r="A9167" s="217">
        <v>43848.698388703706</v>
      </c>
      <c r="B9167" s="3" t="s">
        <v>5092</v>
      </c>
      <c r="C9167" s="3" t="s">
        <v>10312</v>
      </c>
      <c r="D9167" s="265">
        <v>1.0</v>
      </c>
      <c r="G9167" s="266">
        <v>43827.0</v>
      </c>
    </row>
    <row r="9168">
      <c r="A9168" s="217">
        <v>43848.69921290509</v>
      </c>
      <c r="B9168" s="3" t="s">
        <v>5092</v>
      </c>
      <c r="C9168" s="3" t="s">
        <v>10313</v>
      </c>
      <c r="D9168" s="265">
        <v>1.0</v>
      </c>
      <c r="E9168" s="3">
        <v>1500.0</v>
      </c>
      <c r="G9168" s="266">
        <v>43827.0</v>
      </c>
    </row>
    <row r="9169">
      <c r="A9169" s="217">
        <v>43848.699726446765</v>
      </c>
      <c r="B9169" s="3" t="s">
        <v>5092</v>
      </c>
      <c r="C9169" s="3" t="s">
        <v>10314</v>
      </c>
      <c r="D9169" s="265">
        <v>1.0</v>
      </c>
      <c r="E9169" s="3">
        <v>1500.0</v>
      </c>
      <c r="G9169" s="266">
        <v>43827.0</v>
      </c>
    </row>
    <row r="9170">
      <c r="A9170" s="217">
        <v>43848.70041805555</v>
      </c>
      <c r="B9170" s="3" t="s">
        <v>5092</v>
      </c>
      <c r="C9170" s="3" t="s">
        <v>10315</v>
      </c>
      <c r="D9170" s="265">
        <v>1.0</v>
      </c>
      <c r="E9170" s="3">
        <v>1500.0</v>
      </c>
      <c r="G9170" s="266">
        <v>43827.0</v>
      </c>
    </row>
    <row r="9171">
      <c r="A9171" s="217">
        <v>43848.701076400466</v>
      </c>
      <c r="B9171" s="3" t="s">
        <v>5092</v>
      </c>
      <c r="C9171" s="3" t="s">
        <v>10316</v>
      </c>
      <c r="D9171" s="265">
        <v>1.0</v>
      </c>
      <c r="G9171" s="266">
        <v>43827.0</v>
      </c>
    </row>
    <row r="9172">
      <c r="A9172" s="217">
        <v>43848.70152122685</v>
      </c>
      <c r="B9172" s="3" t="s">
        <v>5092</v>
      </c>
      <c r="C9172" s="3" t="s">
        <v>10317</v>
      </c>
      <c r="D9172" s="265">
        <v>1.0</v>
      </c>
      <c r="G9172" s="266">
        <v>43827.0</v>
      </c>
    </row>
    <row r="9173">
      <c r="A9173" s="217">
        <v>43848.701936631944</v>
      </c>
      <c r="B9173" s="3" t="s">
        <v>5092</v>
      </c>
      <c r="C9173" s="3" t="s">
        <v>10318</v>
      </c>
      <c r="D9173" s="265">
        <v>1.0</v>
      </c>
      <c r="G9173" s="266">
        <v>43827.0</v>
      </c>
    </row>
    <row r="9174">
      <c r="A9174" s="217">
        <v>43848.702624178244</v>
      </c>
      <c r="B9174" s="3" t="s">
        <v>5092</v>
      </c>
      <c r="C9174" s="3" t="s">
        <v>10319</v>
      </c>
      <c r="D9174" s="265">
        <v>1.0</v>
      </c>
      <c r="G9174" s="266">
        <v>43827.0</v>
      </c>
    </row>
    <row r="9175">
      <c r="A9175" s="217">
        <v>43848.703103287036</v>
      </c>
      <c r="B9175" s="3" t="s">
        <v>5092</v>
      </c>
      <c r="C9175" s="3" t="s">
        <v>10320</v>
      </c>
      <c r="D9175" s="265">
        <v>1.0</v>
      </c>
      <c r="G9175" s="266">
        <v>43827.0</v>
      </c>
    </row>
    <row r="9176">
      <c r="A9176" s="217">
        <v>43848.703846840275</v>
      </c>
      <c r="B9176" s="3" t="s">
        <v>5092</v>
      </c>
      <c r="C9176" s="3" t="s">
        <v>10321</v>
      </c>
      <c r="D9176" s="265">
        <v>1.0</v>
      </c>
      <c r="G9176" s="266">
        <v>43827.0</v>
      </c>
    </row>
    <row r="9177">
      <c r="A9177" s="217">
        <v>43848.70472479166</v>
      </c>
      <c r="B9177" s="3" t="s">
        <v>5092</v>
      </c>
      <c r="C9177" s="3" t="s">
        <v>10322</v>
      </c>
      <c r="D9177" s="265">
        <v>1.0</v>
      </c>
      <c r="G9177" s="266">
        <v>43827.0</v>
      </c>
    </row>
    <row r="9178">
      <c r="A9178" s="217">
        <v>43848.70541497685</v>
      </c>
      <c r="B9178" s="3" t="s">
        <v>5092</v>
      </c>
      <c r="C9178" s="3" t="s">
        <v>10323</v>
      </c>
      <c r="D9178" s="265">
        <v>1.0</v>
      </c>
      <c r="G9178" s="266">
        <v>43827.0</v>
      </c>
    </row>
    <row r="9179">
      <c r="A9179" s="217">
        <v>43848.705871342594</v>
      </c>
      <c r="B9179" s="3" t="s">
        <v>5092</v>
      </c>
      <c r="C9179" s="3" t="s">
        <v>10324</v>
      </c>
      <c r="D9179" s="265">
        <v>1.0</v>
      </c>
      <c r="G9179" s="266">
        <v>43827.0</v>
      </c>
    </row>
    <row r="9180">
      <c r="A9180" s="217">
        <v>43848.706666909726</v>
      </c>
      <c r="B9180" s="3" t="s">
        <v>5092</v>
      </c>
      <c r="C9180" s="3" t="s">
        <v>10325</v>
      </c>
      <c r="D9180" s="265">
        <v>1.0</v>
      </c>
      <c r="E9180" s="3">
        <v>1500.0</v>
      </c>
      <c r="G9180" s="266">
        <v>43827.0</v>
      </c>
    </row>
    <row r="9181">
      <c r="A9181" s="217">
        <v>43848.70715793982</v>
      </c>
      <c r="B9181" s="3" t="s">
        <v>5092</v>
      </c>
      <c r="C9181" s="3" t="s">
        <v>10326</v>
      </c>
      <c r="D9181" s="265">
        <v>1.0</v>
      </c>
      <c r="E9181" s="3">
        <v>1450.0</v>
      </c>
      <c r="G9181" s="266">
        <v>43827.0</v>
      </c>
    </row>
    <row r="9182">
      <c r="A9182" s="217">
        <v>43848.70761278935</v>
      </c>
      <c r="B9182" s="3" t="s">
        <v>5092</v>
      </c>
      <c r="C9182" s="3" t="s">
        <v>10327</v>
      </c>
      <c r="D9182" s="265">
        <v>1.0</v>
      </c>
      <c r="E9182" s="3">
        <v>1450.0</v>
      </c>
      <c r="G9182" s="266">
        <v>43827.0</v>
      </c>
    </row>
    <row r="9183">
      <c r="A9183" s="217">
        <v>43848.708613379626</v>
      </c>
      <c r="B9183" s="3" t="s">
        <v>5092</v>
      </c>
      <c r="C9183" s="3" t="s">
        <v>10328</v>
      </c>
      <c r="D9183" s="265">
        <v>1.0</v>
      </c>
      <c r="E9183" s="3">
        <v>1450.0</v>
      </c>
      <c r="G9183" s="266">
        <v>43827.0</v>
      </c>
    </row>
    <row r="9184">
      <c r="A9184" s="217">
        <v>43848.709106759256</v>
      </c>
      <c r="B9184" s="3" t="s">
        <v>5092</v>
      </c>
      <c r="C9184" s="3" t="s">
        <v>10329</v>
      </c>
      <c r="D9184" s="265">
        <v>1.0</v>
      </c>
      <c r="E9184" s="3">
        <v>1450.0</v>
      </c>
      <c r="G9184" s="266">
        <v>43827.0</v>
      </c>
    </row>
    <row r="9185">
      <c r="A9185" s="217">
        <v>43848.70977872685</v>
      </c>
      <c r="B9185" s="3" t="s">
        <v>5092</v>
      </c>
      <c r="C9185" s="3" t="s">
        <v>10330</v>
      </c>
      <c r="D9185" s="265">
        <v>1.0</v>
      </c>
      <c r="G9185" s="266">
        <v>43827.0</v>
      </c>
    </row>
    <row r="9186">
      <c r="A9186" s="217">
        <v>43848.710467592595</v>
      </c>
      <c r="B9186" s="3" t="s">
        <v>5092</v>
      </c>
      <c r="C9186" s="3" t="s">
        <v>10331</v>
      </c>
      <c r="D9186" s="265">
        <v>1.0</v>
      </c>
      <c r="G9186" s="266">
        <v>43827.0</v>
      </c>
    </row>
    <row r="9187">
      <c r="A9187" s="217">
        <v>43848.710968935186</v>
      </c>
      <c r="B9187" s="3" t="s">
        <v>5092</v>
      </c>
      <c r="C9187" s="3" t="s">
        <v>10332</v>
      </c>
      <c r="D9187" s="265">
        <v>1.0</v>
      </c>
      <c r="G9187" s="266">
        <v>43827.0</v>
      </c>
    </row>
    <row r="9188">
      <c r="A9188" s="217">
        <v>43848.71137866898</v>
      </c>
      <c r="B9188" s="3" t="s">
        <v>5092</v>
      </c>
      <c r="C9188" s="3" t="s">
        <v>10333</v>
      </c>
      <c r="D9188" s="265">
        <v>1.0</v>
      </c>
      <c r="G9188" s="266">
        <v>43827.0</v>
      </c>
    </row>
    <row r="9189">
      <c r="A9189" s="217">
        <v>43848.71196834491</v>
      </c>
      <c r="B9189" s="3" t="s">
        <v>5092</v>
      </c>
      <c r="C9189" s="3" t="s">
        <v>10334</v>
      </c>
      <c r="D9189" s="265">
        <v>1.0</v>
      </c>
      <c r="G9189" s="266">
        <v>43827.0</v>
      </c>
    </row>
    <row r="9190">
      <c r="A9190" s="217">
        <v>43848.71262471065</v>
      </c>
      <c r="B9190" s="3" t="s">
        <v>5092</v>
      </c>
      <c r="C9190" s="3" t="s">
        <v>10335</v>
      </c>
      <c r="D9190" s="265">
        <v>2.0</v>
      </c>
      <c r="G9190" s="266">
        <v>43827.0</v>
      </c>
    </row>
    <row r="9191">
      <c r="A9191" s="217">
        <v>43848.71858292824</v>
      </c>
      <c r="B9191" s="3" t="s">
        <v>5092</v>
      </c>
      <c r="C9191" s="3" t="s">
        <v>8952</v>
      </c>
      <c r="D9191" s="265">
        <v>1.0</v>
      </c>
      <c r="G9191" s="266">
        <v>43827.0</v>
      </c>
    </row>
    <row r="9192">
      <c r="A9192" s="217">
        <v>43848.71912512732</v>
      </c>
      <c r="B9192" s="3" t="s">
        <v>5092</v>
      </c>
      <c r="C9192" s="3" t="s">
        <v>8953</v>
      </c>
      <c r="D9192" s="265">
        <v>1.0</v>
      </c>
      <c r="G9192" s="266">
        <v>43827.0</v>
      </c>
    </row>
    <row r="9193">
      <c r="A9193" s="217">
        <v>43848.71962701389</v>
      </c>
      <c r="B9193" s="3" t="s">
        <v>5092</v>
      </c>
      <c r="C9193" s="3" t="s">
        <v>1127</v>
      </c>
      <c r="D9193" s="265">
        <v>1.0</v>
      </c>
      <c r="G9193" s="266">
        <v>43827.0</v>
      </c>
    </row>
    <row r="9194">
      <c r="A9194" s="217">
        <v>43848.720463680555</v>
      </c>
      <c r="B9194" s="3" t="s">
        <v>5092</v>
      </c>
      <c r="C9194" s="3" t="s">
        <v>10336</v>
      </c>
      <c r="D9194" s="265">
        <v>1.0</v>
      </c>
      <c r="E9194" s="3">
        <v>1450.0</v>
      </c>
      <c r="G9194" s="266">
        <v>43827.0</v>
      </c>
    </row>
    <row r="9195">
      <c r="A9195" s="217">
        <v>43848.72155460648</v>
      </c>
      <c r="B9195" s="3" t="s">
        <v>5092</v>
      </c>
      <c r="C9195" s="3" t="s">
        <v>10337</v>
      </c>
      <c r="D9195" s="265">
        <v>1.0</v>
      </c>
      <c r="E9195" s="3">
        <v>1450.0</v>
      </c>
      <c r="G9195" s="266">
        <v>43827.0</v>
      </c>
    </row>
    <row r="9196">
      <c r="A9196" s="217">
        <v>43848.72217180555</v>
      </c>
      <c r="B9196" s="3" t="s">
        <v>5092</v>
      </c>
      <c r="C9196" s="3" t="s">
        <v>958</v>
      </c>
      <c r="D9196" s="265">
        <v>1.0</v>
      </c>
      <c r="E9196" s="3">
        <v>1500.0</v>
      </c>
      <c r="G9196" s="266">
        <v>43827.0</v>
      </c>
    </row>
    <row r="9197">
      <c r="A9197" s="217">
        <v>43848.72271736111</v>
      </c>
      <c r="B9197" s="3" t="s">
        <v>5092</v>
      </c>
      <c r="C9197" s="3" t="s">
        <v>959</v>
      </c>
      <c r="D9197" s="265">
        <v>1.0</v>
      </c>
      <c r="E9197" s="3">
        <v>1500.0</v>
      </c>
      <c r="G9197" s="266">
        <v>43827.0</v>
      </c>
    </row>
    <row r="9198">
      <c r="A9198" s="217">
        <v>43848.723616863426</v>
      </c>
      <c r="B9198" s="3" t="s">
        <v>5092</v>
      </c>
      <c r="C9198" s="3" t="s">
        <v>10338</v>
      </c>
      <c r="D9198" s="265">
        <v>1.0</v>
      </c>
      <c r="E9198" s="3">
        <v>1400.0</v>
      </c>
      <c r="G9198" s="266">
        <v>43827.0</v>
      </c>
    </row>
    <row r="9199">
      <c r="A9199" s="217">
        <v>43848.72424517361</v>
      </c>
      <c r="B9199" s="3" t="s">
        <v>5092</v>
      </c>
      <c r="C9199" s="3" t="s">
        <v>10339</v>
      </c>
      <c r="D9199" s="265">
        <v>1.0</v>
      </c>
      <c r="E9199" s="3">
        <v>1400.0</v>
      </c>
      <c r="G9199" s="266">
        <v>43827.0</v>
      </c>
    </row>
    <row r="9200">
      <c r="A9200" s="217">
        <v>43848.72481226852</v>
      </c>
      <c r="B9200" s="3" t="s">
        <v>5092</v>
      </c>
      <c r="C9200" s="3" t="s">
        <v>10340</v>
      </c>
      <c r="D9200" s="265">
        <v>1.0</v>
      </c>
      <c r="E9200" s="3">
        <v>1400.0</v>
      </c>
      <c r="G9200" s="266">
        <v>43827.0</v>
      </c>
    </row>
    <row r="9201">
      <c r="A9201" s="217">
        <v>43848.72558283564</v>
      </c>
      <c r="B9201" s="3" t="s">
        <v>5092</v>
      </c>
      <c r="C9201" s="3" t="s">
        <v>10341</v>
      </c>
      <c r="D9201" s="265">
        <v>1.0</v>
      </c>
      <c r="E9201" s="3">
        <v>1400.0</v>
      </c>
      <c r="G9201" s="266">
        <v>43827.0</v>
      </c>
    </row>
    <row r="9202">
      <c r="A9202" s="217">
        <v>43848.72622986111</v>
      </c>
      <c r="B9202" s="3" t="s">
        <v>5092</v>
      </c>
      <c r="C9202" s="3" t="s">
        <v>957</v>
      </c>
      <c r="D9202" s="265">
        <v>1.0</v>
      </c>
      <c r="E9202" s="3">
        <v>1400.0</v>
      </c>
      <c r="G9202" s="266">
        <v>43827.0</v>
      </c>
    </row>
    <row r="9203">
      <c r="A9203" s="217">
        <v>43848.72695980324</v>
      </c>
      <c r="B9203" s="3" t="s">
        <v>5092</v>
      </c>
      <c r="C9203" s="3" t="s">
        <v>6125</v>
      </c>
      <c r="D9203" s="265">
        <v>1.0</v>
      </c>
      <c r="G9203" s="266">
        <v>43827.0</v>
      </c>
    </row>
    <row r="9204">
      <c r="A9204" s="217">
        <v>43848.7274025</v>
      </c>
      <c r="B9204" s="3" t="s">
        <v>5092</v>
      </c>
      <c r="C9204" s="3" t="s">
        <v>1121</v>
      </c>
      <c r="D9204" s="265">
        <v>1.0</v>
      </c>
      <c r="G9204" s="266">
        <v>43827.0</v>
      </c>
    </row>
    <row r="9205">
      <c r="A9205" s="217">
        <v>43848.72832097222</v>
      </c>
      <c r="B9205" s="3" t="s">
        <v>5092</v>
      </c>
      <c r="C9205" s="3" t="s">
        <v>1126</v>
      </c>
      <c r="D9205" s="265">
        <v>1.0</v>
      </c>
      <c r="G9205" s="266">
        <v>43827.0</v>
      </c>
    </row>
    <row r="9206">
      <c r="A9206" s="217">
        <v>43848.72881519676</v>
      </c>
      <c r="B9206" s="3" t="s">
        <v>5092</v>
      </c>
      <c r="C9206" s="3" t="s">
        <v>10342</v>
      </c>
      <c r="D9206" s="265">
        <v>1.0</v>
      </c>
      <c r="G9206" s="266">
        <v>43827.0</v>
      </c>
    </row>
    <row r="9207">
      <c r="A9207" s="217">
        <v>43848.72965756945</v>
      </c>
      <c r="B9207" s="3" t="s">
        <v>5092</v>
      </c>
      <c r="C9207" s="3" t="s">
        <v>10343</v>
      </c>
      <c r="D9207" s="265">
        <v>2.0</v>
      </c>
      <c r="G9207" s="266">
        <v>43827.0</v>
      </c>
    </row>
    <row r="9208">
      <c r="A9208" s="217">
        <v>43848.73057590278</v>
      </c>
      <c r="B9208" s="3" t="s">
        <v>5092</v>
      </c>
      <c r="C9208" s="3" t="s">
        <v>10344</v>
      </c>
      <c r="D9208" s="265">
        <v>1.0</v>
      </c>
      <c r="G9208" s="266">
        <v>43827.0</v>
      </c>
    </row>
    <row r="9209">
      <c r="A9209" s="217">
        <v>43848.73121972222</v>
      </c>
      <c r="B9209" s="3" t="s">
        <v>5092</v>
      </c>
      <c r="C9209" s="3" t="s">
        <v>1124</v>
      </c>
      <c r="D9209" s="265">
        <v>1.0</v>
      </c>
      <c r="G9209" s="266">
        <v>43827.0</v>
      </c>
    </row>
    <row r="9210">
      <c r="A9210" s="217">
        <v>43848.73332496527</v>
      </c>
      <c r="B9210" s="3" t="s">
        <v>5092</v>
      </c>
      <c r="C9210" s="3" t="s">
        <v>10345</v>
      </c>
      <c r="D9210" s="265">
        <v>1.0</v>
      </c>
      <c r="G9210" s="266">
        <v>43827.0</v>
      </c>
    </row>
    <row r="9211">
      <c r="A9211" s="217">
        <v>43849.47631107639</v>
      </c>
      <c r="B9211" s="3" t="s">
        <v>5092</v>
      </c>
      <c r="C9211" s="3" t="s">
        <v>1122</v>
      </c>
      <c r="D9211" s="265">
        <v>1.0</v>
      </c>
      <c r="G9211" s="266">
        <v>43827.0</v>
      </c>
    </row>
    <row r="9212">
      <c r="A9212" s="217">
        <v>43849.47688430556</v>
      </c>
      <c r="B9212" s="3" t="s">
        <v>5092</v>
      </c>
      <c r="C9212" s="3" t="s">
        <v>3374</v>
      </c>
      <c r="D9212" s="265">
        <v>1.0</v>
      </c>
      <c r="G9212" s="266">
        <v>43827.0</v>
      </c>
    </row>
    <row r="9213">
      <c r="A9213" s="217">
        <v>43849.478125740745</v>
      </c>
      <c r="B9213" s="3" t="s">
        <v>5092</v>
      </c>
      <c r="C9213" s="3" t="s">
        <v>10346</v>
      </c>
      <c r="D9213" s="265">
        <v>1.0</v>
      </c>
      <c r="E9213" s="3">
        <v>1400.0</v>
      </c>
      <c r="G9213" s="266">
        <v>43827.0</v>
      </c>
    </row>
    <row r="9214">
      <c r="A9214" s="217">
        <v>43849.478626655095</v>
      </c>
      <c r="B9214" s="3" t="s">
        <v>5092</v>
      </c>
      <c r="C9214" s="3" t="s">
        <v>10347</v>
      </c>
      <c r="D9214" s="265">
        <v>1.0</v>
      </c>
      <c r="E9214" s="3">
        <v>1400.0</v>
      </c>
      <c r="G9214" s="266">
        <v>43827.0</v>
      </c>
    </row>
    <row r="9215">
      <c r="A9215" s="217">
        <v>43849.47907530093</v>
      </c>
      <c r="B9215" s="3" t="s">
        <v>5092</v>
      </c>
      <c r="C9215" s="3" t="s">
        <v>10348</v>
      </c>
      <c r="D9215" s="265">
        <v>1.0</v>
      </c>
      <c r="E9215" s="3">
        <v>1400.0</v>
      </c>
      <c r="G9215" s="266">
        <v>43827.0</v>
      </c>
    </row>
    <row r="9216">
      <c r="A9216" s="217">
        <v>43849.47977679398</v>
      </c>
      <c r="B9216" s="3" t="s">
        <v>5092</v>
      </c>
      <c r="C9216" s="3" t="s">
        <v>10349</v>
      </c>
      <c r="D9216" s="265">
        <v>1.0</v>
      </c>
      <c r="G9216" s="266">
        <v>43827.0</v>
      </c>
    </row>
    <row r="9217">
      <c r="A9217" s="217">
        <v>43849.48030865741</v>
      </c>
      <c r="B9217" s="3" t="s">
        <v>5092</v>
      </c>
      <c r="C9217" s="3" t="s">
        <v>10350</v>
      </c>
      <c r="D9217" s="265">
        <v>1.0</v>
      </c>
      <c r="G9217" s="266">
        <v>43827.0</v>
      </c>
    </row>
    <row r="9218">
      <c r="A9218" s="217">
        <v>43849.48114959491</v>
      </c>
      <c r="B9218" s="3" t="s">
        <v>5092</v>
      </c>
      <c r="C9218" s="3" t="s">
        <v>10351</v>
      </c>
      <c r="D9218" s="265">
        <v>1.0</v>
      </c>
      <c r="E9218" s="3">
        <v>1250.0</v>
      </c>
      <c r="G9218" s="266">
        <v>43827.0</v>
      </c>
    </row>
    <row r="9219">
      <c r="A9219" s="217">
        <v>43849.48178915509</v>
      </c>
      <c r="B9219" s="3" t="s">
        <v>5092</v>
      </c>
      <c r="C9219" s="3" t="s">
        <v>10352</v>
      </c>
      <c r="D9219" s="265">
        <v>1.0</v>
      </c>
      <c r="E9219" s="3">
        <v>1250.0</v>
      </c>
      <c r="G9219" s="266">
        <v>43827.0</v>
      </c>
    </row>
    <row r="9220">
      <c r="A9220" s="217">
        <v>43849.48227043981</v>
      </c>
      <c r="B9220" s="3" t="s">
        <v>5092</v>
      </c>
      <c r="C9220" s="3" t="s">
        <v>10353</v>
      </c>
      <c r="D9220" s="265">
        <v>1.0</v>
      </c>
      <c r="E9220" s="3">
        <v>1250.0</v>
      </c>
      <c r="G9220" s="266">
        <v>43827.0</v>
      </c>
    </row>
    <row r="9221">
      <c r="A9221" s="217">
        <v>43849.48282200232</v>
      </c>
      <c r="B9221" s="3" t="s">
        <v>5092</v>
      </c>
      <c r="C9221" s="3" t="s">
        <v>10354</v>
      </c>
      <c r="D9221" s="265">
        <v>1.0</v>
      </c>
      <c r="E9221" s="3">
        <v>1250.0</v>
      </c>
      <c r="G9221" s="266">
        <v>43827.0</v>
      </c>
    </row>
    <row r="9222">
      <c r="A9222" s="217">
        <v>43849.483568483796</v>
      </c>
      <c r="B9222" s="3" t="s">
        <v>5092</v>
      </c>
      <c r="C9222" s="3" t="s">
        <v>10355</v>
      </c>
      <c r="D9222" s="265">
        <v>2.0</v>
      </c>
      <c r="G9222" s="266">
        <v>43827.0</v>
      </c>
    </row>
    <row r="9223">
      <c r="A9223" s="217">
        <v>43849.48436598379</v>
      </c>
      <c r="B9223" s="3" t="s">
        <v>5092</v>
      </c>
      <c r="C9223" s="3" t="s">
        <v>10356</v>
      </c>
      <c r="D9223" s="265">
        <v>1.0</v>
      </c>
      <c r="G9223" s="266">
        <v>43827.0</v>
      </c>
    </row>
    <row r="9224">
      <c r="A9224" s="217">
        <v>43849.48479822917</v>
      </c>
      <c r="B9224" s="3" t="s">
        <v>5092</v>
      </c>
      <c r="C9224" s="3" t="s">
        <v>1148</v>
      </c>
      <c r="D9224" s="265">
        <v>1.0</v>
      </c>
      <c r="G9224" s="266">
        <v>43827.0</v>
      </c>
    </row>
    <row r="9225">
      <c r="A9225" s="217">
        <v>43849.48529390046</v>
      </c>
      <c r="B9225" s="3" t="s">
        <v>5092</v>
      </c>
      <c r="C9225" s="3" t="s">
        <v>3404</v>
      </c>
      <c r="D9225" s="265">
        <v>1.0</v>
      </c>
      <c r="G9225" s="266">
        <v>43827.0</v>
      </c>
    </row>
    <row r="9226">
      <c r="A9226" s="217">
        <v>43849.50160538194</v>
      </c>
      <c r="B9226" s="3" t="s">
        <v>5092</v>
      </c>
      <c r="C9226" s="3" t="s">
        <v>10357</v>
      </c>
      <c r="D9226" s="265">
        <v>1.0</v>
      </c>
      <c r="G9226" s="266">
        <v>43827.0</v>
      </c>
    </row>
    <row r="9227">
      <c r="A9227" s="217">
        <v>43849.50220756944</v>
      </c>
      <c r="B9227" s="3" t="s">
        <v>5092</v>
      </c>
      <c r="C9227" s="3" t="s">
        <v>1149</v>
      </c>
      <c r="D9227" s="265">
        <v>1.0</v>
      </c>
      <c r="G9227" s="266">
        <v>43827.0</v>
      </c>
    </row>
    <row r="9228">
      <c r="A9228" s="217">
        <v>43849.50260196759</v>
      </c>
      <c r="B9228" s="3" t="s">
        <v>5092</v>
      </c>
      <c r="C9228" s="3" t="s">
        <v>10358</v>
      </c>
      <c r="D9228" s="265">
        <v>1.0</v>
      </c>
      <c r="G9228" s="266">
        <v>43827.0</v>
      </c>
    </row>
    <row r="9229">
      <c r="A9229" s="217">
        <v>43849.50335571759</v>
      </c>
      <c r="B9229" s="3" t="s">
        <v>5092</v>
      </c>
      <c r="C9229" s="3" t="s">
        <v>10359</v>
      </c>
      <c r="D9229" s="265">
        <v>1.0</v>
      </c>
      <c r="E9229" s="3">
        <v>1750.0</v>
      </c>
      <c r="G9229" s="266">
        <v>43827.0</v>
      </c>
    </row>
    <row r="9230">
      <c r="A9230" s="217">
        <v>43849.50378668982</v>
      </c>
      <c r="B9230" s="3" t="s">
        <v>5092</v>
      </c>
      <c r="C9230" s="3" t="s">
        <v>10360</v>
      </c>
      <c r="D9230" s="265">
        <v>1.0</v>
      </c>
      <c r="E9230" s="3">
        <v>1750.0</v>
      </c>
      <c r="G9230" s="266">
        <v>43827.0</v>
      </c>
    </row>
    <row r="9231">
      <c r="A9231" s="217">
        <v>43849.504254768515</v>
      </c>
      <c r="B9231" s="3" t="s">
        <v>5092</v>
      </c>
      <c r="C9231" s="3" t="s">
        <v>10361</v>
      </c>
      <c r="D9231" s="265">
        <v>1.0</v>
      </c>
      <c r="E9231" s="3">
        <v>1750.0</v>
      </c>
      <c r="G9231" s="266">
        <v>43827.0</v>
      </c>
    </row>
    <row r="9232">
      <c r="A9232" s="217">
        <v>43849.50489791667</v>
      </c>
      <c r="B9232" s="3" t="s">
        <v>5092</v>
      </c>
      <c r="C9232" s="3" t="s">
        <v>10362</v>
      </c>
      <c r="D9232" s="265">
        <v>1.0</v>
      </c>
      <c r="G9232" s="266">
        <v>43827.0</v>
      </c>
    </row>
    <row r="9233">
      <c r="A9233" s="217">
        <v>43849.50527325232</v>
      </c>
      <c r="B9233" s="3" t="s">
        <v>5092</v>
      </c>
      <c r="C9233" s="3" t="s">
        <v>10363</v>
      </c>
      <c r="D9233" s="265">
        <v>1.0</v>
      </c>
      <c r="G9233" s="266">
        <v>43827.0</v>
      </c>
    </row>
    <row r="9234">
      <c r="A9234" s="217">
        <v>43849.50573719907</v>
      </c>
      <c r="B9234" s="3" t="s">
        <v>5092</v>
      </c>
      <c r="C9234" s="3" t="s">
        <v>10364</v>
      </c>
      <c r="D9234" s="265">
        <v>1.0</v>
      </c>
      <c r="G9234" s="266">
        <v>43827.0</v>
      </c>
    </row>
    <row r="9235">
      <c r="A9235" s="217">
        <v>43849.50628083333</v>
      </c>
      <c r="B9235" s="3" t="s">
        <v>5092</v>
      </c>
      <c r="C9235" s="3" t="s">
        <v>10365</v>
      </c>
      <c r="D9235" s="265">
        <v>1.0</v>
      </c>
      <c r="E9235" s="3">
        <v>1400.0</v>
      </c>
      <c r="G9235" s="266">
        <v>43827.0</v>
      </c>
    </row>
    <row r="9236">
      <c r="A9236" s="217">
        <v>43849.50682378472</v>
      </c>
      <c r="B9236" s="3" t="s">
        <v>5092</v>
      </c>
      <c r="C9236" s="3" t="s">
        <v>10366</v>
      </c>
      <c r="D9236" s="265">
        <v>1.0</v>
      </c>
      <c r="E9236" s="3">
        <v>1400.0</v>
      </c>
      <c r="G9236" s="266">
        <v>43827.0</v>
      </c>
    </row>
    <row r="9237">
      <c r="A9237" s="217">
        <v>43849.50737542824</v>
      </c>
      <c r="B9237" s="3" t="s">
        <v>5092</v>
      </c>
      <c r="C9237" s="3" t="s">
        <v>1131</v>
      </c>
      <c r="D9237" s="265">
        <v>1.0</v>
      </c>
      <c r="G9237" s="266">
        <v>43827.0</v>
      </c>
    </row>
    <row r="9238">
      <c r="A9238" s="217">
        <v>43849.50787349537</v>
      </c>
      <c r="B9238" s="3" t="s">
        <v>5092</v>
      </c>
      <c r="C9238" s="3" t="s">
        <v>10367</v>
      </c>
      <c r="D9238" s="265">
        <v>1.0</v>
      </c>
      <c r="G9238" s="266">
        <v>43827.0</v>
      </c>
    </row>
    <row r="9239">
      <c r="A9239" s="217">
        <v>43849.508257696754</v>
      </c>
      <c r="B9239" s="3" t="s">
        <v>5092</v>
      </c>
      <c r="C9239" s="3" t="s">
        <v>10368</v>
      </c>
      <c r="D9239" s="265">
        <v>1.0</v>
      </c>
      <c r="G9239" s="266">
        <v>43827.0</v>
      </c>
    </row>
    <row r="9240">
      <c r="A9240" s="217">
        <v>43849.50882736111</v>
      </c>
      <c r="B9240" s="3" t="s">
        <v>5092</v>
      </c>
      <c r="C9240" s="3" t="s">
        <v>3384</v>
      </c>
      <c r="D9240" s="265">
        <v>1.0</v>
      </c>
      <c r="G9240" s="266">
        <v>43827.0</v>
      </c>
    </row>
    <row r="9241">
      <c r="A9241" s="217">
        <v>43849.50953101851</v>
      </c>
      <c r="B9241" s="3" t="s">
        <v>5092</v>
      </c>
      <c r="C9241" s="3" t="s">
        <v>8961</v>
      </c>
      <c r="D9241" s="265">
        <v>1.0</v>
      </c>
      <c r="G9241" s="266">
        <v>43827.0</v>
      </c>
    </row>
    <row r="9242">
      <c r="A9242" s="217">
        <v>43849.5100842824</v>
      </c>
      <c r="B9242" s="3" t="s">
        <v>5092</v>
      </c>
      <c r="C9242" s="3" t="s">
        <v>1130</v>
      </c>
      <c r="D9242" s="265">
        <v>1.0</v>
      </c>
      <c r="G9242" s="266">
        <v>43827.0</v>
      </c>
    </row>
    <row r="9243">
      <c r="A9243" s="217">
        <v>43849.510514560185</v>
      </c>
      <c r="B9243" s="3" t="s">
        <v>5092</v>
      </c>
      <c r="C9243" s="3" t="s">
        <v>10369</v>
      </c>
      <c r="D9243" s="265">
        <v>1.0</v>
      </c>
      <c r="G9243" s="266">
        <v>43827.0</v>
      </c>
    </row>
    <row r="9244">
      <c r="A9244" s="217">
        <v>43849.51116197917</v>
      </c>
      <c r="B9244" s="3" t="s">
        <v>5092</v>
      </c>
      <c r="C9244" s="3" t="s">
        <v>10370</v>
      </c>
      <c r="D9244" s="265">
        <v>1.0</v>
      </c>
      <c r="G9244" s="266">
        <v>43827.0</v>
      </c>
    </row>
    <row r="9245">
      <c r="A9245" s="217">
        <v>43849.51158564815</v>
      </c>
      <c r="B9245" s="3" t="s">
        <v>5092</v>
      </c>
      <c r="C9245" s="3" t="s">
        <v>10371</v>
      </c>
      <c r="D9245" s="265">
        <v>1.0</v>
      </c>
      <c r="G9245" s="266">
        <v>43827.0</v>
      </c>
    </row>
    <row r="9246">
      <c r="A9246" s="217">
        <v>43849.514260763885</v>
      </c>
      <c r="B9246" s="3" t="s">
        <v>5092</v>
      </c>
      <c r="C9246" s="3" t="s">
        <v>10372</v>
      </c>
      <c r="D9246" s="265">
        <v>1.0</v>
      </c>
      <c r="G9246" s="266">
        <v>43827.0</v>
      </c>
    </row>
    <row r="9247">
      <c r="A9247" s="217">
        <v>43849.5149409375</v>
      </c>
      <c r="B9247" s="3" t="s">
        <v>5092</v>
      </c>
      <c r="C9247" s="3" t="s">
        <v>10373</v>
      </c>
      <c r="D9247" s="265">
        <v>1.0</v>
      </c>
      <c r="E9247" s="3">
        <v>1750.0</v>
      </c>
      <c r="G9247" s="266">
        <v>43827.0</v>
      </c>
    </row>
    <row r="9248">
      <c r="A9248" s="217">
        <v>43849.51754793982</v>
      </c>
      <c r="B9248" s="3" t="s">
        <v>5092</v>
      </c>
      <c r="C9248" s="3" t="s">
        <v>10374</v>
      </c>
      <c r="D9248" s="265">
        <v>1.0</v>
      </c>
      <c r="E9248" s="3">
        <v>1750.0</v>
      </c>
      <c r="G9248" s="266">
        <v>43827.0</v>
      </c>
    </row>
    <row r="9249">
      <c r="A9249" s="217">
        <v>43849.517979490745</v>
      </c>
      <c r="B9249" s="3" t="s">
        <v>5092</v>
      </c>
      <c r="C9249" s="3" t="s">
        <v>10375</v>
      </c>
      <c r="D9249" s="265">
        <v>1.0</v>
      </c>
      <c r="E9249" s="3">
        <v>1750.0</v>
      </c>
      <c r="G9249" s="266">
        <v>43827.0</v>
      </c>
    </row>
    <row r="9250">
      <c r="A9250" s="217">
        <v>43849.518504594904</v>
      </c>
      <c r="B9250" s="3" t="s">
        <v>5092</v>
      </c>
      <c r="C9250" s="3" t="s">
        <v>10376</v>
      </c>
      <c r="D9250" s="265">
        <v>1.0</v>
      </c>
      <c r="E9250" s="3">
        <v>1750.0</v>
      </c>
      <c r="G9250" s="266">
        <v>43827.0</v>
      </c>
    </row>
    <row r="9251">
      <c r="A9251" s="217">
        <v>43849.518934548614</v>
      </c>
      <c r="B9251" s="3" t="s">
        <v>5092</v>
      </c>
      <c r="C9251" s="3" t="s">
        <v>10377</v>
      </c>
      <c r="D9251" s="265">
        <v>1.0</v>
      </c>
      <c r="E9251" s="3">
        <v>1750.0</v>
      </c>
      <c r="G9251" s="266">
        <v>43827.0</v>
      </c>
    </row>
    <row r="9252">
      <c r="A9252" s="217">
        <v>43849.519769398146</v>
      </c>
      <c r="B9252" s="3" t="s">
        <v>5092</v>
      </c>
      <c r="C9252" s="3" t="s">
        <v>10378</v>
      </c>
      <c r="D9252" s="265">
        <v>1.0</v>
      </c>
      <c r="G9252" s="266">
        <v>43827.0</v>
      </c>
    </row>
    <row r="9253">
      <c r="A9253" s="217">
        <v>43849.52034625</v>
      </c>
      <c r="B9253" s="3" t="s">
        <v>5092</v>
      </c>
      <c r="C9253" s="3" t="s">
        <v>1128</v>
      </c>
      <c r="D9253" s="265">
        <v>1.0</v>
      </c>
      <c r="G9253" s="266">
        <v>43827.0</v>
      </c>
    </row>
    <row r="9254">
      <c r="A9254" s="217">
        <v>43849.52102722222</v>
      </c>
      <c r="B9254" s="3" t="s">
        <v>5092</v>
      </c>
      <c r="C9254" s="3" t="s">
        <v>3380</v>
      </c>
      <c r="D9254" s="265">
        <v>1.0</v>
      </c>
      <c r="G9254" s="266">
        <v>43827.0</v>
      </c>
    </row>
    <row r="9255">
      <c r="A9255" s="217">
        <v>43849.55705585648</v>
      </c>
      <c r="B9255" s="3" t="s">
        <v>5092</v>
      </c>
      <c r="C9255" s="3" t="s">
        <v>955</v>
      </c>
      <c r="D9255" s="265">
        <v>1.0</v>
      </c>
      <c r="E9255" s="3">
        <v>1250.0</v>
      </c>
      <c r="G9255" s="266">
        <v>43827.0</v>
      </c>
    </row>
    <row r="9256">
      <c r="A9256" s="217">
        <v>43849.56881662037</v>
      </c>
      <c r="B9256" s="3" t="s">
        <v>5092</v>
      </c>
      <c r="C9256" s="3" t="s">
        <v>10379</v>
      </c>
      <c r="D9256" s="265">
        <v>1.0</v>
      </c>
      <c r="E9256" s="3">
        <v>1250.0</v>
      </c>
      <c r="G9256" s="266">
        <v>43827.0</v>
      </c>
    </row>
    <row r="9257">
      <c r="A9257" s="217">
        <v>43849.56928984953</v>
      </c>
      <c r="B9257" s="3" t="s">
        <v>5092</v>
      </c>
      <c r="C9257" s="3" t="s">
        <v>10380</v>
      </c>
      <c r="D9257" s="265">
        <v>1.0</v>
      </c>
      <c r="E9257" s="3">
        <v>1250.0</v>
      </c>
      <c r="G9257" s="266">
        <v>43827.0</v>
      </c>
    </row>
    <row r="9258">
      <c r="A9258" s="217">
        <v>43849.57001236111</v>
      </c>
      <c r="B9258" s="3" t="s">
        <v>5092</v>
      </c>
      <c r="C9258" s="3" t="s">
        <v>10381</v>
      </c>
      <c r="D9258" s="265">
        <v>1.0</v>
      </c>
      <c r="G9258" s="266">
        <v>43827.0</v>
      </c>
    </row>
    <row r="9259">
      <c r="A9259" s="217">
        <v>43849.57046697917</v>
      </c>
      <c r="B9259" s="3" t="s">
        <v>5092</v>
      </c>
      <c r="C9259" s="3" t="s">
        <v>10382</v>
      </c>
      <c r="D9259" s="265">
        <v>1.0</v>
      </c>
      <c r="G9259" s="266">
        <v>43827.0</v>
      </c>
    </row>
    <row r="9260">
      <c r="A9260" s="217">
        <v>43849.57114971065</v>
      </c>
      <c r="B9260" s="3" t="s">
        <v>5092</v>
      </c>
      <c r="C9260" s="3" t="s">
        <v>10383</v>
      </c>
      <c r="D9260" s="265">
        <v>2.0</v>
      </c>
      <c r="G9260" s="266">
        <v>43827.0</v>
      </c>
    </row>
    <row r="9261">
      <c r="A9261" s="217">
        <v>43849.57173627315</v>
      </c>
      <c r="B9261" s="3" t="s">
        <v>5092</v>
      </c>
      <c r="C9261" s="3" t="s">
        <v>10384</v>
      </c>
      <c r="D9261" s="265">
        <v>1.0</v>
      </c>
      <c r="G9261" s="266">
        <v>43827.0</v>
      </c>
    </row>
    <row r="9262">
      <c r="A9262" s="217">
        <v>43849.572130879635</v>
      </c>
      <c r="B9262" s="3" t="s">
        <v>5092</v>
      </c>
      <c r="C9262" s="3" t="s">
        <v>10385</v>
      </c>
      <c r="D9262" s="265">
        <v>1.0</v>
      </c>
      <c r="G9262" s="266">
        <v>43827.0</v>
      </c>
    </row>
    <row r="9263">
      <c r="A9263" s="217">
        <v>43849.57276206018</v>
      </c>
      <c r="B9263" s="3" t="s">
        <v>5092</v>
      </c>
      <c r="C9263" s="3" t="s">
        <v>10386</v>
      </c>
      <c r="D9263" s="265">
        <v>1.0</v>
      </c>
      <c r="G9263" s="266">
        <v>43827.0</v>
      </c>
    </row>
    <row r="9264">
      <c r="A9264" s="217">
        <v>43849.57315298611</v>
      </c>
      <c r="B9264" s="3" t="s">
        <v>5092</v>
      </c>
      <c r="C9264" s="3" t="s">
        <v>10387</v>
      </c>
      <c r="D9264" s="265">
        <v>1.0</v>
      </c>
      <c r="G9264" s="266">
        <v>43827.0</v>
      </c>
    </row>
    <row r="9265">
      <c r="A9265" s="217">
        <v>43849.57365590278</v>
      </c>
      <c r="B9265" s="3" t="s">
        <v>5092</v>
      </c>
      <c r="C9265" s="3" t="s">
        <v>10388</v>
      </c>
      <c r="D9265" s="265">
        <v>1.0</v>
      </c>
      <c r="G9265" s="266">
        <v>43827.0</v>
      </c>
    </row>
    <row r="9266">
      <c r="A9266" s="217">
        <v>43849.574204178236</v>
      </c>
      <c r="B9266" s="3" t="s">
        <v>5092</v>
      </c>
      <c r="C9266" s="3" t="s">
        <v>10389</v>
      </c>
      <c r="D9266" s="265">
        <v>1.0</v>
      </c>
      <c r="E9266" s="3">
        <v>1400.0</v>
      </c>
      <c r="G9266" s="266">
        <v>43827.0</v>
      </c>
    </row>
    <row r="9267">
      <c r="A9267" s="217">
        <v>43849.57459556713</v>
      </c>
      <c r="B9267" s="3" t="s">
        <v>5092</v>
      </c>
      <c r="C9267" s="3" t="s">
        <v>10390</v>
      </c>
      <c r="D9267" s="265">
        <v>1.0</v>
      </c>
      <c r="E9267" s="3">
        <v>1400.0</v>
      </c>
      <c r="G9267" s="266">
        <v>43827.0</v>
      </c>
    </row>
    <row r="9268">
      <c r="A9268" s="217">
        <v>43849.57503207176</v>
      </c>
      <c r="B9268" s="3" t="s">
        <v>5092</v>
      </c>
      <c r="C9268" s="3" t="s">
        <v>10391</v>
      </c>
      <c r="D9268" s="265">
        <v>1.0</v>
      </c>
      <c r="E9268" s="3">
        <v>1400.0</v>
      </c>
      <c r="G9268" s="266">
        <v>43827.0</v>
      </c>
    </row>
    <row r="9269">
      <c r="A9269" s="217">
        <v>43849.57552300926</v>
      </c>
      <c r="B9269" s="3" t="s">
        <v>5092</v>
      </c>
      <c r="C9269" s="3" t="s">
        <v>10392</v>
      </c>
      <c r="D9269" s="265">
        <v>1.0</v>
      </c>
      <c r="E9269" s="3">
        <v>1500.0</v>
      </c>
      <c r="G9269" s="266">
        <v>43827.0</v>
      </c>
    </row>
    <row r="9270">
      <c r="A9270" s="217">
        <v>43849.57605778935</v>
      </c>
      <c r="B9270" s="3" t="s">
        <v>5092</v>
      </c>
      <c r="C9270" s="3" t="s">
        <v>10393</v>
      </c>
      <c r="D9270" s="265">
        <v>1.0</v>
      </c>
      <c r="E9270" s="3">
        <v>1500.0</v>
      </c>
      <c r="G9270" s="266">
        <v>43827.0</v>
      </c>
    </row>
    <row r="9271">
      <c r="A9271" s="217">
        <v>43849.57656731481</v>
      </c>
      <c r="B9271" s="3" t="s">
        <v>5092</v>
      </c>
      <c r="C9271" s="3" t="s">
        <v>10394</v>
      </c>
      <c r="D9271" s="265">
        <v>1.0</v>
      </c>
      <c r="E9271" s="3">
        <v>1500.0</v>
      </c>
      <c r="G9271" s="266">
        <v>43827.0</v>
      </c>
    </row>
    <row r="9272">
      <c r="A9272" s="217">
        <v>43849.57702341436</v>
      </c>
      <c r="B9272" s="3" t="s">
        <v>5092</v>
      </c>
      <c r="C9272" s="3" t="s">
        <v>10395</v>
      </c>
      <c r="D9272" s="265">
        <v>1.0</v>
      </c>
      <c r="E9272" s="3">
        <v>1500.0</v>
      </c>
      <c r="G9272" s="266">
        <v>43827.0</v>
      </c>
    </row>
    <row r="9273">
      <c r="A9273" s="217">
        <v>43849.577398622685</v>
      </c>
      <c r="B9273" s="3" t="s">
        <v>5092</v>
      </c>
      <c r="C9273" s="3" t="s">
        <v>10396</v>
      </c>
      <c r="D9273" s="265">
        <v>1.0</v>
      </c>
      <c r="E9273" s="3">
        <v>1500.0</v>
      </c>
      <c r="G9273" s="266">
        <v>43827.0</v>
      </c>
    </row>
    <row r="9274">
      <c r="A9274" s="217">
        <v>43849.57788686342</v>
      </c>
      <c r="B9274" s="3" t="s">
        <v>5092</v>
      </c>
      <c r="C9274" s="3" t="s">
        <v>10397</v>
      </c>
      <c r="D9274" s="265">
        <v>1.0</v>
      </c>
      <c r="E9274" s="3">
        <v>1500.0</v>
      </c>
      <c r="G9274" s="266">
        <v>43827.0</v>
      </c>
    </row>
    <row r="9275">
      <c r="A9275" s="217">
        <v>43849.57827803241</v>
      </c>
      <c r="B9275" s="3" t="s">
        <v>5092</v>
      </c>
      <c r="C9275" s="3" t="s">
        <v>10398</v>
      </c>
      <c r="D9275" s="265">
        <v>1.0</v>
      </c>
      <c r="E9275" s="3">
        <v>1500.0</v>
      </c>
      <c r="G9275" s="266">
        <v>43827.0</v>
      </c>
    </row>
    <row r="9276">
      <c r="A9276" s="217">
        <v>43849.57872002315</v>
      </c>
      <c r="B9276" s="3" t="s">
        <v>5092</v>
      </c>
      <c r="C9276" s="3" t="s">
        <v>10399</v>
      </c>
      <c r="D9276" s="265">
        <v>1.0</v>
      </c>
      <c r="E9276" s="3">
        <v>1500.0</v>
      </c>
      <c r="G9276" s="266">
        <v>43827.0</v>
      </c>
    </row>
    <row r="9277">
      <c r="A9277" s="217">
        <v>43849.579112499996</v>
      </c>
      <c r="B9277" s="3" t="s">
        <v>5092</v>
      </c>
      <c r="C9277" s="3" t="s">
        <v>10400</v>
      </c>
      <c r="D9277" s="265">
        <v>1.0</v>
      </c>
      <c r="E9277" s="3">
        <v>1500.0</v>
      </c>
      <c r="G9277" s="266">
        <v>43827.0</v>
      </c>
    </row>
    <row r="9278">
      <c r="A9278" s="217">
        <v>43849.57964672454</v>
      </c>
      <c r="B9278" s="3" t="s">
        <v>5092</v>
      </c>
      <c r="C9278" s="3" t="s">
        <v>10401</v>
      </c>
      <c r="D9278" s="265">
        <v>1.0</v>
      </c>
      <c r="E9278" s="3">
        <v>1500.0</v>
      </c>
      <c r="G9278" s="266">
        <v>43827.0</v>
      </c>
    </row>
    <row r="9279">
      <c r="A9279" s="217">
        <v>43849.58002318287</v>
      </c>
      <c r="B9279" s="3" t="s">
        <v>5092</v>
      </c>
      <c r="C9279" s="3" t="s">
        <v>10402</v>
      </c>
      <c r="D9279" s="265">
        <v>1.0</v>
      </c>
      <c r="E9279" s="3">
        <v>1500.0</v>
      </c>
      <c r="G9279" s="266">
        <v>43827.0</v>
      </c>
    </row>
    <row r="9280">
      <c r="A9280" s="217">
        <v>43849.58046413194</v>
      </c>
      <c r="B9280" s="3" t="s">
        <v>5092</v>
      </c>
      <c r="C9280" s="3" t="s">
        <v>10403</v>
      </c>
      <c r="D9280" s="265">
        <v>1.0</v>
      </c>
      <c r="E9280" s="3">
        <v>1500.0</v>
      </c>
      <c r="G9280" s="266">
        <v>43827.0</v>
      </c>
    </row>
    <row r="9281">
      <c r="A9281" s="217">
        <v>43849.58105635417</v>
      </c>
      <c r="B9281" s="3" t="s">
        <v>5092</v>
      </c>
      <c r="C9281" s="3" t="s">
        <v>10404</v>
      </c>
      <c r="D9281" s="265">
        <v>1.0</v>
      </c>
      <c r="E9281" s="3">
        <v>1300.0</v>
      </c>
      <c r="G9281" s="266">
        <v>43827.0</v>
      </c>
    </row>
    <row r="9282">
      <c r="A9282" s="217">
        <v>43849.58171782407</v>
      </c>
      <c r="B9282" s="3" t="s">
        <v>5092</v>
      </c>
      <c r="C9282" s="3" t="s">
        <v>10405</v>
      </c>
      <c r="D9282" s="265">
        <v>1.0</v>
      </c>
      <c r="G9282" s="266">
        <v>43827.0</v>
      </c>
    </row>
    <row r="9283">
      <c r="A9283" s="217">
        <v>43849.582133749995</v>
      </c>
      <c r="B9283" s="3" t="s">
        <v>5092</v>
      </c>
      <c r="C9283" s="3" t="s">
        <v>10406</v>
      </c>
      <c r="D9283" s="265">
        <v>1.0</v>
      </c>
      <c r="G9283" s="266">
        <v>43827.0</v>
      </c>
    </row>
    <row r="9284">
      <c r="A9284" s="217">
        <v>43849.5825077662</v>
      </c>
      <c r="B9284" s="3" t="s">
        <v>5092</v>
      </c>
      <c r="C9284" s="3" t="s">
        <v>10407</v>
      </c>
      <c r="D9284" s="265">
        <v>1.0</v>
      </c>
      <c r="G9284" s="266">
        <v>43827.0</v>
      </c>
    </row>
    <row r="9285">
      <c r="A9285" s="217">
        <v>43849.58287081018</v>
      </c>
      <c r="B9285" s="3" t="s">
        <v>5092</v>
      </c>
      <c r="C9285" s="3" t="s">
        <v>1120</v>
      </c>
      <c r="D9285" s="265">
        <v>1.0</v>
      </c>
      <c r="G9285" s="266">
        <v>43827.0</v>
      </c>
    </row>
    <row r="9286">
      <c r="A9286" s="217">
        <v>43849.60836787037</v>
      </c>
      <c r="B9286" s="3" t="s">
        <v>5092</v>
      </c>
      <c r="C9286" s="3" t="s">
        <v>10408</v>
      </c>
      <c r="D9286" s="265">
        <v>1.0</v>
      </c>
      <c r="E9286" s="3">
        <v>1750.0</v>
      </c>
      <c r="G9286" s="266">
        <v>43827.0</v>
      </c>
    </row>
    <row r="9287">
      <c r="A9287" s="217">
        <v>43849.60942555555</v>
      </c>
      <c r="B9287" s="3" t="s">
        <v>5092</v>
      </c>
      <c r="C9287" s="3" t="s">
        <v>10410</v>
      </c>
      <c r="D9287" s="265">
        <v>1.0</v>
      </c>
      <c r="E9287" s="3">
        <v>1750.0</v>
      </c>
      <c r="G9287" s="266">
        <v>43827.0</v>
      </c>
    </row>
    <row r="9288">
      <c r="A9288" s="217">
        <v>43849.610050972224</v>
      </c>
      <c r="B9288" s="3" t="s">
        <v>5092</v>
      </c>
      <c r="C9288" s="3" t="s">
        <v>10411</v>
      </c>
      <c r="D9288" s="265">
        <v>1.0</v>
      </c>
      <c r="E9288" s="3">
        <v>1750.0</v>
      </c>
      <c r="G9288" s="266">
        <v>43827.0</v>
      </c>
    </row>
    <row r="9289">
      <c r="A9289" s="217">
        <v>43849.610592199075</v>
      </c>
      <c r="B9289" s="3" t="s">
        <v>5092</v>
      </c>
      <c r="C9289" s="3" t="s">
        <v>10412</v>
      </c>
      <c r="D9289" s="265">
        <v>1.0</v>
      </c>
      <c r="E9289" s="3">
        <v>1750.0</v>
      </c>
      <c r="G9289" s="266">
        <v>43827.0</v>
      </c>
    </row>
    <row r="9290">
      <c r="A9290" s="217">
        <v>43849.61125232639</v>
      </c>
      <c r="B9290" s="3" t="s">
        <v>5092</v>
      </c>
      <c r="C9290" s="3" t="s">
        <v>10413</v>
      </c>
      <c r="D9290" s="265">
        <v>1.0</v>
      </c>
      <c r="E9290" s="3">
        <v>1750.0</v>
      </c>
      <c r="G9290" s="266">
        <v>43827.0</v>
      </c>
    </row>
    <row r="9291">
      <c r="A9291" s="217">
        <v>43849.61220451389</v>
      </c>
      <c r="B9291" s="3" t="s">
        <v>5092</v>
      </c>
      <c r="C9291" s="3" t="s">
        <v>10414</v>
      </c>
      <c r="D9291" s="265">
        <v>1.0</v>
      </c>
      <c r="E9291" s="3">
        <v>1750.0</v>
      </c>
      <c r="G9291" s="266">
        <v>43827.0</v>
      </c>
    </row>
    <row r="9292">
      <c r="A9292" s="217">
        <v>43849.61278862269</v>
      </c>
      <c r="B9292" s="3" t="s">
        <v>5092</v>
      </c>
      <c r="C9292" s="3" t="s">
        <v>10415</v>
      </c>
      <c r="D9292" s="265">
        <v>1.0</v>
      </c>
      <c r="E9292" s="3">
        <v>1750.0</v>
      </c>
      <c r="G9292" s="266">
        <v>43827.0</v>
      </c>
    </row>
    <row r="9293">
      <c r="A9293" s="217">
        <v>43849.61337518519</v>
      </c>
      <c r="B9293" s="3" t="s">
        <v>5092</v>
      </c>
      <c r="C9293" s="3" t="s">
        <v>10416</v>
      </c>
      <c r="D9293" s="265">
        <v>1.0</v>
      </c>
      <c r="E9293" s="3">
        <v>1750.0</v>
      </c>
      <c r="G9293" s="266">
        <v>43827.0</v>
      </c>
    </row>
    <row r="9294">
      <c r="A9294" s="217">
        <v>43849.61398638889</v>
      </c>
      <c r="B9294" s="3" t="s">
        <v>5092</v>
      </c>
      <c r="C9294" s="3" t="s">
        <v>10417</v>
      </c>
      <c r="D9294" s="265">
        <v>1.0</v>
      </c>
      <c r="E9294" s="3">
        <v>1750.0</v>
      </c>
      <c r="G9294" s="266">
        <v>43827.0</v>
      </c>
    </row>
    <row r="9295">
      <c r="A9295" s="217">
        <v>43849.614624699076</v>
      </c>
      <c r="B9295" s="3" t="s">
        <v>5092</v>
      </c>
      <c r="C9295" s="3" t="s">
        <v>10418</v>
      </c>
      <c r="D9295" s="265">
        <v>1.0</v>
      </c>
      <c r="E9295" s="3">
        <v>1750.0</v>
      </c>
      <c r="G9295" s="266">
        <v>43827.0</v>
      </c>
    </row>
    <row r="9296">
      <c r="A9296" s="217">
        <v>43849.615401400464</v>
      </c>
      <c r="B9296" s="3" t="s">
        <v>5092</v>
      </c>
      <c r="C9296" s="3" t="s">
        <v>10419</v>
      </c>
      <c r="D9296" s="265">
        <v>1.0</v>
      </c>
      <c r="E9296" s="3">
        <v>1750.0</v>
      </c>
      <c r="G9296" s="266">
        <v>43827.0</v>
      </c>
    </row>
    <row r="9297">
      <c r="A9297" s="217">
        <v>43849.61603434027</v>
      </c>
      <c r="B9297" s="3" t="s">
        <v>5092</v>
      </c>
      <c r="C9297" s="3" t="s">
        <v>10420</v>
      </c>
      <c r="D9297" s="265">
        <v>1.0</v>
      </c>
      <c r="E9297" s="3">
        <v>1750.0</v>
      </c>
      <c r="G9297" s="266">
        <v>43827.0</v>
      </c>
    </row>
    <row r="9298">
      <c r="A9298" s="217">
        <v>43849.616804641206</v>
      </c>
      <c r="B9298" s="3" t="s">
        <v>5092</v>
      </c>
      <c r="C9298" s="3" t="s">
        <v>10421</v>
      </c>
      <c r="D9298" s="265">
        <v>1.0</v>
      </c>
      <c r="E9298" s="3">
        <v>1750.0</v>
      </c>
      <c r="G9298" s="266">
        <v>43827.0</v>
      </c>
    </row>
    <row r="9299">
      <c r="A9299" s="217">
        <v>43849.6173212037</v>
      </c>
      <c r="B9299" s="3" t="s">
        <v>5092</v>
      </c>
      <c r="C9299" s="3" t="s">
        <v>10412</v>
      </c>
      <c r="D9299" s="265">
        <v>1.0</v>
      </c>
      <c r="E9299" s="3">
        <v>1750.0</v>
      </c>
      <c r="G9299" s="266">
        <v>43827.0</v>
      </c>
    </row>
    <row r="9300">
      <c r="A9300" s="217">
        <v>43849.617894375</v>
      </c>
      <c r="B9300" s="3" t="s">
        <v>5092</v>
      </c>
      <c r="C9300" s="3" t="s">
        <v>10422</v>
      </c>
      <c r="D9300" s="265">
        <v>1.0</v>
      </c>
      <c r="E9300" s="3">
        <v>1750.0</v>
      </c>
      <c r="G9300" s="266">
        <v>43827.0</v>
      </c>
    </row>
    <row r="9301">
      <c r="A9301" s="217">
        <v>43849.684193796296</v>
      </c>
      <c r="B9301" s="3" t="s">
        <v>5092</v>
      </c>
      <c r="C9301" s="3" t="s">
        <v>1180</v>
      </c>
      <c r="D9301" s="265">
        <v>1.0</v>
      </c>
      <c r="E9301" s="3">
        <v>3200.0</v>
      </c>
      <c r="G9301" s="266">
        <v>43830.0</v>
      </c>
    </row>
    <row r="9302">
      <c r="A9302" s="217">
        <v>43849.68461604167</v>
      </c>
      <c r="B9302" s="3" t="s">
        <v>5092</v>
      </c>
      <c r="C9302" s="3" t="s">
        <v>1181</v>
      </c>
      <c r="D9302" s="265">
        <v>1.0</v>
      </c>
      <c r="E9302" s="3">
        <v>3200.0</v>
      </c>
      <c r="G9302" s="266">
        <v>43830.0</v>
      </c>
    </row>
    <row r="9303">
      <c r="A9303" s="217">
        <v>43849.685070231484</v>
      </c>
      <c r="B9303" s="3" t="s">
        <v>5092</v>
      </c>
      <c r="C9303" s="3" t="s">
        <v>1182</v>
      </c>
      <c r="D9303" s="265">
        <v>1.0</v>
      </c>
      <c r="E9303" s="3">
        <v>3200.0</v>
      </c>
      <c r="G9303" s="266">
        <v>43830.0</v>
      </c>
    </row>
    <row r="9304">
      <c r="A9304" s="217">
        <v>43849.686299050925</v>
      </c>
      <c r="B9304" s="3" t="s">
        <v>5092</v>
      </c>
      <c r="C9304" s="3" t="s">
        <v>10425</v>
      </c>
      <c r="D9304" s="265">
        <v>1.0</v>
      </c>
      <c r="E9304" s="3">
        <v>3200.0</v>
      </c>
      <c r="G9304" s="266">
        <v>43830.0</v>
      </c>
    </row>
    <row r="9305">
      <c r="A9305" s="217">
        <v>43849.68699188657</v>
      </c>
      <c r="B9305" s="3" t="s">
        <v>5092</v>
      </c>
      <c r="C9305" s="3" t="s">
        <v>10426</v>
      </c>
      <c r="D9305" s="265">
        <v>1.0</v>
      </c>
      <c r="E9305" s="3">
        <v>3200.0</v>
      </c>
      <c r="G9305" s="266">
        <v>43830.0</v>
      </c>
    </row>
    <row r="9306">
      <c r="A9306" s="217">
        <v>43849.6876127662</v>
      </c>
      <c r="B9306" s="3" t="s">
        <v>5092</v>
      </c>
      <c r="C9306" s="3" t="s">
        <v>3418</v>
      </c>
      <c r="D9306" s="265">
        <v>1.0</v>
      </c>
      <c r="G9306" s="266">
        <v>43830.0</v>
      </c>
    </row>
    <row r="9307">
      <c r="A9307" s="217">
        <v>43849.68820771991</v>
      </c>
      <c r="B9307" s="3" t="s">
        <v>5092</v>
      </c>
      <c r="C9307" s="3" t="s">
        <v>10427</v>
      </c>
      <c r="D9307" s="265">
        <v>1.0</v>
      </c>
      <c r="E9307" s="3">
        <v>3200.0</v>
      </c>
      <c r="G9307" s="266">
        <v>43830.0</v>
      </c>
    </row>
    <row r="9308">
      <c r="A9308" s="217">
        <v>43849.68906993055</v>
      </c>
      <c r="B9308" s="3" t="s">
        <v>5092</v>
      </c>
      <c r="C9308" s="3" t="s">
        <v>10428</v>
      </c>
      <c r="D9308" s="265">
        <v>1.0</v>
      </c>
      <c r="E9308" s="3">
        <v>3200.0</v>
      </c>
      <c r="G9308" s="266">
        <v>43830.0</v>
      </c>
    </row>
    <row r="9309">
      <c r="A9309" s="217">
        <v>43849.68974969907</v>
      </c>
      <c r="B9309" s="3" t="s">
        <v>5092</v>
      </c>
      <c r="C9309" s="3" t="s">
        <v>1166</v>
      </c>
      <c r="D9309" s="265">
        <v>1.0</v>
      </c>
      <c r="E9309" s="3">
        <v>3200.0</v>
      </c>
      <c r="G9309" s="266">
        <v>43830.0</v>
      </c>
    </row>
    <row r="9310">
      <c r="A9310" s="217">
        <v>43849.69014357639</v>
      </c>
      <c r="B9310" s="3" t="s">
        <v>5092</v>
      </c>
      <c r="C9310" s="3" t="s">
        <v>1167</v>
      </c>
      <c r="D9310" s="265">
        <v>1.0</v>
      </c>
      <c r="E9310" s="3">
        <v>3200.0</v>
      </c>
      <c r="G9310" s="266">
        <v>43830.0</v>
      </c>
    </row>
    <row r="9311">
      <c r="A9311" s="217">
        <v>43849.69229461806</v>
      </c>
      <c r="B9311" s="3" t="s">
        <v>5092</v>
      </c>
      <c r="C9311" s="3" t="s">
        <v>3419</v>
      </c>
      <c r="D9311" s="265">
        <v>1.0</v>
      </c>
      <c r="G9311" s="266">
        <v>43830.0</v>
      </c>
    </row>
    <row r="9312">
      <c r="A9312" s="217">
        <v>43849.693080185185</v>
      </c>
      <c r="B9312" s="3" t="s">
        <v>5092</v>
      </c>
      <c r="C9312" s="3" t="s">
        <v>8930</v>
      </c>
      <c r="D9312" s="265">
        <v>1.0</v>
      </c>
      <c r="E9312" s="3">
        <v>3200.0</v>
      </c>
      <c r="G9312" s="266">
        <v>43830.0</v>
      </c>
    </row>
    <row r="9313">
      <c r="A9313" s="217">
        <v>43849.69347478009</v>
      </c>
      <c r="B9313" s="3" t="s">
        <v>5092</v>
      </c>
      <c r="C9313" s="3" t="s">
        <v>8931</v>
      </c>
      <c r="D9313" s="265">
        <v>1.0</v>
      </c>
      <c r="E9313" s="3">
        <v>3200.0</v>
      </c>
      <c r="G9313" s="266">
        <v>43830.0</v>
      </c>
    </row>
    <row r="9314">
      <c r="A9314" s="217">
        <v>43849.69386719908</v>
      </c>
      <c r="B9314" s="3" t="s">
        <v>5092</v>
      </c>
      <c r="C9314" s="3" t="s">
        <v>10429</v>
      </c>
      <c r="D9314" s="265">
        <v>1.0</v>
      </c>
      <c r="E9314" s="3">
        <v>3200.0</v>
      </c>
      <c r="G9314" s="266">
        <v>43830.0</v>
      </c>
    </row>
    <row r="9315">
      <c r="A9315" s="217">
        <v>43849.69453649306</v>
      </c>
      <c r="B9315" s="3" t="s">
        <v>5092</v>
      </c>
      <c r="C9315" s="3" t="s">
        <v>10430</v>
      </c>
      <c r="D9315" s="265">
        <v>1.0</v>
      </c>
      <c r="E9315" s="3">
        <v>3200.0</v>
      </c>
      <c r="G9315" s="266">
        <v>43830.0</v>
      </c>
    </row>
    <row r="9316">
      <c r="A9316" s="217">
        <v>43849.69490528935</v>
      </c>
      <c r="B9316" s="3" t="s">
        <v>5092</v>
      </c>
      <c r="C9316" s="3" t="s">
        <v>10431</v>
      </c>
      <c r="D9316" s="265">
        <v>1.0</v>
      </c>
      <c r="E9316" s="3">
        <v>3200.0</v>
      </c>
      <c r="G9316" s="266">
        <v>43830.0</v>
      </c>
    </row>
    <row r="9317">
      <c r="A9317" s="217">
        <v>43849.696486458335</v>
      </c>
      <c r="B9317" s="3" t="s">
        <v>5092</v>
      </c>
      <c r="C9317" s="3" t="s">
        <v>10432</v>
      </c>
      <c r="D9317" s="265">
        <v>1.0</v>
      </c>
      <c r="G9317" s="266">
        <v>43830.0</v>
      </c>
    </row>
    <row r="9318">
      <c r="A9318" s="217">
        <v>43849.697091979164</v>
      </c>
      <c r="B9318" s="3" t="s">
        <v>5092</v>
      </c>
      <c r="C9318" s="3" t="s">
        <v>10433</v>
      </c>
      <c r="D9318" s="265">
        <v>1.0</v>
      </c>
      <c r="E9318" s="3">
        <v>3200.0</v>
      </c>
      <c r="G9318" s="266">
        <v>43830.0</v>
      </c>
    </row>
    <row r="9319">
      <c r="A9319" s="217">
        <v>43849.69753773148</v>
      </c>
      <c r="B9319" s="3" t="s">
        <v>5092</v>
      </c>
      <c r="C9319" s="3" t="s">
        <v>10434</v>
      </c>
      <c r="D9319" s="265">
        <v>1.0</v>
      </c>
      <c r="E9319" s="3">
        <v>3200.0</v>
      </c>
      <c r="G9319" s="266">
        <v>43830.0</v>
      </c>
    </row>
    <row r="9320">
      <c r="A9320" s="217">
        <v>43849.69796103009</v>
      </c>
      <c r="B9320" s="3" t="s">
        <v>5092</v>
      </c>
      <c r="C9320" s="3" t="s">
        <v>10435</v>
      </c>
      <c r="D9320" s="265">
        <v>1.0</v>
      </c>
      <c r="E9320" s="3">
        <v>3200.0</v>
      </c>
      <c r="G9320" s="266">
        <v>43830.0</v>
      </c>
    </row>
    <row r="9321">
      <c r="A9321" s="217">
        <v>43849.69847297454</v>
      </c>
      <c r="B9321" s="3" t="s">
        <v>5092</v>
      </c>
      <c r="C9321" s="3" t="s">
        <v>10436</v>
      </c>
      <c r="D9321" s="265">
        <v>1.0</v>
      </c>
      <c r="E9321" s="3">
        <v>3200.0</v>
      </c>
      <c r="G9321" s="266">
        <v>43830.0</v>
      </c>
    </row>
    <row r="9322">
      <c r="A9322" s="217">
        <v>43849.69910960648</v>
      </c>
      <c r="B9322" s="3" t="s">
        <v>5092</v>
      </c>
      <c r="C9322" s="3" t="s">
        <v>10437</v>
      </c>
      <c r="D9322" s="265">
        <v>1.0</v>
      </c>
      <c r="E9322" s="3">
        <v>3200.0</v>
      </c>
      <c r="G9322" s="266">
        <v>43830.0</v>
      </c>
    </row>
    <row r="9323">
      <c r="A9323" s="217">
        <v>43849.6995509838</v>
      </c>
      <c r="B9323" s="3" t="s">
        <v>5092</v>
      </c>
      <c r="C9323" s="3" t="s">
        <v>1178</v>
      </c>
      <c r="D9323" s="265">
        <v>1.0</v>
      </c>
      <c r="E9323" s="3">
        <v>3200.0</v>
      </c>
      <c r="G9323" s="266">
        <v>43830.0</v>
      </c>
    </row>
    <row r="9324">
      <c r="A9324" s="217">
        <v>43849.699904270834</v>
      </c>
      <c r="B9324" s="3" t="s">
        <v>5092</v>
      </c>
      <c r="C9324" s="3" t="s">
        <v>1179</v>
      </c>
      <c r="D9324" s="265">
        <v>1.0</v>
      </c>
      <c r="E9324" s="3">
        <v>3200.0</v>
      </c>
      <c r="G9324" s="266">
        <v>43830.0</v>
      </c>
    </row>
    <row r="9325">
      <c r="A9325" s="217">
        <v>43849.70036478009</v>
      </c>
      <c r="B9325" s="3" t="s">
        <v>5092</v>
      </c>
      <c r="C9325" s="3" t="s">
        <v>10438</v>
      </c>
      <c r="D9325" s="265">
        <v>1.0</v>
      </c>
      <c r="E9325" s="3">
        <v>3200.0</v>
      </c>
      <c r="G9325" s="266">
        <v>43830.0</v>
      </c>
    </row>
    <row r="9326">
      <c r="A9326" s="217">
        <v>43849.700922627315</v>
      </c>
      <c r="B9326" s="3" t="s">
        <v>5092</v>
      </c>
      <c r="C9326" s="3" t="s">
        <v>1175</v>
      </c>
      <c r="D9326" s="265">
        <v>1.0</v>
      </c>
      <c r="E9326" s="3">
        <v>3200.0</v>
      </c>
      <c r="G9326" s="266">
        <v>43830.0</v>
      </c>
    </row>
    <row r="9327">
      <c r="A9327" s="217">
        <v>43849.70165106481</v>
      </c>
      <c r="B9327" s="3" t="s">
        <v>5092</v>
      </c>
      <c r="C9327" s="3" t="s">
        <v>10439</v>
      </c>
      <c r="D9327" s="265">
        <v>1.0</v>
      </c>
      <c r="E9327" s="3">
        <v>3200.0</v>
      </c>
      <c r="G9327" s="266">
        <v>43830.0</v>
      </c>
    </row>
    <row r="9328">
      <c r="A9328" s="217">
        <v>43849.70227384259</v>
      </c>
      <c r="B9328" s="3" t="s">
        <v>5092</v>
      </c>
      <c r="C9328" s="3" t="s">
        <v>10440</v>
      </c>
      <c r="D9328" s="265">
        <v>1.0</v>
      </c>
      <c r="E9328" s="3">
        <v>3200.0</v>
      </c>
      <c r="G9328" s="266">
        <v>43830.0</v>
      </c>
    </row>
    <row r="9329">
      <c r="A9329" s="217">
        <v>43849.70269818287</v>
      </c>
      <c r="B9329" s="3" t="s">
        <v>5092</v>
      </c>
      <c r="C9329" s="3" t="s">
        <v>1176</v>
      </c>
      <c r="D9329" s="265">
        <v>1.0</v>
      </c>
      <c r="E9329" s="3">
        <v>3200.0</v>
      </c>
      <c r="G9329" s="266">
        <v>43830.0</v>
      </c>
    </row>
    <row r="9330">
      <c r="A9330" s="217">
        <v>43849.703498981486</v>
      </c>
      <c r="B9330" s="3" t="s">
        <v>5092</v>
      </c>
      <c r="C9330" s="3" t="s">
        <v>10441</v>
      </c>
      <c r="D9330" s="265">
        <v>1.0</v>
      </c>
      <c r="E9330" s="3">
        <v>3200.0</v>
      </c>
      <c r="G9330" s="266">
        <v>43830.0</v>
      </c>
    </row>
    <row r="9331">
      <c r="A9331" s="217">
        <v>43849.70394399305</v>
      </c>
      <c r="B9331" s="3" t="s">
        <v>5092</v>
      </c>
      <c r="C9331" s="3" t="s">
        <v>10442</v>
      </c>
      <c r="D9331" s="265">
        <v>1.0</v>
      </c>
      <c r="E9331" s="3">
        <v>3200.0</v>
      </c>
      <c r="G9331" s="266">
        <v>43830.0</v>
      </c>
    </row>
    <row r="9332">
      <c r="A9332" s="217">
        <v>43849.70452883102</v>
      </c>
      <c r="B9332" s="3" t="s">
        <v>5092</v>
      </c>
      <c r="C9332" s="3" t="s">
        <v>10443</v>
      </c>
      <c r="D9332" s="265">
        <v>1.0</v>
      </c>
      <c r="G9332" s="266">
        <v>43830.0</v>
      </c>
    </row>
    <row r="9333">
      <c r="A9333" s="217">
        <v>43849.705390787036</v>
      </c>
      <c r="B9333" s="3" t="s">
        <v>5092</v>
      </c>
      <c r="C9333" s="3" t="s">
        <v>10444</v>
      </c>
      <c r="D9333" s="265">
        <v>1.0</v>
      </c>
      <c r="G9333" s="266">
        <v>43830.0</v>
      </c>
    </row>
    <row r="9334">
      <c r="A9334" s="217">
        <v>43849.70581817129</v>
      </c>
      <c r="B9334" s="3" t="s">
        <v>5092</v>
      </c>
      <c r="C9334" s="3" t="s">
        <v>10445</v>
      </c>
      <c r="D9334" s="265">
        <v>1.0</v>
      </c>
      <c r="E9334" s="3">
        <v>3200.0</v>
      </c>
      <c r="G9334" s="266">
        <v>43830.0</v>
      </c>
    </row>
    <row r="9335">
      <c r="A9335" s="217">
        <v>43849.70618972222</v>
      </c>
      <c r="B9335" s="3" t="s">
        <v>5092</v>
      </c>
      <c r="C9335" s="3" t="s">
        <v>10446</v>
      </c>
      <c r="D9335" s="265">
        <v>1.0</v>
      </c>
      <c r="E9335" s="3">
        <v>3200.0</v>
      </c>
      <c r="G9335" s="266">
        <v>43830.0</v>
      </c>
    </row>
    <row r="9336">
      <c r="A9336" s="217">
        <v>43849.723479733795</v>
      </c>
      <c r="B9336" s="3" t="s">
        <v>5092</v>
      </c>
      <c r="C9336" s="3" t="s">
        <v>10447</v>
      </c>
      <c r="D9336" s="265">
        <v>1.0</v>
      </c>
      <c r="G9336" s="266">
        <v>43830.0</v>
      </c>
    </row>
    <row r="9337">
      <c r="A9337" s="217">
        <v>43849.724180879624</v>
      </c>
      <c r="B9337" s="3" t="s">
        <v>5092</v>
      </c>
      <c r="C9337" s="3" t="s">
        <v>10449</v>
      </c>
      <c r="D9337" s="265">
        <v>1.0</v>
      </c>
      <c r="G9337" s="266">
        <v>43830.0</v>
      </c>
    </row>
    <row r="9338">
      <c r="A9338" s="217">
        <v>43849.72484621528</v>
      </c>
      <c r="B9338" s="3" t="s">
        <v>5092</v>
      </c>
      <c r="C9338" s="3" t="s">
        <v>10450</v>
      </c>
      <c r="D9338" s="265">
        <v>2.0</v>
      </c>
      <c r="G9338" s="266">
        <v>43830.0</v>
      </c>
    </row>
    <row r="9339">
      <c r="A9339" s="217">
        <v>43849.725549780094</v>
      </c>
      <c r="B9339" s="3" t="s">
        <v>5092</v>
      </c>
      <c r="C9339" s="3" t="s">
        <v>10451</v>
      </c>
      <c r="D9339" s="265">
        <v>1.0</v>
      </c>
      <c r="G9339" s="266">
        <v>43830.0</v>
      </c>
    </row>
    <row r="9340">
      <c r="A9340" s="217">
        <v>43849.72632077546</v>
      </c>
      <c r="B9340" s="3" t="s">
        <v>5092</v>
      </c>
      <c r="C9340" s="3" t="s">
        <v>10452</v>
      </c>
      <c r="D9340" s="265">
        <v>1.0</v>
      </c>
      <c r="G9340" s="266">
        <v>43830.0</v>
      </c>
    </row>
    <row r="9341">
      <c r="A9341" s="217">
        <v>43849.72689980324</v>
      </c>
      <c r="B9341" s="3" t="s">
        <v>5092</v>
      </c>
      <c r="C9341" s="3" t="s">
        <v>10453</v>
      </c>
      <c r="D9341" s="265">
        <v>1.0</v>
      </c>
      <c r="G9341" s="266">
        <v>43830.0</v>
      </c>
    </row>
    <row r="9342">
      <c r="A9342" s="217">
        <v>43849.72739960648</v>
      </c>
      <c r="B9342" s="3" t="s">
        <v>5092</v>
      </c>
      <c r="C9342" s="3" t="s">
        <v>10454</v>
      </c>
      <c r="D9342" s="265">
        <v>1.0</v>
      </c>
      <c r="G9342" s="266">
        <v>43830.0</v>
      </c>
    </row>
    <row r="9343">
      <c r="A9343" s="217">
        <v>43849.727760671296</v>
      </c>
      <c r="B9343" s="3" t="s">
        <v>5092</v>
      </c>
      <c r="C9343" s="3" t="s">
        <v>906</v>
      </c>
      <c r="D9343" s="265">
        <v>1.0</v>
      </c>
      <c r="G9343" s="266">
        <v>43830.0</v>
      </c>
    </row>
    <row r="9344">
      <c r="A9344" s="217">
        <v>43849.728340393514</v>
      </c>
      <c r="B9344" s="3" t="s">
        <v>5092</v>
      </c>
      <c r="C9344" s="3" t="s">
        <v>908</v>
      </c>
      <c r="D9344" s="265">
        <v>1.0</v>
      </c>
      <c r="G9344" s="266">
        <v>43830.0</v>
      </c>
    </row>
    <row r="9345">
      <c r="A9345" s="217">
        <v>43849.72896846065</v>
      </c>
      <c r="B9345" s="3" t="s">
        <v>5092</v>
      </c>
      <c r="C9345" s="3" t="s">
        <v>3208</v>
      </c>
      <c r="D9345" s="265">
        <v>2.0</v>
      </c>
      <c r="G9345" s="266">
        <v>43830.0</v>
      </c>
    </row>
    <row r="9346">
      <c r="A9346" s="217">
        <v>43849.72956586805</v>
      </c>
      <c r="B9346" s="3" t="s">
        <v>5092</v>
      </c>
      <c r="C9346" s="3" t="s">
        <v>10455</v>
      </c>
      <c r="D9346" s="265">
        <v>1.0</v>
      </c>
      <c r="G9346" s="266">
        <v>43830.0</v>
      </c>
    </row>
    <row r="9347">
      <c r="A9347" s="217">
        <v>43849.72996321759</v>
      </c>
      <c r="B9347" s="3" t="s">
        <v>5092</v>
      </c>
      <c r="C9347" s="3" t="s">
        <v>10456</v>
      </c>
      <c r="D9347" s="265">
        <v>1.0</v>
      </c>
      <c r="G9347" s="266">
        <v>43830.0</v>
      </c>
    </row>
    <row r="9348">
      <c r="A9348" s="217">
        <v>43849.73044758102</v>
      </c>
      <c r="B9348" s="3" t="s">
        <v>5092</v>
      </c>
      <c r="C9348" s="3" t="s">
        <v>10457</v>
      </c>
      <c r="D9348" s="265">
        <v>1.0</v>
      </c>
      <c r="G9348" s="266">
        <v>43830.0</v>
      </c>
    </row>
    <row r="9349">
      <c r="A9349" s="217">
        <v>43849.731007291666</v>
      </c>
      <c r="B9349" s="3" t="s">
        <v>5092</v>
      </c>
      <c r="C9349" s="3" t="s">
        <v>10458</v>
      </c>
      <c r="D9349" s="265">
        <v>1.0</v>
      </c>
      <c r="G9349" s="266">
        <v>43830.0</v>
      </c>
    </row>
    <row r="9350">
      <c r="A9350" s="217">
        <v>43849.732027025464</v>
      </c>
      <c r="B9350" s="3" t="s">
        <v>5092</v>
      </c>
      <c r="C9350" s="3" t="s">
        <v>922</v>
      </c>
      <c r="D9350" s="265">
        <v>1.0</v>
      </c>
      <c r="G9350" s="266">
        <v>43830.0</v>
      </c>
    </row>
    <row r="9351">
      <c r="A9351" s="217">
        <v>43849.73255888889</v>
      </c>
      <c r="B9351" s="3" t="s">
        <v>5092</v>
      </c>
      <c r="C9351" s="3" t="s">
        <v>3215</v>
      </c>
      <c r="D9351" s="265">
        <v>1.0</v>
      </c>
      <c r="G9351" s="266">
        <v>43830.0</v>
      </c>
    </row>
    <row r="9352">
      <c r="A9352" s="217">
        <v>43849.7331705324</v>
      </c>
      <c r="B9352" s="3" t="s">
        <v>5092</v>
      </c>
      <c r="C9352" s="3" t="s">
        <v>1168</v>
      </c>
      <c r="D9352" s="265">
        <v>1.0</v>
      </c>
      <c r="G9352" s="266">
        <v>43830.0</v>
      </c>
    </row>
    <row r="9353">
      <c r="A9353" s="217">
        <v>43849.73372408564</v>
      </c>
      <c r="B9353" s="3" t="s">
        <v>5092</v>
      </c>
      <c r="C9353" s="3" t="s">
        <v>1170</v>
      </c>
      <c r="D9353" s="265">
        <v>1.0</v>
      </c>
      <c r="G9353" s="266">
        <v>43830.0</v>
      </c>
    </row>
    <row r="9354">
      <c r="A9354" s="217">
        <v>43849.73420276621</v>
      </c>
      <c r="B9354" s="3" t="s">
        <v>5092</v>
      </c>
      <c r="C9354" s="3" t="s">
        <v>10459</v>
      </c>
      <c r="D9354" s="265">
        <v>1.0</v>
      </c>
      <c r="G9354" s="266">
        <v>43830.0</v>
      </c>
    </row>
    <row r="9355">
      <c r="A9355" s="217">
        <v>43849.734743078705</v>
      </c>
      <c r="B9355" s="3" t="s">
        <v>5092</v>
      </c>
      <c r="C9355" s="3" t="s">
        <v>3420</v>
      </c>
      <c r="D9355" s="265">
        <v>1.0</v>
      </c>
      <c r="G9355" s="266">
        <v>43830.0</v>
      </c>
    </row>
    <row r="9356">
      <c r="A9356" s="217">
        <v>43849.73535002315</v>
      </c>
      <c r="B9356" s="3" t="s">
        <v>5092</v>
      </c>
      <c r="C9356" s="3" t="s">
        <v>10460</v>
      </c>
      <c r="D9356" s="265">
        <v>1.0</v>
      </c>
      <c r="G9356" s="266">
        <v>43830.0</v>
      </c>
    </row>
    <row r="9357">
      <c r="A9357" s="217">
        <v>43849.735830868056</v>
      </c>
      <c r="B9357" s="3" t="s">
        <v>5092</v>
      </c>
      <c r="C9357" s="3" t="s">
        <v>10461</v>
      </c>
      <c r="D9357" s="265">
        <v>1.0</v>
      </c>
      <c r="G9357" s="266">
        <v>43830.0</v>
      </c>
    </row>
    <row r="9358">
      <c r="A9358" s="217">
        <v>43849.73650372685</v>
      </c>
      <c r="B9358" s="3" t="s">
        <v>5092</v>
      </c>
      <c r="C9358" s="3" t="s">
        <v>1201</v>
      </c>
      <c r="D9358" s="265">
        <v>1.0</v>
      </c>
      <c r="G9358" s="266">
        <v>43830.0</v>
      </c>
    </row>
    <row r="9359">
      <c r="A9359" s="217">
        <v>43849.73743680556</v>
      </c>
      <c r="B9359" s="3" t="s">
        <v>5092</v>
      </c>
      <c r="C9359" s="3" t="s">
        <v>1202</v>
      </c>
      <c r="D9359" s="265">
        <v>1.0</v>
      </c>
      <c r="G9359" s="266">
        <v>43830.0</v>
      </c>
    </row>
    <row r="9360">
      <c r="A9360" s="217">
        <v>43851.44801383102</v>
      </c>
      <c r="B9360" s="3" t="s">
        <v>5092</v>
      </c>
      <c r="C9360" s="3" t="s">
        <v>936</v>
      </c>
      <c r="D9360" s="265">
        <v>1.0</v>
      </c>
      <c r="G9360" s="266">
        <v>43830.0</v>
      </c>
    </row>
    <row r="9361">
      <c r="A9361" s="217">
        <v>43851.44914667824</v>
      </c>
      <c r="B9361" s="3" t="s">
        <v>5092</v>
      </c>
      <c r="C9361" s="3" t="s">
        <v>3224</v>
      </c>
      <c r="D9361" s="265">
        <v>3.0</v>
      </c>
      <c r="G9361" s="266">
        <v>43830.0</v>
      </c>
    </row>
    <row r="9362">
      <c r="A9362" s="217">
        <v>43851.45030615741</v>
      </c>
      <c r="B9362" s="3" t="s">
        <v>5092</v>
      </c>
      <c r="C9362" s="3" t="s">
        <v>882</v>
      </c>
      <c r="D9362" s="265">
        <v>1.0</v>
      </c>
      <c r="G9362" s="266">
        <v>43830.0</v>
      </c>
    </row>
    <row r="9363">
      <c r="A9363" s="217">
        <v>43851.45476876157</v>
      </c>
      <c r="B9363" s="3" t="s">
        <v>5092</v>
      </c>
      <c r="C9363" s="3" t="s">
        <v>3199</v>
      </c>
      <c r="D9363" s="265">
        <v>1.0</v>
      </c>
      <c r="G9363" s="266">
        <v>43830.0</v>
      </c>
    </row>
    <row r="9364">
      <c r="A9364" s="217">
        <v>43851.45699315972</v>
      </c>
      <c r="B9364" s="3" t="s">
        <v>5092</v>
      </c>
      <c r="C9364" s="3" t="s">
        <v>10462</v>
      </c>
      <c r="D9364" s="265">
        <v>1.0</v>
      </c>
      <c r="G9364" s="266">
        <v>43830.0</v>
      </c>
    </row>
    <row r="9365">
      <c r="A9365" s="217">
        <v>43851.457469270834</v>
      </c>
      <c r="B9365" s="3" t="s">
        <v>5092</v>
      </c>
      <c r="C9365" s="3" t="s">
        <v>10463</v>
      </c>
      <c r="D9365" s="265">
        <v>1.0</v>
      </c>
      <c r="G9365" s="266">
        <v>43830.0</v>
      </c>
    </row>
    <row r="9366">
      <c r="A9366" s="217">
        <v>43851.45919630787</v>
      </c>
      <c r="B9366" s="3" t="s">
        <v>5092</v>
      </c>
      <c r="C9366" s="3" t="s">
        <v>10464</v>
      </c>
      <c r="D9366" s="265">
        <v>1.0</v>
      </c>
      <c r="G9366" s="266">
        <v>43830.0</v>
      </c>
    </row>
    <row r="9367">
      <c r="A9367" s="217">
        <v>43851.45958703704</v>
      </c>
      <c r="B9367" s="3" t="s">
        <v>5092</v>
      </c>
      <c r="C9367" s="3" t="s">
        <v>857</v>
      </c>
      <c r="D9367" s="265">
        <v>1.0</v>
      </c>
      <c r="G9367" s="266">
        <v>43830.0</v>
      </c>
    </row>
    <row r="9368">
      <c r="A9368" s="217">
        <v>43851.4599759375</v>
      </c>
      <c r="B9368" s="3" t="s">
        <v>5092</v>
      </c>
      <c r="C9368" s="3" t="s">
        <v>859</v>
      </c>
      <c r="D9368" s="265">
        <v>1.0</v>
      </c>
      <c r="G9368" s="266">
        <v>43830.0</v>
      </c>
    </row>
    <row r="9369">
      <c r="A9369" s="217">
        <v>43851.46048342592</v>
      </c>
      <c r="B9369" s="3" t="s">
        <v>5092</v>
      </c>
      <c r="C9369" s="3" t="s">
        <v>3188</v>
      </c>
      <c r="D9369" s="265">
        <v>1.0</v>
      </c>
      <c r="G9369" s="266">
        <v>43830.0</v>
      </c>
    </row>
    <row r="9370">
      <c r="A9370" s="217">
        <v>43851.46129025463</v>
      </c>
      <c r="B9370" s="3" t="s">
        <v>5092</v>
      </c>
      <c r="C9370" s="3" t="s">
        <v>10465</v>
      </c>
      <c r="D9370" s="265">
        <v>1.0</v>
      </c>
      <c r="G9370" s="266">
        <v>43830.0</v>
      </c>
    </row>
    <row r="9371">
      <c r="A9371" s="217">
        <v>43851.46186082176</v>
      </c>
      <c r="B9371" s="3" t="s">
        <v>5092</v>
      </c>
      <c r="C9371" s="3" t="s">
        <v>1183</v>
      </c>
      <c r="D9371" s="265">
        <v>1.0</v>
      </c>
      <c r="G9371" s="266">
        <v>43830.0</v>
      </c>
    </row>
    <row r="9372">
      <c r="A9372" s="217">
        <v>43851.50326873842</v>
      </c>
      <c r="B9372" s="3" t="s">
        <v>5092</v>
      </c>
      <c r="C9372" s="3" t="s">
        <v>10466</v>
      </c>
      <c r="D9372" s="265">
        <v>1.0</v>
      </c>
      <c r="G9372" s="266">
        <v>43830.0</v>
      </c>
    </row>
    <row r="9373">
      <c r="A9373" s="217">
        <v>43851.503741736116</v>
      </c>
      <c r="B9373" s="3" t="s">
        <v>5092</v>
      </c>
      <c r="C9373" s="3" t="s">
        <v>10467</v>
      </c>
      <c r="D9373" s="265">
        <v>1.0</v>
      </c>
      <c r="G9373" s="266">
        <v>43830.0</v>
      </c>
    </row>
    <row r="9374">
      <c r="A9374" s="217">
        <v>43851.68383011574</v>
      </c>
      <c r="B9374" s="3" t="s">
        <v>5092</v>
      </c>
      <c r="C9374" s="3" t="s">
        <v>1184</v>
      </c>
      <c r="D9374" s="265">
        <v>1.0</v>
      </c>
      <c r="G9374" s="266">
        <v>43830.0</v>
      </c>
    </row>
    <row r="9375">
      <c r="A9375" s="217">
        <v>43851.684930034724</v>
      </c>
      <c r="B9375" s="3" t="s">
        <v>5092</v>
      </c>
      <c r="C9375" s="3" t="s">
        <v>10468</v>
      </c>
      <c r="D9375" s="265">
        <v>1.0</v>
      </c>
      <c r="G9375" s="266">
        <v>43830.0</v>
      </c>
    </row>
    <row r="9376">
      <c r="A9376" s="217">
        <v>43851.68541196759</v>
      </c>
      <c r="B9376" s="3" t="s">
        <v>5092</v>
      </c>
      <c r="C9376" s="3" t="s">
        <v>3425</v>
      </c>
      <c r="D9376" s="265">
        <v>1.0</v>
      </c>
      <c r="G9376" s="266">
        <v>43830.0</v>
      </c>
    </row>
    <row r="9377">
      <c r="A9377" s="217">
        <v>43851.68610476852</v>
      </c>
      <c r="B9377" s="3" t="s">
        <v>5092</v>
      </c>
      <c r="C9377" s="3" t="s">
        <v>1171</v>
      </c>
      <c r="D9377" s="265">
        <v>1.0</v>
      </c>
      <c r="G9377" s="266">
        <v>43830.0</v>
      </c>
    </row>
    <row r="9378">
      <c r="A9378" s="217">
        <v>43851.68663564815</v>
      </c>
      <c r="B9378" s="3" t="s">
        <v>5092</v>
      </c>
      <c r="C9378" s="3" t="s">
        <v>1172</v>
      </c>
      <c r="D9378" s="265">
        <v>1.0</v>
      </c>
      <c r="G9378" s="266">
        <v>43830.0</v>
      </c>
    </row>
    <row r="9379">
      <c r="A9379" s="217">
        <v>43851.687126516204</v>
      </c>
      <c r="B9379" s="3" t="s">
        <v>5092</v>
      </c>
      <c r="C9379" s="3" t="s">
        <v>10469</v>
      </c>
      <c r="D9379" s="265">
        <v>1.0</v>
      </c>
      <c r="G9379" s="266">
        <v>43830.0</v>
      </c>
    </row>
    <row r="9380">
      <c r="A9380" s="217">
        <v>43851.68773361111</v>
      </c>
      <c r="B9380" s="3" t="s">
        <v>5092</v>
      </c>
      <c r="C9380" s="3" t="s">
        <v>10470</v>
      </c>
      <c r="D9380" s="265">
        <v>1.0</v>
      </c>
      <c r="G9380" s="266">
        <v>43830.0</v>
      </c>
    </row>
    <row r="9381">
      <c r="A9381" s="217">
        <v>43851.68826519676</v>
      </c>
      <c r="B9381" s="3" t="s">
        <v>5092</v>
      </c>
      <c r="C9381" s="3" t="s">
        <v>1187</v>
      </c>
      <c r="D9381" s="265">
        <v>1.0</v>
      </c>
      <c r="G9381" s="266">
        <v>43830.0</v>
      </c>
    </row>
    <row r="9382">
      <c r="A9382" s="217">
        <v>43851.688895011575</v>
      </c>
      <c r="B9382" s="3" t="s">
        <v>5092</v>
      </c>
      <c r="C9382" s="3" t="s">
        <v>10471</v>
      </c>
      <c r="D9382" s="265">
        <v>1.0</v>
      </c>
      <c r="G9382" s="266">
        <v>43830.0</v>
      </c>
    </row>
    <row r="9383">
      <c r="A9383" s="217">
        <v>43851.68926881945</v>
      </c>
      <c r="B9383" s="3" t="s">
        <v>5092</v>
      </c>
      <c r="C9383" s="3" t="s">
        <v>1200</v>
      </c>
      <c r="D9383" s="265">
        <v>1.0</v>
      </c>
      <c r="G9383" s="266">
        <v>43830.0</v>
      </c>
    </row>
    <row r="9384">
      <c r="A9384" s="217">
        <v>43851.68980354167</v>
      </c>
      <c r="B9384" s="3" t="s">
        <v>5092</v>
      </c>
      <c r="C9384" s="3" t="s">
        <v>10472</v>
      </c>
      <c r="D9384" s="265">
        <v>1.0</v>
      </c>
      <c r="G9384" s="266">
        <v>43830.0</v>
      </c>
    </row>
    <row r="9385">
      <c r="A9385" s="217">
        <v>43851.69032952546</v>
      </c>
      <c r="B9385" s="3" t="s">
        <v>5092</v>
      </c>
      <c r="C9385" s="3" t="s">
        <v>1173</v>
      </c>
      <c r="D9385" s="265">
        <v>1.0</v>
      </c>
      <c r="G9385" s="266">
        <v>43830.0</v>
      </c>
    </row>
    <row r="9386">
      <c r="A9386" s="217">
        <v>43851.69072508102</v>
      </c>
      <c r="B9386" s="3" t="s">
        <v>5092</v>
      </c>
      <c r="C9386" s="3" t="s">
        <v>10473</v>
      </c>
      <c r="D9386" s="265">
        <v>1.0</v>
      </c>
      <c r="G9386" s="266">
        <v>43830.0</v>
      </c>
    </row>
    <row r="9387">
      <c r="A9387" s="217">
        <v>43851.69118347223</v>
      </c>
      <c r="B9387" s="3" t="s">
        <v>5092</v>
      </c>
      <c r="C9387" s="3" t="s">
        <v>10474</v>
      </c>
      <c r="D9387" s="265">
        <v>1.0</v>
      </c>
      <c r="G9387" s="266">
        <v>43830.0</v>
      </c>
    </row>
    <row r="9388">
      <c r="A9388" s="217">
        <v>43851.691656574076</v>
      </c>
      <c r="B9388" s="3" t="s">
        <v>5092</v>
      </c>
      <c r="C9388" s="3" t="s">
        <v>1174</v>
      </c>
      <c r="D9388" s="265">
        <v>1.0</v>
      </c>
      <c r="G9388" s="266">
        <v>43830.0</v>
      </c>
    </row>
    <row r="9389">
      <c r="A9389" s="217">
        <v>43851.69691814815</v>
      </c>
      <c r="B9389" s="3" t="s">
        <v>5092</v>
      </c>
      <c r="C9389" s="3" t="s">
        <v>10475</v>
      </c>
      <c r="D9389" s="265">
        <v>1.0</v>
      </c>
      <c r="G9389" s="266">
        <v>43830.0</v>
      </c>
    </row>
    <row r="9390">
      <c r="A9390" s="217">
        <v>43851.69752094908</v>
      </c>
      <c r="B9390" s="3" t="s">
        <v>5092</v>
      </c>
      <c r="C9390" s="3" t="s">
        <v>1150</v>
      </c>
      <c r="D9390" s="265">
        <v>1.0</v>
      </c>
      <c r="G9390" s="266">
        <v>43830.0</v>
      </c>
    </row>
    <row r="9391">
      <c r="A9391" s="217">
        <v>43851.69792111111</v>
      </c>
      <c r="B9391" s="3" t="s">
        <v>5092</v>
      </c>
      <c r="C9391" s="3" t="s">
        <v>10476</v>
      </c>
      <c r="D9391" s="265">
        <v>1.0</v>
      </c>
      <c r="G9391" s="266">
        <v>43830.0</v>
      </c>
    </row>
    <row r="9392">
      <c r="A9392" s="217">
        <v>43852.43006270833</v>
      </c>
      <c r="B9392" s="3" t="s">
        <v>5092</v>
      </c>
      <c r="C9392" s="3" t="s">
        <v>10477</v>
      </c>
      <c r="D9392" s="265">
        <v>1.0</v>
      </c>
      <c r="G9392" s="266">
        <v>43830.0</v>
      </c>
    </row>
    <row r="9393">
      <c r="A9393" s="217">
        <v>43852.43058891204</v>
      </c>
      <c r="B9393" s="3" t="s">
        <v>5092</v>
      </c>
      <c r="C9393" s="3" t="s">
        <v>10478</v>
      </c>
      <c r="D9393" s="265">
        <v>1.0</v>
      </c>
      <c r="G9393" s="266">
        <v>43830.0</v>
      </c>
    </row>
    <row r="9394">
      <c r="A9394" s="217">
        <v>43852.431230902774</v>
      </c>
      <c r="B9394" s="3" t="s">
        <v>5092</v>
      </c>
      <c r="C9394" s="3" t="s">
        <v>3408</v>
      </c>
      <c r="D9394" s="265">
        <v>1.0</v>
      </c>
      <c r="G9394" s="266">
        <v>43830.0</v>
      </c>
    </row>
    <row r="9395">
      <c r="A9395" s="217">
        <v>43852.432073738426</v>
      </c>
      <c r="B9395" s="3" t="s">
        <v>5092</v>
      </c>
      <c r="C9395" s="3" t="s">
        <v>10479</v>
      </c>
      <c r="D9395" s="265">
        <v>1.0</v>
      </c>
      <c r="G9395" s="266">
        <v>43830.0</v>
      </c>
    </row>
    <row r="9396">
      <c r="A9396" s="217">
        <v>43852.43246920139</v>
      </c>
      <c r="B9396" s="3" t="s">
        <v>5092</v>
      </c>
      <c r="C9396" s="3" t="s">
        <v>10480</v>
      </c>
      <c r="D9396" s="265">
        <v>1.0</v>
      </c>
      <c r="G9396" s="266">
        <v>43830.0</v>
      </c>
    </row>
    <row r="9397">
      <c r="A9397" s="217">
        <v>43852.43305043981</v>
      </c>
      <c r="B9397" s="3" t="s">
        <v>5092</v>
      </c>
      <c r="C9397" s="3" t="s">
        <v>10481</v>
      </c>
      <c r="D9397" s="265">
        <v>1.0</v>
      </c>
      <c r="G9397" s="266">
        <v>43830.0</v>
      </c>
    </row>
    <row r="9398">
      <c r="A9398" s="217">
        <v>43852.43350745371</v>
      </c>
      <c r="B9398" s="3" t="s">
        <v>5092</v>
      </c>
      <c r="C9398" s="3" t="s">
        <v>10482</v>
      </c>
      <c r="D9398" s="265">
        <v>1.0</v>
      </c>
      <c r="G9398" s="266">
        <v>43830.0</v>
      </c>
    </row>
    <row r="9399">
      <c r="A9399" s="217">
        <v>43852.43434078703</v>
      </c>
      <c r="B9399" s="3" t="s">
        <v>5092</v>
      </c>
      <c r="C9399" s="3" t="s">
        <v>1161</v>
      </c>
      <c r="D9399" s="265">
        <v>1.0</v>
      </c>
      <c r="G9399" s="266">
        <v>43830.0</v>
      </c>
    </row>
    <row r="9400">
      <c r="A9400" s="217">
        <v>43852.43475155093</v>
      </c>
      <c r="B9400" s="3" t="s">
        <v>5092</v>
      </c>
      <c r="C9400" s="3" t="s">
        <v>10483</v>
      </c>
      <c r="D9400" s="265">
        <v>1.0</v>
      </c>
      <c r="G9400" s="266">
        <v>43830.0</v>
      </c>
    </row>
    <row r="9401">
      <c r="A9401" s="217">
        <v>43852.43520827546</v>
      </c>
      <c r="B9401" s="3" t="s">
        <v>5092</v>
      </c>
      <c r="C9401" s="3" t="s">
        <v>3414</v>
      </c>
      <c r="D9401" s="265">
        <v>1.0</v>
      </c>
      <c r="G9401" s="266">
        <v>43830.0</v>
      </c>
    </row>
    <row r="9402">
      <c r="A9402" s="217">
        <v>43852.43584158565</v>
      </c>
      <c r="B9402" s="3" t="s">
        <v>5092</v>
      </c>
      <c r="C9402" s="3" t="s">
        <v>1162</v>
      </c>
      <c r="D9402" s="265">
        <v>1.0</v>
      </c>
      <c r="G9402" s="266">
        <v>43830.0</v>
      </c>
    </row>
    <row r="9403">
      <c r="A9403" s="217">
        <v>43852.43624736111</v>
      </c>
      <c r="B9403" s="3" t="s">
        <v>5092</v>
      </c>
      <c r="C9403" s="3" t="s">
        <v>1163</v>
      </c>
      <c r="D9403" s="265">
        <v>1.0</v>
      </c>
      <c r="G9403" s="266">
        <v>43830.0</v>
      </c>
    </row>
    <row r="9404">
      <c r="A9404" s="217">
        <v>43852.43698076389</v>
      </c>
      <c r="B9404" s="3" t="s">
        <v>5092</v>
      </c>
      <c r="C9404" s="3" t="s">
        <v>3416</v>
      </c>
      <c r="D9404" s="265">
        <v>3.0</v>
      </c>
      <c r="G9404" s="266">
        <v>43830.0</v>
      </c>
    </row>
    <row r="9405">
      <c r="A9405" s="217">
        <v>43852.437614560185</v>
      </c>
      <c r="B9405" s="3" t="s">
        <v>5092</v>
      </c>
      <c r="C9405" s="3" t="s">
        <v>10484</v>
      </c>
      <c r="D9405" s="265">
        <v>1.0</v>
      </c>
      <c r="G9405" s="266">
        <v>43830.0</v>
      </c>
    </row>
    <row r="9406">
      <c r="A9406" s="217">
        <v>43852.43809539352</v>
      </c>
      <c r="B9406" s="3" t="s">
        <v>5092</v>
      </c>
      <c r="C9406" s="3" t="s">
        <v>10485</v>
      </c>
      <c r="D9406" s="265">
        <v>1.0</v>
      </c>
      <c r="G9406" s="266">
        <v>43830.0</v>
      </c>
    </row>
    <row r="9407">
      <c r="A9407" s="217">
        <v>43852.438777812495</v>
      </c>
      <c r="B9407" s="3" t="s">
        <v>5092</v>
      </c>
      <c r="C9407" s="3" t="s">
        <v>907</v>
      </c>
      <c r="D9407" s="265">
        <v>1.0</v>
      </c>
      <c r="G9407" s="266">
        <v>43830.0</v>
      </c>
    </row>
    <row r="9408">
      <c r="A9408" s="217">
        <v>43852.43925011574</v>
      </c>
      <c r="B9408" s="3" t="s">
        <v>5092</v>
      </c>
      <c r="C9408" s="3" t="s">
        <v>10486</v>
      </c>
      <c r="D9408" s="265">
        <v>1.0</v>
      </c>
      <c r="G9408" s="266">
        <v>43830.0</v>
      </c>
    </row>
    <row r="9409">
      <c r="A9409" s="217">
        <v>43852.43965719907</v>
      </c>
      <c r="B9409" s="3" t="s">
        <v>5092</v>
      </c>
      <c r="C9409" s="3" t="s">
        <v>10487</v>
      </c>
      <c r="D9409" s="265">
        <v>1.0</v>
      </c>
      <c r="G9409" s="266">
        <v>43830.0</v>
      </c>
    </row>
    <row r="9410">
      <c r="A9410" s="217">
        <v>43852.44501862269</v>
      </c>
      <c r="B9410" s="3" t="s">
        <v>5092</v>
      </c>
      <c r="C9410" s="3" t="s">
        <v>10488</v>
      </c>
      <c r="D9410" s="265">
        <v>1.0</v>
      </c>
      <c r="G9410" s="266">
        <v>43830.0</v>
      </c>
    </row>
    <row r="9411">
      <c r="A9411" s="217">
        <v>43852.44543910879</v>
      </c>
      <c r="B9411" s="3" t="s">
        <v>5092</v>
      </c>
      <c r="C9411" s="3" t="s">
        <v>933</v>
      </c>
      <c r="D9411" s="265">
        <v>1.0</v>
      </c>
      <c r="G9411" s="266">
        <v>43830.0</v>
      </c>
    </row>
    <row r="9412">
      <c r="A9412" s="217">
        <v>43852.44617248843</v>
      </c>
      <c r="B9412" s="3" t="s">
        <v>5092</v>
      </c>
      <c r="C9412" s="3" t="s">
        <v>10489</v>
      </c>
      <c r="D9412" s="265">
        <v>1.0</v>
      </c>
      <c r="G9412" s="266">
        <v>43830.0</v>
      </c>
    </row>
    <row r="9413">
      <c r="A9413" s="217">
        <v>43852.446551493056</v>
      </c>
      <c r="B9413" s="3" t="s">
        <v>5092</v>
      </c>
      <c r="C9413" s="3" t="s">
        <v>10490</v>
      </c>
      <c r="D9413" s="265">
        <v>1.0</v>
      </c>
      <c r="G9413" s="266">
        <v>43830.0</v>
      </c>
    </row>
    <row r="9414">
      <c r="A9414" s="217">
        <v>43852.44820488426</v>
      </c>
      <c r="B9414" s="3" t="s">
        <v>5092</v>
      </c>
      <c r="C9414" s="3" t="s">
        <v>3202</v>
      </c>
      <c r="D9414" s="265">
        <v>1.0</v>
      </c>
      <c r="G9414" s="266">
        <v>43830.0</v>
      </c>
    </row>
    <row r="9415">
      <c r="A9415" s="217">
        <v>43852.449260312496</v>
      </c>
      <c r="B9415" s="3" t="s">
        <v>5092</v>
      </c>
      <c r="C9415" s="3" t="s">
        <v>10491</v>
      </c>
      <c r="D9415" s="265">
        <v>1.0</v>
      </c>
      <c r="G9415" s="266">
        <v>43830.0</v>
      </c>
    </row>
    <row r="9416">
      <c r="A9416" s="217">
        <v>43852.44964119213</v>
      </c>
      <c r="B9416" s="3" t="s">
        <v>5092</v>
      </c>
      <c r="C9416" s="3" t="s">
        <v>923</v>
      </c>
      <c r="D9416" s="265">
        <v>1.0</v>
      </c>
      <c r="G9416" s="266">
        <v>43830.0</v>
      </c>
    </row>
    <row r="9417">
      <c r="A9417" s="217">
        <v>43852.45031759259</v>
      </c>
      <c r="B9417" s="3" t="s">
        <v>5092</v>
      </c>
      <c r="C9417" s="3" t="s">
        <v>3216</v>
      </c>
      <c r="D9417" s="265">
        <v>1.0</v>
      </c>
      <c r="G9417" s="266">
        <v>43830.0</v>
      </c>
    </row>
    <row r="9418">
      <c r="A9418" s="217">
        <v>43852.451090648145</v>
      </c>
      <c r="B9418" s="3" t="s">
        <v>5092</v>
      </c>
      <c r="C9418" s="3" t="s">
        <v>887</v>
      </c>
      <c r="D9418" s="265">
        <v>1.0</v>
      </c>
      <c r="G9418" s="266">
        <v>43830.0</v>
      </c>
    </row>
    <row r="9419">
      <c r="A9419" s="217">
        <v>43852.45173559028</v>
      </c>
      <c r="B9419" s="3" t="s">
        <v>5092</v>
      </c>
      <c r="C9419" s="3" t="s">
        <v>889</v>
      </c>
      <c r="D9419" s="265">
        <v>1.0</v>
      </c>
      <c r="G9419" s="266">
        <v>43830.0</v>
      </c>
    </row>
    <row r="9420">
      <c r="A9420" s="217">
        <v>43852.45252681713</v>
      </c>
      <c r="B9420" s="3" t="s">
        <v>5092</v>
      </c>
      <c r="C9420" s="3" t="s">
        <v>893</v>
      </c>
      <c r="D9420" s="265">
        <v>1.0</v>
      </c>
      <c r="G9420" s="266">
        <v>43830.0</v>
      </c>
    </row>
    <row r="9421">
      <c r="A9421" s="217">
        <v>43852.45300163195</v>
      </c>
      <c r="B9421" s="3" t="s">
        <v>5092</v>
      </c>
      <c r="C9421" s="3" t="s">
        <v>896</v>
      </c>
      <c r="D9421" s="265">
        <v>1.0</v>
      </c>
      <c r="G9421" s="266">
        <v>43830.0</v>
      </c>
    </row>
    <row r="9422">
      <c r="A9422" s="217">
        <v>43852.45339498842</v>
      </c>
      <c r="B9422" s="3" t="s">
        <v>5092</v>
      </c>
      <c r="C9422" s="3" t="s">
        <v>897</v>
      </c>
      <c r="D9422" s="265">
        <v>1.0</v>
      </c>
      <c r="G9422" s="266">
        <v>43830.0</v>
      </c>
    </row>
    <row r="9423">
      <c r="A9423" s="217">
        <v>43852.4537793287</v>
      </c>
      <c r="B9423" s="3" t="s">
        <v>5092</v>
      </c>
      <c r="C9423" s="3" t="s">
        <v>898</v>
      </c>
      <c r="D9423" s="265">
        <v>1.0</v>
      </c>
      <c r="G9423" s="266">
        <v>43830.0</v>
      </c>
    </row>
    <row r="9424">
      <c r="A9424" s="217">
        <v>43852.45467681713</v>
      </c>
      <c r="B9424" s="3" t="s">
        <v>5092</v>
      </c>
      <c r="C9424" s="3" t="s">
        <v>10492</v>
      </c>
      <c r="D9424" s="265">
        <v>1.0</v>
      </c>
      <c r="G9424" s="266">
        <v>43830.0</v>
      </c>
    </row>
    <row r="9425">
      <c r="A9425" s="217">
        <v>43852.45519868056</v>
      </c>
      <c r="B9425" s="3" t="s">
        <v>5092</v>
      </c>
      <c r="C9425" s="3" t="s">
        <v>10493</v>
      </c>
      <c r="D9425" s="265">
        <v>2.0</v>
      </c>
      <c r="G9425" s="266">
        <v>43830.0</v>
      </c>
    </row>
    <row r="9426">
      <c r="A9426" s="217">
        <v>43852.45585086806</v>
      </c>
      <c r="B9426" s="3" t="s">
        <v>5092</v>
      </c>
      <c r="C9426" s="3" t="s">
        <v>917</v>
      </c>
      <c r="D9426" s="265">
        <v>1.0</v>
      </c>
      <c r="G9426" s="266">
        <v>43830.0</v>
      </c>
    </row>
    <row r="9427">
      <c r="A9427" s="217">
        <v>43852.456283402775</v>
      </c>
      <c r="B9427" s="3" t="s">
        <v>5092</v>
      </c>
      <c r="C9427" s="3" t="s">
        <v>918</v>
      </c>
      <c r="D9427" s="265">
        <v>1.0</v>
      </c>
      <c r="G9427" s="266">
        <v>43830.0</v>
      </c>
    </row>
    <row r="9428">
      <c r="A9428" s="217">
        <v>43852.457134247685</v>
      </c>
      <c r="B9428" s="3" t="s">
        <v>5092</v>
      </c>
      <c r="C9428" s="3" t="s">
        <v>3213</v>
      </c>
      <c r="D9428" s="265">
        <v>1.0</v>
      </c>
      <c r="G9428" s="266">
        <v>43830.0</v>
      </c>
    </row>
    <row r="9429">
      <c r="A9429" s="217">
        <v>43852.458041238424</v>
      </c>
      <c r="B9429" s="3" t="s">
        <v>5092</v>
      </c>
      <c r="C9429" s="3" t="s">
        <v>10494</v>
      </c>
      <c r="D9429" s="265">
        <v>4.0</v>
      </c>
      <c r="G9429" s="266">
        <v>43830.0</v>
      </c>
    </row>
    <row r="9430">
      <c r="A9430" s="217">
        <v>43852.45877136574</v>
      </c>
      <c r="B9430" s="3" t="s">
        <v>5092</v>
      </c>
      <c r="C9430" s="3" t="s">
        <v>879</v>
      </c>
      <c r="D9430" s="265">
        <v>1.0</v>
      </c>
      <c r="G9430" s="266">
        <v>43830.0</v>
      </c>
    </row>
    <row r="9431">
      <c r="A9431" s="217">
        <v>43852.459371875</v>
      </c>
      <c r="B9431" s="3" t="s">
        <v>5092</v>
      </c>
      <c r="C9431" s="3" t="s">
        <v>3197</v>
      </c>
      <c r="D9431" s="265">
        <v>1.0</v>
      </c>
      <c r="G9431" s="266">
        <v>43830.0</v>
      </c>
    </row>
    <row r="9432">
      <c r="A9432" s="217">
        <v>43852.47060664352</v>
      </c>
      <c r="B9432" s="3" t="s">
        <v>5092</v>
      </c>
      <c r="C9432" s="3" t="s">
        <v>10495</v>
      </c>
      <c r="D9432" s="265">
        <v>1.0</v>
      </c>
      <c r="G9432" s="266">
        <v>43830.0</v>
      </c>
    </row>
    <row r="9433">
      <c r="A9433" s="217">
        <v>43852.47111268518</v>
      </c>
      <c r="B9433" s="3" t="s">
        <v>5092</v>
      </c>
      <c r="C9433" s="3" t="s">
        <v>934</v>
      </c>
      <c r="D9433" s="265">
        <v>1.0</v>
      </c>
      <c r="G9433" s="266">
        <v>43830.0</v>
      </c>
    </row>
    <row r="9434">
      <c r="A9434" s="217">
        <v>43852.47165659722</v>
      </c>
      <c r="B9434" s="3" t="s">
        <v>5092</v>
      </c>
      <c r="C9434" s="3" t="s">
        <v>3222</v>
      </c>
      <c r="D9434" s="265">
        <v>1.0</v>
      </c>
      <c r="G9434" s="266">
        <v>43830.0</v>
      </c>
    </row>
    <row r="9435">
      <c r="A9435" s="217">
        <v>43852.47504388889</v>
      </c>
      <c r="B9435" s="3" t="s">
        <v>5092</v>
      </c>
      <c r="C9435" s="3" t="s">
        <v>10496</v>
      </c>
      <c r="D9435" s="265">
        <v>2.0</v>
      </c>
      <c r="G9435" s="266">
        <v>43830.0</v>
      </c>
    </row>
    <row r="9436">
      <c r="A9436" s="217">
        <v>43852.4757141088</v>
      </c>
      <c r="B9436" s="3" t="s">
        <v>5092</v>
      </c>
      <c r="C9436" s="3" t="s">
        <v>899</v>
      </c>
      <c r="D9436" s="265">
        <v>1.0</v>
      </c>
      <c r="G9436" s="266">
        <v>43830.0</v>
      </c>
    </row>
    <row r="9437">
      <c r="A9437" s="217">
        <v>43852.47615474537</v>
      </c>
      <c r="B9437" s="3" t="s">
        <v>5092</v>
      </c>
      <c r="C9437" s="3" t="s">
        <v>901</v>
      </c>
      <c r="D9437" s="265">
        <v>1.0</v>
      </c>
      <c r="G9437" s="266">
        <v>43830.0</v>
      </c>
    </row>
    <row r="9438">
      <c r="A9438" s="217">
        <v>43852.47708362268</v>
      </c>
      <c r="B9438" s="3" t="s">
        <v>5092</v>
      </c>
      <c r="C9438" s="3" t="s">
        <v>10497</v>
      </c>
      <c r="D9438" s="265">
        <v>1.0</v>
      </c>
      <c r="G9438" s="266">
        <v>43830.0</v>
      </c>
    </row>
    <row r="9439">
      <c r="A9439" s="217">
        <v>43852.47767478009</v>
      </c>
      <c r="B9439" s="3" t="s">
        <v>5092</v>
      </c>
      <c r="C9439" s="3" t="s">
        <v>916</v>
      </c>
      <c r="D9439" s="265">
        <v>1.0</v>
      </c>
      <c r="G9439" s="266">
        <v>43830.0</v>
      </c>
    </row>
    <row r="9440">
      <c r="A9440" s="217">
        <v>43852.47827086806</v>
      </c>
      <c r="B9440" s="3" t="s">
        <v>5092</v>
      </c>
      <c r="C9440" s="3" t="s">
        <v>10498</v>
      </c>
      <c r="D9440" s="265">
        <v>1.0</v>
      </c>
      <c r="G9440" s="266">
        <v>43830.0</v>
      </c>
    </row>
    <row r="9441">
      <c r="A9441" s="217">
        <v>43852.47961701389</v>
      </c>
      <c r="B9441" s="3" t="s">
        <v>5092</v>
      </c>
      <c r="C9441" s="3" t="s">
        <v>10499</v>
      </c>
      <c r="D9441" s="265">
        <v>1.0</v>
      </c>
      <c r="G9441" s="266">
        <v>43830.0</v>
      </c>
    </row>
    <row r="9442">
      <c r="A9442" s="217">
        <v>43852.48003851852</v>
      </c>
      <c r="B9442" s="3" t="s">
        <v>5092</v>
      </c>
      <c r="C9442" s="3" t="s">
        <v>920</v>
      </c>
      <c r="D9442" s="265">
        <v>1.0</v>
      </c>
      <c r="G9442" s="266">
        <v>43830.0</v>
      </c>
    </row>
    <row r="9443">
      <c r="A9443" s="217">
        <v>43852.48049649305</v>
      </c>
      <c r="B9443" s="3" t="s">
        <v>5092</v>
      </c>
      <c r="C9443" s="3" t="s">
        <v>921</v>
      </c>
      <c r="D9443" s="265">
        <v>1.0</v>
      </c>
      <c r="G9443" s="266">
        <v>43830.0</v>
      </c>
    </row>
    <row r="9444">
      <c r="A9444" s="217">
        <v>43852.48114739583</v>
      </c>
      <c r="B9444" s="3" t="s">
        <v>5092</v>
      </c>
      <c r="C9444" s="3" t="s">
        <v>924</v>
      </c>
      <c r="D9444" s="265">
        <v>1.0</v>
      </c>
      <c r="G9444" s="266">
        <v>43830.0</v>
      </c>
    </row>
    <row r="9445">
      <c r="A9445" s="217">
        <v>43852.48160290509</v>
      </c>
      <c r="B9445" s="3" t="s">
        <v>5092</v>
      </c>
      <c r="C9445" s="3" t="s">
        <v>10500</v>
      </c>
      <c r="D9445" s="265">
        <v>1.0</v>
      </c>
      <c r="G9445" s="266">
        <v>43830.0</v>
      </c>
    </row>
    <row r="9446">
      <c r="A9446" s="217">
        <v>43852.48242313658</v>
      </c>
      <c r="B9446" s="3" t="s">
        <v>5092</v>
      </c>
      <c r="C9446" s="3" t="s">
        <v>10501</v>
      </c>
      <c r="D9446" s="265">
        <v>1.0</v>
      </c>
      <c r="G9446" s="266">
        <v>43830.0</v>
      </c>
    </row>
    <row r="9447">
      <c r="A9447" s="217">
        <v>43852.48294864583</v>
      </c>
      <c r="B9447" s="3" t="s">
        <v>5092</v>
      </c>
      <c r="C9447" s="3" t="s">
        <v>853</v>
      </c>
      <c r="D9447" s="265">
        <v>1.0</v>
      </c>
      <c r="G9447" s="266">
        <v>43830.0</v>
      </c>
    </row>
    <row r="9448">
      <c r="A9448" s="217">
        <v>43852.483376689815</v>
      </c>
      <c r="B9448" s="3" t="s">
        <v>5092</v>
      </c>
      <c r="C9448" s="3" t="s">
        <v>10502</v>
      </c>
      <c r="D9448" s="265">
        <v>1.0</v>
      </c>
      <c r="G9448" s="266">
        <v>43830.0</v>
      </c>
    </row>
    <row r="9449">
      <c r="A9449" s="217">
        <v>43852.48407731482</v>
      </c>
      <c r="B9449" s="3" t="s">
        <v>5092</v>
      </c>
      <c r="C9449" s="3" t="s">
        <v>861</v>
      </c>
      <c r="D9449" s="265">
        <v>1.0</v>
      </c>
      <c r="G9449" s="266">
        <v>43830.0</v>
      </c>
    </row>
    <row r="9450">
      <c r="A9450" s="217">
        <v>43852.4845065625</v>
      </c>
      <c r="B9450" s="3" t="s">
        <v>5092</v>
      </c>
      <c r="C9450" s="3" t="s">
        <v>864</v>
      </c>
      <c r="D9450" s="265">
        <v>1.0</v>
      </c>
      <c r="G9450" s="266">
        <v>43830.0</v>
      </c>
    </row>
    <row r="9451">
      <c r="A9451" s="217">
        <v>43852.48511634259</v>
      </c>
      <c r="B9451" s="3" t="s">
        <v>5092</v>
      </c>
      <c r="C9451" s="3" t="s">
        <v>866</v>
      </c>
      <c r="D9451" s="265">
        <v>1.0</v>
      </c>
      <c r="G9451" s="266">
        <v>43830.0</v>
      </c>
    </row>
    <row r="9452">
      <c r="A9452" s="217">
        <v>43852.485581064815</v>
      </c>
      <c r="B9452" s="3" t="s">
        <v>5092</v>
      </c>
      <c r="C9452" s="3" t="s">
        <v>868</v>
      </c>
      <c r="D9452" s="265">
        <v>1.0</v>
      </c>
      <c r="G9452" s="266">
        <v>43830.0</v>
      </c>
    </row>
    <row r="9453">
      <c r="A9453" s="217">
        <v>43852.48630104167</v>
      </c>
      <c r="B9453" s="3" t="s">
        <v>5092</v>
      </c>
      <c r="C9453" s="3" t="s">
        <v>10503</v>
      </c>
      <c r="D9453" s="265">
        <v>1.0</v>
      </c>
      <c r="G9453" s="266">
        <v>43830.0</v>
      </c>
    </row>
    <row r="9454">
      <c r="A9454" s="217">
        <v>43852.48686582176</v>
      </c>
      <c r="B9454" s="3" t="s">
        <v>5092</v>
      </c>
      <c r="C9454" s="3" t="s">
        <v>10504</v>
      </c>
      <c r="D9454" s="265">
        <v>1.0</v>
      </c>
      <c r="G9454" s="266">
        <v>43830.0</v>
      </c>
    </row>
    <row r="9455">
      <c r="A9455" s="217">
        <v>43852.487716944444</v>
      </c>
      <c r="B9455" s="3" t="s">
        <v>5092</v>
      </c>
      <c r="C9455" s="3" t="s">
        <v>870</v>
      </c>
      <c r="D9455" s="265">
        <v>1.0</v>
      </c>
      <c r="G9455" s="266">
        <v>43830.0</v>
      </c>
    </row>
    <row r="9456">
      <c r="A9456" s="217">
        <v>43852.488131018516</v>
      </c>
      <c r="B9456" s="3" t="s">
        <v>5092</v>
      </c>
      <c r="C9456" s="3" t="s">
        <v>10505</v>
      </c>
      <c r="D9456" s="265">
        <v>1.0</v>
      </c>
      <c r="G9456" s="266">
        <v>43830.0</v>
      </c>
    </row>
    <row r="9457">
      <c r="A9457" s="217">
        <v>43852.488944641205</v>
      </c>
      <c r="B9457" s="3" t="s">
        <v>5092</v>
      </c>
      <c r="C9457" s="3" t="s">
        <v>10506</v>
      </c>
      <c r="D9457" s="265">
        <v>1.0</v>
      </c>
      <c r="G9457" s="266">
        <v>43830.0</v>
      </c>
    </row>
    <row r="9458">
      <c r="A9458" s="217">
        <v>43852.48964912037</v>
      </c>
      <c r="B9458" s="3" t="s">
        <v>5092</v>
      </c>
      <c r="C9458" s="3" t="s">
        <v>10507</v>
      </c>
      <c r="D9458" s="265">
        <v>1.0</v>
      </c>
      <c r="G9458" s="266">
        <v>43830.0</v>
      </c>
    </row>
    <row r="9459">
      <c r="A9459" s="217">
        <v>43852.490155300926</v>
      </c>
      <c r="B9459" s="3" t="s">
        <v>5092</v>
      </c>
      <c r="C9459" s="3" t="s">
        <v>10508</v>
      </c>
      <c r="D9459" s="265">
        <v>1.0</v>
      </c>
      <c r="G9459" s="266">
        <v>43830.0</v>
      </c>
    </row>
    <row r="9460">
      <c r="A9460" s="217">
        <v>43852.490777280094</v>
      </c>
      <c r="B9460" s="3" t="s">
        <v>5092</v>
      </c>
      <c r="C9460" s="3" t="s">
        <v>10509</v>
      </c>
      <c r="D9460" s="265">
        <v>1.0</v>
      </c>
      <c r="G9460" s="266">
        <v>43830.0</v>
      </c>
    </row>
    <row r="9461">
      <c r="A9461" s="217">
        <v>43852.49146292824</v>
      </c>
      <c r="B9461" s="3" t="s">
        <v>5092</v>
      </c>
      <c r="C9461" s="3" t="s">
        <v>10510</v>
      </c>
      <c r="D9461" s="265">
        <v>1.0</v>
      </c>
      <c r="G9461" s="266">
        <v>43830.0</v>
      </c>
    </row>
    <row r="9462">
      <c r="A9462" s="217">
        <v>43852.49243608797</v>
      </c>
      <c r="B9462" s="3" t="s">
        <v>5092</v>
      </c>
      <c r="C9462" s="3" t="s">
        <v>10511</v>
      </c>
      <c r="D9462" s="265">
        <v>2.0</v>
      </c>
      <c r="G9462" s="266">
        <v>43830.0</v>
      </c>
    </row>
    <row r="9463">
      <c r="A9463" s="217">
        <v>43852.49302546296</v>
      </c>
      <c r="B9463" s="3" t="s">
        <v>5092</v>
      </c>
      <c r="C9463" s="3" t="s">
        <v>1154</v>
      </c>
      <c r="D9463" s="265">
        <v>1.0</v>
      </c>
      <c r="G9463" s="266">
        <v>43830.0</v>
      </c>
    </row>
    <row r="9464">
      <c r="A9464" s="217">
        <v>43852.49370315972</v>
      </c>
      <c r="B9464" s="3" t="s">
        <v>5092</v>
      </c>
      <c r="C9464" s="3" t="s">
        <v>10512</v>
      </c>
      <c r="D9464" s="265">
        <v>1.0</v>
      </c>
      <c r="G9464" s="266">
        <v>43830.0</v>
      </c>
    </row>
    <row r="9465">
      <c r="A9465" s="217">
        <v>43852.49407534722</v>
      </c>
      <c r="B9465" s="3" t="s">
        <v>5092</v>
      </c>
      <c r="C9465" s="3" t="s">
        <v>1152</v>
      </c>
      <c r="D9465" s="265">
        <v>1.0</v>
      </c>
      <c r="G9465" s="266">
        <v>43830.0</v>
      </c>
    </row>
    <row r="9466">
      <c r="A9466" s="217">
        <v>43852.49476903935</v>
      </c>
      <c r="B9466" s="3" t="s">
        <v>5092</v>
      </c>
      <c r="C9466" s="3" t="s">
        <v>10513</v>
      </c>
      <c r="D9466" s="265">
        <v>1.0</v>
      </c>
      <c r="G9466" s="266">
        <v>43830.0</v>
      </c>
    </row>
    <row r="9467">
      <c r="A9467" s="217">
        <v>43852.49522518519</v>
      </c>
      <c r="B9467" s="3" t="s">
        <v>5092</v>
      </c>
      <c r="C9467" s="3" t="s">
        <v>10514</v>
      </c>
      <c r="D9467" s="265">
        <v>1.0</v>
      </c>
      <c r="G9467" s="266">
        <v>43830.0</v>
      </c>
    </row>
    <row r="9468">
      <c r="A9468" s="217">
        <v>43852.49559394676</v>
      </c>
      <c r="B9468" s="3" t="s">
        <v>5092</v>
      </c>
      <c r="C9468" s="3" t="s">
        <v>10515</v>
      </c>
      <c r="D9468" s="265">
        <v>1.0</v>
      </c>
      <c r="G9468" s="266">
        <v>43830.0</v>
      </c>
    </row>
    <row r="9469">
      <c r="A9469" s="217">
        <v>43852.49599979167</v>
      </c>
      <c r="B9469" s="3" t="s">
        <v>5092</v>
      </c>
      <c r="C9469" s="3" t="s">
        <v>951</v>
      </c>
      <c r="D9469" s="265">
        <v>1.0</v>
      </c>
      <c r="G9469" s="266">
        <v>43830.0</v>
      </c>
    </row>
    <row r="9470">
      <c r="A9470" s="217">
        <v>43852.496455</v>
      </c>
      <c r="B9470" s="3" t="s">
        <v>5092</v>
      </c>
      <c r="C9470" s="3" t="s">
        <v>10516</v>
      </c>
      <c r="D9470" s="265">
        <v>1.0</v>
      </c>
      <c r="G9470" s="266">
        <v>43830.0</v>
      </c>
    </row>
    <row r="9471">
      <c r="A9471" s="217">
        <v>43852.49704427083</v>
      </c>
      <c r="B9471" s="3" t="s">
        <v>5092</v>
      </c>
      <c r="C9471" s="3" t="s">
        <v>1210</v>
      </c>
      <c r="D9471" s="265">
        <v>1.0</v>
      </c>
      <c r="G9471" s="266">
        <v>43830.0</v>
      </c>
    </row>
    <row r="9472">
      <c r="A9472" s="217">
        <v>43852.49751582176</v>
      </c>
      <c r="B9472" s="3" t="s">
        <v>5092</v>
      </c>
      <c r="C9472" s="3" t="s">
        <v>10517</v>
      </c>
      <c r="D9472" s="265">
        <v>1.0</v>
      </c>
      <c r="G9472" s="266">
        <v>43830.0</v>
      </c>
    </row>
    <row r="9473">
      <c r="A9473" s="217">
        <v>43852.49795078704</v>
      </c>
      <c r="B9473" s="3" t="s">
        <v>5092</v>
      </c>
      <c r="C9473" s="3" t="s">
        <v>10518</v>
      </c>
      <c r="D9473" s="265">
        <v>1.0</v>
      </c>
      <c r="G9473" s="266">
        <v>43830.0</v>
      </c>
    </row>
    <row r="9474">
      <c r="A9474" s="217">
        <v>43852.49834046296</v>
      </c>
      <c r="B9474" s="3" t="s">
        <v>5092</v>
      </c>
      <c r="C9474" s="3" t="s">
        <v>10519</v>
      </c>
      <c r="D9474" s="265">
        <v>1.0</v>
      </c>
      <c r="G9474" s="266">
        <v>43830.0</v>
      </c>
    </row>
    <row r="9475">
      <c r="A9475" s="217">
        <v>43852.498926238426</v>
      </c>
      <c r="B9475" s="3" t="s">
        <v>5092</v>
      </c>
      <c r="C9475" s="3" t="s">
        <v>10520</v>
      </c>
      <c r="D9475" s="265">
        <v>1.0</v>
      </c>
      <c r="G9475" s="266">
        <v>43830.0</v>
      </c>
    </row>
    <row r="9476">
      <c r="A9476" s="217">
        <v>43852.499701493056</v>
      </c>
      <c r="B9476" s="3" t="s">
        <v>5092</v>
      </c>
      <c r="C9476" s="3" t="s">
        <v>10521</v>
      </c>
      <c r="D9476" s="265">
        <v>1.0</v>
      </c>
      <c r="G9476" s="266">
        <v>43830.0</v>
      </c>
    </row>
    <row r="9477">
      <c r="A9477" s="217">
        <v>43852.50037364583</v>
      </c>
      <c r="B9477" s="3" t="s">
        <v>5092</v>
      </c>
      <c r="C9477" s="3" t="s">
        <v>10522</v>
      </c>
      <c r="D9477" s="265">
        <v>1.0</v>
      </c>
      <c r="G9477" s="266">
        <v>43830.0</v>
      </c>
    </row>
    <row r="9478">
      <c r="A9478" s="217">
        <v>43852.50081997685</v>
      </c>
      <c r="B9478" s="3" t="s">
        <v>5092</v>
      </c>
      <c r="C9478" s="3" t="s">
        <v>10523</v>
      </c>
      <c r="D9478" s="265">
        <v>1.0</v>
      </c>
      <c r="G9478" s="266">
        <v>43830.0</v>
      </c>
    </row>
    <row r="9479">
      <c r="A9479" s="217">
        <v>43852.501270532404</v>
      </c>
      <c r="B9479" s="3" t="s">
        <v>5092</v>
      </c>
      <c r="C9479" s="3" t="s">
        <v>950</v>
      </c>
      <c r="D9479" s="265">
        <v>1.0</v>
      </c>
      <c r="G9479" s="266">
        <v>43830.0</v>
      </c>
    </row>
    <row r="9480">
      <c r="A9480" s="217">
        <v>43852.501960995374</v>
      </c>
      <c r="B9480" s="3" t="s">
        <v>5092</v>
      </c>
      <c r="C9480" s="3" t="s">
        <v>10524</v>
      </c>
      <c r="D9480" s="265">
        <v>1.0</v>
      </c>
      <c r="G9480" s="266">
        <v>43830.0</v>
      </c>
    </row>
    <row r="9481">
      <c r="A9481" s="217">
        <v>43852.50248060185</v>
      </c>
      <c r="B9481" s="3" t="s">
        <v>5092</v>
      </c>
      <c r="C9481" s="3" t="s">
        <v>10525</v>
      </c>
      <c r="D9481" s="265">
        <v>1.0</v>
      </c>
      <c r="G9481" s="266">
        <v>43830.0</v>
      </c>
    </row>
    <row r="9482">
      <c r="A9482" s="217">
        <v>43852.503075960645</v>
      </c>
      <c r="B9482" s="3" t="s">
        <v>5092</v>
      </c>
      <c r="C9482" s="3" t="s">
        <v>10526</v>
      </c>
      <c r="D9482" s="265">
        <v>1.0</v>
      </c>
      <c r="G9482" s="266">
        <v>43830.0</v>
      </c>
    </row>
    <row r="9483">
      <c r="A9483" s="217">
        <v>43852.50522171296</v>
      </c>
      <c r="B9483" s="3" t="s">
        <v>5092</v>
      </c>
      <c r="C9483" s="3" t="s">
        <v>10527</v>
      </c>
      <c r="D9483" s="265">
        <v>1.0</v>
      </c>
      <c r="G9483" s="266">
        <v>43830.0</v>
      </c>
    </row>
    <row r="9484">
      <c r="A9484" s="217">
        <v>43852.50556855324</v>
      </c>
      <c r="B9484" s="3" t="s">
        <v>5092</v>
      </c>
      <c r="C9484" s="3" t="s">
        <v>984</v>
      </c>
      <c r="D9484" s="265">
        <v>1.0</v>
      </c>
      <c r="G9484" s="266">
        <v>43830.0</v>
      </c>
    </row>
    <row r="9485">
      <c r="A9485" s="217">
        <v>43852.50591394676</v>
      </c>
      <c r="B9485" s="3" t="s">
        <v>5092</v>
      </c>
      <c r="C9485" s="3" t="s">
        <v>985</v>
      </c>
      <c r="D9485" s="265">
        <v>1.0</v>
      </c>
      <c r="G9485" s="266">
        <v>43830.0</v>
      </c>
    </row>
    <row r="9486">
      <c r="A9486" s="217">
        <v>43852.50626833334</v>
      </c>
      <c r="B9486" s="3" t="s">
        <v>5092</v>
      </c>
      <c r="C9486" s="3" t="s">
        <v>10528</v>
      </c>
      <c r="D9486" s="265">
        <v>1.0</v>
      </c>
      <c r="G9486" s="266">
        <v>43830.0</v>
      </c>
    </row>
    <row r="9487">
      <c r="A9487" s="217">
        <v>43852.50682888889</v>
      </c>
      <c r="B9487" s="3" t="s">
        <v>5092</v>
      </c>
      <c r="C9487" s="3" t="s">
        <v>10529</v>
      </c>
      <c r="D9487" s="265">
        <v>1.0</v>
      </c>
      <c r="G9487" s="266">
        <v>43830.0</v>
      </c>
    </row>
    <row r="9488">
      <c r="A9488" s="217">
        <v>43852.50745417824</v>
      </c>
      <c r="B9488" s="3" t="s">
        <v>5092</v>
      </c>
      <c r="C9488" s="3" t="s">
        <v>10530</v>
      </c>
      <c r="D9488" s="265">
        <v>1.0</v>
      </c>
      <c r="G9488" s="266">
        <v>43830.0</v>
      </c>
    </row>
    <row r="9489">
      <c r="A9489" s="217">
        <v>43852.508037164356</v>
      </c>
      <c r="B9489" s="3" t="s">
        <v>5092</v>
      </c>
      <c r="C9489" s="3" t="s">
        <v>10531</v>
      </c>
      <c r="D9489" s="265">
        <v>1.0</v>
      </c>
      <c r="G9489" s="266">
        <v>43830.0</v>
      </c>
    </row>
    <row r="9490">
      <c r="A9490" s="217">
        <v>43853.80732599537</v>
      </c>
      <c r="B9490" s="3" t="s">
        <v>5092</v>
      </c>
      <c r="C9490" s="3" t="s">
        <v>10532</v>
      </c>
      <c r="D9490" s="265">
        <v>1.0</v>
      </c>
      <c r="G9490" s="266">
        <v>43830.0</v>
      </c>
    </row>
    <row r="9491">
      <c r="A9491" s="217">
        <v>43853.807672627314</v>
      </c>
      <c r="B9491" s="3" t="s">
        <v>5092</v>
      </c>
      <c r="C9491" s="3" t="s">
        <v>10533</v>
      </c>
      <c r="D9491" s="265">
        <v>1.0</v>
      </c>
      <c r="G9491" s="266">
        <v>43830.0</v>
      </c>
    </row>
    <row r="9492">
      <c r="A9492" s="217">
        <v>43853.8082328125</v>
      </c>
      <c r="B9492" s="3" t="s">
        <v>5092</v>
      </c>
      <c r="C9492" s="3" t="s">
        <v>10534</v>
      </c>
      <c r="D9492" s="265">
        <v>1.0</v>
      </c>
      <c r="G9492" s="266">
        <v>43830.0</v>
      </c>
    </row>
    <row r="9493">
      <c r="A9493" s="217">
        <v>43853.80882711806</v>
      </c>
      <c r="B9493" s="3" t="s">
        <v>5092</v>
      </c>
      <c r="C9493" s="3" t="s">
        <v>10535</v>
      </c>
      <c r="D9493" s="265">
        <v>1.0</v>
      </c>
      <c r="G9493" s="266">
        <v>43830.0</v>
      </c>
    </row>
    <row r="9494">
      <c r="A9494" s="217">
        <v>43853.809764247686</v>
      </c>
      <c r="B9494" s="3" t="s">
        <v>5092</v>
      </c>
      <c r="C9494" s="3" t="s">
        <v>10536</v>
      </c>
      <c r="D9494" s="265">
        <v>1.0</v>
      </c>
      <c r="G9494" s="266">
        <v>43830.0</v>
      </c>
    </row>
    <row r="9495">
      <c r="A9495" s="217">
        <v>43853.810109363425</v>
      </c>
      <c r="B9495" s="3" t="s">
        <v>5092</v>
      </c>
      <c r="C9495" s="3" t="s">
        <v>10537</v>
      </c>
      <c r="D9495" s="265">
        <v>1.0</v>
      </c>
      <c r="G9495" s="266">
        <v>43830.0</v>
      </c>
    </row>
    <row r="9496">
      <c r="A9496" s="217">
        <v>43853.81044826389</v>
      </c>
      <c r="B9496" s="3" t="s">
        <v>5092</v>
      </c>
      <c r="C9496" s="3" t="s">
        <v>10538</v>
      </c>
      <c r="D9496" s="265">
        <v>1.0</v>
      </c>
      <c r="G9496" s="266">
        <v>43830.0</v>
      </c>
    </row>
    <row r="9497">
      <c r="A9497" s="217">
        <v>43853.81080648148</v>
      </c>
      <c r="B9497" s="3" t="s">
        <v>5092</v>
      </c>
      <c r="C9497" s="3" t="s">
        <v>10539</v>
      </c>
      <c r="D9497" s="265">
        <v>1.0</v>
      </c>
      <c r="G9497" s="266">
        <v>43830.0</v>
      </c>
    </row>
    <row r="9498">
      <c r="A9498" s="217">
        <v>43853.81134126158</v>
      </c>
      <c r="B9498" s="3" t="s">
        <v>5092</v>
      </c>
      <c r="C9498" s="3" t="s">
        <v>10540</v>
      </c>
      <c r="D9498" s="265">
        <v>1.0</v>
      </c>
      <c r="G9498" s="266">
        <v>43830.0</v>
      </c>
    </row>
    <row r="9499">
      <c r="A9499" s="217">
        <v>43853.81166733796</v>
      </c>
      <c r="B9499" s="3" t="s">
        <v>5092</v>
      </c>
      <c r="C9499" s="3" t="s">
        <v>10541</v>
      </c>
      <c r="D9499" s="265">
        <v>1.0</v>
      </c>
      <c r="G9499" s="266">
        <v>43830.0</v>
      </c>
    </row>
    <row r="9500">
      <c r="A9500" s="217">
        <v>43853.812287037035</v>
      </c>
      <c r="B9500" s="3" t="s">
        <v>5092</v>
      </c>
      <c r="C9500" s="3" t="s">
        <v>10542</v>
      </c>
      <c r="D9500" s="265">
        <v>1.0</v>
      </c>
      <c r="G9500" s="266">
        <v>43830.0</v>
      </c>
    </row>
    <row r="9501">
      <c r="A9501" s="217">
        <v>43853.81259857639</v>
      </c>
      <c r="B9501" s="3" t="s">
        <v>5092</v>
      </c>
      <c r="C9501" s="3" t="s">
        <v>10543</v>
      </c>
      <c r="D9501" s="265">
        <v>1.0</v>
      </c>
      <c r="G9501" s="266">
        <v>43830.0</v>
      </c>
    </row>
    <row r="9502">
      <c r="A9502" s="217">
        <v>43853.81303615741</v>
      </c>
      <c r="B9502" s="3" t="s">
        <v>5092</v>
      </c>
      <c r="C9502" s="3" t="s">
        <v>10544</v>
      </c>
      <c r="D9502" s="265">
        <v>1.0</v>
      </c>
      <c r="G9502" s="266">
        <v>43830.0</v>
      </c>
    </row>
    <row r="9503">
      <c r="A9503" s="217">
        <v>43853.813386458336</v>
      </c>
      <c r="B9503" s="3" t="s">
        <v>5092</v>
      </c>
      <c r="C9503" s="3" t="s">
        <v>1212</v>
      </c>
      <c r="D9503" s="265">
        <v>1.0</v>
      </c>
      <c r="G9503" s="266">
        <v>43830.0</v>
      </c>
    </row>
    <row r="9504">
      <c r="A9504" s="217">
        <v>43853.81398883102</v>
      </c>
      <c r="B9504" s="3" t="s">
        <v>5092</v>
      </c>
      <c r="C9504" s="3" t="s">
        <v>10545</v>
      </c>
      <c r="D9504" s="265">
        <v>1.0</v>
      </c>
      <c r="G9504" s="266">
        <v>43830.0</v>
      </c>
    </row>
    <row r="9505">
      <c r="A9505" s="217">
        <v>43853.81435048611</v>
      </c>
      <c r="B9505" s="3" t="s">
        <v>5092</v>
      </c>
      <c r="C9505" s="3" t="s">
        <v>10546</v>
      </c>
      <c r="D9505" s="265">
        <v>1.0</v>
      </c>
      <c r="G9505" s="266">
        <v>43830.0</v>
      </c>
    </row>
    <row r="9506">
      <c r="A9506" s="217">
        <v>43853.81617071759</v>
      </c>
      <c r="B9506" s="3" t="s">
        <v>5092</v>
      </c>
      <c r="C9506" s="3" t="s">
        <v>10547</v>
      </c>
      <c r="D9506" s="265">
        <v>2.0</v>
      </c>
      <c r="G9506" s="266">
        <v>43830.0</v>
      </c>
    </row>
    <row r="9507">
      <c r="A9507" s="217">
        <v>43853.81734649306</v>
      </c>
      <c r="B9507" s="3" t="s">
        <v>5092</v>
      </c>
      <c r="C9507" s="3" t="s">
        <v>10548</v>
      </c>
      <c r="D9507" s="265">
        <v>2.0</v>
      </c>
      <c r="G9507" s="266">
        <v>43830.0</v>
      </c>
    </row>
    <row r="9508">
      <c r="A9508" s="217">
        <v>43853.81801486111</v>
      </c>
      <c r="B9508" s="3" t="s">
        <v>5092</v>
      </c>
      <c r="C9508" s="3" t="s">
        <v>10549</v>
      </c>
      <c r="D9508" s="265">
        <v>1.0</v>
      </c>
      <c r="G9508" s="266">
        <v>43830.0</v>
      </c>
    </row>
    <row r="9509">
      <c r="A9509" s="217">
        <v>43853.818705949074</v>
      </c>
      <c r="B9509" s="3" t="s">
        <v>5092</v>
      </c>
      <c r="C9509" s="3" t="s">
        <v>10550</v>
      </c>
      <c r="D9509" s="265">
        <v>1.0</v>
      </c>
      <c r="G9509" s="266">
        <v>43830.0</v>
      </c>
    </row>
    <row r="9510">
      <c r="A9510" s="217">
        <v>43853.819043310184</v>
      </c>
      <c r="B9510" s="3" t="s">
        <v>5092</v>
      </c>
      <c r="C9510" s="3" t="s">
        <v>10551</v>
      </c>
      <c r="D9510" s="265">
        <v>1.0</v>
      </c>
      <c r="G9510" s="266">
        <v>43830.0</v>
      </c>
    </row>
    <row r="9511">
      <c r="A9511" s="217">
        <v>43853.81943243055</v>
      </c>
      <c r="B9511" s="3" t="s">
        <v>5092</v>
      </c>
      <c r="C9511" s="3" t="s">
        <v>10552</v>
      </c>
      <c r="D9511" s="265">
        <v>1.0</v>
      </c>
      <c r="G9511" s="266">
        <v>43830.0</v>
      </c>
    </row>
    <row r="9512">
      <c r="A9512" s="217">
        <v>43853.81993532408</v>
      </c>
      <c r="B9512" s="3" t="s">
        <v>5092</v>
      </c>
      <c r="C9512" s="3" t="s">
        <v>10553</v>
      </c>
      <c r="D9512" s="265">
        <v>1.0</v>
      </c>
      <c r="G9512" s="266">
        <v>43830.0</v>
      </c>
    </row>
    <row r="9513">
      <c r="A9513" s="217">
        <v>43853.82031792824</v>
      </c>
      <c r="B9513" s="3" t="s">
        <v>5092</v>
      </c>
      <c r="C9513" s="3" t="s">
        <v>10554</v>
      </c>
      <c r="D9513" s="265">
        <v>1.0</v>
      </c>
      <c r="G9513" s="266">
        <v>43830.0</v>
      </c>
    </row>
    <row r="9514">
      <c r="A9514" s="217">
        <v>43853.82071378472</v>
      </c>
      <c r="B9514" s="3" t="s">
        <v>5092</v>
      </c>
      <c r="C9514" s="3" t="s">
        <v>10555</v>
      </c>
      <c r="D9514" s="265">
        <v>1.0</v>
      </c>
      <c r="G9514" s="266">
        <v>43830.0</v>
      </c>
    </row>
    <row r="9515">
      <c r="A9515" s="217">
        <v>43853.82105613426</v>
      </c>
      <c r="B9515" s="3" t="s">
        <v>5092</v>
      </c>
      <c r="C9515" s="3" t="s">
        <v>10556</v>
      </c>
      <c r="D9515" s="265">
        <v>1.0</v>
      </c>
      <c r="G9515" s="266">
        <v>43830.0</v>
      </c>
    </row>
    <row r="9516">
      <c r="A9516" s="217">
        <v>43854.42069298611</v>
      </c>
      <c r="B9516" s="3" t="s">
        <v>5092</v>
      </c>
      <c r="C9516" s="3" t="s">
        <v>10557</v>
      </c>
      <c r="D9516" s="265">
        <v>1.0</v>
      </c>
      <c r="G9516" s="266">
        <v>43830.0</v>
      </c>
    </row>
    <row r="9517">
      <c r="A9517" s="217">
        <v>43854.42106486111</v>
      </c>
      <c r="B9517" s="3" t="s">
        <v>5092</v>
      </c>
      <c r="C9517" s="3" t="s">
        <v>10558</v>
      </c>
      <c r="D9517" s="265">
        <v>1.0</v>
      </c>
      <c r="G9517" s="266">
        <v>43830.0</v>
      </c>
    </row>
    <row r="9518">
      <c r="A9518" s="217">
        <v>43854.42139506944</v>
      </c>
      <c r="B9518" s="3" t="s">
        <v>5092</v>
      </c>
      <c r="C9518" s="3" t="s">
        <v>10559</v>
      </c>
      <c r="D9518" s="265">
        <v>1.0</v>
      </c>
      <c r="G9518" s="266">
        <v>43830.0</v>
      </c>
    </row>
    <row r="9519">
      <c r="A9519" s="217">
        <v>43854.42211922454</v>
      </c>
      <c r="B9519" s="3" t="s">
        <v>5092</v>
      </c>
      <c r="C9519" s="3" t="s">
        <v>10560</v>
      </c>
      <c r="D9519" s="265">
        <v>1.0</v>
      </c>
      <c r="G9519" s="266">
        <v>43830.0</v>
      </c>
    </row>
    <row r="9520">
      <c r="A9520" s="217">
        <v>43854.42243152778</v>
      </c>
      <c r="B9520" s="3" t="s">
        <v>5092</v>
      </c>
      <c r="C9520" s="3" t="s">
        <v>10561</v>
      </c>
      <c r="D9520" s="265">
        <v>1.0</v>
      </c>
      <c r="G9520" s="266">
        <v>43830.0</v>
      </c>
    </row>
    <row r="9521">
      <c r="A9521" s="217">
        <v>43854.422799872686</v>
      </c>
      <c r="B9521" s="3" t="s">
        <v>5092</v>
      </c>
      <c r="C9521" s="3" t="s">
        <v>10562</v>
      </c>
      <c r="D9521" s="265">
        <v>1.0</v>
      </c>
      <c r="G9521" s="266">
        <v>43830.0</v>
      </c>
    </row>
    <row r="9522">
      <c r="A9522" s="217">
        <v>43854.42315170139</v>
      </c>
      <c r="B9522" s="3" t="s">
        <v>5092</v>
      </c>
      <c r="C9522" s="3" t="s">
        <v>10563</v>
      </c>
      <c r="D9522" s="265">
        <v>1.0</v>
      </c>
      <c r="G9522" s="266">
        <v>43830.0</v>
      </c>
    </row>
    <row r="9523">
      <c r="A9523" s="217">
        <v>43854.42371138889</v>
      </c>
      <c r="B9523" s="3" t="s">
        <v>5092</v>
      </c>
      <c r="C9523" s="3" t="s">
        <v>1219</v>
      </c>
      <c r="D9523" s="265">
        <v>1.0</v>
      </c>
      <c r="G9523" s="266">
        <v>43830.0</v>
      </c>
    </row>
    <row r="9524">
      <c r="A9524" s="217">
        <v>43854.424132858796</v>
      </c>
      <c r="B9524" s="3" t="s">
        <v>5092</v>
      </c>
      <c r="C9524" s="3" t="s">
        <v>1220</v>
      </c>
      <c r="D9524" s="265">
        <v>1.0</v>
      </c>
      <c r="G9524" s="266">
        <v>43830.0</v>
      </c>
    </row>
    <row r="9525">
      <c r="A9525" s="217">
        <v>43854.42445369213</v>
      </c>
      <c r="B9525" s="3" t="s">
        <v>5092</v>
      </c>
      <c r="C9525" s="3" t="s">
        <v>1221</v>
      </c>
      <c r="D9525" s="265">
        <v>1.0</v>
      </c>
      <c r="G9525" s="266">
        <v>43830.0</v>
      </c>
    </row>
    <row r="9526">
      <c r="A9526" s="217">
        <v>43854.42490542824</v>
      </c>
      <c r="B9526" s="3" t="s">
        <v>5092</v>
      </c>
      <c r="C9526" s="3" t="s">
        <v>3456</v>
      </c>
      <c r="D9526" s="265">
        <v>1.0</v>
      </c>
      <c r="G9526" s="266">
        <v>43830.0</v>
      </c>
    </row>
    <row r="9527">
      <c r="A9527" s="217">
        <v>43854.42544453703</v>
      </c>
      <c r="B9527" s="3" t="s">
        <v>5092</v>
      </c>
      <c r="C9527" s="3" t="s">
        <v>10564</v>
      </c>
      <c r="D9527" s="265">
        <v>1.0</v>
      </c>
      <c r="G9527" s="266">
        <v>43830.0</v>
      </c>
    </row>
    <row r="9528">
      <c r="A9528" s="217">
        <v>43854.42588378472</v>
      </c>
      <c r="B9528" s="3" t="s">
        <v>5092</v>
      </c>
      <c r="C9528" s="3" t="s">
        <v>10565</v>
      </c>
      <c r="D9528" s="265">
        <v>1.0</v>
      </c>
      <c r="G9528" s="266">
        <v>43830.0</v>
      </c>
    </row>
    <row r="9529">
      <c r="A9529" s="217">
        <v>43854.42631112269</v>
      </c>
      <c r="B9529" s="3" t="s">
        <v>5092</v>
      </c>
      <c r="C9529" s="3" t="s">
        <v>1222</v>
      </c>
      <c r="D9529" s="265">
        <v>1.0</v>
      </c>
      <c r="G9529" s="266">
        <v>43830.0</v>
      </c>
    </row>
    <row r="9530">
      <c r="A9530" s="217">
        <v>43854.42698019676</v>
      </c>
      <c r="B9530" s="3" t="s">
        <v>5092</v>
      </c>
      <c r="C9530" s="3" t="s">
        <v>3458</v>
      </c>
      <c r="D9530" s="265">
        <v>4.0</v>
      </c>
      <c r="G9530" s="266">
        <v>43830.0</v>
      </c>
    </row>
    <row r="9531">
      <c r="A9531" s="217">
        <v>43854.4276441088</v>
      </c>
      <c r="B9531" s="3" t="s">
        <v>5092</v>
      </c>
      <c r="C9531" s="3" t="s">
        <v>938</v>
      </c>
      <c r="D9531" s="265">
        <v>1.0</v>
      </c>
      <c r="G9531" s="266">
        <v>43830.0</v>
      </c>
    </row>
    <row r="9532">
      <c r="A9532" s="217">
        <v>43854.42798356482</v>
      </c>
      <c r="B9532" s="3" t="s">
        <v>5092</v>
      </c>
      <c r="C9532" s="3" t="s">
        <v>939</v>
      </c>
      <c r="D9532" s="265">
        <v>1.0</v>
      </c>
      <c r="G9532" s="266">
        <v>43830.0</v>
      </c>
    </row>
    <row r="9533">
      <c r="A9533" s="217">
        <v>43854.42836695602</v>
      </c>
      <c r="B9533" s="3" t="s">
        <v>5092</v>
      </c>
      <c r="C9533" s="3" t="s">
        <v>10566</v>
      </c>
      <c r="D9533" s="265">
        <v>1.0</v>
      </c>
      <c r="G9533" s="266">
        <v>43830.0</v>
      </c>
    </row>
    <row r="9534">
      <c r="A9534" s="217">
        <v>43854.42876502315</v>
      </c>
      <c r="B9534" s="3" t="s">
        <v>5092</v>
      </c>
      <c r="C9534" s="3" t="s">
        <v>10567</v>
      </c>
      <c r="D9534" s="265">
        <v>1.0</v>
      </c>
      <c r="G9534" s="266">
        <v>43830.0</v>
      </c>
    </row>
    <row r="9535">
      <c r="A9535" s="217">
        <v>43854.429522164355</v>
      </c>
      <c r="B9535" s="3" t="s">
        <v>5092</v>
      </c>
      <c r="C9535" s="3" t="s">
        <v>10568</v>
      </c>
      <c r="D9535" s="265">
        <v>1.0</v>
      </c>
      <c r="G9535" s="266">
        <v>43830.0</v>
      </c>
    </row>
    <row r="9536">
      <c r="A9536" s="217">
        <v>43854.42985707176</v>
      </c>
      <c r="B9536" s="3" t="s">
        <v>5092</v>
      </c>
      <c r="C9536" s="3" t="s">
        <v>10569</v>
      </c>
      <c r="D9536" s="265">
        <v>1.0</v>
      </c>
      <c r="G9536" s="266">
        <v>43830.0</v>
      </c>
    </row>
    <row r="9537">
      <c r="A9537" s="217">
        <v>43854.43023033565</v>
      </c>
      <c r="B9537" s="3" t="s">
        <v>5092</v>
      </c>
      <c r="C9537" s="3" t="s">
        <v>941</v>
      </c>
      <c r="D9537" s="265">
        <v>1.0</v>
      </c>
      <c r="G9537" s="266">
        <v>43830.0</v>
      </c>
    </row>
    <row r="9538">
      <c r="A9538" s="217">
        <v>43854.43056702546</v>
      </c>
      <c r="B9538" s="3" t="s">
        <v>5092</v>
      </c>
      <c r="C9538" s="3" t="s">
        <v>10570</v>
      </c>
      <c r="D9538" s="265">
        <v>1.0</v>
      </c>
      <c r="G9538" s="266">
        <v>43830.0</v>
      </c>
    </row>
    <row r="9539">
      <c r="A9539" s="217">
        <v>43854.43106079861</v>
      </c>
      <c r="B9539" s="3" t="s">
        <v>5092</v>
      </c>
      <c r="C9539" s="3" t="s">
        <v>942</v>
      </c>
      <c r="D9539" s="265">
        <v>1.0</v>
      </c>
      <c r="G9539" s="266">
        <v>43830.0</v>
      </c>
    </row>
    <row r="9540">
      <c r="A9540" s="217">
        <v>43854.431506203706</v>
      </c>
      <c r="B9540" s="3" t="s">
        <v>5092</v>
      </c>
      <c r="C9540" s="3" t="s">
        <v>944</v>
      </c>
      <c r="D9540" s="265">
        <v>1.0</v>
      </c>
      <c r="G9540" s="266">
        <v>43830.0</v>
      </c>
    </row>
    <row r="9541">
      <c r="A9541" s="217">
        <v>43854.43207336805</v>
      </c>
      <c r="B9541" s="3" t="s">
        <v>5092</v>
      </c>
      <c r="C9541" s="3" t="s">
        <v>945</v>
      </c>
      <c r="D9541" s="265">
        <v>1.0</v>
      </c>
      <c r="G9541" s="266">
        <v>43830.0</v>
      </c>
    </row>
    <row r="9542">
      <c r="A9542" s="217">
        <v>43854.43245695602</v>
      </c>
      <c r="B9542" s="3" t="s">
        <v>5092</v>
      </c>
      <c r="C9542" s="3" t="s">
        <v>10571</v>
      </c>
      <c r="D9542" s="265">
        <v>1.0</v>
      </c>
      <c r="G9542" s="266">
        <v>43830.0</v>
      </c>
    </row>
    <row r="9543">
      <c r="A9543" s="217">
        <v>43854.43281438657</v>
      </c>
      <c r="B9543" s="3" t="s">
        <v>5092</v>
      </c>
      <c r="C9543" s="3" t="s">
        <v>947</v>
      </c>
      <c r="D9543" s="265">
        <v>1.0</v>
      </c>
      <c r="G9543" s="266">
        <v>43830.0</v>
      </c>
    </row>
    <row r="9544">
      <c r="A9544" s="217">
        <v>43854.43342074074</v>
      </c>
      <c r="B9544" s="3" t="s">
        <v>5092</v>
      </c>
      <c r="C9544" s="3" t="s">
        <v>10572</v>
      </c>
      <c r="D9544" s="265">
        <v>1.0</v>
      </c>
      <c r="G9544" s="266">
        <v>43830.0</v>
      </c>
    </row>
    <row r="9545">
      <c r="A9545" s="217">
        <v>43854.43382489584</v>
      </c>
      <c r="B9545" s="3" t="s">
        <v>5092</v>
      </c>
      <c r="C9545" s="3" t="s">
        <v>967</v>
      </c>
      <c r="D9545" s="265">
        <v>1.0</v>
      </c>
      <c r="G9545" s="266">
        <v>43830.0</v>
      </c>
    </row>
    <row r="9546">
      <c r="A9546" s="217">
        <v>43854.43506552083</v>
      </c>
      <c r="B9546" s="3" t="s">
        <v>5092</v>
      </c>
      <c r="C9546" s="3" t="s">
        <v>968</v>
      </c>
      <c r="D9546" s="265">
        <v>1.0</v>
      </c>
      <c r="G9546" s="266">
        <v>43830.0</v>
      </c>
    </row>
    <row r="9547">
      <c r="A9547" s="217">
        <v>43854.476142685184</v>
      </c>
      <c r="B9547" s="3" t="s">
        <v>5092</v>
      </c>
      <c r="C9547" s="3" t="s">
        <v>10573</v>
      </c>
      <c r="D9547" s="265">
        <v>1.0</v>
      </c>
      <c r="G9547" s="266">
        <v>43830.0</v>
      </c>
    </row>
    <row r="9548">
      <c r="A9548" s="217">
        <v>43854.476604166666</v>
      </c>
      <c r="B9548" s="3" t="s">
        <v>5092</v>
      </c>
      <c r="C9548" s="3" t="s">
        <v>3260</v>
      </c>
      <c r="D9548" s="265">
        <v>1.0</v>
      </c>
      <c r="G9548" s="266">
        <v>43830.0</v>
      </c>
    </row>
    <row r="9549">
      <c r="A9549" s="217">
        <v>43854.477414548615</v>
      </c>
      <c r="B9549" s="3" t="s">
        <v>5092</v>
      </c>
      <c r="C9549" s="3" t="s">
        <v>972</v>
      </c>
      <c r="D9549" s="265">
        <v>1.0</v>
      </c>
      <c r="G9549" s="266">
        <v>43830.0</v>
      </c>
    </row>
    <row r="9550">
      <c r="A9550" s="217">
        <v>43854.477762916664</v>
      </c>
      <c r="B9550" s="3" t="s">
        <v>5092</v>
      </c>
      <c r="C9550" s="3" t="s">
        <v>3264</v>
      </c>
      <c r="D9550" s="265">
        <v>1.0</v>
      </c>
      <c r="G9550" s="266">
        <v>43830.0</v>
      </c>
    </row>
    <row r="9551">
      <c r="A9551" s="217">
        <v>43854.478341215276</v>
      </c>
      <c r="B9551" s="3" t="s">
        <v>5092</v>
      </c>
      <c r="C9551" s="3" t="s">
        <v>10574</v>
      </c>
      <c r="D9551" s="265">
        <v>1.0</v>
      </c>
      <c r="G9551" s="266">
        <v>43830.0</v>
      </c>
    </row>
    <row r="9552">
      <c r="A9552" s="217">
        <v>43854.47893064815</v>
      </c>
      <c r="B9552" s="3" t="s">
        <v>5092</v>
      </c>
      <c r="C9552" s="3" t="s">
        <v>10575</v>
      </c>
      <c r="D9552" s="265">
        <v>1.0</v>
      </c>
      <c r="G9552" s="266">
        <v>43830.0</v>
      </c>
    </row>
    <row r="9553">
      <c r="A9553" s="217">
        <v>43854.47925395833</v>
      </c>
      <c r="B9553" s="3" t="s">
        <v>5092</v>
      </c>
      <c r="C9553" s="3" t="s">
        <v>1188</v>
      </c>
      <c r="D9553" s="265">
        <v>1.0</v>
      </c>
      <c r="G9553" s="266">
        <v>43830.0</v>
      </c>
    </row>
    <row r="9554">
      <c r="A9554" s="217">
        <v>43854.479754479165</v>
      </c>
      <c r="B9554" s="3" t="s">
        <v>5092</v>
      </c>
      <c r="C9554" s="3" t="s">
        <v>10576</v>
      </c>
      <c r="D9554" s="265">
        <v>1.0</v>
      </c>
      <c r="G9554" s="266">
        <v>43830.0</v>
      </c>
    </row>
    <row r="9555">
      <c r="A9555" s="217">
        <v>43854.48009222222</v>
      </c>
      <c r="B9555" s="3" t="s">
        <v>5092</v>
      </c>
      <c r="C9555" s="3" t="s">
        <v>10577</v>
      </c>
      <c r="D9555" s="265">
        <v>1.0</v>
      </c>
      <c r="G9555" s="266">
        <v>43830.0</v>
      </c>
    </row>
    <row r="9556">
      <c r="A9556" s="217">
        <v>43854.480585833335</v>
      </c>
      <c r="B9556" s="3" t="s">
        <v>5092</v>
      </c>
      <c r="C9556" s="3" t="s">
        <v>10578</v>
      </c>
      <c r="D9556" s="265">
        <v>1.0</v>
      </c>
      <c r="G9556" s="266">
        <v>43830.0</v>
      </c>
    </row>
    <row r="9557">
      <c r="A9557" s="217">
        <v>43854.480928749996</v>
      </c>
      <c r="B9557" s="3" t="s">
        <v>5092</v>
      </c>
      <c r="C9557" s="3" t="s">
        <v>1192</v>
      </c>
      <c r="D9557" s="265">
        <v>1.0</v>
      </c>
      <c r="G9557" s="266">
        <v>43830.0</v>
      </c>
    </row>
    <row r="9558">
      <c r="A9558" s="217">
        <v>43854.48142715278</v>
      </c>
      <c r="B9558" s="3" t="s">
        <v>5092</v>
      </c>
      <c r="C9558" s="3" t="s">
        <v>10579</v>
      </c>
      <c r="D9558" s="265">
        <v>1.0</v>
      </c>
      <c r="G9558" s="266">
        <v>43830.0</v>
      </c>
    </row>
    <row r="9559">
      <c r="A9559" s="217">
        <v>43854.481746087964</v>
      </c>
      <c r="B9559" s="3" t="s">
        <v>5092</v>
      </c>
      <c r="C9559" s="3" t="s">
        <v>10580</v>
      </c>
      <c r="D9559" s="265">
        <v>1.0</v>
      </c>
      <c r="G9559" s="266">
        <v>43830.0</v>
      </c>
    </row>
    <row r="9560">
      <c r="A9560" s="217">
        <v>43854.48236347223</v>
      </c>
      <c r="B9560" s="3" t="s">
        <v>5092</v>
      </c>
      <c r="C9560" s="3" t="s">
        <v>1207</v>
      </c>
      <c r="D9560" s="265">
        <v>1.0</v>
      </c>
      <c r="G9560" s="266">
        <v>43830.0</v>
      </c>
    </row>
    <row r="9561">
      <c r="A9561" s="217">
        <v>43854.48276784722</v>
      </c>
      <c r="B9561" s="3" t="s">
        <v>5092</v>
      </c>
      <c r="C9561" s="3" t="s">
        <v>1208</v>
      </c>
      <c r="D9561" s="265">
        <v>1.0</v>
      </c>
      <c r="G9561" s="266">
        <v>43830.0</v>
      </c>
    </row>
    <row r="9562">
      <c r="A9562" s="217">
        <v>43856.43923689815</v>
      </c>
      <c r="B9562" s="3" t="s">
        <v>5092</v>
      </c>
      <c r="C9562" s="3" t="s">
        <v>10581</v>
      </c>
      <c r="D9562" s="265">
        <v>1.0</v>
      </c>
      <c r="G9562" s="266">
        <v>43830.0</v>
      </c>
    </row>
    <row r="9563">
      <c r="A9563" s="217">
        <v>43856.43957959491</v>
      </c>
      <c r="B9563" s="3" t="s">
        <v>5092</v>
      </c>
      <c r="C9563" s="3" t="s">
        <v>10582</v>
      </c>
      <c r="D9563" s="265">
        <v>1.0</v>
      </c>
      <c r="G9563" s="266">
        <v>43830.0</v>
      </c>
    </row>
    <row r="9564">
      <c r="A9564" s="217">
        <v>43856.43994033565</v>
      </c>
      <c r="B9564" s="3" t="s">
        <v>5092</v>
      </c>
      <c r="C9564" s="3" t="s">
        <v>1209</v>
      </c>
      <c r="D9564" s="265">
        <v>1.0</v>
      </c>
      <c r="G9564" s="266">
        <v>43830.0</v>
      </c>
    </row>
    <row r="9565">
      <c r="A9565" s="217">
        <v>43856.44026164352</v>
      </c>
      <c r="B9565" s="3" t="s">
        <v>5092</v>
      </c>
      <c r="C9565" s="3" t="s">
        <v>10583</v>
      </c>
      <c r="D9565" s="265">
        <v>1.0</v>
      </c>
      <c r="G9565" s="266">
        <v>43830.0</v>
      </c>
    </row>
    <row r="9566">
      <c r="A9566" s="217">
        <v>43856.44074099537</v>
      </c>
      <c r="B9566" s="3" t="s">
        <v>5092</v>
      </c>
      <c r="C9566" s="3" t="s">
        <v>1204</v>
      </c>
      <c r="D9566" s="265">
        <v>1.0</v>
      </c>
      <c r="G9566" s="266">
        <v>43830.0</v>
      </c>
    </row>
    <row r="9567">
      <c r="A9567" s="217">
        <v>43856.44105920139</v>
      </c>
      <c r="B9567" s="3" t="s">
        <v>5092</v>
      </c>
      <c r="C9567" s="3" t="s">
        <v>10584</v>
      </c>
      <c r="D9567" s="265">
        <v>1.0</v>
      </c>
      <c r="G9567" s="266">
        <v>43830.0</v>
      </c>
    </row>
    <row r="9568">
      <c r="A9568" s="217">
        <v>43856.44148447917</v>
      </c>
      <c r="B9568" s="3" t="s">
        <v>5092</v>
      </c>
      <c r="C9568" s="3" t="s">
        <v>10585</v>
      </c>
      <c r="D9568" s="265">
        <v>1.0</v>
      </c>
      <c r="G9568" s="266">
        <v>43830.0</v>
      </c>
    </row>
    <row r="9569">
      <c r="A9569" s="217">
        <v>43856.44187400463</v>
      </c>
      <c r="B9569" s="3" t="s">
        <v>5092</v>
      </c>
      <c r="C9569" s="3" t="s">
        <v>1205</v>
      </c>
      <c r="D9569" s="265">
        <v>1.0</v>
      </c>
      <c r="G9569" s="266">
        <v>43830.0</v>
      </c>
    </row>
    <row r="9570">
      <c r="A9570" s="217">
        <v>43856.44232826389</v>
      </c>
      <c r="B9570" s="3" t="s">
        <v>5092</v>
      </c>
      <c r="C9570" s="3" t="s">
        <v>1206</v>
      </c>
      <c r="D9570" s="265">
        <v>1.0</v>
      </c>
      <c r="G9570" s="266">
        <v>43830.0</v>
      </c>
    </row>
    <row r="9571">
      <c r="A9571" s="217">
        <v>43856.44286667824</v>
      </c>
      <c r="B9571" s="3" t="s">
        <v>5092</v>
      </c>
      <c r="C9571" s="3" t="s">
        <v>10586</v>
      </c>
      <c r="D9571" s="265">
        <v>1.0</v>
      </c>
      <c r="G9571" s="266">
        <v>43830.0</v>
      </c>
    </row>
    <row r="9572">
      <c r="A9572" s="217">
        <v>43856.44353925926</v>
      </c>
      <c r="B9572" s="3" t="s">
        <v>5092</v>
      </c>
      <c r="C9572" s="3" t="s">
        <v>10587</v>
      </c>
      <c r="D9572" s="265">
        <v>2.0</v>
      </c>
      <c r="G9572" s="266">
        <v>43830.0</v>
      </c>
    </row>
    <row r="9573">
      <c r="A9573" s="217">
        <v>43856.451620555556</v>
      </c>
      <c r="B9573" s="3" t="s">
        <v>5092</v>
      </c>
      <c r="C9573" s="3" t="s">
        <v>10588</v>
      </c>
      <c r="D9573" s="265">
        <v>1.0</v>
      </c>
      <c r="G9573" s="266">
        <v>43830.0</v>
      </c>
    </row>
    <row r="9574">
      <c r="A9574" s="217">
        <v>43856.4519812963</v>
      </c>
      <c r="B9574" s="3" t="s">
        <v>5092</v>
      </c>
      <c r="C9574" s="3" t="s">
        <v>10589</v>
      </c>
      <c r="D9574" s="265">
        <v>1.0</v>
      </c>
      <c r="G9574" s="266">
        <v>43830.0</v>
      </c>
    </row>
    <row r="9575">
      <c r="A9575" s="217">
        <v>43856.452387881945</v>
      </c>
      <c r="B9575" s="3" t="s">
        <v>5092</v>
      </c>
      <c r="C9575" s="3" t="s">
        <v>10590</v>
      </c>
      <c r="D9575" s="265">
        <v>1.0</v>
      </c>
      <c r="G9575" s="266">
        <v>43830.0</v>
      </c>
    </row>
    <row r="9576">
      <c r="A9576" s="217">
        <v>43856.45278041667</v>
      </c>
      <c r="B9576" s="3" t="s">
        <v>5092</v>
      </c>
      <c r="C9576" s="3" t="s">
        <v>10591</v>
      </c>
      <c r="D9576" s="265">
        <v>1.0</v>
      </c>
      <c r="G9576" s="266">
        <v>43830.0</v>
      </c>
    </row>
    <row r="9577">
      <c r="A9577" s="217">
        <v>43856.453111469906</v>
      </c>
      <c r="B9577" s="3" t="s">
        <v>5092</v>
      </c>
      <c r="C9577" s="3" t="s">
        <v>10592</v>
      </c>
      <c r="D9577" s="265">
        <v>1.0</v>
      </c>
      <c r="G9577" s="266">
        <v>43830.0</v>
      </c>
    </row>
    <row r="9578">
      <c r="A9578" s="217">
        <v>43856.453603657406</v>
      </c>
      <c r="B9578" s="3" t="s">
        <v>5092</v>
      </c>
      <c r="C9578" s="3" t="s">
        <v>1216</v>
      </c>
      <c r="D9578" s="265">
        <v>1.0</v>
      </c>
      <c r="G9578" s="266">
        <v>43830.0</v>
      </c>
    </row>
    <row r="9579">
      <c r="A9579" s="217">
        <v>43856.45398104167</v>
      </c>
      <c r="B9579" s="3" t="s">
        <v>5092</v>
      </c>
      <c r="C9579" s="3" t="s">
        <v>10593</v>
      </c>
      <c r="D9579" s="265">
        <v>1.0</v>
      </c>
      <c r="G9579" s="266">
        <v>43830.0</v>
      </c>
    </row>
    <row r="9580">
      <c r="A9580" s="217">
        <v>43856.45435901621</v>
      </c>
      <c r="B9580" s="3" t="s">
        <v>5092</v>
      </c>
      <c r="C9580" s="3" t="s">
        <v>10594</v>
      </c>
      <c r="D9580" s="265">
        <v>1.0</v>
      </c>
      <c r="G9580" s="266">
        <v>43830.0</v>
      </c>
    </row>
    <row r="9581">
      <c r="A9581" s="217">
        <v>43856.454705729164</v>
      </c>
      <c r="B9581" s="3" t="s">
        <v>5092</v>
      </c>
      <c r="C9581" s="3" t="s">
        <v>10595</v>
      </c>
      <c r="D9581" s="265">
        <v>1.0</v>
      </c>
      <c r="G9581" s="266">
        <v>43830.0</v>
      </c>
    </row>
    <row r="9582">
      <c r="A9582" s="217">
        <v>43856.45502879629</v>
      </c>
      <c r="B9582" s="3" t="s">
        <v>5092</v>
      </c>
      <c r="C9582" s="3" t="s">
        <v>10596</v>
      </c>
      <c r="D9582" s="265">
        <v>1.0</v>
      </c>
      <c r="G9582" s="266">
        <v>43830.0</v>
      </c>
    </row>
    <row r="9583">
      <c r="A9583" s="217">
        <v>43856.49178803241</v>
      </c>
      <c r="B9583" s="3" t="s">
        <v>5092</v>
      </c>
      <c r="C9583" s="3" t="s">
        <v>1155</v>
      </c>
      <c r="D9583" s="265">
        <v>1.0</v>
      </c>
      <c r="G9583" s="266">
        <v>43830.0</v>
      </c>
    </row>
    <row r="9584">
      <c r="A9584" s="217">
        <v>43856.49226115741</v>
      </c>
      <c r="B9584" s="3" t="s">
        <v>5092</v>
      </c>
      <c r="C9584" s="3" t="s">
        <v>1156</v>
      </c>
      <c r="D9584" s="265">
        <v>1.0</v>
      </c>
      <c r="G9584" s="266">
        <v>43830.0</v>
      </c>
    </row>
    <row r="9585">
      <c r="A9585" s="217">
        <v>43856.49266076389</v>
      </c>
      <c r="B9585" s="3" t="s">
        <v>5092</v>
      </c>
      <c r="C9585" s="3" t="s">
        <v>1157</v>
      </c>
      <c r="D9585" s="265">
        <v>1.0</v>
      </c>
      <c r="G9585" s="266">
        <v>43830.0</v>
      </c>
    </row>
    <row r="9586">
      <c r="A9586" s="217">
        <v>43856.4931071412</v>
      </c>
      <c r="B9586" s="3" t="s">
        <v>5092</v>
      </c>
      <c r="C9586" s="3" t="s">
        <v>1158</v>
      </c>
      <c r="D9586" s="265">
        <v>1.0</v>
      </c>
      <c r="G9586" s="266">
        <v>43830.0</v>
      </c>
    </row>
    <row r="9587">
      <c r="A9587" s="217">
        <v>43856.49560630787</v>
      </c>
      <c r="B9587" s="3" t="s">
        <v>5092</v>
      </c>
      <c r="C9587" s="3" t="s">
        <v>10597</v>
      </c>
      <c r="D9587" s="265">
        <v>1.0</v>
      </c>
      <c r="G9587" s="266">
        <v>43830.0</v>
      </c>
    </row>
    <row r="9588">
      <c r="A9588" s="217">
        <v>43856.49605671296</v>
      </c>
      <c r="B9588" s="3" t="s">
        <v>5092</v>
      </c>
      <c r="C9588" s="3" t="s">
        <v>10598</v>
      </c>
      <c r="D9588" s="265">
        <v>1.0</v>
      </c>
      <c r="G9588" s="266">
        <v>43830.0</v>
      </c>
    </row>
    <row r="9589">
      <c r="A9589" s="217">
        <v>43856.496729375</v>
      </c>
      <c r="B9589" s="3" t="s">
        <v>5092</v>
      </c>
      <c r="C9589" s="3" t="s">
        <v>3412</v>
      </c>
      <c r="D9589" s="265">
        <v>2.0</v>
      </c>
      <c r="G9589" s="266">
        <v>43830.0</v>
      </c>
    </row>
    <row r="9590">
      <c r="A9590" s="217">
        <v>43856.49743206019</v>
      </c>
      <c r="B9590" s="3" t="s">
        <v>5092</v>
      </c>
      <c r="C9590" s="3" t="s">
        <v>3413</v>
      </c>
      <c r="D9590" s="265">
        <v>4.0</v>
      </c>
      <c r="G9590" s="266">
        <v>43830.0</v>
      </c>
    </row>
    <row r="9591">
      <c r="A9591" s="217">
        <v>43856.73469875</v>
      </c>
      <c r="B9591" s="3" t="s">
        <v>5092</v>
      </c>
      <c r="C9591" s="3" t="s">
        <v>10599</v>
      </c>
      <c r="D9591" s="265">
        <v>1.0</v>
      </c>
      <c r="G9591" s="266">
        <v>43830.0</v>
      </c>
    </row>
    <row r="9592">
      <c r="A9592" s="217">
        <v>43856.735278368054</v>
      </c>
      <c r="B9592" s="3" t="s">
        <v>5092</v>
      </c>
      <c r="C9592" s="3" t="s">
        <v>1198</v>
      </c>
      <c r="D9592" s="265">
        <v>1.0</v>
      </c>
      <c r="G9592" s="266">
        <v>43830.0</v>
      </c>
    </row>
    <row r="9593">
      <c r="A9593" s="217">
        <v>43856.73565040509</v>
      </c>
      <c r="B9593" s="3" t="s">
        <v>5092</v>
      </c>
      <c r="C9593" s="3" t="s">
        <v>1199</v>
      </c>
      <c r="D9593" s="265">
        <v>1.0</v>
      </c>
      <c r="G9593" s="266">
        <v>43830.0</v>
      </c>
    </row>
    <row r="9594">
      <c r="A9594" s="217">
        <v>43856.77660131945</v>
      </c>
      <c r="B9594" s="3" t="s">
        <v>5184</v>
      </c>
      <c r="C9594" s="3" t="s">
        <v>3188</v>
      </c>
      <c r="D9594" s="265">
        <v>2.0</v>
      </c>
      <c r="G9594" s="266">
        <v>43839.0</v>
      </c>
    </row>
    <row r="9595">
      <c r="A9595" s="217">
        <v>43856.77734616898</v>
      </c>
      <c r="B9595" s="3" t="s">
        <v>5184</v>
      </c>
      <c r="C9595" s="3" t="s">
        <v>10600</v>
      </c>
      <c r="D9595" s="265">
        <v>1.0</v>
      </c>
      <c r="G9595" s="266">
        <v>43839.0</v>
      </c>
    </row>
    <row r="9596">
      <c r="A9596" s="217">
        <v>43856.77802253472</v>
      </c>
      <c r="B9596" s="3" t="s">
        <v>5184</v>
      </c>
      <c r="C9596" s="3" t="s">
        <v>10601</v>
      </c>
      <c r="D9596" s="265">
        <v>2.0</v>
      </c>
      <c r="G9596" s="266">
        <v>43839.0</v>
      </c>
    </row>
    <row r="9597">
      <c r="A9597" s="217">
        <v>43856.77863310185</v>
      </c>
      <c r="B9597" s="3" t="s">
        <v>5184</v>
      </c>
      <c r="C9597" s="3" t="s">
        <v>10602</v>
      </c>
      <c r="D9597" s="265">
        <v>1.0</v>
      </c>
      <c r="G9597" s="266">
        <v>43839.0</v>
      </c>
    </row>
    <row r="9598">
      <c r="A9598" s="217">
        <v>43856.77955561342</v>
      </c>
      <c r="B9598" s="3" t="s">
        <v>5184</v>
      </c>
      <c r="C9598" s="3" t="s">
        <v>10603</v>
      </c>
      <c r="D9598" s="265">
        <v>1.0</v>
      </c>
      <c r="G9598" s="266">
        <v>43839.0</v>
      </c>
    </row>
    <row r="9599">
      <c r="A9599" s="217">
        <v>43856.78020864583</v>
      </c>
      <c r="B9599" s="3" t="s">
        <v>5184</v>
      </c>
      <c r="C9599" s="3" t="s">
        <v>10604</v>
      </c>
      <c r="D9599" s="265">
        <v>1.0</v>
      </c>
      <c r="G9599" s="266">
        <v>43839.0</v>
      </c>
    </row>
    <row r="9600">
      <c r="A9600" s="217">
        <v>43856.780874421296</v>
      </c>
      <c r="B9600" s="3" t="s">
        <v>5184</v>
      </c>
      <c r="C9600" s="3" t="s">
        <v>10453</v>
      </c>
      <c r="D9600" s="265">
        <v>1.0</v>
      </c>
      <c r="G9600" s="266">
        <v>43839.0</v>
      </c>
    </row>
    <row r="9601">
      <c r="A9601" s="217">
        <v>43856.78151417824</v>
      </c>
      <c r="B9601" s="3" t="s">
        <v>5184</v>
      </c>
      <c r="C9601" s="3" t="s">
        <v>10496</v>
      </c>
      <c r="D9601" s="265">
        <v>2.0</v>
      </c>
      <c r="G9601" s="266">
        <v>43839.0</v>
      </c>
    </row>
    <row r="9602">
      <c r="A9602" s="217">
        <v>43856.78285</v>
      </c>
      <c r="B9602" s="3" t="s">
        <v>5184</v>
      </c>
      <c r="C9602" s="3" t="s">
        <v>3202</v>
      </c>
      <c r="D9602" s="265">
        <v>2.0</v>
      </c>
      <c r="G9602" s="266">
        <v>43839.0</v>
      </c>
    </row>
    <row r="9603">
      <c r="A9603" s="217">
        <v>43856.78375340278</v>
      </c>
      <c r="B9603" s="3" t="s">
        <v>5184</v>
      </c>
      <c r="C9603" s="3" t="s">
        <v>3207</v>
      </c>
      <c r="D9603" s="265">
        <v>1.0</v>
      </c>
      <c r="G9603" s="266">
        <v>43839.0</v>
      </c>
    </row>
    <row r="9604">
      <c r="A9604" s="217">
        <v>43856.78463621528</v>
      </c>
      <c r="B9604" s="3" t="s">
        <v>5184</v>
      </c>
      <c r="C9604" s="3" t="s">
        <v>3208</v>
      </c>
      <c r="D9604" s="265">
        <v>2.0</v>
      </c>
      <c r="G9604" s="266">
        <v>43839.0</v>
      </c>
    </row>
    <row r="9605">
      <c r="A9605" s="217">
        <v>43856.78521393519</v>
      </c>
      <c r="B9605" s="3" t="s">
        <v>5184</v>
      </c>
      <c r="C9605" s="3" t="s">
        <v>10457</v>
      </c>
      <c r="D9605" s="265">
        <v>1.0</v>
      </c>
      <c r="G9605" s="266">
        <v>43839.0</v>
      </c>
    </row>
    <row r="9606">
      <c r="A9606" s="217">
        <v>43856.78680377315</v>
      </c>
      <c r="B9606" s="3" t="s">
        <v>5184</v>
      </c>
      <c r="C9606" s="3" t="s">
        <v>3209</v>
      </c>
      <c r="D9606" s="265">
        <v>2.0</v>
      </c>
      <c r="G9606" s="266">
        <v>43839.0</v>
      </c>
    </row>
    <row r="9607">
      <c r="A9607" s="217">
        <v>43856.78728060186</v>
      </c>
      <c r="B9607" s="3" t="s">
        <v>5184</v>
      </c>
      <c r="C9607" s="3" t="s">
        <v>10605</v>
      </c>
      <c r="D9607" s="265">
        <v>1.0</v>
      </c>
      <c r="G9607" s="266">
        <v>43839.0</v>
      </c>
    </row>
    <row r="9608">
      <c r="A9608" s="217">
        <v>43856.787771030096</v>
      </c>
      <c r="B9608" s="3" t="s">
        <v>5184</v>
      </c>
      <c r="C9608" s="3" t="s">
        <v>10458</v>
      </c>
      <c r="D9608" s="265">
        <v>1.0</v>
      </c>
      <c r="G9608" s="266">
        <v>43839.0</v>
      </c>
    </row>
    <row r="9609">
      <c r="A9609" s="217">
        <v>43856.788466157406</v>
      </c>
      <c r="B9609" s="3" t="s">
        <v>5184</v>
      </c>
      <c r="C9609" s="3" t="s">
        <v>3212</v>
      </c>
      <c r="D9609" s="265">
        <v>1.0</v>
      </c>
      <c r="G9609" s="266">
        <v>43839.0</v>
      </c>
    </row>
    <row r="9610">
      <c r="A9610" s="217">
        <v>43858.517307800925</v>
      </c>
      <c r="B9610" s="3" t="s">
        <v>5292</v>
      </c>
      <c r="C9610" s="3" t="s">
        <v>3213</v>
      </c>
      <c r="D9610" s="265">
        <v>1.0</v>
      </c>
      <c r="G9610" s="266">
        <v>43839.0</v>
      </c>
    </row>
    <row r="9611">
      <c r="A9611" s="217">
        <v>43858.517781284725</v>
      </c>
      <c r="B9611" s="3" t="s">
        <v>5292</v>
      </c>
      <c r="C9611" s="3" t="s">
        <v>10606</v>
      </c>
      <c r="D9611" s="265">
        <v>1.0</v>
      </c>
      <c r="G9611" s="266">
        <v>43839.0</v>
      </c>
    </row>
    <row r="9612">
      <c r="A9612" s="217">
        <v>43858.518229594905</v>
      </c>
      <c r="B9612" s="3" t="s">
        <v>5292</v>
      </c>
      <c r="C9612" s="3" t="s">
        <v>3216</v>
      </c>
      <c r="D9612" s="265">
        <v>1.0</v>
      </c>
      <c r="G9612" s="266">
        <v>43839.0</v>
      </c>
    </row>
    <row r="9613">
      <c r="A9613" s="217">
        <v>43858.527144120366</v>
      </c>
      <c r="B9613" s="3" t="s">
        <v>5184</v>
      </c>
      <c r="C9613" s="3" t="s">
        <v>10494</v>
      </c>
      <c r="D9613" s="265">
        <v>4.0</v>
      </c>
      <c r="G9613" s="266">
        <v>43839.0</v>
      </c>
    </row>
    <row r="9614">
      <c r="A9614" s="217">
        <v>43858.52790774306</v>
      </c>
      <c r="B9614" s="3" t="s">
        <v>5184</v>
      </c>
      <c r="C9614" s="3" t="s">
        <v>10465</v>
      </c>
      <c r="D9614" s="265">
        <v>3.0</v>
      </c>
      <c r="G9614" s="266">
        <v>43839.0</v>
      </c>
    </row>
    <row r="9615">
      <c r="A9615" s="217">
        <v>43858.52857993056</v>
      </c>
      <c r="B9615" s="3" t="s">
        <v>5184</v>
      </c>
      <c r="C9615" s="3" t="s">
        <v>10504</v>
      </c>
      <c r="D9615" s="265">
        <v>2.0</v>
      </c>
      <c r="G9615" s="266">
        <v>43839.0</v>
      </c>
    </row>
    <row r="9616">
      <c r="A9616" s="217">
        <v>43858.529164907406</v>
      </c>
      <c r="B9616" s="3" t="s">
        <v>5184</v>
      </c>
      <c r="C9616" s="3" t="s">
        <v>3222</v>
      </c>
      <c r="D9616" s="265">
        <v>2.0</v>
      </c>
      <c r="G9616" s="266">
        <v>43839.0</v>
      </c>
    </row>
    <row r="9617">
      <c r="A9617" s="217">
        <v>43858.52969642361</v>
      </c>
      <c r="B9617" s="3" t="s">
        <v>5184</v>
      </c>
      <c r="C9617" s="3" t="s">
        <v>10508</v>
      </c>
      <c r="D9617" s="265">
        <v>1.0</v>
      </c>
      <c r="G9617" s="266">
        <v>43839.0</v>
      </c>
    </row>
    <row r="9618">
      <c r="A9618" s="217">
        <v>43858.5303512963</v>
      </c>
      <c r="B9618" s="3" t="s">
        <v>5184</v>
      </c>
      <c r="C9618" s="3" t="s">
        <v>3223</v>
      </c>
      <c r="D9618" s="265">
        <v>1.0</v>
      </c>
      <c r="G9618" s="266">
        <v>43839.0</v>
      </c>
    </row>
    <row r="9619">
      <c r="A9619" s="217">
        <v>43858.5310938426</v>
      </c>
      <c r="B9619" s="3" t="s">
        <v>5184</v>
      </c>
      <c r="C9619" s="3" t="s">
        <v>10493</v>
      </c>
      <c r="D9619" s="265">
        <v>2.0</v>
      </c>
      <c r="G9619" s="266">
        <v>43839.0</v>
      </c>
    </row>
    <row r="9620">
      <c r="A9620" s="217">
        <v>43858.531775752315</v>
      </c>
      <c r="B9620" s="3" t="s">
        <v>5184</v>
      </c>
      <c r="C9620" s="3" t="s">
        <v>3224</v>
      </c>
      <c r="D9620" s="265">
        <v>3.0</v>
      </c>
      <c r="G9620" s="266">
        <v>43839.0</v>
      </c>
    </row>
    <row r="9621">
      <c r="A9621" s="217">
        <v>43858.53230643518</v>
      </c>
      <c r="B9621" s="3" t="s">
        <v>5184</v>
      </c>
      <c r="C9621" s="3" t="s">
        <v>10530</v>
      </c>
      <c r="D9621" s="265">
        <v>1.0</v>
      </c>
      <c r="G9621" s="266">
        <v>43839.0</v>
      </c>
    </row>
    <row r="9622">
      <c r="A9622" s="217">
        <v>43858.532820312495</v>
      </c>
      <c r="B9622" s="3" t="s">
        <v>5184</v>
      </c>
      <c r="C9622" s="3" t="s">
        <v>10525</v>
      </c>
      <c r="D9622" s="265">
        <v>1.0</v>
      </c>
      <c r="G9622" s="266">
        <v>43839.0</v>
      </c>
    </row>
    <row r="9623">
      <c r="A9623" s="217">
        <v>43858.5336088426</v>
      </c>
      <c r="B9623" s="3" t="s">
        <v>5184</v>
      </c>
      <c r="C9623" s="3" t="s">
        <v>10607</v>
      </c>
      <c r="D9623" s="265">
        <v>1.0</v>
      </c>
      <c r="G9623" s="266">
        <v>43839.0</v>
      </c>
    </row>
    <row r="9624">
      <c r="A9624" s="217">
        <v>43858.53428979167</v>
      </c>
      <c r="B9624" s="3" t="s">
        <v>5184</v>
      </c>
      <c r="C9624" s="3" t="s">
        <v>10608</v>
      </c>
      <c r="D9624" s="265">
        <v>1.0</v>
      </c>
      <c r="G9624" s="266">
        <v>43839.0</v>
      </c>
    </row>
    <row r="9625">
      <c r="A9625" s="217">
        <v>43858.53495203704</v>
      </c>
      <c r="B9625" s="3" t="s">
        <v>5184</v>
      </c>
      <c r="C9625" s="3" t="s">
        <v>10282</v>
      </c>
      <c r="D9625" s="265">
        <v>1.0</v>
      </c>
      <c r="G9625" s="266">
        <v>43839.0</v>
      </c>
    </row>
    <row r="9626">
      <c r="A9626" s="217">
        <v>43858.53629506944</v>
      </c>
      <c r="B9626" s="3" t="s">
        <v>5184</v>
      </c>
      <c r="C9626" s="3" t="s">
        <v>3239</v>
      </c>
      <c r="D9626" s="265">
        <v>2.0</v>
      </c>
      <c r="G9626" s="266">
        <v>43839.0</v>
      </c>
    </row>
    <row r="9627">
      <c r="A9627" s="217">
        <v>43858.53703324074</v>
      </c>
      <c r="B9627" s="3" t="s">
        <v>5184</v>
      </c>
      <c r="C9627" s="3" t="s">
        <v>10609</v>
      </c>
      <c r="D9627" s="265">
        <v>2.0</v>
      </c>
      <c r="G9627" s="266">
        <v>43839.0</v>
      </c>
    </row>
    <row r="9628">
      <c r="A9628" s="217">
        <v>43858.537963703704</v>
      </c>
      <c r="B9628" s="3" t="s">
        <v>5184</v>
      </c>
      <c r="C9628" s="3" t="s">
        <v>10610</v>
      </c>
      <c r="D9628" s="265">
        <v>1.0</v>
      </c>
      <c r="G9628" s="266">
        <v>43839.0</v>
      </c>
    </row>
    <row r="9629">
      <c r="A9629" s="217">
        <v>43858.53850390046</v>
      </c>
      <c r="B9629" s="3" t="s">
        <v>5184</v>
      </c>
      <c r="C9629" s="3" t="s">
        <v>3246</v>
      </c>
      <c r="D9629" s="265">
        <v>1.0</v>
      </c>
      <c r="G9629" s="266">
        <v>43839.0</v>
      </c>
    </row>
    <row r="9630">
      <c r="A9630" s="217">
        <v>43858.53936473379</v>
      </c>
      <c r="B9630" s="3" t="s">
        <v>5184</v>
      </c>
      <c r="C9630" s="3" t="s">
        <v>10611</v>
      </c>
      <c r="D9630" s="265">
        <v>2.0</v>
      </c>
      <c r="G9630" s="266">
        <v>43839.0</v>
      </c>
    </row>
    <row r="9631">
      <c r="A9631" s="217">
        <v>43858.54003506944</v>
      </c>
      <c r="B9631" s="3" t="s">
        <v>5184</v>
      </c>
      <c r="C9631" s="3" t="s">
        <v>10612</v>
      </c>
      <c r="D9631" s="265">
        <v>2.0</v>
      </c>
      <c r="G9631" s="266">
        <v>43839.0</v>
      </c>
    </row>
    <row r="9632">
      <c r="A9632" s="217">
        <v>43858.540552384264</v>
      </c>
      <c r="B9632" s="3" t="s">
        <v>5184</v>
      </c>
      <c r="C9632" s="3" t="s">
        <v>10613</v>
      </c>
      <c r="D9632" s="265">
        <v>1.0</v>
      </c>
      <c r="G9632" s="266">
        <v>43839.0</v>
      </c>
    </row>
    <row r="9633">
      <c r="A9633" s="217">
        <v>43858.54105694444</v>
      </c>
      <c r="B9633" s="3" t="s">
        <v>5184</v>
      </c>
      <c r="C9633" s="3" t="s">
        <v>10614</v>
      </c>
      <c r="D9633" s="265">
        <v>1.0</v>
      </c>
      <c r="G9633" s="266">
        <v>43839.0</v>
      </c>
    </row>
    <row r="9634">
      <c r="A9634" s="217">
        <v>43858.54165143518</v>
      </c>
      <c r="B9634" s="3" t="s">
        <v>5184</v>
      </c>
      <c r="C9634" s="3" t="s">
        <v>3235</v>
      </c>
      <c r="D9634" s="265">
        <v>1.0</v>
      </c>
      <c r="G9634" s="266">
        <v>43839.0</v>
      </c>
    </row>
    <row r="9635">
      <c r="A9635" s="217">
        <v>43858.5426784375</v>
      </c>
      <c r="B9635" s="3" t="s">
        <v>5184</v>
      </c>
      <c r="C9635" s="3" t="s">
        <v>3237</v>
      </c>
      <c r="D9635" s="265">
        <v>1.0</v>
      </c>
      <c r="G9635" s="266">
        <v>43839.0</v>
      </c>
    </row>
    <row r="9636">
      <c r="A9636" s="217">
        <v>43858.54319644676</v>
      </c>
      <c r="B9636" s="3" t="s">
        <v>5184</v>
      </c>
      <c r="C9636" s="3" t="s">
        <v>10615</v>
      </c>
      <c r="D9636" s="265">
        <v>2.0</v>
      </c>
      <c r="G9636" s="266">
        <v>43839.0</v>
      </c>
    </row>
    <row r="9637">
      <c r="A9637" s="217">
        <v>43858.54372155093</v>
      </c>
      <c r="B9637" s="3" t="s">
        <v>5184</v>
      </c>
      <c r="C9637" s="3" t="s">
        <v>10616</v>
      </c>
      <c r="D9637" s="265">
        <v>1.0</v>
      </c>
      <c r="G9637" s="266">
        <v>43839.0</v>
      </c>
    </row>
    <row r="9638">
      <c r="A9638" s="217">
        <v>43858.54446590278</v>
      </c>
      <c r="B9638" s="3" t="s">
        <v>5184</v>
      </c>
      <c r="C9638" s="3" t="s">
        <v>10617</v>
      </c>
      <c r="D9638" s="265">
        <v>3.0</v>
      </c>
      <c r="G9638" s="266">
        <v>43839.0</v>
      </c>
    </row>
    <row r="9639">
      <c r="A9639" s="217">
        <v>43858.5449777662</v>
      </c>
      <c r="B9639" s="3" t="s">
        <v>5184</v>
      </c>
      <c r="C9639" s="3" t="s">
        <v>10266</v>
      </c>
      <c r="D9639" s="265">
        <v>1.0</v>
      </c>
      <c r="G9639" s="266">
        <v>43839.0</v>
      </c>
    </row>
    <row r="9640">
      <c r="A9640" s="217">
        <v>43858.549288634254</v>
      </c>
      <c r="B9640" s="3" t="s">
        <v>5184</v>
      </c>
      <c r="C9640" s="3" t="s">
        <v>10618</v>
      </c>
      <c r="D9640" s="265">
        <v>2.0</v>
      </c>
      <c r="G9640" s="266">
        <v>43839.0</v>
      </c>
    </row>
    <row r="9641">
      <c r="A9641" s="217">
        <v>43858.549950092594</v>
      </c>
      <c r="B9641" s="3" t="s">
        <v>5184</v>
      </c>
      <c r="C9641" s="3" t="s">
        <v>10619</v>
      </c>
      <c r="D9641" s="265">
        <v>2.0</v>
      </c>
      <c r="G9641" s="266">
        <v>43839.0</v>
      </c>
    </row>
    <row r="9642">
      <c r="A9642" s="217">
        <v>43858.550495937496</v>
      </c>
      <c r="B9642" s="3" t="s">
        <v>5184</v>
      </c>
      <c r="C9642" s="3" t="s">
        <v>3252</v>
      </c>
      <c r="D9642" s="265">
        <v>1.0</v>
      </c>
      <c r="G9642" s="266">
        <v>43839.0</v>
      </c>
    </row>
    <row r="9643">
      <c r="A9643" s="217">
        <v>43858.55115164352</v>
      </c>
      <c r="B9643" s="3" t="s">
        <v>5184</v>
      </c>
      <c r="C9643" s="3" t="s">
        <v>10620</v>
      </c>
      <c r="D9643" s="265">
        <v>2.0</v>
      </c>
      <c r="G9643" s="266">
        <v>43839.0</v>
      </c>
    </row>
    <row r="9644">
      <c r="A9644" s="217">
        <v>43858.55175067129</v>
      </c>
      <c r="B9644" s="3" t="s">
        <v>5184</v>
      </c>
      <c r="C9644" s="3" t="s">
        <v>10621</v>
      </c>
      <c r="D9644" s="265">
        <v>1.0</v>
      </c>
      <c r="G9644" s="266">
        <v>43839.0</v>
      </c>
    </row>
    <row r="9645">
      <c r="A9645" s="217">
        <v>43858.55222251157</v>
      </c>
      <c r="B9645" s="3" t="s">
        <v>5184</v>
      </c>
      <c r="C9645" s="3" t="s">
        <v>3258</v>
      </c>
      <c r="D9645" s="265">
        <v>1.0</v>
      </c>
      <c r="G9645" s="266">
        <v>43839.0</v>
      </c>
    </row>
    <row r="9646">
      <c r="A9646" s="217">
        <v>43858.55273269676</v>
      </c>
      <c r="B9646" s="3" t="s">
        <v>5184</v>
      </c>
      <c r="C9646" s="3" t="s">
        <v>3260</v>
      </c>
      <c r="D9646" s="265">
        <v>1.0</v>
      </c>
      <c r="G9646" s="266">
        <v>43839.0</v>
      </c>
    </row>
    <row r="9647">
      <c r="A9647" s="217">
        <v>43858.55335112268</v>
      </c>
      <c r="B9647" s="3" t="s">
        <v>5184</v>
      </c>
      <c r="C9647" s="3" t="s">
        <v>3264</v>
      </c>
      <c r="D9647" s="265">
        <v>1.0</v>
      </c>
      <c r="G9647" s="266">
        <v>43839.0</v>
      </c>
    </row>
    <row r="9648">
      <c r="A9648" s="217">
        <v>43858.55403472223</v>
      </c>
      <c r="B9648" s="3" t="s">
        <v>5184</v>
      </c>
      <c r="C9648" s="3" t="s">
        <v>10622</v>
      </c>
      <c r="D9648" s="265">
        <v>1.0</v>
      </c>
      <c r="G9648" s="266">
        <v>43839.0</v>
      </c>
    </row>
    <row r="9649">
      <c r="A9649" s="217">
        <v>43858.55447664352</v>
      </c>
      <c r="B9649" s="3" t="s">
        <v>5184</v>
      </c>
      <c r="C9649" s="3" t="s">
        <v>10623</v>
      </c>
      <c r="D9649" s="265">
        <v>1.0</v>
      </c>
      <c r="G9649" s="266">
        <v>43839.0</v>
      </c>
    </row>
    <row r="9650">
      <c r="A9650" s="217">
        <v>43858.554988379634</v>
      </c>
      <c r="B9650" s="3" t="s">
        <v>5184</v>
      </c>
      <c r="C9650" s="3" t="s">
        <v>10624</v>
      </c>
      <c r="D9650" s="265">
        <v>2.0</v>
      </c>
      <c r="G9650" s="266">
        <v>43839.0</v>
      </c>
    </row>
    <row r="9651">
      <c r="A9651" s="217">
        <v>43858.55551690972</v>
      </c>
      <c r="B9651" s="3" t="s">
        <v>5184</v>
      </c>
      <c r="C9651" s="3" t="s">
        <v>10256</v>
      </c>
      <c r="D9651" s="265">
        <v>3.0</v>
      </c>
      <c r="G9651" s="266">
        <v>43839.0</v>
      </c>
    </row>
    <row r="9652">
      <c r="A9652" s="217">
        <v>43858.55970753472</v>
      </c>
      <c r="B9652" s="3" t="s">
        <v>5184</v>
      </c>
      <c r="C9652" s="3" t="s">
        <v>10254</v>
      </c>
      <c r="D9652" s="265">
        <v>2.0</v>
      </c>
      <c r="G9652" s="266">
        <v>43839.0</v>
      </c>
    </row>
    <row r="9653">
      <c r="A9653" s="217">
        <v>43858.56032310185</v>
      </c>
      <c r="B9653" s="3" t="s">
        <v>5184</v>
      </c>
      <c r="C9653" s="3" t="s">
        <v>10625</v>
      </c>
      <c r="D9653" s="265">
        <v>1.0</v>
      </c>
      <c r="G9653" s="266">
        <v>43839.0</v>
      </c>
    </row>
    <row r="9654">
      <c r="A9654" s="217">
        <v>43858.56130025463</v>
      </c>
      <c r="B9654" s="3" t="s">
        <v>5184</v>
      </c>
      <c r="C9654" s="3" t="s">
        <v>10260</v>
      </c>
      <c r="D9654" s="265">
        <v>2.0</v>
      </c>
      <c r="G9654" s="266">
        <v>43839.0</v>
      </c>
    </row>
    <row r="9655">
      <c r="A9655" s="217">
        <v>43858.56185809028</v>
      </c>
      <c r="B9655" s="3" t="s">
        <v>5184</v>
      </c>
      <c r="C9655" s="3" t="s">
        <v>10626</v>
      </c>
      <c r="D9655" s="265">
        <v>1.0</v>
      </c>
      <c r="G9655" s="266">
        <v>43839.0</v>
      </c>
    </row>
    <row r="9656">
      <c r="A9656" s="217">
        <v>43858.56232532408</v>
      </c>
      <c r="B9656" s="3" t="s">
        <v>5184</v>
      </c>
      <c r="C9656" s="3" t="s">
        <v>10627</v>
      </c>
      <c r="D9656" s="265">
        <v>1.0</v>
      </c>
      <c r="G9656" s="266">
        <v>43839.0</v>
      </c>
    </row>
    <row r="9657">
      <c r="A9657" s="217">
        <v>43858.56287277778</v>
      </c>
      <c r="B9657" s="3" t="s">
        <v>5184</v>
      </c>
      <c r="C9657" s="3" t="s">
        <v>3363</v>
      </c>
      <c r="D9657" s="265">
        <v>1.0</v>
      </c>
      <c r="G9657" s="266">
        <v>43839.0</v>
      </c>
    </row>
    <row r="9658">
      <c r="A9658" s="217">
        <v>43858.56345152778</v>
      </c>
      <c r="B9658" s="3" t="s">
        <v>5184</v>
      </c>
      <c r="C9658" s="3" t="s">
        <v>10628</v>
      </c>
      <c r="D9658" s="265">
        <v>2.0</v>
      </c>
      <c r="G9658" s="266">
        <v>43839.0</v>
      </c>
    </row>
    <row r="9659">
      <c r="A9659" s="217">
        <v>43858.56393275463</v>
      </c>
      <c r="B9659" s="3" t="s">
        <v>5184</v>
      </c>
      <c r="C9659" s="3" t="s">
        <v>10309</v>
      </c>
      <c r="D9659" s="265">
        <v>1.0</v>
      </c>
      <c r="G9659" s="266">
        <v>43839.0</v>
      </c>
    </row>
    <row r="9660">
      <c r="A9660" s="217">
        <v>43858.564405428246</v>
      </c>
      <c r="B9660" s="3" t="s">
        <v>5184</v>
      </c>
      <c r="C9660" s="3" t="s">
        <v>10306</v>
      </c>
      <c r="D9660" s="265">
        <v>1.0</v>
      </c>
      <c r="G9660" s="266">
        <v>43839.0</v>
      </c>
    </row>
    <row r="9661">
      <c r="A9661" s="217">
        <v>43858.565127187496</v>
      </c>
      <c r="B9661" s="3" t="s">
        <v>5184</v>
      </c>
      <c r="C9661" s="3" t="s">
        <v>10303</v>
      </c>
      <c r="D9661" s="265">
        <v>4.0</v>
      </c>
      <c r="G9661" s="266">
        <v>43839.0</v>
      </c>
    </row>
    <row r="9662">
      <c r="A9662" s="217">
        <v>43858.565688981485</v>
      </c>
      <c r="B9662" s="3" t="s">
        <v>5184</v>
      </c>
      <c r="C9662" s="3" t="s">
        <v>10299</v>
      </c>
      <c r="D9662" s="265">
        <v>2.0</v>
      </c>
      <c r="G9662" s="266">
        <v>43839.0</v>
      </c>
    </row>
    <row r="9663">
      <c r="A9663" s="217">
        <v>43858.56617237268</v>
      </c>
      <c r="B9663" s="3" t="s">
        <v>5184</v>
      </c>
      <c r="C9663" s="3" t="s">
        <v>10297</v>
      </c>
      <c r="D9663" s="265">
        <v>3.0</v>
      </c>
      <c r="G9663" s="266">
        <v>43839.0</v>
      </c>
    </row>
    <row r="9664">
      <c r="A9664" s="217">
        <v>43858.56735237269</v>
      </c>
      <c r="B9664" s="3" t="s">
        <v>5184</v>
      </c>
      <c r="C9664" s="3" t="s">
        <v>10296</v>
      </c>
      <c r="D9664" s="265">
        <v>2.0</v>
      </c>
      <c r="G9664" s="266">
        <v>43839.0</v>
      </c>
    </row>
    <row r="9665">
      <c r="A9665" s="217">
        <v>43858.56794353009</v>
      </c>
      <c r="B9665" s="3" t="s">
        <v>5184</v>
      </c>
      <c r="C9665" s="3" t="s">
        <v>10294</v>
      </c>
      <c r="D9665" s="265">
        <v>3.0</v>
      </c>
      <c r="G9665" s="266">
        <v>43839.0</v>
      </c>
    </row>
    <row r="9666">
      <c r="A9666" s="217">
        <v>43858.568467488425</v>
      </c>
      <c r="B9666" s="3" t="s">
        <v>5184</v>
      </c>
      <c r="C9666" s="3" t="s">
        <v>10629</v>
      </c>
      <c r="D9666" s="265">
        <v>2.0</v>
      </c>
      <c r="G9666" s="266">
        <v>43839.0</v>
      </c>
    </row>
    <row r="9667">
      <c r="A9667" s="217">
        <v>43858.5689346875</v>
      </c>
      <c r="B9667" s="3" t="s">
        <v>5184</v>
      </c>
      <c r="C9667" s="3" t="s">
        <v>10286</v>
      </c>
      <c r="D9667" s="265">
        <v>1.0</v>
      </c>
      <c r="G9667" s="266">
        <v>43839.0</v>
      </c>
    </row>
    <row r="9668">
      <c r="A9668" s="217">
        <v>43858.56951489583</v>
      </c>
      <c r="B9668" s="3" t="s">
        <v>5184</v>
      </c>
      <c r="C9668" s="3" t="s">
        <v>10282</v>
      </c>
      <c r="D9668" s="265">
        <v>1.0</v>
      </c>
      <c r="G9668" s="266">
        <v>43839.0</v>
      </c>
    </row>
    <row r="9669">
      <c r="A9669" s="217">
        <v>43858.57001759259</v>
      </c>
      <c r="B9669" s="3" t="s">
        <v>5184</v>
      </c>
      <c r="C9669" s="3" t="s">
        <v>3368</v>
      </c>
      <c r="D9669" s="265">
        <v>1.0</v>
      </c>
      <c r="G9669" s="266">
        <v>43839.0</v>
      </c>
    </row>
    <row r="9670">
      <c r="A9670" s="217">
        <v>43858.57059253472</v>
      </c>
      <c r="B9670" s="3" t="s">
        <v>5184</v>
      </c>
      <c r="C9670" s="3" t="s">
        <v>10278</v>
      </c>
      <c r="D9670" s="265">
        <v>2.0</v>
      </c>
      <c r="G9670" s="266">
        <v>43839.0</v>
      </c>
    </row>
    <row r="9671">
      <c r="A9671" s="217">
        <v>43858.57109574074</v>
      </c>
      <c r="B9671" s="3" t="s">
        <v>5184</v>
      </c>
      <c r="C9671" s="3" t="s">
        <v>10630</v>
      </c>
      <c r="D9671" s="265">
        <v>2.0</v>
      </c>
      <c r="G9671" s="266">
        <v>43839.0</v>
      </c>
    </row>
    <row r="9672">
      <c r="A9672" s="217">
        <v>43858.57158931713</v>
      </c>
      <c r="B9672" s="3" t="s">
        <v>5184</v>
      </c>
      <c r="C9672" s="3" t="s">
        <v>10355</v>
      </c>
      <c r="D9672" s="265">
        <v>2.0</v>
      </c>
      <c r="G9672" s="266">
        <v>43839.0</v>
      </c>
    </row>
    <row r="9673">
      <c r="A9673" s="217">
        <v>43858.57209340278</v>
      </c>
      <c r="B9673" s="3" t="s">
        <v>5184</v>
      </c>
      <c r="C9673" s="3" t="s">
        <v>3372</v>
      </c>
      <c r="D9673" s="265">
        <v>1.0</v>
      </c>
      <c r="G9673" s="266">
        <v>43839.0</v>
      </c>
    </row>
    <row r="9674">
      <c r="A9674" s="217">
        <v>43858.572677731485</v>
      </c>
      <c r="B9674" s="3" t="s">
        <v>5184</v>
      </c>
      <c r="C9674" s="3" t="s">
        <v>3374</v>
      </c>
      <c r="D9674" s="265">
        <v>2.0</v>
      </c>
      <c r="G9674" s="266">
        <v>43839.0</v>
      </c>
    </row>
    <row r="9675">
      <c r="A9675" s="217">
        <v>43858.57747438658</v>
      </c>
      <c r="B9675" s="3" t="s">
        <v>5184</v>
      </c>
      <c r="C9675" s="3" t="s">
        <v>3376</v>
      </c>
      <c r="D9675" s="265">
        <v>1.0</v>
      </c>
      <c r="G9675" s="266">
        <v>43839.0</v>
      </c>
    </row>
    <row r="9676">
      <c r="A9676" s="217">
        <v>43858.57795100694</v>
      </c>
      <c r="B9676" s="3" t="s">
        <v>5184</v>
      </c>
      <c r="C9676" s="3" t="s">
        <v>10343</v>
      </c>
      <c r="D9676" s="265">
        <v>2.0</v>
      </c>
      <c r="G9676" s="266">
        <v>43839.0</v>
      </c>
    </row>
    <row r="9677">
      <c r="A9677" s="217">
        <v>43858.57845</v>
      </c>
      <c r="B9677" s="3" t="s">
        <v>5184</v>
      </c>
      <c r="C9677" s="3" t="s">
        <v>3378</v>
      </c>
      <c r="D9677" s="265">
        <v>1.0</v>
      </c>
      <c r="G9677" s="266">
        <v>43839.0</v>
      </c>
    </row>
    <row r="9678">
      <c r="A9678" s="217">
        <v>43858.578954780096</v>
      </c>
      <c r="B9678" s="3" t="s">
        <v>5184</v>
      </c>
      <c r="C9678" s="3" t="s">
        <v>3350</v>
      </c>
      <c r="D9678" s="265">
        <v>1.0</v>
      </c>
      <c r="G9678" s="266">
        <v>43839.0</v>
      </c>
    </row>
    <row r="9679">
      <c r="A9679" s="217">
        <v>43858.57965738426</v>
      </c>
      <c r="B9679" s="3" t="s">
        <v>5184</v>
      </c>
      <c r="C9679" s="3" t="s">
        <v>10335</v>
      </c>
      <c r="D9679" s="265">
        <v>2.0</v>
      </c>
      <c r="G9679" s="266">
        <v>43839.0</v>
      </c>
    </row>
    <row r="9680">
      <c r="A9680" s="217">
        <v>43858.58038777778</v>
      </c>
      <c r="B9680" s="3" t="s">
        <v>5184</v>
      </c>
      <c r="C9680" s="3" t="s">
        <v>10330</v>
      </c>
      <c r="D9680" s="265">
        <v>1.0</v>
      </c>
      <c r="G9680" s="266">
        <v>43839.0</v>
      </c>
    </row>
    <row r="9681">
      <c r="A9681" s="217">
        <v>43858.58091333334</v>
      </c>
      <c r="B9681" s="3" t="s">
        <v>5184</v>
      </c>
      <c r="C9681" s="3" t="s">
        <v>10631</v>
      </c>
      <c r="D9681" s="265">
        <v>1.0</v>
      </c>
      <c r="G9681" s="266">
        <v>43839.0</v>
      </c>
    </row>
    <row r="9682">
      <c r="A9682" s="217">
        <v>43858.581448067125</v>
      </c>
      <c r="B9682" s="3" t="s">
        <v>5184</v>
      </c>
      <c r="C9682" s="3" t="s">
        <v>10383</v>
      </c>
      <c r="D9682" s="265">
        <v>2.0</v>
      </c>
      <c r="G9682" s="266">
        <v>43839.0</v>
      </c>
    </row>
    <row r="9683">
      <c r="A9683" s="217">
        <v>43858.58194019676</v>
      </c>
      <c r="B9683" s="3" t="s">
        <v>5184</v>
      </c>
      <c r="C9683" s="3" t="s">
        <v>10382</v>
      </c>
      <c r="D9683" s="265">
        <v>1.0</v>
      </c>
      <c r="G9683" s="266">
        <v>43839.0</v>
      </c>
    </row>
    <row r="9684">
      <c r="A9684" s="217">
        <v>43858.58247978009</v>
      </c>
      <c r="B9684" s="3" t="s">
        <v>5184</v>
      </c>
      <c r="C9684" s="3" t="s">
        <v>3380</v>
      </c>
      <c r="D9684" s="265">
        <v>1.0</v>
      </c>
      <c r="G9684" s="266">
        <v>43839.0</v>
      </c>
    </row>
    <row r="9685">
      <c r="A9685" s="217">
        <v>43858.582916875</v>
      </c>
      <c r="B9685" s="3" t="s">
        <v>5184</v>
      </c>
      <c r="C9685" s="3" t="s">
        <v>10372</v>
      </c>
      <c r="D9685" s="265">
        <v>1.0</v>
      </c>
      <c r="G9685" s="266">
        <v>43839.0</v>
      </c>
    </row>
    <row r="9686">
      <c r="A9686" s="217">
        <v>43858.583382627316</v>
      </c>
      <c r="B9686" s="3" t="s">
        <v>5184</v>
      </c>
      <c r="C9686" s="3" t="s">
        <v>3382</v>
      </c>
      <c r="D9686" s="265">
        <v>1.0</v>
      </c>
      <c r="G9686" s="266">
        <v>43839.0</v>
      </c>
    </row>
    <row r="9687">
      <c r="A9687" s="217">
        <v>43858.583921666665</v>
      </c>
      <c r="B9687" s="3" t="s">
        <v>5184</v>
      </c>
      <c r="C9687" s="3" t="s">
        <v>3384</v>
      </c>
      <c r="D9687" s="265">
        <v>2.0</v>
      </c>
      <c r="G9687" s="266">
        <v>43839.0</v>
      </c>
    </row>
    <row r="9688">
      <c r="A9688" s="217">
        <v>43858.584490810186</v>
      </c>
      <c r="B9688" s="3" t="s">
        <v>5184</v>
      </c>
      <c r="C9688" s="3" t="s">
        <v>10272</v>
      </c>
      <c r="D9688" s="265">
        <v>3.0</v>
      </c>
      <c r="G9688" s="266">
        <v>43839.0</v>
      </c>
    </row>
    <row r="9689">
      <c r="A9689" s="217">
        <v>43858.58515295139</v>
      </c>
      <c r="B9689" s="3" t="s">
        <v>5184</v>
      </c>
      <c r="C9689" s="3" t="s">
        <v>3385</v>
      </c>
      <c r="D9689" s="265">
        <v>2.0</v>
      </c>
      <c r="G9689" s="266">
        <v>43839.0</v>
      </c>
    </row>
    <row r="9690">
      <c r="A9690" s="217">
        <v>43858.58562408565</v>
      </c>
      <c r="B9690" s="3" t="s">
        <v>5184</v>
      </c>
      <c r="C9690" s="3" t="s">
        <v>3387</v>
      </c>
      <c r="D9690" s="265">
        <v>1.0</v>
      </c>
      <c r="G9690" s="266">
        <v>43839.0</v>
      </c>
    </row>
    <row r="9691">
      <c r="A9691" s="217">
        <v>43858.5862015162</v>
      </c>
      <c r="B9691" s="3" t="s">
        <v>5184</v>
      </c>
      <c r="C9691" s="3" t="s">
        <v>10244</v>
      </c>
      <c r="D9691" s="265">
        <v>2.0</v>
      </c>
      <c r="G9691" s="266">
        <v>43839.0</v>
      </c>
    </row>
    <row r="9692">
      <c r="A9692" s="217">
        <v>43858.5866615625</v>
      </c>
      <c r="B9692" s="3" t="s">
        <v>5184</v>
      </c>
      <c r="C9692" s="3" t="s">
        <v>10632</v>
      </c>
      <c r="D9692" s="265">
        <v>3.0</v>
      </c>
      <c r="G9692" s="266">
        <v>43839.0</v>
      </c>
    </row>
    <row r="9693">
      <c r="A9693" s="217">
        <v>43858.58722221065</v>
      </c>
      <c r="B9693" s="3" t="s">
        <v>5184</v>
      </c>
      <c r="C9693" s="3" t="s">
        <v>10238</v>
      </c>
      <c r="D9693" s="265">
        <v>1.0</v>
      </c>
      <c r="G9693" s="266">
        <v>43839.0</v>
      </c>
    </row>
    <row r="9694">
      <c r="A9694" s="217">
        <v>43858.58771556713</v>
      </c>
      <c r="B9694" s="3" t="s">
        <v>5184</v>
      </c>
      <c r="C9694" s="3" t="s">
        <v>10236</v>
      </c>
      <c r="D9694" s="265">
        <v>2.0</v>
      </c>
      <c r="G9694" s="266">
        <v>43839.0</v>
      </c>
    </row>
    <row r="9695">
      <c r="A9695" s="217">
        <v>43858.58818826389</v>
      </c>
      <c r="B9695" s="3" t="s">
        <v>5184</v>
      </c>
      <c r="C9695" s="3" t="s">
        <v>3333</v>
      </c>
      <c r="D9695" s="265">
        <v>1.0</v>
      </c>
      <c r="G9695" s="266">
        <v>43839.0</v>
      </c>
    </row>
    <row r="9696">
      <c r="A9696" s="217">
        <v>43858.58872383102</v>
      </c>
      <c r="B9696" s="3" t="s">
        <v>5184</v>
      </c>
      <c r="C9696" s="3" t="s">
        <v>10212</v>
      </c>
      <c r="D9696" s="265">
        <v>2.0</v>
      </c>
      <c r="G9696" s="266">
        <v>43839.0</v>
      </c>
    </row>
    <row r="9697">
      <c r="A9697" s="217">
        <v>43858.58917334491</v>
      </c>
      <c r="B9697" s="3" t="s">
        <v>5184</v>
      </c>
      <c r="C9697" s="3" t="s">
        <v>3396</v>
      </c>
      <c r="D9697" s="265">
        <v>1.0</v>
      </c>
      <c r="G9697" s="266">
        <v>43839.0</v>
      </c>
    </row>
    <row r="9698">
      <c r="A9698" s="217">
        <v>43858.589609421295</v>
      </c>
      <c r="B9698" s="3" t="s">
        <v>5184</v>
      </c>
      <c r="C9698" s="3" t="s">
        <v>10633</v>
      </c>
      <c r="D9698" s="265">
        <v>1.0</v>
      </c>
      <c r="G9698" s="266">
        <v>43839.0</v>
      </c>
    </row>
    <row r="9699">
      <c r="A9699" s="217">
        <v>43858.59010758102</v>
      </c>
      <c r="B9699" s="3" t="s">
        <v>5184</v>
      </c>
      <c r="C9699" s="3" t="s">
        <v>10223</v>
      </c>
      <c r="D9699" s="265">
        <v>1.0</v>
      </c>
      <c r="G9699" s="266">
        <v>43839.0</v>
      </c>
    </row>
    <row r="9700">
      <c r="A9700" s="217">
        <v>43858.59060672454</v>
      </c>
      <c r="B9700" s="3" t="s">
        <v>5184</v>
      </c>
      <c r="C9700" s="3" t="s">
        <v>10225</v>
      </c>
      <c r="D9700" s="265">
        <v>2.0</v>
      </c>
      <c r="G9700" s="266">
        <v>43839.0</v>
      </c>
    </row>
    <row r="9701">
      <c r="A9701" s="217">
        <v>43858.591084722226</v>
      </c>
      <c r="B9701" s="3" t="s">
        <v>5184</v>
      </c>
      <c r="C9701" s="3" t="s">
        <v>3399</v>
      </c>
      <c r="D9701" s="265">
        <v>1.0</v>
      </c>
      <c r="G9701" s="266">
        <v>43839.0</v>
      </c>
    </row>
    <row r="9702">
      <c r="A9702" s="217">
        <v>43858.591664340274</v>
      </c>
      <c r="B9702" s="3" t="s">
        <v>5184</v>
      </c>
      <c r="C9702" s="3" t="s">
        <v>3404</v>
      </c>
      <c r="D9702" s="265">
        <v>1.0</v>
      </c>
      <c r="G9702" s="266">
        <v>43839.0</v>
      </c>
    </row>
    <row r="9703">
      <c r="A9703" s="217">
        <v>43858.628888946754</v>
      </c>
      <c r="B9703" s="3" t="s">
        <v>5184</v>
      </c>
      <c r="C9703" s="3" t="s">
        <v>10324</v>
      </c>
      <c r="D9703" s="265">
        <v>1.0</v>
      </c>
      <c r="G9703" s="266">
        <v>43839.0</v>
      </c>
    </row>
    <row r="9704">
      <c r="A9704" s="217">
        <v>43858.62931549769</v>
      </c>
      <c r="B9704" s="3" t="s">
        <v>5184</v>
      </c>
      <c r="C9704" s="3" t="s">
        <v>3406</v>
      </c>
      <c r="D9704" s="265">
        <v>1.0</v>
      </c>
      <c r="G9704" s="266">
        <v>43839.0</v>
      </c>
    </row>
    <row r="9705">
      <c r="A9705" s="217">
        <v>43858.62977753472</v>
      </c>
      <c r="B9705" s="3" t="s">
        <v>5184</v>
      </c>
      <c r="C9705" s="3" t="s">
        <v>3408</v>
      </c>
      <c r="D9705" s="265">
        <v>1.0</v>
      </c>
      <c r="G9705" s="266">
        <v>43839.0</v>
      </c>
    </row>
    <row r="9706">
      <c r="A9706" s="217">
        <v>43858.63032848379</v>
      </c>
      <c r="B9706" s="3" t="s">
        <v>5184</v>
      </c>
      <c r="C9706" s="3" t="s">
        <v>10511</v>
      </c>
      <c r="D9706" s="265">
        <v>2.0</v>
      </c>
      <c r="G9706" s="266">
        <v>43839.0</v>
      </c>
    </row>
    <row r="9707">
      <c r="A9707" s="217">
        <v>43858.63087407408</v>
      </c>
      <c r="B9707" s="3" t="s">
        <v>5184</v>
      </c>
      <c r="C9707" s="3" t="s">
        <v>3413</v>
      </c>
      <c r="D9707" s="265">
        <v>1.0</v>
      </c>
      <c r="G9707" s="266">
        <v>43839.0</v>
      </c>
    </row>
    <row r="9708">
      <c r="A9708" s="217">
        <v>43858.63136829861</v>
      </c>
      <c r="B9708" s="3" t="s">
        <v>5184</v>
      </c>
      <c r="C9708" s="3" t="s">
        <v>3414</v>
      </c>
      <c r="D9708" s="265">
        <v>1.0</v>
      </c>
      <c r="G9708" s="266">
        <v>43839.0</v>
      </c>
    </row>
    <row r="9709">
      <c r="A9709" s="217">
        <v>43858.631910717595</v>
      </c>
      <c r="B9709" s="3" t="s">
        <v>5184</v>
      </c>
      <c r="C9709" s="3" t="s">
        <v>3416</v>
      </c>
      <c r="D9709" s="265">
        <v>3.0</v>
      </c>
      <c r="G9709" s="266">
        <v>43839.0</v>
      </c>
    </row>
    <row r="9710">
      <c r="A9710" s="217">
        <v>43858.63234267361</v>
      </c>
      <c r="B9710" s="3" t="s">
        <v>5184</v>
      </c>
      <c r="C9710" s="3" t="s">
        <v>10634</v>
      </c>
      <c r="D9710" s="265">
        <v>1.0</v>
      </c>
      <c r="G9710" s="266">
        <v>43839.0</v>
      </c>
    </row>
    <row r="9711">
      <c r="A9711" s="217">
        <v>43858.632829016206</v>
      </c>
      <c r="B9711" s="3" t="s">
        <v>5184</v>
      </c>
      <c r="C9711" s="3" t="s">
        <v>10485</v>
      </c>
      <c r="D9711" s="265">
        <v>2.0</v>
      </c>
      <c r="G9711" s="266">
        <v>43839.0</v>
      </c>
    </row>
    <row r="9712">
      <c r="A9712" s="217">
        <v>43858.63328405093</v>
      </c>
      <c r="B9712" s="3" t="s">
        <v>5184</v>
      </c>
      <c r="C9712" s="3" t="s">
        <v>3418</v>
      </c>
      <c r="D9712" s="265">
        <v>1.0</v>
      </c>
      <c r="G9712" s="266">
        <v>43839.0</v>
      </c>
    </row>
    <row r="9713">
      <c r="A9713" s="217">
        <v>43858.70023966435</v>
      </c>
      <c r="B9713" s="3" t="s">
        <v>5184</v>
      </c>
      <c r="C9713" s="3" t="s">
        <v>3419</v>
      </c>
      <c r="D9713" s="265">
        <v>3.0</v>
      </c>
      <c r="G9713" s="266">
        <v>43839.0</v>
      </c>
    </row>
    <row r="9714">
      <c r="A9714" s="217">
        <v>43858.70070347222</v>
      </c>
      <c r="B9714" s="3" t="s">
        <v>5184</v>
      </c>
      <c r="C9714" s="3" t="s">
        <v>3420</v>
      </c>
      <c r="D9714" s="265">
        <v>1.0</v>
      </c>
      <c r="G9714" s="266">
        <v>43839.0</v>
      </c>
    </row>
    <row r="9715">
      <c r="A9715" s="217">
        <v>43858.701162233796</v>
      </c>
      <c r="B9715" s="3" t="s">
        <v>5184</v>
      </c>
      <c r="C9715" s="3" t="s">
        <v>10475</v>
      </c>
      <c r="D9715" s="265">
        <v>1.0</v>
      </c>
      <c r="G9715" s="266">
        <v>43839.0</v>
      </c>
    </row>
    <row r="9716">
      <c r="A9716" s="217">
        <v>43858.70171807871</v>
      </c>
      <c r="B9716" s="3" t="s">
        <v>5184</v>
      </c>
      <c r="C9716" s="3" t="s">
        <v>10635</v>
      </c>
      <c r="D9716" s="265">
        <v>3.0</v>
      </c>
      <c r="G9716" s="266">
        <v>43839.0</v>
      </c>
    </row>
    <row r="9717">
      <c r="A9717" s="217">
        <v>43858.70228188657</v>
      </c>
      <c r="B9717" s="3" t="s">
        <v>5184</v>
      </c>
      <c r="C9717" s="3" t="s">
        <v>3424</v>
      </c>
      <c r="D9717" s="265">
        <v>1.0</v>
      </c>
      <c r="G9717" s="266">
        <v>43839.0</v>
      </c>
    </row>
    <row r="9718">
      <c r="A9718" s="217">
        <v>43858.702725462965</v>
      </c>
      <c r="B9718" s="3" t="s">
        <v>5184</v>
      </c>
      <c r="C9718" s="3" t="s">
        <v>10636</v>
      </c>
      <c r="D9718" s="265">
        <v>4.0</v>
      </c>
      <c r="G9718" s="266">
        <v>43839.0</v>
      </c>
    </row>
    <row r="9719">
      <c r="A9719" s="217">
        <v>43858.703353206016</v>
      </c>
      <c r="B9719" s="3" t="s">
        <v>5184</v>
      </c>
      <c r="C9719" s="3" t="s">
        <v>10443</v>
      </c>
      <c r="D9719" s="265">
        <v>1.0</v>
      </c>
      <c r="G9719" s="266">
        <v>43839.0</v>
      </c>
    </row>
    <row r="9720">
      <c r="A9720" s="217">
        <v>43858.703824131946</v>
      </c>
      <c r="B9720" s="3" t="s">
        <v>5184</v>
      </c>
      <c r="C9720" s="3" t="s">
        <v>3428</v>
      </c>
      <c r="D9720" s="265">
        <v>1.0</v>
      </c>
      <c r="G9720" s="266">
        <v>43839.0</v>
      </c>
    </row>
    <row r="9721">
      <c r="A9721" s="217">
        <v>43858.70426283564</v>
      </c>
      <c r="B9721" s="3" t="s">
        <v>5184</v>
      </c>
      <c r="C9721" s="3" t="s">
        <v>10637</v>
      </c>
      <c r="D9721" s="265">
        <v>2.0</v>
      </c>
      <c r="G9721" s="266">
        <v>43839.0</v>
      </c>
    </row>
    <row r="9722">
      <c r="A9722" s="217">
        <v>43858.70475106481</v>
      </c>
      <c r="B9722" s="3" t="s">
        <v>5184</v>
      </c>
      <c r="C9722" s="3" t="s">
        <v>10638</v>
      </c>
      <c r="D9722" s="265">
        <v>1.0</v>
      </c>
      <c r="G9722" s="266">
        <v>43839.0</v>
      </c>
    </row>
    <row r="9723">
      <c r="A9723" s="217">
        <v>43858.7250896412</v>
      </c>
      <c r="B9723" s="3" t="s">
        <v>5184</v>
      </c>
      <c r="C9723" s="3" t="s">
        <v>10639</v>
      </c>
      <c r="D9723" s="265">
        <v>1.0</v>
      </c>
      <c r="G9723" s="266">
        <v>43839.0</v>
      </c>
    </row>
    <row r="9724">
      <c r="A9724" s="217">
        <v>43858.72552114583</v>
      </c>
      <c r="B9724" s="3" t="s">
        <v>5184</v>
      </c>
      <c r="C9724" s="3" t="s">
        <v>10640</v>
      </c>
      <c r="D9724" s="265">
        <v>1.0</v>
      </c>
      <c r="G9724" s="266">
        <v>43839.0</v>
      </c>
    </row>
    <row r="9725">
      <c r="A9725" s="217">
        <v>43858.72598581019</v>
      </c>
      <c r="B9725" s="3" t="s">
        <v>5184</v>
      </c>
      <c r="C9725" s="3" t="s">
        <v>3438</v>
      </c>
      <c r="D9725" s="265">
        <v>1.0</v>
      </c>
      <c r="G9725" s="266">
        <v>43839.0</v>
      </c>
    </row>
    <row r="9726">
      <c r="A9726" s="217">
        <v>43858.72654579861</v>
      </c>
      <c r="B9726" s="3" t="s">
        <v>5184</v>
      </c>
      <c r="C9726" s="3" t="s">
        <v>10641</v>
      </c>
      <c r="D9726" s="265">
        <v>2.0</v>
      </c>
      <c r="G9726" s="266">
        <v>43839.0</v>
      </c>
    </row>
    <row r="9727">
      <c r="A9727" s="217">
        <v>43858.72701596065</v>
      </c>
      <c r="B9727" s="3" t="s">
        <v>5184</v>
      </c>
      <c r="C9727" s="3" t="s">
        <v>3447</v>
      </c>
      <c r="D9727" s="265">
        <v>1.0</v>
      </c>
      <c r="G9727" s="266">
        <v>43839.0</v>
      </c>
    </row>
    <row r="9728">
      <c r="A9728" s="217">
        <v>43858.72745416667</v>
      </c>
      <c r="B9728" s="3" t="s">
        <v>5184</v>
      </c>
      <c r="C9728" s="3" t="s">
        <v>10587</v>
      </c>
      <c r="D9728" s="265">
        <v>2.0</v>
      </c>
      <c r="G9728" s="266">
        <v>43839.0</v>
      </c>
    </row>
    <row r="9729">
      <c r="A9729" s="217">
        <v>43858.72787032407</v>
      </c>
      <c r="B9729" s="3" t="s">
        <v>5184</v>
      </c>
      <c r="C9729" s="3" t="s">
        <v>3458</v>
      </c>
      <c r="D9729" s="265">
        <v>1.0</v>
      </c>
      <c r="G9729" s="266">
        <v>43839.0</v>
      </c>
    </row>
    <row r="9730">
      <c r="A9730" s="217">
        <v>43858.75871430556</v>
      </c>
      <c r="B9730" s="3" t="s">
        <v>5092</v>
      </c>
      <c r="C9730" s="3" t="s">
        <v>2255</v>
      </c>
      <c r="D9730" s="265">
        <v>1.0</v>
      </c>
      <c r="E9730" s="3">
        <v>4990.0</v>
      </c>
      <c r="G9730" s="266">
        <v>43850.0</v>
      </c>
    </row>
    <row r="9731">
      <c r="A9731" s="217">
        <v>43858.76055803241</v>
      </c>
      <c r="B9731" s="3" t="s">
        <v>5092</v>
      </c>
      <c r="C9731" s="3" t="s">
        <v>6332</v>
      </c>
      <c r="D9731" s="265">
        <v>1.0</v>
      </c>
      <c r="E9731" s="3">
        <v>3890.0</v>
      </c>
      <c r="G9731" s="266">
        <v>43850.0</v>
      </c>
    </row>
    <row r="9732">
      <c r="A9732" s="217">
        <v>43858.76140646991</v>
      </c>
      <c r="B9732" s="3" t="s">
        <v>5092</v>
      </c>
      <c r="C9732" s="3" t="s">
        <v>6716</v>
      </c>
      <c r="D9732" s="265">
        <v>1.0</v>
      </c>
      <c r="E9732" s="3">
        <v>4990.0</v>
      </c>
      <c r="G9732" s="266">
        <v>43850.0</v>
      </c>
    </row>
    <row r="9733">
      <c r="A9733" s="217">
        <v>43858.763269421295</v>
      </c>
      <c r="B9733" s="3" t="s">
        <v>5092</v>
      </c>
      <c r="C9733" s="3" t="s">
        <v>2217</v>
      </c>
      <c r="D9733" s="265">
        <v>1.0</v>
      </c>
      <c r="E9733" s="3">
        <v>3690.0</v>
      </c>
      <c r="G9733" s="266">
        <v>43850.0</v>
      </c>
    </row>
    <row r="9734">
      <c r="A9734" s="217">
        <v>43858.76394993055</v>
      </c>
      <c r="B9734" s="3" t="s">
        <v>5092</v>
      </c>
      <c r="C9734" s="3" t="s">
        <v>2107</v>
      </c>
      <c r="D9734" s="265">
        <v>1.0</v>
      </c>
      <c r="E9734" s="3">
        <v>4590.0</v>
      </c>
      <c r="G9734" s="266">
        <v>43850.0</v>
      </c>
    </row>
    <row r="9735">
      <c r="A9735" s="217">
        <v>43858.78748699074</v>
      </c>
      <c r="B9735" s="3" t="s">
        <v>5092</v>
      </c>
      <c r="C9735" s="3" t="s">
        <v>6315</v>
      </c>
      <c r="D9735" s="265">
        <v>1.0</v>
      </c>
      <c r="E9735" s="3">
        <v>3990.0</v>
      </c>
      <c r="G9735" s="266">
        <v>43850.0</v>
      </c>
    </row>
    <row r="9736">
      <c r="A9736" s="217">
        <v>43858.78801965278</v>
      </c>
      <c r="B9736" s="3" t="s">
        <v>5092</v>
      </c>
      <c r="C9736" s="3" t="s">
        <v>10646</v>
      </c>
      <c r="D9736" s="265">
        <v>1.0</v>
      </c>
      <c r="E9736" s="3">
        <v>3990.0</v>
      </c>
      <c r="G9736" s="266">
        <v>43850.0</v>
      </c>
    </row>
    <row r="9737">
      <c r="A9737" s="217">
        <v>43858.789026886574</v>
      </c>
      <c r="B9737" s="3" t="s">
        <v>5092</v>
      </c>
      <c r="C9737" s="3" t="s">
        <v>10647</v>
      </c>
      <c r="D9737" s="265">
        <v>1.0</v>
      </c>
      <c r="E9737" s="3">
        <v>3490.0</v>
      </c>
      <c r="G9737" s="266">
        <v>43850.0</v>
      </c>
    </row>
    <row r="9738">
      <c r="A9738" s="217">
        <v>43858.79388435185</v>
      </c>
      <c r="B9738" s="3" t="s">
        <v>5092</v>
      </c>
      <c r="C9738" s="3" t="s">
        <v>10649</v>
      </c>
      <c r="D9738" s="265" t="s">
        <v>10650</v>
      </c>
      <c r="E9738" s="3">
        <v>1000.0</v>
      </c>
      <c r="G9738" s="266">
        <v>43853.0</v>
      </c>
    </row>
    <row r="9739">
      <c r="A9739" s="217">
        <v>43858.79461106482</v>
      </c>
      <c r="B9739" s="3" t="s">
        <v>5092</v>
      </c>
      <c r="C9739" s="3" t="s">
        <v>10652</v>
      </c>
      <c r="D9739" s="265" t="s">
        <v>10653</v>
      </c>
      <c r="E9739" s="3">
        <v>1000.0</v>
      </c>
      <c r="G9739" s="266">
        <v>43853.0</v>
      </c>
    </row>
    <row r="9740">
      <c r="A9740" s="217">
        <v>43858.79520565972</v>
      </c>
      <c r="B9740" s="3" t="s">
        <v>5092</v>
      </c>
      <c r="C9740" s="3" t="s">
        <v>10655</v>
      </c>
      <c r="D9740" s="265" t="s">
        <v>10653</v>
      </c>
      <c r="E9740" s="3">
        <v>1200.0</v>
      </c>
      <c r="G9740" s="266">
        <v>43853.0</v>
      </c>
    </row>
    <row r="9741">
      <c r="A9741" s="217">
        <v>43858.796488761574</v>
      </c>
      <c r="B9741" s="3" t="s">
        <v>5092</v>
      </c>
      <c r="C9741" s="3" t="s">
        <v>10656</v>
      </c>
      <c r="D9741" s="265" t="s">
        <v>10657</v>
      </c>
      <c r="E9741" s="3">
        <v>500.0</v>
      </c>
      <c r="G9741" s="266">
        <v>43857.0</v>
      </c>
    </row>
    <row r="9742">
      <c r="A9742" s="217">
        <v>43858.79704793981</v>
      </c>
      <c r="B9742" s="3" t="s">
        <v>5092</v>
      </c>
      <c r="C9742" s="3" t="s">
        <v>10659</v>
      </c>
      <c r="D9742" s="265">
        <v>1.0</v>
      </c>
      <c r="E9742" s="3">
        <v>250.0</v>
      </c>
      <c r="G9742" s="266">
        <v>43857.0</v>
      </c>
    </row>
    <row r="9743">
      <c r="A9743" s="217">
        <v>43858.797382881945</v>
      </c>
      <c r="B9743" s="3" t="s">
        <v>5092</v>
      </c>
      <c r="C9743" s="3" t="s">
        <v>10659</v>
      </c>
      <c r="D9743" s="265">
        <v>1.0</v>
      </c>
      <c r="E9743" s="3">
        <v>250.0</v>
      </c>
      <c r="G9743" s="266">
        <v>43857.0</v>
      </c>
    </row>
    <row r="9744">
      <c r="A9744" s="217">
        <v>43858.79791804398</v>
      </c>
      <c r="B9744" s="3" t="s">
        <v>5092</v>
      </c>
      <c r="C9744" s="3" t="s">
        <v>10660</v>
      </c>
      <c r="D9744" s="265">
        <v>2.0</v>
      </c>
      <c r="E9744" s="3">
        <v>500.0</v>
      </c>
      <c r="G9744" s="266">
        <v>43857.0</v>
      </c>
    </row>
    <row r="9745">
      <c r="A9745" s="217">
        <v>43858.798320497684</v>
      </c>
      <c r="B9745" s="3" t="s">
        <v>5092</v>
      </c>
      <c r="C9745" s="3" t="s">
        <v>10660</v>
      </c>
      <c r="D9745" s="265">
        <v>2.0</v>
      </c>
      <c r="E9745" s="3">
        <v>500.0</v>
      </c>
      <c r="G9745" s="266">
        <v>43857.0</v>
      </c>
    </row>
    <row r="9746">
      <c r="A9746" s="217">
        <v>43858.79880185185</v>
      </c>
      <c r="B9746" s="3" t="s">
        <v>5092</v>
      </c>
      <c r="C9746" s="3" t="s">
        <v>10661</v>
      </c>
      <c r="D9746" s="265">
        <v>2.0</v>
      </c>
      <c r="E9746" s="3">
        <v>300.0</v>
      </c>
      <c r="G9746" s="266">
        <v>43857.0</v>
      </c>
    </row>
    <row r="9747">
      <c r="A9747" s="217">
        <v>43858.79920849537</v>
      </c>
      <c r="B9747" s="3" t="s">
        <v>5092</v>
      </c>
      <c r="C9747" s="3" t="s">
        <v>10661</v>
      </c>
      <c r="D9747" s="265">
        <v>2.0</v>
      </c>
      <c r="E9747" s="3">
        <v>300.0</v>
      </c>
      <c r="G9747" s="266">
        <v>43857.0</v>
      </c>
    </row>
    <row r="9748">
      <c r="A9748" s="217">
        <v>43858.799648229164</v>
      </c>
      <c r="B9748" s="3" t="s">
        <v>5092</v>
      </c>
      <c r="C9748" s="3" t="s">
        <v>10662</v>
      </c>
      <c r="D9748" s="265">
        <v>2.0</v>
      </c>
      <c r="E9748" s="3">
        <v>300.0</v>
      </c>
      <c r="G9748" s="266">
        <v>43857.0</v>
      </c>
    </row>
    <row r="9749">
      <c r="A9749" s="217">
        <v>43858.80011989584</v>
      </c>
      <c r="B9749" s="3" t="s">
        <v>5092</v>
      </c>
      <c r="C9749" s="3" t="s">
        <v>10662</v>
      </c>
      <c r="D9749" s="265">
        <v>4.0</v>
      </c>
      <c r="E9749" s="3">
        <v>300.0</v>
      </c>
      <c r="G9749" s="266">
        <v>43857.0</v>
      </c>
    </row>
    <row r="9750">
      <c r="A9750" s="217">
        <v>43862.782464710646</v>
      </c>
      <c r="B9750" s="3" t="s">
        <v>5092</v>
      </c>
      <c r="C9750" s="3" t="s">
        <v>10137</v>
      </c>
      <c r="D9750" s="265">
        <v>2.0</v>
      </c>
      <c r="E9750" s="3">
        <v>500.0</v>
      </c>
      <c r="G9750" s="266">
        <v>43862.0</v>
      </c>
    </row>
    <row r="9751">
      <c r="A9751" s="217">
        <v>43862.78314503472</v>
      </c>
      <c r="B9751" s="3" t="s">
        <v>5092</v>
      </c>
      <c r="C9751" s="3" t="s">
        <v>10137</v>
      </c>
      <c r="D9751" s="265">
        <v>2.0</v>
      </c>
      <c r="E9751" s="3">
        <v>500.0</v>
      </c>
      <c r="G9751" s="266">
        <v>43862.0</v>
      </c>
    </row>
    <row r="9752">
      <c r="A9752" s="217">
        <v>43862.783781192134</v>
      </c>
      <c r="B9752" s="3" t="s">
        <v>5092</v>
      </c>
      <c r="C9752" s="3" t="s">
        <v>7884</v>
      </c>
      <c r="D9752" s="265">
        <v>22.0</v>
      </c>
      <c r="E9752" s="3">
        <v>300.0</v>
      </c>
      <c r="G9752" s="266">
        <v>43862.0</v>
      </c>
    </row>
    <row r="9753">
      <c r="A9753" s="217">
        <v>43862.784399826385</v>
      </c>
      <c r="B9753" s="3" t="s">
        <v>5092</v>
      </c>
      <c r="C9753" s="3" t="s">
        <v>7884</v>
      </c>
      <c r="D9753" s="265">
        <v>28.0</v>
      </c>
      <c r="E9753" s="3">
        <v>300.0</v>
      </c>
      <c r="G9753" s="266">
        <v>43862.0</v>
      </c>
    </row>
    <row r="9754">
      <c r="A9754" s="217">
        <v>43862.78551598379</v>
      </c>
      <c r="B9754" s="3" t="s">
        <v>5092</v>
      </c>
      <c r="C9754" s="3" t="s">
        <v>9517</v>
      </c>
      <c r="D9754" s="265">
        <v>2.0</v>
      </c>
      <c r="E9754" s="3">
        <v>500.0</v>
      </c>
      <c r="G9754" s="266">
        <v>43861.0</v>
      </c>
    </row>
    <row r="9755">
      <c r="A9755" s="217">
        <v>43862.786341203704</v>
      </c>
      <c r="B9755" s="3" t="s">
        <v>5092</v>
      </c>
      <c r="C9755" s="3" t="s">
        <v>9529</v>
      </c>
      <c r="D9755" s="265">
        <v>2.0</v>
      </c>
      <c r="E9755" s="3">
        <v>600.0</v>
      </c>
      <c r="G9755" s="266">
        <v>43861.0</v>
      </c>
    </row>
    <row r="9756">
      <c r="A9756" s="217">
        <v>43862.78706451389</v>
      </c>
      <c r="B9756" s="3" t="s">
        <v>5092</v>
      </c>
      <c r="C9756" s="3" t="s">
        <v>9517</v>
      </c>
      <c r="D9756" s="265">
        <v>2.0</v>
      </c>
      <c r="E9756" s="3">
        <v>500.0</v>
      </c>
      <c r="G9756" s="266">
        <v>43861.0</v>
      </c>
    </row>
    <row r="9757">
      <c r="A9757" s="217">
        <v>43862.787565300925</v>
      </c>
      <c r="B9757" s="3" t="s">
        <v>5092</v>
      </c>
      <c r="C9757" s="3" t="s">
        <v>10137</v>
      </c>
      <c r="D9757" s="265">
        <v>2.0</v>
      </c>
      <c r="E9757" s="3">
        <v>500.0</v>
      </c>
      <c r="G9757" s="266">
        <v>43861.0</v>
      </c>
    </row>
    <row r="9758">
      <c r="A9758" s="217">
        <v>43866.50739810185</v>
      </c>
      <c r="B9758" s="3" t="s">
        <v>5184</v>
      </c>
      <c r="C9758" s="3" t="s">
        <v>7207</v>
      </c>
      <c r="D9758" s="265">
        <v>1.0</v>
      </c>
      <c r="E9758" s="3">
        <v>6390.0</v>
      </c>
      <c r="G9758" s="266">
        <v>43861.0</v>
      </c>
    </row>
    <row r="9759">
      <c r="A9759" s="217">
        <v>43866.528984062505</v>
      </c>
      <c r="B9759" s="3" t="s">
        <v>5184</v>
      </c>
      <c r="C9759" s="3" t="s">
        <v>1892</v>
      </c>
      <c r="D9759" s="265">
        <v>2.0</v>
      </c>
      <c r="E9759" s="3">
        <v>5790.0</v>
      </c>
      <c r="G9759" s="266">
        <v>43861.0</v>
      </c>
    </row>
    <row r="9760">
      <c r="A9760" s="217">
        <v>43866.53034641204</v>
      </c>
      <c r="B9760" s="3" t="s">
        <v>5184</v>
      </c>
      <c r="C9760" s="3" t="s">
        <v>1863</v>
      </c>
      <c r="D9760" s="265">
        <v>1.0</v>
      </c>
      <c r="E9760" s="3">
        <v>6990.0</v>
      </c>
      <c r="G9760" s="266">
        <v>43861.0</v>
      </c>
    </row>
    <row r="9761">
      <c r="A9761" s="217">
        <v>43866.53703112269</v>
      </c>
      <c r="B9761" s="3" t="s">
        <v>5184</v>
      </c>
      <c r="C9761" s="3" t="s">
        <v>1895</v>
      </c>
      <c r="D9761" s="265">
        <v>1.0</v>
      </c>
      <c r="G9761" s="266">
        <v>43861.0</v>
      </c>
    </row>
    <row r="9762">
      <c r="A9762" s="217">
        <v>43866.53813552084</v>
      </c>
      <c r="B9762" s="3" t="s">
        <v>5184</v>
      </c>
      <c r="C9762" s="3" t="s">
        <v>10667</v>
      </c>
      <c r="D9762" s="265">
        <v>1.0</v>
      </c>
      <c r="E9762" s="3">
        <v>4290.0</v>
      </c>
      <c r="G9762" s="266">
        <v>43861.0</v>
      </c>
    </row>
    <row r="9763">
      <c r="A9763" s="217">
        <v>43868.71088162037</v>
      </c>
      <c r="B9763" s="3" t="s">
        <v>5092</v>
      </c>
      <c r="C9763" s="3" t="s">
        <v>5364</v>
      </c>
      <c r="D9763" s="265">
        <v>1.0</v>
      </c>
      <c r="E9763" s="3">
        <v>9000.0</v>
      </c>
      <c r="G9763" s="266">
        <v>43868.0</v>
      </c>
    </row>
    <row r="9764">
      <c r="A9764" s="217">
        <v>43871.799378344906</v>
      </c>
      <c r="B9764" s="3" t="s">
        <v>5092</v>
      </c>
      <c r="C9764" s="3" t="s">
        <v>7884</v>
      </c>
      <c r="D9764" s="265">
        <v>2.0</v>
      </c>
      <c r="E9764" s="3">
        <v>300.0</v>
      </c>
      <c r="G9764" s="266">
        <v>43868.0</v>
      </c>
    </row>
    <row r="9765">
      <c r="A9765" s="217">
        <v>43871.79984125</v>
      </c>
      <c r="B9765" s="3" t="s">
        <v>5092</v>
      </c>
      <c r="C9765" s="3" t="s">
        <v>7884</v>
      </c>
      <c r="D9765" s="265">
        <v>2.0</v>
      </c>
      <c r="E9765" s="3">
        <v>300.0</v>
      </c>
      <c r="G9765" s="266">
        <v>43868.0</v>
      </c>
    </row>
    <row r="9766">
      <c r="A9766" s="217">
        <v>43871.80022803241</v>
      </c>
      <c r="B9766" s="3" t="s">
        <v>5092</v>
      </c>
      <c r="C9766" s="3" t="s">
        <v>10137</v>
      </c>
      <c r="D9766" s="265">
        <v>2.0</v>
      </c>
      <c r="E9766" s="3">
        <v>500.0</v>
      </c>
      <c r="G9766" s="266">
        <v>43868.0</v>
      </c>
    </row>
    <row r="9767">
      <c r="A9767" s="217">
        <v>43871.80092716435</v>
      </c>
      <c r="B9767" s="3" t="s">
        <v>5092</v>
      </c>
      <c r="C9767" s="3" t="s">
        <v>284</v>
      </c>
      <c r="D9767" s="265">
        <v>4.0</v>
      </c>
      <c r="E9767" s="3">
        <v>500.0</v>
      </c>
      <c r="G9767" s="266">
        <v>43871.0</v>
      </c>
    </row>
    <row r="9768">
      <c r="A9768" s="217">
        <v>43871.80144604167</v>
      </c>
      <c r="B9768" s="3" t="s">
        <v>5092</v>
      </c>
      <c r="C9768" s="3" t="s">
        <v>10137</v>
      </c>
      <c r="D9768" s="265">
        <v>2.0</v>
      </c>
      <c r="E9768" s="3">
        <v>500.0</v>
      </c>
      <c r="G9768" s="266">
        <v>43871.0</v>
      </c>
    </row>
    <row r="9769">
      <c r="A9769" s="217">
        <v>43871.80197114583</v>
      </c>
      <c r="B9769" s="3" t="s">
        <v>5092</v>
      </c>
      <c r="C9769" s="3" t="s">
        <v>10137</v>
      </c>
      <c r="D9769" s="265">
        <v>4.0</v>
      </c>
      <c r="E9769" s="3">
        <v>500.0</v>
      </c>
      <c r="G9769" s="266">
        <v>43871.0</v>
      </c>
    </row>
    <row r="9770">
      <c r="A9770" s="217">
        <v>43871.80263622685</v>
      </c>
      <c r="B9770" s="3" t="s">
        <v>5092</v>
      </c>
      <c r="C9770" s="3" t="s">
        <v>9529</v>
      </c>
      <c r="D9770" s="265">
        <v>2.0</v>
      </c>
      <c r="E9770" s="3">
        <v>600.0</v>
      </c>
      <c r="G9770" s="266">
        <v>43871.0</v>
      </c>
    </row>
    <row r="9771">
      <c r="A9771" s="217">
        <v>43871.80322120371</v>
      </c>
      <c r="B9771" s="3" t="s">
        <v>5092</v>
      </c>
      <c r="C9771" s="3" t="s">
        <v>7884</v>
      </c>
      <c r="D9771" s="265">
        <v>1.0</v>
      </c>
      <c r="E9771" s="3">
        <v>150.0</v>
      </c>
      <c r="G9771" s="266">
        <v>43871.0</v>
      </c>
    </row>
    <row r="9772">
      <c r="A9772" s="217">
        <v>43871.80395336806</v>
      </c>
      <c r="B9772" s="3" t="s">
        <v>5092</v>
      </c>
      <c r="C9772" s="3" t="s">
        <v>10670</v>
      </c>
      <c r="D9772" s="265">
        <v>2.0</v>
      </c>
      <c r="E9772" s="3">
        <v>500.0</v>
      </c>
      <c r="G9772" s="266">
        <v>43871.0</v>
      </c>
    </row>
    <row r="9773">
      <c r="A9773" s="217">
        <v>43871.80446454861</v>
      </c>
      <c r="B9773" s="3" t="s">
        <v>5092</v>
      </c>
      <c r="C9773" s="3" t="s">
        <v>284</v>
      </c>
      <c r="D9773" s="265">
        <v>1.0</v>
      </c>
      <c r="E9773" s="3">
        <v>500.0</v>
      </c>
      <c r="G9773" s="266">
        <v>43871.0</v>
      </c>
    </row>
    <row r="9774">
      <c r="A9774" s="217">
        <v>43871.8049396412</v>
      </c>
      <c r="B9774" s="3" t="s">
        <v>5092</v>
      </c>
      <c r="C9774" s="3" t="s">
        <v>284</v>
      </c>
      <c r="D9774" s="265">
        <v>1.0</v>
      </c>
      <c r="E9774" s="3">
        <v>500.0</v>
      </c>
      <c r="G9774" s="266">
        <v>43871.0</v>
      </c>
    </row>
    <row r="9775">
      <c r="A9775" s="217">
        <v>43873.74052494213</v>
      </c>
      <c r="B9775" s="3" t="s">
        <v>5092</v>
      </c>
      <c r="C9775" s="3" t="s">
        <v>847</v>
      </c>
      <c r="D9775" s="265">
        <v>4.0</v>
      </c>
      <c r="E9775" s="3">
        <v>1100.0</v>
      </c>
      <c r="G9775" s="266">
        <v>43873.0</v>
      </c>
    </row>
    <row r="9776">
      <c r="A9776" s="217">
        <v>43876.78992383102</v>
      </c>
      <c r="B9776" s="3" t="s">
        <v>5092</v>
      </c>
      <c r="C9776" s="3" t="s">
        <v>10137</v>
      </c>
      <c r="D9776" s="265">
        <v>2.0</v>
      </c>
      <c r="E9776" s="3">
        <v>500.0</v>
      </c>
      <c r="G9776" s="266">
        <v>43874.0</v>
      </c>
    </row>
    <row r="9777">
      <c r="A9777" s="217">
        <v>43876.790389999995</v>
      </c>
      <c r="B9777" s="3" t="s">
        <v>5092</v>
      </c>
      <c r="C9777" s="3" t="s">
        <v>7884</v>
      </c>
      <c r="D9777" s="265">
        <v>2.0</v>
      </c>
      <c r="E9777" s="3">
        <v>300.0</v>
      </c>
      <c r="G9777" s="266">
        <v>43874.0</v>
      </c>
    </row>
    <row r="9778">
      <c r="A9778" s="217">
        <v>43876.790819560185</v>
      </c>
      <c r="B9778" s="3" t="s">
        <v>5092</v>
      </c>
      <c r="C9778" s="3" t="s">
        <v>7884</v>
      </c>
      <c r="D9778" s="265">
        <v>2.0</v>
      </c>
      <c r="E9778" s="3">
        <v>300.0</v>
      </c>
      <c r="G9778" s="266">
        <v>43874.0</v>
      </c>
    </row>
    <row r="9779">
      <c r="A9779" s="217">
        <v>43876.79173467593</v>
      </c>
      <c r="B9779" s="3" t="s">
        <v>5092</v>
      </c>
      <c r="C9779" s="3" t="s">
        <v>10673</v>
      </c>
      <c r="D9779" s="265">
        <v>2.0</v>
      </c>
      <c r="E9779" s="3">
        <v>1000.0</v>
      </c>
      <c r="G9779" s="266">
        <v>43874.0</v>
      </c>
    </row>
    <row r="9780">
      <c r="A9780" s="217">
        <v>43876.79227697916</v>
      </c>
      <c r="B9780" s="3" t="s">
        <v>5092</v>
      </c>
      <c r="C9780" s="3" t="s">
        <v>7884</v>
      </c>
      <c r="D9780" s="265">
        <v>2.0</v>
      </c>
      <c r="E9780" s="3">
        <v>300.0</v>
      </c>
      <c r="G9780" s="266">
        <v>43874.0</v>
      </c>
    </row>
    <row r="9781">
      <c r="A9781" s="217">
        <v>43876.79277141204</v>
      </c>
      <c r="B9781" s="3" t="s">
        <v>5092</v>
      </c>
      <c r="C9781" s="3" t="s">
        <v>10137</v>
      </c>
      <c r="D9781" s="265">
        <v>2.0</v>
      </c>
      <c r="E9781" s="3">
        <v>500.0</v>
      </c>
      <c r="G9781" s="266">
        <v>43874.0</v>
      </c>
    </row>
    <row r="9782">
      <c r="A9782" s="217">
        <v>43876.793569988426</v>
      </c>
      <c r="B9782" s="3" t="s">
        <v>5092</v>
      </c>
      <c r="C9782" s="3" t="s">
        <v>7884</v>
      </c>
      <c r="D9782" s="265">
        <v>7.0</v>
      </c>
      <c r="E9782" s="3">
        <v>300.0</v>
      </c>
      <c r="G9782" s="266">
        <v>43875.0</v>
      </c>
    </row>
    <row r="9783">
      <c r="A9783" s="217">
        <v>43876.79417346064</v>
      </c>
      <c r="B9783" s="3" t="s">
        <v>5092</v>
      </c>
      <c r="C9783" s="3" t="s">
        <v>10673</v>
      </c>
      <c r="D9783" s="265">
        <v>2.0</v>
      </c>
      <c r="E9783" s="3">
        <v>1000.0</v>
      </c>
      <c r="G9783" s="266">
        <v>43875.0</v>
      </c>
    </row>
    <row r="9784">
      <c r="A9784" s="217">
        <v>43876.795436597225</v>
      </c>
      <c r="B9784" s="3" t="s">
        <v>5092</v>
      </c>
      <c r="C9784" s="3" t="s">
        <v>10675</v>
      </c>
      <c r="D9784" s="265">
        <v>2.0</v>
      </c>
      <c r="E9784" s="3">
        <v>500.0</v>
      </c>
      <c r="G9784" s="266">
        <v>43875.0</v>
      </c>
    </row>
    <row r="9785">
      <c r="A9785" s="217">
        <v>43878.753557523145</v>
      </c>
      <c r="B9785" s="3" t="s">
        <v>5092</v>
      </c>
      <c r="C9785" s="3" t="s">
        <v>9529</v>
      </c>
      <c r="D9785" s="265">
        <v>6.0</v>
      </c>
      <c r="E9785" s="3">
        <v>600.0</v>
      </c>
      <c r="G9785" s="266">
        <v>43876.0</v>
      </c>
    </row>
    <row r="9786">
      <c r="A9786" s="217">
        <v>43878.754025532406</v>
      </c>
      <c r="B9786" s="3" t="s">
        <v>5092</v>
      </c>
      <c r="C9786" s="3" t="s">
        <v>9529</v>
      </c>
      <c r="D9786" s="265">
        <v>2.0</v>
      </c>
      <c r="E9786" s="3">
        <v>600.0</v>
      </c>
      <c r="G9786" s="266">
        <v>43876.0</v>
      </c>
    </row>
    <row r="9787">
      <c r="A9787" s="217">
        <v>43878.75451737268</v>
      </c>
      <c r="B9787" s="3" t="s">
        <v>5092</v>
      </c>
      <c r="C9787" s="3" t="s">
        <v>10137</v>
      </c>
      <c r="D9787" s="265">
        <v>2.0</v>
      </c>
      <c r="E9787" s="3">
        <v>500.0</v>
      </c>
      <c r="G9787" s="266">
        <v>43876.0</v>
      </c>
    </row>
    <row r="9788">
      <c r="A9788" s="217">
        <v>43878.75512686343</v>
      </c>
      <c r="B9788" s="3" t="s">
        <v>5092</v>
      </c>
      <c r="C9788" s="3" t="s">
        <v>284</v>
      </c>
      <c r="D9788" s="265">
        <v>1.0</v>
      </c>
      <c r="E9788" s="3">
        <v>250.0</v>
      </c>
      <c r="G9788" s="266">
        <v>43876.0</v>
      </c>
    </row>
    <row r="9789">
      <c r="A9789" s="217">
        <v>43878.75571362268</v>
      </c>
      <c r="B9789" s="3" t="s">
        <v>5092</v>
      </c>
      <c r="C9789" s="3" t="s">
        <v>7884</v>
      </c>
      <c r="D9789" s="265">
        <v>6.0</v>
      </c>
      <c r="E9789" s="3">
        <v>300.0</v>
      </c>
      <c r="G9789" s="266">
        <v>43876.0</v>
      </c>
    </row>
    <row r="9790">
      <c r="A9790" s="217">
        <v>43878.75800263889</v>
      </c>
      <c r="B9790" s="3" t="s">
        <v>5092</v>
      </c>
      <c r="C9790" s="3" t="s">
        <v>7884</v>
      </c>
      <c r="D9790" s="265">
        <v>2.0</v>
      </c>
      <c r="E9790" s="3">
        <v>300.0</v>
      </c>
      <c r="G9790" s="266">
        <v>43876.0</v>
      </c>
    </row>
    <row r="9791">
      <c r="A9791" s="217">
        <v>43878.756513368055</v>
      </c>
      <c r="B9791" s="3" t="s">
        <v>5092</v>
      </c>
      <c r="C9791" s="3" t="s">
        <v>7884</v>
      </c>
      <c r="D9791" s="265">
        <v>1.0</v>
      </c>
      <c r="E9791" s="3">
        <v>150.0</v>
      </c>
      <c r="G9791" s="266">
        <v>43876.0</v>
      </c>
    </row>
    <row r="9792">
      <c r="A9792" s="217">
        <v>43883.81842084491</v>
      </c>
      <c r="B9792" s="3" t="s">
        <v>5092</v>
      </c>
      <c r="C9792" s="3" t="s">
        <v>10677</v>
      </c>
      <c r="D9792" s="265">
        <v>60.0</v>
      </c>
      <c r="E9792" s="3">
        <v>25.0</v>
      </c>
      <c r="G9792" s="266">
        <v>43880.0</v>
      </c>
    </row>
    <row r="9793">
      <c r="A9793" s="217">
        <v>43883.819066192125</v>
      </c>
      <c r="B9793" s="3" t="s">
        <v>5092</v>
      </c>
      <c r="C9793" s="3" t="s">
        <v>10677</v>
      </c>
      <c r="D9793" s="265">
        <v>60.0</v>
      </c>
      <c r="E9793" s="3">
        <v>15.0</v>
      </c>
      <c r="G9793" s="266">
        <v>43880.0</v>
      </c>
    </row>
    <row r="9794">
      <c r="A9794" s="217">
        <v>43883.81955216435</v>
      </c>
      <c r="B9794" s="3" t="s">
        <v>5092</v>
      </c>
      <c r="C9794" s="3" t="s">
        <v>10677</v>
      </c>
      <c r="D9794" s="265">
        <v>60.0</v>
      </c>
      <c r="E9794" s="3">
        <v>18.0</v>
      </c>
      <c r="G9794" s="266">
        <v>43880.0</v>
      </c>
    </row>
    <row r="9795">
      <c r="A9795" s="217">
        <v>43883.826624548616</v>
      </c>
      <c r="B9795" s="3" t="s">
        <v>5092</v>
      </c>
      <c r="C9795" s="3" t="s">
        <v>10677</v>
      </c>
      <c r="D9795" s="265">
        <v>60.0</v>
      </c>
      <c r="E9795" s="3">
        <v>25.0</v>
      </c>
      <c r="G9795" s="266">
        <v>43880.0</v>
      </c>
    </row>
    <row r="9796">
      <c r="A9796" s="217">
        <v>43883.82721019676</v>
      </c>
      <c r="B9796" s="3" t="s">
        <v>5092</v>
      </c>
      <c r="C9796" s="3" t="s">
        <v>10677</v>
      </c>
      <c r="D9796" s="265">
        <v>60.0</v>
      </c>
      <c r="E9796" s="3">
        <v>22.0</v>
      </c>
      <c r="G9796" s="266">
        <v>43880.0</v>
      </c>
    </row>
    <row r="9797">
      <c r="A9797" s="217">
        <v>43883.827644398145</v>
      </c>
      <c r="B9797" s="3" t="s">
        <v>5092</v>
      </c>
      <c r="C9797" s="3" t="s">
        <v>10677</v>
      </c>
      <c r="D9797" s="265">
        <v>120.0</v>
      </c>
      <c r="E9797" s="3">
        <v>22.0</v>
      </c>
      <c r="G9797" s="266">
        <v>43880.0</v>
      </c>
    </row>
    <row r="9798">
      <c r="A9798" s="217">
        <v>43883.828198194446</v>
      </c>
      <c r="B9798" s="3" t="s">
        <v>5092</v>
      </c>
      <c r="C9798" s="3" t="s">
        <v>10677</v>
      </c>
      <c r="D9798" s="265">
        <v>120.0</v>
      </c>
      <c r="E9798" s="3">
        <v>15.0</v>
      </c>
      <c r="G9798" s="266">
        <v>43880.0</v>
      </c>
    </row>
    <row r="9799">
      <c r="A9799" s="217">
        <v>43883.82860087963</v>
      </c>
      <c r="B9799" s="3" t="s">
        <v>5092</v>
      </c>
      <c r="C9799" s="3" t="s">
        <v>10677</v>
      </c>
      <c r="D9799" s="265">
        <v>120.0</v>
      </c>
      <c r="E9799" s="3">
        <v>20.0</v>
      </c>
      <c r="G9799" s="266">
        <v>43880.0</v>
      </c>
    </row>
    <row r="9800">
      <c r="A9800" s="217">
        <v>43883.82928719907</v>
      </c>
      <c r="B9800" s="3" t="s">
        <v>5092</v>
      </c>
      <c r="C9800" s="3" t="s">
        <v>10677</v>
      </c>
      <c r="D9800" s="265">
        <v>120.0</v>
      </c>
      <c r="E9800" s="3">
        <v>20.0</v>
      </c>
      <c r="G9800" s="266">
        <v>43880.0</v>
      </c>
    </row>
    <row r="9801">
      <c r="A9801" s="217">
        <v>43883.830740474536</v>
      </c>
      <c r="B9801" s="3" t="s">
        <v>5092</v>
      </c>
      <c r="C9801" s="3" t="s">
        <v>10677</v>
      </c>
      <c r="D9801" s="265">
        <v>10.0</v>
      </c>
      <c r="E9801" s="3">
        <v>25.0</v>
      </c>
      <c r="G9801" s="266">
        <v>43883.0</v>
      </c>
    </row>
    <row r="9802">
      <c r="A9802" s="217">
        <v>43883.83135659722</v>
      </c>
      <c r="B9802" s="3" t="s">
        <v>5092</v>
      </c>
      <c r="C9802" s="3" t="s">
        <v>10137</v>
      </c>
      <c r="D9802" s="265">
        <v>2.0</v>
      </c>
      <c r="E9802" s="3">
        <v>500.0</v>
      </c>
      <c r="G9802" s="266">
        <v>43883.0</v>
      </c>
    </row>
    <row r="9803">
      <c r="A9803" s="217">
        <v>43883.83172152778</v>
      </c>
      <c r="B9803" s="3" t="s">
        <v>5092</v>
      </c>
      <c r="C9803" s="3" t="s">
        <v>10137</v>
      </c>
      <c r="D9803" s="265">
        <v>2.0</v>
      </c>
      <c r="E9803" s="3">
        <v>500.0</v>
      </c>
      <c r="G9803" s="266">
        <v>43883.0</v>
      </c>
    </row>
    <row r="9804">
      <c r="A9804" s="217">
        <v>43883.83217988426</v>
      </c>
      <c r="B9804" s="3" t="s">
        <v>5092</v>
      </c>
      <c r="C9804" s="3" t="s">
        <v>10137</v>
      </c>
      <c r="D9804" s="265">
        <v>2.0</v>
      </c>
      <c r="E9804" s="3">
        <v>500.0</v>
      </c>
      <c r="G9804" s="266">
        <v>43883.0</v>
      </c>
    </row>
    <row r="9805">
      <c r="A9805" s="217">
        <v>43883.83260135417</v>
      </c>
      <c r="B9805" s="3" t="s">
        <v>5092</v>
      </c>
      <c r="C9805" s="3" t="s">
        <v>10137</v>
      </c>
      <c r="D9805" s="265">
        <v>2.0</v>
      </c>
      <c r="E9805" s="3">
        <v>500.0</v>
      </c>
      <c r="G9805" s="266">
        <v>43883.0</v>
      </c>
    </row>
    <row r="9806">
      <c r="A9806" s="217">
        <v>43883.83307716435</v>
      </c>
      <c r="B9806" s="3" t="s">
        <v>5092</v>
      </c>
      <c r="C9806" s="3" t="s">
        <v>284</v>
      </c>
      <c r="D9806" s="265">
        <v>1.0</v>
      </c>
      <c r="E9806" s="3">
        <v>250.0</v>
      </c>
      <c r="G9806" s="266">
        <v>43883.0</v>
      </c>
    </row>
    <row r="9807">
      <c r="A9807" s="217">
        <v>43883.83349284722</v>
      </c>
      <c r="B9807" s="3" t="s">
        <v>5092</v>
      </c>
      <c r="C9807" s="3" t="s">
        <v>7427</v>
      </c>
      <c r="D9807" s="265">
        <v>2.0</v>
      </c>
      <c r="E9807" s="3">
        <v>300.0</v>
      </c>
      <c r="G9807" s="266">
        <v>43883.0</v>
      </c>
    </row>
    <row r="9808">
      <c r="A9808" s="217">
        <v>43885.541337256946</v>
      </c>
      <c r="B9808" s="3" t="s">
        <v>2322</v>
      </c>
      <c r="C9808" s="3" t="s">
        <v>6339</v>
      </c>
      <c r="D9808" s="265">
        <v>8.0</v>
      </c>
      <c r="E9808" s="3">
        <v>3790.0</v>
      </c>
      <c r="G9808" s="266">
        <v>43860.0</v>
      </c>
    </row>
    <row r="9809">
      <c r="A9809" s="217">
        <v>43885.54885649306</v>
      </c>
      <c r="B9809" s="3" t="s">
        <v>2322</v>
      </c>
      <c r="C9809" s="3" t="s">
        <v>1261</v>
      </c>
      <c r="D9809" s="265">
        <v>1.0</v>
      </c>
      <c r="E9809" s="3">
        <v>2395.0</v>
      </c>
      <c r="G9809" s="266">
        <v>43861.0</v>
      </c>
    </row>
    <row r="9810">
      <c r="A9810" s="217">
        <v>43885.55001131944</v>
      </c>
      <c r="B9810" s="3" t="s">
        <v>2322</v>
      </c>
      <c r="C9810" s="3" t="s">
        <v>9826</v>
      </c>
      <c r="D9810" s="265">
        <v>4.0</v>
      </c>
      <c r="E9810" s="3">
        <v>1566.0</v>
      </c>
      <c r="G9810" s="266">
        <v>43861.0</v>
      </c>
    </row>
    <row r="9811">
      <c r="A9811" s="217">
        <v>43885.600295474535</v>
      </c>
      <c r="B9811" s="3" t="s">
        <v>2322</v>
      </c>
      <c r="C9811" s="3" t="s">
        <v>10683</v>
      </c>
      <c r="D9811" s="265">
        <v>1.0</v>
      </c>
      <c r="E9811" s="3">
        <v>1850.0</v>
      </c>
      <c r="G9811" s="266">
        <v>43861.0</v>
      </c>
    </row>
    <row r="9812">
      <c r="A9812" s="217">
        <v>43885.6017884375</v>
      </c>
      <c r="B9812" s="3" t="s">
        <v>2322</v>
      </c>
      <c r="C9812" s="3" t="s">
        <v>10684</v>
      </c>
      <c r="D9812" s="265">
        <v>1.0</v>
      </c>
      <c r="E9812" s="3">
        <v>6925.0</v>
      </c>
      <c r="G9812" s="266">
        <v>43861.0</v>
      </c>
    </row>
    <row r="9813">
      <c r="A9813" s="217">
        <v>43885.60268349537</v>
      </c>
      <c r="B9813" s="3" t="s">
        <v>2322</v>
      </c>
      <c r="C9813" s="3" t="s">
        <v>10685</v>
      </c>
      <c r="D9813" s="265">
        <v>1.0</v>
      </c>
      <c r="E9813" s="3">
        <v>1800.0</v>
      </c>
      <c r="G9813" s="266">
        <v>43861.0</v>
      </c>
    </row>
    <row r="9814">
      <c r="A9814" s="217">
        <v>43885.60404680556</v>
      </c>
      <c r="B9814" s="3" t="s">
        <v>2322</v>
      </c>
      <c r="C9814" s="3" t="s">
        <v>10686</v>
      </c>
      <c r="D9814" s="265">
        <v>1.0</v>
      </c>
      <c r="E9814" s="3">
        <v>2450.0</v>
      </c>
      <c r="G9814" s="266">
        <v>43861.0</v>
      </c>
    </row>
    <row r="9815">
      <c r="A9815" s="217">
        <v>43885.60501467592</v>
      </c>
      <c r="B9815" s="3" t="s">
        <v>2322</v>
      </c>
      <c r="C9815" s="3" t="s">
        <v>4519</v>
      </c>
      <c r="D9815" s="265">
        <v>1.0</v>
      </c>
      <c r="G9815" s="266">
        <v>43861.0</v>
      </c>
    </row>
    <row r="9816">
      <c r="A9816" s="217">
        <v>43885.60793168981</v>
      </c>
      <c r="B9816" s="3" t="s">
        <v>2322</v>
      </c>
      <c r="C9816" s="3" t="s">
        <v>1224</v>
      </c>
      <c r="D9816" s="265">
        <v>1.0</v>
      </c>
      <c r="E9816" s="3">
        <v>9500.0</v>
      </c>
      <c r="G9816" s="266">
        <v>43861.0</v>
      </c>
    </row>
    <row r="9817">
      <c r="A9817" s="217">
        <v>43885.60870965278</v>
      </c>
      <c r="B9817" s="3" t="s">
        <v>2322</v>
      </c>
      <c r="C9817" s="3" t="s">
        <v>4528</v>
      </c>
      <c r="D9817" s="265">
        <v>1.0</v>
      </c>
      <c r="E9817" s="3">
        <v>1795.0</v>
      </c>
      <c r="G9817" s="266">
        <v>43861.0</v>
      </c>
    </row>
    <row r="9818">
      <c r="A9818" s="217">
        <v>43885.60970366898</v>
      </c>
      <c r="B9818" s="3" t="s">
        <v>2322</v>
      </c>
      <c r="C9818" s="3" t="s">
        <v>7815</v>
      </c>
      <c r="D9818" s="265">
        <v>1.0</v>
      </c>
      <c r="G9818" s="266">
        <v>43861.0</v>
      </c>
    </row>
    <row r="9819">
      <c r="A9819" s="217">
        <v>43885.610571122685</v>
      </c>
      <c r="B9819" s="3" t="s">
        <v>2322</v>
      </c>
      <c r="C9819" s="3" t="s">
        <v>4525</v>
      </c>
      <c r="D9819" s="265">
        <v>1.0</v>
      </c>
      <c r="E9819" s="3">
        <v>1895.0</v>
      </c>
      <c r="G9819" s="266">
        <v>43861.0</v>
      </c>
    </row>
    <row r="9820">
      <c r="A9820" s="217">
        <v>43885.611460879634</v>
      </c>
      <c r="B9820" s="3" t="s">
        <v>2322</v>
      </c>
      <c r="C9820" s="3" t="s">
        <v>9668</v>
      </c>
      <c r="D9820" s="265">
        <v>1.0</v>
      </c>
      <c r="E9820" s="3">
        <v>1999.0</v>
      </c>
      <c r="G9820" s="266">
        <v>43861.0</v>
      </c>
    </row>
    <row r="9821">
      <c r="A9821" s="217">
        <v>43885.62219336806</v>
      </c>
      <c r="B9821" s="3" t="s">
        <v>2322</v>
      </c>
      <c r="C9821" s="3" t="s">
        <v>4531</v>
      </c>
      <c r="D9821" s="265">
        <v>1.0</v>
      </c>
      <c r="E9821" s="3">
        <v>1795.0</v>
      </c>
      <c r="G9821" s="266">
        <v>43861.0</v>
      </c>
    </row>
    <row r="9822">
      <c r="A9822" s="217">
        <v>43885.622972557874</v>
      </c>
      <c r="B9822" s="3" t="s">
        <v>2322</v>
      </c>
      <c r="C9822" s="3" t="s">
        <v>1289</v>
      </c>
      <c r="D9822" s="265">
        <v>1.0</v>
      </c>
      <c r="G9822" s="266">
        <v>43861.0</v>
      </c>
    </row>
    <row r="9823">
      <c r="A9823" s="217">
        <v>43885.624322372685</v>
      </c>
      <c r="B9823" s="3" t="s">
        <v>2322</v>
      </c>
      <c r="C9823" s="3" t="s">
        <v>5241</v>
      </c>
      <c r="D9823" s="265">
        <v>1.0</v>
      </c>
      <c r="E9823" s="3">
        <v>4600.0</v>
      </c>
      <c r="G9823" s="266">
        <v>43861.0</v>
      </c>
    </row>
    <row r="9824">
      <c r="A9824" s="217">
        <v>43885.67787222222</v>
      </c>
      <c r="B9824" s="3" t="s">
        <v>2322</v>
      </c>
      <c r="C9824" s="3" t="s">
        <v>10687</v>
      </c>
      <c r="D9824" s="265">
        <v>2.0</v>
      </c>
      <c r="E9824" s="3">
        <v>1699.0</v>
      </c>
      <c r="G9824" s="266">
        <v>43861.0</v>
      </c>
    </row>
    <row r="9825">
      <c r="A9825" s="217">
        <v>43885.68281479167</v>
      </c>
      <c r="B9825" s="3" t="s">
        <v>2322</v>
      </c>
      <c r="C9825" s="3" t="s">
        <v>10688</v>
      </c>
      <c r="D9825" s="265">
        <v>1.0</v>
      </c>
      <c r="G9825" s="266">
        <v>43861.0</v>
      </c>
    </row>
    <row r="9826">
      <c r="A9826" s="217">
        <v>43885.68444837963</v>
      </c>
      <c r="B9826" s="3" t="s">
        <v>2322</v>
      </c>
      <c r="C9826" s="3" t="s">
        <v>10689</v>
      </c>
      <c r="D9826" s="265">
        <v>6.0</v>
      </c>
      <c r="E9826" s="3">
        <v>2699.0</v>
      </c>
      <c r="G9826" s="266">
        <v>43861.0</v>
      </c>
    </row>
    <row r="9827">
      <c r="A9827" s="217">
        <v>43885.68536476852</v>
      </c>
      <c r="B9827" s="3" t="s">
        <v>2322</v>
      </c>
      <c r="C9827" s="3" t="s">
        <v>9890</v>
      </c>
      <c r="D9827" s="265">
        <v>5.0</v>
      </c>
      <c r="E9827" s="3">
        <v>4290.0</v>
      </c>
      <c r="G9827" s="266">
        <v>43861.0</v>
      </c>
    </row>
    <row r="9828">
      <c r="A9828" s="217">
        <v>43885.68631457176</v>
      </c>
      <c r="B9828" s="3" t="s">
        <v>2322</v>
      </c>
      <c r="C9828" s="3" t="s">
        <v>10690</v>
      </c>
      <c r="D9828" s="265">
        <v>5.0</v>
      </c>
      <c r="E9828" s="3">
        <v>1399.0</v>
      </c>
      <c r="G9828" s="266">
        <v>43861.0</v>
      </c>
    </row>
    <row r="9829">
      <c r="A9829" s="217">
        <v>43885.68728153935</v>
      </c>
      <c r="B9829" s="3" t="s">
        <v>2322</v>
      </c>
      <c r="C9829" s="3" t="s">
        <v>10691</v>
      </c>
      <c r="D9829" s="265">
        <v>5.0</v>
      </c>
      <c r="E9829" s="3">
        <v>3390.0</v>
      </c>
      <c r="G9829" s="266">
        <v>43861.0</v>
      </c>
    </row>
    <row r="9830">
      <c r="A9830" s="217">
        <v>43885.68820925926</v>
      </c>
      <c r="B9830" s="3" t="s">
        <v>2322</v>
      </c>
      <c r="C9830" s="3" t="s">
        <v>10692</v>
      </c>
      <c r="D9830" s="265">
        <v>6.0</v>
      </c>
      <c r="E9830" s="3">
        <v>4290.0</v>
      </c>
      <c r="G9830" s="266">
        <v>43861.0</v>
      </c>
    </row>
    <row r="9831">
      <c r="A9831" s="217">
        <v>43885.68905901621</v>
      </c>
      <c r="B9831" s="3" t="s">
        <v>2322</v>
      </c>
      <c r="C9831" s="3" t="s">
        <v>10693</v>
      </c>
      <c r="D9831" s="265">
        <v>5.0</v>
      </c>
      <c r="E9831" s="3">
        <v>4290.0</v>
      </c>
      <c r="G9831" s="266">
        <v>43861.0</v>
      </c>
    </row>
    <row r="9832">
      <c r="A9832" s="217">
        <v>43885.69939873843</v>
      </c>
      <c r="B9832" s="3" t="s">
        <v>2322</v>
      </c>
      <c r="C9832" s="3" t="s">
        <v>10694</v>
      </c>
      <c r="D9832" s="265">
        <v>1.0</v>
      </c>
      <c r="E9832" s="3">
        <v>3090.0</v>
      </c>
      <c r="G9832" s="266">
        <v>43861.0</v>
      </c>
    </row>
    <row r="9833">
      <c r="A9833" s="217">
        <v>43885.70438800926</v>
      </c>
      <c r="B9833" s="3" t="s">
        <v>2322</v>
      </c>
      <c r="C9833" s="3" t="s">
        <v>10695</v>
      </c>
      <c r="D9833" s="265">
        <v>2.0</v>
      </c>
      <c r="E9833" s="3">
        <v>4290.0</v>
      </c>
      <c r="G9833" s="266">
        <v>43861.0</v>
      </c>
    </row>
    <row r="9834">
      <c r="A9834" s="217">
        <v>43885.70532945602</v>
      </c>
      <c r="B9834" s="3" t="s">
        <v>2322</v>
      </c>
      <c r="C9834" s="3" t="s">
        <v>10696</v>
      </c>
      <c r="D9834" s="265">
        <v>2.0</v>
      </c>
      <c r="E9834" s="3">
        <v>5290.0</v>
      </c>
      <c r="G9834" s="266">
        <v>43861.0</v>
      </c>
    </row>
    <row r="9835">
      <c r="A9835" s="217">
        <v>43885.71378983796</v>
      </c>
      <c r="B9835" s="3" t="s">
        <v>2322</v>
      </c>
      <c r="C9835" s="3" t="s">
        <v>10697</v>
      </c>
      <c r="D9835" s="265">
        <v>3.0</v>
      </c>
      <c r="E9835" s="3">
        <v>2150.0</v>
      </c>
      <c r="G9835" s="266">
        <v>43861.0</v>
      </c>
    </row>
    <row r="9836">
      <c r="A9836" s="217">
        <v>43885.716947395835</v>
      </c>
      <c r="B9836" s="3" t="s">
        <v>2322</v>
      </c>
      <c r="C9836" s="3" t="s">
        <v>10698</v>
      </c>
      <c r="D9836" s="265">
        <v>1.0</v>
      </c>
      <c r="E9836" s="3">
        <v>3090.0</v>
      </c>
      <c r="G9836" s="266">
        <v>43861.0</v>
      </c>
    </row>
    <row r="9837">
      <c r="A9837" s="217">
        <v>43885.71799590278</v>
      </c>
      <c r="B9837" s="3" t="s">
        <v>2322</v>
      </c>
      <c r="C9837" s="3" t="s">
        <v>10699</v>
      </c>
      <c r="D9837" s="265">
        <v>2.0</v>
      </c>
      <c r="E9837" s="3">
        <v>5990.0</v>
      </c>
      <c r="G9837" s="266">
        <v>43861.0</v>
      </c>
    </row>
    <row r="9838">
      <c r="A9838" s="217">
        <v>43885.74520831018</v>
      </c>
      <c r="B9838" s="3" t="s">
        <v>2322</v>
      </c>
      <c r="C9838" s="3" t="s">
        <v>10700</v>
      </c>
      <c r="D9838" s="265">
        <v>2.0</v>
      </c>
      <c r="E9838" s="3">
        <v>3290.0</v>
      </c>
      <c r="G9838" s="266">
        <v>43861.0</v>
      </c>
    </row>
    <row r="9839">
      <c r="A9839" s="217">
        <v>43885.74604010417</v>
      </c>
      <c r="B9839" s="3" t="s">
        <v>2322</v>
      </c>
      <c r="C9839" s="3" t="s">
        <v>10701</v>
      </c>
      <c r="D9839" s="265">
        <v>2.0</v>
      </c>
      <c r="E9839" s="3">
        <v>3490.0</v>
      </c>
      <c r="G9839" s="266">
        <v>43861.0</v>
      </c>
    </row>
    <row r="9840">
      <c r="A9840" s="217">
        <v>43885.74674041667</v>
      </c>
      <c r="B9840" s="3" t="s">
        <v>2322</v>
      </c>
      <c r="C9840" s="3" t="s">
        <v>10702</v>
      </c>
      <c r="D9840" s="265">
        <v>2.0</v>
      </c>
      <c r="E9840" s="3">
        <v>3490.0</v>
      </c>
      <c r="G9840" s="266">
        <v>43861.0</v>
      </c>
    </row>
    <row r="9841">
      <c r="A9841" s="217">
        <v>43885.74739855324</v>
      </c>
      <c r="B9841" s="3" t="s">
        <v>2322</v>
      </c>
      <c r="C9841" s="3" t="s">
        <v>10703</v>
      </c>
      <c r="D9841" s="265">
        <v>2.0</v>
      </c>
      <c r="E9841" s="3">
        <v>3990.0</v>
      </c>
      <c r="G9841" s="266">
        <v>43861.0</v>
      </c>
    </row>
    <row r="9842">
      <c r="A9842" s="217">
        <v>43885.74815247685</v>
      </c>
      <c r="B9842" s="3" t="s">
        <v>2322</v>
      </c>
      <c r="C9842" s="3" t="s">
        <v>10704</v>
      </c>
      <c r="D9842" s="265">
        <v>1.0</v>
      </c>
      <c r="G9842" s="266">
        <v>43861.0</v>
      </c>
    </row>
    <row r="9843">
      <c r="A9843" s="217">
        <v>43885.748901631945</v>
      </c>
      <c r="B9843" s="3" t="s">
        <v>2322</v>
      </c>
      <c r="C9843" s="3" t="s">
        <v>10705</v>
      </c>
      <c r="D9843" s="265">
        <v>3.0</v>
      </c>
      <c r="E9843" s="3">
        <v>1999.0</v>
      </c>
      <c r="G9843" s="266">
        <v>43861.0</v>
      </c>
    </row>
    <row r="9844">
      <c r="A9844" s="217">
        <v>43885.75288629629</v>
      </c>
      <c r="B9844" s="3" t="s">
        <v>2322</v>
      </c>
      <c r="C9844" s="3" t="s">
        <v>10706</v>
      </c>
      <c r="D9844" s="265">
        <v>2.0</v>
      </c>
      <c r="E9844" s="3">
        <v>3290.0</v>
      </c>
      <c r="G9844" s="266">
        <v>43861.0</v>
      </c>
    </row>
    <row r="9845">
      <c r="A9845" s="217">
        <v>43885.75548699074</v>
      </c>
      <c r="B9845" s="3" t="s">
        <v>2322</v>
      </c>
      <c r="C9845" s="3" t="s">
        <v>9871</v>
      </c>
      <c r="D9845" s="265">
        <v>2.0</v>
      </c>
      <c r="E9845" s="3">
        <v>3790.0</v>
      </c>
      <c r="G9845" s="266">
        <v>43861.0</v>
      </c>
    </row>
    <row r="9846">
      <c r="A9846" s="217">
        <v>43885.75635788194</v>
      </c>
      <c r="B9846" s="3" t="s">
        <v>2322</v>
      </c>
      <c r="C9846" s="3" t="s">
        <v>10707</v>
      </c>
      <c r="D9846" s="265">
        <v>2.0</v>
      </c>
      <c r="E9846" s="3">
        <v>3990.0</v>
      </c>
      <c r="G9846" s="266">
        <v>43861.0</v>
      </c>
    </row>
    <row r="9847">
      <c r="A9847" s="217">
        <v>43885.757147881945</v>
      </c>
      <c r="B9847" s="3" t="s">
        <v>2322</v>
      </c>
      <c r="C9847" s="3" t="s">
        <v>9869</v>
      </c>
      <c r="D9847" s="265">
        <v>2.0</v>
      </c>
      <c r="E9847" s="3">
        <v>3790.0</v>
      </c>
      <c r="G9847" s="266">
        <v>43861.0</v>
      </c>
    </row>
    <row r="9848">
      <c r="A9848" s="217">
        <v>43885.75778158565</v>
      </c>
      <c r="B9848" s="3" t="s">
        <v>2322</v>
      </c>
      <c r="C9848" s="3" t="s">
        <v>10708</v>
      </c>
      <c r="D9848" s="265">
        <v>3.0</v>
      </c>
      <c r="E9848" s="3">
        <v>1699.0</v>
      </c>
      <c r="G9848" s="266">
        <v>43861.0</v>
      </c>
    </row>
    <row r="9849">
      <c r="A9849" s="217">
        <v>43885.759008506946</v>
      </c>
      <c r="B9849" s="3" t="s">
        <v>2322</v>
      </c>
      <c r="C9849" s="3" t="s">
        <v>10709</v>
      </c>
      <c r="D9849" s="265">
        <v>2.0</v>
      </c>
      <c r="E9849" s="3">
        <v>7190.0</v>
      </c>
      <c r="G9849" s="266">
        <v>43861.0</v>
      </c>
    </row>
    <row r="9850">
      <c r="A9850" s="217">
        <v>43885.7596322801</v>
      </c>
      <c r="B9850" s="3" t="s">
        <v>2322</v>
      </c>
      <c r="C9850" s="3" t="s">
        <v>10710</v>
      </c>
      <c r="D9850" s="265">
        <v>2.0</v>
      </c>
      <c r="E9850" s="3">
        <v>3490.0</v>
      </c>
      <c r="G9850" s="266">
        <v>43861.0</v>
      </c>
    </row>
    <row r="9851">
      <c r="A9851" s="217">
        <v>43885.760430254624</v>
      </c>
      <c r="B9851" s="3" t="s">
        <v>2322</v>
      </c>
      <c r="C9851" s="3" t="s">
        <v>10711</v>
      </c>
      <c r="D9851" s="265">
        <v>2.0</v>
      </c>
      <c r="E9851" s="3">
        <v>5590.0</v>
      </c>
      <c r="G9851" s="266">
        <v>43861.0</v>
      </c>
    </row>
    <row r="9852">
      <c r="A9852" s="217">
        <v>43885.762315879634</v>
      </c>
      <c r="B9852" s="3" t="s">
        <v>2322</v>
      </c>
      <c r="C9852" s="3" t="s">
        <v>10712</v>
      </c>
      <c r="D9852" s="265">
        <v>4.0</v>
      </c>
      <c r="E9852" s="3">
        <v>1799.0</v>
      </c>
      <c r="G9852" s="266">
        <v>43861.0</v>
      </c>
    </row>
    <row r="9853">
      <c r="A9853" s="217">
        <v>43885.762896678236</v>
      </c>
      <c r="B9853" s="3" t="s">
        <v>2322</v>
      </c>
      <c r="C9853" s="3" t="s">
        <v>10713</v>
      </c>
      <c r="D9853" s="265">
        <v>4.0</v>
      </c>
      <c r="E9853" s="3">
        <v>1999.0</v>
      </c>
      <c r="G9853" s="266">
        <v>43861.0</v>
      </c>
    </row>
    <row r="9854">
      <c r="A9854" s="217">
        <v>43886.4364500463</v>
      </c>
      <c r="B9854" s="3" t="s">
        <v>2322</v>
      </c>
      <c r="C9854" s="3" t="s">
        <v>9881</v>
      </c>
      <c r="D9854" s="265">
        <v>2.0</v>
      </c>
      <c r="E9854" s="3">
        <v>4790.0</v>
      </c>
      <c r="G9854" s="266">
        <v>43861.0</v>
      </c>
    </row>
    <row r="9855">
      <c r="A9855" s="217">
        <v>43886.43711899305</v>
      </c>
      <c r="B9855" s="3" t="s">
        <v>2322</v>
      </c>
      <c r="C9855" s="3" t="s">
        <v>9880</v>
      </c>
      <c r="D9855" s="265">
        <v>2.0</v>
      </c>
      <c r="E9855" s="3">
        <v>4290.0</v>
      </c>
      <c r="G9855" s="266">
        <v>43861.0</v>
      </c>
    </row>
    <row r="9856">
      <c r="A9856" s="217">
        <v>43886.43777052083</v>
      </c>
      <c r="B9856" s="3" t="s">
        <v>2322</v>
      </c>
      <c r="C9856" s="3" t="s">
        <v>10714</v>
      </c>
      <c r="D9856" s="265">
        <v>2.0</v>
      </c>
      <c r="E9856" s="3">
        <v>3490.0</v>
      </c>
      <c r="G9856" s="266">
        <v>43861.0</v>
      </c>
    </row>
    <row r="9857">
      <c r="A9857" s="217">
        <v>43886.438434317126</v>
      </c>
      <c r="B9857" s="3" t="s">
        <v>2322</v>
      </c>
      <c r="C9857" s="3" t="s">
        <v>10715</v>
      </c>
      <c r="D9857" s="265">
        <v>2.0</v>
      </c>
      <c r="E9857" s="3">
        <v>1999.0</v>
      </c>
      <c r="G9857" s="266">
        <v>43861.0</v>
      </c>
    </row>
    <row r="9858">
      <c r="A9858" s="217">
        <v>43886.439153796295</v>
      </c>
      <c r="B9858" s="3" t="s">
        <v>2322</v>
      </c>
      <c r="C9858" s="3" t="s">
        <v>9813</v>
      </c>
      <c r="D9858" s="265">
        <v>1.0</v>
      </c>
      <c r="E9858" s="3">
        <v>1895.0</v>
      </c>
      <c r="G9858" s="266">
        <v>43861.0</v>
      </c>
    </row>
    <row r="9859">
      <c r="A9859" s="217">
        <v>43886.43983408565</v>
      </c>
      <c r="B9859" s="3" t="s">
        <v>2322</v>
      </c>
      <c r="C9859" s="3" t="s">
        <v>10716</v>
      </c>
      <c r="D9859" s="265">
        <v>2.0</v>
      </c>
      <c r="E9859" s="3">
        <v>1699.0</v>
      </c>
      <c r="G9859" s="266">
        <v>43861.0</v>
      </c>
    </row>
    <row r="9860">
      <c r="A9860" s="217">
        <v>43886.44179027778</v>
      </c>
      <c r="B9860" s="3" t="s">
        <v>2322</v>
      </c>
      <c r="C9860" s="3" t="s">
        <v>10717</v>
      </c>
      <c r="D9860" s="265">
        <v>2.0</v>
      </c>
      <c r="E9860" s="3">
        <v>799.0</v>
      </c>
      <c r="G9860" s="266">
        <v>43861.0</v>
      </c>
    </row>
    <row r="9861">
      <c r="A9861" s="217">
        <v>43886.44257380787</v>
      </c>
      <c r="B9861" s="3" t="s">
        <v>2322</v>
      </c>
      <c r="C9861" s="3" t="s">
        <v>9862</v>
      </c>
      <c r="D9861" s="265">
        <v>2.0</v>
      </c>
      <c r="E9861" s="3">
        <v>2590.0</v>
      </c>
      <c r="G9861" s="266">
        <v>43861.0</v>
      </c>
    </row>
    <row r="9862">
      <c r="A9862" s="217">
        <v>43886.44321629629</v>
      </c>
      <c r="B9862" s="3" t="s">
        <v>2322</v>
      </c>
      <c r="C9862" s="3" t="s">
        <v>10718</v>
      </c>
      <c r="D9862" s="265">
        <v>2.0</v>
      </c>
      <c r="E9862" s="3">
        <v>8190.0</v>
      </c>
      <c r="G9862" s="266">
        <v>43861.0</v>
      </c>
    </row>
    <row r="9863">
      <c r="A9863" s="217">
        <v>43886.44386423611</v>
      </c>
      <c r="B9863" s="3" t="s">
        <v>2322</v>
      </c>
      <c r="C9863" s="3" t="s">
        <v>10719</v>
      </c>
      <c r="D9863" s="265">
        <v>2.0</v>
      </c>
      <c r="E9863" s="3">
        <v>2850.0</v>
      </c>
      <c r="G9863" s="266">
        <v>43861.0</v>
      </c>
    </row>
    <row r="9864">
      <c r="A9864" s="217">
        <v>43886.444549988424</v>
      </c>
      <c r="B9864" s="3" t="s">
        <v>2322</v>
      </c>
      <c r="C9864" s="3" t="s">
        <v>9856</v>
      </c>
      <c r="D9864" s="265">
        <v>2.0</v>
      </c>
      <c r="E9864" s="3">
        <v>2780.0</v>
      </c>
      <c r="G9864" s="266">
        <v>43861.0</v>
      </c>
    </row>
    <row r="9865">
      <c r="A9865" s="217">
        <v>43886.44519387731</v>
      </c>
      <c r="B9865" s="3" t="s">
        <v>2322</v>
      </c>
      <c r="C9865" s="3" t="s">
        <v>10688</v>
      </c>
      <c r="D9865" s="265">
        <v>1.0</v>
      </c>
      <c r="G9865" s="266">
        <v>43861.0</v>
      </c>
    </row>
    <row r="9866">
      <c r="A9866" s="217">
        <v>43886.447534120365</v>
      </c>
      <c r="B9866" s="3" t="s">
        <v>2322</v>
      </c>
      <c r="C9866" s="3" t="s">
        <v>10720</v>
      </c>
      <c r="D9866" s="265">
        <v>5.0</v>
      </c>
      <c r="E9866" s="3">
        <v>2699.0</v>
      </c>
      <c r="G9866" s="266">
        <v>43861.0</v>
      </c>
    </row>
    <row r="9867">
      <c r="A9867" s="217">
        <v>43886.448626365745</v>
      </c>
      <c r="B9867" s="3" t="s">
        <v>2322</v>
      </c>
      <c r="C9867" s="3" t="s">
        <v>9788</v>
      </c>
      <c r="D9867" s="265">
        <v>5.0</v>
      </c>
      <c r="E9867" s="3">
        <v>2295.0</v>
      </c>
      <c r="G9867" s="266">
        <v>43861.0</v>
      </c>
    </row>
    <row r="9868">
      <c r="A9868" s="217">
        <v>43886.44955416667</v>
      </c>
      <c r="B9868" s="3" t="s">
        <v>2322</v>
      </c>
      <c r="C9868" s="3" t="s">
        <v>9764</v>
      </c>
      <c r="D9868" s="265">
        <v>4.0</v>
      </c>
      <c r="E9868" s="3">
        <v>5490.0</v>
      </c>
      <c r="G9868" s="266">
        <v>43861.0</v>
      </c>
    </row>
    <row r="9869">
      <c r="A9869" s="217">
        <v>43886.45017321759</v>
      </c>
      <c r="B9869" s="3" t="s">
        <v>2322</v>
      </c>
      <c r="C9869" s="3" t="s">
        <v>10721</v>
      </c>
      <c r="D9869" s="265">
        <v>4.0</v>
      </c>
      <c r="E9869" s="3">
        <v>1699.0</v>
      </c>
      <c r="G9869" s="266">
        <v>43861.0</v>
      </c>
    </row>
    <row r="9870">
      <c r="A9870" s="217">
        <v>43886.45092083333</v>
      </c>
      <c r="B9870" s="3" t="s">
        <v>2322</v>
      </c>
      <c r="C9870" s="3" t="s">
        <v>10722</v>
      </c>
      <c r="D9870" s="265">
        <v>4.0</v>
      </c>
      <c r="E9870" s="3">
        <v>1999.0</v>
      </c>
      <c r="G9870" s="266">
        <v>43861.0</v>
      </c>
    </row>
    <row r="9871">
      <c r="A9871" s="217">
        <v>43886.45155863426</v>
      </c>
      <c r="B9871" s="3" t="s">
        <v>2322</v>
      </c>
      <c r="C9871" s="3" t="s">
        <v>9803</v>
      </c>
      <c r="D9871" s="265">
        <v>5.0</v>
      </c>
      <c r="E9871" s="3">
        <v>2299.0</v>
      </c>
      <c r="G9871" s="266">
        <v>43861.0</v>
      </c>
    </row>
    <row r="9872">
      <c r="A9872" s="217">
        <v>43886.47669137732</v>
      </c>
      <c r="B9872" s="3" t="s">
        <v>2322</v>
      </c>
      <c r="C9872" s="3" t="s">
        <v>10723</v>
      </c>
      <c r="D9872" s="265">
        <v>4.0</v>
      </c>
      <c r="G9872" s="266">
        <v>43861.0</v>
      </c>
    </row>
    <row r="9873">
      <c r="A9873" s="217">
        <v>43886.47735946759</v>
      </c>
      <c r="B9873" s="3" t="s">
        <v>2322</v>
      </c>
      <c r="C9873" s="3" t="s">
        <v>10724</v>
      </c>
      <c r="D9873" s="265">
        <v>4.0</v>
      </c>
      <c r="E9873" s="3">
        <v>2499.0</v>
      </c>
      <c r="G9873" s="266">
        <v>43861.0</v>
      </c>
    </row>
    <row r="9874">
      <c r="A9874" s="217">
        <v>43886.479633090275</v>
      </c>
      <c r="B9874" s="3" t="s">
        <v>2322</v>
      </c>
      <c r="C9874" s="3" t="s">
        <v>10725</v>
      </c>
      <c r="D9874" s="265">
        <v>1.0</v>
      </c>
      <c r="E9874" s="3">
        <v>7000.0</v>
      </c>
      <c r="G9874" s="266">
        <v>43861.0</v>
      </c>
    </row>
    <row r="9875">
      <c r="A9875" s="217">
        <v>43886.48042162037</v>
      </c>
      <c r="B9875" s="3" t="s">
        <v>2322</v>
      </c>
      <c r="C9875" s="3" t="s">
        <v>9824</v>
      </c>
      <c r="D9875" s="265">
        <v>1.0</v>
      </c>
      <c r="E9875" s="3">
        <v>850.0</v>
      </c>
      <c r="G9875" s="266">
        <v>43861.0</v>
      </c>
    </row>
    <row r="9876">
      <c r="A9876" s="217">
        <v>43886.481052372685</v>
      </c>
      <c r="B9876" s="3" t="s">
        <v>2322</v>
      </c>
      <c r="C9876" s="3" t="s">
        <v>10726</v>
      </c>
      <c r="D9876" s="265">
        <v>1.0</v>
      </c>
      <c r="E9876" s="3">
        <v>950.0</v>
      </c>
      <c r="G9876" s="266">
        <v>43861.0</v>
      </c>
    </row>
    <row r="9877">
      <c r="A9877" s="217">
        <v>43886.48163643519</v>
      </c>
      <c r="B9877" s="3" t="s">
        <v>2322</v>
      </c>
      <c r="C9877" s="3" t="s">
        <v>10727</v>
      </c>
      <c r="D9877" s="265">
        <v>1.0</v>
      </c>
      <c r="E9877" s="3">
        <v>1695.0</v>
      </c>
      <c r="G9877" s="266">
        <v>43861.0</v>
      </c>
    </row>
    <row r="9878">
      <c r="A9878" s="217">
        <v>43886.48226318287</v>
      </c>
      <c r="B9878" s="3" t="s">
        <v>2322</v>
      </c>
      <c r="C9878" s="3" t="s">
        <v>10728</v>
      </c>
      <c r="D9878" s="265">
        <v>1.0</v>
      </c>
      <c r="E9878" s="3">
        <v>3125.0</v>
      </c>
      <c r="G9878" s="266">
        <v>43861.0</v>
      </c>
    </row>
    <row r="9879">
      <c r="A9879" s="217">
        <v>43886.482956990745</v>
      </c>
      <c r="B9879" s="3" t="s">
        <v>2322</v>
      </c>
      <c r="C9879" s="3" t="s">
        <v>10729</v>
      </c>
      <c r="D9879" s="265">
        <v>1.0</v>
      </c>
      <c r="E9879" s="3">
        <v>5290.0</v>
      </c>
      <c r="G9879" s="266">
        <v>43861.0</v>
      </c>
    </row>
    <row r="9880">
      <c r="A9880" s="217">
        <v>43886.48390777777</v>
      </c>
      <c r="B9880" s="3" t="s">
        <v>2322</v>
      </c>
      <c r="C9880" s="3" t="s">
        <v>10730</v>
      </c>
      <c r="D9880" s="265">
        <v>1.0</v>
      </c>
      <c r="E9880" s="3">
        <v>3125.0</v>
      </c>
      <c r="G9880" s="266">
        <v>43861.0</v>
      </c>
    </row>
    <row r="9881">
      <c r="A9881" s="217">
        <v>43886.484562199075</v>
      </c>
      <c r="B9881" s="3" t="s">
        <v>2322</v>
      </c>
      <c r="C9881" s="3" t="s">
        <v>9792</v>
      </c>
      <c r="D9881" s="265">
        <v>1.0</v>
      </c>
      <c r="E9881" s="3">
        <v>1495.0</v>
      </c>
      <c r="G9881" s="266">
        <v>43861.0</v>
      </c>
    </row>
    <row r="9882">
      <c r="A9882" s="217">
        <v>43886.485234374995</v>
      </c>
      <c r="B9882" s="3" t="s">
        <v>2322</v>
      </c>
      <c r="C9882" s="3" t="s">
        <v>9889</v>
      </c>
      <c r="D9882" s="265">
        <v>1.0</v>
      </c>
      <c r="E9882" s="3">
        <v>4590.0</v>
      </c>
      <c r="G9882" s="266">
        <v>43861.0</v>
      </c>
    </row>
    <row r="9883">
      <c r="A9883" s="217">
        <v>43886.485894212965</v>
      </c>
      <c r="B9883" s="3" t="s">
        <v>2322</v>
      </c>
      <c r="C9883" s="3" t="s">
        <v>10731</v>
      </c>
      <c r="D9883" s="265">
        <v>1.0</v>
      </c>
      <c r="E9883" s="3">
        <v>4590.0</v>
      </c>
      <c r="G9883" s="266">
        <v>43861.0</v>
      </c>
    </row>
    <row r="9884">
      <c r="A9884" s="217">
        <v>43886.48640108797</v>
      </c>
      <c r="B9884" s="3" t="s">
        <v>2322</v>
      </c>
      <c r="C9884" s="3" t="s">
        <v>10732</v>
      </c>
      <c r="D9884" s="265">
        <v>1.0</v>
      </c>
      <c r="E9884" s="3">
        <v>3375.0</v>
      </c>
      <c r="G9884" s="266">
        <v>43861.0</v>
      </c>
    </row>
    <row r="9885">
      <c r="A9885" s="217">
        <v>43886.48717436343</v>
      </c>
      <c r="B9885" s="3" t="s">
        <v>2322</v>
      </c>
      <c r="C9885" s="3" t="s">
        <v>10733</v>
      </c>
      <c r="D9885" s="265">
        <v>1.0</v>
      </c>
      <c r="E9885" s="3">
        <v>1299.0</v>
      </c>
      <c r="G9885" s="266">
        <v>43861.0</v>
      </c>
    </row>
    <row r="9886">
      <c r="A9886" s="217">
        <v>43886.48797642361</v>
      </c>
      <c r="B9886" s="3" t="s">
        <v>2322</v>
      </c>
      <c r="C9886" s="3" t="s">
        <v>10734</v>
      </c>
      <c r="D9886" s="265">
        <v>1.0</v>
      </c>
      <c r="E9886" s="3">
        <v>1395.0</v>
      </c>
      <c r="G9886" s="266">
        <v>43861.0</v>
      </c>
    </row>
    <row r="9887">
      <c r="A9887" s="217">
        <v>43886.48877957176</v>
      </c>
      <c r="B9887" s="3" t="s">
        <v>2322</v>
      </c>
      <c r="C9887" s="3" t="s">
        <v>10735</v>
      </c>
      <c r="D9887" s="265">
        <v>1.0</v>
      </c>
      <c r="G9887" s="266">
        <v>43861.0</v>
      </c>
    </row>
    <row r="9888">
      <c r="A9888" s="217">
        <v>43886.48955302083</v>
      </c>
      <c r="B9888" s="3" t="s">
        <v>2322</v>
      </c>
      <c r="C9888" s="3" t="s">
        <v>10736</v>
      </c>
      <c r="D9888" s="265">
        <v>1.0</v>
      </c>
      <c r="E9888" s="3">
        <v>1799.0</v>
      </c>
      <c r="G9888" s="266">
        <v>43861.0</v>
      </c>
    </row>
    <row r="9889">
      <c r="A9889" s="217">
        <v>43886.49029666667</v>
      </c>
      <c r="B9889" s="3" t="s">
        <v>2322</v>
      </c>
      <c r="C9889" s="3" t="s">
        <v>10737</v>
      </c>
      <c r="D9889" s="265">
        <v>1.0</v>
      </c>
      <c r="G9889" s="266">
        <v>43861.0</v>
      </c>
    </row>
    <row r="9890">
      <c r="A9890" s="217">
        <v>43886.491559016205</v>
      </c>
      <c r="B9890" s="3" t="s">
        <v>2322</v>
      </c>
      <c r="C9890" s="3" t="s">
        <v>10738</v>
      </c>
      <c r="D9890" s="265">
        <v>1.0</v>
      </c>
      <c r="E9890" s="3">
        <v>3790.0</v>
      </c>
      <c r="G9890" s="266">
        <v>43861.0</v>
      </c>
    </row>
    <row r="9891">
      <c r="A9891" s="217">
        <v>43886.49216388889</v>
      </c>
      <c r="B9891" s="3" t="s">
        <v>2322</v>
      </c>
      <c r="C9891" s="3" t="s">
        <v>10739</v>
      </c>
      <c r="D9891" s="265">
        <v>1.0</v>
      </c>
      <c r="E9891" s="3">
        <v>1999.0</v>
      </c>
      <c r="G9891" s="266">
        <v>43861.0</v>
      </c>
    </row>
    <row r="9892">
      <c r="A9892" s="217">
        <v>43886.49303003472</v>
      </c>
      <c r="B9892" s="3" t="s">
        <v>2322</v>
      </c>
      <c r="C9892" s="3" t="s">
        <v>9805</v>
      </c>
      <c r="D9892" s="265">
        <v>1.0</v>
      </c>
      <c r="G9892" s="266">
        <v>43861.0</v>
      </c>
    </row>
    <row r="9893">
      <c r="A9893" s="217">
        <v>43886.49372903936</v>
      </c>
      <c r="B9893" s="3" t="s">
        <v>2322</v>
      </c>
      <c r="C9893" s="3" t="s">
        <v>10740</v>
      </c>
      <c r="D9893" s="265">
        <v>1.0</v>
      </c>
      <c r="E9893" s="3">
        <v>3125.0</v>
      </c>
      <c r="G9893" s="266">
        <v>43861.0</v>
      </c>
    </row>
    <row r="9894">
      <c r="A9894" s="217">
        <v>43886.49443277778</v>
      </c>
      <c r="B9894" s="3" t="s">
        <v>2322</v>
      </c>
      <c r="C9894" s="3" t="s">
        <v>9811</v>
      </c>
      <c r="D9894" s="265">
        <v>1.0</v>
      </c>
      <c r="G9894" s="266">
        <v>43861.0</v>
      </c>
    </row>
    <row r="9895">
      <c r="A9895" s="217">
        <v>43886.4950775</v>
      </c>
      <c r="B9895" s="3" t="s">
        <v>2322</v>
      </c>
      <c r="C9895" s="3" t="s">
        <v>10741</v>
      </c>
      <c r="D9895" s="265">
        <v>1.0</v>
      </c>
      <c r="E9895" s="3">
        <v>2950.0</v>
      </c>
      <c r="G9895" s="266">
        <v>43861.0</v>
      </c>
    </row>
    <row r="9896">
      <c r="A9896" s="217">
        <v>43886.49598881944</v>
      </c>
      <c r="B9896" s="3" t="s">
        <v>2322</v>
      </c>
      <c r="C9896" s="3" t="s">
        <v>10742</v>
      </c>
      <c r="D9896" s="265">
        <v>1.0</v>
      </c>
      <c r="E9896" s="3">
        <v>2150.0</v>
      </c>
      <c r="G9896" s="266">
        <v>43861.0</v>
      </c>
    </row>
    <row r="9897">
      <c r="A9897" s="217">
        <v>43886.49655592593</v>
      </c>
      <c r="B9897" s="3" t="s">
        <v>2322</v>
      </c>
      <c r="C9897" s="3" t="s">
        <v>10743</v>
      </c>
      <c r="D9897" s="265">
        <v>1.0</v>
      </c>
      <c r="G9897" s="266">
        <v>43861.0</v>
      </c>
    </row>
    <row r="9898">
      <c r="A9898" s="217">
        <v>43886.49712368056</v>
      </c>
      <c r="B9898" s="3" t="s">
        <v>2322</v>
      </c>
      <c r="C9898" s="3" t="s">
        <v>10744</v>
      </c>
      <c r="D9898" s="265">
        <v>1.0</v>
      </c>
      <c r="E9898" s="3">
        <v>8190.0</v>
      </c>
      <c r="G9898" s="266">
        <v>43861.0</v>
      </c>
    </row>
    <row r="9899">
      <c r="A9899" s="217">
        <v>43886.49779040509</v>
      </c>
      <c r="B9899" s="3" t="s">
        <v>2322</v>
      </c>
      <c r="C9899" s="3" t="s">
        <v>9894</v>
      </c>
      <c r="D9899" s="265">
        <v>1.0</v>
      </c>
      <c r="E9899" s="3">
        <v>8925.0</v>
      </c>
      <c r="G9899" s="266">
        <v>43861.0</v>
      </c>
    </row>
    <row r="9900">
      <c r="A9900" s="217">
        <v>43886.498797141205</v>
      </c>
      <c r="B9900" s="3" t="s">
        <v>2322</v>
      </c>
      <c r="C9900" s="3" t="s">
        <v>10745</v>
      </c>
      <c r="D9900" s="265">
        <v>1.0</v>
      </c>
      <c r="G9900" s="266">
        <v>43861.0</v>
      </c>
    </row>
    <row r="9901">
      <c r="A9901" s="217">
        <v>43886.49971159722</v>
      </c>
      <c r="B9901" s="3" t="s">
        <v>2322</v>
      </c>
      <c r="C9901" s="3" t="s">
        <v>10746</v>
      </c>
      <c r="D9901" s="265">
        <v>1.0</v>
      </c>
      <c r="E9901" s="3">
        <v>8970.0</v>
      </c>
      <c r="G9901" s="266">
        <v>43861.0</v>
      </c>
    </row>
    <row r="9902">
      <c r="A9902" s="217">
        <v>43886.50055119213</v>
      </c>
      <c r="B9902" s="3" t="s">
        <v>2322</v>
      </c>
      <c r="C9902" s="3" t="s">
        <v>10747</v>
      </c>
      <c r="D9902" s="265">
        <v>1.0</v>
      </c>
      <c r="E9902" s="3">
        <v>8190.0</v>
      </c>
      <c r="G9902" s="266">
        <v>43861.0</v>
      </c>
    </row>
    <row r="9903">
      <c r="A9903" s="217">
        <v>43886.50112947916</v>
      </c>
      <c r="B9903" s="3" t="s">
        <v>2322</v>
      </c>
      <c r="C9903" s="3" t="s">
        <v>10748</v>
      </c>
      <c r="D9903" s="265">
        <v>1.0</v>
      </c>
      <c r="E9903" s="3">
        <v>8190.0</v>
      </c>
      <c r="G9903" s="266">
        <v>43861.0</v>
      </c>
    </row>
    <row r="9904">
      <c r="A9904" s="217">
        <v>43886.501731296295</v>
      </c>
      <c r="B9904" s="3" t="s">
        <v>2322</v>
      </c>
      <c r="C9904" s="3" t="s">
        <v>10749</v>
      </c>
      <c r="D9904" s="265">
        <v>1.0</v>
      </c>
      <c r="E9904" s="3">
        <v>2850.0</v>
      </c>
      <c r="G9904" s="266">
        <v>43861.0</v>
      </c>
    </row>
    <row r="9905">
      <c r="A9905" s="217">
        <v>43886.50234594908</v>
      </c>
      <c r="B9905" s="3" t="s">
        <v>2322</v>
      </c>
      <c r="C9905" s="3" t="s">
        <v>10750</v>
      </c>
      <c r="D9905" s="265">
        <v>1.0</v>
      </c>
      <c r="E9905" s="3">
        <v>2250.0</v>
      </c>
      <c r="G9905" s="266">
        <v>43861.0</v>
      </c>
    </row>
    <row r="9906">
      <c r="A9906" s="217">
        <v>43886.50291571759</v>
      </c>
      <c r="B9906" s="3" t="s">
        <v>2322</v>
      </c>
      <c r="C9906" s="3" t="s">
        <v>10751</v>
      </c>
      <c r="D9906" s="265">
        <v>1.0</v>
      </c>
      <c r="E9906" s="3">
        <v>2850.0</v>
      </c>
      <c r="G9906" s="266">
        <v>43861.0</v>
      </c>
    </row>
    <row r="9907">
      <c r="A9907" s="217">
        <v>43886.50344002315</v>
      </c>
      <c r="B9907" s="3" t="s">
        <v>2322</v>
      </c>
      <c r="C9907" s="3" t="s">
        <v>10752</v>
      </c>
      <c r="D9907" s="265">
        <v>1.0</v>
      </c>
      <c r="E9907" s="3">
        <v>2850.0</v>
      </c>
      <c r="G9907" s="266">
        <v>43861.0</v>
      </c>
    </row>
    <row r="9908">
      <c r="A9908" s="217">
        <v>43886.50402222222</v>
      </c>
      <c r="B9908" s="3" t="s">
        <v>2322</v>
      </c>
      <c r="C9908" s="3" t="s">
        <v>10753</v>
      </c>
      <c r="D9908" s="265">
        <v>1.0</v>
      </c>
      <c r="E9908" s="3">
        <v>1299.0</v>
      </c>
      <c r="G9908" s="266">
        <v>43861.0</v>
      </c>
    </row>
    <row r="9909">
      <c r="A9909" s="217">
        <v>43886.52068215278</v>
      </c>
      <c r="B9909" s="3" t="s">
        <v>2322</v>
      </c>
      <c r="C9909" s="3" t="s">
        <v>4588</v>
      </c>
      <c r="D9909" s="265">
        <v>1.0</v>
      </c>
      <c r="E9909" s="3">
        <v>1695.0</v>
      </c>
      <c r="G9909" s="266">
        <v>43861.0</v>
      </c>
    </row>
    <row r="9910">
      <c r="A9910" s="217">
        <v>43886.521337048616</v>
      </c>
      <c r="B9910" s="3" t="s">
        <v>2322</v>
      </c>
      <c r="C9910" s="3" t="s">
        <v>1279</v>
      </c>
      <c r="D9910" s="265">
        <v>1.0</v>
      </c>
      <c r="E9910" s="3">
        <v>1295.0</v>
      </c>
      <c r="G9910" s="266">
        <v>43861.0</v>
      </c>
    </row>
    <row r="9911">
      <c r="A9911" s="217">
        <v>43886.52181104167</v>
      </c>
      <c r="B9911" s="3" t="s">
        <v>2322</v>
      </c>
      <c r="C9911" s="3" t="s">
        <v>4844</v>
      </c>
      <c r="D9911" s="265">
        <v>1.0</v>
      </c>
      <c r="E9911" s="3">
        <v>850.0</v>
      </c>
      <c r="G9911" s="266">
        <v>43861.0</v>
      </c>
    </row>
    <row r="9912">
      <c r="A9912" s="217">
        <v>43886.522332824075</v>
      </c>
      <c r="B9912" s="3" t="s">
        <v>2322</v>
      </c>
      <c r="C9912" s="3" t="s">
        <v>9925</v>
      </c>
      <c r="D9912" s="265">
        <v>1.0</v>
      </c>
      <c r="G9912" s="266">
        <v>43861.0</v>
      </c>
    </row>
    <row r="9913">
      <c r="A9913" s="217">
        <v>43886.522813310185</v>
      </c>
      <c r="B9913" s="3" t="s">
        <v>2322</v>
      </c>
      <c r="C9913" s="3" t="s">
        <v>4650</v>
      </c>
      <c r="D9913" s="265">
        <v>1.0</v>
      </c>
      <c r="E9913" s="3">
        <v>1299.0</v>
      </c>
      <c r="G9913" s="266">
        <v>43861.0</v>
      </c>
    </row>
    <row r="9914">
      <c r="A9914" s="217">
        <v>43886.52353839121</v>
      </c>
      <c r="B9914" s="3" t="s">
        <v>2322</v>
      </c>
      <c r="C9914" s="3" t="s">
        <v>4748</v>
      </c>
      <c r="D9914" s="265">
        <v>1.0</v>
      </c>
      <c r="G9914" s="266">
        <v>43861.0</v>
      </c>
    </row>
    <row r="9915">
      <c r="A9915" s="217">
        <v>43886.524197604165</v>
      </c>
      <c r="B9915" s="3" t="s">
        <v>2322</v>
      </c>
      <c r="C9915" s="3" t="s">
        <v>1759</v>
      </c>
      <c r="D9915" s="265">
        <v>1.0</v>
      </c>
      <c r="E9915" s="3">
        <v>3750.0</v>
      </c>
      <c r="G9915" s="266">
        <v>43861.0</v>
      </c>
    </row>
    <row r="9916">
      <c r="A9916" s="217">
        <v>43886.52473074074</v>
      </c>
      <c r="B9916" s="3" t="s">
        <v>2322</v>
      </c>
      <c r="C9916" s="3" t="s">
        <v>2095</v>
      </c>
      <c r="D9916" s="265">
        <v>1.0</v>
      </c>
      <c r="E9916" s="3">
        <v>4590.0</v>
      </c>
      <c r="F9916" s="3" t="s">
        <v>2096</v>
      </c>
      <c r="G9916" s="266">
        <v>43861.0</v>
      </c>
    </row>
    <row r="9917">
      <c r="A9917" s="217">
        <v>43886.52524488426</v>
      </c>
      <c r="B9917" s="3" t="s">
        <v>2322</v>
      </c>
      <c r="C9917" s="3" t="s">
        <v>9456</v>
      </c>
      <c r="D9917" s="265">
        <v>1.0</v>
      </c>
      <c r="E9917" s="3">
        <v>2099.0</v>
      </c>
      <c r="G9917" s="266">
        <v>43861.0</v>
      </c>
    </row>
    <row r="9918">
      <c r="A9918" s="217">
        <v>43886.54135990741</v>
      </c>
      <c r="B9918" s="3" t="s">
        <v>2322</v>
      </c>
      <c r="C9918" s="3" t="s">
        <v>4738</v>
      </c>
      <c r="D9918" s="265">
        <v>1.0</v>
      </c>
      <c r="G9918" s="266">
        <v>43861.0</v>
      </c>
    </row>
    <row r="9919">
      <c r="A9919" s="217">
        <v>43886.54199503472</v>
      </c>
      <c r="B9919" s="3" t="s">
        <v>2322</v>
      </c>
      <c r="C9919" s="3" t="s">
        <v>4662</v>
      </c>
      <c r="D9919" s="265">
        <v>1.0</v>
      </c>
      <c r="E9919" s="3">
        <v>995.0</v>
      </c>
      <c r="G9919" s="266">
        <v>43861.0</v>
      </c>
    </row>
    <row r="9920">
      <c r="A9920" s="217">
        <v>43886.54282476852</v>
      </c>
      <c r="B9920" s="3" t="s">
        <v>2322</v>
      </c>
      <c r="C9920" s="3" t="s">
        <v>4919</v>
      </c>
      <c r="D9920" s="265">
        <v>1.0</v>
      </c>
      <c r="E9920" s="3">
        <v>2299.0</v>
      </c>
      <c r="G9920" s="266">
        <v>43861.0</v>
      </c>
    </row>
    <row r="9921">
      <c r="A9921" s="217">
        <v>43886.543571111106</v>
      </c>
      <c r="B9921" s="3" t="s">
        <v>2322</v>
      </c>
      <c r="C9921" s="3" t="s">
        <v>9922</v>
      </c>
      <c r="D9921" s="265">
        <v>1.0</v>
      </c>
      <c r="G9921" s="266">
        <v>43861.0</v>
      </c>
    </row>
    <row r="9922">
      <c r="A9922" s="217">
        <v>43886.544313067134</v>
      </c>
      <c r="B9922" s="3" t="s">
        <v>2322</v>
      </c>
      <c r="C9922" s="3" t="s">
        <v>4948</v>
      </c>
      <c r="D9922" s="265">
        <v>1.0</v>
      </c>
      <c r="E9922" s="3">
        <v>1299.0</v>
      </c>
      <c r="G9922" s="266">
        <v>43861.0</v>
      </c>
    </row>
    <row r="9923">
      <c r="A9923" s="217">
        <v>43886.54486018518</v>
      </c>
      <c r="B9923" s="3" t="s">
        <v>2322</v>
      </c>
      <c r="C9923" s="3" t="s">
        <v>9359</v>
      </c>
      <c r="D9923" s="265">
        <v>1.0</v>
      </c>
      <c r="G9923" s="266">
        <v>43861.0</v>
      </c>
    </row>
    <row r="9924">
      <c r="A9924" s="217">
        <v>43886.54562282407</v>
      </c>
      <c r="B9924" s="3" t="s">
        <v>2322</v>
      </c>
      <c r="C9924" s="3" t="s">
        <v>9671</v>
      </c>
      <c r="D9924" s="265">
        <v>1.0</v>
      </c>
      <c r="E9924" s="3">
        <v>1999.0</v>
      </c>
      <c r="G9924" s="266">
        <v>43861.0</v>
      </c>
    </row>
    <row r="9925">
      <c r="A9925" s="217">
        <v>43886.550495</v>
      </c>
      <c r="B9925" s="3" t="s">
        <v>2322</v>
      </c>
      <c r="C9925" s="3" t="s">
        <v>9924</v>
      </c>
      <c r="D9925" s="265">
        <v>1.0</v>
      </c>
      <c r="G9925" s="266">
        <v>43861.0</v>
      </c>
    </row>
    <row r="9926">
      <c r="A9926" s="217">
        <v>43886.551162372685</v>
      </c>
      <c r="B9926" s="3" t="s">
        <v>2322</v>
      </c>
      <c r="C9926" s="3" t="s">
        <v>2015</v>
      </c>
      <c r="D9926" s="265">
        <v>1.0</v>
      </c>
      <c r="G9926" s="266">
        <v>43861.0</v>
      </c>
    </row>
    <row r="9927">
      <c r="A9927" s="217">
        <v>43886.551657199074</v>
      </c>
      <c r="B9927" s="3" t="s">
        <v>2322</v>
      </c>
      <c r="C9927" s="3" t="s">
        <v>2027</v>
      </c>
      <c r="D9927" s="265">
        <v>1.0</v>
      </c>
      <c r="G9927" s="266">
        <v>43861.0</v>
      </c>
    </row>
    <row r="9928">
      <c r="A9928" s="217">
        <v>43886.552252118054</v>
      </c>
      <c r="B9928" s="3" t="s">
        <v>2322</v>
      </c>
      <c r="C9928" s="3" t="s">
        <v>2063</v>
      </c>
      <c r="D9928" s="265">
        <v>1.0</v>
      </c>
      <c r="G9928" s="266">
        <v>43861.0</v>
      </c>
    </row>
    <row r="9929">
      <c r="A9929" s="217">
        <v>43886.55281212963</v>
      </c>
      <c r="B9929" s="3" t="s">
        <v>2322</v>
      </c>
      <c r="C9929" s="3" t="s">
        <v>10754</v>
      </c>
      <c r="D9929" s="265">
        <v>1.0</v>
      </c>
      <c r="E9929" s="3">
        <v>3445.0</v>
      </c>
      <c r="G9929" s="266">
        <v>43861.0</v>
      </c>
    </row>
    <row r="9930">
      <c r="A9930" s="217">
        <v>43886.55345924769</v>
      </c>
      <c r="B9930" s="3" t="s">
        <v>2322</v>
      </c>
      <c r="C9930" s="3" t="s">
        <v>8683</v>
      </c>
      <c r="D9930" s="265">
        <v>1.0</v>
      </c>
      <c r="E9930" s="3">
        <v>2590.0</v>
      </c>
      <c r="G9930" s="266">
        <v>43861.0</v>
      </c>
    </row>
    <row r="9931">
      <c r="A9931" s="217">
        <v>43886.554100243055</v>
      </c>
      <c r="B9931" s="3" t="s">
        <v>2322</v>
      </c>
      <c r="C9931" s="3" t="s">
        <v>1557</v>
      </c>
      <c r="D9931" s="265">
        <v>1.0</v>
      </c>
      <c r="E9931" s="3">
        <v>2590.0</v>
      </c>
      <c r="G9931" s="266">
        <v>43861.0</v>
      </c>
    </row>
    <row r="9932">
      <c r="A9932" s="217">
        <v>43886.554607858794</v>
      </c>
      <c r="B9932" s="3" t="s">
        <v>2322</v>
      </c>
      <c r="C9932" s="3" t="s">
        <v>9404</v>
      </c>
      <c r="D9932" s="265">
        <v>1.0</v>
      </c>
      <c r="G9932" s="266">
        <v>43861.0</v>
      </c>
    </row>
    <row r="9933">
      <c r="A9933" s="217">
        <v>43886.55514981481</v>
      </c>
      <c r="B9933" s="3" t="s">
        <v>2322</v>
      </c>
      <c r="C9933" s="3" t="s">
        <v>9672</v>
      </c>
      <c r="D9933" s="265">
        <v>1.0</v>
      </c>
      <c r="E9933" s="3">
        <v>8970.0</v>
      </c>
      <c r="G9933" s="266">
        <v>43861.0</v>
      </c>
    </row>
    <row r="9934">
      <c r="A9934" s="217">
        <v>43886.55558204861</v>
      </c>
      <c r="B9934" s="3" t="s">
        <v>2322</v>
      </c>
      <c r="C9934" s="3" t="s">
        <v>9361</v>
      </c>
      <c r="D9934" s="265">
        <v>1.0</v>
      </c>
      <c r="G9934" s="266">
        <v>43861.0</v>
      </c>
    </row>
    <row r="9935">
      <c r="A9935" s="217">
        <v>43886.55619768519</v>
      </c>
      <c r="B9935" s="3" t="s">
        <v>2322</v>
      </c>
      <c r="C9935" s="3" t="s">
        <v>2026</v>
      </c>
      <c r="D9935" s="265">
        <v>1.0</v>
      </c>
      <c r="E9935" s="3">
        <v>8190.0</v>
      </c>
      <c r="G9935" s="266">
        <v>43861.0</v>
      </c>
    </row>
    <row r="9936">
      <c r="A9936" s="217">
        <v>43886.556697824075</v>
      </c>
      <c r="B9936" s="3" t="s">
        <v>2322</v>
      </c>
      <c r="C9936" s="3" t="s">
        <v>10755</v>
      </c>
      <c r="D9936" s="265">
        <v>1.0</v>
      </c>
      <c r="E9936" s="3">
        <v>3445.0</v>
      </c>
      <c r="G9936" s="266">
        <v>43861.0</v>
      </c>
    </row>
    <row r="9937">
      <c r="A9937" s="217">
        <v>43886.55719194445</v>
      </c>
      <c r="B9937" s="3" t="s">
        <v>2322</v>
      </c>
      <c r="C9937" s="3" t="s">
        <v>10756</v>
      </c>
      <c r="D9937" s="265">
        <v>1.0</v>
      </c>
      <c r="E9937" s="3">
        <v>3445.0</v>
      </c>
      <c r="G9937" s="266">
        <v>43861.0</v>
      </c>
    </row>
    <row r="9938">
      <c r="A9938" s="217">
        <v>43886.557768831015</v>
      </c>
      <c r="B9938" s="3" t="s">
        <v>2322</v>
      </c>
      <c r="C9938" s="3" t="s">
        <v>8654</v>
      </c>
      <c r="D9938" s="265">
        <v>1.0</v>
      </c>
      <c r="E9938" s="3">
        <v>2780.0</v>
      </c>
      <c r="G9938" s="266">
        <v>43861.0</v>
      </c>
    </row>
    <row r="9939">
      <c r="A9939" s="217">
        <v>43886.5582422338</v>
      </c>
      <c r="B9939" s="3" t="s">
        <v>2322</v>
      </c>
      <c r="C9939" s="3" t="s">
        <v>8672</v>
      </c>
      <c r="D9939" s="265">
        <v>1.0</v>
      </c>
      <c r="E9939" s="3">
        <v>2850.0</v>
      </c>
      <c r="G9939" s="266">
        <v>43861.0</v>
      </c>
    </row>
    <row r="9940">
      <c r="A9940" s="217">
        <v>43886.558712997685</v>
      </c>
      <c r="B9940" s="3" t="s">
        <v>2322</v>
      </c>
      <c r="C9940" s="3" t="s">
        <v>8639</v>
      </c>
      <c r="D9940" s="265">
        <v>1.0</v>
      </c>
      <c r="E9940" s="3">
        <v>2650.0</v>
      </c>
      <c r="G9940" s="266">
        <v>43861.0</v>
      </c>
    </row>
    <row r="9941">
      <c r="A9941" s="217">
        <v>43886.559244675926</v>
      </c>
      <c r="B9941" s="3" t="s">
        <v>2322</v>
      </c>
      <c r="C9941" s="3" t="s">
        <v>8617</v>
      </c>
      <c r="D9941" s="265">
        <v>1.0</v>
      </c>
      <c r="E9941" s="3">
        <v>2590.0</v>
      </c>
      <c r="G9941" s="266">
        <v>43861.0</v>
      </c>
    </row>
    <row r="9942">
      <c r="A9942" s="217">
        <v>43886.562865625005</v>
      </c>
      <c r="B9942" s="3" t="s">
        <v>2322</v>
      </c>
      <c r="C9942" s="3" t="s">
        <v>9827</v>
      </c>
      <c r="D9942" s="265">
        <v>3.0</v>
      </c>
      <c r="E9942" s="3">
        <v>2099.0</v>
      </c>
      <c r="G9942" s="266">
        <v>43861.0</v>
      </c>
    </row>
    <row r="9943">
      <c r="A9943" s="217">
        <v>43886.56344143518</v>
      </c>
      <c r="B9943" s="3" t="s">
        <v>2322</v>
      </c>
      <c r="C9943" s="3" t="s">
        <v>9451</v>
      </c>
      <c r="D9943" s="265">
        <v>3.0</v>
      </c>
      <c r="G9943" s="266">
        <v>43861.0</v>
      </c>
    </row>
    <row r="9944">
      <c r="A9944" s="217">
        <v>43886.56396491898</v>
      </c>
      <c r="B9944" s="3" t="s">
        <v>2322</v>
      </c>
      <c r="C9944" s="3" t="s">
        <v>1260</v>
      </c>
      <c r="D9944" s="265">
        <v>3.0</v>
      </c>
      <c r="E9944" s="3">
        <v>1299.0</v>
      </c>
      <c r="G9944" s="266">
        <v>43861.0</v>
      </c>
    </row>
    <row r="9945">
      <c r="A9945" s="217">
        <v>43886.5649077662</v>
      </c>
      <c r="B9945" s="3" t="s">
        <v>2322</v>
      </c>
      <c r="C9945" s="3" t="s">
        <v>4593</v>
      </c>
      <c r="D9945" s="265">
        <v>3.0</v>
      </c>
      <c r="E9945" s="3">
        <v>995.0</v>
      </c>
      <c r="G9945" s="266">
        <v>43861.0</v>
      </c>
    </row>
    <row r="9946">
      <c r="A9946" s="217">
        <v>43886.56540230324</v>
      </c>
      <c r="B9946" s="3" t="s">
        <v>2322</v>
      </c>
      <c r="C9946" s="3" t="s">
        <v>695</v>
      </c>
      <c r="D9946" s="265">
        <v>3.0</v>
      </c>
      <c r="E9946" s="3">
        <v>2899.0</v>
      </c>
      <c r="G9946" s="266">
        <v>43861.0</v>
      </c>
    </row>
    <row r="9947">
      <c r="A9947" s="217">
        <v>43886.56591523148</v>
      </c>
      <c r="B9947" s="3" t="s">
        <v>2322</v>
      </c>
      <c r="C9947" s="3" t="s">
        <v>4795</v>
      </c>
      <c r="D9947" s="265">
        <v>3.0</v>
      </c>
      <c r="E9947" s="3">
        <v>1699.0</v>
      </c>
      <c r="G9947" s="266">
        <v>43861.0</v>
      </c>
    </row>
    <row r="9948">
      <c r="A9948" s="217">
        <v>43886.56656369213</v>
      </c>
      <c r="B9948" s="3" t="s">
        <v>2322</v>
      </c>
      <c r="C9948" s="3" t="s">
        <v>4578</v>
      </c>
      <c r="D9948" s="265">
        <v>3.0</v>
      </c>
      <c r="E9948" s="3">
        <v>950.0</v>
      </c>
      <c r="G9948" s="266">
        <v>43861.0</v>
      </c>
    </row>
    <row r="9949">
      <c r="A9949" s="217">
        <v>43886.56707038195</v>
      </c>
      <c r="B9949" s="3" t="s">
        <v>2322</v>
      </c>
      <c r="C9949" s="3" t="s">
        <v>4620</v>
      </c>
      <c r="D9949" s="265">
        <v>3.0</v>
      </c>
      <c r="E9949" s="3">
        <v>1699.0</v>
      </c>
      <c r="G9949" s="266">
        <v>43861.0</v>
      </c>
    </row>
    <row r="9950">
      <c r="A9950" s="217">
        <v>43886.5674983912</v>
      </c>
      <c r="B9950" s="3" t="s">
        <v>2322</v>
      </c>
      <c r="C9950" s="3" t="s">
        <v>4622</v>
      </c>
      <c r="D9950" s="265">
        <v>3.0</v>
      </c>
      <c r="E9950" s="3">
        <v>1999.0</v>
      </c>
      <c r="G9950" s="266">
        <v>43861.0</v>
      </c>
    </row>
    <row r="9951">
      <c r="A9951" s="217">
        <v>43886.568031793984</v>
      </c>
      <c r="B9951" s="3" t="s">
        <v>2322</v>
      </c>
      <c r="C9951" s="3" t="s">
        <v>4875</v>
      </c>
      <c r="D9951" s="265">
        <v>3.0</v>
      </c>
      <c r="E9951" s="3">
        <v>1999.0</v>
      </c>
      <c r="G9951" s="266">
        <v>43861.0</v>
      </c>
    </row>
    <row r="9952">
      <c r="A9952" s="217">
        <v>43886.56853420139</v>
      </c>
      <c r="B9952" s="3" t="s">
        <v>2322</v>
      </c>
      <c r="C9952" s="3" t="s">
        <v>9457</v>
      </c>
      <c r="D9952" s="265">
        <v>2.0</v>
      </c>
      <c r="G9952" s="266">
        <v>43861.0</v>
      </c>
    </row>
    <row r="9953">
      <c r="A9953" s="217">
        <v>43886.56942021991</v>
      </c>
      <c r="B9953" s="3" t="s">
        <v>2322</v>
      </c>
      <c r="C9953" s="3" t="s">
        <v>1267</v>
      </c>
      <c r="D9953" s="265">
        <v>3.0</v>
      </c>
      <c r="E9953" s="3">
        <v>1566.0</v>
      </c>
      <c r="G9953" s="266">
        <v>43861.0</v>
      </c>
    </row>
    <row r="9954">
      <c r="A9954" s="217">
        <v>43887.46064385417</v>
      </c>
      <c r="B9954" s="3" t="s">
        <v>2322</v>
      </c>
      <c r="C9954" s="3" t="s">
        <v>4609</v>
      </c>
      <c r="D9954" s="265">
        <v>2.0</v>
      </c>
      <c r="E9954" s="3">
        <v>2395.0</v>
      </c>
      <c r="G9954" s="266">
        <v>43861.0</v>
      </c>
    </row>
    <row r="9955">
      <c r="A9955" s="217">
        <v>43887.461808611115</v>
      </c>
      <c r="B9955" s="3" t="s">
        <v>2322</v>
      </c>
      <c r="C9955" s="3" t="s">
        <v>9468</v>
      </c>
      <c r="D9955" s="265">
        <v>2.0</v>
      </c>
      <c r="E9955" s="3">
        <v>2950.0</v>
      </c>
      <c r="G9955" s="266">
        <v>43861.0</v>
      </c>
    </row>
    <row r="9956">
      <c r="A9956" s="217">
        <v>43887.46244420139</v>
      </c>
      <c r="B9956" s="3" t="s">
        <v>2322</v>
      </c>
      <c r="C9956" s="3" t="s">
        <v>4999</v>
      </c>
      <c r="D9956" s="265">
        <v>2.0</v>
      </c>
      <c r="G9956" s="266">
        <v>43861.0</v>
      </c>
    </row>
    <row r="9957">
      <c r="A9957" s="217">
        <v>43887.46690384259</v>
      </c>
      <c r="B9957" s="3" t="s">
        <v>2322</v>
      </c>
      <c r="C9957" s="3" t="s">
        <v>5463</v>
      </c>
      <c r="D9957" s="265">
        <v>2.0</v>
      </c>
      <c r="E9957" s="3">
        <v>4790.0</v>
      </c>
      <c r="G9957" s="266">
        <v>43861.0</v>
      </c>
    </row>
    <row r="9958">
      <c r="A9958" s="217">
        <v>43887.46748207176</v>
      </c>
      <c r="B9958" s="3" t="s">
        <v>2322</v>
      </c>
      <c r="C9958" s="3" t="s">
        <v>1275</v>
      </c>
      <c r="D9958" s="265">
        <v>2.0</v>
      </c>
      <c r="E9958" s="3">
        <v>1999.0</v>
      </c>
      <c r="G9958" s="266">
        <v>43861.0</v>
      </c>
    </row>
    <row r="9959">
      <c r="A9959" s="217">
        <v>43887.46809483797</v>
      </c>
      <c r="B9959" s="3" t="s">
        <v>2322</v>
      </c>
      <c r="C9959" s="3" t="s">
        <v>4908</v>
      </c>
      <c r="D9959" s="265">
        <v>2.0</v>
      </c>
      <c r="E9959" s="3">
        <v>1999.0</v>
      </c>
      <c r="G9959" s="266">
        <v>43861.0</v>
      </c>
    </row>
    <row r="9960">
      <c r="A9960" s="217">
        <v>43887.46864511574</v>
      </c>
      <c r="B9960" s="3" t="s">
        <v>2322</v>
      </c>
      <c r="C9960" s="3" t="s">
        <v>9535</v>
      </c>
      <c r="D9960" s="265">
        <v>2.0</v>
      </c>
      <c r="G9960" s="266">
        <v>43861.0</v>
      </c>
    </row>
    <row r="9961">
      <c r="A9961" s="217">
        <v>43887.469900358796</v>
      </c>
      <c r="B9961" s="3" t="s">
        <v>2322</v>
      </c>
      <c r="C9961" s="3" t="s">
        <v>2018</v>
      </c>
      <c r="D9961" s="265">
        <v>1.0</v>
      </c>
      <c r="E9961" s="3">
        <v>8900.0</v>
      </c>
      <c r="G9961" s="266">
        <v>43861.0</v>
      </c>
    </row>
    <row r="9962">
      <c r="A9962" s="217">
        <v>43887.470663182874</v>
      </c>
      <c r="B9962" s="3" t="s">
        <v>2322</v>
      </c>
      <c r="C9962" s="3" t="s">
        <v>2024</v>
      </c>
      <c r="D9962" s="265">
        <v>2.0</v>
      </c>
      <c r="G9962" s="266">
        <v>43861.0</v>
      </c>
    </row>
    <row r="9963">
      <c r="A9963" s="217">
        <v>43887.472027337964</v>
      </c>
      <c r="B9963" s="3" t="s">
        <v>2322</v>
      </c>
      <c r="C9963" s="3" t="s">
        <v>9380</v>
      </c>
      <c r="D9963" s="265">
        <v>2.0</v>
      </c>
      <c r="G9963" s="266">
        <v>43861.0</v>
      </c>
    </row>
    <row r="9964">
      <c r="A9964" s="217">
        <v>43887.47296387731</v>
      </c>
      <c r="B9964" s="3" t="s">
        <v>2322</v>
      </c>
      <c r="C9964" s="3" t="s">
        <v>2016</v>
      </c>
      <c r="D9964" s="265">
        <v>2.0</v>
      </c>
      <c r="E9964" s="3">
        <v>8900.0</v>
      </c>
      <c r="G9964" s="266">
        <v>43861.0</v>
      </c>
    </row>
    <row r="9965">
      <c r="A9965" s="217">
        <v>43887.473518321756</v>
      </c>
      <c r="B9965" s="3" t="s">
        <v>2322</v>
      </c>
      <c r="C9965" s="3" t="s">
        <v>2011</v>
      </c>
      <c r="D9965" s="265">
        <v>2.0</v>
      </c>
      <c r="G9965" s="266">
        <v>43861.0</v>
      </c>
    </row>
    <row r="9966">
      <c r="A9966" s="217">
        <v>43887.47448658565</v>
      </c>
      <c r="B9966" s="3" t="s">
        <v>2322</v>
      </c>
      <c r="C9966" s="3" t="s">
        <v>1553</v>
      </c>
      <c r="D9966" s="265">
        <v>2.0</v>
      </c>
      <c r="E9966" s="3">
        <v>2590.0</v>
      </c>
      <c r="G9966" s="266">
        <v>43861.0</v>
      </c>
    </row>
    <row r="9967">
      <c r="A9967" s="217">
        <v>43887.475103564815</v>
      </c>
      <c r="B9967" s="3" t="s">
        <v>2322</v>
      </c>
      <c r="C9967" s="3" t="s">
        <v>1556</v>
      </c>
      <c r="D9967" s="265">
        <v>2.0</v>
      </c>
      <c r="E9967" s="3">
        <v>2780.0</v>
      </c>
      <c r="G9967" s="266">
        <v>43861.0</v>
      </c>
    </row>
    <row r="9968">
      <c r="A9968" s="217">
        <v>43887.47580587963</v>
      </c>
      <c r="B9968" s="3" t="s">
        <v>2322</v>
      </c>
      <c r="C9968" s="3" t="s">
        <v>8677</v>
      </c>
      <c r="D9968" s="265">
        <v>2.0</v>
      </c>
      <c r="E9968" s="3">
        <v>2590.0</v>
      </c>
      <c r="G9968" s="266">
        <v>43861.0</v>
      </c>
    </row>
    <row r="9969">
      <c r="A9969" s="217">
        <v>43887.476473206014</v>
      </c>
      <c r="B9969" s="3" t="s">
        <v>2322</v>
      </c>
      <c r="C9969" s="3" t="s">
        <v>8666</v>
      </c>
      <c r="D9969" s="265">
        <v>2.0</v>
      </c>
      <c r="E9969" s="3">
        <v>2850.0</v>
      </c>
      <c r="G9969" s="266">
        <v>43861.0</v>
      </c>
    </row>
    <row r="9970">
      <c r="A9970" s="217">
        <v>43887.47699957176</v>
      </c>
      <c r="B9970" s="3" t="s">
        <v>2322</v>
      </c>
      <c r="C9970" s="3" t="s">
        <v>5005</v>
      </c>
      <c r="D9970" s="265">
        <v>2.0</v>
      </c>
      <c r="G9970" s="266">
        <v>43861.0</v>
      </c>
    </row>
    <row r="9971">
      <c r="A9971" s="217">
        <v>43887.5213334375</v>
      </c>
      <c r="B9971" s="3" t="s">
        <v>2322</v>
      </c>
      <c r="C9971" s="3" t="s">
        <v>4590</v>
      </c>
      <c r="D9971" s="265">
        <v>1.0</v>
      </c>
      <c r="E9971" s="3">
        <v>1895.0</v>
      </c>
      <c r="G9971" s="266">
        <v>43861.0</v>
      </c>
    </row>
    <row r="9972">
      <c r="A9972" s="217">
        <v>43887.746674803246</v>
      </c>
      <c r="B9972" s="3" t="s">
        <v>2322</v>
      </c>
      <c r="C9972" s="3" t="s">
        <v>4714</v>
      </c>
      <c r="D9972" s="265">
        <v>2.0</v>
      </c>
      <c r="E9972" s="3">
        <v>2150.0</v>
      </c>
      <c r="G9972" s="266">
        <v>43861.0</v>
      </c>
    </row>
    <row r="9973">
      <c r="A9973" s="217">
        <v>43887.74718752315</v>
      </c>
      <c r="B9973" s="3" t="s">
        <v>2322</v>
      </c>
      <c r="C9973" s="3" t="s">
        <v>694</v>
      </c>
      <c r="D9973" s="265">
        <v>2.0</v>
      </c>
      <c r="E9973" s="3">
        <v>1299.0</v>
      </c>
      <c r="G9973" s="266">
        <v>43861.0</v>
      </c>
    </row>
    <row r="9974">
      <c r="A9974" s="217">
        <v>43887.74767131945</v>
      </c>
      <c r="B9974" s="3" t="s">
        <v>2322</v>
      </c>
      <c r="C9974" s="3" t="s">
        <v>1250</v>
      </c>
      <c r="D9974" s="265">
        <v>2.0</v>
      </c>
      <c r="E9974" s="3">
        <v>2150.0</v>
      </c>
      <c r="G9974" s="266">
        <v>43861.0</v>
      </c>
    </row>
    <row r="9975">
      <c r="A9975" s="217">
        <v>43887.74833298611</v>
      </c>
      <c r="B9975" s="3" t="s">
        <v>2322</v>
      </c>
      <c r="C9975" s="3" t="s">
        <v>4552</v>
      </c>
      <c r="D9975" s="265">
        <v>2.0</v>
      </c>
      <c r="E9975" s="3">
        <v>2150.0</v>
      </c>
      <c r="G9975" s="266">
        <v>43861.0</v>
      </c>
    </row>
    <row r="9976">
      <c r="A9976" s="217">
        <v>43887.74878638889</v>
      </c>
      <c r="B9976" s="3" t="s">
        <v>2322</v>
      </c>
      <c r="C9976" s="3" t="s">
        <v>9454</v>
      </c>
      <c r="D9976" s="265">
        <v>2.0</v>
      </c>
      <c r="G9976" s="266">
        <v>43861.0</v>
      </c>
    </row>
    <row r="9977">
      <c r="A9977" s="217">
        <v>43888.504379328704</v>
      </c>
      <c r="B9977" s="3" t="s">
        <v>2322</v>
      </c>
      <c r="C9977" s="3" t="s">
        <v>4726</v>
      </c>
      <c r="D9977" s="265">
        <v>2.0</v>
      </c>
      <c r="E9977" s="3">
        <v>2250.0</v>
      </c>
      <c r="G9977" s="266">
        <v>43861.0</v>
      </c>
    </row>
    <row r="9978">
      <c r="A9978" s="217">
        <v>43888.50494832176</v>
      </c>
      <c r="B9978" s="3" t="s">
        <v>2322</v>
      </c>
      <c r="C9978" s="3" t="s">
        <v>4736</v>
      </c>
      <c r="D9978" s="265">
        <v>2.0</v>
      </c>
      <c r="E9978" s="3">
        <v>1895.0</v>
      </c>
      <c r="G9978" s="266">
        <v>43861.0</v>
      </c>
    </row>
    <row r="9979">
      <c r="A9979" s="217">
        <v>43888.50573740741</v>
      </c>
      <c r="B9979" s="3" t="s">
        <v>2322</v>
      </c>
      <c r="C9979" s="3" t="s">
        <v>10758</v>
      </c>
      <c r="D9979" s="265">
        <v>1.0</v>
      </c>
      <c r="E9979" s="3">
        <v>3190.0</v>
      </c>
      <c r="G9979" s="266">
        <v>43861.0</v>
      </c>
    </row>
    <row r="9980">
      <c r="A9980" s="217">
        <v>43888.50625521991</v>
      </c>
      <c r="B9980" s="3" t="s">
        <v>2322</v>
      </c>
      <c r="C9980" s="3" t="s">
        <v>2195</v>
      </c>
      <c r="D9980" s="265">
        <v>1.0</v>
      </c>
      <c r="E9980" s="3">
        <v>5490.0</v>
      </c>
      <c r="G9980" s="266">
        <v>43861.0</v>
      </c>
    </row>
    <row r="9981">
      <c r="A9981" s="217">
        <v>43888.509850312505</v>
      </c>
      <c r="B9981" s="3" t="s">
        <v>2322</v>
      </c>
      <c r="C9981" s="3" t="s">
        <v>9469</v>
      </c>
      <c r="D9981" s="265">
        <v>1.0</v>
      </c>
      <c r="E9981" s="3">
        <v>3390.0</v>
      </c>
      <c r="G9981" s="266">
        <v>43861.0</v>
      </c>
    </row>
    <row r="9982">
      <c r="A9982" s="217">
        <v>43888.510556863424</v>
      </c>
      <c r="B9982" s="3" t="s">
        <v>2322</v>
      </c>
      <c r="C9982" s="3" t="s">
        <v>4756</v>
      </c>
      <c r="D9982" s="265">
        <v>2.0</v>
      </c>
      <c r="E9982" s="3">
        <v>2499.0</v>
      </c>
      <c r="G9982" s="266">
        <v>43861.0</v>
      </c>
    </row>
    <row r="9983">
      <c r="A9983" s="217">
        <v>43888.5110709375</v>
      </c>
      <c r="B9983" s="3" t="s">
        <v>2322</v>
      </c>
      <c r="C9983" s="3" t="s">
        <v>4754</v>
      </c>
      <c r="D9983" s="265">
        <v>2.0</v>
      </c>
      <c r="E9983" s="3">
        <v>2299.0</v>
      </c>
      <c r="G9983" s="266">
        <v>43861.0</v>
      </c>
    </row>
    <row r="9984">
      <c r="A9984" s="217">
        <v>43888.51158883102</v>
      </c>
      <c r="B9984" s="3" t="s">
        <v>2322</v>
      </c>
      <c r="C9984" s="3" t="s">
        <v>2201</v>
      </c>
      <c r="D9984" s="265">
        <v>1.0</v>
      </c>
      <c r="E9984" s="3">
        <v>6190.0</v>
      </c>
      <c r="G9984" s="266">
        <v>43861.0</v>
      </c>
    </row>
    <row r="9985">
      <c r="A9985" s="217">
        <v>43888.51209928241</v>
      </c>
      <c r="B9985" s="3" t="s">
        <v>2322</v>
      </c>
      <c r="C9985" s="3" t="s">
        <v>4762</v>
      </c>
      <c r="D9985" s="265">
        <v>2.0</v>
      </c>
      <c r="E9985" s="3">
        <v>2699.0</v>
      </c>
      <c r="G9985" s="266">
        <v>43861.0</v>
      </c>
    </row>
    <row r="9986">
      <c r="A9986" s="217">
        <v>43888.512708078706</v>
      </c>
      <c r="B9986" s="3" t="s">
        <v>2322</v>
      </c>
      <c r="C9986" s="3" t="s">
        <v>4509</v>
      </c>
      <c r="D9986" s="265">
        <v>2.0</v>
      </c>
      <c r="E9986" s="3">
        <v>1995.0</v>
      </c>
      <c r="G9986" s="266">
        <v>43861.0</v>
      </c>
    </row>
    <row r="9987">
      <c r="A9987" s="217">
        <v>43888.5132794213</v>
      </c>
      <c r="B9987" s="3" t="s">
        <v>2322</v>
      </c>
      <c r="C9987" s="3" t="s">
        <v>1255</v>
      </c>
      <c r="D9987" s="265">
        <v>2.0</v>
      </c>
      <c r="E9987" s="3">
        <v>2799.0</v>
      </c>
      <c r="G9987" s="266">
        <v>43861.0</v>
      </c>
    </row>
    <row r="9988">
      <c r="A9988" s="217">
        <v>43888.514047662036</v>
      </c>
      <c r="B9988" s="3" t="s">
        <v>2322</v>
      </c>
      <c r="C9988" s="3" t="s">
        <v>4764</v>
      </c>
      <c r="D9988" s="265">
        <v>2.0</v>
      </c>
      <c r="E9988" s="3">
        <v>2499.0</v>
      </c>
      <c r="G9988" s="266">
        <v>43861.0</v>
      </c>
    </row>
    <row r="9989">
      <c r="A9989" s="217">
        <v>43888.5146267824</v>
      </c>
      <c r="B9989" s="3" t="s">
        <v>2322</v>
      </c>
      <c r="C9989" s="3" t="s">
        <v>9452</v>
      </c>
      <c r="D9989" s="265">
        <v>2.0</v>
      </c>
      <c r="G9989" s="266">
        <v>43861.0</v>
      </c>
    </row>
    <row r="9990">
      <c r="A9990" s="217">
        <v>43888.51540642361</v>
      </c>
      <c r="B9990" s="3" t="s">
        <v>2322</v>
      </c>
      <c r="C9990" s="3" t="s">
        <v>9171</v>
      </c>
      <c r="D9990" s="265">
        <v>1.0</v>
      </c>
      <c r="E9990" s="3">
        <v>5090.0</v>
      </c>
      <c r="G9990" s="266">
        <v>43861.0</v>
      </c>
    </row>
    <row r="9991">
      <c r="A9991" s="217">
        <v>43888.516069097226</v>
      </c>
      <c r="B9991" s="3" t="s">
        <v>2322</v>
      </c>
      <c r="C9991" s="3" t="s">
        <v>8812</v>
      </c>
      <c r="D9991" s="265">
        <v>1.0</v>
      </c>
      <c r="E9991" s="3">
        <v>6190.0</v>
      </c>
      <c r="G9991" s="266">
        <v>43861.0</v>
      </c>
    </row>
    <row r="9992">
      <c r="A9992" s="217">
        <v>43888.51661494213</v>
      </c>
      <c r="B9992" s="3" t="s">
        <v>2322</v>
      </c>
      <c r="C9992" s="3" t="s">
        <v>8826</v>
      </c>
      <c r="D9992" s="265">
        <v>1.0</v>
      </c>
      <c r="E9992" s="3">
        <v>5790.0</v>
      </c>
      <c r="G9992" s="266">
        <v>43861.0</v>
      </c>
    </row>
    <row r="9993">
      <c r="A9993" s="217">
        <v>43888.52017952546</v>
      </c>
      <c r="B9993" s="3" t="s">
        <v>2322</v>
      </c>
      <c r="C9993" s="3" t="s">
        <v>9427</v>
      </c>
      <c r="D9993" s="265">
        <v>1.0</v>
      </c>
      <c r="E9993" s="3">
        <v>5490.0</v>
      </c>
      <c r="G9993" s="266">
        <v>43861.0</v>
      </c>
    </row>
    <row r="9994">
      <c r="A9994" s="217">
        <v>43888.521688368055</v>
      </c>
      <c r="B9994" s="3" t="s">
        <v>2322</v>
      </c>
      <c r="C9994" s="3" t="s">
        <v>9278</v>
      </c>
      <c r="D9994" s="265">
        <v>1.0</v>
      </c>
      <c r="E9994" s="3">
        <v>6390.0</v>
      </c>
      <c r="G9994" s="266">
        <v>43861.0</v>
      </c>
    </row>
    <row r="9995">
      <c r="A9995" s="217">
        <v>43888.522312754634</v>
      </c>
      <c r="B9995" s="3" t="s">
        <v>2322</v>
      </c>
      <c r="C9995" s="3" t="s">
        <v>9280</v>
      </c>
      <c r="D9995" s="265">
        <v>1.0</v>
      </c>
      <c r="E9995" s="3">
        <v>3690.0</v>
      </c>
      <c r="G9995" s="266">
        <v>43861.0</v>
      </c>
    </row>
    <row r="9996">
      <c r="A9996" s="217">
        <v>43888.52291101852</v>
      </c>
      <c r="B9996" s="3" t="s">
        <v>2322</v>
      </c>
      <c r="C9996" s="3" t="s">
        <v>6342</v>
      </c>
      <c r="D9996" s="265">
        <v>1.0</v>
      </c>
      <c r="E9996" s="3">
        <v>3890.0</v>
      </c>
      <c r="G9996" s="266">
        <v>43861.0</v>
      </c>
    </row>
    <row r="9997">
      <c r="A9997" s="217">
        <v>43888.523520682866</v>
      </c>
      <c r="B9997" s="3" t="s">
        <v>2322</v>
      </c>
      <c r="C9997" s="3" t="s">
        <v>2202</v>
      </c>
      <c r="D9997" s="265">
        <v>1.0</v>
      </c>
      <c r="E9997" s="3">
        <v>4790.0</v>
      </c>
      <c r="G9997" s="266">
        <v>43861.0</v>
      </c>
    </row>
    <row r="9998">
      <c r="A9998" s="217">
        <v>43888.52407983797</v>
      </c>
      <c r="B9998" s="3" t="s">
        <v>2322</v>
      </c>
      <c r="C9998" s="3" t="s">
        <v>9673</v>
      </c>
      <c r="D9998" s="265">
        <v>1.0</v>
      </c>
      <c r="E9998" s="3">
        <v>4590.0</v>
      </c>
      <c r="G9998" s="266">
        <v>43861.0</v>
      </c>
    </row>
    <row r="9999">
      <c r="A9999" s="217">
        <v>43888.52475844907</v>
      </c>
      <c r="B9999" s="3" t="s">
        <v>2322</v>
      </c>
      <c r="C9999" s="3" t="s">
        <v>9442</v>
      </c>
      <c r="D9999" s="265">
        <v>1.0</v>
      </c>
      <c r="E9999" s="3">
        <v>3790.0</v>
      </c>
      <c r="G9999" s="266">
        <v>43861.0</v>
      </c>
    </row>
    <row r="10000">
      <c r="A10000" s="217">
        <v>43888.525403101856</v>
      </c>
      <c r="B10000" s="3" t="s">
        <v>2322</v>
      </c>
      <c r="C10000" s="3" t="s">
        <v>9219</v>
      </c>
      <c r="D10000" s="265">
        <v>1.0</v>
      </c>
      <c r="E10000" s="3">
        <v>3590.0</v>
      </c>
      <c r="G10000" s="266">
        <v>43861.0</v>
      </c>
    </row>
    <row r="10001">
      <c r="A10001" s="217">
        <v>43888.53967796297</v>
      </c>
      <c r="B10001" s="3" t="s">
        <v>2322</v>
      </c>
      <c r="C10001" s="3" t="s">
        <v>2270</v>
      </c>
      <c r="D10001" s="265">
        <v>1.0</v>
      </c>
      <c r="E10001" s="3">
        <v>5590.0</v>
      </c>
      <c r="G10001" s="266">
        <v>43861.0</v>
      </c>
    </row>
    <row r="10002">
      <c r="A10002" s="217">
        <v>43888.54039171296</v>
      </c>
      <c r="B10002" s="3" t="s">
        <v>2322</v>
      </c>
      <c r="C10002" s="3" t="s">
        <v>6346</v>
      </c>
      <c r="D10002" s="265">
        <v>1.0</v>
      </c>
      <c r="E10002" s="3">
        <v>3490.0</v>
      </c>
      <c r="G10002" s="266">
        <v>43861.0</v>
      </c>
    </row>
    <row r="10003">
      <c r="A10003" s="217">
        <v>43888.54094290509</v>
      </c>
      <c r="B10003" s="3" t="s">
        <v>2322</v>
      </c>
      <c r="C10003" s="3" t="s">
        <v>2224</v>
      </c>
      <c r="D10003" s="265">
        <v>1.0</v>
      </c>
      <c r="E10003" s="3">
        <v>4290.0</v>
      </c>
      <c r="G10003" s="266">
        <v>43861.0</v>
      </c>
    </row>
    <row r="10004">
      <c r="A10004" s="217">
        <v>43888.54147614584</v>
      </c>
      <c r="B10004" s="3" t="s">
        <v>2322</v>
      </c>
      <c r="C10004" s="3" t="s">
        <v>6717</v>
      </c>
      <c r="D10004" s="265">
        <v>1.0</v>
      </c>
      <c r="E10004" s="3">
        <v>3890.0</v>
      </c>
      <c r="G10004" s="266">
        <v>43861.0</v>
      </c>
    </row>
    <row r="10005">
      <c r="A10005" s="217">
        <v>43888.54188730324</v>
      </c>
      <c r="B10005" s="3" t="s">
        <v>2322</v>
      </c>
      <c r="C10005" s="3" t="s">
        <v>2266</v>
      </c>
      <c r="D10005" s="265">
        <v>1.0</v>
      </c>
      <c r="E10005" s="3">
        <v>3790.0</v>
      </c>
      <c r="G10005" s="266">
        <v>43861.0</v>
      </c>
    </row>
    <row r="10006">
      <c r="A10006" s="217">
        <v>43888.542397997684</v>
      </c>
      <c r="B10006" s="3" t="s">
        <v>2322</v>
      </c>
      <c r="C10006" s="3" t="s">
        <v>9245</v>
      </c>
      <c r="D10006" s="265">
        <v>1.0</v>
      </c>
      <c r="E10006" s="3">
        <v>3190.0</v>
      </c>
      <c r="G10006" s="266">
        <v>43861.0</v>
      </c>
    </row>
    <row r="10007">
      <c r="A10007" s="217">
        <v>43888.542802870375</v>
      </c>
      <c r="B10007" s="3" t="s">
        <v>2322</v>
      </c>
      <c r="C10007" s="3" t="s">
        <v>8781</v>
      </c>
      <c r="D10007" s="265">
        <v>1.0</v>
      </c>
      <c r="E10007" s="3">
        <v>4390.0</v>
      </c>
      <c r="G10007" s="266">
        <v>43861.0</v>
      </c>
    </row>
    <row r="10008">
      <c r="A10008" s="217">
        <v>43888.54324655092</v>
      </c>
      <c r="B10008" s="3" t="s">
        <v>2322</v>
      </c>
      <c r="C10008" s="3" t="s">
        <v>8777</v>
      </c>
      <c r="D10008" s="265">
        <v>1.0</v>
      </c>
      <c r="E10008" s="3">
        <v>7190.0</v>
      </c>
      <c r="G10008" s="266">
        <v>43861.0</v>
      </c>
    </row>
    <row r="10009">
      <c r="A10009" s="217">
        <v>43888.563174016206</v>
      </c>
      <c r="B10009" s="3" t="s">
        <v>2322</v>
      </c>
      <c r="C10009" s="3" t="s">
        <v>8776</v>
      </c>
      <c r="D10009" s="265">
        <v>1.0</v>
      </c>
      <c r="E10009" s="3">
        <v>7190.0</v>
      </c>
      <c r="G10009" s="266">
        <v>43861.0</v>
      </c>
    </row>
    <row r="10010">
      <c r="A10010" s="217">
        <v>43888.56362927084</v>
      </c>
      <c r="B10010" s="3" t="s">
        <v>2322</v>
      </c>
      <c r="C10010" s="3" t="s">
        <v>9289</v>
      </c>
      <c r="D10010" s="265">
        <v>1.0</v>
      </c>
      <c r="E10010" s="3">
        <v>6190.0</v>
      </c>
      <c r="G10010" s="266">
        <v>43861.0</v>
      </c>
    </row>
    <row r="10011">
      <c r="A10011" s="217">
        <v>43888.564230937496</v>
      </c>
      <c r="B10011" s="3" t="s">
        <v>2322</v>
      </c>
      <c r="C10011" s="3" t="s">
        <v>2306</v>
      </c>
      <c r="D10011" s="265">
        <v>1.0</v>
      </c>
      <c r="E10011" s="3">
        <v>5590.0</v>
      </c>
      <c r="G10011" s="266">
        <v>43861.0</v>
      </c>
    </row>
    <row r="10012">
      <c r="A10012" s="217">
        <v>43888.564712060186</v>
      </c>
      <c r="B10012" s="3" t="s">
        <v>2322</v>
      </c>
      <c r="C10012" s="3" t="s">
        <v>2282</v>
      </c>
      <c r="D10012" s="265">
        <v>1.0</v>
      </c>
      <c r="G10012" s="266">
        <v>43861.0</v>
      </c>
    </row>
    <row r="10013">
      <c r="A10013" s="217">
        <v>43888.56825986112</v>
      </c>
      <c r="B10013" s="3" t="s">
        <v>2322</v>
      </c>
      <c r="C10013" s="3" t="s">
        <v>5442</v>
      </c>
      <c r="D10013" s="265">
        <v>3.0</v>
      </c>
      <c r="E10013" s="3">
        <v>6490.0</v>
      </c>
      <c r="G10013" s="266">
        <v>43861.0</v>
      </c>
    </row>
    <row r="10014">
      <c r="A10014" s="217">
        <v>43888.56900754629</v>
      </c>
      <c r="B10014" s="3" t="s">
        <v>2322</v>
      </c>
      <c r="C10014" s="3" t="s">
        <v>2131</v>
      </c>
      <c r="D10014" s="265">
        <v>3.0</v>
      </c>
      <c r="E10014" s="3">
        <v>3790.0</v>
      </c>
      <c r="G10014" s="266">
        <v>43861.0</v>
      </c>
    </row>
    <row r="10015">
      <c r="A10015" s="217">
        <v>43888.56963971065</v>
      </c>
      <c r="B10015" s="3" t="s">
        <v>2322</v>
      </c>
      <c r="C10015" s="3" t="s">
        <v>6331</v>
      </c>
      <c r="D10015" s="265">
        <v>1.0</v>
      </c>
      <c r="E10015" s="3">
        <v>3990.0</v>
      </c>
      <c r="G10015" s="266">
        <v>43861.0</v>
      </c>
    </row>
    <row r="10016">
      <c r="A10016" s="217">
        <v>43888.57020967593</v>
      </c>
      <c r="B10016" s="3" t="s">
        <v>2322</v>
      </c>
      <c r="C10016" s="3" t="s">
        <v>4914</v>
      </c>
      <c r="D10016" s="265">
        <v>3.0</v>
      </c>
      <c r="E10016" s="3">
        <v>2099.0</v>
      </c>
      <c r="G10016" s="266">
        <v>43861.0</v>
      </c>
    </row>
    <row r="10017">
      <c r="A10017" s="217">
        <v>43888.57073799768</v>
      </c>
      <c r="B10017" s="3" t="s">
        <v>2322</v>
      </c>
      <c r="C10017" s="3" t="s">
        <v>9360</v>
      </c>
      <c r="D10017" s="265">
        <v>3.0</v>
      </c>
      <c r="G10017" s="266">
        <v>43861.0</v>
      </c>
    </row>
    <row r="10018">
      <c r="A10018" s="217">
        <v>43888.57152351852</v>
      </c>
      <c r="B10018" s="3" t="s">
        <v>2322</v>
      </c>
      <c r="C10018" s="3" t="s">
        <v>5531</v>
      </c>
      <c r="D10018" s="265">
        <v>3.0</v>
      </c>
      <c r="E10018" s="3">
        <v>3390.0</v>
      </c>
      <c r="G10018" s="266">
        <v>43861.0</v>
      </c>
    </row>
    <row r="10019">
      <c r="A10019" s="217">
        <v>43888.572048877315</v>
      </c>
      <c r="B10019" s="3" t="s">
        <v>2322</v>
      </c>
      <c r="C10019" s="3" t="s">
        <v>9217</v>
      </c>
      <c r="D10019" s="265">
        <v>3.0</v>
      </c>
      <c r="E10019" s="3">
        <v>3190.0</v>
      </c>
      <c r="G10019" s="266">
        <v>43861.0</v>
      </c>
    </row>
    <row r="10020">
      <c r="A10020" s="217">
        <v>43888.572902361106</v>
      </c>
      <c r="B10020" s="3" t="s">
        <v>2322</v>
      </c>
      <c r="C10020" s="3" t="s">
        <v>5486</v>
      </c>
      <c r="D10020" s="265">
        <v>3.0</v>
      </c>
      <c r="E10020" s="3">
        <v>3990.0</v>
      </c>
      <c r="G10020" s="266">
        <v>43861.0</v>
      </c>
    </row>
    <row r="10021">
      <c r="A10021" s="217">
        <v>43888.57348788195</v>
      </c>
      <c r="B10021" s="3" t="s">
        <v>2322</v>
      </c>
      <c r="C10021" s="3" t="s">
        <v>2009</v>
      </c>
      <c r="D10021" s="265">
        <v>3.0</v>
      </c>
      <c r="E10021" s="3">
        <v>8625.0</v>
      </c>
      <c r="G10021" s="266">
        <v>43861.0</v>
      </c>
    </row>
    <row r="10022">
      <c r="A10022" s="217">
        <v>43888.573983263894</v>
      </c>
      <c r="B10022" s="3" t="s">
        <v>2322</v>
      </c>
      <c r="C10022" s="3" t="s">
        <v>5516</v>
      </c>
      <c r="D10022" s="265">
        <v>2.0</v>
      </c>
      <c r="E10022" s="3">
        <v>3090.0</v>
      </c>
      <c r="G10022" s="266">
        <v>43861.0</v>
      </c>
    </row>
    <row r="10023">
      <c r="A10023" s="217">
        <v>43888.578867986114</v>
      </c>
      <c r="B10023" s="3" t="s">
        <v>2322</v>
      </c>
      <c r="C10023" s="3" t="s">
        <v>2173</v>
      </c>
      <c r="D10023" s="265">
        <v>1.0</v>
      </c>
      <c r="E10023" s="3">
        <v>3090.0</v>
      </c>
      <c r="G10023" s="266">
        <v>43861.0</v>
      </c>
    </row>
    <row r="10024">
      <c r="A10024" s="217">
        <v>43888.581098807874</v>
      </c>
      <c r="B10024" s="3" t="s">
        <v>2322</v>
      </c>
      <c r="C10024" s="3" t="s">
        <v>10759</v>
      </c>
      <c r="D10024" s="265">
        <v>4.0</v>
      </c>
      <c r="E10024" s="3">
        <v>1699.0</v>
      </c>
      <c r="G10024" s="266">
        <v>43861.0</v>
      </c>
    </row>
    <row r="10025">
      <c r="A10025" s="217">
        <v>43888.581724918986</v>
      </c>
      <c r="B10025" s="3" t="s">
        <v>2322</v>
      </c>
      <c r="C10025" s="3" t="s">
        <v>9815</v>
      </c>
      <c r="D10025" s="265">
        <v>4.0</v>
      </c>
      <c r="E10025" s="3">
        <v>1299.0</v>
      </c>
      <c r="G10025" s="266">
        <v>43861.0</v>
      </c>
    </row>
    <row r="10026">
      <c r="A10026" s="217">
        <v>43888.59078334491</v>
      </c>
      <c r="B10026" s="3" t="s">
        <v>2322</v>
      </c>
      <c r="C10026" s="3" t="s">
        <v>9786</v>
      </c>
      <c r="D10026" s="265">
        <v>4.0</v>
      </c>
      <c r="E10026" s="3">
        <v>2150.0</v>
      </c>
      <c r="G10026" s="266">
        <v>43861.0</v>
      </c>
    </row>
    <row r="10027">
      <c r="A10027" s="217">
        <v>43888.59133018518</v>
      </c>
      <c r="B10027" s="3" t="s">
        <v>2322</v>
      </c>
      <c r="C10027" s="3" t="s">
        <v>9816</v>
      </c>
      <c r="D10027" s="265">
        <v>4.0</v>
      </c>
      <c r="E10027" s="3">
        <v>1295.0</v>
      </c>
      <c r="G10027" s="266">
        <v>43861.0</v>
      </c>
    </row>
    <row r="10028">
      <c r="A10028" s="217">
        <v>43888.59184008102</v>
      </c>
      <c r="B10028" s="3" t="s">
        <v>2322</v>
      </c>
      <c r="C10028" s="3" t="s">
        <v>9821</v>
      </c>
      <c r="D10028" s="265">
        <v>4.0</v>
      </c>
      <c r="E10028" s="3">
        <v>1299.0</v>
      </c>
      <c r="G10028" s="266">
        <v>43861.0</v>
      </c>
    </row>
    <row r="10029">
      <c r="A10029" s="217">
        <v>43888.59234665509</v>
      </c>
      <c r="B10029" s="3" t="s">
        <v>2322</v>
      </c>
      <c r="C10029" s="3" t="s">
        <v>9818</v>
      </c>
      <c r="D10029" s="265">
        <v>4.0</v>
      </c>
      <c r="E10029" s="3">
        <v>1299.0</v>
      </c>
      <c r="G10029" s="266">
        <v>43861.0</v>
      </c>
    </row>
    <row r="10030">
      <c r="A10030" s="217">
        <v>43888.59284164352</v>
      </c>
      <c r="B10030" s="3" t="s">
        <v>2322</v>
      </c>
      <c r="C10030" s="3" t="s">
        <v>9800</v>
      </c>
      <c r="D10030" s="265">
        <v>4.0</v>
      </c>
      <c r="E10030" s="3">
        <v>1995.0</v>
      </c>
      <c r="G10030" s="266">
        <v>43861.0</v>
      </c>
    </row>
    <row r="10031">
      <c r="A10031" s="217">
        <v>43888.59338226852</v>
      </c>
      <c r="B10031" s="3" t="s">
        <v>2322</v>
      </c>
      <c r="C10031" s="3" t="s">
        <v>9825</v>
      </c>
      <c r="D10031" s="265">
        <v>4.0</v>
      </c>
      <c r="E10031" s="3">
        <v>1699.0</v>
      </c>
      <c r="G10031" s="266">
        <v>43861.0</v>
      </c>
    </row>
    <row r="10032">
      <c r="A10032" s="217">
        <v>43888.59425008102</v>
      </c>
      <c r="B10032" s="3" t="s">
        <v>2322</v>
      </c>
      <c r="C10032" s="3" t="s">
        <v>9823</v>
      </c>
      <c r="D10032" s="265">
        <v>3.0</v>
      </c>
      <c r="E10032" s="3">
        <v>2395.0</v>
      </c>
      <c r="G10032" s="266">
        <v>43861.0</v>
      </c>
    </row>
    <row r="10033">
      <c r="A10033" s="217">
        <v>43888.60235887731</v>
      </c>
      <c r="B10033" s="3" t="s">
        <v>2322</v>
      </c>
      <c r="C10033" s="3" t="s">
        <v>4541</v>
      </c>
      <c r="D10033" s="265">
        <v>4.0</v>
      </c>
      <c r="E10033" s="3">
        <v>2495.0</v>
      </c>
      <c r="G10033" s="266">
        <v>43861.0</v>
      </c>
    </row>
    <row r="10034">
      <c r="A10034" s="217">
        <v>43888.72269174768</v>
      </c>
      <c r="B10034" s="3" t="s">
        <v>2322</v>
      </c>
      <c r="C10034" s="3" t="s">
        <v>1249</v>
      </c>
      <c r="D10034" s="265">
        <v>4.0</v>
      </c>
      <c r="E10034" s="3">
        <v>2150.0</v>
      </c>
      <c r="G10034" s="266">
        <v>43861.0</v>
      </c>
    </row>
    <row r="10035">
      <c r="A10035" s="217">
        <v>43888.72328709491</v>
      </c>
      <c r="B10035" s="3" t="s">
        <v>2322</v>
      </c>
      <c r="C10035" s="3" t="s">
        <v>2110</v>
      </c>
      <c r="D10035" s="265">
        <v>3.0</v>
      </c>
      <c r="E10035" s="3">
        <v>5990.0</v>
      </c>
      <c r="G10035" s="266">
        <v>43861.0</v>
      </c>
    </row>
    <row r="10036">
      <c r="A10036" s="217">
        <v>43888.72390466435</v>
      </c>
      <c r="B10036" s="3" t="s">
        <v>2322</v>
      </c>
      <c r="C10036" s="3" t="s">
        <v>2163</v>
      </c>
      <c r="D10036" s="265">
        <v>3.0</v>
      </c>
      <c r="E10036" s="3">
        <v>5490.0</v>
      </c>
      <c r="G10036" s="266">
        <v>43861.0</v>
      </c>
    </row>
    <row r="10037">
      <c r="A10037" s="217">
        <v>43888.72449328704</v>
      </c>
      <c r="B10037" s="3" t="s">
        <v>2322</v>
      </c>
      <c r="C10037" s="3" t="s">
        <v>2129</v>
      </c>
      <c r="D10037" s="265">
        <v>3.0</v>
      </c>
      <c r="E10037" s="3">
        <v>3790.0</v>
      </c>
      <c r="G10037" s="266">
        <v>43861.0</v>
      </c>
    </row>
    <row r="10038">
      <c r="A10038" s="217">
        <v>43888.72528900463</v>
      </c>
      <c r="B10038" s="3" t="s">
        <v>2322</v>
      </c>
      <c r="C10038" s="3" t="s">
        <v>1278</v>
      </c>
      <c r="D10038" s="265">
        <v>3.0</v>
      </c>
      <c r="E10038" s="3">
        <v>2212.0</v>
      </c>
      <c r="G10038" s="266">
        <v>43861.0</v>
      </c>
    </row>
    <row r="10039">
      <c r="A10039" s="217">
        <v>43888.725903680555</v>
      </c>
      <c r="B10039" s="3" t="s">
        <v>2322</v>
      </c>
      <c r="C10039" s="3" t="s">
        <v>4514</v>
      </c>
      <c r="D10039" s="265">
        <v>4.0</v>
      </c>
      <c r="E10039" s="3">
        <v>2150.0</v>
      </c>
      <c r="G10039" s="266">
        <v>43861.0</v>
      </c>
    </row>
    <row r="10040">
      <c r="A10040" s="217">
        <v>43888.72639271991</v>
      </c>
      <c r="B10040" s="3" t="s">
        <v>2322</v>
      </c>
      <c r="C10040" s="3" t="s">
        <v>2220</v>
      </c>
      <c r="D10040" s="265">
        <v>3.0</v>
      </c>
      <c r="E10040" s="3">
        <v>3790.0</v>
      </c>
      <c r="G10040" s="266">
        <v>43861.0</v>
      </c>
    </row>
    <row r="10041">
      <c r="A10041" s="217">
        <v>43888.72957347222</v>
      </c>
      <c r="B10041" s="3" t="s">
        <v>2322</v>
      </c>
      <c r="C10041" s="3" t="s">
        <v>2226</v>
      </c>
      <c r="D10041" s="265">
        <v>3.0</v>
      </c>
      <c r="G10041" s="266">
        <v>43861.0</v>
      </c>
    </row>
    <row r="10042">
      <c r="A10042" s="217">
        <v>43888.73026855324</v>
      </c>
      <c r="B10042" s="3" t="s">
        <v>2322</v>
      </c>
      <c r="C10042" s="3" t="s">
        <v>1470</v>
      </c>
      <c r="D10042" s="265">
        <v>3.0</v>
      </c>
      <c r="E10042" s="3">
        <v>2250.0</v>
      </c>
      <c r="G10042" s="266">
        <v>43861.0</v>
      </c>
    </row>
    <row r="10043">
      <c r="A10043" s="217">
        <v>43888.73085939814</v>
      </c>
      <c r="B10043" s="3" t="s">
        <v>2322</v>
      </c>
      <c r="C10043" s="3" t="s">
        <v>6331</v>
      </c>
      <c r="D10043" s="265">
        <v>2.0</v>
      </c>
      <c r="E10043" s="3">
        <v>3990.0</v>
      </c>
      <c r="G10043" s="266">
        <v>43861.0</v>
      </c>
    </row>
    <row r="10044">
      <c r="A10044" s="217">
        <v>43888.78841734954</v>
      </c>
      <c r="B10044" s="3" t="s">
        <v>2322</v>
      </c>
      <c r="C10044" s="3" t="s">
        <v>9453</v>
      </c>
      <c r="D10044" s="265">
        <v>1.0</v>
      </c>
      <c r="G10044" s="266">
        <v>43861.0</v>
      </c>
    </row>
    <row r="10045">
      <c r="A10045" s="217">
        <v>43888.788968611116</v>
      </c>
      <c r="B10045" s="3" t="s">
        <v>2322</v>
      </c>
      <c r="C10045" s="3" t="s">
        <v>9311</v>
      </c>
      <c r="D10045" s="265">
        <v>1.0</v>
      </c>
      <c r="E10045" s="3">
        <v>2295.0</v>
      </c>
      <c r="G10045" s="266">
        <v>43861.0</v>
      </c>
    </row>
    <row r="10046">
      <c r="A10046" s="217">
        <v>43888.78963622685</v>
      </c>
      <c r="B10046" s="3" t="s">
        <v>2322</v>
      </c>
      <c r="C10046" s="3" t="s">
        <v>1256</v>
      </c>
      <c r="D10046" s="265">
        <v>1.0</v>
      </c>
      <c r="E10046" s="3">
        <v>2099.0</v>
      </c>
      <c r="G10046" s="266">
        <v>43861.0</v>
      </c>
    </row>
    <row r="10047">
      <c r="A10047" s="217">
        <v>43888.79155466435</v>
      </c>
      <c r="B10047" s="3" t="s">
        <v>2322</v>
      </c>
      <c r="C10047" s="3" t="s">
        <v>4820</v>
      </c>
      <c r="D10047" s="265">
        <v>1.0</v>
      </c>
      <c r="E10047" s="3">
        <v>1299.0</v>
      </c>
      <c r="G10047" s="266">
        <v>43861.0</v>
      </c>
    </row>
    <row r="10048">
      <c r="A10048" s="217">
        <v>43888.79203452547</v>
      </c>
      <c r="B10048" s="3" t="s">
        <v>2322</v>
      </c>
      <c r="C10048" s="3" t="s">
        <v>5025</v>
      </c>
      <c r="D10048" s="265">
        <v>1.0</v>
      </c>
      <c r="E10048" s="3">
        <v>1299.0</v>
      </c>
      <c r="G10048" s="266">
        <v>43861.0</v>
      </c>
    </row>
    <row r="10049">
      <c r="A10049" s="217">
        <v>43888.79253597222</v>
      </c>
      <c r="B10049" s="3" t="s">
        <v>2322</v>
      </c>
      <c r="C10049" s="3" t="s">
        <v>1271</v>
      </c>
      <c r="D10049" s="265">
        <v>1.0</v>
      </c>
      <c r="G10049" s="266">
        <v>43861.0</v>
      </c>
    </row>
    <row r="10050">
      <c r="A10050" s="217">
        <v>43888.793294918985</v>
      </c>
      <c r="B10050" s="3" t="s">
        <v>2322</v>
      </c>
      <c r="C10050" s="3" t="s">
        <v>9358</v>
      </c>
      <c r="D10050" s="265">
        <v>1.0</v>
      </c>
      <c r="G10050" s="266">
        <v>43861.0</v>
      </c>
    </row>
    <row r="10051">
      <c r="A10051" s="217">
        <v>43888.79370635416</v>
      </c>
      <c r="B10051" s="3" t="s">
        <v>2322</v>
      </c>
      <c r="C10051" s="3" t="s">
        <v>9450</v>
      </c>
      <c r="D10051" s="265">
        <v>1.0</v>
      </c>
      <c r="G10051" s="266">
        <v>43861.0</v>
      </c>
    </row>
    <row r="10052">
      <c r="A10052" s="217">
        <v>43888.79416171296</v>
      </c>
      <c r="B10052" s="3" t="s">
        <v>2322</v>
      </c>
      <c r="C10052" s="3" t="s">
        <v>5027</v>
      </c>
      <c r="D10052" s="265">
        <v>1.0</v>
      </c>
      <c r="G10052" s="266">
        <v>43861.0</v>
      </c>
    </row>
    <row r="10053">
      <c r="A10053" s="217">
        <v>43888.794718703706</v>
      </c>
      <c r="B10053" s="3" t="s">
        <v>2322</v>
      </c>
      <c r="C10053" s="3" t="s">
        <v>1766</v>
      </c>
      <c r="D10053" s="265">
        <v>1.0</v>
      </c>
      <c r="E10053" s="3">
        <v>3500.0</v>
      </c>
      <c r="G10053" s="266">
        <v>43861.0</v>
      </c>
    </row>
    <row r="10054">
      <c r="A10054" s="217">
        <v>43888.79534896991</v>
      </c>
      <c r="B10054" s="3" t="s">
        <v>2322</v>
      </c>
      <c r="C10054" s="3" t="s">
        <v>9426</v>
      </c>
      <c r="D10054" s="265">
        <v>1.0</v>
      </c>
      <c r="E10054" s="3">
        <v>5290.0</v>
      </c>
      <c r="G10054" s="266">
        <v>43861.0</v>
      </c>
    </row>
    <row r="10055">
      <c r="A10055" s="217">
        <v>43888.7957702662</v>
      </c>
      <c r="B10055" s="3" t="s">
        <v>2322</v>
      </c>
      <c r="C10055" s="3" t="s">
        <v>9170</v>
      </c>
      <c r="D10055" s="265">
        <v>1.0</v>
      </c>
      <c r="E10055" s="3">
        <v>5490.0</v>
      </c>
      <c r="G10055" s="266">
        <v>43861.0</v>
      </c>
    </row>
    <row r="10056">
      <c r="A10056" s="217">
        <v>43888.79628997685</v>
      </c>
      <c r="B10056" s="3" t="s">
        <v>2322</v>
      </c>
      <c r="C10056" s="3" t="s">
        <v>5350</v>
      </c>
      <c r="D10056" s="265">
        <v>1.0</v>
      </c>
      <c r="E10056" s="3">
        <v>8415.0</v>
      </c>
      <c r="G10056" s="266">
        <v>43861.0</v>
      </c>
    </row>
    <row r="10057">
      <c r="A10057" s="217">
        <v>43888.7967891088</v>
      </c>
      <c r="B10057" s="3" t="s">
        <v>2322</v>
      </c>
      <c r="C10057" s="3" t="s">
        <v>4774</v>
      </c>
      <c r="D10057" s="265">
        <v>1.0</v>
      </c>
      <c r="G10057" s="266">
        <v>43861.0</v>
      </c>
    </row>
    <row r="10058">
      <c r="A10058" s="217">
        <v>43888.79731811343</v>
      </c>
      <c r="B10058" s="3" t="s">
        <v>2322</v>
      </c>
      <c r="C10058" s="3" t="s">
        <v>1696</v>
      </c>
      <c r="D10058" s="265">
        <v>1.0</v>
      </c>
      <c r="E10058" s="3">
        <v>3125.0</v>
      </c>
      <c r="G10058" s="266">
        <v>43861.0</v>
      </c>
    </row>
    <row r="10059">
      <c r="A10059" s="217">
        <v>43888.79786056713</v>
      </c>
      <c r="B10059" s="3" t="s">
        <v>2322</v>
      </c>
      <c r="C10059" s="3" t="s">
        <v>4968</v>
      </c>
      <c r="D10059" s="265">
        <v>1.0</v>
      </c>
      <c r="E10059" s="3">
        <v>1399.0</v>
      </c>
      <c r="G10059" s="266">
        <v>43861.0</v>
      </c>
    </row>
    <row r="10060">
      <c r="A10060" s="217">
        <v>43888.79839481482</v>
      </c>
      <c r="B10060" s="3" t="s">
        <v>2322</v>
      </c>
      <c r="C10060" s="3" t="s">
        <v>4792</v>
      </c>
      <c r="D10060" s="265">
        <v>1.0</v>
      </c>
      <c r="G10060" s="266">
        <v>43861.0</v>
      </c>
    </row>
    <row r="10061">
      <c r="A10061" s="217">
        <v>43888.798816145834</v>
      </c>
      <c r="B10061" s="3" t="s">
        <v>2322</v>
      </c>
      <c r="C10061" s="3" t="s">
        <v>9923</v>
      </c>
      <c r="D10061" s="265">
        <v>1.0</v>
      </c>
      <c r="G10061" s="266">
        <v>43861.0</v>
      </c>
    </row>
    <row r="10062">
      <c r="A10062" s="217">
        <v>43888.80082733797</v>
      </c>
      <c r="B10062" s="3" t="s">
        <v>2322</v>
      </c>
      <c r="C10062" s="3" t="s">
        <v>1661</v>
      </c>
      <c r="D10062" s="265">
        <v>1.0</v>
      </c>
      <c r="E10062" s="3">
        <v>2225.0</v>
      </c>
      <c r="G10062" s="266">
        <v>43861.0</v>
      </c>
    </row>
    <row r="10063">
      <c r="A10063" s="217">
        <v>43888.80144271991</v>
      </c>
      <c r="B10063" s="3" t="s">
        <v>2322</v>
      </c>
      <c r="C10063" s="3" t="s">
        <v>1662</v>
      </c>
      <c r="D10063" s="265">
        <v>1.0</v>
      </c>
      <c r="E10063" s="3">
        <v>2225.0</v>
      </c>
      <c r="G10063" s="266">
        <v>43861.0</v>
      </c>
    </row>
    <row r="10064">
      <c r="A10064" s="217">
        <v>43888.80211042824</v>
      </c>
      <c r="B10064" s="3" t="s">
        <v>2322</v>
      </c>
      <c r="C10064" s="3" t="s">
        <v>8637</v>
      </c>
      <c r="D10064" s="265">
        <v>1.0</v>
      </c>
      <c r="E10064" s="3">
        <v>2650.0</v>
      </c>
      <c r="G10064" s="266">
        <v>43861.0</v>
      </c>
    </row>
    <row r="10065">
      <c r="A10065" s="217">
        <v>43888.802603958335</v>
      </c>
      <c r="B10065" s="3" t="s">
        <v>2322</v>
      </c>
      <c r="C10065" s="3" t="s">
        <v>9669</v>
      </c>
      <c r="D10065" s="265">
        <v>1.0</v>
      </c>
      <c r="E10065" s="3">
        <v>2599.0</v>
      </c>
      <c r="G10065" s="266">
        <v>43861.0</v>
      </c>
    </row>
    <row r="10066">
      <c r="A10066" s="217">
        <v>43888.80328666666</v>
      </c>
      <c r="B10066" s="3" t="s">
        <v>2322</v>
      </c>
      <c r="C10066" s="3" t="s">
        <v>9388</v>
      </c>
      <c r="D10066" s="265">
        <v>1.0</v>
      </c>
      <c r="E10066" s="3">
        <v>7900.0</v>
      </c>
      <c r="G10066" s="266">
        <v>43861.0</v>
      </c>
    </row>
    <row r="10067">
      <c r="A10067" s="217">
        <v>43888.80372664351</v>
      </c>
      <c r="B10067" s="3" t="s">
        <v>2322</v>
      </c>
      <c r="C10067" s="3" t="s">
        <v>2014</v>
      </c>
      <c r="D10067" s="265">
        <v>1.0</v>
      </c>
      <c r="G10067" s="266">
        <v>43861.0</v>
      </c>
    </row>
    <row r="10068">
      <c r="A10068" s="217">
        <v>43888.804325046294</v>
      </c>
      <c r="B10068" s="3" t="s">
        <v>2322</v>
      </c>
      <c r="C10068" s="3" t="s">
        <v>2012</v>
      </c>
      <c r="D10068" s="265">
        <v>1.0</v>
      </c>
      <c r="G10068" s="266">
        <v>43861.0</v>
      </c>
    </row>
    <row r="10069">
      <c r="A10069" s="217">
        <v>43888.80508309028</v>
      </c>
      <c r="B10069" s="3" t="s">
        <v>2322</v>
      </c>
      <c r="C10069" s="3" t="s">
        <v>1558</v>
      </c>
      <c r="D10069" s="265">
        <v>1.0</v>
      </c>
      <c r="E10069" s="3">
        <v>2590.0</v>
      </c>
      <c r="G10069" s="266">
        <v>43861.0</v>
      </c>
    </row>
    <row r="10070">
      <c r="A10070" s="217">
        <v>43888.80552386574</v>
      </c>
      <c r="B10070" s="3" t="s">
        <v>2322</v>
      </c>
      <c r="C10070" s="3" t="s">
        <v>8680</v>
      </c>
      <c r="D10070" s="265">
        <v>1.0</v>
      </c>
      <c r="E10070" s="3">
        <v>2590.0</v>
      </c>
      <c r="G10070" s="266">
        <v>43861.0</v>
      </c>
    </row>
    <row r="10071">
      <c r="A10071" s="217">
        <v>43888.80595434028</v>
      </c>
      <c r="B10071" s="3" t="s">
        <v>2322</v>
      </c>
      <c r="C10071" s="3" t="s">
        <v>8674</v>
      </c>
      <c r="D10071" s="265">
        <v>1.0</v>
      </c>
      <c r="E10071" s="3">
        <v>2350.0</v>
      </c>
      <c r="G10071" s="266">
        <v>43861.0</v>
      </c>
    </row>
    <row r="10072">
      <c r="A10072" s="217">
        <v>43888.806372534724</v>
      </c>
      <c r="B10072" s="3" t="s">
        <v>2322</v>
      </c>
      <c r="C10072" s="3" t="s">
        <v>8689</v>
      </c>
      <c r="D10072" s="265">
        <v>1.0</v>
      </c>
      <c r="E10072" s="3">
        <v>2590.0</v>
      </c>
      <c r="G10072" s="266">
        <v>43861.0</v>
      </c>
    </row>
    <row r="10073">
      <c r="A10073" s="217">
        <v>43888.80678756944</v>
      </c>
      <c r="B10073" s="3" t="s">
        <v>2322</v>
      </c>
      <c r="C10073" s="3" t="s">
        <v>2006</v>
      </c>
      <c r="D10073" s="265">
        <v>1.0</v>
      </c>
      <c r="E10073" s="3">
        <v>8970.0</v>
      </c>
      <c r="G10073" s="266">
        <v>43861.0</v>
      </c>
    </row>
    <row r="10074">
      <c r="A10074" s="217">
        <v>43888.807344201385</v>
      </c>
      <c r="B10074" s="3" t="s">
        <v>2322</v>
      </c>
      <c r="C10074" s="3" t="s">
        <v>8669</v>
      </c>
      <c r="D10074" s="265">
        <v>1.0</v>
      </c>
      <c r="E10074" s="3">
        <v>2850.0</v>
      </c>
      <c r="G10074" s="266">
        <v>43861.0</v>
      </c>
    </row>
    <row r="10075">
      <c r="A10075" s="217">
        <v>43888.80777918981</v>
      </c>
      <c r="B10075" s="3" t="s">
        <v>2322</v>
      </c>
      <c r="C10075" s="3" t="s">
        <v>8667</v>
      </c>
      <c r="D10075" s="265">
        <v>1.0</v>
      </c>
      <c r="E10075" s="3">
        <v>2850.0</v>
      </c>
      <c r="G10075" s="266">
        <v>43861.0</v>
      </c>
    </row>
    <row r="10076">
      <c r="A10076" s="217">
        <v>43888.808291203706</v>
      </c>
      <c r="B10076" s="3" t="s">
        <v>2322</v>
      </c>
      <c r="C10076" s="3" t="s">
        <v>10760</v>
      </c>
      <c r="D10076" s="265">
        <v>1.0</v>
      </c>
      <c r="E10076" s="3">
        <v>2850.0</v>
      </c>
      <c r="G10076" s="266">
        <v>43861.0</v>
      </c>
    </row>
    <row r="10077">
      <c r="A10077" s="217">
        <v>43888.80873712963</v>
      </c>
      <c r="B10077" s="3" t="s">
        <v>2322</v>
      </c>
      <c r="C10077" s="3" t="s">
        <v>10761</v>
      </c>
      <c r="D10077" s="265">
        <v>1.0</v>
      </c>
      <c r="E10077" s="3">
        <v>3125.0</v>
      </c>
      <c r="G10077" s="266">
        <v>43861.0</v>
      </c>
    </row>
    <row r="10078">
      <c r="A10078" s="217">
        <v>43888.809240057875</v>
      </c>
      <c r="B10078" s="3" t="s">
        <v>2322</v>
      </c>
      <c r="C10078" s="3" t="s">
        <v>10762</v>
      </c>
      <c r="D10078" s="265">
        <v>1.0</v>
      </c>
      <c r="E10078" s="3">
        <v>3125.0</v>
      </c>
      <c r="G10078" s="266">
        <v>43861.0</v>
      </c>
    </row>
    <row r="10079">
      <c r="A10079" s="217">
        <v>43892.43708329861</v>
      </c>
      <c r="B10079" s="3" t="s">
        <v>5092</v>
      </c>
      <c r="C10079" s="3" t="s">
        <v>7884</v>
      </c>
      <c r="D10079" s="265">
        <v>2.0</v>
      </c>
      <c r="E10079" s="3">
        <v>300.0</v>
      </c>
      <c r="G10079" s="266">
        <v>43866.0</v>
      </c>
    </row>
    <row r="10080">
      <c r="A10080" s="217">
        <v>43892.437956354166</v>
      </c>
      <c r="B10080" s="3" t="s">
        <v>5092</v>
      </c>
      <c r="C10080" s="3" t="s">
        <v>284</v>
      </c>
      <c r="D10080" s="265">
        <v>128.0</v>
      </c>
      <c r="E10080" s="3">
        <v>500.0</v>
      </c>
      <c r="G10080" s="266">
        <v>43878.0</v>
      </c>
    </row>
    <row r="10081">
      <c r="A10081" s="217">
        <v>43892.439420208335</v>
      </c>
      <c r="B10081" s="3" t="s">
        <v>5092</v>
      </c>
      <c r="C10081" s="3" t="s">
        <v>9529</v>
      </c>
      <c r="D10081" s="265">
        <v>43.0</v>
      </c>
      <c r="E10081" s="3">
        <v>600.0</v>
      </c>
      <c r="G10081" s="266">
        <v>43878.0</v>
      </c>
    </row>
    <row r="10082">
      <c r="A10082" s="217">
        <v>43892.439929444445</v>
      </c>
      <c r="B10082" s="3" t="s">
        <v>5092</v>
      </c>
      <c r="C10082" s="3" t="s">
        <v>7884</v>
      </c>
      <c r="D10082" s="265">
        <v>18.0</v>
      </c>
      <c r="E10082" s="3">
        <v>300.0</v>
      </c>
      <c r="G10082" s="266">
        <v>43878.0</v>
      </c>
    </row>
    <row r="10083">
      <c r="A10083" s="217">
        <v>43892.44042611111</v>
      </c>
      <c r="B10083" s="3" t="s">
        <v>5092</v>
      </c>
      <c r="C10083" s="3" t="s">
        <v>284</v>
      </c>
      <c r="D10083" s="265">
        <v>14.0</v>
      </c>
      <c r="E10083" s="3">
        <v>500.0</v>
      </c>
      <c r="G10083" s="266">
        <v>43878.0</v>
      </c>
    </row>
    <row r="10084">
      <c r="A10084" s="217">
        <v>43892.44103721065</v>
      </c>
      <c r="B10084" s="3" t="s">
        <v>5092</v>
      </c>
      <c r="C10084" s="3" t="s">
        <v>7884</v>
      </c>
      <c r="D10084" s="265">
        <v>18.0</v>
      </c>
      <c r="E10084" s="3">
        <v>300.0</v>
      </c>
      <c r="G10084" s="266">
        <v>43878.0</v>
      </c>
    </row>
    <row r="10085">
      <c r="A10085" s="217">
        <v>43892.44229391204</v>
      </c>
      <c r="B10085" s="3" t="s">
        <v>5092</v>
      </c>
      <c r="C10085" s="3" t="s">
        <v>10765</v>
      </c>
      <c r="D10085" s="265">
        <v>2.0</v>
      </c>
      <c r="E10085" s="3">
        <v>3600.0</v>
      </c>
      <c r="G10085" s="266">
        <v>43885.0</v>
      </c>
    </row>
    <row r="10086">
      <c r="A10086" s="217">
        <v>43892.44292931713</v>
      </c>
      <c r="B10086" s="3" t="s">
        <v>5092</v>
      </c>
      <c r="C10086" s="3" t="s">
        <v>7884</v>
      </c>
      <c r="D10086" s="265">
        <v>6.0</v>
      </c>
      <c r="E10086" s="3">
        <v>300.0</v>
      </c>
      <c r="G10086" s="266">
        <v>43885.0</v>
      </c>
    </row>
    <row r="10087">
      <c r="A10087" s="217">
        <v>43892.44350202546</v>
      </c>
      <c r="B10087" s="3" t="s">
        <v>5092</v>
      </c>
      <c r="C10087" s="3" t="s">
        <v>7884</v>
      </c>
      <c r="D10087" s="265">
        <v>11.0</v>
      </c>
      <c r="E10087" s="3">
        <v>300.0</v>
      </c>
      <c r="G10087" s="266">
        <v>43885.0</v>
      </c>
    </row>
    <row r="10088">
      <c r="A10088" s="217">
        <v>43892.44441376158</v>
      </c>
      <c r="B10088" s="3" t="s">
        <v>5092</v>
      </c>
      <c r="C10088" s="3" t="s">
        <v>10137</v>
      </c>
      <c r="D10088" s="265">
        <v>2.0</v>
      </c>
      <c r="E10088" s="3">
        <v>500.0</v>
      </c>
      <c r="G10088" s="266">
        <v>43885.0</v>
      </c>
    </row>
    <row r="10089">
      <c r="A10089" s="217">
        <v>43892.44516581019</v>
      </c>
      <c r="B10089" s="3" t="s">
        <v>5092</v>
      </c>
      <c r="C10089" s="3" t="s">
        <v>7427</v>
      </c>
      <c r="D10089" s="265">
        <v>4.0</v>
      </c>
      <c r="E10089" s="3">
        <v>200.0</v>
      </c>
      <c r="G10089" s="266">
        <v>43887.0</v>
      </c>
    </row>
    <row r="10090">
      <c r="A10090" s="217">
        <v>43892.4456812037</v>
      </c>
      <c r="B10090" s="3" t="s">
        <v>5092</v>
      </c>
      <c r="C10090" s="3" t="s">
        <v>10137</v>
      </c>
      <c r="D10090" s="265">
        <v>2.0</v>
      </c>
      <c r="E10090" s="3">
        <v>500.0</v>
      </c>
      <c r="G10090" s="266">
        <v>43887.0</v>
      </c>
    </row>
    <row r="10091">
      <c r="A10091" s="217">
        <v>43892.44611525463</v>
      </c>
      <c r="B10091" s="3" t="s">
        <v>5092</v>
      </c>
      <c r="C10091" s="3" t="s">
        <v>284</v>
      </c>
      <c r="D10091" s="265">
        <v>2.0</v>
      </c>
      <c r="E10091" s="3">
        <v>500.0</v>
      </c>
      <c r="G10091" s="266">
        <v>43887.0</v>
      </c>
    </row>
    <row r="10092">
      <c r="A10092" s="217">
        <v>43892.44664674769</v>
      </c>
      <c r="B10092" s="3" t="s">
        <v>5092</v>
      </c>
      <c r="C10092" s="3" t="s">
        <v>10768</v>
      </c>
      <c r="D10092" s="265">
        <v>1.0</v>
      </c>
      <c r="E10092" s="3">
        <v>250.0</v>
      </c>
      <c r="G10092" s="266">
        <v>43887.0</v>
      </c>
    </row>
    <row r="10093">
      <c r="A10093" s="217">
        <v>43892.44733766204</v>
      </c>
      <c r="B10093" s="3" t="s">
        <v>5092</v>
      </c>
      <c r="C10093" s="3" t="s">
        <v>7884</v>
      </c>
      <c r="D10093" s="265">
        <v>6.0</v>
      </c>
      <c r="E10093" s="3">
        <v>300.0</v>
      </c>
      <c r="G10093" s="266">
        <v>43888.0</v>
      </c>
    </row>
    <row r="10094">
      <c r="A10094" s="217">
        <v>43892.44788587963</v>
      </c>
      <c r="B10094" s="3" t="s">
        <v>5092</v>
      </c>
      <c r="C10094" s="3" t="s">
        <v>10673</v>
      </c>
      <c r="D10094" s="265">
        <v>1.0</v>
      </c>
      <c r="E10094" s="3">
        <v>500.0</v>
      </c>
      <c r="G10094" s="266">
        <v>43888.0</v>
      </c>
    </row>
    <row r="10095">
      <c r="A10095" s="217">
        <v>43892.68852215278</v>
      </c>
      <c r="B10095" s="3" t="s">
        <v>5092</v>
      </c>
      <c r="C10095" s="3" t="s">
        <v>10770</v>
      </c>
      <c r="D10095" s="265">
        <v>2.0</v>
      </c>
      <c r="E10095" s="3">
        <v>2200.0</v>
      </c>
      <c r="G10095" s="266">
        <v>43890.0</v>
      </c>
    </row>
    <row r="10096">
      <c r="A10096" s="217">
        <v>43892.68931913194</v>
      </c>
      <c r="B10096" s="3" t="s">
        <v>5092</v>
      </c>
      <c r="C10096" s="3" t="s">
        <v>10772</v>
      </c>
      <c r="D10096" s="265">
        <v>2.0</v>
      </c>
      <c r="E10096" s="3">
        <v>300.0</v>
      </c>
      <c r="G10096" s="266">
        <v>43890.0</v>
      </c>
    </row>
    <row r="10097">
      <c r="A10097" s="217">
        <v>43892.73393421296</v>
      </c>
      <c r="B10097" s="3" t="s">
        <v>5092</v>
      </c>
      <c r="C10097" s="3" t="s">
        <v>10774</v>
      </c>
      <c r="D10097" s="265">
        <v>204.0</v>
      </c>
      <c r="E10097" s="3">
        <v>300.0</v>
      </c>
      <c r="G10097" s="266">
        <v>43886.0</v>
      </c>
    </row>
    <row r="10098">
      <c r="A10098" s="217">
        <v>43892.74221722222</v>
      </c>
      <c r="B10098" s="3" t="s">
        <v>5092</v>
      </c>
      <c r="C10098" s="3" t="s">
        <v>10777</v>
      </c>
      <c r="D10098" s="265">
        <v>204.0</v>
      </c>
      <c r="E10098" s="3">
        <v>300.0</v>
      </c>
      <c r="G10098" s="266">
        <v>43886.0</v>
      </c>
    </row>
    <row r="10099">
      <c r="A10099" s="217">
        <v>43892.74414363426</v>
      </c>
      <c r="B10099" s="3" t="s">
        <v>5092</v>
      </c>
      <c r="C10099" s="3" t="s">
        <v>10778</v>
      </c>
      <c r="D10099" s="265">
        <v>204.0</v>
      </c>
      <c r="E10099" s="3">
        <v>500.0</v>
      </c>
      <c r="G10099" s="266">
        <v>43886.0</v>
      </c>
    </row>
    <row r="10100">
      <c r="A10100" s="217">
        <v>43892.74466810185</v>
      </c>
      <c r="B10100" s="3" t="s">
        <v>5092</v>
      </c>
      <c r="C10100" s="3" t="s">
        <v>10779</v>
      </c>
      <c r="D10100" s="265">
        <v>204.0</v>
      </c>
      <c r="E10100" s="3">
        <v>100.0</v>
      </c>
      <c r="G10100" s="266">
        <v>43886.0</v>
      </c>
    </row>
    <row r="10101">
      <c r="A10101" s="217">
        <v>43893.76459872685</v>
      </c>
      <c r="B10101" s="3" t="s">
        <v>5092</v>
      </c>
      <c r="C10101" s="3" t="s">
        <v>10673</v>
      </c>
      <c r="D10101" s="265">
        <v>1.0</v>
      </c>
      <c r="E10101" s="3">
        <v>500.0</v>
      </c>
      <c r="G10101" s="266">
        <v>43893.0</v>
      </c>
    </row>
    <row r="10102">
      <c r="A10102" s="217">
        <v>43893.76505771991</v>
      </c>
      <c r="B10102" s="3" t="s">
        <v>5092</v>
      </c>
      <c r="C10102" s="3" t="s">
        <v>10137</v>
      </c>
      <c r="D10102" s="265">
        <v>3.0</v>
      </c>
      <c r="E10102" s="3">
        <v>500.0</v>
      </c>
      <c r="G10102" s="266">
        <v>43893.0</v>
      </c>
    </row>
    <row r="10103">
      <c r="A10103" s="217">
        <v>43893.765523738424</v>
      </c>
      <c r="B10103" s="3" t="s">
        <v>5092</v>
      </c>
      <c r="C10103" s="3" t="s">
        <v>10137</v>
      </c>
      <c r="D10103" s="265">
        <v>2.0</v>
      </c>
      <c r="E10103" s="3">
        <v>500.0</v>
      </c>
      <c r="G10103" s="266">
        <v>43893.0</v>
      </c>
    </row>
    <row r="10104">
      <c r="A10104" s="217">
        <v>43893.767829097225</v>
      </c>
      <c r="B10104" s="3" t="s">
        <v>5092</v>
      </c>
      <c r="C10104" s="3" t="s">
        <v>7884</v>
      </c>
      <c r="D10104" s="265">
        <v>2.0</v>
      </c>
      <c r="E10104" s="3">
        <v>300.0</v>
      </c>
      <c r="G10104" s="266">
        <v>43893.0</v>
      </c>
    </row>
    <row r="10105">
      <c r="A10105" s="217">
        <v>43893.7683819213</v>
      </c>
      <c r="B10105" s="3" t="s">
        <v>5092</v>
      </c>
      <c r="C10105" s="3" t="s">
        <v>10137</v>
      </c>
      <c r="D10105" s="265">
        <v>3.0</v>
      </c>
      <c r="E10105" s="3">
        <v>500.0</v>
      </c>
      <c r="G10105" s="266">
        <v>43893.0</v>
      </c>
    </row>
    <row r="10106">
      <c r="A10106" s="217">
        <v>43893.7690040625</v>
      </c>
      <c r="B10106" s="3" t="s">
        <v>5092</v>
      </c>
      <c r="C10106" s="3" t="s">
        <v>7693</v>
      </c>
      <c r="D10106" s="265">
        <v>2.0</v>
      </c>
      <c r="E10106" s="3">
        <v>1000.0</v>
      </c>
      <c r="G10106" s="266">
        <v>43893.0</v>
      </c>
    </row>
    <row r="10107">
      <c r="A10107" s="217">
        <v>43893.76941797454</v>
      </c>
      <c r="B10107" s="3" t="s">
        <v>5092</v>
      </c>
      <c r="C10107" s="3" t="s">
        <v>10137</v>
      </c>
      <c r="D10107" s="265">
        <v>1.0</v>
      </c>
      <c r="E10107" s="3">
        <v>250.0</v>
      </c>
      <c r="G10107" s="266">
        <v>43893.0</v>
      </c>
    </row>
    <row r="10108">
      <c r="A10108" s="217">
        <v>43893.76981884259</v>
      </c>
      <c r="B10108" s="3" t="s">
        <v>5092</v>
      </c>
      <c r="C10108" s="3" t="s">
        <v>10137</v>
      </c>
      <c r="D10108" s="265">
        <v>1.0</v>
      </c>
      <c r="E10108" s="3">
        <v>250.0</v>
      </c>
      <c r="G10108" s="266">
        <v>43893.0</v>
      </c>
    </row>
    <row r="10109">
      <c r="A10109" s="217">
        <v>43893.77020728009</v>
      </c>
      <c r="B10109" s="3" t="s">
        <v>5092</v>
      </c>
      <c r="C10109" s="3" t="s">
        <v>284</v>
      </c>
      <c r="D10109" s="265">
        <v>1.0</v>
      </c>
      <c r="E10109" s="3">
        <v>250.0</v>
      </c>
      <c r="G10109" s="266">
        <v>43893.0</v>
      </c>
    </row>
    <row r="10110">
      <c r="A10110" s="217">
        <v>43893.771225034725</v>
      </c>
      <c r="B10110" s="3" t="s">
        <v>5092</v>
      </c>
      <c r="C10110" s="3" t="s">
        <v>7427</v>
      </c>
      <c r="D10110" s="265">
        <v>2.0</v>
      </c>
      <c r="E10110" s="3">
        <v>200.0</v>
      </c>
      <c r="G10110" s="266">
        <v>43893.0</v>
      </c>
    </row>
    <row r="10111">
      <c r="A10111" s="217">
        <v>43900.704685370365</v>
      </c>
      <c r="B10111" s="3" t="s">
        <v>5092</v>
      </c>
      <c r="C10111" s="3" t="s">
        <v>10781</v>
      </c>
      <c r="D10111" s="265">
        <v>220.0</v>
      </c>
      <c r="E10111" s="3">
        <v>300.0</v>
      </c>
      <c r="G10111" s="266">
        <v>43892.0</v>
      </c>
    </row>
    <row r="10112">
      <c r="A10112" s="217">
        <v>43900.70573440973</v>
      </c>
      <c r="B10112" s="3" t="s">
        <v>5092</v>
      </c>
      <c r="C10112" s="3" t="s">
        <v>10778</v>
      </c>
      <c r="D10112" s="265">
        <v>420.0</v>
      </c>
      <c r="E10112" s="3">
        <v>300.0</v>
      </c>
      <c r="G10112" s="266">
        <v>43892.0</v>
      </c>
    </row>
    <row r="10113">
      <c r="A10113" s="217">
        <v>43900.70765832176</v>
      </c>
      <c r="B10113" s="3" t="s">
        <v>5092</v>
      </c>
      <c r="C10113" s="3" t="s">
        <v>10774</v>
      </c>
      <c r="D10113" s="265">
        <v>540.0</v>
      </c>
      <c r="E10113" s="3">
        <v>300.0</v>
      </c>
      <c r="G10113" s="266">
        <v>43892.0</v>
      </c>
    </row>
    <row r="10114">
      <c r="A10114" s="217">
        <v>43900.708548599534</v>
      </c>
      <c r="B10114" s="3" t="s">
        <v>5092</v>
      </c>
      <c r="C10114" s="3" t="s">
        <v>10783</v>
      </c>
      <c r="D10114" s="265">
        <v>300.0</v>
      </c>
      <c r="E10114" s="3">
        <v>400.0</v>
      </c>
      <c r="G10114" s="266">
        <v>43892.0</v>
      </c>
    </row>
    <row r="10115">
      <c r="A10115" s="217">
        <v>43905.61873082176</v>
      </c>
      <c r="B10115" s="3" t="s">
        <v>5092</v>
      </c>
      <c r="C10115" s="3" t="s">
        <v>10071</v>
      </c>
      <c r="D10115" s="265">
        <v>1.0</v>
      </c>
      <c r="G10115" s="266">
        <v>43901.0</v>
      </c>
    </row>
    <row r="10116">
      <c r="A10116" s="217">
        <v>43905.619513171296</v>
      </c>
      <c r="B10116" s="3" t="s">
        <v>5092</v>
      </c>
      <c r="C10116" s="3" t="s">
        <v>10080</v>
      </c>
      <c r="D10116" s="265">
        <v>1.0</v>
      </c>
      <c r="G10116" s="266">
        <v>43901.0</v>
      </c>
    </row>
    <row r="10117">
      <c r="A10117" s="217">
        <v>43905.62019887731</v>
      </c>
      <c r="B10117" s="3" t="s">
        <v>5092</v>
      </c>
      <c r="C10117" s="3" t="s">
        <v>935</v>
      </c>
      <c r="D10117" s="265">
        <v>1.0</v>
      </c>
      <c r="G10117" s="266">
        <v>43901.0</v>
      </c>
    </row>
    <row r="10118">
      <c r="A10118" s="217">
        <v>43905.621550509255</v>
      </c>
      <c r="B10118" s="3" t="s">
        <v>5092</v>
      </c>
      <c r="C10118" s="3" t="s">
        <v>911</v>
      </c>
      <c r="D10118" s="265">
        <v>1.0</v>
      </c>
      <c r="G10118" s="266">
        <v>43901.0</v>
      </c>
    </row>
    <row r="10119">
      <c r="A10119" s="217">
        <v>43905.62293753472</v>
      </c>
      <c r="B10119" s="3" t="s">
        <v>5092</v>
      </c>
      <c r="C10119" s="3" t="s">
        <v>10785</v>
      </c>
      <c r="D10119" s="265">
        <v>1.0</v>
      </c>
      <c r="G10119" s="266">
        <v>43901.0</v>
      </c>
    </row>
    <row r="10120">
      <c r="A10120" s="217">
        <v>43905.623551655095</v>
      </c>
      <c r="B10120" s="3" t="s">
        <v>5092</v>
      </c>
      <c r="C10120" s="3" t="s">
        <v>910</v>
      </c>
      <c r="D10120" s="265">
        <v>1.0</v>
      </c>
      <c r="G10120" s="266">
        <v>43901.0</v>
      </c>
    </row>
    <row r="10121">
      <c r="A10121" s="217">
        <v>43905.62422158565</v>
      </c>
      <c r="B10121" s="3" t="s">
        <v>5092</v>
      </c>
      <c r="C10121" s="3" t="s">
        <v>1196</v>
      </c>
      <c r="D10121" s="265">
        <v>1.0</v>
      </c>
      <c r="G10121" s="266">
        <v>43901.0</v>
      </c>
    </row>
    <row r="10122">
      <c r="A10122" s="217">
        <v>43905.62508372685</v>
      </c>
      <c r="B10122" s="3" t="s">
        <v>5092</v>
      </c>
      <c r="C10122" s="3" t="s">
        <v>10079</v>
      </c>
      <c r="D10122" s="265">
        <v>1.0</v>
      </c>
      <c r="G10122" s="266">
        <v>43901.0</v>
      </c>
    </row>
    <row r="10123">
      <c r="A10123" s="217">
        <v>43910.73343438657</v>
      </c>
      <c r="B10123" s="3" t="s">
        <v>5092</v>
      </c>
      <c r="C10123" s="3" t="s">
        <v>10786</v>
      </c>
      <c r="D10123" s="265">
        <v>1.0</v>
      </c>
      <c r="E10123" s="3">
        <v>7190.0</v>
      </c>
      <c r="G10123" s="266">
        <v>43909.0</v>
      </c>
    </row>
    <row r="10124">
      <c r="A10124" s="217">
        <v>43910.734401828704</v>
      </c>
      <c r="B10124" s="3" t="s">
        <v>5092</v>
      </c>
      <c r="C10124" s="3" t="s">
        <v>10788</v>
      </c>
      <c r="D10124" s="265">
        <v>1.0</v>
      </c>
      <c r="E10124" s="3">
        <v>6190.0</v>
      </c>
      <c r="G10124" s="266">
        <v>43909.0</v>
      </c>
    </row>
    <row r="10125">
      <c r="A10125" s="217">
        <v>43910.73507599537</v>
      </c>
      <c r="B10125" s="3" t="s">
        <v>5092</v>
      </c>
      <c r="C10125" s="3" t="s">
        <v>10789</v>
      </c>
      <c r="D10125" s="265">
        <v>1.0</v>
      </c>
      <c r="E10125" s="3">
        <v>7190.0</v>
      </c>
      <c r="G10125" s="266">
        <v>43909.0</v>
      </c>
    </row>
    <row r="10126">
      <c r="A10126" s="217">
        <v>43910.73580171296</v>
      </c>
      <c r="B10126" s="3" t="s">
        <v>5092</v>
      </c>
      <c r="C10126" s="3" t="s">
        <v>2291</v>
      </c>
      <c r="D10126" s="265">
        <v>1.0</v>
      </c>
      <c r="E10126" s="3">
        <v>7190.0</v>
      </c>
      <c r="G10126" s="266">
        <v>43909.0</v>
      </c>
    </row>
    <row r="10127">
      <c r="A10127" s="217">
        <v>43910.736424166666</v>
      </c>
      <c r="B10127" s="3" t="s">
        <v>5092</v>
      </c>
      <c r="C10127" s="3" t="s">
        <v>10790</v>
      </c>
      <c r="D10127" s="265">
        <v>1.0</v>
      </c>
      <c r="E10127" s="3">
        <v>5590.0</v>
      </c>
      <c r="G10127" s="266">
        <v>43909.0</v>
      </c>
    </row>
    <row r="10128">
      <c r="A10128" s="217">
        <v>43910.73695918982</v>
      </c>
      <c r="B10128" s="3" t="s">
        <v>5092</v>
      </c>
      <c r="C10128" s="3" t="s">
        <v>2288</v>
      </c>
      <c r="D10128" s="265">
        <v>1.0</v>
      </c>
      <c r="E10128" s="3">
        <v>7190.0</v>
      </c>
      <c r="G10128" s="266">
        <v>43909.0</v>
      </c>
    </row>
    <row r="10129">
      <c r="A10129" s="217">
        <v>43911.68889297453</v>
      </c>
      <c r="B10129" s="3" t="s">
        <v>5092</v>
      </c>
      <c r="C10129" s="3" t="s">
        <v>10673</v>
      </c>
      <c r="D10129" s="265">
        <v>2.0</v>
      </c>
      <c r="E10129" s="3">
        <v>1000.0</v>
      </c>
      <c r="G10129" s="266">
        <v>43890.0</v>
      </c>
    </row>
    <row r="10130">
      <c r="A10130" s="217">
        <v>43911.689373587964</v>
      </c>
      <c r="B10130" s="3" t="s">
        <v>5092</v>
      </c>
      <c r="C10130" s="3" t="s">
        <v>9529</v>
      </c>
      <c r="D10130" s="265">
        <v>2.0</v>
      </c>
      <c r="E10130" s="3">
        <v>600.0</v>
      </c>
      <c r="G10130" s="266">
        <v>43890.0</v>
      </c>
    </row>
    <row r="10131">
      <c r="A10131" s="217">
        <v>43911.68974207176</v>
      </c>
      <c r="B10131" s="3" t="s">
        <v>5092</v>
      </c>
      <c r="C10131" s="3" t="s">
        <v>10137</v>
      </c>
      <c r="D10131" s="265">
        <v>2.0</v>
      </c>
      <c r="E10131" s="3">
        <v>500.0</v>
      </c>
      <c r="G10131" s="266">
        <v>43890.0</v>
      </c>
    </row>
    <row r="10132">
      <c r="A10132" s="217">
        <v>43911.69227997685</v>
      </c>
      <c r="B10132" s="3" t="s">
        <v>5092</v>
      </c>
      <c r="C10132" s="3" t="s">
        <v>10792</v>
      </c>
      <c r="D10132" s="265">
        <v>2.0</v>
      </c>
      <c r="E10132" s="3">
        <v>150.0</v>
      </c>
      <c r="G10132" s="266">
        <v>43894.0</v>
      </c>
    </row>
    <row r="10133">
      <c r="A10133" s="217">
        <v>43911.693080578705</v>
      </c>
      <c r="B10133" s="3" t="s">
        <v>5092</v>
      </c>
      <c r="C10133" s="3" t="s">
        <v>10673</v>
      </c>
      <c r="D10133" s="265">
        <v>2.0</v>
      </c>
      <c r="E10133" s="3">
        <v>1000.0</v>
      </c>
      <c r="G10133" s="266">
        <v>43895.0</v>
      </c>
    </row>
    <row r="10134">
      <c r="A10134" s="217">
        <v>43911.693705474536</v>
      </c>
      <c r="B10134" s="3" t="s">
        <v>5092</v>
      </c>
      <c r="C10134" s="3" t="s">
        <v>9529</v>
      </c>
      <c r="D10134" s="265">
        <v>2.0</v>
      </c>
      <c r="E10134" s="3">
        <v>600.0</v>
      </c>
      <c r="G10134" s="266">
        <v>43895.0</v>
      </c>
    </row>
    <row r="10135">
      <c r="A10135" s="217">
        <v>43911.69433076389</v>
      </c>
      <c r="B10135" s="3" t="s">
        <v>5092</v>
      </c>
      <c r="C10135" s="3" t="s">
        <v>7884</v>
      </c>
      <c r="D10135" s="265">
        <v>2.0</v>
      </c>
      <c r="E10135" s="3">
        <v>300.0</v>
      </c>
      <c r="G10135" s="266">
        <v>43895.0</v>
      </c>
    </row>
    <row r="10136">
      <c r="A10136" s="217">
        <v>43911.695157106486</v>
      </c>
      <c r="B10136" s="3" t="s">
        <v>5092</v>
      </c>
      <c r="C10136" s="3" t="s">
        <v>7884</v>
      </c>
      <c r="D10136" s="265">
        <v>1.0</v>
      </c>
      <c r="E10136" s="3">
        <v>150.0</v>
      </c>
      <c r="G10136" s="266">
        <v>43895.0</v>
      </c>
    </row>
    <row r="10137">
      <c r="A10137" s="217">
        <v>43911.69681949074</v>
      </c>
      <c r="B10137" s="3" t="s">
        <v>5092</v>
      </c>
      <c r="C10137" s="3" t="s">
        <v>2138</v>
      </c>
      <c r="D10137" s="265">
        <v>2.0</v>
      </c>
      <c r="G10137" s="266">
        <v>43859.0</v>
      </c>
    </row>
    <row r="10138">
      <c r="A10138" s="217">
        <v>43911.697347546295</v>
      </c>
      <c r="B10138" s="3" t="s">
        <v>5092</v>
      </c>
      <c r="C10138" s="3" t="s">
        <v>2099</v>
      </c>
      <c r="D10138" s="265">
        <v>1.0</v>
      </c>
      <c r="G10138" s="266">
        <v>43859.0</v>
      </c>
    </row>
    <row r="10139">
      <c r="A10139" s="217">
        <v>43911.69824278935</v>
      </c>
      <c r="B10139" s="3" t="s">
        <v>5092</v>
      </c>
      <c r="C10139" s="3" t="s">
        <v>10796</v>
      </c>
      <c r="D10139" s="265">
        <v>1.0</v>
      </c>
      <c r="G10139" s="266">
        <v>43859.0</v>
      </c>
    </row>
    <row r="10140">
      <c r="A10140" s="217">
        <v>43911.6988330787</v>
      </c>
      <c r="B10140" s="3" t="s">
        <v>5092</v>
      </c>
      <c r="C10140" s="3" t="s">
        <v>10797</v>
      </c>
      <c r="D10140" s="265">
        <v>2.0</v>
      </c>
      <c r="G10140" s="266">
        <v>43859.0</v>
      </c>
    </row>
    <row r="10141">
      <c r="A10141" s="217">
        <v>43911.69932777778</v>
      </c>
      <c r="B10141" s="3" t="s">
        <v>5092</v>
      </c>
      <c r="C10141" s="3" t="s">
        <v>2251</v>
      </c>
      <c r="D10141" s="265">
        <v>2.0</v>
      </c>
      <c r="G10141" s="266">
        <v>43859.0</v>
      </c>
    </row>
    <row r="10142">
      <c r="A10142" s="217">
        <v>43911.69980466436</v>
      </c>
      <c r="B10142" s="3" t="s">
        <v>5092</v>
      </c>
      <c r="C10142" s="3" t="s">
        <v>10798</v>
      </c>
      <c r="D10142" s="265">
        <v>1.0</v>
      </c>
      <c r="G10142" s="266">
        <v>43859.0</v>
      </c>
    </row>
    <row r="10143">
      <c r="A10143" s="217">
        <v>43911.70048480324</v>
      </c>
      <c r="B10143" s="3" t="s">
        <v>5092</v>
      </c>
      <c r="C10143" s="3" t="s">
        <v>9244</v>
      </c>
      <c r="D10143" s="265">
        <v>1.0</v>
      </c>
      <c r="G10143" s="266">
        <v>43859.0</v>
      </c>
    </row>
    <row r="10144">
      <c r="A10144" s="217">
        <v>43911.70123931713</v>
      </c>
      <c r="B10144" s="3" t="s">
        <v>5092</v>
      </c>
      <c r="C10144" s="3" t="s">
        <v>10799</v>
      </c>
      <c r="D10144" s="265">
        <v>1.0</v>
      </c>
      <c r="G10144" s="266">
        <v>43859.0</v>
      </c>
    </row>
    <row r="10145">
      <c r="A10145" s="217">
        <v>43911.701774189816</v>
      </c>
      <c r="B10145" s="3" t="s">
        <v>5092</v>
      </c>
      <c r="C10145" s="3" t="s">
        <v>10800</v>
      </c>
      <c r="D10145" s="265">
        <v>1.0</v>
      </c>
      <c r="G10145" s="266">
        <v>43859.0</v>
      </c>
    </row>
    <row r="10146">
      <c r="A10146" s="217">
        <v>43911.702330775464</v>
      </c>
      <c r="B10146" s="3" t="s">
        <v>5092</v>
      </c>
      <c r="C10146" s="3" t="s">
        <v>2248</v>
      </c>
      <c r="D10146" s="265">
        <v>1.0</v>
      </c>
      <c r="G10146" s="266">
        <v>43859.0</v>
      </c>
    </row>
    <row r="10147">
      <c r="A10147" s="217">
        <v>43911.70313090278</v>
      </c>
      <c r="B10147" s="3" t="s">
        <v>5092</v>
      </c>
      <c r="C10147" s="3" t="s">
        <v>9315</v>
      </c>
      <c r="D10147" s="265">
        <v>1.0</v>
      </c>
      <c r="G10147" s="266">
        <v>43859.0</v>
      </c>
    </row>
    <row r="10148">
      <c r="A10148" s="217">
        <v>43911.70360709491</v>
      </c>
      <c r="B10148" s="3" t="s">
        <v>5092</v>
      </c>
      <c r="C10148" s="3" t="s">
        <v>10801</v>
      </c>
      <c r="D10148" s="265">
        <v>1.0</v>
      </c>
      <c r="G10148" s="266">
        <v>43859.0</v>
      </c>
    </row>
    <row r="10149">
      <c r="A10149" s="217">
        <v>43911.70418925926</v>
      </c>
      <c r="B10149" s="3" t="s">
        <v>5092</v>
      </c>
      <c r="C10149" s="3" t="s">
        <v>10802</v>
      </c>
      <c r="D10149" s="265">
        <v>1.0</v>
      </c>
      <c r="G10149" s="266">
        <v>43859.0</v>
      </c>
    </row>
    <row r="10150">
      <c r="A10150" s="217">
        <v>43911.704686377314</v>
      </c>
      <c r="B10150" s="3" t="s">
        <v>5092</v>
      </c>
      <c r="C10150" s="3" t="s">
        <v>10803</v>
      </c>
      <c r="D10150" s="265">
        <v>1.0</v>
      </c>
      <c r="G10150" s="266">
        <v>43859.0</v>
      </c>
    </row>
    <row r="10151">
      <c r="A10151" s="217">
        <v>43911.70613128472</v>
      </c>
      <c r="B10151" s="3" t="s">
        <v>5092</v>
      </c>
      <c r="C10151" s="3" t="s">
        <v>10804</v>
      </c>
      <c r="D10151" s="265">
        <v>12.0</v>
      </c>
      <c r="E10151" s="3">
        <v>20.0</v>
      </c>
      <c r="G10151" s="266">
        <v>43837.0</v>
      </c>
    </row>
    <row r="10152">
      <c r="A10152" s="217">
        <v>43911.70702422454</v>
      </c>
      <c r="B10152" s="3" t="s">
        <v>5092</v>
      </c>
      <c r="C10152" s="3" t="s">
        <v>8782</v>
      </c>
      <c r="D10152" s="265">
        <v>1.0</v>
      </c>
      <c r="E10152" s="3">
        <v>4290.0</v>
      </c>
      <c r="G10152" s="266">
        <v>43859.0</v>
      </c>
    </row>
    <row r="10153">
      <c r="A10153" s="217">
        <v>43911.707928414355</v>
      </c>
      <c r="B10153" s="3" t="s">
        <v>5092</v>
      </c>
      <c r="C10153" s="3" t="s">
        <v>8805</v>
      </c>
      <c r="D10153" s="265">
        <v>1.0</v>
      </c>
      <c r="E10153" s="3">
        <v>6190.0</v>
      </c>
      <c r="G10153" s="266">
        <v>43859.0</v>
      </c>
    </row>
    <row r="10154">
      <c r="A10154" s="217">
        <v>43911.70859744213</v>
      </c>
      <c r="B10154" s="3" t="s">
        <v>5092</v>
      </c>
      <c r="C10154" s="3" t="s">
        <v>8820</v>
      </c>
      <c r="D10154" s="265">
        <v>2.0</v>
      </c>
      <c r="E10154" s="3">
        <v>3490.0</v>
      </c>
      <c r="G10154" s="266">
        <v>43859.0</v>
      </c>
    </row>
    <row r="10155">
      <c r="A10155" s="217">
        <v>43911.709192106486</v>
      </c>
      <c r="B10155" s="3" t="s">
        <v>5092</v>
      </c>
      <c r="C10155" s="3" t="s">
        <v>2269</v>
      </c>
      <c r="D10155" s="265">
        <v>1.0</v>
      </c>
      <c r="E10155" s="3">
        <v>6190.0</v>
      </c>
      <c r="G10155" s="266">
        <v>43859.0</v>
      </c>
    </row>
    <row r="10156">
      <c r="A10156" s="217">
        <v>43911.70984130787</v>
      </c>
      <c r="B10156" s="3" t="s">
        <v>5092</v>
      </c>
      <c r="C10156" s="3" t="s">
        <v>8805</v>
      </c>
      <c r="D10156" s="265">
        <v>1.0</v>
      </c>
      <c r="E10156" s="3">
        <v>6190.0</v>
      </c>
      <c r="G10156" s="266">
        <v>43859.0</v>
      </c>
    </row>
    <row r="10157">
      <c r="A10157" s="217">
        <v>43911.71062244213</v>
      </c>
      <c r="B10157" s="3" t="s">
        <v>5092</v>
      </c>
      <c r="C10157" s="3" t="s">
        <v>9256</v>
      </c>
      <c r="D10157" s="265">
        <v>1.0</v>
      </c>
      <c r="E10157" s="3">
        <v>6190.0</v>
      </c>
      <c r="G10157" s="266">
        <v>43859.0</v>
      </c>
    </row>
    <row r="10158">
      <c r="A10158" s="217">
        <v>43911.71118020834</v>
      </c>
      <c r="B10158" s="3" t="s">
        <v>5092</v>
      </c>
      <c r="C10158" s="3" t="s">
        <v>8782</v>
      </c>
      <c r="D10158" s="265">
        <v>1.0</v>
      </c>
      <c r="E10158" s="3">
        <v>4290.0</v>
      </c>
      <c r="G10158" s="266">
        <v>43859.0</v>
      </c>
    </row>
    <row r="10159">
      <c r="A10159" s="217">
        <v>43911.71180763889</v>
      </c>
      <c r="B10159" s="3" t="s">
        <v>5092</v>
      </c>
      <c r="C10159" s="3" t="s">
        <v>2231</v>
      </c>
      <c r="D10159" s="265">
        <v>1.0</v>
      </c>
      <c r="E10159" s="3">
        <v>6690.0</v>
      </c>
      <c r="G10159" s="266">
        <v>43859.0</v>
      </c>
    </row>
    <row r="10160">
      <c r="A10160" s="217">
        <v>43911.71835241898</v>
      </c>
      <c r="B10160" s="3" t="s">
        <v>5092</v>
      </c>
      <c r="C10160" s="3" t="s">
        <v>8779</v>
      </c>
      <c r="D10160" s="265">
        <v>1.0</v>
      </c>
      <c r="E10160" s="3">
        <v>4290.0</v>
      </c>
      <c r="G10160" s="266">
        <v>43859.0</v>
      </c>
    </row>
    <row r="10161">
      <c r="A10161" s="217">
        <v>43911.718815995366</v>
      </c>
      <c r="B10161" s="3" t="s">
        <v>5092</v>
      </c>
      <c r="C10161" s="3" t="s">
        <v>2270</v>
      </c>
      <c r="D10161" s="265">
        <v>1.0</v>
      </c>
      <c r="E10161" s="3">
        <v>5590.0</v>
      </c>
      <c r="G10161" s="266">
        <v>43859.0</v>
      </c>
    </row>
    <row r="10162">
      <c r="A10162" s="217">
        <v>43911.71940241898</v>
      </c>
      <c r="B10162" s="3" t="s">
        <v>5092</v>
      </c>
      <c r="C10162" s="3" t="s">
        <v>2110</v>
      </c>
      <c r="D10162" s="265">
        <v>1.0</v>
      </c>
      <c r="E10162" s="3">
        <v>5290.0</v>
      </c>
      <c r="G10162" s="266">
        <v>43859.0</v>
      </c>
    </row>
    <row r="10163">
      <c r="A10163" s="217">
        <v>43911.7201483449</v>
      </c>
      <c r="B10163" s="3" t="s">
        <v>5092</v>
      </c>
      <c r="C10163" s="3" t="s">
        <v>8783</v>
      </c>
      <c r="D10163" s="265">
        <v>1.0</v>
      </c>
      <c r="E10163" s="3">
        <v>4290.0</v>
      </c>
      <c r="G10163" s="266">
        <v>43859.0</v>
      </c>
    </row>
    <row r="10164">
      <c r="A10164" s="217">
        <v>43913.53887366898</v>
      </c>
      <c r="B10164" s="3" t="s">
        <v>5184</v>
      </c>
      <c r="C10164" s="3" t="s">
        <v>1861</v>
      </c>
      <c r="D10164" s="265">
        <v>1.0</v>
      </c>
      <c r="E10164" s="3">
        <v>6990.0</v>
      </c>
      <c r="G10164" s="266">
        <v>43831.0</v>
      </c>
    </row>
    <row r="10165">
      <c r="A10165" s="217">
        <v>43913.53947912037</v>
      </c>
      <c r="B10165" s="3" t="s">
        <v>5184</v>
      </c>
      <c r="C10165" s="3" t="s">
        <v>1879</v>
      </c>
      <c r="D10165" s="265">
        <v>1.0</v>
      </c>
      <c r="G10165" s="266">
        <v>43831.0</v>
      </c>
    </row>
    <row r="10166">
      <c r="A10166" s="217">
        <v>43913.53998262731</v>
      </c>
      <c r="B10166" s="3" t="s">
        <v>5184</v>
      </c>
      <c r="C10166" s="3" t="s">
        <v>10103</v>
      </c>
      <c r="D10166" s="265">
        <v>2.0</v>
      </c>
      <c r="G10166" s="266">
        <v>43831.0</v>
      </c>
    </row>
    <row r="10167">
      <c r="A10167" s="217">
        <v>43913.54047649306</v>
      </c>
      <c r="B10167" s="3" t="s">
        <v>5184</v>
      </c>
      <c r="C10167" s="3" t="s">
        <v>10808</v>
      </c>
      <c r="D10167" s="265">
        <v>2.0</v>
      </c>
      <c r="G10167" s="266">
        <v>43831.0</v>
      </c>
    </row>
    <row r="10168">
      <c r="A10168" s="217">
        <v>43913.54102912037</v>
      </c>
      <c r="B10168" s="3" t="s">
        <v>5184</v>
      </c>
      <c r="C10168" s="3" t="s">
        <v>1797</v>
      </c>
      <c r="D10168" s="265">
        <v>1.0</v>
      </c>
      <c r="E10168" s="3">
        <v>8990.0</v>
      </c>
      <c r="G10168" s="266">
        <v>43831.0</v>
      </c>
    </row>
    <row r="10169">
      <c r="A10169" s="217">
        <v>43913.541542245366</v>
      </c>
      <c r="B10169" s="3" t="s">
        <v>5184</v>
      </c>
      <c r="C10169" s="3" t="s">
        <v>6302</v>
      </c>
      <c r="D10169" s="265">
        <v>2.0</v>
      </c>
      <c r="E10169" s="3">
        <v>7490.0</v>
      </c>
      <c r="G10169" s="266">
        <v>43832.0</v>
      </c>
    </row>
    <row r="10170">
      <c r="A10170" s="217">
        <v>43913.54198023149</v>
      </c>
      <c r="B10170" s="3" t="s">
        <v>5184</v>
      </c>
      <c r="C10170" s="3" t="s">
        <v>1799</v>
      </c>
      <c r="D10170" s="265">
        <v>2.0</v>
      </c>
      <c r="E10170" s="3">
        <v>6090.0</v>
      </c>
      <c r="G10170" s="266">
        <v>43832.0</v>
      </c>
    </row>
    <row r="10171">
      <c r="A10171" s="217">
        <v>43913.54238208334</v>
      </c>
      <c r="B10171" s="3" t="s">
        <v>5184</v>
      </c>
      <c r="C10171" s="3" t="s">
        <v>6491</v>
      </c>
      <c r="D10171" s="265">
        <v>1.0</v>
      </c>
      <c r="E10171" s="3">
        <v>7190.0</v>
      </c>
      <c r="G10171" s="266">
        <v>43832.0</v>
      </c>
    </row>
    <row r="10172">
      <c r="A10172" s="217">
        <v>43913.542899004635</v>
      </c>
      <c r="B10172" s="3" t="s">
        <v>5184</v>
      </c>
      <c r="C10172" s="3" t="s">
        <v>1811</v>
      </c>
      <c r="D10172" s="265">
        <v>3.0</v>
      </c>
      <c r="E10172" s="3">
        <v>6490.0</v>
      </c>
      <c r="G10172" s="266">
        <v>43832.0</v>
      </c>
    </row>
    <row r="10173">
      <c r="A10173" s="217">
        <v>43913.54333247685</v>
      </c>
      <c r="B10173" s="3" t="s">
        <v>5184</v>
      </c>
      <c r="C10173" s="3" t="s">
        <v>6644</v>
      </c>
      <c r="D10173" s="265">
        <v>1.0</v>
      </c>
      <c r="E10173" s="3">
        <v>6990.0</v>
      </c>
      <c r="G10173" s="266">
        <v>43832.0</v>
      </c>
    </row>
    <row r="10174">
      <c r="A10174" s="217">
        <v>43913.54379494213</v>
      </c>
      <c r="B10174" s="3" t="s">
        <v>5184</v>
      </c>
      <c r="C10174" s="3" t="s">
        <v>10104</v>
      </c>
      <c r="D10174" s="265">
        <v>1.0</v>
      </c>
      <c r="E10174" s="3">
        <v>6490.0</v>
      </c>
      <c r="G10174" s="266">
        <v>43833.0</v>
      </c>
    </row>
    <row r="10175">
      <c r="A10175" s="217">
        <v>43913.54434928241</v>
      </c>
      <c r="B10175" s="3" t="s">
        <v>5184</v>
      </c>
      <c r="C10175" s="3" t="s">
        <v>5883</v>
      </c>
      <c r="D10175" s="265">
        <v>1.0</v>
      </c>
      <c r="E10175" s="3">
        <v>6990.0</v>
      </c>
      <c r="G10175" s="266">
        <v>43833.0</v>
      </c>
    </row>
    <row r="10176">
      <c r="A10176" s="217">
        <v>43913.544764907405</v>
      </c>
      <c r="B10176" s="3" t="s">
        <v>5184</v>
      </c>
      <c r="C10176" s="3" t="s">
        <v>10106</v>
      </c>
      <c r="D10176" s="265">
        <v>1.0</v>
      </c>
      <c r="G10176" s="266">
        <v>43833.0</v>
      </c>
    </row>
    <row r="10177">
      <c r="A10177" s="217">
        <v>43913.54548987269</v>
      </c>
      <c r="B10177" s="3" t="s">
        <v>5184</v>
      </c>
      <c r="C10177" s="3" t="s">
        <v>1857</v>
      </c>
      <c r="D10177" s="265">
        <v>1.0</v>
      </c>
      <c r="E10177" s="3">
        <v>7690.0</v>
      </c>
      <c r="G10177" s="266">
        <v>43833.0</v>
      </c>
    </row>
    <row r="10178">
      <c r="A10178" s="217">
        <v>43913.546150381946</v>
      </c>
      <c r="B10178" s="3" t="s">
        <v>5184</v>
      </c>
      <c r="C10178" s="3" t="s">
        <v>5129</v>
      </c>
      <c r="D10178" s="265">
        <v>1.0</v>
      </c>
      <c r="E10178" s="3">
        <v>4990.0</v>
      </c>
      <c r="G10178" s="266">
        <v>43833.0</v>
      </c>
    </row>
    <row r="10179">
      <c r="A10179" s="217">
        <v>43913.54660543981</v>
      </c>
      <c r="B10179" s="3" t="s">
        <v>5184</v>
      </c>
      <c r="C10179" s="3" t="s">
        <v>10107</v>
      </c>
      <c r="D10179" s="265">
        <v>1.0</v>
      </c>
      <c r="G10179" s="266">
        <v>43833.0</v>
      </c>
    </row>
    <row r="10180">
      <c r="A10180" s="217">
        <v>43913.547006875</v>
      </c>
      <c r="B10180" s="3" t="s">
        <v>5184</v>
      </c>
      <c r="C10180" s="3" t="s">
        <v>10108</v>
      </c>
      <c r="D10180" s="265">
        <v>2.0</v>
      </c>
      <c r="G10180" s="266">
        <v>43833.0</v>
      </c>
    </row>
    <row r="10181">
      <c r="A10181" s="217">
        <v>43913.54748400463</v>
      </c>
      <c r="B10181" s="3" t="s">
        <v>5184</v>
      </c>
      <c r="C10181" s="3" t="s">
        <v>10109</v>
      </c>
      <c r="D10181" s="265">
        <v>1.0</v>
      </c>
      <c r="G10181" s="266">
        <v>43834.0</v>
      </c>
    </row>
    <row r="10182">
      <c r="A10182" s="217">
        <v>43913.54792510417</v>
      </c>
      <c r="B10182" s="3" t="s">
        <v>5184</v>
      </c>
      <c r="C10182" s="3" t="s">
        <v>10111</v>
      </c>
      <c r="D10182" s="265">
        <v>1.0</v>
      </c>
      <c r="G10182" s="266">
        <v>43834.0</v>
      </c>
    </row>
    <row r="10183">
      <c r="A10183" s="217">
        <v>43913.548421053245</v>
      </c>
      <c r="B10183" s="3" t="s">
        <v>5184</v>
      </c>
      <c r="C10183" s="3" t="s">
        <v>7328</v>
      </c>
      <c r="D10183" s="265">
        <v>1.0</v>
      </c>
      <c r="E10183" s="3">
        <v>8490.0</v>
      </c>
      <c r="G10183" s="266">
        <v>43834.0</v>
      </c>
    </row>
    <row r="10184">
      <c r="A10184" s="217">
        <v>43913.5488522338</v>
      </c>
      <c r="B10184" s="3" t="s">
        <v>5184</v>
      </c>
      <c r="C10184" s="3" t="s">
        <v>10112</v>
      </c>
      <c r="D10184" s="265">
        <v>1.0</v>
      </c>
      <c r="E10184" s="3">
        <v>8190.0</v>
      </c>
      <c r="G10184" s="266">
        <v>43834.0</v>
      </c>
    </row>
    <row r="10185">
      <c r="A10185" s="217">
        <v>43913.54967409722</v>
      </c>
      <c r="B10185" s="3" t="s">
        <v>5184</v>
      </c>
      <c r="C10185" s="3" t="s">
        <v>10113</v>
      </c>
      <c r="D10185" s="265">
        <v>1.0</v>
      </c>
      <c r="G10185" s="266">
        <v>43834.0</v>
      </c>
    </row>
    <row r="10186">
      <c r="A10186" s="217">
        <v>43913.55353990741</v>
      </c>
      <c r="B10186" s="3" t="s">
        <v>5184</v>
      </c>
      <c r="C10186" s="3" t="s">
        <v>6195</v>
      </c>
      <c r="D10186" s="265">
        <v>1.0</v>
      </c>
      <c r="E10186" s="3">
        <v>6490.0</v>
      </c>
      <c r="G10186" s="266">
        <v>43834.0</v>
      </c>
    </row>
    <row r="10187">
      <c r="A10187" s="217">
        <v>43913.55392975695</v>
      </c>
      <c r="B10187" s="3" t="s">
        <v>5184</v>
      </c>
      <c r="C10187" s="3" t="s">
        <v>6196</v>
      </c>
      <c r="D10187" s="265">
        <v>1.0</v>
      </c>
      <c r="E10187" s="3">
        <v>7990.0</v>
      </c>
      <c r="G10187" s="266">
        <v>43834.0</v>
      </c>
    </row>
    <row r="10188">
      <c r="A10188" s="217">
        <v>43913.55439664352</v>
      </c>
      <c r="B10188" s="3" t="s">
        <v>5184</v>
      </c>
      <c r="C10188" s="3" t="s">
        <v>1884</v>
      </c>
      <c r="D10188" s="265">
        <v>1.0</v>
      </c>
      <c r="E10188" s="3">
        <v>6290.0</v>
      </c>
      <c r="G10188" s="266">
        <v>43835.0</v>
      </c>
    </row>
    <row r="10189">
      <c r="A10189" s="217">
        <v>43913.554878807874</v>
      </c>
      <c r="B10189" s="3" t="s">
        <v>5184</v>
      </c>
      <c r="C10189" s="3" t="s">
        <v>6207</v>
      </c>
      <c r="D10189" s="265">
        <v>1.0</v>
      </c>
      <c r="E10189" s="3">
        <v>10990.0</v>
      </c>
      <c r="G10189" s="266">
        <v>43835.0</v>
      </c>
    </row>
    <row r="10190">
      <c r="A10190" s="217">
        <v>43913.55535130787</v>
      </c>
      <c r="B10190" s="3" t="s">
        <v>5184</v>
      </c>
      <c r="C10190" s="3" t="s">
        <v>1885</v>
      </c>
      <c r="D10190" s="265">
        <v>1.0</v>
      </c>
      <c r="E10190" s="3">
        <v>6990.0</v>
      </c>
      <c r="G10190" s="266">
        <v>43835.0</v>
      </c>
    </row>
    <row r="10191">
      <c r="A10191" s="217">
        <v>43913.555844710645</v>
      </c>
      <c r="B10191" s="3" t="s">
        <v>5184</v>
      </c>
      <c r="C10191" s="3" t="s">
        <v>5168</v>
      </c>
      <c r="D10191" s="265">
        <v>1.0</v>
      </c>
      <c r="E10191" s="3">
        <v>7990.0</v>
      </c>
      <c r="G10191" s="266">
        <v>43835.0</v>
      </c>
    </row>
    <row r="10192">
      <c r="A10192" s="217">
        <v>43913.55626186343</v>
      </c>
      <c r="B10192" s="3" t="s">
        <v>5184</v>
      </c>
      <c r="C10192" s="3" t="s">
        <v>10130</v>
      </c>
      <c r="D10192" s="265">
        <v>1.0</v>
      </c>
      <c r="E10192" s="3">
        <v>11490.0</v>
      </c>
      <c r="G10192" s="266">
        <v>43835.0</v>
      </c>
    </row>
    <row r="10193">
      <c r="A10193" s="217">
        <v>43913.55663640046</v>
      </c>
      <c r="B10193" s="3" t="s">
        <v>5184</v>
      </c>
      <c r="C10193" s="3" t="s">
        <v>5169</v>
      </c>
      <c r="D10193" s="265">
        <v>1.0</v>
      </c>
      <c r="E10193" s="3">
        <v>4490.0</v>
      </c>
      <c r="G10193" s="266">
        <v>43835.0</v>
      </c>
    </row>
    <row r="10194">
      <c r="A10194" s="217">
        <v>43913.55834043981</v>
      </c>
      <c r="B10194" s="3" t="s">
        <v>5184</v>
      </c>
      <c r="C10194" s="3" t="s">
        <v>5186</v>
      </c>
      <c r="D10194" s="265">
        <v>2.0</v>
      </c>
      <c r="E10194" s="3">
        <v>4490.0</v>
      </c>
      <c r="G10194" s="266">
        <v>43835.0</v>
      </c>
    </row>
    <row r="10195">
      <c r="A10195" s="217">
        <v>43913.558754756945</v>
      </c>
      <c r="B10195" s="3" t="s">
        <v>5184</v>
      </c>
      <c r="C10195" s="3" t="s">
        <v>5189</v>
      </c>
      <c r="D10195" s="265">
        <v>1.0</v>
      </c>
      <c r="E10195" s="3">
        <v>6990.0</v>
      </c>
      <c r="G10195" s="266">
        <v>43835.0</v>
      </c>
    </row>
    <row r="10196">
      <c r="A10196" s="217">
        <v>43913.559229618055</v>
      </c>
      <c r="B10196" s="3" t="s">
        <v>5184</v>
      </c>
      <c r="C10196" s="3" t="s">
        <v>6198</v>
      </c>
      <c r="D10196" s="265">
        <v>1.0</v>
      </c>
      <c r="E10196" s="3">
        <v>8190.0</v>
      </c>
      <c r="G10196" s="266">
        <v>43836.0</v>
      </c>
    </row>
    <row r="10197">
      <c r="A10197" s="217">
        <v>43913.5595889699</v>
      </c>
      <c r="B10197" s="3" t="s">
        <v>5184</v>
      </c>
      <c r="C10197" s="3" t="s">
        <v>6199</v>
      </c>
      <c r="D10197" s="265">
        <v>1.0</v>
      </c>
      <c r="E10197" s="3">
        <v>7490.0</v>
      </c>
      <c r="G10197" s="266">
        <v>43836.0</v>
      </c>
    </row>
    <row r="10198">
      <c r="A10198" s="217">
        <v>43913.56016678241</v>
      </c>
      <c r="B10198" s="3" t="s">
        <v>5184</v>
      </c>
      <c r="C10198" s="3" t="s">
        <v>10115</v>
      </c>
      <c r="D10198" s="265">
        <v>1.0</v>
      </c>
      <c r="E10198" s="3">
        <v>8190.0</v>
      </c>
      <c r="G10198" s="266">
        <v>43836.0</v>
      </c>
    </row>
    <row r="10199">
      <c r="A10199" s="217">
        <v>43913.56057239583</v>
      </c>
      <c r="B10199" s="3" t="s">
        <v>5184</v>
      </c>
      <c r="C10199" s="3" t="s">
        <v>1869</v>
      </c>
      <c r="D10199" s="265">
        <v>1.0</v>
      </c>
      <c r="G10199" s="266">
        <v>43836.0</v>
      </c>
    </row>
    <row r="10200">
      <c r="A10200" s="217">
        <v>43913.56094105324</v>
      </c>
      <c r="B10200" s="3" t="s">
        <v>5184</v>
      </c>
      <c r="C10200" s="3" t="s">
        <v>1872</v>
      </c>
      <c r="D10200" s="265">
        <v>1.0</v>
      </c>
      <c r="G10200" s="266">
        <v>43836.0</v>
      </c>
    </row>
    <row r="10201">
      <c r="A10201" s="217">
        <v>43913.561303703704</v>
      </c>
      <c r="B10201" s="3" t="s">
        <v>5184</v>
      </c>
      <c r="C10201" s="3" t="s">
        <v>10116</v>
      </c>
      <c r="D10201" s="265">
        <v>1.0</v>
      </c>
      <c r="E10201" s="3">
        <v>7990.0</v>
      </c>
      <c r="G10201" s="266">
        <v>43836.0</v>
      </c>
    </row>
    <row r="10202">
      <c r="A10202" s="217">
        <v>43913.56167581018</v>
      </c>
      <c r="B10202" s="3" t="s">
        <v>5184</v>
      </c>
      <c r="C10202" s="3" t="s">
        <v>1873</v>
      </c>
      <c r="D10202" s="265">
        <v>1.0</v>
      </c>
      <c r="G10202" s="266">
        <v>43836.0</v>
      </c>
    </row>
    <row r="10203">
      <c r="A10203" s="217">
        <v>43913.562070810185</v>
      </c>
      <c r="B10203" s="3" t="s">
        <v>5184</v>
      </c>
      <c r="C10203" s="3" t="s">
        <v>6494</v>
      </c>
      <c r="D10203" s="265">
        <v>1.0</v>
      </c>
      <c r="E10203" s="3">
        <v>6490.0</v>
      </c>
      <c r="G10203" s="266">
        <v>43836.0</v>
      </c>
    </row>
    <row r="10204">
      <c r="A10204" s="217">
        <v>43913.562445578704</v>
      </c>
      <c r="B10204" s="3" t="s">
        <v>5184</v>
      </c>
      <c r="C10204" s="3" t="s">
        <v>10120</v>
      </c>
      <c r="D10204" s="265">
        <v>3.0</v>
      </c>
      <c r="E10204" s="3">
        <v>6990.0</v>
      </c>
      <c r="G10204" s="266">
        <v>43837.0</v>
      </c>
    </row>
    <row r="10205">
      <c r="A10205" s="217">
        <v>43913.5628265625</v>
      </c>
      <c r="B10205" s="3" t="s">
        <v>5184</v>
      </c>
      <c r="C10205" s="3" t="s">
        <v>7209</v>
      </c>
      <c r="D10205" s="265">
        <v>1.0</v>
      </c>
      <c r="G10205" s="266">
        <v>43837.0</v>
      </c>
    </row>
    <row r="10206">
      <c r="A10206" s="217">
        <v>43913.56343010417</v>
      </c>
      <c r="B10206" s="3" t="s">
        <v>5184</v>
      </c>
      <c r="C10206" s="3" t="s">
        <v>5156</v>
      </c>
      <c r="D10206" s="265">
        <v>2.0</v>
      </c>
      <c r="E10206" s="3">
        <v>6990.0</v>
      </c>
      <c r="G10206" s="266">
        <v>43837.0</v>
      </c>
    </row>
    <row r="10207">
      <c r="A10207" s="217">
        <v>43913.56387769676</v>
      </c>
      <c r="B10207" s="3" t="s">
        <v>5184</v>
      </c>
      <c r="C10207" s="3" t="s">
        <v>5154</v>
      </c>
      <c r="D10207" s="265">
        <v>1.0</v>
      </c>
      <c r="E10207" s="3">
        <v>7790.0</v>
      </c>
      <c r="G10207" s="266">
        <v>43837.0</v>
      </c>
    </row>
    <row r="10208">
      <c r="A10208" s="217">
        <v>43913.56438256944</v>
      </c>
      <c r="B10208" s="3" t="s">
        <v>5184</v>
      </c>
      <c r="C10208" s="3" t="s">
        <v>10122</v>
      </c>
      <c r="D10208" s="265">
        <v>1.0</v>
      </c>
      <c r="G10208" s="266">
        <v>43837.0</v>
      </c>
    </row>
    <row r="10209">
      <c r="A10209" s="217">
        <v>43913.56484726851</v>
      </c>
      <c r="B10209" s="3" t="s">
        <v>5184</v>
      </c>
      <c r="C10209" s="3" t="s">
        <v>10815</v>
      </c>
      <c r="D10209" s="265">
        <v>1.0</v>
      </c>
      <c r="G10209" s="266">
        <v>43837.0</v>
      </c>
    </row>
    <row r="10210">
      <c r="A10210" s="217">
        <v>43913.56526017361</v>
      </c>
      <c r="B10210" s="3" t="s">
        <v>5184</v>
      </c>
      <c r="C10210" s="3" t="s">
        <v>1880</v>
      </c>
      <c r="D10210" s="265">
        <v>4.0</v>
      </c>
      <c r="E10210" s="3">
        <v>7790.0</v>
      </c>
      <c r="G10210" s="266">
        <v>43838.0</v>
      </c>
    </row>
    <row r="10211">
      <c r="A10211" s="217">
        <v>43913.565649826385</v>
      </c>
      <c r="B10211" s="3" t="s">
        <v>5184</v>
      </c>
      <c r="C10211" s="3" t="s">
        <v>1882</v>
      </c>
      <c r="D10211" s="265">
        <v>2.0</v>
      </c>
      <c r="E10211" s="3">
        <v>8590.0</v>
      </c>
      <c r="G10211" s="266">
        <v>43838.0</v>
      </c>
    </row>
    <row r="10212">
      <c r="A10212" s="217">
        <v>43913.56610887732</v>
      </c>
      <c r="B10212" s="3" t="s">
        <v>5184</v>
      </c>
      <c r="C10212" s="3" t="s">
        <v>1883</v>
      </c>
      <c r="D10212" s="265">
        <v>1.0</v>
      </c>
      <c r="E10212" s="3">
        <v>6990.0</v>
      </c>
      <c r="G10212" s="266">
        <v>43838.0</v>
      </c>
    </row>
    <row r="10213">
      <c r="A10213" s="217">
        <v>43913.569249594904</v>
      </c>
      <c r="B10213" s="3" t="s">
        <v>5184</v>
      </c>
      <c r="C10213" s="3" t="s">
        <v>10119</v>
      </c>
      <c r="D10213" s="265">
        <v>1.0</v>
      </c>
      <c r="E10213" s="3">
        <v>7490.0</v>
      </c>
      <c r="G10213" s="266">
        <v>43838.0</v>
      </c>
    </row>
    <row r="10214">
      <c r="A10214" s="217">
        <v>43913.5696203125</v>
      </c>
      <c r="B10214" s="3" t="s">
        <v>5184</v>
      </c>
      <c r="C10214" s="3" t="s">
        <v>8413</v>
      </c>
      <c r="D10214" s="265">
        <v>1.0</v>
      </c>
      <c r="E10214" s="3">
        <v>5390.0</v>
      </c>
      <c r="G10214" s="266">
        <v>43840.0</v>
      </c>
    </row>
    <row r="10215">
      <c r="A10215" s="217">
        <v>43913.570023865745</v>
      </c>
      <c r="B10215" s="3" t="s">
        <v>5184</v>
      </c>
      <c r="C10215" s="3" t="s">
        <v>1878</v>
      </c>
      <c r="D10215" s="265">
        <v>2.0</v>
      </c>
      <c r="E10215" s="3">
        <v>8290.0</v>
      </c>
      <c r="G10215" s="266">
        <v>43840.0</v>
      </c>
    </row>
    <row r="10216">
      <c r="A10216" s="217">
        <v>43913.570516921296</v>
      </c>
      <c r="B10216" s="3" t="s">
        <v>5184</v>
      </c>
      <c r="C10216" s="3" t="s">
        <v>6667</v>
      </c>
      <c r="D10216" s="265">
        <v>1.0</v>
      </c>
      <c r="E10216" s="3">
        <v>8290.0</v>
      </c>
      <c r="G10216" s="266">
        <v>43840.0</v>
      </c>
    </row>
    <row r="10217">
      <c r="A10217" s="217">
        <v>43913.570875324076</v>
      </c>
      <c r="B10217" s="3" t="s">
        <v>5184</v>
      </c>
      <c r="C10217" s="3" t="s">
        <v>6668</v>
      </c>
      <c r="D10217" s="265">
        <v>1.0</v>
      </c>
      <c r="E10217" s="3">
        <v>8790.0</v>
      </c>
      <c r="G10217" s="266">
        <v>43840.0</v>
      </c>
    </row>
    <row r="10218">
      <c r="A10218" s="217">
        <v>43913.57124939815</v>
      </c>
      <c r="B10218" s="3" t="s">
        <v>5184</v>
      </c>
      <c r="C10218" s="3" t="s">
        <v>6669</v>
      </c>
      <c r="D10218" s="265">
        <v>1.0</v>
      </c>
      <c r="E10218" s="3">
        <v>8790.0</v>
      </c>
      <c r="G10218" s="266">
        <v>43840.0</v>
      </c>
    </row>
    <row r="10219">
      <c r="A10219" s="217">
        <v>43913.57160905092</v>
      </c>
      <c r="B10219" s="3" t="s">
        <v>5184</v>
      </c>
      <c r="C10219" s="3" t="s">
        <v>10117</v>
      </c>
      <c r="D10219" s="265">
        <v>1.0</v>
      </c>
      <c r="E10219" s="3">
        <v>7790.0</v>
      </c>
      <c r="G10219" s="266">
        <v>43840.0</v>
      </c>
    </row>
    <row r="10220">
      <c r="A10220" s="217">
        <v>43913.5720628125</v>
      </c>
      <c r="B10220" s="3" t="s">
        <v>5184</v>
      </c>
      <c r="C10220" s="3" t="s">
        <v>10124</v>
      </c>
      <c r="D10220" s="265">
        <v>1.0</v>
      </c>
      <c r="E10220" s="3">
        <v>5790.0</v>
      </c>
      <c r="G10220" s="266">
        <v>43841.0</v>
      </c>
    </row>
    <row r="10221">
      <c r="A10221" s="217">
        <v>43913.57246329861</v>
      </c>
      <c r="B10221" s="3" t="s">
        <v>5184</v>
      </c>
      <c r="C10221" s="3" t="s">
        <v>6675</v>
      </c>
      <c r="D10221" s="265">
        <v>1.0</v>
      </c>
      <c r="E10221" s="3">
        <v>7990.0</v>
      </c>
      <c r="G10221" s="266">
        <v>43841.0</v>
      </c>
    </row>
    <row r="10222">
      <c r="A10222" s="217">
        <v>43913.572854467595</v>
      </c>
      <c r="B10222" s="3" t="s">
        <v>5184</v>
      </c>
      <c r="C10222" s="3" t="s">
        <v>6674</v>
      </c>
      <c r="D10222" s="265">
        <v>1.0</v>
      </c>
      <c r="E10222" s="3">
        <v>6490.0</v>
      </c>
      <c r="G10222" s="266">
        <v>43841.0</v>
      </c>
    </row>
    <row r="10223">
      <c r="A10223" s="217">
        <v>43913.57322364583</v>
      </c>
      <c r="B10223" s="3" t="s">
        <v>5184</v>
      </c>
      <c r="C10223" s="3" t="s">
        <v>10126</v>
      </c>
      <c r="D10223" s="265">
        <v>2.0</v>
      </c>
      <c r="E10223" s="3">
        <v>6990.0</v>
      </c>
      <c r="G10223" s="266">
        <v>43841.0</v>
      </c>
    </row>
    <row r="10224">
      <c r="A10224" s="217">
        <v>43913.57359560185</v>
      </c>
      <c r="B10224" s="3" t="s">
        <v>5184</v>
      </c>
      <c r="C10224" s="3" t="s">
        <v>10127</v>
      </c>
      <c r="D10224" s="265">
        <v>1.0</v>
      </c>
      <c r="E10224" s="3">
        <v>7590.0</v>
      </c>
      <c r="G10224" s="266">
        <v>43841.0</v>
      </c>
    </row>
    <row r="10225">
      <c r="A10225" s="217">
        <v>43913.57461255787</v>
      </c>
      <c r="B10225" s="3" t="s">
        <v>5184</v>
      </c>
      <c r="C10225" s="3" t="s">
        <v>10128</v>
      </c>
      <c r="D10225" s="265">
        <v>1.0</v>
      </c>
      <c r="G10225" s="266">
        <v>43841.0</v>
      </c>
    </row>
    <row r="10226">
      <c r="A10226" s="217">
        <v>43913.57498677084</v>
      </c>
      <c r="B10226" s="3" t="s">
        <v>5184</v>
      </c>
      <c r="C10226" s="3" t="s">
        <v>6591</v>
      </c>
      <c r="D10226" s="265">
        <v>1.0</v>
      </c>
      <c r="E10226" s="3">
        <v>7590.0</v>
      </c>
      <c r="G10226" s="266">
        <v>43841.0</v>
      </c>
    </row>
    <row r="10227">
      <c r="A10227" s="217">
        <v>43913.575527719906</v>
      </c>
      <c r="B10227" s="3" t="s">
        <v>5184</v>
      </c>
      <c r="C10227" s="3" t="s">
        <v>6204</v>
      </c>
      <c r="D10227" s="265">
        <v>1.0</v>
      </c>
      <c r="E10227" s="3">
        <v>6290.0</v>
      </c>
      <c r="G10227" s="266">
        <v>43841.0</v>
      </c>
    </row>
    <row r="10228">
      <c r="A10228" s="217">
        <v>43913.57591930556</v>
      </c>
      <c r="B10228" s="3" t="s">
        <v>5184</v>
      </c>
      <c r="C10228" s="3" t="s">
        <v>1887</v>
      </c>
      <c r="D10228" s="265">
        <v>4.0</v>
      </c>
      <c r="E10228" s="3">
        <v>5290.0</v>
      </c>
      <c r="G10228" s="266">
        <v>43842.0</v>
      </c>
    </row>
    <row r="10229">
      <c r="A10229" s="217">
        <v>43913.57628171296</v>
      </c>
      <c r="B10229" s="3" t="s">
        <v>5184</v>
      </c>
      <c r="C10229" s="3" t="s">
        <v>10132</v>
      </c>
      <c r="D10229" s="265">
        <v>1.0</v>
      </c>
      <c r="G10229" s="266">
        <v>43842.0</v>
      </c>
    </row>
    <row r="10230">
      <c r="A10230" s="217">
        <v>43913.57666278935</v>
      </c>
      <c r="B10230" s="3" t="s">
        <v>5184</v>
      </c>
      <c r="C10230" s="3" t="s">
        <v>6209</v>
      </c>
      <c r="D10230" s="265">
        <v>1.0</v>
      </c>
      <c r="E10230" s="3">
        <v>7490.0</v>
      </c>
      <c r="G10230" s="266">
        <v>43842.0</v>
      </c>
    </row>
    <row r="10231">
      <c r="A10231" s="217">
        <v>43913.57715305555</v>
      </c>
      <c r="B10231" s="3" t="s">
        <v>5184</v>
      </c>
      <c r="C10231" s="3" t="s">
        <v>1888</v>
      </c>
      <c r="D10231" s="265">
        <v>1.0</v>
      </c>
      <c r="E10231" s="3">
        <v>9690.0</v>
      </c>
      <c r="G10231" s="266">
        <v>43842.0</v>
      </c>
    </row>
    <row r="10232">
      <c r="A10232" s="217">
        <v>43913.57754648148</v>
      </c>
      <c r="B10232" s="3" t="s">
        <v>5184</v>
      </c>
      <c r="C10232" s="3" t="s">
        <v>1891</v>
      </c>
      <c r="D10232" s="265">
        <v>1.0</v>
      </c>
      <c r="G10232" s="266">
        <v>43842.0</v>
      </c>
    </row>
    <row r="10233">
      <c r="A10233" s="217">
        <v>43913.577949074075</v>
      </c>
      <c r="B10233" s="3" t="s">
        <v>5184</v>
      </c>
      <c r="C10233" s="3" t="s">
        <v>10133</v>
      </c>
      <c r="D10233" s="265">
        <v>1.0</v>
      </c>
      <c r="E10233" s="3">
        <v>10090.0</v>
      </c>
      <c r="G10233" s="266">
        <v>43842.0</v>
      </c>
    </row>
    <row r="10234">
      <c r="A10234" s="217">
        <v>43913.578530520834</v>
      </c>
      <c r="B10234" s="3" t="s">
        <v>5184</v>
      </c>
      <c r="C10234" s="3" t="s">
        <v>1792</v>
      </c>
      <c r="D10234" s="265">
        <v>1.0</v>
      </c>
      <c r="E10234" s="3">
        <v>7690.0</v>
      </c>
      <c r="G10234" s="266">
        <v>43843.0</v>
      </c>
    </row>
    <row r="10235">
      <c r="A10235" s="217">
        <v>43913.57893908565</v>
      </c>
      <c r="B10235" s="3" t="s">
        <v>5184</v>
      </c>
      <c r="C10235" s="3" t="s">
        <v>1804</v>
      </c>
      <c r="D10235" s="265">
        <v>1.0</v>
      </c>
      <c r="E10235" s="3">
        <v>9490.0</v>
      </c>
      <c r="G10235" s="266">
        <v>43843.0</v>
      </c>
    </row>
    <row r="10236">
      <c r="A10236" s="217">
        <v>43913.57931597222</v>
      </c>
      <c r="B10236" s="3" t="s">
        <v>5184</v>
      </c>
      <c r="C10236" s="3" t="s">
        <v>5102</v>
      </c>
      <c r="D10236" s="265">
        <v>1.0</v>
      </c>
      <c r="E10236" s="3">
        <v>8890.0</v>
      </c>
      <c r="G10236" s="266">
        <v>43843.0</v>
      </c>
    </row>
    <row r="10237">
      <c r="A10237" s="217">
        <v>43913.57977325231</v>
      </c>
      <c r="B10237" s="3" t="s">
        <v>5184</v>
      </c>
      <c r="C10237" s="3" t="s">
        <v>1815</v>
      </c>
      <c r="D10237" s="265">
        <v>1.0</v>
      </c>
      <c r="E10237" s="3">
        <v>8890.0</v>
      </c>
      <c r="G10237" s="266">
        <v>43843.0</v>
      </c>
    </row>
    <row r="10238">
      <c r="A10238" s="217">
        <v>43913.58017597222</v>
      </c>
      <c r="B10238" s="3" t="s">
        <v>5184</v>
      </c>
      <c r="C10238" s="3" t="s">
        <v>1843</v>
      </c>
      <c r="D10238" s="265">
        <v>1.0</v>
      </c>
      <c r="E10238" s="3">
        <v>8890.0</v>
      </c>
      <c r="G10238" s="266">
        <v>43843.0</v>
      </c>
    </row>
    <row r="10239">
      <c r="A10239" s="217">
        <v>43913.580589502315</v>
      </c>
      <c r="B10239" s="3" t="s">
        <v>5184</v>
      </c>
      <c r="C10239" s="3" t="s">
        <v>1795</v>
      </c>
      <c r="D10239" s="265">
        <v>2.0</v>
      </c>
      <c r="E10239" s="3">
        <v>8290.0</v>
      </c>
      <c r="G10239" s="266">
        <v>43843.0</v>
      </c>
    </row>
    <row r="10240">
      <c r="A10240" s="217">
        <v>43913.58102078704</v>
      </c>
      <c r="B10240" s="3" t="s">
        <v>5184</v>
      </c>
      <c r="C10240" s="3" t="s">
        <v>6641</v>
      </c>
      <c r="D10240" s="265">
        <v>4.0</v>
      </c>
      <c r="E10240" s="3">
        <v>8390.0</v>
      </c>
      <c r="G10240" s="266">
        <v>43845.0</v>
      </c>
    </row>
    <row r="10241">
      <c r="A10241" s="217">
        <v>43913.58144949074</v>
      </c>
      <c r="B10241" s="3" t="s">
        <v>5184</v>
      </c>
      <c r="C10241" s="3" t="s">
        <v>1846</v>
      </c>
      <c r="D10241" s="265">
        <v>2.0</v>
      </c>
      <c r="E10241" s="3">
        <v>8890.0</v>
      </c>
      <c r="G10241" s="266">
        <v>43845.0</v>
      </c>
    </row>
    <row r="10242">
      <c r="A10242" s="217">
        <v>43913.58450512731</v>
      </c>
      <c r="B10242" s="3" t="s">
        <v>5184</v>
      </c>
      <c r="C10242" s="3" t="s">
        <v>5130</v>
      </c>
      <c r="D10242" s="265">
        <v>1.0</v>
      </c>
      <c r="E10242" s="3">
        <v>7590.0</v>
      </c>
      <c r="G10242" s="266">
        <v>43845.0</v>
      </c>
    </row>
    <row r="10243">
      <c r="A10243" s="217">
        <v>43913.58490739584</v>
      </c>
      <c r="B10243" s="3" t="s">
        <v>5184</v>
      </c>
      <c r="C10243" s="3" t="s">
        <v>1892</v>
      </c>
      <c r="D10243" s="265">
        <v>1.0</v>
      </c>
      <c r="E10243" s="3">
        <v>5790.0</v>
      </c>
      <c r="G10243" s="266">
        <v>43845.0</v>
      </c>
    </row>
    <row r="10244">
      <c r="A10244" s="217">
        <v>43913.58531601852</v>
      </c>
      <c r="B10244" s="3" t="s">
        <v>5184</v>
      </c>
      <c r="C10244" s="3" t="s">
        <v>5106</v>
      </c>
      <c r="D10244" s="265">
        <v>1.0</v>
      </c>
      <c r="E10244" s="3">
        <v>8890.0</v>
      </c>
      <c r="G10244" s="266">
        <v>43845.0</v>
      </c>
    </row>
    <row r="10245">
      <c r="A10245" s="217">
        <v>43913.58573826389</v>
      </c>
      <c r="B10245" s="3" t="s">
        <v>5184</v>
      </c>
      <c r="C10245" s="3" t="s">
        <v>9337</v>
      </c>
      <c r="D10245" s="265">
        <v>2.0</v>
      </c>
      <c r="E10245" s="3">
        <v>8890.0</v>
      </c>
      <c r="G10245" s="266">
        <v>43846.0</v>
      </c>
    </row>
    <row r="10246">
      <c r="A10246" s="217">
        <v>43913.58614943287</v>
      </c>
      <c r="B10246" s="3" t="s">
        <v>5184</v>
      </c>
      <c r="C10246" s="3" t="s">
        <v>5136</v>
      </c>
      <c r="D10246" s="265">
        <v>2.0</v>
      </c>
      <c r="E10246" s="3">
        <v>9490.0</v>
      </c>
      <c r="G10246" s="266">
        <v>43846.0</v>
      </c>
    </row>
    <row r="10247">
      <c r="A10247" s="217">
        <v>43913.58652283565</v>
      </c>
      <c r="B10247" s="3" t="s">
        <v>5184</v>
      </c>
      <c r="C10247" s="3" t="s">
        <v>1822</v>
      </c>
      <c r="D10247" s="265">
        <v>1.0</v>
      </c>
      <c r="E10247" s="3">
        <v>8890.0</v>
      </c>
      <c r="G10247" s="266">
        <v>43846.0</v>
      </c>
    </row>
    <row r="10248">
      <c r="A10248" s="217">
        <v>43913.58692665509</v>
      </c>
      <c r="B10248" s="3" t="s">
        <v>5184</v>
      </c>
      <c r="C10248" s="3" t="s">
        <v>1824</v>
      </c>
      <c r="D10248" s="265">
        <v>3.0</v>
      </c>
      <c r="E10248" s="3">
        <v>8890.0</v>
      </c>
      <c r="G10248" s="266">
        <v>43846.0</v>
      </c>
    </row>
    <row r="10249">
      <c r="A10249" s="217">
        <v>43913.58731320602</v>
      </c>
      <c r="B10249" s="3" t="s">
        <v>5184</v>
      </c>
      <c r="C10249" s="3" t="s">
        <v>10153</v>
      </c>
      <c r="D10249" s="265">
        <v>1.0</v>
      </c>
      <c r="E10249" s="3">
        <v>7790.0</v>
      </c>
      <c r="G10249" s="266">
        <v>43847.0</v>
      </c>
    </row>
    <row r="10250">
      <c r="A10250" s="217">
        <v>43913.58869063658</v>
      </c>
      <c r="B10250" s="3" t="s">
        <v>5184</v>
      </c>
      <c r="C10250" s="3" t="s">
        <v>10154</v>
      </c>
      <c r="D10250" s="265">
        <v>1.0</v>
      </c>
      <c r="E10250" s="3">
        <v>8290.0</v>
      </c>
      <c r="G10250" s="266">
        <v>43847.0</v>
      </c>
    </row>
    <row r="10251">
      <c r="A10251" s="217">
        <v>43913.58908469907</v>
      </c>
      <c r="B10251" s="3" t="s">
        <v>5184</v>
      </c>
      <c r="C10251" s="3" t="s">
        <v>1792</v>
      </c>
      <c r="D10251" s="265">
        <v>1.0</v>
      </c>
      <c r="E10251" s="3">
        <v>7690.0</v>
      </c>
      <c r="G10251" s="266">
        <v>43847.0</v>
      </c>
    </row>
    <row r="10252">
      <c r="A10252" s="217">
        <v>43913.5894916088</v>
      </c>
      <c r="B10252" s="3" t="s">
        <v>5184</v>
      </c>
      <c r="C10252" s="3" t="s">
        <v>5102</v>
      </c>
      <c r="D10252" s="265">
        <v>1.0</v>
      </c>
      <c r="E10252" s="3">
        <v>8890.0</v>
      </c>
      <c r="G10252" s="266">
        <v>43847.0</v>
      </c>
    </row>
    <row r="10253">
      <c r="A10253" s="217">
        <v>43913.58993909722</v>
      </c>
      <c r="B10253" s="3" t="s">
        <v>5184</v>
      </c>
      <c r="C10253" s="3" t="s">
        <v>10155</v>
      </c>
      <c r="D10253" s="265">
        <v>1.0</v>
      </c>
      <c r="E10253" s="3">
        <v>8290.0</v>
      </c>
      <c r="G10253" s="266">
        <v>43848.0</v>
      </c>
    </row>
    <row r="10254">
      <c r="A10254" s="217">
        <v>43913.590347997684</v>
      </c>
      <c r="B10254" s="3" t="s">
        <v>5184</v>
      </c>
      <c r="C10254" s="3" t="s">
        <v>1795</v>
      </c>
      <c r="D10254" s="265">
        <v>1.0</v>
      </c>
      <c r="E10254" s="3">
        <v>8290.0</v>
      </c>
      <c r="G10254" s="266">
        <v>43848.0</v>
      </c>
    </row>
    <row r="10255">
      <c r="A10255" s="217">
        <v>43913.59087114583</v>
      </c>
      <c r="B10255" s="3" t="s">
        <v>5184</v>
      </c>
      <c r="C10255" s="3" t="s">
        <v>10157</v>
      </c>
      <c r="D10255" s="265">
        <v>1.0</v>
      </c>
      <c r="E10255" s="3">
        <v>10090.0</v>
      </c>
      <c r="G10255" s="266">
        <v>43848.0</v>
      </c>
    </row>
    <row r="10256">
      <c r="A10256" s="217">
        <v>43913.5928969213</v>
      </c>
      <c r="B10256" s="3" t="s">
        <v>5184</v>
      </c>
      <c r="C10256" s="3" t="s">
        <v>6181</v>
      </c>
      <c r="D10256" s="265">
        <v>1.0</v>
      </c>
      <c r="E10256" s="3">
        <v>7690.0</v>
      </c>
      <c r="G10256" s="266">
        <v>43848.0</v>
      </c>
    </row>
    <row r="10257">
      <c r="A10257" s="217">
        <v>43913.593606979164</v>
      </c>
      <c r="B10257" s="3" t="s">
        <v>5184</v>
      </c>
      <c r="C10257" s="3" t="s">
        <v>10133</v>
      </c>
      <c r="D10257" s="265">
        <v>1.0</v>
      </c>
      <c r="E10257" s="3">
        <v>10090.0</v>
      </c>
      <c r="G10257" s="266">
        <v>43848.0</v>
      </c>
    </row>
    <row r="10258">
      <c r="A10258" s="217">
        <v>43913.59407380787</v>
      </c>
      <c r="B10258" s="3" t="s">
        <v>5184</v>
      </c>
      <c r="C10258" s="3" t="s">
        <v>1803</v>
      </c>
      <c r="D10258" s="265">
        <v>1.0</v>
      </c>
      <c r="E10258" s="3">
        <v>8290.0</v>
      </c>
      <c r="G10258" s="266">
        <v>43848.0</v>
      </c>
    </row>
    <row r="10259">
      <c r="A10259" s="217">
        <v>43913.59448267361</v>
      </c>
      <c r="B10259" s="3" t="s">
        <v>5184</v>
      </c>
      <c r="C10259" s="3" t="s">
        <v>1804</v>
      </c>
      <c r="D10259" s="265">
        <v>1.0</v>
      </c>
      <c r="E10259" s="3">
        <v>9490.0</v>
      </c>
      <c r="G10259" s="266">
        <v>43848.0</v>
      </c>
    </row>
    <row r="10260">
      <c r="A10260" s="217">
        <v>43913.59492297454</v>
      </c>
      <c r="B10260" s="3" t="s">
        <v>5184</v>
      </c>
      <c r="C10260" s="3" t="s">
        <v>1815</v>
      </c>
      <c r="D10260" s="265">
        <v>1.0</v>
      </c>
      <c r="E10260" s="3">
        <v>8890.0</v>
      </c>
      <c r="G10260" s="266">
        <v>43848.0</v>
      </c>
    </row>
    <row r="10261">
      <c r="A10261" s="217">
        <v>43913.595342071756</v>
      </c>
      <c r="B10261" s="3" t="s">
        <v>5184</v>
      </c>
      <c r="C10261" s="3" t="s">
        <v>6641</v>
      </c>
      <c r="D10261" s="265">
        <v>1.0</v>
      </c>
      <c r="E10261" s="3">
        <v>8390.0</v>
      </c>
      <c r="G10261" s="266">
        <v>43849.0</v>
      </c>
    </row>
    <row r="10262">
      <c r="A10262" s="217">
        <v>43913.595768263884</v>
      </c>
      <c r="B10262" s="3" t="s">
        <v>5184</v>
      </c>
      <c r="C10262" s="3" t="s">
        <v>1813</v>
      </c>
      <c r="D10262" s="265">
        <v>8.0</v>
      </c>
      <c r="E10262" s="3">
        <v>8890.0</v>
      </c>
      <c r="G10262" s="266">
        <v>43849.0</v>
      </c>
    </row>
    <row r="10263">
      <c r="A10263" s="217">
        <v>43913.59614155092</v>
      </c>
      <c r="B10263" s="3" t="s">
        <v>5184</v>
      </c>
      <c r="C10263" s="3" t="s">
        <v>5103</v>
      </c>
      <c r="D10263" s="265">
        <v>1.0</v>
      </c>
      <c r="E10263" s="3">
        <v>8190.0</v>
      </c>
      <c r="G10263" s="266">
        <v>43849.0</v>
      </c>
    </row>
    <row r="10264">
      <c r="A10264" s="217">
        <v>43913.59664241898</v>
      </c>
      <c r="B10264" s="3" t="s">
        <v>5184</v>
      </c>
      <c r="C10264" s="3" t="s">
        <v>9707</v>
      </c>
      <c r="D10264" s="265">
        <v>2.0</v>
      </c>
      <c r="E10264" s="3">
        <v>3790.0</v>
      </c>
      <c r="G10264" s="266">
        <v>43857.0</v>
      </c>
    </row>
    <row r="10265">
      <c r="A10265" s="217">
        <v>43913.5971305787</v>
      </c>
      <c r="B10265" s="3" t="s">
        <v>5184</v>
      </c>
      <c r="C10265" s="3" t="s">
        <v>2128</v>
      </c>
      <c r="D10265" s="265">
        <v>1.0</v>
      </c>
      <c r="E10265" s="3">
        <v>4990.0</v>
      </c>
      <c r="G10265" s="266">
        <v>43857.0</v>
      </c>
    </row>
    <row r="10266">
      <c r="A10266" s="217">
        <v>43913.59753466435</v>
      </c>
      <c r="B10266" s="3" t="s">
        <v>5184</v>
      </c>
      <c r="C10266" s="3" t="s">
        <v>2104</v>
      </c>
      <c r="D10266" s="265">
        <v>1.0</v>
      </c>
      <c r="E10266" s="3">
        <v>4590.0</v>
      </c>
      <c r="G10266" s="266">
        <v>43857.0</v>
      </c>
    </row>
    <row r="10267">
      <c r="A10267" s="217">
        <v>43913.59791008102</v>
      </c>
      <c r="B10267" s="3" t="s">
        <v>5184</v>
      </c>
      <c r="C10267" s="3" t="s">
        <v>2105</v>
      </c>
      <c r="D10267" s="265">
        <v>1.0</v>
      </c>
      <c r="E10267" s="3">
        <v>3990.0</v>
      </c>
      <c r="G10267" s="266">
        <v>43857.0</v>
      </c>
    </row>
    <row r="10268">
      <c r="A10268" s="217">
        <v>43913.59836480324</v>
      </c>
      <c r="B10268" s="3" t="s">
        <v>5184</v>
      </c>
      <c r="C10268" s="3" t="s">
        <v>6946</v>
      </c>
      <c r="D10268" s="265">
        <v>1.0</v>
      </c>
      <c r="E10268" s="3">
        <v>4290.0</v>
      </c>
      <c r="G10268" s="266">
        <v>43857.0</v>
      </c>
    </row>
    <row r="10269">
      <c r="A10269" s="217">
        <v>43913.60271021991</v>
      </c>
      <c r="B10269" s="3" t="s">
        <v>5184</v>
      </c>
      <c r="C10269" s="3" t="s">
        <v>9287</v>
      </c>
      <c r="D10269" s="265">
        <v>1.0</v>
      </c>
      <c r="E10269" s="3">
        <v>4990.0</v>
      </c>
      <c r="G10269" s="266">
        <v>43857.0</v>
      </c>
    </row>
    <row r="10270">
      <c r="A10270" s="217">
        <v>43913.603076921296</v>
      </c>
      <c r="B10270" s="3" t="s">
        <v>5184</v>
      </c>
      <c r="C10270" s="3" t="s">
        <v>9219</v>
      </c>
      <c r="D10270" s="265">
        <v>1.0</v>
      </c>
      <c r="E10270" s="3">
        <v>3590.0</v>
      </c>
      <c r="G10270" s="266">
        <v>43857.0</v>
      </c>
    </row>
    <row r="10271">
      <c r="A10271" s="217">
        <v>43913.60352827546</v>
      </c>
      <c r="B10271" s="3" t="s">
        <v>5184</v>
      </c>
      <c r="C10271" s="3" t="s">
        <v>6716</v>
      </c>
      <c r="D10271" s="265">
        <v>1.0</v>
      </c>
      <c r="E10271" s="3">
        <v>4990.0</v>
      </c>
      <c r="G10271" s="266">
        <v>43857.0</v>
      </c>
    </row>
    <row r="10272">
      <c r="A10272" s="217">
        <v>43913.60397848379</v>
      </c>
      <c r="B10272" s="3" t="s">
        <v>5184</v>
      </c>
      <c r="C10272" s="3" t="s">
        <v>2107</v>
      </c>
      <c r="D10272" s="265">
        <v>1.0</v>
      </c>
      <c r="E10272" s="3">
        <v>4590.0</v>
      </c>
      <c r="G10272" s="266">
        <v>43857.0</v>
      </c>
    </row>
    <row r="10273">
      <c r="A10273" s="217">
        <v>43913.60435625</v>
      </c>
      <c r="B10273" s="3" t="s">
        <v>5184</v>
      </c>
      <c r="C10273" s="3" t="s">
        <v>2255</v>
      </c>
      <c r="D10273" s="265">
        <v>1.0</v>
      </c>
      <c r="E10273" s="3">
        <v>4990.0</v>
      </c>
      <c r="G10273" s="266">
        <v>43857.0</v>
      </c>
    </row>
    <row r="10274">
      <c r="A10274" s="217">
        <v>43913.60475987269</v>
      </c>
      <c r="B10274" s="3" t="s">
        <v>5184</v>
      </c>
      <c r="C10274" s="3" t="s">
        <v>5533</v>
      </c>
      <c r="D10274" s="265">
        <v>1.0</v>
      </c>
      <c r="E10274" s="3">
        <v>6090.0</v>
      </c>
      <c r="G10274" s="266">
        <v>43857.0</v>
      </c>
    </row>
    <row r="10275">
      <c r="A10275" s="217">
        <v>43913.60511916666</v>
      </c>
      <c r="B10275" s="3" t="s">
        <v>5184</v>
      </c>
      <c r="C10275" s="3" t="s">
        <v>5472</v>
      </c>
      <c r="D10275" s="265">
        <v>1.0</v>
      </c>
      <c r="E10275" s="3">
        <v>4990.0</v>
      </c>
      <c r="G10275" s="266">
        <v>43857.0</v>
      </c>
    </row>
    <row r="10276">
      <c r="A10276" s="217">
        <v>43913.6055375463</v>
      </c>
      <c r="B10276" s="3" t="s">
        <v>5184</v>
      </c>
      <c r="C10276" s="3" t="s">
        <v>2269</v>
      </c>
      <c r="D10276" s="265">
        <v>1.0</v>
      </c>
      <c r="E10276" s="3">
        <v>6190.0</v>
      </c>
      <c r="G10276" s="266">
        <v>43857.0</v>
      </c>
    </row>
    <row r="10277">
      <c r="A10277" s="217">
        <v>43913.605890011575</v>
      </c>
      <c r="B10277" s="3" t="s">
        <v>5184</v>
      </c>
      <c r="C10277" s="3" t="s">
        <v>2239</v>
      </c>
      <c r="D10277" s="265">
        <v>1.0</v>
      </c>
      <c r="E10277" s="3">
        <v>7190.0</v>
      </c>
      <c r="G10277" s="266">
        <v>43857.0</v>
      </c>
    </row>
    <row r="10278">
      <c r="A10278" s="217">
        <v>43913.606275439815</v>
      </c>
      <c r="B10278" s="3" t="s">
        <v>5184</v>
      </c>
      <c r="C10278" s="3" t="s">
        <v>2270</v>
      </c>
      <c r="D10278" s="265">
        <v>1.0</v>
      </c>
      <c r="E10278" s="3">
        <v>5590.0</v>
      </c>
      <c r="G10278" s="266">
        <v>43857.0</v>
      </c>
    </row>
    <row r="10279">
      <c r="A10279" s="217">
        <v>43913.60677013889</v>
      </c>
      <c r="B10279" s="3" t="s">
        <v>5184</v>
      </c>
      <c r="C10279" s="3" t="s">
        <v>10097</v>
      </c>
      <c r="D10279" s="265">
        <v>1.0</v>
      </c>
      <c r="G10279" s="266">
        <v>43857.0</v>
      </c>
    </row>
    <row r="10280">
      <c r="A10280" s="217">
        <v>43913.60725314815</v>
      </c>
      <c r="B10280" s="3" t="s">
        <v>5184</v>
      </c>
      <c r="C10280" s="3" t="s">
        <v>2206</v>
      </c>
      <c r="D10280" s="265">
        <v>1.0</v>
      </c>
      <c r="E10280" s="3">
        <v>5290.0</v>
      </c>
      <c r="G10280" s="266">
        <v>43858.0</v>
      </c>
    </row>
    <row r="10281">
      <c r="A10281" s="217">
        <v>43913.60762541667</v>
      </c>
      <c r="B10281" s="3" t="s">
        <v>5184</v>
      </c>
      <c r="C10281" s="3" t="s">
        <v>6339</v>
      </c>
      <c r="D10281" s="265">
        <v>1.0</v>
      </c>
      <c r="G10281" s="266">
        <v>43858.0</v>
      </c>
    </row>
    <row r="10282">
      <c r="A10282" s="217">
        <v>43913.607998692125</v>
      </c>
      <c r="B10282" s="3" t="s">
        <v>5184</v>
      </c>
      <c r="C10282" s="3" t="s">
        <v>2762</v>
      </c>
      <c r="D10282" s="265">
        <v>1.0</v>
      </c>
      <c r="E10282" s="3">
        <v>7650.0</v>
      </c>
      <c r="G10282" s="266">
        <v>43858.0</v>
      </c>
    </row>
    <row r="10283">
      <c r="A10283" s="217">
        <v>43913.60837417824</v>
      </c>
      <c r="B10283" s="3" t="s">
        <v>5184</v>
      </c>
      <c r="C10283" s="3" t="s">
        <v>9697</v>
      </c>
      <c r="D10283" s="265">
        <v>1.0</v>
      </c>
      <c r="G10283" s="266">
        <v>43858.0</v>
      </c>
    </row>
    <row r="10284">
      <c r="A10284" s="217">
        <v>43923.434305821764</v>
      </c>
      <c r="B10284" s="3" t="s">
        <v>5184</v>
      </c>
      <c r="C10284" s="3" t="s">
        <v>10828</v>
      </c>
      <c r="D10284" s="265">
        <v>1.0</v>
      </c>
      <c r="E10284" s="3">
        <v>1800.0</v>
      </c>
      <c r="G10284" s="266">
        <v>43858.0</v>
      </c>
    </row>
    <row r="10285">
      <c r="A10285" s="217">
        <v>43923.43474131945</v>
      </c>
      <c r="B10285" s="3" t="s">
        <v>5184</v>
      </c>
      <c r="C10285" s="3" t="s">
        <v>5868</v>
      </c>
      <c r="D10285" s="265">
        <v>1.0</v>
      </c>
      <c r="E10285" s="3">
        <v>1950.0</v>
      </c>
      <c r="G10285" s="266">
        <v>43858.0</v>
      </c>
    </row>
    <row r="10286">
      <c r="A10286" s="217">
        <v>43923.435123703704</v>
      </c>
      <c r="B10286" s="3" t="s">
        <v>5184</v>
      </c>
      <c r="C10286" s="3" t="s">
        <v>10829</v>
      </c>
      <c r="D10286" s="265">
        <v>1.0</v>
      </c>
      <c r="G10286" s="266">
        <v>43858.0</v>
      </c>
    </row>
    <row r="10287">
      <c r="A10287" s="217">
        <v>43923.43567975695</v>
      </c>
      <c r="B10287" s="3" t="s">
        <v>5184</v>
      </c>
      <c r="C10287" s="3" t="s">
        <v>9693</v>
      </c>
      <c r="D10287" s="265">
        <v>1.0</v>
      </c>
      <c r="G10287" s="266">
        <v>43858.0</v>
      </c>
    </row>
    <row r="10288">
      <c r="A10288" s="217">
        <v>43923.43607106482</v>
      </c>
      <c r="B10288" s="3" t="s">
        <v>5184</v>
      </c>
      <c r="C10288" s="3" t="s">
        <v>5868</v>
      </c>
      <c r="D10288" s="265">
        <v>1.0</v>
      </c>
      <c r="E10288" s="3">
        <v>1950.0</v>
      </c>
      <c r="G10288" s="266">
        <v>43858.0</v>
      </c>
    </row>
    <row r="10289">
      <c r="A10289" s="217">
        <v>43923.43660107639</v>
      </c>
      <c r="B10289" s="3" t="s">
        <v>5184</v>
      </c>
      <c r="C10289" s="3" t="s">
        <v>5583</v>
      </c>
      <c r="D10289" s="265">
        <v>1.0</v>
      </c>
      <c r="E10289" s="3">
        <v>1800.0</v>
      </c>
      <c r="G10289" s="266">
        <v>43858.0</v>
      </c>
    </row>
    <row r="10290">
      <c r="A10290" s="217">
        <v>43923.43698141204</v>
      </c>
      <c r="B10290" s="3" t="s">
        <v>5184</v>
      </c>
      <c r="C10290" s="3" t="s">
        <v>10830</v>
      </c>
      <c r="D10290" s="265">
        <v>1.0</v>
      </c>
      <c r="G10290" s="266">
        <v>43858.0</v>
      </c>
    </row>
    <row r="10291">
      <c r="A10291" s="217">
        <v>43923.43735015046</v>
      </c>
      <c r="B10291" s="3" t="s">
        <v>5184</v>
      </c>
      <c r="C10291" s="3" t="s">
        <v>10831</v>
      </c>
      <c r="D10291" s="265">
        <v>1.0</v>
      </c>
      <c r="G10291" s="266">
        <v>43858.0</v>
      </c>
    </row>
    <row r="10292">
      <c r="A10292" s="217">
        <v>43923.43776342593</v>
      </c>
      <c r="B10292" s="3" t="s">
        <v>5184</v>
      </c>
      <c r="C10292" s="3" t="s">
        <v>707</v>
      </c>
      <c r="D10292" s="265">
        <v>1.0</v>
      </c>
      <c r="G10292" s="266">
        <v>43858.0</v>
      </c>
    </row>
    <row r="10293">
      <c r="A10293" s="217">
        <v>43923.43824416667</v>
      </c>
      <c r="B10293" s="3" t="s">
        <v>5184</v>
      </c>
      <c r="C10293" s="3" t="s">
        <v>6336</v>
      </c>
      <c r="D10293" s="265">
        <v>1.0</v>
      </c>
      <c r="G10293" s="266">
        <v>43858.0</v>
      </c>
    </row>
    <row r="10294">
      <c r="A10294" s="217">
        <v>43923.438630046294</v>
      </c>
      <c r="B10294" s="3" t="s">
        <v>5184</v>
      </c>
      <c r="C10294" s="3" t="s">
        <v>1000</v>
      </c>
      <c r="D10294" s="265">
        <v>1.0</v>
      </c>
      <c r="E10294" s="3">
        <v>13000.0</v>
      </c>
      <c r="G10294" s="266">
        <v>43858.0</v>
      </c>
    </row>
    <row r="10295">
      <c r="A10295" s="217">
        <v>43923.43906665509</v>
      </c>
      <c r="B10295" s="3" t="s">
        <v>5184</v>
      </c>
      <c r="C10295" s="3" t="s">
        <v>9436</v>
      </c>
      <c r="D10295" s="265">
        <v>1.0</v>
      </c>
      <c r="G10295" s="266">
        <v>43858.0</v>
      </c>
    </row>
    <row r="10296">
      <c r="A10296" s="217">
        <v>43923.43947813657</v>
      </c>
      <c r="B10296" s="3" t="s">
        <v>5184</v>
      </c>
      <c r="C10296" s="3" t="s">
        <v>9466</v>
      </c>
      <c r="D10296" s="265">
        <v>1.0</v>
      </c>
      <c r="E10296" s="3">
        <v>1050.0</v>
      </c>
      <c r="G10296" s="266">
        <v>43858.0</v>
      </c>
    </row>
    <row r="10297">
      <c r="A10297" s="217">
        <v>43923.440044918985</v>
      </c>
      <c r="B10297" s="3" t="s">
        <v>5184</v>
      </c>
      <c r="C10297" s="3" t="s">
        <v>4991</v>
      </c>
      <c r="D10297" s="265">
        <v>1.0</v>
      </c>
      <c r="G10297" s="266">
        <v>43858.0</v>
      </c>
    </row>
    <row r="10298">
      <c r="A10298" s="217">
        <v>43923.44051635417</v>
      </c>
      <c r="B10298" s="3" t="s">
        <v>5184</v>
      </c>
      <c r="C10298" s="3" t="s">
        <v>4989</v>
      </c>
      <c r="D10298" s="265">
        <v>1.0</v>
      </c>
      <c r="G10298" s="266">
        <v>43858.0</v>
      </c>
    </row>
    <row r="10299">
      <c r="A10299" s="217">
        <v>43923.44105707176</v>
      </c>
      <c r="B10299" s="3" t="s">
        <v>5184</v>
      </c>
      <c r="C10299" s="3" t="s">
        <v>5003</v>
      </c>
      <c r="D10299" s="265">
        <v>1.0</v>
      </c>
      <c r="G10299" s="266">
        <v>43858.0</v>
      </c>
    </row>
    <row r="10300">
      <c r="A10300" s="217">
        <v>43923.4414728588</v>
      </c>
      <c r="B10300" s="3" t="s">
        <v>5184</v>
      </c>
      <c r="C10300" s="3" t="s">
        <v>10150</v>
      </c>
      <c r="D10300" s="265">
        <v>1.0</v>
      </c>
      <c r="G10300" s="266">
        <v>43858.0</v>
      </c>
    </row>
    <row r="10301">
      <c r="A10301" s="217">
        <v>43923.441956215276</v>
      </c>
      <c r="B10301" s="3" t="s">
        <v>5184</v>
      </c>
      <c r="C10301" s="3" t="s">
        <v>5364</v>
      </c>
      <c r="D10301" s="265">
        <v>1.0</v>
      </c>
      <c r="E10301" s="3">
        <v>9000.0</v>
      </c>
      <c r="G10301" s="266">
        <v>43858.0</v>
      </c>
    </row>
    <row r="10302">
      <c r="A10302" s="217">
        <v>43923.44240672454</v>
      </c>
      <c r="B10302" s="3" t="s">
        <v>5184</v>
      </c>
      <c r="C10302" s="3" t="s">
        <v>2066</v>
      </c>
      <c r="D10302" s="265">
        <v>1.0</v>
      </c>
      <c r="G10302" s="266">
        <v>43858.0</v>
      </c>
    </row>
    <row r="10303">
      <c r="A10303" s="217">
        <v>43923.44278653935</v>
      </c>
      <c r="B10303" s="3" t="s">
        <v>5184</v>
      </c>
      <c r="C10303" s="3" t="s">
        <v>9712</v>
      </c>
      <c r="D10303" s="265">
        <v>1.0</v>
      </c>
      <c r="G10303" s="266">
        <v>43858.0</v>
      </c>
    </row>
    <row r="10304">
      <c r="A10304" s="217">
        <v>43923.44320516204</v>
      </c>
      <c r="B10304" s="3" t="s">
        <v>5184</v>
      </c>
      <c r="C10304" s="3" t="s">
        <v>5868</v>
      </c>
      <c r="D10304" s="265">
        <v>1.0</v>
      </c>
      <c r="E10304" s="3">
        <v>1950.0</v>
      </c>
      <c r="G10304" s="266">
        <v>43859.0</v>
      </c>
    </row>
    <row r="10305">
      <c r="A10305" s="217">
        <v>43923.44362362269</v>
      </c>
      <c r="B10305" s="3" t="s">
        <v>5184</v>
      </c>
      <c r="C10305" s="3" t="s">
        <v>710</v>
      </c>
      <c r="D10305" s="265">
        <v>1.0</v>
      </c>
      <c r="E10305" s="3">
        <v>1800.0</v>
      </c>
      <c r="G10305" s="266">
        <v>43859.0</v>
      </c>
    </row>
    <row r="10306">
      <c r="A10306" s="217">
        <v>43923.444009837964</v>
      </c>
      <c r="B10306" s="3" t="s">
        <v>5184</v>
      </c>
      <c r="C10306" s="3" t="s">
        <v>10833</v>
      </c>
      <c r="D10306" s="265">
        <v>1.0</v>
      </c>
      <c r="G10306" s="266">
        <v>43859.0</v>
      </c>
    </row>
    <row r="10307">
      <c r="A10307" s="217">
        <v>43923.44439230324</v>
      </c>
      <c r="B10307" s="3" t="s">
        <v>5184</v>
      </c>
      <c r="C10307" s="3" t="s">
        <v>10834</v>
      </c>
      <c r="D10307" s="265">
        <v>1.0</v>
      </c>
      <c r="G10307" s="266">
        <v>43859.0</v>
      </c>
    </row>
    <row r="10308">
      <c r="A10308" s="217">
        <v>43923.44532059028</v>
      </c>
      <c r="B10308" s="3" t="s">
        <v>5184</v>
      </c>
      <c r="C10308" s="3" t="s">
        <v>6318</v>
      </c>
      <c r="D10308" s="265">
        <v>1.0</v>
      </c>
      <c r="E10308" s="3">
        <v>3790.0</v>
      </c>
      <c r="G10308" s="266">
        <v>43859.0</v>
      </c>
    </row>
    <row r="10309">
      <c r="A10309" s="217">
        <v>43923.45544042824</v>
      </c>
      <c r="B10309" s="3" t="s">
        <v>5184</v>
      </c>
      <c r="C10309" s="3" t="s">
        <v>8537</v>
      </c>
      <c r="D10309" s="265">
        <v>8.0</v>
      </c>
      <c r="G10309" s="266">
        <v>43859.0</v>
      </c>
    </row>
    <row r="10310">
      <c r="A10310" s="217">
        <v>43923.48446767361</v>
      </c>
      <c r="B10310" s="3" t="s">
        <v>5184</v>
      </c>
      <c r="C10310" s="3" t="s">
        <v>6438</v>
      </c>
      <c r="D10310" s="265">
        <v>2.0</v>
      </c>
      <c r="E10310" s="3">
        <v>1560.0</v>
      </c>
      <c r="G10310" s="266">
        <v>43859.0</v>
      </c>
    </row>
    <row r="10311">
      <c r="A10311" s="217">
        <v>43923.485125555555</v>
      </c>
      <c r="B10311" s="3" t="s">
        <v>5184</v>
      </c>
      <c r="C10311" s="3" t="s">
        <v>8674</v>
      </c>
      <c r="D10311" s="265">
        <v>1.0</v>
      </c>
      <c r="E10311" s="3">
        <v>2350.0</v>
      </c>
      <c r="G10311" s="266">
        <v>43859.0</v>
      </c>
    </row>
    <row r="10312">
      <c r="A10312" s="217">
        <v>43923.48550548611</v>
      </c>
      <c r="B10312" s="3" t="s">
        <v>5184</v>
      </c>
      <c r="C10312" s="3" t="s">
        <v>8635</v>
      </c>
      <c r="D10312" s="265">
        <v>1.0</v>
      </c>
      <c r="E10312" s="3">
        <v>2780.0</v>
      </c>
      <c r="G10312" s="266">
        <v>43859.0</v>
      </c>
    </row>
    <row r="10313">
      <c r="A10313" s="217">
        <v>43923.485886689814</v>
      </c>
      <c r="B10313" s="3" t="s">
        <v>5184</v>
      </c>
      <c r="C10313" s="3" t="s">
        <v>1722</v>
      </c>
      <c r="D10313" s="265">
        <v>1.0</v>
      </c>
      <c r="E10313" s="3">
        <v>20290.0</v>
      </c>
      <c r="G10313" s="266">
        <v>43859.0</v>
      </c>
    </row>
    <row r="10314">
      <c r="A10314" s="217">
        <v>43925.45190403935</v>
      </c>
      <c r="B10314" s="3" t="s">
        <v>5184</v>
      </c>
      <c r="C10314" s="3" t="s">
        <v>5003</v>
      </c>
      <c r="D10314" s="265">
        <v>1.0</v>
      </c>
      <c r="G10314" s="266">
        <v>43859.0</v>
      </c>
    </row>
    <row r="10315">
      <c r="A10315" s="217">
        <v>43925.4524159838</v>
      </c>
      <c r="B10315" s="3" t="s">
        <v>5184</v>
      </c>
      <c r="C10315" s="3" t="s">
        <v>10835</v>
      </c>
      <c r="D10315" s="265">
        <v>1.0</v>
      </c>
      <c r="G10315" s="266">
        <v>43859.0</v>
      </c>
    </row>
    <row r="10316">
      <c r="A10316" s="217">
        <v>43925.453204722224</v>
      </c>
      <c r="B10316" s="3" t="s">
        <v>5184</v>
      </c>
      <c r="C10316" s="3" t="s">
        <v>4705</v>
      </c>
      <c r="D10316" s="265">
        <v>4.0</v>
      </c>
      <c r="E10316" s="3">
        <v>2699.0</v>
      </c>
      <c r="G10316" s="266">
        <v>43862.0</v>
      </c>
    </row>
    <row r="10317">
      <c r="A10317" s="217">
        <v>43925.45358951389</v>
      </c>
      <c r="B10317" s="3" t="s">
        <v>5184</v>
      </c>
      <c r="C10317" s="3" t="s">
        <v>4746</v>
      </c>
      <c r="D10317" s="265">
        <v>1.0</v>
      </c>
      <c r="E10317" s="3">
        <v>1495.0</v>
      </c>
      <c r="G10317" s="266">
        <v>43862.0</v>
      </c>
    </row>
    <row r="10318">
      <c r="A10318" s="217">
        <v>43925.454021840276</v>
      </c>
      <c r="B10318" s="3" t="s">
        <v>5184</v>
      </c>
      <c r="C10318" s="3" t="s">
        <v>4914</v>
      </c>
      <c r="D10318" s="265">
        <v>3.0</v>
      </c>
      <c r="E10318" s="3">
        <v>2099.0</v>
      </c>
      <c r="G10318" s="266">
        <v>43862.0</v>
      </c>
    </row>
    <row r="10319">
      <c r="A10319" s="217">
        <v>43925.45454178241</v>
      </c>
      <c r="B10319" s="3" t="s">
        <v>5184</v>
      </c>
      <c r="C10319" s="3" t="s">
        <v>4658</v>
      </c>
      <c r="D10319" s="265">
        <v>1.0</v>
      </c>
      <c r="E10319" s="3">
        <v>950.0</v>
      </c>
      <c r="G10319" s="266">
        <v>43862.0</v>
      </c>
    </row>
    <row r="10320">
      <c r="A10320" s="217">
        <v>43925.45493774305</v>
      </c>
      <c r="B10320" s="3" t="s">
        <v>5184</v>
      </c>
      <c r="C10320" s="3" t="s">
        <v>6640</v>
      </c>
      <c r="D10320" s="265">
        <v>2.0</v>
      </c>
      <c r="E10320" s="3">
        <v>8290.0</v>
      </c>
      <c r="G10320" s="266">
        <v>43862.0</v>
      </c>
    </row>
    <row r="10321">
      <c r="A10321" s="3">
        <v>51.0</v>
      </c>
      <c r="B10321" s="3" t="s">
        <v>5184</v>
      </c>
      <c r="C10321" s="3" t="s">
        <v>1808</v>
      </c>
      <c r="D10321" s="265">
        <v>2.0</v>
      </c>
      <c r="E10321" s="3">
        <v>8290.0</v>
      </c>
      <c r="G10321" s="266">
        <v>43862.0</v>
      </c>
    </row>
    <row r="10322">
      <c r="A10322" s="217">
        <v>43925.45577927084</v>
      </c>
      <c r="B10322" s="3" t="s">
        <v>5184</v>
      </c>
      <c r="C10322" s="3" t="s">
        <v>1813</v>
      </c>
      <c r="D10322" s="265">
        <v>1.0</v>
      </c>
      <c r="E10322" s="3">
        <v>8890.0</v>
      </c>
      <c r="G10322" s="266">
        <v>43862.0</v>
      </c>
    </row>
    <row r="10323">
      <c r="A10323" s="217">
        <v>43925.45623373843</v>
      </c>
      <c r="B10323" s="3" t="s">
        <v>5184</v>
      </c>
      <c r="C10323" s="3" t="s">
        <v>1815</v>
      </c>
      <c r="D10323" s="265">
        <v>3.0</v>
      </c>
      <c r="E10323" s="3">
        <v>8890.0</v>
      </c>
      <c r="G10323" s="266">
        <v>43864.0</v>
      </c>
    </row>
    <row r="10324">
      <c r="A10324" s="217">
        <v>43925.45668641204</v>
      </c>
      <c r="B10324" s="3" t="s">
        <v>5184</v>
      </c>
      <c r="C10324" s="3" t="s">
        <v>1822</v>
      </c>
      <c r="D10324" s="265">
        <v>1.0</v>
      </c>
      <c r="E10324" s="3">
        <v>8890.0</v>
      </c>
      <c r="G10324" s="266">
        <v>43864.0</v>
      </c>
    </row>
    <row r="10325">
      <c r="A10325" s="217">
        <v>43925.45715488426</v>
      </c>
      <c r="B10325" s="3" t="s">
        <v>5184</v>
      </c>
      <c r="C10325" s="3" t="s">
        <v>5110</v>
      </c>
      <c r="D10325" s="265">
        <v>2.0</v>
      </c>
      <c r="E10325" s="3">
        <v>6990.0</v>
      </c>
      <c r="G10325" s="266">
        <v>43864.0</v>
      </c>
    </row>
    <row r="10326">
      <c r="A10326" s="217">
        <v>43925.45755420139</v>
      </c>
      <c r="B10326" s="3" t="s">
        <v>5184</v>
      </c>
      <c r="C10326" s="3" t="s">
        <v>1848</v>
      </c>
      <c r="D10326" s="265">
        <v>1.0</v>
      </c>
      <c r="E10326" s="3">
        <v>8890.0</v>
      </c>
      <c r="G10326" s="266">
        <v>43864.0</v>
      </c>
    </row>
    <row r="10327">
      <c r="A10327" s="217">
        <v>43925.457993379634</v>
      </c>
      <c r="B10327" s="3" t="s">
        <v>5184</v>
      </c>
      <c r="C10327" s="3" t="s">
        <v>5116</v>
      </c>
      <c r="D10327" s="265">
        <v>1.0</v>
      </c>
      <c r="E10327" s="3">
        <v>9490.0</v>
      </c>
      <c r="G10327" s="266">
        <v>43865.0</v>
      </c>
    </row>
    <row r="10328">
      <c r="A10328" s="217">
        <v>43925.45839572916</v>
      </c>
      <c r="B10328" s="3" t="s">
        <v>5184</v>
      </c>
      <c r="C10328" s="3" t="s">
        <v>5130</v>
      </c>
      <c r="D10328" s="265">
        <v>2.0</v>
      </c>
      <c r="E10328" s="3">
        <v>7590.0</v>
      </c>
      <c r="G10328" s="266">
        <v>43865.0</v>
      </c>
    </row>
    <row r="10329">
      <c r="A10329" s="217">
        <v>43925.45881765046</v>
      </c>
      <c r="B10329" s="3" t="s">
        <v>5184</v>
      </c>
      <c r="C10329" s="3" t="s">
        <v>5143</v>
      </c>
      <c r="D10329" s="265">
        <v>1.0</v>
      </c>
      <c r="E10329" s="3">
        <v>7990.0</v>
      </c>
      <c r="G10329" s="266">
        <v>43865.0</v>
      </c>
    </row>
    <row r="10330">
      <c r="A10330" s="217">
        <v>43925.45918709491</v>
      </c>
      <c r="B10330" s="3" t="s">
        <v>5184</v>
      </c>
      <c r="C10330" s="3" t="s">
        <v>1868</v>
      </c>
      <c r="D10330" s="265">
        <v>1.0</v>
      </c>
      <c r="E10330" s="3">
        <v>5990.0</v>
      </c>
      <c r="G10330" s="266">
        <v>43865.0</v>
      </c>
    </row>
    <row r="10331">
      <c r="A10331" s="217">
        <v>43925.45961777778</v>
      </c>
      <c r="B10331" s="3" t="s">
        <v>5184</v>
      </c>
      <c r="C10331" s="3" t="s">
        <v>2110</v>
      </c>
      <c r="D10331" s="265">
        <v>2.0</v>
      </c>
      <c r="E10331" s="3">
        <v>5990.0</v>
      </c>
      <c r="G10331" s="266">
        <v>43865.0</v>
      </c>
    </row>
    <row r="10332">
      <c r="A10332" s="217">
        <v>43925.459989282404</v>
      </c>
      <c r="B10332" s="3" t="s">
        <v>5184</v>
      </c>
      <c r="C10332" s="3" t="s">
        <v>2111</v>
      </c>
      <c r="D10332" s="265">
        <v>1.0</v>
      </c>
      <c r="E10332" s="3">
        <v>4590.0</v>
      </c>
      <c r="G10332" s="266">
        <v>43865.0</v>
      </c>
    </row>
    <row r="10333">
      <c r="A10333" s="217">
        <v>43925.46033769676</v>
      </c>
      <c r="B10333" s="3" t="s">
        <v>5184</v>
      </c>
      <c r="C10333" s="3" t="s">
        <v>5704</v>
      </c>
      <c r="D10333" s="265">
        <v>1.0</v>
      </c>
      <c r="E10333" s="3">
        <v>4590.0</v>
      </c>
      <c r="G10333" s="266">
        <v>43865.0</v>
      </c>
    </row>
    <row r="10334">
      <c r="A10334" s="217">
        <v>43925.460896805555</v>
      </c>
      <c r="B10334" s="3" t="s">
        <v>5184</v>
      </c>
      <c r="C10334" s="3" t="s">
        <v>9199</v>
      </c>
      <c r="D10334" s="265">
        <v>2.0</v>
      </c>
      <c r="G10334" s="266">
        <v>43865.0</v>
      </c>
    </row>
    <row r="10335">
      <c r="A10335" s="217">
        <v>43925.46145831019</v>
      </c>
      <c r="B10335" s="3" t="s">
        <v>5184</v>
      </c>
      <c r="C10335" s="3" t="s">
        <v>9427</v>
      </c>
      <c r="D10335" s="265">
        <v>1.0</v>
      </c>
      <c r="E10335" s="3">
        <v>5490.0</v>
      </c>
      <c r="G10335" s="266">
        <v>43865.0</v>
      </c>
    </row>
    <row r="10336">
      <c r="A10336" s="217">
        <v>43925.46192321759</v>
      </c>
      <c r="B10336" s="3" t="s">
        <v>5184</v>
      </c>
      <c r="C10336" s="3" t="s">
        <v>2134</v>
      </c>
      <c r="D10336" s="265">
        <v>5.0</v>
      </c>
      <c r="E10336" s="3">
        <v>4290.0</v>
      </c>
      <c r="G10336" s="266">
        <v>43866.0</v>
      </c>
    </row>
    <row r="10337">
      <c r="A10337" s="217">
        <v>43925.462305787034</v>
      </c>
      <c r="B10337" s="3" t="s">
        <v>5184</v>
      </c>
      <c r="C10337" s="3" t="s">
        <v>2163</v>
      </c>
      <c r="D10337" s="265">
        <v>3.0</v>
      </c>
      <c r="G10337" s="266">
        <v>43866.0</v>
      </c>
    </row>
    <row r="10338">
      <c r="A10338" s="217">
        <v>43925.462683101854</v>
      </c>
      <c r="B10338" s="3" t="s">
        <v>5184</v>
      </c>
      <c r="C10338" s="3" t="s">
        <v>7242</v>
      </c>
      <c r="D10338" s="265">
        <v>2.0</v>
      </c>
      <c r="E10338" s="3">
        <v>5990.0</v>
      </c>
      <c r="G10338" s="266">
        <v>43866.0</v>
      </c>
    </row>
    <row r="10339">
      <c r="A10339" s="217">
        <v>43925.46304324074</v>
      </c>
      <c r="B10339" s="3" t="s">
        <v>5184</v>
      </c>
      <c r="C10339" s="3" t="s">
        <v>6334</v>
      </c>
      <c r="D10339" s="265">
        <v>1.0</v>
      </c>
      <c r="E10339" s="3">
        <v>3290.0</v>
      </c>
      <c r="G10339" s="266">
        <v>43866.0</v>
      </c>
    </row>
    <row r="10340">
      <c r="A10340" s="217">
        <v>43925.46343393519</v>
      </c>
      <c r="B10340" s="3" t="s">
        <v>5184</v>
      </c>
      <c r="C10340" s="3" t="s">
        <v>5489</v>
      </c>
      <c r="D10340" s="265">
        <v>2.0</v>
      </c>
      <c r="E10340" s="3">
        <v>3490.0</v>
      </c>
      <c r="G10340" s="266">
        <v>43866.0</v>
      </c>
    </row>
    <row r="10341">
      <c r="A10341" s="217">
        <v>43925.46380943287</v>
      </c>
      <c r="B10341" s="3" t="s">
        <v>5184</v>
      </c>
      <c r="C10341" s="3" t="s">
        <v>9171</v>
      </c>
      <c r="D10341" s="265">
        <v>1.0</v>
      </c>
      <c r="E10341" s="3">
        <v>5090.0</v>
      </c>
      <c r="G10341" s="266">
        <v>43866.0</v>
      </c>
    </row>
    <row r="10342">
      <c r="A10342" s="217">
        <v>43925.46416103009</v>
      </c>
      <c r="B10342" s="3" t="s">
        <v>5184</v>
      </c>
      <c r="C10342" s="3" t="s">
        <v>2231</v>
      </c>
      <c r="D10342" s="265">
        <v>1.0</v>
      </c>
      <c r="E10342" s="3">
        <v>6690.0</v>
      </c>
      <c r="G10342" s="266">
        <v>43866.0</v>
      </c>
    </row>
    <row r="10343">
      <c r="A10343" s="217">
        <v>43925.464530983794</v>
      </c>
      <c r="B10343" s="3" t="s">
        <v>5184</v>
      </c>
      <c r="C10343" s="3" t="s">
        <v>5483</v>
      </c>
      <c r="D10343" s="265">
        <v>2.0</v>
      </c>
      <c r="E10343" s="3">
        <v>3490.0</v>
      </c>
      <c r="G10343" s="266">
        <v>43866.0</v>
      </c>
    </row>
    <row r="10344">
      <c r="A10344" s="217">
        <v>43925.46488665509</v>
      </c>
      <c r="B10344" s="3" t="s">
        <v>5184</v>
      </c>
      <c r="C10344" s="3" t="s">
        <v>6347</v>
      </c>
      <c r="D10344" s="265">
        <v>1.0</v>
      </c>
      <c r="E10344" s="3">
        <v>3990.0</v>
      </c>
      <c r="G10344" s="266">
        <v>43866.0</v>
      </c>
    </row>
    <row r="10345">
      <c r="A10345" s="217">
        <v>43925.465285046295</v>
      </c>
      <c r="B10345" s="3" t="s">
        <v>5184</v>
      </c>
      <c r="C10345" s="3" t="s">
        <v>2261</v>
      </c>
      <c r="D10345" s="265">
        <v>7.0</v>
      </c>
      <c r="E10345" s="3">
        <v>4290.0</v>
      </c>
      <c r="G10345" s="266">
        <v>43868.0</v>
      </c>
    </row>
    <row r="10346">
      <c r="A10346" s="217">
        <v>43925.465653761574</v>
      </c>
      <c r="B10346" s="3" t="s">
        <v>5184</v>
      </c>
      <c r="C10346" s="3" t="s">
        <v>9256</v>
      </c>
      <c r="D10346" s="265">
        <v>1.0</v>
      </c>
      <c r="E10346" s="3">
        <v>6190.0</v>
      </c>
      <c r="G10346" s="266">
        <v>43868.0</v>
      </c>
    </row>
    <row r="10347">
      <c r="A10347" s="217">
        <v>43925.466008981486</v>
      </c>
      <c r="B10347" s="3" t="s">
        <v>5184</v>
      </c>
      <c r="C10347" s="3" t="s">
        <v>8805</v>
      </c>
      <c r="D10347" s="265">
        <v>2.0</v>
      </c>
      <c r="E10347" s="3">
        <v>6190.0</v>
      </c>
      <c r="G10347" s="266">
        <v>43868.0</v>
      </c>
    </row>
    <row r="10348">
      <c r="A10348" s="217">
        <v>43925.46637214121</v>
      </c>
      <c r="B10348" s="3" t="s">
        <v>5184</v>
      </c>
      <c r="C10348" s="3" t="s">
        <v>9252</v>
      </c>
      <c r="D10348" s="265">
        <v>2.0</v>
      </c>
      <c r="E10348" s="3">
        <v>5290.0</v>
      </c>
      <c r="G10348" s="266">
        <v>43868.0</v>
      </c>
    </row>
    <row r="10349">
      <c r="A10349" s="217">
        <v>43925.46671288194</v>
      </c>
      <c r="B10349" s="3" t="s">
        <v>5184</v>
      </c>
      <c r="C10349" s="3" t="s">
        <v>2270</v>
      </c>
      <c r="D10349" s="265">
        <v>2.0</v>
      </c>
      <c r="E10349" s="3">
        <v>5590.0</v>
      </c>
      <c r="G10349" s="266">
        <v>43868.0</v>
      </c>
    </row>
    <row r="10350">
      <c r="A10350" s="217">
        <v>43925.467059525465</v>
      </c>
      <c r="B10350" s="3" t="s">
        <v>5184</v>
      </c>
      <c r="C10350" s="3" t="s">
        <v>8782</v>
      </c>
      <c r="D10350" s="265">
        <v>2.0</v>
      </c>
      <c r="G10350" s="266">
        <v>43868.0</v>
      </c>
    </row>
    <row r="10351">
      <c r="A10351" s="217">
        <v>43925.46754013889</v>
      </c>
      <c r="B10351" s="3" t="s">
        <v>5184</v>
      </c>
      <c r="C10351" s="3" t="s">
        <v>2263</v>
      </c>
      <c r="D10351" s="265">
        <v>3.0</v>
      </c>
      <c r="E10351" s="3">
        <v>4290.0</v>
      </c>
      <c r="G10351" s="266">
        <v>43869.0</v>
      </c>
    </row>
    <row r="10352">
      <c r="A10352" s="217">
        <v>43925.46789623842</v>
      </c>
      <c r="B10352" s="3" t="s">
        <v>5184</v>
      </c>
      <c r="C10352" s="3" t="s">
        <v>7580</v>
      </c>
      <c r="D10352" s="265">
        <v>1.0</v>
      </c>
      <c r="G10352" s="266">
        <v>43869.0</v>
      </c>
    </row>
    <row r="10353">
      <c r="A10353" s="217">
        <v>43925.468233657404</v>
      </c>
      <c r="B10353" s="3" t="s">
        <v>5184</v>
      </c>
      <c r="C10353" s="3" t="s">
        <v>2129</v>
      </c>
      <c r="D10353" s="265">
        <v>2.0</v>
      </c>
      <c r="E10353" s="3">
        <v>3790.0</v>
      </c>
      <c r="G10353" s="266">
        <v>43869.0</v>
      </c>
    </row>
    <row r="10354">
      <c r="A10354" s="217">
        <v>43925.4686184375</v>
      </c>
      <c r="B10354" s="3" t="s">
        <v>5184</v>
      </c>
      <c r="C10354" s="3" t="s">
        <v>2157</v>
      </c>
      <c r="D10354" s="265">
        <v>1.0</v>
      </c>
      <c r="E10354" s="3">
        <v>3790.0</v>
      </c>
      <c r="G10354" s="266">
        <v>43869.0</v>
      </c>
    </row>
    <row r="10355">
      <c r="A10355" s="217">
        <v>43925.46914265046</v>
      </c>
      <c r="B10355" s="3" t="s">
        <v>5184</v>
      </c>
      <c r="C10355" s="3" t="s">
        <v>2173</v>
      </c>
      <c r="D10355" s="265">
        <v>1.0</v>
      </c>
      <c r="E10355" s="3">
        <v>3090.0</v>
      </c>
      <c r="G10355" s="266">
        <v>43869.0</v>
      </c>
    </row>
    <row r="10356">
      <c r="A10356" s="217">
        <v>43925.4695077662</v>
      </c>
      <c r="B10356" s="3" t="s">
        <v>5184</v>
      </c>
      <c r="C10356" s="3" t="s">
        <v>6331</v>
      </c>
      <c r="D10356" s="265">
        <v>2.0</v>
      </c>
      <c r="E10356" s="3">
        <v>3990.0</v>
      </c>
      <c r="G10356" s="266">
        <v>43869.0</v>
      </c>
    </row>
    <row r="10357">
      <c r="A10357" s="217">
        <v>43925.469876400464</v>
      </c>
      <c r="B10357" s="3" t="s">
        <v>5184</v>
      </c>
      <c r="C10357" s="3" t="s">
        <v>9469</v>
      </c>
      <c r="D10357" s="265">
        <v>1.0</v>
      </c>
      <c r="G10357" s="266">
        <v>43869.0</v>
      </c>
    </row>
    <row r="10358">
      <c r="A10358" s="217">
        <v>43925.47029332176</v>
      </c>
      <c r="B10358" s="3" t="s">
        <v>5184</v>
      </c>
      <c r="C10358" s="3" t="s">
        <v>9673</v>
      </c>
      <c r="D10358" s="265">
        <v>1.0</v>
      </c>
      <c r="G10358" s="266">
        <v>43869.0</v>
      </c>
    </row>
    <row r="10359">
      <c r="A10359" s="217">
        <v>43925.47064238426</v>
      </c>
      <c r="B10359" s="3" t="s">
        <v>5184</v>
      </c>
      <c r="C10359" s="3" t="s">
        <v>2215</v>
      </c>
      <c r="D10359" s="265">
        <v>1.0</v>
      </c>
      <c r="E10359" s="3">
        <v>3790.0</v>
      </c>
      <c r="G10359" s="266">
        <v>43869.0</v>
      </c>
    </row>
    <row r="10360">
      <c r="A10360" s="217">
        <v>43925.47107010416</v>
      </c>
      <c r="B10360" s="3" t="s">
        <v>5184</v>
      </c>
      <c r="C10360" s="3" t="s">
        <v>2217</v>
      </c>
      <c r="D10360" s="265">
        <v>1.0</v>
      </c>
      <c r="E10360" s="3">
        <v>3790.0</v>
      </c>
      <c r="G10360" s="266">
        <v>43869.0</v>
      </c>
    </row>
    <row r="10361">
      <c r="A10361" s="217">
        <v>43925.473459016204</v>
      </c>
      <c r="B10361" s="3" t="s">
        <v>5184</v>
      </c>
      <c r="C10361" s="3" t="s">
        <v>2220</v>
      </c>
      <c r="D10361" s="265">
        <v>4.0</v>
      </c>
      <c r="E10361" s="3">
        <v>3790.0</v>
      </c>
      <c r="G10361" s="266">
        <v>43869.0</v>
      </c>
    </row>
    <row r="10362">
      <c r="A10362" s="217">
        <v>43925.47389179398</v>
      </c>
      <c r="B10362" s="3" t="s">
        <v>5184</v>
      </c>
      <c r="C10362" s="3" t="s">
        <v>2218</v>
      </c>
      <c r="D10362" s="265">
        <v>2.0</v>
      </c>
      <c r="E10362" s="3">
        <v>3790.0</v>
      </c>
      <c r="G10362" s="266">
        <v>43871.0</v>
      </c>
    </row>
    <row r="10363">
      <c r="A10363" s="217">
        <v>43925.47430615741</v>
      </c>
      <c r="B10363" s="3" t="s">
        <v>5184</v>
      </c>
      <c r="C10363" s="3" t="s">
        <v>10843</v>
      </c>
      <c r="D10363" s="265">
        <v>3.0</v>
      </c>
      <c r="E10363" s="3">
        <v>3890.0</v>
      </c>
      <c r="G10363" s="266">
        <v>43871.0</v>
      </c>
    </row>
    <row r="10364">
      <c r="A10364" s="217">
        <v>43925.474828136576</v>
      </c>
      <c r="B10364" s="3" t="s">
        <v>5184</v>
      </c>
      <c r="C10364" s="3" t="s">
        <v>9219</v>
      </c>
      <c r="D10364" s="265">
        <v>1.0</v>
      </c>
      <c r="E10364" s="3">
        <v>3590.0</v>
      </c>
      <c r="G10364" s="266">
        <v>43871.0</v>
      </c>
    </row>
    <row r="10365">
      <c r="A10365" s="217">
        <v>43925.47520188657</v>
      </c>
      <c r="B10365" s="3" t="s">
        <v>5184</v>
      </c>
      <c r="C10365" s="3" t="s">
        <v>6346</v>
      </c>
      <c r="D10365" s="265">
        <v>1.0</v>
      </c>
      <c r="E10365" s="3">
        <v>3490.0</v>
      </c>
      <c r="G10365" s="266">
        <v>43871.0</v>
      </c>
    </row>
    <row r="10366">
      <c r="A10366" s="217">
        <v>43925.475596296295</v>
      </c>
      <c r="B10366" s="3" t="s">
        <v>5184</v>
      </c>
      <c r="C10366" s="3" t="s">
        <v>6349</v>
      </c>
      <c r="D10366" s="265">
        <v>3.0</v>
      </c>
      <c r="E10366" s="3">
        <v>3290.0</v>
      </c>
      <c r="G10366" s="266">
        <v>43871.0</v>
      </c>
    </row>
    <row r="10367">
      <c r="A10367" s="217">
        <v>43925.475960613425</v>
      </c>
      <c r="B10367" s="3" t="s">
        <v>5184</v>
      </c>
      <c r="C10367" s="3" t="s">
        <v>6177</v>
      </c>
      <c r="D10367" s="265">
        <v>1.0</v>
      </c>
      <c r="E10367" s="3">
        <v>3790.0</v>
      </c>
      <c r="G10367" s="266">
        <v>43871.0</v>
      </c>
    </row>
    <row r="10368">
      <c r="A10368" s="217">
        <v>43925.47640328704</v>
      </c>
      <c r="B10368" s="3" t="s">
        <v>5184</v>
      </c>
      <c r="C10368" s="3" t="s">
        <v>2266</v>
      </c>
      <c r="D10368" s="265">
        <v>1.0</v>
      </c>
      <c r="E10368" s="3">
        <v>3790.0</v>
      </c>
      <c r="G10368" s="266">
        <v>43871.0</v>
      </c>
    </row>
    <row r="10369">
      <c r="A10369" s="217">
        <v>43925.476759502315</v>
      </c>
      <c r="B10369" s="3" t="s">
        <v>5184</v>
      </c>
      <c r="C10369" s="3" t="s">
        <v>6717</v>
      </c>
      <c r="D10369" s="265">
        <v>2.0</v>
      </c>
      <c r="E10369" s="3">
        <v>3890.0</v>
      </c>
      <c r="G10369" s="266">
        <v>43871.0</v>
      </c>
    </row>
    <row r="10370">
      <c r="A10370" s="217">
        <v>43925.477089050924</v>
      </c>
      <c r="B10370" s="3" t="s">
        <v>5184</v>
      </c>
      <c r="C10370" s="3" t="s">
        <v>5240</v>
      </c>
      <c r="D10370" s="265">
        <v>1.0</v>
      </c>
      <c r="G10370" s="266">
        <v>43871.0</v>
      </c>
    </row>
    <row r="10371">
      <c r="A10371" s="217">
        <v>43925.47745863426</v>
      </c>
      <c r="B10371" s="3" t="s">
        <v>5184</v>
      </c>
      <c r="C10371" s="3" t="s">
        <v>695</v>
      </c>
      <c r="D10371" s="265">
        <v>2.0</v>
      </c>
      <c r="E10371" s="3">
        <v>2899.0</v>
      </c>
      <c r="G10371" s="266">
        <v>43875.0</v>
      </c>
    </row>
    <row r="10372">
      <c r="A10372" s="217">
        <v>43925.47781820602</v>
      </c>
      <c r="B10372" s="3" t="s">
        <v>5184</v>
      </c>
      <c r="C10372" s="3" t="s">
        <v>1261</v>
      </c>
      <c r="D10372" s="265">
        <v>4.0</v>
      </c>
      <c r="E10372" s="3">
        <v>2395.0</v>
      </c>
      <c r="G10372" s="266">
        <v>43875.0</v>
      </c>
    </row>
    <row r="10373">
      <c r="A10373" s="217">
        <v>43925.47821019676</v>
      </c>
      <c r="B10373" s="3" t="s">
        <v>5184</v>
      </c>
      <c r="C10373" s="3" t="s">
        <v>1273</v>
      </c>
      <c r="D10373" s="265">
        <v>3.0</v>
      </c>
      <c r="E10373" s="3">
        <v>1999.0</v>
      </c>
      <c r="G10373" s="266">
        <v>43875.0</v>
      </c>
    </row>
    <row r="10374">
      <c r="A10374" s="217">
        <v>43925.4786759375</v>
      </c>
      <c r="B10374" s="3" t="s">
        <v>5184</v>
      </c>
      <c r="C10374" s="3" t="s">
        <v>4966</v>
      </c>
      <c r="D10374" s="265">
        <v>2.0</v>
      </c>
      <c r="E10374" s="3">
        <v>799.0</v>
      </c>
      <c r="G10374" s="266">
        <v>43875.0</v>
      </c>
    </row>
    <row r="10375">
      <c r="A10375" s="217">
        <v>43925.47915144676</v>
      </c>
      <c r="B10375" s="3" t="s">
        <v>5184</v>
      </c>
      <c r="C10375" s="3" t="s">
        <v>1260</v>
      </c>
      <c r="D10375" s="265">
        <v>3.0</v>
      </c>
      <c r="E10375" s="3">
        <v>1299.0</v>
      </c>
      <c r="G10375" s="266">
        <v>43875.0</v>
      </c>
    </row>
    <row r="10376">
      <c r="A10376" s="217">
        <v>43925.479531875</v>
      </c>
      <c r="B10376" s="3" t="s">
        <v>5184</v>
      </c>
      <c r="C10376" s="3" t="s">
        <v>4662</v>
      </c>
      <c r="D10376" s="265">
        <v>1.0</v>
      </c>
      <c r="E10376" s="3">
        <v>995.0</v>
      </c>
      <c r="G10376" s="266">
        <v>43875.0</v>
      </c>
    </row>
    <row r="10377">
      <c r="A10377" s="217">
        <v>43925.47987094907</v>
      </c>
      <c r="B10377" s="3" t="s">
        <v>5184</v>
      </c>
      <c r="C10377" s="3" t="s">
        <v>4509</v>
      </c>
      <c r="D10377" s="265">
        <v>2.0</v>
      </c>
      <c r="E10377" s="3">
        <v>1995.0</v>
      </c>
      <c r="G10377" s="266">
        <v>43875.0</v>
      </c>
    </row>
    <row r="10378">
      <c r="A10378" s="217">
        <v>43925.48027915509</v>
      </c>
      <c r="B10378" s="3" t="s">
        <v>5184</v>
      </c>
      <c r="C10378" s="3" t="s">
        <v>4514</v>
      </c>
      <c r="D10378" s="265">
        <v>4.0</v>
      </c>
      <c r="E10378" s="3">
        <v>2150.0</v>
      </c>
      <c r="G10378" s="266">
        <v>43875.0</v>
      </c>
    </row>
    <row r="10379">
      <c r="A10379" s="217">
        <v>43925.48078409722</v>
      </c>
      <c r="B10379" s="3" t="s">
        <v>5184</v>
      </c>
      <c r="C10379" s="3" t="s">
        <v>1244</v>
      </c>
      <c r="D10379" s="265">
        <v>6.0</v>
      </c>
      <c r="E10379" s="3">
        <v>2699.0</v>
      </c>
      <c r="G10379" s="266">
        <v>43875.0</v>
      </c>
    </row>
    <row r="10380">
      <c r="A10380" s="217">
        <v>43925.4811825</v>
      </c>
      <c r="B10380" s="3" t="s">
        <v>5184</v>
      </c>
      <c r="C10380" s="3" t="s">
        <v>1249</v>
      </c>
      <c r="D10380" s="265">
        <v>4.0</v>
      </c>
      <c r="E10380" s="3">
        <v>2150.0</v>
      </c>
      <c r="G10380" s="266">
        <v>43875.0</v>
      </c>
    </row>
    <row r="10381">
      <c r="A10381" s="217">
        <v>43925.4816574537</v>
      </c>
      <c r="B10381" s="3" t="s">
        <v>5184</v>
      </c>
      <c r="C10381" s="3" t="s">
        <v>4541</v>
      </c>
      <c r="D10381" s="265">
        <v>4.0</v>
      </c>
      <c r="E10381" s="3">
        <v>2495.0</v>
      </c>
      <c r="G10381" s="266">
        <v>43875.0</v>
      </c>
    </row>
    <row r="10382">
      <c r="A10382" s="217">
        <v>43925.48205604167</v>
      </c>
      <c r="B10382" s="3" t="s">
        <v>5184</v>
      </c>
      <c r="C10382" s="3" t="s">
        <v>4548</v>
      </c>
      <c r="D10382" s="265">
        <v>4.0</v>
      </c>
      <c r="E10382" s="3">
        <v>2150.0</v>
      </c>
      <c r="G10382" s="266">
        <v>43875.0</v>
      </c>
    </row>
    <row r="10383">
      <c r="A10383" s="217">
        <v>43925.48249784722</v>
      </c>
      <c r="B10383" s="3" t="s">
        <v>5184</v>
      </c>
      <c r="C10383" s="3" t="s">
        <v>1254</v>
      </c>
      <c r="D10383" s="265">
        <v>5.0</v>
      </c>
      <c r="E10383" s="3">
        <v>2299.0</v>
      </c>
      <c r="G10383" s="266">
        <v>43875.0</v>
      </c>
    </row>
    <row r="10384">
      <c r="A10384" s="217">
        <v>43925.48298122685</v>
      </c>
      <c r="B10384" s="3" t="s">
        <v>5184</v>
      </c>
      <c r="C10384" s="3" t="s">
        <v>4593</v>
      </c>
      <c r="D10384" s="265">
        <v>3.0</v>
      </c>
      <c r="E10384" s="3">
        <v>995.0</v>
      </c>
      <c r="G10384" s="266">
        <v>43875.0</v>
      </c>
    </row>
    <row r="10385">
      <c r="A10385" s="217">
        <v>43925.48373570602</v>
      </c>
      <c r="B10385" s="3" t="s">
        <v>5184</v>
      </c>
      <c r="C10385" s="3" t="s">
        <v>1257</v>
      </c>
      <c r="D10385" s="265">
        <v>4.0</v>
      </c>
      <c r="E10385" s="3">
        <v>1299.0</v>
      </c>
      <c r="G10385" s="266">
        <v>43875.0</v>
      </c>
    </row>
    <row r="10386">
      <c r="A10386" s="217">
        <v>43925.48414677083</v>
      </c>
      <c r="B10386" s="3" t="s">
        <v>5184</v>
      </c>
      <c r="C10386" s="3" t="s">
        <v>4595</v>
      </c>
      <c r="D10386" s="265">
        <v>4.0</v>
      </c>
      <c r="E10386" s="3">
        <v>1295.0</v>
      </c>
      <c r="G10386" s="266">
        <v>43875.0</v>
      </c>
    </row>
    <row r="10387">
      <c r="A10387" s="217">
        <v>43925.48472255787</v>
      </c>
      <c r="B10387" s="3" t="s">
        <v>5184</v>
      </c>
      <c r="C10387" s="3" t="s">
        <v>4609</v>
      </c>
      <c r="D10387" s="265">
        <v>2.0</v>
      </c>
      <c r="E10387" s="3">
        <v>2395.0</v>
      </c>
      <c r="G10387" s="266">
        <v>43875.0</v>
      </c>
    </row>
    <row r="10388">
      <c r="A10388" s="217">
        <v>43925.48511172454</v>
      </c>
      <c r="B10388" s="3" t="s">
        <v>5184</v>
      </c>
      <c r="C10388" s="3" t="s">
        <v>4847</v>
      </c>
      <c r="D10388" s="265">
        <v>4.0</v>
      </c>
      <c r="E10388" s="3">
        <v>1699.0</v>
      </c>
      <c r="G10388" s="266">
        <v>43875.0</v>
      </c>
    </row>
    <row r="10389">
      <c r="A10389" s="217">
        <v>43925.485601064815</v>
      </c>
      <c r="B10389" s="3" t="s">
        <v>5184</v>
      </c>
      <c r="C10389" s="3" t="s">
        <v>700</v>
      </c>
      <c r="D10389" s="265">
        <v>5.0</v>
      </c>
      <c r="E10389" s="3">
        <v>1399.0</v>
      </c>
      <c r="G10389" s="266">
        <v>43875.0</v>
      </c>
    </row>
    <row r="10390">
      <c r="A10390" s="217">
        <v>43925.486000034725</v>
      </c>
      <c r="B10390" s="3" t="s">
        <v>5184</v>
      </c>
      <c r="C10390" s="3" t="s">
        <v>4620</v>
      </c>
      <c r="D10390" s="265">
        <v>3.0</v>
      </c>
      <c r="E10390" s="3">
        <v>1699.0</v>
      </c>
      <c r="G10390" s="266">
        <v>43875.0</v>
      </c>
    </row>
    <row r="10391">
      <c r="A10391" s="217">
        <v>43925.48639414352</v>
      </c>
      <c r="B10391" s="3" t="s">
        <v>5184</v>
      </c>
      <c r="C10391" s="3" t="s">
        <v>4622</v>
      </c>
      <c r="D10391" s="265">
        <v>3.0</v>
      </c>
      <c r="E10391" s="3">
        <v>1999.0</v>
      </c>
      <c r="G10391" s="266">
        <v>43875.0</v>
      </c>
    </row>
    <row r="10392">
      <c r="A10392" s="217">
        <v>43925.48681125</v>
      </c>
      <c r="B10392" s="3" t="s">
        <v>5184</v>
      </c>
      <c r="C10392" s="3" t="s">
        <v>9456</v>
      </c>
      <c r="D10392" s="265">
        <v>1.0</v>
      </c>
      <c r="E10392" s="3">
        <v>2099.0</v>
      </c>
      <c r="G10392" s="266">
        <v>43875.0</v>
      </c>
    </row>
    <row r="10393">
      <c r="A10393" s="217">
        <v>43925.48723109954</v>
      </c>
      <c r="B10393" s="3" t="s">
        <v>5184</v>
      </c>
      <c r="C10393" s="3" t="s">
        <v>4626</v>
      </c>
      <c r="D10393" s="265">
        <v>4.0</v>
      </c>
      <c r="E10393" s="3">
        <v>1799.0</v>
      </c>
      <c r="G10393" s="266">
        <v>43875.0</v>
      </c>
    </row>
    <row r="10394">
      <c r="A10394" s="217">
        <v>43925.487701412036</v>
      </c>
      <c r="B10394" s="3" t="s">
        <v>5184</v>
      </c>
      <c r="C10394" s="3" t="s">
        <v>4885</v>
      </c>
      <c r="D10394" s="265">
        <v>4.0</v>
      </c>
      <c r="E10394" s="3">
        <v>1699.0</v>
      </c>
      <c r="G10394" s="266">
        <v>43875.0</v>
      </c>
    </row>
    <row r="10395">
      <c r="A10395" s="217">
        <v>43925.48828575232</v>
      </c>
      <c r="B10395" s="3" t="s">
        <v>5184</v>
      </c>
      <c r="C10395" s="3" t="s">
        <v>4891</v>
      </c>
      <c r="D10395" s="265">
        <v>3.0</v>
      </c>
      <c r="E10395" s="3">
        <v>1699.0</v>
      </c>
      <c r="G10395" s="266">
        <v>43875.0</v>
      </c>
    </row>
    <row r="10396">
      <c r="A10396" s="217">
        <v>43925.48874366898</v>
      </c>
      <c r="B10396" s="3" t="s">
        <v>5184</v>
      </c>
      <c r="C10396" s="3" t="s">
        <v>4897</v>
      </c>
      <c r="D10396" s="265">
        <v>4.0</v>
      </c>
      <c r="E10396" s="3">
        <v>1999.0</v>
      </c>
      <c r="G10396" s="266">
        <v>43875.0</v>
      </c>
    </row>
    <row r="10397">
      <c r="A10397" s="217">
        <v>43925.48913497685</v>
      </c>
      <c r="B10397" s="3" t="s">
        <v>5184</v>
      </c>
      <c r="C10397" s="3" t="s">
        <v>1278</v>
      </c>
      <c r="D10397" s="265">
        <v>3.0</v>
      </c>
      <c r="E10397" s="3">
        <v>2212.0</v>
      </c>
      <c r="G10397" s="266">
        <v>43875.0</v>
      </c>
    </row>
    <row r="10398">
      <c r="A10398" s="217">
        <v>43925.4895495949</v>
      </c>
      <c r="B10398" s="3" t="s">
        <v>5184</v>
      </c>
      <c r="C10398" s="3" t="s">
        <v>9460</v>
      </c>
      <c r="D10398" s="265">
        <v>4.0</v>
      </c>
      <c r="E10398" s="3">
        <v>2499.0</v>
      </c>
      <c r="G10398" s="266">
        <v>43875.0</v>
      </c>
    </row>
    <row r="10399">
      <c r="A10399" s="217">
        <v>43925.49005096065</v>
      </c>
      <c r="B10399" s="3" t="s">
        <v>5184</v>
      </c>
      <c r="C10399" s="3" t="s">
        <v>4557</v>
      </c>
      <c r="D10399" s="265">
        <v>5.0</v>
      </c>
      <c r="E10399" s="3">
        <v>2295.0</v>
      </c>
      <c r="G10399" s="266">
        <v>43875.0</v>
      </c>
    </row>
    <row r="10400">
      <c r="A10400" s="217">
        <v>43925.49045131945</v>
      </c>
      <c r="B10400" s="3" t="s">
        <v>5184</v>
      </c>
      <c r="C10400" s="3" t="s">
        <v>4714</v>
      </c>
      <c r="D10400" s="265">
        <v>2.0</v>
      </c>
      <c r="E10400" s="3">
        <v>2150.0</v>
      </c>
      <c r="G10400" s="266">
        <v>43875.0</v>
      </c>
    </row>
    <row r="10401">
      <c r="A10401" s="217">
        <v>43925.490837233796</v>
      </c>
      <c r="B10401" s="3" t="s">
        <v>5184</v>
      </c>
      <c r="C10401" s="3" t="s">
        <v>1252</v>
      </c>
      <c r="D10401" s="265">
        <v>4.0</v>
      </c>
      <c r="E10401" s="3">
        <v>1995.0</v>
      </c>
      <c r="G10401" s="266">
        <v>43875.0</v>
      </c>
    </row>
    <row r="10402">
      <c r="A10402" s="217">
        <v>43925.49123300926</v>
      </c>
      <c r="B10402" s="3" t="s">
        <v>5184</v>
      </c>
      <c r="C10402" s="3" t="s">
        <v>4795</v>
      </c>
      <c r="D10402" s="265">
        <v>3.0</v>
      </c>
      <c r="E10402" s="3">
        <v>1699.0</v>
      </c>
      <c r="G10402" s="266">
        <v>43875.0</v>
      </c>
    </row>
    <row r="10403">
      <c r="A10403" s="217">
        <v>43925.49162046296</v>
      </c>
      <c r="B10403" s="3" t="s">
        <v>5184</v>
      </c>
      <c r="C10403" s="3" t="s">
        <v>1270</v>
      </c>
      <c r="D10403" s="265">
        <v>3.0</v>
      </c>
      <c r="E10403" s="3">
        <v>2099.0</v>
      </c>
      <c r="G10403" s="266">
        <v>43875.0</v>
      </c>
    </row>
    <row r="10404">
      <c r="A10404" s="217">
        <v>43925.49235185185</v>
      </c>
      <c r="B10404" s="3" t="s">
        <v>5184</v>
      </c>
      <c r="C10404" s="3" t="s">
        <v>4875</v>
      </c>
      <c r="D10404" s="265">
        <v>3.0</v>
      </c>
      <c r="E10404" s="3">
        <v>1999.0</v>
      </c>
      <c r="G10404" s="266">
        <v>43875.0</v>
      </c>
    </row>
    <row r="10405">
      <c r="A10405" s="217">
        <v>43925.49275509259</v>
      </c>
      <c r="B10405" s="3" t="s">
        <v>5184</v>
      </c>
      <c r="C10405" s="3" t="s">
        <v>4632</v>
      </c>
      <c r="D10405" s="265">
        <v>2.0</v>
      </c>
      <c r="E10405" s="3">
        <v>1699.0</v>
      </c>
      <c r="G10405" s="266">
        <v>43875.0</v>
      </c>
    </row>
    <row r="10406">
      <c r="A10406" s="217">
        <v>43925.493542048614</v>
      </c>
      <c r="B10406" s="3" t="s">
        <v>5184</v>
      </c>
      <c r="C10406" s="3" t="s">
        <v>4908</v>
      </c>
      <c r="D10406" s="265">
        <v>2.0</v>
      </c>
      <c r="E10406" s="3">
        <v>1999.0</v>
      </c>
      <c r="G10406" s="266">
        <v>43875.0</v>
      </c>
    </row>
    <row r="10407">
      <c r="A10407" s="217">
        <v>43925.49396344907</v>
      </c>
      <c r="B10407" s="3" t="s">
        <v>5184</v>
      </c>
      <c r="C10407" s="3" t="s">
        <v>4643</v>
      </c>
      <c r="D10407" s="265">
        <v>3.0</v>
      </c>
      <c r="E10407" s="3">
        <v>1999.0</v>
      </c>
      <c r="G10407" s="266">
        <v>43875.0</v>
      </c>
    </row>
    <row r="10408">
      <c r="A10408" s="217">
        <v>43925.494440740746</v>
      </c>
      <c r="B10408" s="3" t="s">
        <v>5184</v>
      </c>
      <c r="C10408" s="3" t="s">
        <v>1281</v>
      </c>
      <c r="D10408" s="265">
        <v>2.0</v>
      </c>
      <c r="E10408" s="3">
        <v>1699.0</v>
      </c>
      <c r="G10408" s="266">
        <v>43875.0</v>
      </c>
    </row>
    <row r="10409">
      <c r="A10409" s="217">
        <v>43925.4949528588</v>
      </c>
      <c r="B10409" s="3" t="s">
        <v>5184</v>
      </c>
      <c r="C10409" s="3" t="s">
        <v>4512</v>
      </c>
      <c r="D10409" s="265">
        <v>1.0</v>
      </c>
      <c r="E10409" s="3">
        <v>2450.0</v>
      </c>
      <c r="G10409" s="266">
        <v>43875.0</v>
      </c>
    </row>
    <row r="10410">
      <c r="A10410" s="217">
        <v>43925.49538768519</v>
      </c>
      <c r="B10410" s="3" t="s">
        <v>5184</v>
      </c>
      <c r="C10410" s="3" t="s">
        <v>4525</v>
      </c>
      <c r="D10410" s="265">
        <v>1.0</v>
      </c>
      <c r="E10410" s="3">
        <v>1895.0</v>
      </c>
      <c r="G10410" s="266">
        <v>43875.0</v>
      </c>
    </row>
    <row r="10411">
      <c r="A10411" s="217">
        <v>43925.495796793984</v>
      </c>
      <c r="B10411" s="3" t="s">
        <v>5184</v>
      </c>
      <c r="C10411" s="3" t="s">
        <v>4528</v>
      </c>
      <c r="D10411" s="265">
        <v>1.0</v>
      </c>
      <c r="E10411" s="3">
        <v>1795.0</v>
      </c>
      <c r="G10411" s="266">
        <v>43875.0</v>
      </c>
    </row>
    <row r="10412">
      <c r="A10412" s="217">
        <v>43925.794538842594</v>
      </c>
      <c r="B10412" s="3" t="s">
        <v>5184</v>
      </c>
      <c r="C10412" s="3" t="s">
        <v>4531</v>
      </c>
      <c r="D10412" s="265">
        <v>1.0</v>
      </c>
      <c r="E10412" s="3">
        <v>1795.0</v>
      </c>
      <c r="G10412" s="266">
        <v>43875.0</v>
      </c>
    </row>
    <row r="10413">
      <c r="A10413" s="217">
        <v>43925.794910729164</v>
      </c>
      <c r="B10413" s="3" t="s">
        <v>5184</v>
      </c>
      <c r="C10413" s="3" t="s">
        <v>9668</v>
      </c>
      <c r="D10413" s="265">
        <v>1.0</v>
      </c>
      <c r="G10413" s="266">
        <v>43875.0</v>
      </c>
    </row>
    <row r="10414">
      <c r="A10414" s="217">
        <v>43925.79524543982</v>
      </c>
      <c r="B10414" s="3" t="s">
        <v>5184</v>
      </c>
      <c r="C10414" s="3" t="s">
        <v>9669</v>
      </c>
      <c r="D10414" s="265">
        <v>1.0</v>
      </c>
      <c r="E10414" s="3">
        <v>2599.0</v>
      </c>
      <c r="G10414" s="266">
        <v>43875.0</v>
      </c>
    </row>
    <row r="10415">
      <c r="A10415" s="217">
        <v>43925.79556866898</v>
      </c>
      <c r="B10415" s="3" t="s">
        <v>5184</v>
      </c>
      <c r="C10415" s="3" t="s">
        <v>1250</v>
      </c>
      <c r="D10415" s="265">
        <v>2.0</v>
      </c>
      <c r="E10415" s="3">
        <v>2150.0</v>
      </c>
      <c r="G10415" s="266">
        <v>43875.0</v>
      </c>
    </row>
    <row r="10416">
      <c r="A10416" s="217">
        <v>43925.7959553588</v>
      </c>
      <c r="B10416" s="3" t="s">
        <v>5184</v>
      </c>
      <c r="C10416" s="3" t="s">
        <v>4754</v>
      </c>
      <c r="D10416" s="265">
        <v>2.0</v>
      </c>
      <c r="E10416" s="3">
        <v>2299.0</v>
      </c>
      <c r="G10416" s="266">
        <v>43875.0</v>
      </c>
    </row>
    <row r="10417">
      <c r="A10417" s="217">
        <v>43925.796291493054</v>
      </c>
      <c r="B10417" s="3" t="s">
        <v>5184</v>
      </c>
      <c r="C10417" s="3" t="s">
        <v>4756</v>
      </c>
      <c r="D10417" s="265">
        <v>2.0</v>
      </c>
      <c r="E10417" s="3">
        <v>2499.0</v>
      </c>
      <c r="G10417" s="266">
        <v>43875.0</v>
      </c>
    </row>
    <row r="10418">
      <c r="A10418" s="217">
        <v>43925.796617025466</v>
      </c>
      <c r="B10418" s="3" t="s">
        <v>5184</v>
      </c>
      <c r="C10418" s="3" t="s">
        <v>4764</v>
      </c>
      <c r="D10418" s="265">
        <v>2.0</v>
      </c>
      <c r="E10418" s="3">
        <v>2499.0</v>
      </c>
      <c r="G10418" s="266">
        <v>43875.0</v>
      </c>
    </row>
    <row r="10419">
      <c r="A10419" s="217">
        <v>43925.7969924537</v>
      </c>
      <c r="B10419" s="3" t="s">
        <v>5184</v>
      </c>
      <c r="C10419" s="3" t="s">
        <v>1255</v>
      </c>
      <c r="D10419" s="265">
        <v>2.0</v>
      </c>
      <c r="E10419" s="3">
        <v>2799.0</v>
      </c>
      <c r="G10419" s="266">
        <v>43875.0</v>
      </c>
    </row>
    <row r="10420">
      <c r="A10420" s="217">
        <v>43925.79734261574</v>
      </c>
      <c r="B10420" s="3" t="s">
        <v>5184</v>
      </c>
      <c r="C10420" s="3" t="s">
        <v>9671</v>
      </c>
      <c r="D10420" s="265">
        <v>1.0</v>
      </c>
      <c r="E10420" s="3">
        <v>1999.0</v>
      </c>
      <c r="G10420" s="266">
        <v>43875.0</v>
      </c>
    </row>
    <row r="10421">
      <c r="A10421" s="217">
        <v>43925.79767856481</v>
      </c>
      <c r="B10421" s="3" t="s">
        <v>5184</v>
      </c>
      <c r="C10421" s="3" t="s">
        <v>4590</v>
      </c>
      <c r="D10421" s="265">
        <v>2.0</v>
      </c>
      <c r="E10421" s="3">
        <v>1895.0</v>
      </c>
      <c r="G10421" s="266">
        <v>43875.0</v>
      </c>
    </row>
    <row r="10422">
      <c r="A10422" s="217">
        <v>43925.79806043982</v>
      </c>
      <c r="B10422" s="3" t="s">
        <v>5184</v>
      </c>
      <c r="C10422" s="3" t="s">
        <v>1256</v>
      </c>
      <c r="D10422" s="265">
        <v>1.0</v>
      </c>
      <c r="E10422" s="3">
        <v>2099.0</v>
      </c>
      <c r="G10422" s="266">
        <v>43875.0</v>
      </c>
    </row>
    <row r="10423">
      <c r="A10423" s="217">
        <v>43925.79840071759</v>
      </c>
      <c r="B10423" s="3" t="s">
        <v>5184</v>
      </c>
      <c r="C10423" s="3" t="s">
        <v>4820</v>
      </c>
      <c r="D10423" s="265">
        <v>1.0</v>
      </c>
      <c r="E10423" s="3">
        <v>1299.0</v>
      </c>
      <c r="G10423" s="266">
        <v>43875.0</v>
      </c>
    </row>
    <row r="10424">
      <c r="A10424" s="217">
        <v>43925.798735578705</v>
      </c>
      <c r="B10424" s="3" t="s">
        <v>5184</v>
      </c>
      <c r="C10424" s="3" t="s">
        <v>4844</v>
      </c>
      <c r="D10424" s="265">
        <v>1.0</v>
      </c>
      <c r="E10424" s="3">
        <v>850.0</v>
      </c>
      <c r="G10424" s="266">
        <v>43875.0</v>
      </c>
    </row>
    <row r="10425">
      <c r="A10425" s="217">
        <v>43925.799106516206</v>
      </c>
      <c r="B10425" s="3" t="s">
        <v>5184</v>
      </c>
      <c r="C10425" s="3" t="s">
        <v>4893</v>
      </c>
      <c r="D10425" s="265">
        <v>2.0</v>
      </c>
      <c r="E10425" s="3">
        <v>1999.0</v>
      </c>
      <c r="G10425" s="266">
        <v>43875.0</v>
      </c>
    </row>
    <row r="10426">
      <c r="A10426" s="217">
        <v>43925.79946180555</v>
      </c>
      <c r="B10426" s="3" t="s">
        <v>5184</v>
      </c>
      <c r="C10426" s="3" t="s">
        <v>4968</v>
      </c>
      <c r="D10426" s="265">
        <v>1.0</v>
      </c>
      <c r="E10426" s="3">
        <v>1399.0</v>
      </c>
      <c r="G10426" s="266">
        <v>43875.0</v>
      </c>
    </row>
    <row r="10427">
      <c r="A10427" s="217">
        <v>43925.7998227662</v>
      </c>
      <c r="B10427" s="3" t="s">
        <v>5184</v>
      </c>
      <c r="C10427" s="3" t="s">
        <v>4650</v>
      </c>
      <c r="D10427" s="265">
        <v>2.0</v>
      </c>
      <c r="E10427" s="3">
        <v>1299.0</v>
      </c>
      <c r="G10427" s="266">
        <v>43875.0</v>
      </c>
    </row>
    <row r="10428">
      <c r="A10428" s="217">
        <v>43925.80020557871</v>
      </c>
      <c r="B10428" s="3" t="s">
        <v>5184</v>
      </c>
      <c r="C10428" s="3" t="s">
        <v>5025</v>
      </c>
      <c r="D10428" s="265">
        <v>1.0</v>
      </c>
      <c r="E10428" s="3">
        <v>1299.0</v>
      </c>
      <c r="G10428" s="266">
        <v>43875.0</v>
      </c>
    </row>
    <row r="10429">
      <c r="A10429" s="217">
        <v>43925.800632604165</v>
      </c>
      <c r="B10429" s="3" t="s">
        <v>5184</v>
      </c>
      <c r="C10429" s="3" t="s">
        <v>9925</v>
      </c>
      <c r="D10429" s="265">
        <v>1.0</v>
      </c>
      <c r="G10429" s="266">
        <v>43875.0</v>
      </c>
    </row>
    <row r="10430">
      <c r="A10430" s="217">
        <v>43925.801012337964</v>
      </c>
      <c r="B10430" s="3" t="s">
        <v>5184</v>
      </c>
      <c r="C10430" s="3" t="s">
        <v>4552</v>
      </c>
      <c r="D10430" s="265">
        <v>2.0</v>
      </c>
      <c r="E10430" s="3">
        <v>2150.0</v>
      </c>
      <c r="G10430" s="266">
        <v>43875.0</v>
      </c>
    </row>
    <row r="10431">
      <c r="A10431" s="217">
        <v>43925.801399930555</v>
      </c>
      <c r="B10431" s="3" t="s">
        <v>5184</v>
      </c>
      <c r="C10431" s="3" t="s">
        <v>4656</v>
      </c>
      <c r="D10431" s="265">
        <v>1.0</v>
      </c>
      <c r="E10431" s="3">
        <v>1299.0</v>
      </c>
      <c r="G10431" s="266">
        <v>43875.0</v>
      </c>
    </row>
    <row r="10432">
      <c r="A10432" s="217">
        <v>43925.801789537036</v>
      </c>
      <c r="B10432" s="3" t="s">
        <v>5184</v>
      </c>
      <c r="C10432" s="3" t="s">
        <v>4589</v>
      </c>
      <c r="D10432" s="265">
        <v>1.0</v>
      </c>
      <c r="E10432" s="3">
        <v>1695.0</v>
      </c>
      <c r="F10432" s="3" t="s">
        <v>2096</v>
      </c>
      <c r="G10432" s="266">
        <v>43875.0</v>
      </c>
    </row>
    <row r="10433">
      <c r="A10433" s="217">
        <v>43925.802113541664</v>
      </c>
      <c r="B10433" s="3" t="s">
        <v>5184</v>
      </c>
      <c r="C10433" s="3" t="s">
        <v>9311</v>
      </c>
      <c r="D10433" s="265">
        <v>1.0</v>
      </c>
      <c r="E10433" s="3">
        <v>2295.0</v>
      </c>
      <c r="G10433" s="266">
        <v>43875.0</v>
      </c>
    </row>
    <row r="10434">
      <c r="A10434" s="217">
        <v>43925.80243135417</v>
      </c>
      <c r="B10434" s="3" t="s">
        <v>5184</v>
      </c>
      <c r="C10434" s="3" t="s">
        <v>4736</v>
      </c>
      <c r="D10434" s="265">
        <v>2.0</v>
      </c>
      <c r="E10434" s="3">
        <v>1895.0</v>
      </c>
      <c r="G10434" s="266">
        <v>43875.0</v>
      </c>
    </row>
    <row r="10435">
      <c r="A10435" s="217">
        <v>43925.80278033565</v>
      </c>
      <c r="B10435" s="3" t="s">
        <v>5184</v>
      </c>
      <c r="C10435" s="3" t="s">
        <v>4611</v>
      </c>
      <c r="D10435" s="265">
        <v>1.0</v>
      </c>
      <c r="E10435" s="3">
        <v>850.0</v>
      </c>
      <c r="G10435" s="266">
        <v>43875.0</v>
      </c>
    </row>
    <row r="10436">
      <c r="A10436" s="217">
        <v>43925.80325913195</v>
      </c>
      <c r="B10436" s="3" t="s">
        <v>5184</v>
      </c>
      <c r="C10436" s="3" t="s">
        <v>4659</v>
      </c>
      <c r="D10436" s="265">
        <v>1.0</v>
      </c>
      <c r="E10436" s="3">
        <v>1299.0</v>
      </c>
      <c r="G10436" s="266">
        <v>43875.0</v>
      </c>
    </row>
    <row r="10437">
      <c r="A10437" s="217">
        <v>43925.80368494213</v>
      </c>
      <c r="B10437" s="3" t="s">
        <v>5184</v>
      </c>
      <c r="C10437" s="3" t="s">
        <v>4871</v>
      </c>
      <c r="D10437" s="265">
        <v>1.0</v>
      </c>
      <c r="E10437" s="3">
        <v>1999.0</v>
      </c>
      <c r="G10437" s="266">
        <v>43875.0</v>
      </c>
    </row>
    <row r="10438">
      <c r="A10438" s="217">
        <v>43925.80410844907</v>
      </c>
      <c r="B10438" s="3" t="s">
        <v>5184</v>
      </c>
      <c r="C10438" s="3" t="s">
        <v>4578</v>
      </c>
      <c r="D10438" s="265">
        <v>3.0</v>
      </c>
      <c r="E10438" s="3">
        <v>1299.0</v>
      </c>
      <c r="G10438" s="266">
        <v>43875.0</v>
      </c>
    </row>
    <row r="10439">
      <c r="A10439" s="217">
        <v>43925.804482928244</v>
      </c>
      <c r="B10439" s="3" t="s">
        <v>5184</v>
      </c>
      <c r="C10439" s="3" t="s">
        <v>9358</v>
      </c>
      <c r="D10439" s="265">
        <v>1.0</v>
      </c>
      <c r="G10439" s="266">
        <v>43875.0</v>
      </c>
    </row>
    <row r="10440">
      <c r="A10440" s="217">
        <v>43925.804855995375</v>
      </c>
      <c r="B10440" s="3" t="s">
        <v>5184</v>
      </c>
      <c r="C10440" s="3" t="s">
        <v>9360</v>
      </c>
      <c r="D10440" s="265">
        <v>3.0</v>
      </c>
      <c r="G10440" s="266">
        <v>43875.0</v>
      </c>
    </row>
    <row r="10441">
      <c r="A10441" s="217">
        <v>43925.805206296296</v>
      </c>
      <c r="B10441" s="3" t="s">
        <v>5184</v>
      </c>
      <c r="C10441" s="3" t="s">
        <v>4999</v>
      </c>
      <c r="D10441" s="265">
        <v>2.0</v>
      </c>
      <c r="G10441" s="266">
        <v>43875.0</v>
      </c>
    </row>
    <row r="10442">
      <c r="A10442" s="217">
        <v>43925.80552677083</v>
      </c>
      <c r="B10442" s="3" t="s">
        <v>5184</v>
      </c>
      <c r="C10442" s="3" t="s">
        <v>9452</v>
      </c>
      <c r="D10442" s="265">
        <v>2.0</v>
      </c>
      <c r="G10442" s="266">
        <v>43875.0</v>
      </c>
    </row>
    <row r="10443">
      <c r="A10443" s="217">
        <v>43925.80589174769</v>
      </c>
      <c r="B10443" s="3" t="s">
        <v>5184</v>
      </c>
      <c r="C10443" s="3" t="s">
        <v>9453</v>
      </c>
      <c r="D10443" s="265">
        <v>1.0</v>
      </c>
      <c r="G10443" s="266">
        <v>43875.0</v>
      </c>
    </row>
    <row r="10444">
      <c r="A10444" s="217">
        <v>43925.80619449074</v>
      </c>
      <c r="B10444" s="3" t="s">
        <v>5184</v>
      </c>
      <c r="C10444" s="3" t="s">
        <v>9454</v>
      </c>
      <c r="D10444" s="265">
        <v>2.0</v>
      </c>
      <c r="G10444" s="266">
        <v>43875.0</v>
      </c>
    </row>
    <row r="10445">
      <c r="A10445" s="217">
        <v>43925.80667126157</v>
      </c>
      <c r="B10445" s="3" t="s">
        <v>5184</v>
      </c>
      <c r="C10445" s="3" t="s">
        <v>9451</v>
      </c>
      <c r="D10445" s="265">
        <v>3.0</v>
      </c>
      <c r="G10445" s="266">
        <v>43875.0</v>
      </c>
    </row>
    <row r="10446">
      <c r="A10446" s="217">
        <v>43925.80701464121</v>
      </c>
      <c r="B10446" s="3" t="s">
        <v>5184</v>
      </c>
      <c r="C10446" s="3" t="s">
        <v>9450</v>
      </c>
      <c r="D10446" s="265">
        <v>1.0</v>
      </c>
      <c r="G10446" s="266">
        <v>43875.0</v>
      </c>
    </row>
    <row r="10447">
      <c r="A10447" s="217">
        <v>43925.80735175926</v>
      </c>
      <c r="B10447" s="3" t="s">
        <v>5184</v>
      </c>
      <c r="C10447" s="3" t="s">
        <v>4976</v>
      </c>
      <c r="D10447" s="265">
        <v>4.0</v>
      </c>
      <c r="G10447" s="266">
        <v>43875.0</v>
      </c>
    </row>
    <row r="10448">
      <c r="A10448" s="217">
        <v>43925.80776152777</v>
      </c>
      <c r="B10448" s="3" t="s">
        <v>5184</v>
      </c>
      <c r="C10448" s="3" t="s">
        <v>5005</v>
      </c>
      <c r="D10448" s="265">
        <v>2.0</v>
      </c>
      <c r="G10448" s="266">
        <v>43875.0</v>
      </c>
    </row>
    <row r="10449">
      <c r="A10449" s="217">
        <v>43925.80814219908</v>
      </c>
      <c r="B10449" s="3" t="s">
        <v>5184</v>
      </c>
      <c r="C10449" s="3" t="s">
        <v>9359</v>
      </c>
      <c r="D10449" s="265">
        <v>1.0</v>
      </c>
      <c r="G10449" s="266">
        <v>43875.0</v>
      </c>
    </row>
    <row r="10450">
      <c r="A10450" s="217">
        <v>43925.80856255787</v>
      </c>
      <c r="B10450" s="3" t="s">
        <v>5184</v>
      </c>
      <c r="C10450" s="3" t="s">
        <v>1271</v>
      </c>
      <c r="D10450" s="265">
        <v>1.0</v>
      </c>
      <c r="G10450" s="266">
        <v>43875.0</v>
      </c>
    </row>
    <row r="10451">
      <c r="A10451" s="217">
        <v>43925.808913726854</v>
      </c>
      <c r="B10451" s="3" t="s">
        <v>5184</v>
      </c>
      <c r="C10451" s="3" t="s">
        <v>9535</v>
      </c>
      <c r="D10451" s="265">
        <v>2.0</v>
      </c>
      <c r="G10451" s="266">
        <v>43875.0</v>
      </c>
    </row>
    <row r="10452">
      <c r="A10452" s="217">
        <v>43926.44739184028</v>
      </c>
      <c r="B10452" s="3" t="s">
        <v>5184</v>
      </c>
      <c r="C10452" s="3" t="s">
        <v>7815</v>
      </c>
      <c r="D10452" s="265">
        <v>1.0</v>
      </c>
      <c r="G10452" s="266">
        <v>43875.0</v>
      </c>
    </row>
    <row r="10453">
      <c r="A10453" s="217">
        <v>43926.4477584375</v>
      </c>
      <c r="B10453" s="3" t="s">
        <v>5184</v>
      </c>
      <c r="C10453" s="3" t="s">
        <v>1289</v>
      </c>
      <c r="D10453" s="265">
        <v>1.0</v>
      </c>
      <c r="G10453" s="266">
        <v>43875.0</v>
      </c>
    </row>
    <row r="10454">
      <c r="A10454" s="217">
        <v>43926.44819210648</v>
      </c>
      <c r="B10454" s="3" t="s">
        <v>5184</v>
      </c>
      <c r="C10454" s="3" t="s">
        <v>4519</v>
      </c>
      <c r="D10454" s="265">
        <v>1.0</v>
      </c>
      <c r="G10454" s="266">
        <v>43875.0</v>
      </c>
    </row>
    <row r="10455">
      <c r="A10455" s="217">
        <v>43926.44854387731</v>
      </c>
      <c r="B10455" s="3" t="s">
        <v>5184</v>
      </c>
      <c r="C10455" s="3" t="s">
        <v>4738</v>
      </c>
      <c r="D10455" s="265">
        <v>1.0</v>
      </c>
      <c r="G10455" s="266">
        <v>43875.0</v>
      </c>
    </row>
    <row r="10456">
      <c r="A10456" s="217">
        <v>43926.44897056713</v>
      </c>
      <c r="B10456" s="3" t="s">
        <v>5184</v>
      </c>
      <c r="C10456" s="3" t="s">
        <v>4748</v>
      </c>
      <c r="D10456" s="265">
        <v>1.0</v>
      </c>
      <c r="G10456" s="266">
        <v>43875.0</v>
      </c>
    </row>
    <row r="10457">
      <c r="A10457" s="217">
        <v>43926.449304050926</v>
      </c>
      <c r="B10457" s="3" t="s">
        <v>5184</v>
      </c>
      <c r="C10457" s="3" t="s">
        <v>9922</v>
      </c>
      <c r="D10457" s="265">
        <v>1.0</v>
      </c>
      <c r="G10457" s="266">
        <v>43875.0</v>
      </c>
    </row>
    <row r="10458">
      <c r="A10458" s="217">
        <v>43926.4517840162</v>
      </c>
      <c r="B10458" s="3" t="s">
        <v>5184</v>
      </c>
      <c r="C10458" s="3" t="s">
        <v>4774</v>
      </c>
      <c r="D10458" s="265">
        <v>1.0</v>
      </c>
      <c r="G10458" s="266">
        <v>43875.0</v>
      </c>
    </row>
    <row r="10459">
      <c r="A10459" s="217">
        <v>43926.45213423611</v>
      </c>
      <c r="B10459" s="3" t="s">
        <v>5184</v>
      </c>
      <c r="C10459" s="3" t="s">
        <v>9923</v>
      </c>
      <c r="D10459" s="265">
        <v>1.0</v>
      </c>
      <c r="G10459" s="266">
        <v>43875.0</v>
      </c>
    </row>
    <row r="10460">
      <c r="A10460" s="217">
        <v>43926.45247495371</v>
      </c>
      <c r="B10460" s="3" t="s">
        <v>5184</v>
      </c>
      <c r="C10460" s="3" t="s">
        <v>9924</v>
      </c>
      <c r="D10460" s="265">
        <v>1.0</v>
      </c>
      <c r="G10460" s="266">
        <v>43875.0</v>
      </c>
    </row>
    <row r="10461">
      <c r="A10461" s="217">
        <v>43926.452820266204</v>
      </c>
      <c r="B10461" s="3" t="s">
        <v>5184</v>
      </c>
      <c r="C10461" s="3" t="s">
        <v>4792</v>
      </c>
      <c r="D10461" s="265">
        <v>1.0</v>
      </c>
      <c r="G10461" s="266">
        <v>43875.0</v>
      </c>
    </row>
    <row r="10462">
      <c r="A10462" s="217">
        <v>43926.45324422454</v>
      </c>
      <c r="B10462" s="3" t="s">
        <v>5184</v>
      </c>
      <c r="C10462" s="3" t="s">
        <v>5027</v>
      </c>
      <c r="D10462" s="265">
        <v>1.0</v>
      </c>
      <c r="G10462" s="266">
        <v>43875.0</v>
      </c>
    </row>
    <row r="10463">
      <c r="A10463" s="217">
        <v>43926.45370270833</v>
      </c>
      <c r="B10463" s="3" t="s">
        <v>5184</v>
      </c>
      <c r="C10463" s="3" t="s">
        <v>4760</v>
      </c>
      <c r="D10463" s="265">
        <v>1.0</v>
      </c>
      <c r="G10463" s="266">
        <v>43875.0</v>
      </c>
    </row>
    <row r="10464">
      <c r="A10464" s="217">
        <v>43926.45403511574</v>
      </c>
      <c r="B10464" s="3" t="s">
        <v>5184</v>
      </c>
      <c r="C10464" s="3" t="s">
        <v>4776</v>
      </c>
      <c r="D10464" s="265">
        <v>1.0</v>
      </c>
      <c r="G10464" s="266">
        <v>43875.0</v>
      </c>
    </row>
    <row r="10465">
      <c r="A10465" s="217">
        <v>43926.454357152776</v>
      </c>
      <c r="B10465" s="3" t="s">
        <v>5184</v>
      </c>
      <c r="C10465" s="3" t="s">
        <v>4798</v>
      </c>
      <c r="D10465" s="265">
        <v>1.0</v>
      </c>
      <c r="G10465" s="266">
        <v>43875.0</v>
      </c>
    </row>
    <row r="10466">
      <c r="A10466" s="217">
        <v>43926.45474479167</v>
      </c>
      <c r="B10466" s="3" t="s">
        <v>5184</v>
      </c>
      <c r="C10466" s="3" t="s">
        <v>9457</v>
      </c>
      <c r="D10466" s="265">
        <v>3.0</v>
      </c>
      <c r="G10466" s="266">
        <v>43875.0</v>
      </c>
    </row>
    <row r="10467">
      <c r="A10467" s="217">
        <v>43926.45516752315</v>
      </c>
      <c r="B10467" s="3" t="s">
        <v>5184</v>
      </c>
      <c r="C10467" s="3" t="s">
        <v>725</v>
      </c>
      <c r="D10467" s="265">
        <v>5.0</v>
      </c>
      <c r="E10467" s="3">
        <v>2160.0</v>
      </c>
      <c r="G10467" s="266">
        <v>43876.0</v>
      </c>
    </row>
    <row r="10468">
      <c r="A10468" s="217">
        <v>43926.45558414352</v>
      </c>
      <c r="B10468" s="3" t="s">
        <v>5184</v>
      </c>
      <c r="C10468" s="3" t="s">
        <v>726</v>
      </c>
      <c r="D10468" s="265">
        <v>1.0</v>
      </c>
      <c r="E10468" s="3">
        <v>2160.0</v>
      </c>
      <c r="G10468" s="266">
        <v>43876.0</v>
      </c>
    </row>
    <row r="10469">
      <c r="A10469" s="217">
        <v>43926.455945208334</v>
      </c>
      <c r="B10469" s="3" t="s">
        <v>5184</v>
      </c>
      <c r="C10469" s="3" t="s">
        <v>724</v>
      </c>
      <c r="D10469" s="265">
        <v>2.0</v>
      </c>
      <c r="E10469" s="3">
        <v>2380.0</v>
      </c>
      <c r="G10469" s="266">
        <v>43876.0</v>
      </c>
    </row>
    <row r="10470">
      <c r="A10470" s="217">
        <v>43926.456300844904</v>
      </c>
      <c r="B10470" s="3" t="s">
        <v>5184</v>
      </c>
      <c r="C10470" s="3" t="s">
        <v>714</v>
      </c>
      <c r="D10470" s="265">
        <v>1.0</v>
      </c>
      <c r="G10470" s="266">
        <v>43876.0</v>
      </c>
    </row>
    <row r="10471">
      <c r="A10471" s="217">
        <v>43926.456663634264</v>
      </c>
      <c r="B10471" s="3" t="s">
        <v>5184</v>
      </c>
      <c r="C10471" s="3" t="s">
        <v>5664</v>
      </c>
      <c r="D10471" s="265">
        <v>1.0</v>
      </c>
      <c r="E10471" s="3">
        <v>2250.0</v>
      </c>
      <c r="G10471" s="266">
        <v>43876.0</v>
      </c>
    </row>
    <row r="10472">
      <c r="A10472" s="217">
        <v>43926.45706439815</v>
      </c>
      <c r="B10472" s="3" t="s">
        <v>5184</v>
      </c>
      <c r="C10472" s="3" t="s">
        <v>1386</v>
      </c>
      <c r="D10472" s="265">
        <v>2.0</v>
      </c>
      <c r="E10472" s="3">
        <v>1950.0</v>
      </c>
      <c r="G10472" s="266">
        <v>43876.0</v>
      </c>
    </row>
    <row r="10473">
      <c r="A10473" s="217">
        <v>43926.457445520835</v>
      </c>
      <c r="B10473" s="3" t="s">
        <v>5184</v>
      </c>
      <c r="C10473" s="3" t="s">
        <v>6913</v>
      </c>
      <c r="D10473" s="265">
        <v>1.0</v>
      </c>
      <c r="G10473" s="266">
        <v>43876.0</v>
      </c>
    </row>
    <row r="10474">
      <c r="A10474" s="217">
        <v>43926.45777833334</v>
      </c>
      <c r="B10474" s="3" t="s">
        <v>5184</v>
      </c>
      <c r="C10474" s="3" t="s">
        <v>713</v>
      </c>
      <c r="D10474" s="265">
        <v>1.0</v>
      </c>
      <c r="E10474" s="3">
        <v>2250.0</v>
      </c>
      <c r="G10474" s="266">
        <v>43876.0</v>
      </c>
    </row>
    <row r="10475">
      <c r="A10475" s="217">
        <v>43926.458103321755</v>
      </c>
      <c r="B10475" s="3" t="s">
        <v>5184</v>
      </c>
      <c r="C10475" s="3" t="s">
        <v>1412</v>
      </c>
      <c r="D10475" s="265">
        <v>1.0</v>
      </c>
      <c r="E10475" s="3">
        <v>2590.0</v>
      </c>
      <c r="G10475" s="266">
        <v>43876.0</v>
      </c>
    </row>
    <row r="10476">
      <c r="A10476" s="217">
        <v>43926.45851866898</v>
      </c>
      <c r="B10476" s="3" t="s">
        <v>5184</v>
      </c>
      <c r="C10476" s="3" t="s">
        <v>6918</v>
      </c>
      <c r="D10476" s="265">
        <v>1.0</v>
      </c>
      <c r="G10476" s="266">
        <v>43876.0</v>
      </c>
    </row>
    <row r="10477">
      <c r="A10477" s="217">
        <v>43926.45884290509</v>
      </c>
      <c r="B10477" s="3" t="s">
        <v>5184</v>
      </c>
      <c r="C10477" s="3" t="s">
        <v>8537</v>
      </c>
      <c r="D10477" s="265">
        <v>1.0</v>
      </c>
      <c r="G10477" s="266">
        <v>43876.0</v>
      </c>
    </row>
    <row r="10478">
      <c r="A10478" s="217">
        <v>43926.45917478009</v>
      </c>
      <c r="B10478" s="3" t="s">
        <v>5184</v>
      </c>
      <c r="C10478" s="3" t="s">
        <v>10846</v>
      </c>
      <c r="D10478" s="265">
        <v>1.0</v>
      </c>
      <c r="G10478" s="266">
        <v>43876.0</v>
      </c>
    </row>
    <row r="10479">
      <c r="A10479" s="217">
        <v>43926.45954125</v>
      </c>
      <c r="B10479" s="3" t="s">
        <v>5184</v>
      </c>
      <c r="C10479" s="3" t="s">
        <v>6891</v>
      </c>
      <c r="D10479" s="265">
        <v>1.0</v>
      </c>
      <c r="E10479" s="3">
        <v>2160.0</v>
      </c>
      <c r="G10479" s="266">
        <v>43876.0</v>
      </c>
    </row>
    <row r="10480">
      <c r="A10480" s="217">
        <v>43926.45985534722</v>
      </c>
      <c r="B10480" s="3" t="s">
        <v>5184</v>
      </c>
      <c r="C10480" s="3" t="s">
        <v>719</v>
      </c>
      <c r="D10480" s="265">
        <v>1.0</v>
      </c>
      <c r="E10480" s="3">
        <v>2390.0</v>
      </c>
      <c r="G10480" s="266">
        <v>43876.0</v>
      </c>
    </row>
    <row r="10481">
      <c r="A10481" s="217">
        <v>43926.46027917824</v>
      </c>
      <c r="B10481" s="3" t="s">
        <v>5184</v>
      </c>
      <c r="C10481" s="3" t="s">
        <v>1389</v>
      </c>
      <c r="D10481" s="265">
        <v>1.0</v>
      </c>
      <c r="E10481" s="3">
        <v>1950.0</v>
      </c>
      <c r="G10481" s="266">
        <v>43876.0</v>
      </c>
    </row>
    <row r="10482">
      <c r="A10482" s="217">
        <v>43926.46074923611</v>
      </c>
      <c r="B10482" s="3" t="s">
        <v>5184</v>
      </c>
      <c r="C10482" s="3" t="s">
        <v>8658</v>
      </c>
      <c r="D10482" s="265">
        <v>1.0</v>
      </c>
      <c r="E10482" s="3">
        <v>2590.0</v>
      </c>
      <c r="G10482" s="266">
        <v>43876.0</v>
      </c>
    </row>
    <row r="10483">
      <c r="A10483" s="217">
        <v>43926.46111579861</v>
      </c>
      <c r="B10483" s="3" t="s">
        <v>5184</v>
      </c>
      <c r="C10483" s="3" t="s">
        <v>1078</v>
      </c>
      <c r="D10483" s="265">
        <v>1.0</v>
      </c>
      <c r="E10483" s="3">
        <v>1800.0</v>
      </c>
      <c r="G10483" s="266">
        <v>43879.0</v>
      </c>
    </row>
    <row r="10484">
      <c r="A10484" s="217">
        <v>43926.46153612269</v>
      </c>
      <c r="B10484" s="3" t="s">
        <v>5184</v>
      </c>
      <c r="C10484" s="3" t="s">
        <v>9217</v>
      </c>
      <c r="D10484" s="265">
        <v>3.0</v>
      </c>
      <c r="E10484" s="3">
        <v>3190.0</v>
      </c>
      <c r="G10484" s="266">
        <v>43879.0</v>
      </c>
    </row>
    <row r="10485">
      <c r="A10485" s="217">
        <v>43926.46267096065</v>
      </c>
      <c r="B10485" s="3" t="s">
        <v>5184</v>
      </c>
      <c r="C10485" s="3" t="s">
        <v>6339</v>
      </c>
      <c r="D10485" s="265">
        <v>8.0</v>
      </c>
      <c r="G10485" s="266">
        <v>43879.0</v>
      </c>
    </row>
    <row r="10486">
      <c r="A10486" s="217">
        <v>43926.46304148148</v>
      </c>
      <c r="B10486" s="3" t="s">
        <v>5184</v>
      </c>
      <c r="C10486" s="3" t="s">
        <v>2138</v>
      </c>
      <c r="D10486" s="265">
        <v>4.0</v>
      </c>
      <c r="E10486" s="3">
        <v>3490.0</v>
      </c>
      <c r="G10486" s="266">
        <v>43879.0</v>
      </c>
    </row>
    <row r="10487">
      <c r="A10487" s="217">
        <v>43926.46344690972</v>
      </c>
      <c r="B10487" s="3" t="s">
        <v>5184</v>
      </c>
      <c r="C10487" s="3" t="s">
        <v>1470</v>
      </c>
      <c r="D10487" s="265">
        <v>3.0</v>
      </c>
      <c r="E10487" s="3">
        <v>2250.0</v>
      </c>
      <c r="G10487" s="266">
        <v>43879.0</v>
      </c>
    </row>
    <row r="10488">
      <c r="A10488" s="217">
        <v>43926.46380271991</v>
      </c>
      <c r="B10488" s="3" t="s">
        <v>5184</v>
      </c>
      <c r="C10488" s="3" t="s">
        <v>5531</v>
      </c>
      <c r="D10488" s="265">
        <v>3.0</v>
      </c>
      <c r="E10488" s="3">
        <v>3390.0</v>
      </c>
      <c r="G10488" s="266">
        <v>43879.0</v>
      </c>
    </row>
    <row r="10489">
      <c r="A10489" s="217">
        <v>43926.46414306713</v>
      </c>
      <c r="B10489" s="3" t="s">
        <v>5184</v>
      </c>
      <c r="C10489" s="3" t="s">
        <v>6331</v>
      </c>
      <c r="D10489" s="265">
        <v>1.0</v>
      </c>
      <c r="E10489" s="3">
        <v>3990.0</v>
      </c>
      <c r="G10489" s="266">
        <v>43879.0</v>
      </c>
    </row>
    <row r="10490">
      <c r="A10490" s="217">
        <v>43926.46451046296</v>
      </c>
      <c r="B10490" s="3" t="s">
        <v>5184</v>
      </c>
      <c r="C10490" s="3" t="s">
        <v>2131</v>
      </c>
      <c r="D10490" s="265">
        <v>4.0</v>
      </c>
      <c r="E10490" s="3">
        <v>3790.0</v>
      </c>
      <c r="G10490" s="266">
        <v>43880.0</v>
      </c>
    </row>
    <row r="10491">
      <c r="A10491" s="217">
        <v>43926.464849525466</v>
      </c>
      <c r="B10491" s="3" t="s">
        <v>5184</v>
      </c>
      <c r="C10491" s="3" t="s">
        <v>2173</v>
      </c>
      <c r="D10491" s="265">
        <v>1.0</v>
      </c>
      <c r="E10491" s="3">
        <v>3090.0</v>
      </c>
      <c r="G10491" s="266">
        <v>43880.0</v>
      </c>
    </row>
    <row r="10492">
      <c r="A10492" s="217">
        <v>43926.465223356485</v>
      </c>
      <c r="B10492" s="3" t="s">
        <v>5184</v>
      </c>
      <c r="C10492" s="3" t="s">
        <v>6921</v>
      </c>
      <c r="D10492" s="265">
        <v>1.0</v>
      </c>
      <c r="E10492" s="3">
        <v>2250.0</v>
      </c>
      <c r="G10492" s="266">
        <v>43880.0</v>
      </c>
    </row>
    <row r="10493">
      <c r="A10493" s="217">
        <v>43926.465562604164</v>
      </c>
      <c r="B10493" s="3" t="s">
        <v>5184</v>
      </c>
      <c r="C10493" s="3" t="s">
        <v>2142</v>
      </c>
      <c r="D10493" s="265">
        <v>2.0</v>
      </c>
      <c r="E10493" s="3">
        <v>3290.0</v>
      </c>
      <c r="G10493" s="266">
        <v>43880.0</v>
      </c>
    </row>
    <row r="10494">
      <c r="A10494" s="217">
        <v>43926.48607612269</v>
      </c>
      <c r="B10494" s="3" t="s">
        <v>5184</v>
      </c>
      <c r="C10494" s="3" t="s">
        <v>2104</v>
      </c>
      <c r="D10494" s="265">
        <v>2.0</v>
      </c>
      <c r="E10494" s="3">
        <v>4590.0</v>
      </c>
      <c r="G10494" s="266">
        <v>43880.0</v>
      </c>
    </row>
    <row r="10495">
      <c r="A10495" s="217">
        <v>43926.48675902778</v>
      </c>
      <c r="B10495" s="3" t="s">
        <v>5184</v>
      </c>
      <c r="C10495" s="3" t="s">
        <v>10762</v>
      </c>
      <c r="D10495" s="265">
        <v>1.0</v>
      </c>
      <c r="E10495" s="3">
        <v>3125.0</v>
      </c>
      <c r="G10495" s="266">
        <v>43880.0</v>
      </c>
    </row>
    <row r="10496">
      <c r="A10496" s="217">
        <v>43926.48708063657</v>
      </c>
      <c r="B10496" s="3" t="s">
        <v>5184</v>
      </c>
      <c r="C10496" s="3" t="s">
        <v>2063</v>
      </c>
      <c r="D10496" s="265">
        <v>1.0</v>
      </c>
      <c r="G10496" s="266">
        <v>43880.0</v>
      </c>
    </row>
    <row r="10497">
      <c r="A10497" s="217">
        <v>43926.48741832176</v>
      </c>
      <c r="B10497" s="3" t="s">
        <v>5184</v>
      </c>
      <c r="C10497" s="3" t="s">
        <v>2009</v>
      </c>
      <c r="D10497" s="265">
        <v>3.0</v>
      </c>
      <c r="E10497" s="3">
        <v>8625.0</v>
      </c>
      <c r="G10497" s="266">
        <v>43880.0</v>
      </c>
    </row>
    <row r="10498">
      <c r="A10498" s="217">
        <v>43926.48775893518</v>
      </c>
      <c r="B10498" s="3" t="s">
        <v>5184</v>
      </c>
      <c r="C10498" s="3" t="s">
        <v>2016</v>
      </c>
      <c r="D10498" s="265">
        <v>2.0</v>
      </c>
      <c r="E10498" s="3">
        <v>8900.0</v>
      </c>
      <c r="G10498" s="266">
        <v>43881.0</v>
      </c>
    </row>
    <row r="10499">
      <c r="A10499" s="217">
        <v>43926.488080763884</v>
      </c>
      <c r="B10499" s="3" t="s">
        <v>5184</v>
      </c>
      <c r="C10499" s="3" t="s">
        <v>2018</v>
      </c>
      <c r="D10499" s="265">
        <v>1.0</v>
      </c>
      <c r="E10499" s="3">
        <v>8900.0</v>
      </c>
      <c r="G10499" s="266">
        <v>43881.0</v>
      </c>
    </row>
    <row r="10500">
      <c r="A10500" s="217">
        <v>43926.48846175926</v>
      </c>
      <c r="B10500" s="3" t="s">
        <v>5184</v>
      </c>
      <c r="C10500" s="3" t="s">
        <v>2022</v>
      </c>
      <c r="D10500" s="265">
        <v>2.0</v>
      </c>
      <c r="E10500" s="3">
        <v>8190.0</v>
      </c>
      <c r="G10500" s="266">
        <v>43881.0</v>
      </c>
    </row>
    <row r="10501">
      <c r="A10501" s="217">
        <v>43926.488765891205</v>
      </c>
      <c r="B10501" s="3" t="s">
        <v>5184</v>
      </c>
      <c r="C10501" s="3" t="s">
        <v>2006</v>
      </c>
      <c r="D10501" s="265">
        <v>1.0</v>
      </c>
      <c r="E10501" s="3">
        <v>8970.0</v>
      </c>
      <c r="G10501" s="266">
        <v>43881.0</v>
      </c>
    </row>
    <row r="10502">
      <c r="A10502" s="217">
        <v>43926.4891602662</v>
      </c>
      <c r="B10502" s="3" t="s">
        <v>5184</v>
      </c>
      <c r="C10502" s="3" t="s">
        <v>9672</v>
      </c>
      <c r="D10502" s="265">
        <v>1.0</v>
      </c>
      <c r="E10502" s="3">
        <v>8970.0</v>
      </c>
      <c r="G10502" s="266">
        <v>43881.0</v>
      </c>
    </row>
    <row r="10503">
      <c r="A10503" s="217">
        <v>43926.48946939815</v>
      </c>
      <c r="B10503" s="3" t="s">
        <v>5184</v>
      </c>
      <c r="C10503" s="3" t="s">
        <v>2026</v>
      </c>
      <c r="D10503" s="265">
        <v>1.0</v>
      </c>
      <c r="E10503" s="3">
        <v>8190.0</v>
      </c>
      <c r="G10503" s="266">
        <v>43881.0</v>
      </c>
    </row>
    <row r="10504">
      <c r="A10504" s="217">
        <v>43926.489783032404</v>
      </c>
      <c r="B10504" s="3" t="s">
        <v>5184</v>
      </c>
      <c r="C10504" s="3" t="s">
        <v>5350</v>
      </c>
      <c r="D10504" s="265">
        <v>1.0</v>
      </c>
      <c r="E10504" s="3">
        <v>8415.0</v>
      </c>
      <c r="G10504" s="266">
        <v>43881.0</v>
      </c>
    </row>
    <row r="10505">
      <c r="A10505" s="217">
        <v>43926.49009655093</v>
      </c>
      <c r="B10505" s="3" t="s">
        <v>5184</v>
      </c>
      <c r="C10505" s="3" t="s">
        <v>9536</v>
      </c>
      <c r="D10505" s="265">
        <v>1.0</v>
      </c>
      <c r="G10505" s="266">
        <v>43881.0</v>
      </c>
    </row>
    <row r="10506">
      <c r="A10506" s="217">
        <v>43926.49044996528</v>
      </c>
      <c r="B10506" s="3" t="s">
        <v>5184</v>
      </c>
      <c r="C10506" s="3" t="s">
        <v>2025</v>
      </c>
      <c r="D10506" s="265">
        <v>1.0</v>
      </c>
      <c r="E10506" s="3">
        <v>8190.0</v>
      </c>
      <c r="G10506" s="266">
        <v>43881.0</v>
      </c>
    </row>
    <row r="10507">
      <c r="A10507" s="217">
        <v>43926.49085818287</v>
      </c>
      <c r="B10507" s="3" t="s">
        <v>5184</v>
      </c>
      <c r="C10507" s="3" t="s">
        <v>2008</v>
      </c>
      <c r="D10507" s="265">
        <v>1.0</v>
      </c>
      <c r="E10507" s="3">
        <v>8970.0</v>
      </c>
      <c r="G10507" s="266">
        <v>43882.0</v>
      </c>
    </row>
    <row r="10508">
      <c r="A10508" s="217">
        <v>43926.49123238426</v>
      </c>
      <c r="B10508" s="3" t="s">
        <v>5184</v>
      </c>
      <c r="C10508" s="3" t="s">
        <v>2031</v>
      </c>
      <c r="D10508" s="265">
        <v>1.0</v>
      </c>
      <c r="G10508" s="266">
        <v>43882.0</v>
      </c>
    </row>
    <row r="10509">
      <c r="A10509" s="217">
        <v>43926.49166134259</v>
      </c>
      <c r="B10509" s="3" t="s">
        <v>5184</v>
      </c>
      <c r="C10509" s="3" t="s">
        <v>2057</v>
      </c>
      <c r="D10509" s="265">
        <v>1.0</v>
      </c>
      <c r="E10509" s="3">
        <v>8925.0</v>
      </c>
      <c r="G10509" s="266">
        <v>43882.0</v>
      </c>
    </row>
    <row r="10510">
      <c r="A10510" s="217">
        <v>43926.4919634375</v>
      </c>
      <c r="B10510" s="3" t="s">
        <v>5184</v>
      </c>
      <c r="C10510" s="3" t="s">
        <v>5463</v>
      </c>
      <c r="D10510" s="265">
        <v>3.0</v>
      </c>
      <c r="E10510" s="3">
        <v>4790.0</v>
      </c>
      <c r="G10510" s="266">
        <v>43882.0</v>
      </c>
    </row>
    <row r="10511">
      <c r="A10511" s="217">
        <v>43926.49229221065</v>
      </c>
      <c r="B10511" s="3" t="s">
        <v>5184</v>
      </c>
      <c r="C10511" s="3" t="s">
        <v>6347</v>
      </c>
      <c r="D10511" s="265">
        <v>1.0</v>
      </c>
      <c r="E10511" s="3">
        <v>3990.0</v>
      </c>
      <c r="G10511" s="266">
        <v>43882.0</v>
      </c>
    </row>
    <row r="10512">
      <c r="A10512" s="217">
        <v>43926.49265050926</v>
      </c>
      <c r="B10512" s="3" t="s">
        <v>5184</v>
      </c>
      <c r="C10512" s="3" t="s">
        <v>5486</v>
      </c>
      <c r="D10512" s="265">
        <v>3.0</v>
      </c>
      <c r="G10512" s="266">
        <v>43882.0</v>
      </c>
    </row>
    <row r="10513">
      <c r="A10513" s="217">
        <v>43926.53600673611</v>
      </c>
      <c r="B10513" s="3" t="s">
        <v>5184</v>
      </c>
      <c r="C10513" s="3" t="s">
        <v>2110</v>
      </c>
      <c r="D10513" s="265">
        <v>1.0</v>
      </c>
      <c r="E10513" s="3">
        <v>5990.0</v>
      </c>
      <c r="G10513" s="266">
        <v>43882.0</v>
      </c>
    </row>
    <row r="10514">
      <c r="A10514" s="217">
        <v>43926.53637239583</v>
      </c>
      <c r="B10514" s="3" t="s">
        <v>5184</v>
      </c>
      <c r="C10514" s="3" t="s">
        <v>2165</v>
      </c>
      <c r="D10514" s="265">
        <v>4.0</v>
      </c>
      <c r="E10514" s="3">
        <v>5490.0</v>
      </c>
      <c r="G10514" s="266">
        <v>43882.0</v>
      </c>
    </row>
    <row r="10515">
      <c r="A10515" s="217">
        <v>43926.53671074074</v>
      </c>
      <c r="B10515" s="3" t="s">
        <v>5184</v>
      </c>
      <c r="C10515" s="3" t="s">
        <v>2117</v>
      </c>
      <c r="D10515" s="265">
        <v>2.0</v>
      </c>
      <c r="E10515" s="3">
        <v>4290.0</v>
      </c>
      <c r="G10515" s="266">
        <v>43883.0</v>
      </c>
    </row>
    <row r="10516">
      <c r="A10516" s="217">
        <v>43926.53705135417</v>
      </c>
      <c r="B10516" s="3" t="s">
        <v>5184</v>
      </c>
      <c r="C10516" s="3" t="s">
        <v>5442</v>
      </c>
      <c r="D10516" s="265">
        <v>3.0</v>
      </c>
      <c r="E10516" s="3">
        <v>6490.0</v>
      </c>
      <c r="G10516" s="266">
        <v>43883.0</v>
      </c>
    </row>
    <row r="10517">
      <c r="A10517" s="217">
        <v>43926.537418113425</v>
      </c>
      <c r="B10517" s="3" t="s">
        <v>5184</v>
      </c>
      <c r="C10517" s="3" t="s">
        <v>5539</v>
      </c>
      <c r="D10517" s="265">
        <v>2.0</v>
      </c>
      <c r="E10517" s="3">
        <v>4790.0</v>
      </c>
      <c r="G10517" s="266">
        <v>43883.0</v>
      </c>
    </row>
    <row r="10518">
      <c r="A10518" s="217">
        <v>43926.53783340278</v>
      </c>
      <c r="B10518" s="3" t="s">
        <v>5184</v>
      </c>
      <c r="C10518" s="3" t="s">
        <v>8655</v>
      </c>
      <c r="D10518" s="265">
        <v>2.0</v>
      </c>
      <c r="E10518" s="3">
        <v>2780.0</v>
      </c>
      <c r="G10518" s="266">
        <v>43883.0</v>
      </c>
    </row>
    <row r="10519">
      <c r="A10519" s="217">
        <v>43926.53816744213</v>
      </c>
      <c r="B10519" s="3" t="s">
        <v>5184</v>
      </c>
      <c r="C10519" s="3" t="s">
        <v>8666</v>
      </c>
      <c r="D10519" s="265">
        <v>2.0</v>
      </c>
      <c r="E10519" s="3">
        <v>2850.0</v>
      </c>
      <c r="G10519" s="266">
        <v>43883.0</v>
      </c>
    </row>
    <row r="10520">
      <c r="A10520" s="217">
        <v>43926.538531122686</v>
      </c>
      <c r="B10520" s="3" t="s">
        <v>5184</v>
      </c>
      <c r="C10520" s="3" t="s">
        <v>8672</v>
      </c>
      <c r="D10520" s="265">
        <v>1.0</v>
      </c>
      <c r="E10520" s="3">
        <v>2850.0</v>
      </c>
      <c r="G10520" s="266">
        <v>43883.0</v>
      </c>
    </row>
    <row r="10521">
      <c r="A10521" s="217">
        <v>43926.53887715278</v>
      </c>
      <c r="B10521" s="3" t="s">
        <v>5184</v>
      </c>
      <c r="C10521" s="3" t="s">
        <v>8674</v>
      </c>
      <c r="D10521" s="265">
        <v>1.0</v>
      </c>
      <c r="E10521" s="3">
        <v>2350.0</v>
      </c>
      <c r="G10521" s="266">
        <v>43883.0</v>
      </c>
    </row>
    <row r="10522">
      <c r="A10522" s="217">
        <v>43926.5392083912</v>
      </c>
      <c r="B10522" s="3" t="s">
        <v>5184</v>
      </c>
      <c r="C10522" s="3" t="s">
        <v>8689</v>
      </c>
      <c r="D10522" s="265">
        <v>1.0</v>
      </c>
      <c r="E10522" s="3">
        <v>2590.0</v>
      </c>
      <c r="G10522" s="266">
        <v>43883.0</v>
      </c>
    </row>
    <row r="10523">
      <c r="A10523" s="217">
        <v>43926.53955209491</v>
      </c>
      <c r="B10523" s="3" t="s">
        <v>5184</v>
      </c>
      <c r="C10523" s="3" t="s">
        <v>8639</v>
      </c>
      <c r="D10523" s="265">
        <v>1.0</v>
      </c>
      <c r="E10523" s="3">
        <v>2650.0</v>
      </c>
      <c r="G10523" s="266">
        <v>43883.0</v>
      </c>
    </row>
    <row r="10524">
      <c r="A10524" s="217">
        <v>43926.53991166667</v>
      </c>
      <c r="B10524" s="3" t="s">
        <v>5184</v>
      </c>
      <c r="C10524" s="3" t="s">
        <v>8581</v>
      </c>
      <c r="D10524" s="265">
        <v>2.0</v>
      </c>
      <c r="E10524" s="3">
        <v>2590.0</v>
      </c>
      <c r="G10524" s="266">
        <v>43883.0</v>
      </c>
    </row>
    <row r="10525">
      <c r="A10525" s="217">
        <v>43926.54291127315</v>
      </c>
      <c r="B10525" s="3" t="s">
        <v>5184</v>
      </c>
      <c r="C10525" s="3" t="s">
        <v>8677</v>
      </c>
      <c r="D10525" s="265">
        <v>2.0</v>
      </c>
      <c r="E10525" s="3">
        <v>2590.0</v>
      </c>
      <c r="G10525" s="266">
        <v>43883.0</v>
      </c>
    </row>
    <row r="10526">
      <c r="A10526" s="217">
        <v>43926.543295972224</v>
      </c>
      <c r="B10526" s="3" t="s">
        <v>5184</v>
      </c>
      <c r="C10526" s="3" t="s">
        <v>1553</v>
      </c>
      <c r="D10526" s="265">
        <v>2.0</v>
      </c>
      <c r="E10526" s="3">
        <v>2590.0</v>
      </c>
      <c r="G10526" s="266">
        <v>43883.0</v>
      </c>
    </row>
    <row r="10527">
      <c r="A10527" s="217">
        <v>43926.54371489583</v>
      </c>
      <c r="B10527" s="3" t="s">
        <v>5184</v>
      </c>
      <c r="C10527" s="3" t="s">
        <v>8683</v>
      </c>
      <c r="D10527" s="265">
        <v>1.0</v>
      </c>
      <c r="E10527" s="3">
        <v>2590.0</v>
      </c>
      <c r="G10527" s="266">
        <v>43883.0</v>
      </c>
    </row>
    <row r="10528">
      <c r="A10528" s="217">
        <v>43926.54411863426</v>
      </c>
      <c r="B10528" s="3" t="s">
        <v>5184</v>
      </c>
      <c r="C10528" s="3" t="s">
        <v>1557</v>
      </c>
      <c r="D10528" s="265">
        <v>1.0</v>
      </c>
      <c r="E10528" s="3">
        <v>2590.0</v>
      </c>
      <c r="G10528" s="266">
        <v>43883.0</v>
      </c>
    </row>
    <row r="10529">
      <c r="A10529" s="217">
        <v>43926.544460000005</v>
      </c>
      <c r="B10529" s="3" t="s">
        <v>5184</v>
      </c>
      <c r="C10529" s="3" t="s">
        <v>1558</v>
      </c>
      <c r="D10529" s="265">
        <v>1.0</v>
      </c>
      <c r="E10529" s="3">
        <v>2590.0</v>
      </c>
      <c r="G10529" s="266">
        <v>43883.0</v>
      </c>
    </row>
    <row r="10530">
      <c r="A10530" s="217">
        <v>43926.544887488424</v>
      </c>
      <c r="B10530" s="3" t="s">
        <v>5184</v>
      </c>
      <c r="C10530" s="3" t="s">
        <v>738</v>
      </c>
      <c r="D10530" s="265">
        <v>1.0</v>
      </c>
      <c r="E10530" s="3">
        <v>2850.0</v>
      </c>
      <c r="G10530" s="266">
        <v>43884.0</v>
      </c>
    </row>
    <row r="10531">
      <c r="A10531" s="217">
        <v>43926.5452333912</v>
      </c>
      <c r="B10531" s="3" t="s">
        <v>5184</v>
      </c>
      <c r="C10531" s="3" t="s">
        <v>1501</v>
      </c>
      <c r="D10531" s="265">
        <v>1.0</v>
      </c>
      <c r="E10531" s="3">
        <v>2950.0</v>
      </c>
      <c r="G10531" s="266">
        <v>43884.0</v>
      </c>
    </row>
    <row r="10532">
      <c r="A10532" s="217">
        <v>43926.545566458335</v>
      </c>
      <c r="B10532" s="3" t="s">
        <v>5184</v>
      </c>
      <c r="C10532" s="3" t="s">
        <v>9444</v>
      </c>
      <c r="D10532" s="265">
        <v>1.0</v>
      </c>
      <c r="E10532" s="3">
        <v>2150.0</v>
      </c>
      <c r="G10532" s="266">
        <v>43884.0</v>
      </c>
    </row>
    <row r="10533">
      <c r="A10533" s="217">
        <v>43926.54599068287</v>
      </c>
      <c r="B10533" s="3" t="s">
        <v>5184</v>
      </c>
      <c r="C10533" s="3" t="s">
        <v>1566</v>
      </c>
      <c r="D10533" s="265">
        <v>1.0</v>
      </c>
      <c r="E10533" s="3">
        <v>2850.0</v>
      </c>
      <c r="G10533" s="266">
        <v>43884.0</v>
      </c>
    </row>
    <row r="10534">
      <c r="A10534" s="217">
        <v>43926.54636864583</v>
      </c>
      <c r="B10534" s="3" t="s">
        <v>5184</v>
      </c>
      <c r="C10534" s="3" t="s">
        <v>4503</v>
      </c>
      <c r="D10534" s="265">
        <v>1.0</v>
      </c>
      <c r="E10534" s="3">
        <v>1850.0</v>
      </c>
      <c r="G10534" s="266">
        <v>43886.0</v>
      </c>
    </row>
    <row r="10535">
      <c r="A10535" s="217">
        <v>43926.54671181713</v>
      </c>
      <c r="B10535" s="3" t="s">
        <v>5184</v>
      </c>
      <c r="C10535" s="3" t="s">
        <v>1248</v>
      </c>
      <c r="D10535" s="265">
        <v>3.0</v>
      </c>
      <c r="E10535" s="3">
        <v>2150.0</v>
      </c>
      <c r="G10535" s="266">
        <v>43886.0</v>
      </c>
    </row>
    <row r="10536">
      <c r="A10536" s="217">
        <v>43926.547026875</v>
      </c>
      <c r="B10536" s="3" t="s">
        <v>5184</v>
      </c>
      <c r="C10536" s="3" t="s">
        <v>4705</v>
      </c>
      <c r="D10536" s="265">
        <v>1.0</v>
      </c>
      <c r="E10536" s="3">
        <v>2699.0</v>
      </c>
      <c r="G10536" s="266">
        <v>43886.0</v>
      </c>
    </row>
    <row r="10537">
      <c r="A10537" s="217">
        <v>43926.54739709491</v>
      </c>
      <c r="B10537" s="3" t="s">
        <v>5184</v>
      </c>
      <c r="C10537" s="3" t="s">
        <v>695</v>
      </c>
      <c r="D10537" s="265">
        <v>1.0</v>
      </c>
      <c r="E10537" s="3">
        <v>2899.0</v>
      </c>
      <c r="G10537" s="266">
        <v>43886.0</v>
      </c>
    </row>
    <row r="10538">
      <c r="A10538" s="217">
        <v>43926.54770408565</v>
      </c>
      <c r="B10538" s="3" t="s">
        <v>5184</v>
      </c>
      <c r="C10538" s="3" t="s">
        <v>4726</v>
      </c>
      <c r="D10538" s="265">
        <v>2.0</v>
      </c>
      <c r="E10538" s="3">
        <v>2250.0</v>
      </c>
      <c r="G10538" s="266">
        <v>43886.0</v>
      </c>
    </row>
    <row r="10539">
      <c r="A10539" s="217">
        <v>43926.548112222226</v>
      </c>
      <c r="B10539" s="3" t="s">
        <v>5184</v>
      </c>
      <c r="C10539" s="3" t="s">
        <v>4762</v>
      </c>
      <c r="D10539" s="265">
        <v>2.0</v>
      </c>
      <c r="E10539" s="3">
        <v>2699.0</v>
      </c>
      <c r="G10539" s="266">
        <v>43886.0</v>
      </c>
    </row>
    <row r="10540">
      <c r="A10540" s="217">
        <v>43926.54842719907</v>
      </c>
      <c r="B10540" s="3" t="s">
        <v>5184</v>
      </c>
      <c r="C10540" s="3" t="s">
        <v>1279</v>
      </c>
      <c r="D10540" s="265">
        <v>1.0</v>
      </c>
      <c r="E10540" s="3">
        <v>1295.0</v>
      </c>
      <c r="G10540" s="266">
        <v>43886.0</v>
      </c>
    </row>
    <row r="10541">
      <c r="A10541" s="217">
        <v>43926.54877395833</v>
      </c>
      <c r="B10541" s="3" t="s">
        <v>5184</v>
      </c>
      <c r="C10541" s="3" t="s">
        <v>698</v>
      </c>
      <c r="D10541" s="265">
        <v>4.0</v>
      </c>
      <c r="E10541" s="3">
        <v>1699.0</v>
      </c>
      <c r="G10541" s="266">
        <v>43886.0</v>
      </c>
    </row>
    <row r="10542">
      <c r="A10542" s="217">
        <v>43926.54910222223</v>
      </c>
      <c r="B10542" s="3" t="s">
        <v>5184</v>
      </c>
      <c r="C10542" s="3" t="s">
        <v>4588</v>
      </c>
      <c r="D10542" s="265">
        <v>1.0</v>
      </c>
      <c r="E10542" s="3">
        <v>1695.0</v>
      </c>
      <c r="G10542" s="266">
        <v>43886.0</v>
      </c>
    </row>
    <row r="10543">
      <c r="A10543" s="217">
        <v>43926.54942851852</v>
      </c>
      <c r="B10543" s="3" t="s">
        <v>5184</v>
      </c>
      <c r="C10543" s="3" t="s">
        <v>4603</v>
      </c>
      <c r="D10543" s="265">
        <v>4.0</v>
      </c>
      <c r="E10543" s="3">
        <v>1299.0</v>
      </c>
      <c r="G10543" s="266">
        <v>43886.0</v>
      </c>
    </row>
    <row r="10544">
      <c r="A10544" s="217">
        <v>43926.54973226852</v>
      </c>
      <c r="B10544" s="3" t="s">
        <v>5184</v>
      </c>
      <c r="C10544" s="3" t="s">
        <v>1259</v>
      </c>
      <c r="D10544" s="265">
        <v>4.0</v>
      </c>
      <c r="E10544" s="3">
        <v>1299.0</v>
      </c>
      <c r="G10544" s="266">
        <v>43886.0</v>
      </c>
    </row>
    <row r="10545">
      <c r="A10545" s="217">
        <v>43926.55002606481</v>
      </c>
      <c r="B10545" s="3" t="s">
        <v>5184</v>
      </c>
      <c r="C10545" s="3" t="s">
        <v>1267</v>
      </c>
      <c r="D10545" s="265">
        <v>4.0</v>
      </c>
      <c r="E10545" s="3">
        <v>1566.0</v>
      </c>
      <c r="G10545" s="266">
        <v>43886.0</v>
      </c>
    </row>
    <row r="10546">
      <c r="A10546" s="217">
        <v>43926.55072533565</v>
      </c>
      <c r="B10546" s="3" t="s">
        <v>5184</v>
      </c>
      <c r="C10546" s="3" t="s">
        <v>1267</v>
      </c>
      <c r="D10546" s="265">
        <v>3.0</v>
      </c>
      <c r="E10546" s="3">
        <v>1566.0</v>
      </c>
      <c r="G10546" s="266">
        <v>43886.0</v>
      </c>
    </row>
    <row r="10547">
      <c r="A10547" s="217">
        <v>43926.55103357639</v>
      </c>
      <c r="B10547" s="3" t="s">
        <v>5184</v>
      </c>
      <c r="C10547" s="3" t="s">
        <v>4873</v>
      </c>
      <c r="D10547" s="265">
        <v>1.0</v>
      </c>
      <c r="E10547" s="3">
        <v>1799.0</v>
      </c>
      <c r="G10547" s="266">
        <v>43886.0</v>
      </c>
    </row>
    <row r="10548">
      <c r="A10548" s="217">
        <v>43926.551374421295</v>
      </c>
      <c r="B10548" s="3" t="s">
        <v>5184</v>
      </c>
      <c r="C10548" s="3" t="s">
        <v>4899</v>
      </c>
      <c r="D10548" s="265">
        <v>1.0</v>
      </c>
      <c r="E10548" s="3">
        <v>1395.0</v>
      </c>
      <c r="G10548" s="266">
        <v>43886.0</v>
      </c>
    </row>
    <row r="10549">
      <c r="A10549" s="217">
        <v>43926.551685659724</v>
      </c>
      <c r="B10549" s="3" t="s">
        <v>5184</v>
      </c>
      <c r="C10549" s="3" t="s">
        <v>4901</v>
      </c>
      <c r="D10549" s="265">
        <v>1.0</v>
      </c>
      <c r="G10549" s="266">
        <v>43886.0</v>
      </c>
    </row>
    <row r="10550">
      <c r="A10550" s="217">
        <v>43926.55203784722</v>
      </c>
      <c r="B10550" s="3" t="s">
        <v>5184</v>
      </c>
      <c r="C10550" s="3" t="s">
        <v>4643</v>
      </c>
      <c r="D10550" s="265">
        <v>1.0</v>
      </c>
      <c r="E10550" s="3">
        <v>1999.0</v>
      </c>
      <c r="G10550" s="266">
        <v>43886.0</v>
      </c>
    </row>
    <row r="10551">
      <c r="A10551" s="217">
        <v>43926.55234137732</v>
      </c>
      <c r="B10551" s="3" t="s">
        <v>5184</v>
      </c>
      <c r="C10551" s="3" t="s">
        <v>1275</v>
      </c>
      <c r="D10551" s="265">
        <v>2.0</v>
      </c>
      <c r="E10551" s="3">
        <v>1999.0</v>
      </c>
      <c r="G10551" s="266">
        <v>43886.0</v>
      </c>
    </row>
    <row r="10552">
      <c r="A10552" s="217">
        <v>43926.55269311342</v>
      </c>
      <c r="B10552" s="3" t="s">
        <v>5184</v>
      </c>
      <c r="C10552" s="3" t="s">
        <v>4919</v>
      </c>
      <c r="D10552" s="265">
        <v>1.0</v>
      </c>
      <c r="E10552" s="3">
        <v>2299.0</v>
      </c>
      <c r="G10552" s="266">
        <v>43886.0</v>
      </c>
    </row>
    <row r="10553">
      <c r="A10553" s="217">
        <v>43926.55307303241</v>
      </c>
      <c r="B10553" s="3" t="s">
        <v>5184</v>
      </c>
      <c r="C10553" s="3" t="s">
        <v>4948</v>
      </c>
      <c r="D10553" s="265">
        <v>1.0</v>
      </c>
      <c r="E10553" s="3">
        <v>1299.0</v>
      </c>
      <c r="G10553" s="266">
        <v>43886.0</v>
      </c>
    </row>
    <row r="10554">
      <c r="A10554" s="217">
        <v>43926.553393634254</v>
      </c>
      <c r="B10554" s="3" t="s">
        <v>5184</v>
      </c>
      <c r="C10554" s="3" t="s">
        <v>4942</v>
      </c>
      <c r="D10554" s="265">
        <v>1.0</v>
      </c>
      <c r="E10554" s="3">
        <v>995.0</v>
      </c>
      <c r="G10554" s="266">
        <v>43886.0</v>
      </c>
    </row>
    <row r="10555">
      <c r="A10555" s="217">
        <v>43926.55385069444</v>
      </c>
      <c r="B10555" s="3" t="s">
        <v>5184</v>
      </c>
      <c r="C10555" s="3" t="s">
        <v>1824</v>
      </c>
      <c r="D10555" s="265">
        <v>7.0</v>
      </c>
      <c r="E10555" s="3">
        <v>8890.0</v>
      </c>
      <c r="G10555" s="266">
        <v>43887.0</v>
      </c>
    </row>
    <row r="10556">
      <c r="A10556" s="217">
        <v>43926.55427342592</v>
      </c>
      <c r="B10556" s="3" t="s">
        <v>5184</v>
      </c>
      <c r="C10556" s="3" t="s">
        <v>1829</v>
      </c>
      <c r="D10556" s="265">
        <v>1.0</v>
      </c>
      <c r="E10556" s="3">
        <v>8190.0</v>
      </c>
      <c r="G10556" s="266">
        <v>43888.0</v>
      </c>
    </row>
    <row r="10557">
      <c r="A10557" s="217">
        <v>43926.55477819445</v>
      </c>
      <c r="B10557" s="3" t="s">
        <v>5184</v>
      </c>
      <c r="C10557" s="3" t="s">
        <v>1832</v>
      </c>
      <c r="D10557" s="265">
        <v>1.0</v>
      </c>
      <c r="E10557" s="3">
        <v>5990.0</v>
      </c>
      <c r="G10557" s="266">
        <v>43888.0</v>
      </c>
    </row>
    <row r="10558">
      <c r="A10558" s="217">
        <v>43926.555121516205</v>
      </c>
      <c r="B10558" s="3" t="s">
        <v>5184</v>
      </c>
      <c r="C10558" s="3" t="s">
        <v>6654</v>
      </c>
      <c r="D10558" s="265">
        <v>2.0</v>
      </c>
      <c r="E10558" s="3">
        <v>5490.0</v>
      </c>
      <c r="G10558" s="266">
        <v>43889.0</v>
      </c>
    </row>
    <row r="10559">
      <c r="A10559" s="217">
        <v>43926.555486736106</v>
      </c>
      <c r="B10559" s="3" t="s">
        <v>5184</v>
      </c>
      <c r="C10559" s="3" t="s">
        <v>5516</v>
      </c>
      <c r="D10559" s="265">
        <v>2.0</v>
      </c>
      <c r="E10559" s="3">
        <v>3090.0</v>
      </c>
      <c r="G10559" s="266">
        <v>43889.0</v>
      </c>
    </row>
    <row r="10560">
      <c r="A10560" s="217">
        <v>43926.55578946759</v>
      </c>
      <c r="B10560" s="3" t="s">
        <v>5184</v>
      </c>
      <c r="C10560" s="3" t="s">
        <v>1228</v>
      </c>
      <c r="D10560" s="265">
        <v>1.0</v>
      </c>
      <c r="E10560" s="3">
        <v>9500.0</v>
      </c>
      <c r="G10560" s="266">
        <v>43890.0</v>
      </c>
    </row>
    <row r="10561">
      <c r="A10561" s="217">
        <v>43926.55618108796</v>
      </c>
      <c r="B10561" s="3" t="s">
        <v>5184</v>
      </c>
      <c r="C10561" s="3" t="s">
        <v>1249</v>
      </c>
      <c r="D10561" s="265">
        <v>1.0</v>
      </c>
      <c r="E10561" s="3">
        <v>2150.0</v>
      </c>
      <c r="G10561" s="266">
        <v>43890.0</v>
      </c>
    </row>
    <row r="10562">
      <c r="A10562" s="217">
        <v>43930.44443462963</v>
      </c>
      <c r="B10562" s="3" t="s">
        <v>2322</v>
      </c>
      <c r="C10562" s="3" t="s">
        <v>4897</v>
      </c>
      <c r="D10562" s="265">
        <v>0.0</v>
      </c>
      <c r="E10562" s="3">
        <v>1999.0</v>
      </c>
      <c r="G10562" s="266">
        <v>43911.0</v>
      </c>
    </row>
    <row r="10563">
      <c r="A10563" s="217">
        <v>43930.44607873843</v>
      </c>
      <c r="B10563" s="3" t="s">
        <v>2322</v>
      </c>
      <c r="C10563" s="3" t="s">
        <v>1795</v>
      </c>
      <c r="D10563" s="265">
        <v>1.0</v>
      </c>
      <c r="E10563" s="3">
        <v>8890.0</v>
      </c>
      <c r="G10563" s="266">
        <v>43911.0</v>
      </c>
    </row>
    <row r="10564">
      <c r="A10564" s="217">
        <v>43930.4470996875</v>
      </c>
      <c r="B10564" s="3" t="s">
        <v>2322</v>
      </c>
      <c r="C10564" s="3" t="s">
        <v>4643</v>
      </c>
      <c r="D10564" s="265">
        <v>1.0</v>
      </c>
      <c r="E10564" s="3">
        <v>1999.0</v>
      </c>
      <c r="G10564" s="266">
        <v>43911.0</v>
      </c>
    </row>
    <row r="10565">
      <c r="A10565" s="217">
        <v>43930.44818877315</v>
      </c>
      <c r="B10565" s="3" t="s">
        <v>2322</v>
      </c>
      <c r="C10565" s="3" t="s">
        <v>1876</v>
      </c>
      <c r="D10565" s="265">
        <v>1.0</v>
      </c>
      <c r="E10565" s="3">
        <v>7690.0</v>
      </c>
      <c r="G10565" s="266">
        <v>43911.0</v>
      </c>
    </row>
    <row r="10566">
      <c r="A10566" s="217">
        <v>43930.4493409375</v>
      </c>
      <c r="B10566" s="3" t="s">
        <v>2322</v>
      </c>
      <c r="C10566" s="3" t="s">
        <v>1854</v>
      </c>
      <c r="D10566" s="265">
        <v>1.0</v>
      </c>
      <c r="E10566" s="3">
        <v>7490.0</v>
      </c>
      <c r="G10566" s="266">
        <v>43911.0</v>
      </c>
    </row>
    <row r="10567">
      <c r="A10567" s="217">
        <v>43930.45051173611</v>
      </c>
      <c r="B10567" s="3" t="s">
        <v>2322</v>
      </c>
      <c r="C10567" s="3" t="s">
        <v>1843</v>
      </c>
      <c r="D10567" s="265">
        <v>0.0</v>
      </c>
      <c r="E10567" s="3">
        <v>9490.0</v>
      </c>
      <c r="G10567" s="266">
        <v>43910.0</v>
      </c>
    </row>
    <row r="10568">
      <c r="A10568" s="217">
        <v>43930.45141306713</v>
      </c>
      <c r="B10568" s="3" t="s">
        <v>2322</v>
      </c>
      <c r="C10568" s="3" t="s">
        <v>4593</v>
      </c>
      <c r="D10568" s="265">
        <v>1.0</v>
      </c>
      <c r="E10568" s="3">
        <v>1299.0</v>
      </c>
      <c r="G10568" s="266">
        <v>43910.0</v>
      </c>
    </row>
    <row r="10569">
      <c r="A10569" s="217">
        <v>43930.45222206019</v>
      </c>
      <c r="B10569" s="3" t="s">
        <v>2322</v>
      </c>
      <c r="C10569" s="3" t="s">
        <v>6640</v>
      </c>
      <c r="D10569" s="265">
        <v>0.0</v>
      </c>
      <c r="E10569" s="3">
        <v>8890.0</v>
      </c>
      <c r="G10569" s="266">
        <v>43910.0</v>
      </c>
    </row>
    <row r="10570">
      <c r="A10570" s="217">
        <v>43930.45314484954</v>
      </c>
      <c r="B10570" s="3" t="s">
        <v>2322</v>
      </c>
      <c r="C10570" s="3" t="s">
        <v>1883</v>
      </c>
      <c r="D10570" s="265">
        <v>1.0</v>
      </c>
      <c r="E10570" s="3">
        <v>8290.0</v>
      </c>
      <c r="G10570" s="266">
        <v>43910.0</v>
      </c>
    </row>
    <row r="10571">
      <c r="A10571" s="217">
        <v>43931.503064317134</v>
      </c>
      <c r="B10571" s="3" t="s">
        <v>5184</v>
      </c>
      <c r="C10571" s="3" t="s">
        <v>10891</v>
      </c>
      <c r="D10571" s="265">
        <v>1.0</v>
      </c>
      <c r="E10571" s="3">
        <v>2225.0</v>
      </c>
      <c r="G10571" s="266">
        <v>43834.0</v>
      </c>
    </row>
    <row r="10572">
      <c r="A10572" s="217">
        <v>43931.50364967593</v>
      </c>
      <c r="B10572" s="3" t="s">
        <v>5184</v>
      </c>
      <c r="C10572" s="3" t="s">
        <v>284</v>
      </c>
      <c r="D10572" s="265">
        <v>2.0</v>
      </c>
      <c r="E10572" s="3">
        <v>500.0</v>
      </c>
      <c r="G10572" s="266">
        <v>43834.0</v>
      </c>
    </row>
    <row r="10573">
      <c r="A10573" s="217">
        <v>43931.506240347226</v>
      </c>
      <c r="B10573" s="3" t="s">
        <v>5184</v>
      </c>
      <c r="C10573" s="3" t="s">
        <v>10321</v>
      </c>
      <c r="D10573" s="265">
        <v>1.0</v>
      </c>
      <c r="E10573" s="3">
        <v>1875.0</v>
      </c>
      <c r="G10573" s="266">
        <v>43852.0</v>
      </c>
    </row>
    <row r="10574">
      <c r="A10574" s="217">
        <v>43931.50753494213</v>
      </c>
      <c r="B10574" s="3" t="s">
        <v>5184</v>
      </c>
      <c r="C10574" s="3" t="s">
        <v>10894</v>
      </c>
      <c r="D10574" s="265">
        <v>2.0</v>
      </c>
      <c r="E10574" s="3">
        <v>1000.0</v>
      </c>
      <c r="G10574" s="266">
        <v>43852.0</v>
      </c>
    </row>
    <row r="10575">
      <c r="A10575" s="217">
        <v>43931.50861127315</v>
      </c>
      <c r="B10575" s="3" t="s">
        <v>5184</v>
      </c>
      <c r="C10575" s="3" t="s">
        <v>10337</v>
      </c>
      <c r="D10575" s="265">
        <v>1.0</v>
      </c>
      <c r="E10575" s="3">
        <v>1450.0</v>
      </c>
      <c r="G10575" s="266">
        <v>43854.0</v>
      </c>
    </row>
    <row r="10576">
      <c r="A10576" s="217">
        <v>43931.51060991898</v>
      </c>
      <c r="B10576" s="3" t="s">
        <v>5184</v>
      </c>
      <c r="C10576" s="3" t="s">
        <v>10176</v>
      </c>
      <c r="D10576" s="265">
        <v>1.0</v>
      </c>
      <c r="E10576" s="3">
        <v>1250.0</v>
      </c>
      <c r="G10576" s="266">
        <v>43867.0</v>
      </c>
    </row>
    <row r="10577">
      <c r="A10577" s="217">
        <v>43931.511292152776</v>
      </c>
      <c r="B10577" s="3" t="s">
        <v>5184</v>
      </c>
      <c r="C10577" s="3" t="s">
        <v>9517</v>
      </c>
      <c r="D10577" s="265">
        <v>2.0</v>
      </c>
      <c r="E10577" s="3">
        <v>1000.0</v>
      </c>
      <c r="G10577" s="266">
        <v>43867.0</v>
      </c>
    </row>
    <row r="10578">
      <c r="A10578" s="217">
        <v>43931.51261178241</v>
      </c>
      <c r="B10578" s="3" t="s">
        <v>5184</v>
      </c>
      <c r="C10578" s="3" t="s">
        <v>1022</v>
      </c>
      <c r="D10578" s="265">
        <v>1.0</v>
      </c>
      <c r="E10578" s="3">
        <v>1000.0</v>
      </c>
      <c r="G10578" s="266">
        <v>43867.0</v>
      </c>
    </row>
    <row r="10579">
      <c r="A10579" s="217">
        <v>43931.51337241898</v>
      </c>
      <c r="B10579" s="3" t="s">
        <v>5184</v>
      </c>
      <c r="C10579" s="3" t="s">
        <v>7884</v>
      </c>
      <c r="D10579" s="265">
        <v>2.0</v>
      </c>
      <c r="E10579" s="3">
        <v>300.0</v>
      </c>
      <c r="G10579" s="266">
        <v>43867.0</v>
      </c>
    </row>
    <row r="10580">
      <c r="A10580" s="217">
        <v>43931.51502222222</v>
      </c>
      <c r="B10580" s="3" t="s">
        <v>5184</v>
      </c>
      <c r="C10580" s="3" t="s">
        <v>1114</v>
      </c>
      <c r="D10580" s="265">
        <v>1.0</v>
      </c>
      <c r="E10580" s="3">
        <v>1450.0</v>
      </c>
      <c r="G10580" s="266">
        <v>43868.0</v>
      </c>
    </row>
    <row r="10581">
      <c r="A10581" s="217">
        <v>43931.515909953705</v>
      </c>
      <c r="B10581" s="3" t="s">
        <v>5184</v>
      </c>
      <c r="C10581" s="3" t="s">
        <v>9529</v>
      </c>
      <c r="D10581" s="265">
        <v>2.0</v>
      </c>
      <c r="E10581" s="3">
        <v>600.0</v>
      </c>
      <c r="G10581" s="266">
        <v>43868.0</v>
      </c>
    </row>
    <row r="10582">
      <c r="A10582" s="217">
        <v>43931.51732086806</v>
      </c>
      <c r="B10582" s="3" t="s">
        <v>5184</v>
      </c>
      <c r="C10582" s="3" t="s">
        <v>10901</v>
      </c>
      <c r="D10582" s="265">
        <v>1.0</v>
      </c>
      <c r="E10582" s="3">
        <v>3725.0</v>
      </c>
      <c r="G10582" s="266">
        <v>43870.0</v>
      </c>
    </row>
    <row r="10583">
      <c r="A10583" s="217">
        <v>43931.51900165509</v>
      </c>
      <c r="B10583" s="3" t="s">
        <v>5184</v>
      </c>
      <c r="C10583" s="3" t="s">
        <v>8031</v>
      </c>
      <c r="D10583" s="265">
        <v>2.0</v>
      </c>
      <c r="E10583" s="3">
        <v>1200.0</v>
      </c>
      <c r="G10583" s="266">
        <v>43870.0</v>
      </c>
    </row>
    <row r="10584">
      <c r="A10584" s="217">
        <v>43931.520427118056</v>
      </c>
      <c r="B10584" s="3" t="s">
        <v>5184</v>
      </c>
      <c r="C10584" s="3" t="s">
        <v>1022</v>
      </c>
      <c r="D10584" s="265">
        <v>1.0</v>
      </c>
      <c r="E10584" s="3">
        <v>1000.0</v>
      </c>
      <c r="G10584" s="266">
        <v>43871.0</v>
      </c>
    </row>
    <row r="10585">
      <c r="A10585" s="217">
        <v>43931.520949502315</v>
      </c>
      <c r="B10585" s="3" t="s">
        <v>5184</v>
      </c>
      <c r="C10585" s="3" t="s">
        <v>7884</v>
      </c>
      <c r="D10585" s="265">
        <v>2.0</v>
      </c>
      <c r="E10585" s="3">
        <v>300.0</v>
      </c>
      <c r="G10585" s="266">
        <v>43871.0</v>
      </c>
    </row>
    <row r="10586">
      <c r="A10586" s="217">
        <v>43931.52158152778</v>
      </c>
      <c r="B10586" s="3" t="s">
        <v>5184</v>
      </c>
      <c r="C10586" s="3" t="s">
        <v>1022</v>
      </c>
      <c r="D10586" s="265">
        <v>1.0</v>
      </c>
      <c r="E10586" s="3">
        <v>1000.0</v>
      </c>
      <c r="G10586" s="266">
        <v>43872.0</v>
      </c>
    </row>
    <row r="10587">
      <c r="A10587" s="217">
        <v>43931.52200109954</v>
      </c>
      <c r="B10587" s="3" t="s">
        <v>5184</v>
      </c>
      <c r="C10587" s="3" t="s">
        <v>7884</v>
      </c>
      <c r="D10587" s="265">
        <v>2.0</v>
      </c>
      <c r="E10587" s="3">
        <v>300.0</v>
      </c>
      <c r="G10587" s="266">
        <v>43872.0</v>
      </c>
    </row>
    <row r="10588">
      <c r="A10588" s="217">
        <v>43931.52350236111</v>
      </c>
      <c r="B10588" s="3" t="s">
        <v>5184</v>
      </c>
      <c r="C10588" s="3" t="s">
        <v>10364</v>
      </c>
      <c r="D10588" s="265">
        <v>1.0</v>
      </c>
      <c r="E10588" s="3">
        <v>1875.0</v>
      </c>
      <c r="G10588" s="266">
        <v>43874.0</v>
      </c>
    </row>
    <row r="10589">
      <c r="A10589" s="217">
        <v>43931.52402028935</v>
      </c>
      <c r="B10589" s="3" t="s">
        <v>5184</v>
      </c>
      <c r="C10589" s="3" t="s">
        <v>7806</v>
      </c>
      <c r="D10589" s="265">
        <v>2.0</v>
      </c>
      <c r="E10589" s="3">
        <v>600.0</v>
      </c>
      <c r="G10589" s="266">
        <v>43874.0</v>
      </c>
    </row>
    <row r="10590">
      <c r="A10590" s="217">
        <v>43931.52590700232</v>
      </c>
      <c r="B10590" s="3" t="s">
        <v>5184</v>
      </c>
      <c r="C10590" s="3" t="s">
        <v>10909</v>
      </c>
      <c r="D10590" s="265">
        <v>1.0</v>
      </c>
      <c r="E10590" s="3">
        <v>4590.0</v>
      </c>
      <c r="G10590" s="266">
        <v>43879.0</v>
      </c>
    </row>
    <row r="10591">
      <c r="A10591" s="217">
        <v>43931.52748127315</v>
      </c>
      <c r="B10591" s="3" t="s">
        <v>5184</v>
      </c>
      <c r="C10591" s="3" t="s">
        <v>10357</v>
      </c>
      <c r="D10591" s="265">
        <v>1.0</v>
      </c>
      <c r="E10591" s="3">
        <v>1725.0</v>
      </c>
      <c r="G10591" s="266">
        <v>43887.0</v>
      </c>
    </row>
    <row r="10592">
      <c r="A10592" s="217">
        <v>43931.52807356481</v>
      </c>
      <c r="B10592" s="3" t="s">
        <v>5184</v>
      </c>
      <c r="C10592" s="3" t="s">
        <v>9517</v>
      </c>
      <c r="D10592" s="265">
        <v>2.0</v>
      </c>
      <c r="E10592" s="3">
        <v>1000.0</v>
      </c>
      <c r="G10592" s="266">
        <v>43887.0</v>
      </c>
    </row>
    <row r="10593">
      <c r="A10593" s="217">
        <v>43931.52897596065</v>
      </c>
      <c r="B10593" s="3" t="s">
        <v>5184</v>
      </c>
      <c r="C10593" s="3" t="s">
        <v>1022</v>
      </c>
      <c r="D10593" s="265">
        <v>1.0</v>
      </c>
      <c r="E10593" s="3">
        <v>1000.0</v>
      </c>
      <c r="G10593" s="266">
        <v>43888.0</v>
      </c>
    </row>
    <row r="10594">
      <c r="A10594" s="217">
        <v>43931.52948945602</v>
      </c>
      <c r="B10594" s="3" t="s">
        <v>5184</v>
      </c>
      <c r="C10594" s="3" t="s">
        <v>284</v>
      </c>
      <c r="D10594" s="265">
        <v>2.0</v>
      </c>
      <c r="E10594" s="3">
        <v>500.0</v>
      </c>
      <c r="G10594" s="266">
        <v>43888.0</v>
      </c>
    </row>
    <row r="10595">
      <c r="A10595" s="217">
        <v>43931.531411874996</v>
      </c>
      <c r="B10595" s="3" t="s">
        <v>5184</v>
      </c>
      <c r="C10595" s="3" t="s">
        <v>10542</v>
      </c>
      <c r="D10595" s="265">
        <v>1.0</v>
      </c>
      <c r="E10595" s="3">
        <v>3725.0</v>
      </c>
      <c r="G10595" s="266">
        <v>43888.0</v>
      </c>
    </row>
    <row r="10596">
      <c r="A10596" s="217">
        <v>43931.531828946754</v>
      </c>
      <c r="B10596" s="3" t="s">
        <v>5184</v>
      </c>
      <c r="C10596" s="3" t="s">
        <v>9517</v>
      </c>
      <c r="D10596" s="265">
        <v>2.0</v>
      </c>
      <c r="E10596" s="3">
        <v>1000.0</v>
      </c>
      <c r="G10596" s="266">
        <v>43888.0</v>
      </c>
    </row>
    <row r="10597">
      <c r="A10597" s="217">
        <v>43931.532679317126</v>
      </c>
      <c r="B10597" s="3" t="s">
        <v>5184</v>
      </c>
      <c r="C10597" s="3" t="s">
        <v>10592</v>
      </c>
      <c r="D10597" s="265">
        <v>1.0</v>
      </c>
      <c r="E10597" s="3">
        <v>4225.0</v>
      </c>
      <c r="G10597" s="266">
        <v>43889.0</v>
      </c>
    </row>
    <row r="10598">
      <c r="A10598" s="217">
        <v>43931.533848611114</v>
      </c>
      <c r="B10598" s="3" t="s">
        <v>5184</v>
      </c>
      <c r="C10598" s="3" t="s">
        <v>1022</v>
      </c>
      <c r="D10598" s="265">
        <v>1.0</v>
      </c>
      <c r="E10598" s="3">
        <v>1000.0</v>
      </c>
      <c r="G10598" s="266">
        <v>43891.0</v>
      </c>
    </row>
    <row r="10599">
      <c r="A10599" s="217">
        <v>43931.534425439815</v>
      </c>
      <c r="B10599" s="3" t="s">
        <v>5184</v>
      </c>
      <c r="C10599" s="3" t="s">
        <v>284</v>
      </c>
      <c r="D10599" s="265">
        <v>2.0</v>
      </c>
      <c r="E10599" s="3">
        <v>500.0</v>
      </c>
      <c r="G10599" s="266">
        <v>43891.0</v>
      </c>
    </row>
    <row r="10600">
      <c r="A10600" s="217">
        <v>43931.53565336806</v>
      </c>
      <c r="B10600" s="3" t="s">
        <v>5184</v>
      </c>
      <c r="C10600" s="3" t="s">
        <v>10326</v>
      </c>
      <c r="D10600" s="265">
        <v>1.0</v>
      </c>
      <c r="E10600" s="3">
        <v>1450.0</v>
      </c>
      <c r="G10600" s="266">
        <v>43894.0</v>
      </c>
    </row>
    <row r="10601">
      <c r="A10601" s="217">
        <v>43931.536393483795</v>
      </c>
      <c r="B10601" s="3" t="s">
        <v>5184</v>
      </c>
      <c r="C10601" s="3" t="s">
        <v>9517</v>
      </c>
      <c r="D10601" s="265">
        <v>2.0</v>
      </c>
      <c r="E10601" s="3">
        <v>1000.0</v>
      </c>
      <c r="G10601" s="266">
        <v>43894.0</v>
      </c>
    </row>
    <row r="10602">
      <c r="A10602" s="217">
        <v>43931.53954248843</v>
      </c>
      <c r="B10602" s="3" t="s">
        <v>5184</v>
      </c>
      <c r="C10602" s="3" t="s">
        <v>10454</v>
      </c>
      <c r="D10602" s="265">
        <v>1.0</v>
      </c>
      <c r="E10602" s="3">
        <v>4480.0</v>
      </c>
      <c r="G10602" s="266">
        <v>43894.0</v>
      </c>
    </row>
    <row r="10603">
      <c r="A10603" s="217">
        <v>43931.54004097222</v>
      </c>
      <c r="B10603" s="3" t="s">
        <v>5184</v>
      </c>
      <c r="C10603" s="3" t="s">
        <v>9517</v>
      </c>
      <c r="D10603" s="265">
        <v>2.0</v>
      </c>
      <c r="E10603" s="3">
        <v>1000.0</v>
      </c>
      <c r="G10603" s="266">
        <v>43894.0</v>
      </c>
    </row>
    <row r="10604">
      <c r="A10604" s="217">
        <v>43931.541861736114</v>
      </c>
      <c r="B10604" s="3" t="s">
        <v>5184</v>
      </c>
      <c r="C10604" s="3" t="s">
        <v>8696</v>
      </c>
      <c r="D10604" s="265">
        <v>1.0</v>
      </c>
      <c r="E10604" s="3">
        <v>2950.0</v>
      </c>
      <c r="G10604" s="266">
        <v>43905.0</v>
      </c>
    </row>
    <row r="10605">
      <c r="A10605" s="217">
        <v>43931.54347071759</v>
      </c>
      <c r="B10605" s="3" t="s">
        <v>5184</v>
      </c>
      <c r="C10605" s="3" t="s">
        <v>10517</v>
      </c>
      <c r="D10605" s="265">
        <v>1.0</v>
      </c>
      <c r="E10605" s="3">
        <v>3875.0</v>
      </c>
      <c r="G10605" s="266">
        <v>43911.0</v>
      </c>
    </row>
    <row r="10606">
      <c r="A10606" s="217">
        <v>43931.54406778935</v>
      </c>
      <c r="B10606" s="3" t="s">
        <v>5184</v>
      </c>
      <c r="C10606" s="3" t="s">
        <v>7884</v>
      </c>
      <c r="D10606" s="265">
        <v>2.0</v>
      </c>
      <c r="E10606" s="3">
        <v>300.0</v>
      </c>
      <c r="G10606" s="266">
        <v>43917.0</v>
      </c>
    </row>
    <row r="10607">
      <c r="A10607" s="217">
        <v>43931.55263100694</v>
      </c>
      <c r="B10607" s="3" t="s">
        <v>5184</v>
      </c>
      <c r="C10607" s="3" t="s">
        <v>6578</v>
      </c>
      <c r="D10607" s="265">
        <v>1.0</v>
      </c>
      <c r="E10607" s="3">
        <v>2775.0</v>
      </c>
      <c r="G10607" s="266">
        <v>43667.0</v>
      </c>
    </row>
    <row r="10608">
      <c r="A10608" s="217">
        <v>43931.55315980324</v>
      </c>
      <c r="B10608" s="3" t="s">
        <v>5184</v>
      </c>
      <c r="C10608" s="3" t="s">
        <v>284</v>
      </c>
      <c r="D10608" s="265">
        <v>2.0</v>
      </c>
      <c r="E10608" s="3">
        <v>500.0</v>
      </c>
      <c r="G10608" s="266">
        <v>43667.0</v>
      </c>
    </row>
    <row r="10609">
      <c r="A10609" s="217">
        <v>43931.55993797454</v>
      </c>
      <c r="B10609" s="3" t="s">
        <v>5184</v>
      </c>
      <c r="C10609" s="3" t="s">
        <v>10929</v>
      </c>
      <c r="D10609" s="265">
        <v>1.0</v>
      </c>
      <c r="E10609" s="3">
        <v>1600.0</v>
      </c>
      <c r="G10609" s="266">
        <v>43696.0</v>
      </c>
    </row>
    <row r="10610">
      <c r="A10610" s="217">
        <v>43931.56102034722</v>
      </c>
      <c r="B10610" s="3" t="s">
        <v>5184</v>
      </c>
      <c r="C10610" s="3" t="s">
        <v>6121</v>
      </c>
      <c r="D10610" s="265">
        <v>1.0</v>
      </c>
      <c r="E10610" s="3">
        <v>1200.0</v>
      </c>
      <c r="G10610" s="266">
        <v>43696.0</v>
      </c>
    </row>
    <row r="10611">
      <c r="A10611" s="217">
        <v>43931.56272693287</v>
      </c>
      <c r="B10611" s="3" t="s">
        <v>5184</v>
      </c>
      <c r="C10611" s="3" t="s">
        <v>8948</v>
      </c>
      <c r="D10611" s="265">
        <v>1.0</v>
      </c>
      <c r="E10611" s="3">
        <v>2225.0</v>
      </c>
      <c r="G10611" s="266">
        <v>43709.0</v>
      </c>
    </row>
    <row r="10612">
      <c r="A10612" s="217">
        <v>43931.56411752314</v>
      </c>
      <c r="B10612" s="3" t="s">
        <v>5184</v>
      </c>
      <c r="C10612" s="3" t="s">
        <v>10934</v>
      </c>
      <c r="D10612" s="265">
        <v>2.0</v>
      </c>
      <c r="E10612" s="3">
        <v>2000.0</v>
      </c>
      <c r="G10612" s="266">
        <v>43709.0</v>
      </c>
    </row>
    <row r="10613">
      <c r="A10613" s="217">
        <v>43931.56549809028</v>
      </c>
      <c r="B10613" s="3" t="s">
        <v>5184</v>
      </c>
      <c r="C10613" s="3" t="s">
        <v>10936</v>
      </c>
      <c r="D10613" s="265">
        <v>1.0</v>
      </c>
      <c r="E10613" s="3">
        <v>5090.0</v>
      </c>
      <c r="G10613" s="266">
        <v>43718.0</v>
      </c>
    </row>
    <row r="10614">
      <c r="A10614" s="217">
        <v>43931.56627752315</v>
      </c>
      <c r="B10614" s="3" t="s">
        <v>5184</v>
      </c>
      <c r="C10614" s="3" t="s">
        <v>9517</v>
      </c>
      <c r="D10614" s="265">
        <v>2.0</v>
      </c>
      <c r="E10614" s="3">
        <v>1000.0</v>
      </c>
      <c r="G10614" s="266">
        <v>43718.0</v>
      </c>
    </row>
    <row r="10615">
      <c r="A10615" s="217">
        <v>43931.567542881945</v>
      </c>
      <c r="B10615" s="3" t="s">
        <v>5184</v>
      </c>
      <c r="C10615" s="3" t="s">
        <v>8936</v>
      </c>
      <c r="D10615" s="265">
        <v>1.0</v>
      </c>
      <c r="E10615" s="3">
        <v>1490.0</v>
      </c>
      <c r="G10615" s="266">
        <v>43722.0</v>
      </c>
    </row>
    <row r="10616">
      <c r="A10616" s="217">
        <v>43931.56818484954</v>
      </c>
      <c r="B10616" s="3" t="s">
        <v>5184</v>
      </c>
      <c r="C10616" s="3" t="s">
        <v>9517</v>
      </c>
      <c r="D10616" s="265">
        <v>2.0</v>
      </c>
      <c r="E10616" s="3">
        <v>1000.0</v>
      </c>
      <c r="G10616" s="266">
        <v>43722.0</v>
      </c>
    </row>
    <row r="10617">
      <c r="A10617" s="217">
        <v>43931.56998353009</v>
      </c>
      <c r="B10617" s="3" t="s">
        <v>5184</v>
      </c>
      <c r="C10617" s="3" t="s">
        <v>10941</v>
      </c>
      <c r="D10617" s="265">
        <v>1.0</v>
      </c>
      <c r="E10617" s="3">
        <v>4790.0</v>
      </c>
      <c r="G10617" s="266">
        <v>43760.0</v>
      </c>
    </row>
    <row r="10618">
      <c r="A10618" s="217">
        <v>43931.57083399306</v>
      </c>
      <c r="B10618" s="3" t="s">
        <v>5184</v>
      </c>
      <c r="C10618" s="3" t="s">
        <v>7967</v>
      </c>
      <c r="D10618" s="265">
        <v>2.0</v>
      </c>
      <c r="E10618" s="3">
        <v>3490.0</v>
      </c>
      <c r="G10618" s="266">
        <v>43760.0</v>
      </c>
    </row>
    <row r="10619">
      <c r="A10619" s="217">
        <v>43931.5720703588</v>
      </c>
      <c r="B10619" s="3" t="s">
        <v>5184</v>
      </c>
      <c r="C10619" s="3" t="s">
        <v>8939</v>
      </c>
      <c r="D10619" s="265">
        <v>1.0</v>
      </c>
      <c r="E10619" s="3">
        <v>1125.0</v>
      </c>
      <c r="G10619" s="266">
        <v>43830.0</v>
      </c>
    </row>
    <row r="10620">
      <c r="A10620" s="217">
        <v>43931.5728929051</v>
      </c>
      <c r="B10620" s="3" t="s">
        <v>5184</v>
      </c>
      <c r="C10620" s="3" t="s">
        <v>9517</v>
      </c>
      <c r="D10620" s="265">
        <v>2.0</v>
      </c>
      <c r="E10620" s="3">
        <v>1000.0</v>
      </c>
      <c r="G10620" s="266">
        <v>43830.0</v>
      </c>
    </row>
    <row r="10621">
      <c r="A10621" s="217">
        <v>43931.577064930556</v>
      </c>
      <c r="B10621" s="3" t="s">
        <v>5184</v>
      </c>
      <c r="C10621" s="3" t="s">
        <v>7884</v>
      </c>
      <c r="D10621" s="265">
        <v>2.0</v>
      </c>
      <c r="E10621" s="3">
        <v>300.0</v>
      </c>
      <c r="G10621" s="266">
        <v>43926.0</v>
      </c>
    </row>
    <row r="10622">
      <c r="A10622" s="217">
        <v>43931.57799381945</v>
      </c>
      <c r="B10622" s="3" t="s">
        <v>5184</v>
      </c>
      <c r="C10622" s="3" t="s">
        <v>10946</v>
      </c>
      <c r="D10622" s="265">
        <v>1.0</v>
      </c>
      <c r="E10622" s="3">
        <v>100.0</v>
      </c>
      <c r="G10622" s="266">
        <v>43927.0</v>
      </c>
    </row>
    <row r="10623">
      <c r="A10623" s="217">
        <v>43931.57872767361</v>
      </c>
      <c r="B10623" s="3" t="s">
        <v>5184</v>
      </c>
      <c r="C10623" s="3" t="s">
        <v>9063</v>
      </c>
      <c r="D10623" s="265">
        <v>1.0</v>
      </c>
      <c r="E10623" s="3">
        <v>100.0</v>
      </c>
      <c r="G10623" s="266">
        <v>43927.0</v>
      </c>
    </row>
    <row r="10624">
      <c r="A10624" s="217">
        <v>43931.57992371528</v>
      </c>
      <c r="B10624" s="3" t="s">
        <v>5184</v>
      </c>
      <c r="C10624" s="3" t="s">
        <v>2432</v>
      </c>
      <c r="D10624" s="265">
        <v>1.0</v>
      </c>
      <c r="E10624" s="3">
        <v>350.0</v>
      </c>
      <c r="G10624" s="266">
        <v>43929.0</v>
      </c>
    </row>
    <row r="10625">
      <c r="A10625" s="217">
        <v>43931.58046158565</v>
      </c>
      <c r="B10625" s="3" t="s">
        <v>5184</v>
      </c>
      <c r="C10625" s="3" t="s">
        <v>7884</v>
      </c>
      <c r="D10625" s="265">
        <v>2.0</v>
      </c>
      <c r="E10625" s="3">
        <v>300.0</v>
      </c>
      <c r="G10625" s="266">
        <v>43929.0</v>
      </c>
    </row>
    <row r="10626">
      <c r="A10626" s="217">
        <v>43931.58466756945</v>
      </c>
      <c r="B10626" s="3" t="s">
        <v>5184</v>
      </c>
      <c r="C10626" s="3" t="s">
        <v>284</v>
      </c>
      <c r="D10626" s="265">
        <v>2.0</v>
      </c>
      <c r="E10626" s="3">
        <v>500.0</v>
      </c>
      <c r="G10626" s="266">
        <v>43929.0</v>
      </c>
    </row>
    <row r="10627">
      <c r="A10627" s="217">
        <v>43931.58520275463</v>
      </c>
      <c r="B10627" s="3" t="s">
        <v>5184</v>
      </c>
      <c r="C10627" s="3" t="s">
        <v>7884</v>
      </c>
      <c r="D10627" s="265">
        <v>2.0</v>
      </c>
      <c r="E10627" s="3">
        <v>300.0</v>
      </c>
      <c r="G10627" s="266">
        <v>43929.0</v>
      </c>
    </row>
    <row r="10628">
      <c r="A10628" s="217">
        <v>43931.58633740741</v>
      </c>
      <c r="B10628" s="3" t="s">
        <v>5184</v>
      </c>
      <c r="C10628" s="3" t="s">
        <v>10951</v>
      </c>
      <c r="D10628" s="265">
        <v>1.0</v>
      </c>
      <c r="E10628" s="3">
        <v>300.0</v>
      </c>
      <c r="G10628" s="266">
        <v>43930.0</v>
      </c>
    </row>
    <row r="10629">
      <c r="A10629" s="217">
        <v>43931.58706193287</v>
      </c>
      <c r="B10629" s="3" t="s">
        <v>5184</v>
      </c>
      <c r="C10629" s="3" t="s">
        <v>7884</v>
      </c>
      <c r="D10629" s="265">
        <v>2.0</v>
      </c>
      <c r="E10629" s="3">
        <v>300.0</v>
      </c>
      <c r="G10629" s="266">
        <v>43930.0</v>
      </c>
    </row>
    <row r="10630">
      <c r="A10630" s="217">
        <v>43931.58777210648</v>
      </c>
      <c r="B10630" s="3" t="s">
        <v>5184</v>
      </c>
      <c r="C10630" s="3" t="s">
        <v>10955</v>
      </c>
      <c r="D10630" s="265">
        <v>1.0</v>
      </c>
      <c r="E10630" s="3">
        <v>300.0</v>
      </c>
      <c r="G10630" s="266">
        <v>43930.0</v>
      </c>
    </row>
    <row r="10631">
      <c r="A10631" s="217">
        <v>43931.58833309027</v>
      </c>
      <c r="B10631" s="3" t="s">
        <v>5184</v>
      </c>
      <c r="C10631" s="3" t="s">
        <v>7884</v>
      </c>
      <c r="D10631" s="265">
        <v>2.0</v>
      </c>
      <c r="E10631" s="3">
        <v>300.0</v>
      </c>
      <c r="G10631" s="266">
        <v>43930.0</v>
      </c>
    </row>
    <row r="10632">
      <c r="A10632" s="217">
        <v>43931.58914399306</v>
      </c>
      <c r="B10632" s="3" t="s">
        <v>5184</v>
      </c>
      <c r="C10632" s="3" t="s">
        <v>10959</v>
      </c>
      <c r="D10632" s="265">
        <v>1.0</v>
      </c>
      <c r="E10632" s="3">
        <v>300.0</v>
      </c>
      <c r="G10632" s="266">
        <v>43929.0</v>
      </c>
    </row>
    <row r="10633">
      <c r="A10633" s="217">
        <v>43931.5916562037</v>
      </c>
      <c r="B10633" s="3" t="s">
        <v>5184</v>
      </c>
      <c r="C10633" s="3" t="s">
        <v>10961</v>
      </c>
      <c r="D10633" s="265">
        <v>1.0</v>
      </c>
      <c r="E10633" s="3">
        <v>400.0</v>
      </c>
      <c r="G10633" s="266">
        <v>43931.0</v>
      </c>
    </row>
    <row r="10634">
      <c r="A10634" s="217">
        <v>43931.59228373843</v>
      </c>
      <c r="B10634" s="3" t="s">
        <v>5184</v>
      </c>
      <c r="C10634" s="3" t="s">
        <v>7884</v>
      </c>
      <c r="D10634" s="265">
        <v>2.0</v>
      </c>
      <c r="E10634" s="3">
        <v>300.0</v>
      </c>
      <c r="G10634" s="266">
        <v>43931.0</v>
      </c>
    </row>
    <row r="10635">
      <c r="A10635" s="217">
        <v>43931.59298400463</v>
      </c>
      <c r="B10635" s="3" t="s">
        <v>5184</v>
      </c>
      <c r="C10635" s="3" t="s">
        <v>2566</v>
      </c>
      <c r="D10635" s="265">
        <v>1.0</v>
      </c>
      <c r="E10635" s="3">
        <v>120.0</v>
      </c>
      <c r="G10635" s="266">
        <v>43931.0</v>
      </c>
    </row>
    <row r="10636">
      <c r="A10636" s="217">
        <v>43932.4700934375</v>
      </c>
      <c r="B10636" s="3" t="s">
        <v>5184</v>
      </c>
      <c r="C10636" s="3" t="s">
        <v>7884</v>
      </c>
      <c r="D10636" s="265">
        <v>2.0</v>
      </c>
      <c r="E10636" s="3">
        <v>300.0</v>
      </c>
      <c r="G10636" s="266">
        <v>43932.0</v>
      </c>
    </row>
    <row r="10637">
      <c r="A10637" s="217">
        <v>43932.470804386576</v>
      </c>
      <c r="B10637" s="3" t="s">
        <v>5184</v>
      </c>
      <c r="C10637" s="3" t="s">
        <v>10965</v>
      </c>
      <c r="D10637" s="265">
        <v>1.0</v>
      </c>
      <c r="E10637" s="3">
        <v>400.0</v>
      </c>
      <c r="G10637" s="266">
        <v>43932.0</v>
      </c>
    </row>
    <row r="10638">
      <c r="A10638" s="217">
        <v>43932.471413657404</v>
      </c>
      <c r="B10638" s="3" t="s">
        <v>5184</v>
      </c>
      <c r="C10638" s="3" t="s">
        <v>7884</v>
      </c>
      <c r="D10638" s="265">
        <v>2.0</v>
      </c>
      <c r="E10638" s="3">
        <v>300.0</v>
      </c>
      <c r="G10638" s="266">
        <v>43932.0</v>
      </c>
    </row>
    <row r="10639">
      <c r="A10639" s="217">
        <v>43932.47250037037</v>
      </c>
      <c r="B10639" s="3" t="s">
        <v>5184</v>
      </c>
      <c r="C10639" s="3" t="s">
        <v>7421</v>
      </c>
      <c r="D10639" s="265">
        <v>2.0</v>
      </c>
      <c r="E10639" s="3">
        <v>400.0</v>
      </c>
      <c r="G10639" s="266">
        <v>43932.0</v>
      </c>
    </row>
    <row r="10640">
      <c r="A10640" s="217">
        <v>43934.4234558912</v>
      </c>
      <c r="B10640" s="3" t="s">
        <v>5184</v>
      </c>
      <c r="C10640" s="3" t="s">
        <v>10969</v>
      </c>
      <c r="D10640" s="265">
        <v>1.0</v>
      </c>
      <c r="E10640" s="3">
        <v>200.0</v>
      </c>
      <c r="G10640" s="266">
        <v>43933.0</v>
      </c>
    </row>
    <row r="10641">
      <c r="A10641" s="217">
        <v>43934.42417946759</v>
      </c>
      <c r="B10641" s="3" t="s">
        <v>5184</v>
      </c>
      <c r="C10641" s="3" t="s">
        <v>2432</v>
      </c>
      <c r="D10641" s="265">
        <v>1.0</v>
      </c>
      <c r="E10641" s="3">
        <v>350.0</v>
      </c>
      <c r="G10641" s="266">
        <v>43933.0</v>
      </c>
    </row>
    <row r="10642">
      <c r="A10642" s="217">
        <v>43934.42568059028</v>
      </c>
      <c r="B10642" s="3" t="s">
        <v>5184</v>
      </c>
      <c r="C10642" s="3" t="s">
        <v>244</v>
      </c>
      <c r="D10642" s="265">
        <v>2.0</v>
      </c>
      <c r="E10642" s="3">
        <v>400.0</v>
      </c>
      <c r="G10642" s="266">
        <v>43933.0</v>
      </c>
    </row>
    <row r="10643">
      <c r="A10643" s="217">
        <v>43934.43275241899</v>
      </c>
      <c r="B10643" s="3" t="s">
        <v>5184</v>
      </c>
      <c r="C10643" s="3" t="s">
        <v>9063</v>
      </c>
      <c r="D10643" s="265">
        <v>1.0</v>
      </c>
      <c r="E10643" s="3">
        <v>100.0</v>
      </c>
      <c r="G10643" s="266">
        <v>43933.0</v>
      </c>
    </row>
    <row r="10644">
      <c r="A10644" s="217">
        <v>43934.46211337963</v>
      </c>
      <c r="B10644" s="3" t="s">
        <v>5184</v>
      </c>
      <c r="C10644" s="3" t="s">
        <v>2566</v>
      </c>
      <c r="D10644" s="265">
        <v>1.0</v>
      </c>
      <c r="E10644" s="3">
        <v>120.0</v>
      </c>
      <c r="G10644" s="266">
        <v>43934.0</v>
      </c>
    </row>
    <row r="10645">
      <c r="A10645" s="217">
        <v>43934.46985740741</v>
      </c>
      <c r="B10645" s="3" t="s">
        <v>5184</v>
      </c>
      <c r="C10645" s="3" t="s">
        <v>9063</v>
      </c>
      <c r="D10645" s="265">
        <v>1.0</v>
      </c>
      <c r="E10645" s="3">
        <v>100.0</v>
      </c>
      <c r="G10645" s="266">
        <v>43934.0</v>
      </c>
    </row>
    <row r="10646">
      <c r="A10646" s="217">
        <v>43934.47044472222</v>
      </c>
      <c r="B10646" s="3" t="s">
        <v>5184</v>
      </c>
      <c r="C10646" s="3" t="s">
        <v>7884</v>
      </c>
      <c r="D10646" s="265">
        <v>2.0</v>
      </c>
      <c r="E10646" s="3">
        <v>300.0</v>
      </c>
      <c r="G10646" s="266">
        <v>43934.0</v>
      </c>
    </row>
    <row r="10647">
      <c r="A10647" s="217">
        <v>43934.72392574074</v>
      </c>
      <c r="B10647" s="3" t="s">
        <v>5184</v>
      </c>
      <c r="C10647" s="3" t="s">
        <v>9063</v>
      </c>
      <c r="D10647" s="265">
        <v>1.0</v>
      </c>
      <c r="E10647" s="3">
        <v>100.0</v>
      </c>
      <c r="G10647" s="266">
        <v>43934.0</v>
      </c>
    </row>
    <row r="10648">
      <c r="A10648" s="217">
        <v>43934.74024796297</v>
      </c>
      <c r="B10648" s="3" t="s">
        <v>5184</v>
      </c>
      <c r="C10648" s="3" t="s">
        <v>10975</v>
      </c>
      <c r="D10648" s="265">
        <v>1.0</v>
      </c>
      <c r="E10648" s="3">
        <v>300.0</v>
      </c>
      <c r="G10648" s="266">
        <v>43934.0</v>
      </c>
    </row>
    <row r="10649">
      <c r="A10649" s="217">
        <v>43935.48919543982</v>
      </c>
      <c r="B10649" s="3" t="s">
        <v>5184</v>
      </c>
      <c r="C10649" s="3" t="s">
        <v>1045</v>
      </c>
      <c r="D10649" s="265">
        <v>1.0</v>
      </c>
      <c r="E10649" s="3">
        <v>100.0</v>
      </c>
      <c r="G10649" s="266">
        <v>43935.0</v>
      </c>
    </row>
    <row r="10650">
      <c r="A10650" s="217">
        <v>43935.75328453704</v>
      </c>
      <c r="B10650" s="3" t="s">
        <v>5184</v>
      </c>
      <c r="C10650" s="3" t="s">
        <v>2566</v>
      </c>
      <c r="D10650" s="265">
        <v>1.0</v>
      </c>
      <c r="E10650" s="3">
        <v>120.0</v>
      </c>
      <c r="G10650" s="266">
        <v>43935.0</v>
      </c>
    </row>
    <row r="10651">
      <c r="A10651" s="217">
        <v>43935.75472319445</v>
      </c>
      <c r="B10651" s="3" t="s">
        <v>5184</v>
      </c>
      <c r="C10651" s="3" t="s">
        <v>9184</v>
      </c>
      <c r="D10651" s="265">
        <v>1.0</v>
      </c>
      <c r="E10651" s="3">
        <v>400.0</v>
      </c>
      <c r="G10651" s="266">
        <v>43935.0</v>
      </c>
    </row>
    <row r="10652">
      <c r="A10652" s="217">
        <v>43935.76259861111</v>
      </c>
      <c r="B10652" s="3" t="s">
        <v>5184</v>
      </c>
      <c r="C10652" s="3" t="s">
        <v>10979</v>
      </c>
      <c r="D10652" s="265">
        <v>1.0</v>
      </c>
      <c r="E10652" s="3">
        <v>300.0</v>
      </c>
      <c r="G10652" s="266">
        <v>43935.0</v>
      </c>
    </row>
    <row r="10653">
      <c r="A10653" s="217">
        <v>43936.442863055556</v>
      </c>
      <c r="B10653" s="3" t="s">
        <v>5184</v>
      </c>
      <c r="C10653" s="3" t="s">
        <v>9063</v>
      </c>
      <c r="D10653" s="265">
        <v>1.0</v>
      </c>
      <c r="E10653" s="3">
        <v>100.0</v>
      </c>
      <c r="G10653" s="266">
        <v>43936.0</v>
      </c>
    </row>
    <row r="10654">
      <c r="A10654" s="217">
        <v>43936.44377204861</v>
      </c>
      <c r="B10654" s="3" t="s">
        <v>5184</v>
      </c>
      <c r="C10654" s="3" t="s">
        <v>7884</v>
      </c>
      <c r="D10654" s="265">
        <v>2.0</v>
      </c>
      <c r="E10654" s="3">
        <v>300.0</v>
      </c>
      <c r="G10654" s="266">
        <v>43936.0</v>
      </c>
    </row>
    <row r="10655">
      <c r="A10655" s="217">
        <v>43936.5057241551</v>
      </c>
      <c r="B10655" s="3" t="s">
        <v>5184</v>
      </c>
      <c r="C10655" s="3" t="s">
        <v>2566</v>
      </c>
      <c r="D10655" s="265">
        <v>1.0</v>
      </c>
      <c r="E10655" s="3">
        <v>120.0</v>
      </c>
      <c r="G10655" s="266">
        <v>43936.0</v>
      </c>
    </row>
    <row r="10656">
      <c r="A10656" s="217">
        <v>43936.50638189814</v>
      </c>
      <c r="B10656" s="3" t="s">
        <v>5184</v>
      </c>
      <c r="C10656" s="3" t="s">
        <v>9529</v>
      </c>
      <c r="D10656" s="265">
        <v>2.0</v>
      </c>
      <c r="E10656" s="3">
        <v>600.0</v>
      </c>
      <c r="G10656" s="266">
        <v>43936.0</v>
      </c>
    </row>
    <row r="10657">
      <c r="A10657" s="217">
        <v>43936.50712416667</v>
      </c>
      <c r="B10657" s="3" t="s">
        <v>5184</v>
      </c>
      <c r="C10657" s="3" t="s">
        <v>9529</v>
      </c>
      <c r="D10657" s="265">
        <v>2.0</v>
      </c>
      <c r="E10657" s="3">
        <v>600.0</v>
      </c>
      <c r="G10657" s="266">
        <v>43936.0</v>
      </c>
    </row>
    <row r="10658">
      <c r="A10658" s="217">
        <v>43936.508198807875</v>
      </c>
      <c r="B10658" s="3" t="s">
        <v>5184</v>
      </c>
      <c r="C10658" s="3" t="s">
        <v>9063</v>
      </c>
      <c r="D10658" s="265">
        <v>1.0</v>
      </c>
      <c r="E10658" s="3">
        <v>100.0</v>
      </c>
      <c r="G10658" s="266">
        <v>43936.0</v>
      </c>
    </row>
    <row r="10659">
      <c r="A10659" s="217">
        <v>43936.50908884259</v>
      </c>
      <c r="B10659" s="3" t="s">
        <v>5184</v>
      </c>
      <c r="C10659" s="3" t="s">
        <v>7884</v>
      </c>
      <c r="D10659" s="265">
        <v>2.0</v>
      </c>
      <c r="E10659" s="3">
        <v>300.0</v>
      </c>
      <c r="G10659" s="266">
        <v>43936.0</v>
      </c>
    </row>
    <row r="10660">
      <c r="A10660" s="217">
        <v>43936.52385859954</v>
      </c>
      <c r="B10660" s="3" t="s">
        <v>5184</v>
      </c>
      <c r="C10660" s="3" t="s">
        <v>4427</v>
      </c>
      <c r="D10660" s="265">
        <v>1.0</v>
      </c>
      <c r="E10660" s="3">
        <v>600.0</v>
      </c>
      <c r="G10660" s="266">
        <v>43936.0</v>
      </c>
    </row>
    <row r="10661">
      <c r="A10661" s="217">
        <v>43936.52443980324</v>
      </c>
      <c r="B10661" s="3" t="s">
        <v>5184</v>
      </c>
      <c r="C10661" s="3" t="s">
        <v>7884</v>
      </c>
      <c r="D10661" s="265">
        <v>2.0</v>
      </c>
      <c r="E10661" s="3">
        <v>300.0</v>
      </c>
      <c r="G10661" s="266">
        <v>43936.0</v>
      </c>
    </row>
    <row r="10662">
      <c r="A10662" s="217">
        <v>43936.564067141204</v>
      </c>
      <c r="B10662" s="3" t="s">
        <v>5184</v>
      </c>
      <c r="C10662" s="3" t="s">
        <v>9529</v>
      </c>
      <c r="D10662" s="265">
        <v>2.0</v>
      </c>
      <c r="E10662" s="3">
        <v>600.0</v>
      </c>
      <c r="G10662" s="266">
        <v>43936.0</v>
      </c>
    </row>
    <row r="10663">
      <c r="A10663" s="217">
        <v>43937.44030209491</v>
      </c>
      <c r="B10663" s="3" t="s">
        <v>5184</v>
      </c>
      <c r="C10663" s="3" t="s">
        <v>10984</v>
      </c>
      <c r="D10663" s="265">
        <v>1.0</v>
      </c>
      <c r="E10663" s="3">
        <v>125.0</v>
      </c>
      <c r="G10663" s="266">
        <v>43937.0</v>
      </c>
    </row>
    <row r="10664">
      <c r="A10664" s="217">
        <v>43937.44127413194</v>
      </c>
      <c r="B10664" s="3" t="s">
        <v>5184</v>
      </c>
      <c r="C10664" s="3" t="s">
        <v>7884</v>
      </c>
      <c r="D10664" s="265">
        <v>2.0</v>
      </c>
      <c r="E10664" s="3">
        <v>300.0</v>
      </c>
      <c r="G10664" s="266">
        <v>43937.0</v>
      </c>
    </row>
    <row r="10665">
      <c r="A10665" s="217">
        <v>43937.46054237269</v>
      </c>
      <c r="B10665" s="3" t="s">
        <v>5184</v>
      </c>
      <c r="C10665" s="3" t="s">
        <v>9063</v>
      </c>
      <c r="D10665" s="265">
        <v>1.0</v>
      </c>
      <c r="E10665" s="3">
        <v>100.0</v>
      </c>
      <c r="G10665" s="266">
        <v>43937.0</v>
      </c>
    </row>
    <row r="10666">
      <c r="A10666" s="217">
        <v>43937.46118706018</v>
      </c>
      <c r="B10666" s="3" t="s">
        <v>5184</v>
      </c>
      <c r="C10666" s="3" t="s">
        <v>7884</v>
      </c>
      <c r="D10666" s="265">
        <v>2.0</v>
      </c>
      <c r="E10666" s="3">
        <v>300.0</v>
      </c>
      <c r="G10666" s="266">
        <v>43937.0</v>
      </c>
    </row>
    <row r="10667">
      <c r="A10667" s="217">
        <v>43937.46260745371</v>
      </c>
      <c r="B10667" s="3" t="s">
        <v>5184</v>
      </c>
      <c r="C10667" s="3" t="s">
        <v>2566</v>
      </c>
      <c r="D10667" s="265">
        <v>1.0</v>
      </c>
      <c r="E10667" s="3">
        <v>120.0</v>
      </c>
      <c r="G10667" s="266">
        <v>43937.0</v>
      </c>
    </row>
    <row r="10668">
      <c r="A10668" s="217">
        <v>43937.475678449075</v>
      </c>
      <c r="B10668" s="3" t="s">
        <v>5184</v>
      </c>
      <c r="C10668" s="3" t="s">
        <v>7884</v>
      </c>
      <c r="D10668" s="265">
        <v>2.0</v>
      </c>
      <c r="E10668" s="3">
        <v>300.0</v>
      </c>
      <c r="G10668" s="266">
        <v>43937.0</v>
      </c>
    </row>
    <row r="10669">
      <c r="A10669" s="217">
        <v>43937.47708704861</v>
      </c>
      <c r="B10669" s="3" t="s">
        <v>5184</v>
      </c>
      <c r="C10669" s="3" t="s">
        <v>9051</v>
      </c>
      <c r="D10669" s="265">
        <v>1.0</v>
      </c>
      <c r="E10669" s="3">
        <v>250.0</v>
      </c>
      <c r="G10669" s="266">
        <v>43937.0</v>
      </c>
    </row>
    <row r="10670">
      <c r="A10670" s="217">
        <v>43937.4776140162</v>
      </c>
      <c r="B10670" s="3" t="s">
        <v>5184</v>
      </c>
      <c r="C10670" s="3" t="s">
        <v>7884</v>
      </c>
      <c r="D10670" s="265">
        <v>2.0</v>
      </c>
      <c r="E10670" s="3">
        <v>300.0</v>
      </c>
      <c r="G10670" s="266">
        <v>43937.0</v>
      </c>
    </row>
    <row r="10671">
      <c r="A10671" s="217">
        <v>43937.478288252314</v>
      </c>
      <c r="B10671" s="3" t="s">
        <v>5184</v>
      </c>
      <c r="C10671" s="3" t="s">
        <v>9051</v>
      </c>
      <c r="D10671" s="265">
        <v>1.0</v>
      </c>
      <c r="E10671" s="3">
        <v>250.0</v>
      </c>
      <c r="G10671" s="266">
        <v>43937.0</v>
      </c>
    </row>
    <row r="10672">
      <c r="A10672" s="217">
        <v>43937.479176423614</v>
      </c>
      <c r="B10672" s="3" t="s">
        <v>5184</v>
      </c>
      <c r="C10672" s="3" t="s">
        <v>7884</v>
      </c>
      <c r="D10672" s="265">
        <v>2.0</v>
      </c>
      <c r="E10672" s="3">
        <v>300.0</v>
      </c>
      <c r="G10672" s="266">
        <v>43937.0</v>
      </c>
    </row>
    <row r="10673">
      <c r="A10673" s="217">
        <v>43937.7903178125</v>
      </c>
      <c r="B10673" s="3" t="s">
        <v>5184</v>
      </c>
      <c r="C10673" s="3" t="s">
        <v>10969</v>
      </c>
      <c r="D10673" s="265">
        <v>1.0</v>
      </c>
      <c r="E10673" s="3">
        <v>200.0</v>
      </c>
      <c r="G10673" s="266">
        <v>43937.0</v>
      </c>
    </row>
    <row r="10674">
      <c r="A10674" s="217">
        <v>43937.79086630787</v>
      </c>
      <c r="B10674" s="3" t="s">
        <v>5184</v>
      </c>
      <c r="C10674" s="3" t="s">
        <v>7884</v>
      </c>
      <c r="D10674" s="265">
        <v>2.0</v>
      </c>
      <c r="E10674" s="3">
        <v>300.0</v>
      </c>
      <c r="G10674" s="266">
        <v>43937.0</v>
      </c>
    </row>
    <row r="10675">
      <c r="A10675" s="217">
        <v>43938.43327055556</v>
      </c>
      <c r="B10675" s="3" t="s">
        <v>5184</v>
      </c>
      <c r="C10675" s="3" t="s">
        <v>2566</v>
      </c>
      <c r="D10675" s="265">
        <v>1.0</v>
      </c>
      <c r="E10675" s="3">
        <v>120.0</v>
      </c>
      <c r="G10675" s="266">
        <v>43938.0</v>
      </c>
    </row>
    <row r="10676">
      <c r="A10676" s="217">
        <v>43938.4844943287</v>
      </c>
      <c r="B10676" s="3" t="s">
        <v>5184</v>
      </c>
      <c r="C10676" s="3" t="s">
        <v>10979</v>
      </c>
      <c r="D10676" s="265">
        <v>1.0</v>
      </c>
      <c r="E10676" s="3">
        <v>300.0</v>
      </c>
      <c r="G10676" s="266">
        <v>43938.0</v>
      </c>
    </row>
    <row r="10677">
      <c r="A10677" s="217">
        <v>43938.48507726852</v>
      </c>
      <c r="B10677" s="3" t="s">
        <v>5184</v>
      </c>
      <c r="C10677" s="3" t="s">
        <v>7884</v>
      </c>
      <c r="D10677" s="265">
        <v>2.0</v>
      </c>
      <c r="E10677" s="3">
        <v>300.0</v>
      </c>
      <c r="G10677" s="266">
        <v>43938.0</v>
      </c>
    </row>
    <row r="10678">
      <c r="A10678" s="217">
        <v>43938.51039516204</v>
      </c>
      <c r="B10678" s="3" t="s">
        <v>5184</v>
      </c>
      <c r="C10678" s="3" t="s">
        <v>10994</v>
      </c>
      <c r="D10678" s="265">
        <v>1.0</v>
      </c>
      <c r="E10678" s="3">
        <v>300.0</v>
      </c>
      <c r="G10678" s="266">
        <v>43938.0</v>
      </c>
    </row>
    <row r="10679">
      <c r="A10679" s="217">
        <v>43938.51102601852</v>
      </c>
      <c r="B10679" s="3" t="s">
        <v>5184</v>
      </c>
      <c r="C10679" s="3" t="s">
        <v>7884</v>
      </c>
      <c r="D10679" s="265">
        <v>2.0</v>
      </c>
      <c r="E10679" s="3">
        <v>300.0</v>
      </c>
      <c r="G10679" s="266">
        <v>43938.0</v>
      </c>
    </row>
    <row r="10680">
      <c r="A10680" s="217">
        <v>43938.79459859953</v>
      </c>
      <c r="B10680" s="3" t="s">
        <v>5184</v>
      </c>
      <c r="C10680" s="3" t="s">
        <v>7884</v>
      </c>
      <c r="D10680" s="265">
        <v>2.0</v>
      </c>
      <c r="E10680" s="3">
        <v>300.0</v>
      </c>
      <c r="G10680" s="266">
        <v>43938.0</v>
      </c>
    </row>
    <row r="10681">
      <c r="A10681" s="217">
        <v>43939.43725077546</v>
      </c>
      <c r="B10681" s="3" t="s">
        <v>5184</v>
      </c>
      <c r="C10681" s="3" t="s">
        <v>10997</v>
      </c>
      <c r="D10681" s="265">
        <v>1.0</v>
      </c>
      <c r="E10681" s="3">
        <v>200.0</v>
      </c>
      <c r="G10681" s="266">
        <v>43939.0</v>
      </c>
    </row>
    <row r="10682">
      <c r="A10682" s="217">
        <v>43939.437800011576</v>
      </c>
      <c r="B10682" s="3" t="s">
        <v>5184</v>
      </c>
      <c r="C10682" s="3" t="s">
        <v>10969</v>
      </c>
      <c r="D10682" s="265">
        <v>1.0</v>
      </c>
      <c r="E10682" s="3">
        <v>200.0</v>
      </c>
      <c r="G10682" s="266">
        <v>43939.0</v>
      </c>
    </row>
    <row r="10683">
      <c r="A10683" s="217">
        <v>43939.43886987268</v>
      </c>
      <c r="B10683" s="3" t="s">
        <v>5184</v>
      </c>
      <c r="C10683" s="3" t="s">
        <v>7884</v>
      </c>
      <c r="D10683" s="265">
        <v>2.0</v>
      </c>
      <c r="E10683" s="3">
        <v>300.0</v>
      </c>
      <c r="G10683" s="266">
        <v>43939.0</v>
      </c>
    </row>
    <row r="10684">
      <c r="A10684" s="217">
        <v>43939.492425902776</v>
      </c>
      <c r="B10684" s="3" t="s">
        <v>5184</v>
      </c>
      <c r="C10684" s="3" t="s">
        <v>2566</v>
      </c>
      <c r="D10684" s="265">
        <v>1.0</v>
      </c>
      <c r="E10684" s="3">
        <v>120.0</v>
      </c>
      <c r="G10684" s="266">
        <v>43939.0</v>
      </c>
    </row>
    <row r="10685">
      <c r="A10685" s="217">
        <v>43939.49400160879</v>
      </c>
      <c r="B10685" s="3" t="s">
        <v>5184</v>
      </c>
      <c r="C10685" s="3" t="s">
        <v>10137</v>
      </c>
      <c r="D10685" s="265">
        <v>2.0</v>
      </c>
      <c r="E10685" s="3">
        <v>400.0</v>
      </c>
      <c r="G10685" s="266">
        <v>43939.0</v>
      </c>
    </row>
    <row r="10686">
      <c r="A10686" s="217">
        <v>43939.49728466435</v>
      </c>
      <c r="B10686" s="3" t="s">
        <v>5184</v>
      </c>
      <c r="C10686" s="3" t="s">
        <v>7884</v>
      </c>
      <c r="D10686" s="265">
        <v>2.0</v>
      </c>
      <c r="E10686" s="3">
        <v>300.0</v>
      </c>
      <c r="G10686" s="266">
        <v>43939.0</v>
      </c>
    </row>
    <row r="10687">
      <c r="A10687" s="217">
        <v>43939.56490629629</v>
      </c>
      <c r="B10687" s="3" t="s">
        <v>5184</v>
      </c>
      <c r="C10687" s="3" t="s">
        <v>10969</v>
      </c>
      <c r="D10687" s="265">
        <v>1.0</v>
      </c>
      <c r="E10687" s="3">
        <v>200.0</v>
      </c>
      <c r="G10687" s="266">
        <v>43939.0</v>
      </c>
    </row>
    <row r="10688">
      <c r="A10688" s="217">
        <v>43939.56542375</v>
      </c>
      <c r="B10688" s="3" t="s">
        <v>5184</v>
      </c>
      <c r="C10688" s="3" t="s">
        <v>7884</v>
      </c>
      <c r="D10688" s="265">
        <v>2.0</v>
      </c>
      <c r="E10688" s="3">
        <v>300.0</v>
      </c>
      <c r="G10688" s="266">
        <v>43939.0</v>
      </c>
    </row>
    <row r="10689">
      <c r="A10689" s="217">
        <v>43939.7729140625</v>
      </c>
      <c r="B10689" s="3" t="s">
        <v>5184</v>
      </c>
      <c r="C10689" s="3" t="s">
        <v>9063</v>
      </c>
      <c r="D10689" s="265">
        <v>1.0</v>
      </c>
      <c r="E10689" s="3">
        <v>100.0</v>
      </c>
      <c r="G10689" s="266">
        <v>43939.0</v>
      </c>
    </row>
    <row r="10690">
      <c r="A10690" s="217">
        <v>43939.79204601852</v>
      </c>
      <c r="B10690" s="3" t="s">
        <v>5184</v>
      </c>
      <c r="C10690" s="3" t="s">
        <v>7884</v>
      </c>
      <c r="D10690" s="265">
        <v>2.0</v>
      </c>
      <c r="E10690" s="3">
        <v>300.0</v>
      </c>
      <c r="G10690" s="266">
        <v>43939.0</v>
      </c>
    </row>
    <row r="10691">
      <c r="A10691" s="217">
        <v>43940.44091158565</v>
      </c>
      <c r="B10691" s="3" t="s">
        <v>5184</v>
      </c>
      <c r="C10691" s="3" t="s">
        <v>9063</v>
      </c>
      <c r="D10691" s="265">
        <v>1.0</v>
      </c>
      <c r="E10691" s="3">
        <v>100.0</v>
      </c>
      <c r="G10691" s="266">
        <v>43940.0</v>
      </c>
    </row>
    <row r="10692">
      <c r="A10692" s="217">
        <v>43940.441505995375</v>
      </c>
      <c r="B10692" s="3" t="s">
        <v>5184</v>
      </c>
      <c r="C10692" s="3" t="s">
        <v>7884</v>
      </c>
      <c r="D10692" s="265">
        <v>2.0</v>
      </c>
      <c r="E10692" s="3">
        <v>300.0</v>
      </c>
      <c r="G10692" s="266">
        <v>43940.0</v>
      </c>
    </row>
    <row r="10693">
      <c r="A10693" s="217">
        <v>43940.4582289699</v>
      </c>
      <c r="B10693" s="3" t="s">
        <v>5184</v>
      </c>
      <c r="C10693" s="3" t="s">
        <v>4254</v>
      </c>
      <c r="D10693" s="265">
        <v>1.0</v>
      </c>
      <c r="E10693" s="3">
        <v>800.0</v>
      </c>
      <c r="G10693" s="266">
        <v>43940.0</v>
      </c>
    </row>
    <row r="10694">
      <c r="A10694" s="217">
        <v>43940.48710204861</v>
      </c>
      <c r="B10694" s="3" t="s">
        <v>5184</v>
      </c>
      <c r="C10694" s="3" t="s">
        <v>11005</v>
      </c>
      <c r="D10694" s="265">
        <v>1.0</v>
      </c>
      <c r="E10694" s="3">
        <v>300.0</v>
      </c>
      <c r="G10694" s="266">
        <v>43940.0</v>
      </c>
    </row>
    <row r="10695">
      <c r="A10695" s="217">
        <v>43940.487747534724</v>
      </c>
      <c r="B10695" s="3" t="s">
        <v>5184</v>
      </c>
      <c r="C10695" s="3" t="s">
        <v>284</v>
      </c>
      <c r="D10695" s="265">
        <v>2.0</v>
      </c>
      <c r="E10695" s="3">
        <v>500.0</v>
      </c>
      <c r="G10695" s="266">
        <v>43940.0</v>
      </c>
    </row>
    <row r="10696">
      <c r="A10696" s="217">
        <v>43940.488471273144</v>
      </c>
      <c r="B10696" s="3" t="s">
        <v>5184</v>
      </c>
      <c r="C10696" s="3" t="s">
        <v>9063</v>
      </c>
      <c r="D10696" s="265">
        <v>1.0</v>
      </c>
      <c r="E10696" s="3">
        <v>100.0</v>
      </c>
      <c r="G10696" s="266">
        <v>43940.0</v>
      </c>
    </row>
    <row r="10697">
      <c r="A10697" s="217">
        <v>43940.48895993056</v>
      </c>
      <c r="B10697" s="3" t="s">
        <v>5184</v>
      </c>
      <c r="C10697" s="3" t="s">
        <v>7884</v>
      </c>
      <c r="D10697" s="265">
        <v>2.0</v>
      </c>
      <c r="E10697" s="3">
        <v>300.0</v>
      </c>
      <c r="G10697" s="266">
        <v>43940.0</v>
      </c>
    </row>
    <row r="10698">
      <c r="A10698" s="217">
        <v>43940.53752866898</v>
      </c>
      <c r="B10698" s="3" t="s">
        <v>5184</v>
      </c>
      <c r="C10698" s="3" t="s">
        <v>9063</v>
      </c>
      <c r="D10698" s="265">
        <v>1.0</v>
      </c>
      <c r="E10698" s="3">
        <v>100.0</v>
      </c>
      <c r="G10698" s="266">
        <v>43940.0</v>
      </c>
    </row>
    <row r="10699">
      <c r="A10699" s="217">
        <v>43941.430335428246</v>
      </c>
      <c r="B10699" s="3" t="s">
        <v>5184</v>
      </c>
      <c r="C10699" s="3" t="s">
        <v>10969</v>
      </c>
      <c r="D10699" s="265">
        <v>1.0</v>
      </c>
      <c r="E10699" s="3">
        <v>200.0</v>
      </c>
      <c r="G10699" s="266">
        <v>43941.0</v>
      </c>
    </row>
    <row r="10700">
      <c r="A10700" s="217">
        <v>43941.43246991898</v>
      </c>
      <c r="B10700" s="3" t="s">
        <v>5184</v>
      </c>
      <c r="C10700" s="3" t="s">
        <v>7884</v>
      </c>
      <c r="D10700" s="265">
        <v>2.0</v>
      </c>
      <c r="E10700" s="3">
        <v>300.0</v>
      </c>
      <c r="G10700" s="266">
        <v>43941.0</v>
      </c>
    </row>
    <row r="10701">
      <c r="A10701" s="217">
        <v>43941.43344475694</v>
      </c>
      <c r="B10701" s="3" t="s">
        <v>5184</v>
      </c>
      <c r="C10701" s="3" t="s">
        <v>10969</v>
      </c>
      <c r="D10701" s="265">
        <v>1.0</v>
      </c>
      <c r="E10701" s="3">
        <v>200.0</v>
      </c>
      <c r="G10701" s="266">
        <v>43941.0</v>
      </c>
    </row>
    <row r="10702">
      <c r="A10702" s="217">
        <v>43941.43404965277</v>
      </c>
      <c r="B10702" s="3" t="s">
        <v>5184</v>
      </c>
      <c r="C10702" s="3" t="s">
        <v>7884</v>
      </c>
      <c r="D10702" s="265">
        <v>2.0</v>
      </c>
      <c r="E10702" s="3">
        <v>300.0</v>
      </c>
      <c r="G10702" s="266">
        <v>43941.0</v>
      </c>
    </row>
    <row r="10703">
      <c r="A10703" s="217">
        <v>43941.585584699074</v>
      </c>
      <c r="B10703" s="3" t="s">
        <v>5184</v>
      </c>
      <c r="C10703" s="3" t="s">
        <v>2432</v>
      </c>
      <c r="D10703" s="265">
        <v>1.0</v>
      </c>
      <c r="E10703" s="3">
        <v>350.0</v>
      </c>
      <c r="G10703" s="266">
        <v>43941.0</v>
      </c>
    </row>
    <row r="10704">
      <c r="A10704" s="217">
        <v>43941.58615200232</v>
      </c>
      <c r="B10704" s="3" t="s">
        <v>5184</v>
      </c>
      <c r="C10704" s="3" t="s">
        <v>7884</v>
      </c>
      <c r="D10704" s="265">
        <v>2.0</v>
      </c>
      <c r="E10704" s="3">
        <v>300.0</v>
      </c>
      <c r="G10704" s="266">
        <v>43941.0</v>
      </c>
    </row>
    <row r="10705">
      <c r="A10705" s="217">
        <v>43941.58693020833</v>
      </c>
      <c r="B10705" s="3" t="s">
        <v>5184</v>
      </c>
      <c r="C10705" s="3" t="s">
        <v>2566</v>
      </c>
      <c r="D10705" s="265">
        <v>1.0</v>
      </c>
      <c r="E10705" s="3">
        <v>120.0</v>
      </c>
      <c r="G10705" s="266">
        <v>43941.0</v>
      </c>
    </row>
    <row r="10706">
      <c r="A10706" s="217">
        <v>43941.58759729167</v>
      </c>
      <c r="B10706" s="3" t="s">
        <v>5184</v>
      </c>
      <c r="C10706" s="3" t="s">
        <v>9529</v>
      </c>
      <c r="D10706" s="265">
        <v>2.0</v>
      </c>
      <c r="E10706" s="3">
        <v>600.0</v>
      </c>
      <c r="G10706" s="266">
        <v>43941.0</v>
      </c>
    </row>
    <row r="10707">
      <c r="A10707" s="217">
        <v>43941.58838836805</v>
      </c>
      <c r="B10707" s="3" t="s">
        <v>5184</v>
      </c>
      <c r="C10707" s="3" t="s">
        <v>11009</v>
      </c>
      <c r="D10707" s="265">
        <v>1.0</v>
      </c>
      <c r="E10707" s="3">
        <v>350.0</v>
      </c>
      <c r="G10707" s="266">
        <v>43941.0</v>
      </c>
    </row>
    <row r="10708">
      <c r="A10708" s="217">
        <v>43941.58903342593</v>
      </c>
      <c r="B10708" s="3" t="s">
        <v>5184</v>
      </c>
      <c r="C10708" s="3" t="s">
        <v>284</v>
      </c>
      <c r="D10708" s="265">
        <v>2.0</v>
      </c>
      <c r="E10708" s="3">
        <v>500.0</v>
      </c>
      <c r="G10708" s="266">
        <v>43941.0</v>
      </c>
    </row>
    <row r="10709">
      <c r="A10709" s="217">
        <v>43941.58993913194</v>
      </c>
      <c r="B10709" s="3" t="s">
        <v>5184</v>
      </c>
      <c r="C10709" s="3" t="s">
        <v>7693</v>
      </c>
      <c r="D10709" s="265">
        <v>2.0</v>
      </c>
      <c r="E10709" s="3">
        <v>1000.0</v>
      </c>
      <c r="G10709" s="266">
        <v>43941.0</v>
      </c>
    </row>
    <row r="10710">
      <c r="A10710" s="217">
        <v>43941.785424444446</v>
      </c>
      <c r="B10710" s="3" t="s">
        <v>5184</v>
      </c>
      <c r="C10710" s="3" t="s">
        <v>4255</v>
      </c>
      <c r="D10710" s="265">
        <v>1.0</v>
      </c>
      <c r="E10710" s="3">
        <v>500.0</v>
      </c>
      <c r="G10710" s="266">
        <v>43941.0</v>
      </c>
    </row>
    <row r="10711">
      <c r="A10711" s="217">
        <v>43941.78598291667</v>
      </c>
      <c r="B10711" s="3" t="s">
        <v>5184</v>
      </c>
      <c r="C10711" s="3" t="s">
        <v>7884</v>
      </c>
      <c r="D10711" s="265">
        <v>2.0</v>
      </c>
      <c r="E10711" s="3">
        <v>300.0</v>
      </c>
      <c r="G10711" s="266">
        <v>43941.0</v>
      </c>
    </row>
    <row r="10712">
      <c r="A10712" s="217">
        <v>43942.4371034838</v>
      </c>
      <c r="B10712" s="3" t="s">
        <v>5184</v>
      </c>
      <c r="C10712" s="3" t="s">
        <v>7884</v>
      </c>
      <c r="D10712" s="265" t="s">
        <v>7547</v>
      </c>
      <c r="E10712" s="3">
        <v>150.0</v>
      </c>
      <c r="G10712" s="266">
        <v>43942.0</v>
      </c>
    </row>
    <row r="10713">
      <c r="A10713" s="217">
        <v>43942.43813193287</v>
      </c>
      <c r="B10713" s="3" t="s">
        <v>5184</v>
      </c>
      <c r="C10713" s="3" t="s">
        <v>10969</v>
      </c>
      <c r="D10713" s="3">
        <v>1.0</v>
      </c>
      <c r="E10713" s="3">
        <v>200.0</v>
      </c>
      <c r="G10713" s="266">
        <v>43942.0</v>
      </c>
    </row>
    <row r="10714">
      <c r="A10714" s="217">
        <v>43942.43862414351</v>
      </c>
      <c r="B10714" s="3" t="s">
        <v>5184</v>
      </c>
      <c r="C10714" s="3" t="s">
        <v>7884</v>
      </c>
      <c r="D10714" s="3">
        <v>2.0</v>
      </c>
      <c r="E10714" s="3">
        <v>300.0</v>
      </c>
      <c r="G10714" s="266">
        <v>43942.0</v>
      </c>
    </row>
    <row r="10715">
      <c r="A10715" s="217">
        <v>43942.48657896991</v>
      </c>
      <c r="B10715" s="3" t="s">
        <v>5184</v>
      </c>
      <c r="C10715" s="3" t="s">
        <v>9063</v>
      </c>
      <c r="D10715" s="3">
        <v>1.0</v>
      </c>
      <c r="E10715" s="3">
        <v>100.0</v>
      </c>
      <c r="G10715" s="266">
        <v>43942.0</v>
      </c>
    </row>
    <row r="10716">
      <c r="A10716" s="217">
        <v>43942.48792832176</v>
      </c>
      <c r="B10716" s="3" t="s">
        <v>5184</v>
      </c>
      <c r="C10716" s="3" t="s">
        <v>9051</v>
      </c>
      <c r="D10716" s="3">
        <v>1.0</v>
      </c>
      <c r="E10716" s="3">
        <v>250.0</v>
      </c>
      <c r="G10716" s="266">
        <v>43942.0</v>
      </c>
    </row>
    <row r="10717">
      <c r="A10717" s="217">
        <v>43942.4887641088</v>
      </c>
      <c r="B10717" s="3" t="s">
        <v>5184</v>
      </c>
      <c r="C10717" s="3" t="s">
        <v>7884</v>
      </c>
      <c r="D10717" s="3">
        <v>1.0</v>
      </c>
      <c r="E10717" s="3">
        <v>300.0</v>
      </c>
      <c r="G10717" s="266">
        <v>43942.0</v>
      </c>
    </row>
    <row r="10718">
      <c r="A10718" s="217">
        <v>43942.48955319445</v>
      </c>
      <c r="B10718" s="3" t="s">
        <v>5184</v>
      </c>
      <c r="C10718" s="3" t="s">
        <v>9063</v>
      </c>
      <c r="D10718" s="3">
        <v>1.0</v>
      </c>
      <c r="E10718" s="3">
        <v>100.0</v>
      </c>
      <c r="G10718" s="266">
        <v>43942.0</v>
      </c>
    </row>
    <row r="10719">
      <c r="A10719" s="217">
        <v>43942.49347148148</v>
      </c>
      <c r="B10719" s="3" t="s">
        <v>5184</v>
      </c>
      <c r="C10719" s="3" t="s">
        <v>7884</v>
      </c>
      <c r="D10719" s="3">
        <v>2.0</v>
      </c>
      <c r="E10719" s="3">
        <v>300.0</v>
      </c>
      <c r="G10719" s="266">
        <v>43942.0</v>
      </c>
    </row>
    <row r="10720">
      <c r="A10720" s="217">
        <v>43942.49441724537</v>
      </c>
      <c r="B10720" s="3" t="s">
        <v>5184</v>
      </c>
      <c r="C10720" s="3" t="s">
        <v>11018</v>
      </c>
      <c r="D10720" s="3">
        <v>1.0</v>
      </c>
      <c r="E10720" s="3">
        <v>250.0</v>
      </c>
      <c r="G10720" s="266">
        <v>43942.0</v>
      </c>
    </row>
    <row r="10721">
      <c r="A10721" s="217">
        <v>43942.49492577546</v>
      </c>
      <c r="B10721" s="3" t="s">
        <v>5184</v>
      </c>
      <c r="C10721" s="3" t="s">
        <v>7884</v>
      </c>
      <c r="D10721" s="3">
        <v>2.0</v>
      </c>
      <c r="E10721" s="3">
        <v>300.0</v>
      </c>
      <c r="G10721" s="266">
        <v>43942.0</v>
      </c>
    </row>
    <row r="10722">
      <c r="A10722" s="217">
        <v>43942.69206645833</v>
      </c>
      <c r="B10722" s="3" t="s">
        <v>5184</v>
      </c>
      <c r="C10722" s="3" t="s">
        <v>2566</v>
      </c>
      <c r="D10722" s="3">
        <v>1.0</v>
      </c>
      <c r="E10722" s="3">
        <v>120.0</v>
      </c>
      <c r="G10722" s="266">
        <v>43942.0</v>
      </c>
    </row>
    <row r="10723">
      <c r="A10723" s="217">
        <v>43942.69266241898</v>
      </c>
      <c r="B10723" s="3" t="s">
        <v>5184</v>
      </c>
      <c r="C10723" s="3" t="s">
        <v>10969</v>
      </c>
      <c r="D10723" s="3">
        <v>1.0</v>
      </c>
      <c r="E10723" s="3">
        <v>200.0</v>
      </c>
      <c r="G10723" s="266">
        <v>43942.0</v>
      </c>
    </row>
    <row r="10724">
      <c r="A10724" s="217">
        <v>43942.69316445602</v>
      </c>
      <c r="B10724" s="3" t="s">
        <v>5184</v>
      </c>
      <c r="C10724" s="3" t="s">
        <v>7884</v>
      </c>
      <c r="D10724" s="3">
        <v>1.0</v>
      </c>
      <c r="E10724" s="3">
        <v>300.0</v>
      </c>
      <c r="G10724" s="266">
        <v>43942.0</v>
      </c>
    </row>
    <row r="10725">
      <c r="A10725" s="217">
        <v>43943.53414371528</v>
      </c>
      <c r="B10725" s="3" t="s">
        <v>5184</v>
      </c>
      <c r="C10725" s="3" t="s">
        <v>2432</v>
      </c>
      <c r="D10725" s="3">
        <v>1.0</v>
      </c>
      <c r="E10725" s="3">
        <v>350.0</v>
      </c>
      <c r="G10725" s="266">
        <v>43943.0</v>
      </c>
    </row>
    <row r="10726">
      <c r="A10726" s="217">
        <v>43943.53477255787</v>
      </c>
      <c r="B10726" s="3" t="s">
        <v>5184</v>
      </c>
      <c r="C10726" s="3" t="s">
        <v>7884</v>
      </c>
      <c r="D10726" s="3">
        <v>2.0</v>
      </c>
      <c r="E10726" s="3">
        <v>300.0</v>
      </c>
      <c r="G10726" s="266">
        <v>43943.0</v>
      </c>
    </row>
    <row r="10727">
      <c r="A10727" s="217">
        <v>43943.53585127315</v>
      </c>
      <c r="B10727" s="3" t="s">
        <v>5184</v>
      </c>
      <c r="C10727" s="3" t="s">
        <v>2566</v>
      </c>
      <c r="D10727" s="3">
        <v>1.0</v>
      </c>
      <c r="E10727" s="3">
        <v>120.0</v>
      </c>
      <c r="G10727" s="266">
        <v>43943.0</v>
      </c>
    </row>
    <row r="10728">
      <c r="A10728" s="217">
        <v>43943.53633357639</v>
      </c>
      <c r="B10728" s="3" t="s">
        <v>5184</v>
      </c>
      <c r="C10728" s="3" t="s">
        <v>7884</v>
      </c>
      <c r="D10728" s="3">
        <v>2.0</v>
      </c>
      <c r="E10728" s="3">
        <v>300.0</v>
      </c>
      <c r="G10728" s="266">
        <v>43943.0</v>
      </c>
    </row>
    <row r="10729">
      <c r="A10729" s="217">
        <v>43943.53755429398</v>
      </c>
      <c r="B10729" s="3" t="s">
        <v>5184</v>
      </c>
      <c r="C10729" s="3" t="s">
        <v>7884</v>
      </c>
      <c r="D10729" s="3" t="s">
        <v>7547</v>
      </c>
      <c r="E10729" s="3">
        <v>150.0</v>
      </c>
      <c r="G10729" s="266">
        <v>43943.0</v>
      </c>
    </row>
    <row r="10730">
      <c r="A10730" s="217">
        <v>43943.538244270836</v>
      </c>
      <c r="B10730" s="3" t="s">
        <v>5184</v>
      </c>
      <c r="C10730" s="3" t="s">
        <v>7884</v>
      </c>
      <c r="D10730" s="3">
        <v>2.0</v>
      </c>
      <c r="E10730" s="3">
        <v>300.0</v>
      </c>
      <c r="G10730" s="266">
        <v>43943.0</v>
      </c>
    </row>
    <row r="10731">
      <c r="A10731" s="217">
        <v>43943.53890135417</v>
      </c>
      <c r="B10731" s="3" t="s">
        <v>5184</v>
      </c>
      <c r="C10731" s="3" t="s">
        <v>10969</v>
      </c>
      <c r="D10731" s="3">
        <v>1.0</v>
      </c>
      <c r="E10731" s="3">
        <v>200.0</v>
      </c>
      <c r="G10731" s="266">
        <v>43943.0</v>
      </c>
    </row>
    <row r="10732">
      <c r="A10732" s="217">
        <v>43943.539490358795</v>
      </c>
      <c r="B10732" s="3" t="s">
        <v>5184</v>
      </c>
      <c r="C10732" s="3" t="s">
        <v>7884</v>
      </c>
      <c r="D10732" s="3">
        <v>2.0</v>
      </c>
      <c r="E10732" s="3">
        <v>300.0</v>
      </c>
      <c r="G10732" s="266">
        <v>43943.0</v>
      </c>
    </row>
    <row r="10733">
      <c r="A10733" s="217">
        <v>43943.540383125</v>
      </c>
      <c r="B10733" s="3" t="s">
        <v>5184</v>
      </c>
      <c r="C10733" s="3" t="s">
        <v>9063</v>
      </c>
      <c r="D10733" s="3">
        <v>1.0</v>
      </c>
      <c r="E10733" s="3">
        <v>100.0</v>
      </c>
      <c r="G10733" s="266">
        <v>43943.0</v>
      </c>
    </row>
    <row r="10734">
      <c r="A10734" s="217">
        <v>43943.541160520836</v>
      </c>
      <c r="B10734" s="3" t="s">
        <v>5184</v>
      </c>
      <c r="C10734" s="3" t="s">
        <v>7884</v>
      </c>
      <c r="D10734" s="3">
        <v>2.0</v>
      </c>
      <c r="E10734" s="3">
        <v>300.0</v>
      </c>
      <c r="G10734" s="266">
        <v>43943.0</v>
      </c>
    </row>
    <row r="10735">
      <c r="A10735" s="217">
        <v>43943.541795902776</v>
      </c>
      <c r="B10735" s="3" t="s">
        <v>5184</v>
      </c>
      <c r="C10735" s="3" t="s">
        <v>9063</v>
      </c>
      <c r="D10735" s="3">
        <v>1.0</v>
      </c>
      <c r="E10735" s="3">
        <v>100.0</v>
      </c>
      <c r="G10735" s="266">
        <v>43943.0</v>
      </c>
    </row>
    <row r="10736">
      <c r="A10736" s="217">
        <v>43943.54234680555</v>
      </c>
      <c r="B10736" s="3" t="s">
        <v>5184</v>
      </c>
      <c r="C10736" s="3" t="s">
        <v>7884</v>
      </c>
      <c r="D10736" s="3">
        <v>2.0</v>
      </c>
      <c r="E10736" s="3">
        <v>300.0</v>
      </c>
      <c r="G10736" s="266">
        <v>43943.0</v>
      </c>
    </row>
    <row r="10737">
      <c r="A10737" s="217">
        <v>43943.54306053241</v>
      </c>
      <c r="B10737" s="3" t="s">
        <v>5184</v>
      </c>
      <c r="C10737" s="3" t="s">
        <v>284</v>
      </c>
      <c r="D10737" s="3">
        <v>2.0</v>
      </c>
      <c r="E10737" s="3">
        <v>500.0</v>
      </c>
      <c r="G10737" s="266">
        <v>43943.0</v>
      </c>
    </row>
    <row r="10738">
      <c r="A10738" s="217">
        <v>43943.543622233796</v>
      </c>
      <c r="B10738" s="3" t="s">
        <v>5184</v>
      </c>
      <c r="C10738" s="3" t="s">
        <v>9051</v>
      </c>
      <c r="D10738" s="3">
        <v>1.0</v>
      </c>
      <c r="E10738" s="3">
        <v>250.0</v>
      </c>
      <c r="G10738" s="266">
        <v>43943.0</v>
      </c>
    </row>
    <row r="10739">
      <c r="A10739" s="217">
        <v>43943.544149340276</v>
      </c>
      <c r="B10739" s="3" t="s">
        <v>5184</v>
      </c>
      <c r="C10739" s="3" t="s">
        <v>7884</v>
      </c>
      <c r="D10739" s="3">
        <v>2.0</v>
      </c>
      <c r="E10739" s="3">
        <v>300.0</v>
      </c>
      <c r="G10739" s="266">
        <v>43943.0</v>
      </c>
    </row>
    <row r="10740">
      <c r="A10740" s="217">
        <v>43943.55107204861</v>
      </c>
      <c r="B10740" s="3" t="s">
        <v>5184</v>
      </c>
      <c r="C10740" s="3" t="s">
        <v>7884</v>
      </c>
      <c r="D10740" s="3">
        <v>2.0</v>
      </c>
      <c r="E10740" s="3">
        <v>300.0</v>
      </c>
      <c r="G10740" s="266">
        <v>43943.0</v>
      </c>
    </row>
    <row r="10741">
      <c r="A10741" s="217">
        <v>43943.55182828703</v>
      </c>
      <c r="B10741" s="3" t="s">
        <v>5184</v>
      </c>
      <c r="C10741" s="3" t="s">
        <v>7884</v>
      </c>
      <c r="D10741" s="3">
        <v>2.0</v>
      </c>
      <c r="E10741" s="3">
        <v>300.0</v>
      </c>
      <c r="G10741" s="266">
        <v>43943.0</v>
      </c>
    </row>
    <row r="10742">
      <c r="A10742" s="217">
        <v>43943.70692512731</v>
      </c>
      <c r="B10742" s="3" t="s">
        <v>5184</v>
      </c>
      <c r="C10742" s="3" t="s">
        <v>7884</v>
      </c>
      <c r="D10742" s="3">
        <v>2.0</v>
      </c>
      <c r="E10742" s="3">
        <v>300.0</v>
      </c>
      <c r="G10742" s="266">
        <v>43943.0</v>
      </c>
    </row>
    <row r="10743">
      <c r="A10743" s="217">
        <v>43944.4358789699</v>
      </c>
      <c r="B10743" s="3" t="s">
        <v>5184</v>
      </c>
      <c r="C10743" s="3" t="s">
        <v>11033</v>
      </c>
      <c r="D10743" s="3">
        <v>1.0</v>
      </c>
      <c r="E10743" s="3">
        <v>500.0</v>
      </c>
      <c r="G10743" s="266">
        <v>43944.0</v>
      </c>
    </row>
    <row r="10744">
      <c r="A10744" s="217">
        <v>43944.43731710648</v>
      </c>
      <c r="B10744" s="3" t="s">
        <v>5184</v>
      </c>
      <c r="C10744" s="3" t="s">
        <v>7884</v>
      </c>
      <c r="D10744" s="3">
        <v>2.0</v>
      </c>
      <c r="E10744" s="3">
        <v>300.0</v>
      </c>
      <c r="G10744" s="266">
        <v>43944.0</v>
      </c>
    </row>
    <row r="10745">
      <c r="A10745" s="217">
        <v>43944.43936048611</v>
      </c>
      <c r="B10745" s="3" t="s">
        <v>5184</v>
      </c>
      <c r="C10745" s="3" t="s">
        <v>11035</v>
      </c>
      <c r="D10745" s="3">
        <v>2.0</v>
      </c>
      <c r="E10745" s="3">
        <v>1000.0</v>
      </c>
      <c r="G10745" s="266">
        <v>43944.0</v>
      </c>
    </row>
    <row r="10746">
      <c r="A10746" s="217">
        <v>43944.46733888889</v>
      </c>
      <c r="B10746" s="3" t="s">
        <v>5184</v>
      </c>
      <c r="C10746" s="3" t="s">
        <v>9063</v>
      </c>
      <c r="D10746" s="3">
        <v>1.0</v>
      </c>
      <c r="E10746" s="3">
        <v>100.0</v>
      </c>
      <c r="G10746" s="266">
        <v>43944.0</v>
      </c>
    </row>
    <row r="10747">
      <c r="A10747" s="217">
        <v>43944.78859832176</v>
      </c>
      <c r="B10747" s="3" t="s">
        <v>5184</v>
      </c>
      <c r="C10747" s="3" t="s">
        <v>11038</v>
      </c>
      <c r="D10747" s="3">
        <v>1.0</v>
      </c>
      <c r="E10747" s="3">
        <v>600.0</v>
      </c>
      <c r="G10747" s="266">
        <v>43944.0</v>
      </c>
    </row>
    <row r="10748">
      <c r="A10748" s="217">
        <v>43944.78913105324</v>
      </c>
      <c r="B10748" s="3" t="s">
        <v>5184</v>
      </c>
      <c r="C10748" s="3" t="s">
        <v>284</v>
      </c>
      <c r="D10748" s="3">
        <v>1.0</v>
      </c>
      <c r="E10748" s="3">
        <v>500.0</v>
      </c>
      <c r="G10748" s="266">
        <v>43944.0</v>
      </c>
    </row>
    <row r="10749">
      <c r="A10749" s="217">
        <v>43945.46813486111</v>
      </c>
      <c r="B10749" s="3" t="s">
        <v>5184</v>
      </c>
      <c r="C10749" s="3" t="s">
        <v>2566</v>
      </c>
      <c r="D10749" s="3">
        <v>1.0</v>
      </c>
      <c r="E10749" s="3">
        <v>120.0</v>
      </c>
      <c r="G10749" s="266">
        <v>43945.0</v>
      </c>
    </row>
    <row r="10750">
      <c r="A10750" s="217">
        <v>43945.47126471065</v>
      </c>
      <c r="B10750" s="3" t="s">
        <v>5184</v>
      </c>
      <c r="C10750" s="3" t="s">
        <v>7884</v>
      </c>
      <c r="D10750" s="3">
        <v>2.0</v>
      </c>
      <c r="E10750" s="3">
        <v>300.0</v>
      </c>
      <c r="G10750" s="266">
        <v>43945.0</v>
      </c>
    </row>
    <row r="10751">
      <c r="A10751" s="217">
        <v>43945.49003975694</v>
      </c>
      <c r="B10751" s="3" t="s">
        <v>5184</v>
      </c>
      <c r="C10751" s="3" t="s">
        <v>10969</v>
      </c>
      <c r="D10751" s="3">
        <v>1.0</v>
      </c>
      <c r="E10751" s="3">
        <v>200.0</v>
      </c>
      <c r="G10751" s="266">
        <v>43945.0</v>
      </c>
    </row>
    <row r="10752">
      <c r="A10752" s="217">
        <v>43945.490589375</v>
      </c>
      <c r="B10752" s="3" t="s">
        <v>5184</v>
      </c>
      <c r="C10752" s="3" t="s">
        <v>9529</v>
      </c>
      <c r="D10752" s="3">
        <v>2.0</v>
      </c>
      <c r="E10752" s="3">
        <v>600.0</v>
      </c>
      <c r="G10752" s="266">
        <v>43945.0</v>
      </c>
    </row>
    <row r="10753">
      <c r="A10753" s="217">
        <v>43945.49141833333</v>
      </c>
      <c r="B10753" s="3" t="s">
        <v>5184</v>
      </c>
      <c r="C10753" s="3" t="s">
        <v>10969</v>
      </c>
      <c r="D10753" s="3">
        <v>1.0</v>
      </c>
      <c r="E10753" s="3">
        <v>200.0</v>
      </c>
      <c r="G10753" s="266">
        <v>43945.0</v>
      </c>
    </row>
    <row r="10754">
      <c r="A10754" s="217">
        <v>43945.4918981713</v>
      </c>
      <c r="B10754" s="3" t="s">
        <v>5184</v>
      </c>
      <c r="C10754" s="3" t="s">
        <v>7884</v>
      </c>
      <c r="D10754" s="3">
        <v>2.0</v>
      </c>
      <c r="E10754" s="3">
        <v>300.0</v>
      </c>
      <c r="G10754" s="266">
        <v>43945.0</v>
      </c>
    </row>
    <row r="10755">
      <c r="A10755" s="217">
        <v>43945.49269804398</v>
      </c>
      <c r="B10755" s="3" t="s">
        <v>5184</v>
      </c>
      <c r="C10755" s="3" t="s">
        <v>9063</v>
      </c>
      <c r="D10755" s="3">
        <v>1.0</v>
      </c>
      <c r="E10755" s="3">
        <v>100.0</v>
      </c>
      <c r="G10755" s="266">
        <v>43945.0</v>
      </c>
    </row>
    <row r="10756">
      <c r="A10756" s="217">
        <v>43945.49323094907</v>
      </c>
      <c r="B10756" s="3" t="s">
        <v>5184</v>
      </c>
      <c r="C10756" s="3" t="s">
        <v>9529</v>
      </c>
      <c r="D10756" s="3">
        <v>2.0</v>
      </c>
      <c r="E10756" s="3">
        <v>600.0</v>
      </c>
      <c r="G10756" s="266">
        <v>43945.0</v>
      </c>
    </row>
    <row r="10757">
      <c r="A10757" s="217">
        <v>43946.578152546295</v>
      </c>
      <c r="B10757" s="3" t="s">
        <v>5184</v>
      </c>
      <c r="C10757" s="3" t="s">
        <v>7884</v>
      </c>
      <c r="D10757" s="3" t="s">
        <v>7547</v>
      </c>
      <c r="E10757" s="3">
        <v>150.0</v>
      </c>
      <c r="G10757" s="266">
        <v>43946.0</v>
      </c>
    </row>
    <row r="10758">
      <c r="A10758" s="217">
        <v>43946.579213136574</v>
      </c>
      <c r="B10758" s="3" t="s">
        <v>5184</v>
      </c>
      <c r="C10758" s="3" t="s">
        <v>11042</v>
      </c>
      <c r="D10758" s="3">
        <v>1.0</v>
      </c>
      <c r="E10758" s="3">
        <v>250.0</v>
      </c>
      <c r="G10758" s="266">
        <v>43946.0</v>
      </c>
    </row>
    <row r="10759">
      <c r="A10759" s="217">
        <v>43946.57986460648</v>
      </c>
      <c r="B10759" s="3" t="s">
        <v>5184</v>
      </c>
      <c r="C10759" s="3" t="s">
        <v>7884</v>
      </c>
      <c r="D10759" s="3">
        <v>2.0</v>
      </c>
      <c r="E10759" s="3">
        <v>300.0</v>
      </c>
      <c r="G10759" s="266">
        <v>43946.0</v>
      </c>
    </row>
    <row r="10760">
      <c r="A10760" s="217">
        <v>43946.58067466435</v>
      </c>
      <c r="B10760" s="3" t="s">
        <v>5184</v>
      </c>
      <c r="C10760" s="3" t="s">
        <v>9063</v>
      </c>
      <c r="D10760" s="3">
        <v>1.0</v>
      </c>
      <c r="E10760" s="3">
        <v>100.0</v>
      </c>
      <c r="G10760" s="266">
        <v>43946.0</v>
      </c>
    </row>
    <row r="10761">
      <c r="A10761" s="217">
        <v>43946.58121767361</v>
      </c>
      <c r="B10761" s="3" t="s">
        <v>5184</v>
      </c>
      <c r="C10761" s="3" t="s">
        <v>284</v>
      </c>
      <c r="D10761" s="3">
        <v>2.0</v>
      </c>
      <c r="E10761" s="3">
        <v>500.0</v>
      </c>
      <c r="G10761" s="266">
        <v>43946.0</v>
      </c>
    </row>
    <row r="10762">
      <c r="A10762" s="217">
        <v>43946.581737395834</v>
      </c>
      <c r="B10762" s="3" t="s">
        <v>5184</v>
      </c>
      <c r="C10762" s="3" t="s">
        <v>7884</v>
      </c>
      <c r="D10762" s="3">
        <v>2.0</v>
      </c>
      <c r="E10762" s="3">
        <v>300.0</v>
      </c>
      <c r="G10762" s="266">
        <v>43946.0</v>
      </c>
    </row>
    <row r="10763">
      <c r="A10763" s="217">
        <v>43946.582831736116</v>
      </c>
      <c r="B10763" s="3" t="s">
        <v>5184</v>
      </c>
      <c r="C10763" s="3" t="s">
        <v>11043</v>
      </c>
      <c r="D10763" s="3">
        <v>1.0</v>
      </c>
      <c r="E10763" s="3">
        <v>200.0</v>
      </c>
      <c r="G10763" s="266">
        <v>43946.0</v>
      </c>
    </row>
    <row r="10764">
      <c r="A10764" s="217">
        <v>43946.58527365741</v>
      </c>
      <c r="B10764" s="3" t="s">
        <v>5184</v>
      </c>
      <c r="C10764" s="3" t="s">
        <v>2566</v>
      </c>
      <c r="D10764" s="3">
        <v>1.0</v>
      </c>
      <c r="E10764" s="3">
        <v>120.0</v>
      </c>
      <c r="G10764" s="266">
        <v>43946.0</v>
      </c>
    </row>
    <row r="10765">
      <c r="A10765" s="217">
        <v>43946.58581322916</v>
      </c>
      <c r="B10765" s="3" t="s">
        <v>5184</v>
      </c>
      <c r="C10765" s="3" t="s">
        <v>284</v>
      </c>
      <c r="D10765" s="3">
        <v>2.0</v>
      </c>
      <c r="E10765" s="3">
        <v>500.0</v>
      </c>
      <c r="G10765" s="266">
        <v>43946.0</v>
      </c>
    </row>
    <row r="10766">
      <c r="A10766" s="217">
        <v>43946.588750173614</v>
      </c>
      <c r="B10766" s="3" t="s">
        <v>5184</v>
      </c>
      <c r="C10766" s="3" t="s">
        <v>11046</v>
      </c>
      <c r="D10766" s="3">
        <v>1.0</v>
      </c>
      <c r="E10766" s="3">
        <v>400.0</v>
      </c>
      <c r="G10766" s="266">
        <v>43946.0</v>
      </c>
    </row>
    <row r="10767">
      <c r="A10767" s="217">
        <v>43946.5892171875</v>
      </c>
      <c r="B10767" s="3" t="s">
        <v>5184</v>
      </c>
      <c r="C10767" s="3" t="s">
        <v>7884</v>
      </c>
      <c r="D10767" s="3">
        <v>2.0</v>
      </c>
      <c r="E10767" s="3">
        <v>300.0</v>
      </c>
      <c r="G10767" s="266">
        <v>43946.0</v>
      </c>
    </row>
    <row r="10768">
      <c r="A10768" s="217">
        <v>43946.58973422454</v>
      </c>
      <c r="B10768" s="3" t="s">
        <v>5184</v>
      </c>
      <c r="C10768" s="3" t="s">
        <v>10969</v>
      </c>
      <c r="D10768" s="3">
        <v>1.0</v>
      </c>
      <c r="E10768" s="3">
        <v>200.0</v>
      </c>
      <c r="G10768" s="266">
        <v>43946.0</v>
      </c>
    </row>
    <row r="10769">
      <c r="A10769" s="217">
        <v>43946.59017844907</v>
      </c>
      <c r="B10769" s="3" t="s">
        <v>5184</v>
      </c>
      <c r="C10769" s="3" t="s">
        <v>7884</v>
      </c>
      <c r="D10769" s="3">
        <v>2.0</v>
      </c>
      <c r="E10769" s="3">
        <v>300.0</v>
      </c>
      <c r="G10769" s="266">
        <v>43946.0</v>
      </c>
    </row>
    <row r="10770">
      <c r="A10770" s="217">
        <v>43946.590865949074</v>
      </c>
      <c r="B10770" s="3" t="s">
        <v>5184</v>
      </c>
      <c r="C10770" s="3" t="s">
        <v>11049</v>
      </c>
      <c r="D10770" s="3">
        <v>1.0</v>
      </c>
      <c r="E10770" s="3">
        <v>350.0</v>
      </c>
      <c r="G10770" s="266">
        <v>43946.0</v>
      </c>
    </row>
    <row r="10771">
      <c r="A10771" s="217">
        <v>43946.59133829861</v>
      </c>
      <c r="B10771" s="3" t="s">
        <v>5184</v>
      </c>
      <c r="C10771" s="3" t="s">
        <v>7884</v>
      </c>
      <c r="D10771" s="3">
        <v>2.0</v>
      </c>
      <c r="E10771" s="3">
        <v>300.0</v>
      </c>
      <c r="G10771" s="266">
        <v>43946.0</v>
      </c>
    </row>
    <row r="10772">
      <c r="A10772" s="217">
        <v>43946.73338527778</v>
      </c>
      <c r="B10772" s="3" t="s">
        <v>5184</v>
      </c>
      <c r="C10772" s="3" t="s">
        <v>11052</v>
      </c>
      <c r="D10772" s="3">
        <v>1.0</v>
      </c>
      <c r="E10772" s="3">
        <v>560.0</v>
      </c>
      <c r="G10772" s="266">
        <v>43946.0</v>
      </c>
    </row>
    <row r="10773">
      <c r="A10773" s="217">
        <v>43946.802746747686</v>
      </c>
      <c r="B10773" s="3" t="s">
        <v>5184</v>
      </c>
      <c r="C10773" s="3" t="s">
        <v>10969</v>
      </c>
      <c r="D10773" s="3">
        <v>1.0</v>
      </c>
      <c r="E10773" s="3">
        <v>200.0</v>
      </c>
      <c r="G10773" s="266">
        <v>43946.0</v>
      </c>
    </row>
    <row r="10774">
      <c r="A10774" s="217">
        <v>43946.80313331018</v>
      </c>
      <c r="B10774" s="3" t="s">
        <v>5184</v>
      </c>
      <c r="C10774" s="3" t="s">
        <v>7884</v>
      </c>
      <c r="D10774" s="3">
        <v>2.0</v>
      </c>
      <c r="E10774" s="3">
        <v>300.0</v>
      </c>
      <c r="G10774" s="266">
        <v>43946.0</v>
      </c>
    </row>
    <row r="10775">
      <c r="A10775" s="217">
        <v>43947.469085115736</v>
      </c>
      <c r="B10775" s="3" t="s">
        <v>5184</v>
      </c>
      <c r="C10775" s="3" t="s">
        <v>10951</v>
      </c>
      <c r="D10775" s="3">
        <v>1.0</v>
      </c>
      <c r="E10775" s="3">
        <v>300.0</v>
      </c>
      <c r="G10775" s="266">
        <v>43947.0</v>
      </c>
    </row>
    <row r="10776">
      <c r="A10776" s="217">
        <v>43947.46956668982</v>
      </c>
      <c r="B10776" s="3" t="s">
        <v>5184</v>
      </c>
      <c r="C10776" s="3" t="s">
        <v>9529</v>
      </c>
      <c r="D10776" s="3">
        <v>2.0</v>
      </c>
      <c r="E10776" s="3">
        <v>600.0</v>
      </c>
      <c r="G10776" s="266">
        <v>43947.0</v>
      </c>
    </row>
    <row r="10777">
      <c r="A10777" s="217">
        <v>43947.47056152778</v>
      </c>
      <c r="B10777" s="3" t="s">
        <v>5184</v>
      </c>
      <c r="C10777" s="3" t="s">
        <v>9051</v>
      </c>
      <c r="D10777" s="3">
        <v>1.0</v>
      </c>
      <c r="E10777" s="3">
        <v>250.0</v>
      </c>
      <c r="G10777" s="266">
        <v>43947.0</v>
      </c>
    </row>
    <row r="10778">
      <c r="A10778" s="217">
        <v>43947.70290984954</v>
      </c>
      <c r="B10778" s="3" t="s">
        <v>5184</v>
      </c>
      <c r="C10778" s="3" t="s">
        <v>7884</v>
      </c>
      <c r="D10778" s="3">
        <v>2.0</v>
      </c>
      <c r="E10778" s="3">
        <v>300.0</v>
      </c>
      <c r="G10778" s="266">
        <v>43947.0</v>
      </c>
    </row>
    <row r="10779">
      <c r="A10779" s="217">
        <v>43947.703992766204</v>
      </c>
      <c r="B10779" s="3" t="s">
        <v>5184</v>
      </c>
      <c r="C10779" s="3" t="s">
        <v>11055</v>
      </c>
      <c r="D10779" s="3">
        <v>1.0</v>
      </c>
      <c r="E10779" s="3">
        <v>100.0</v>
      </c>
      <c r="G10779" s="266">
        <v>43947.0</v>
      </c>
    </row>
    <row r="10780">
      <c r="A10780" s="217">
        <v>43947.70444983796</v>
      </c>
      <c r="B10780" s="3" t="s">
        <v>5184</v>
      </c>
      <c r="C10780" s="3" t="s">
        <v>7884</v>
      </c>
      <c r="D10780" s="3">
        <v>2.0</v>
      </c>
      <c r="E10780" s="3">
        <v>300.0</v>
      </c>
      <c r="G10780" s="266">
        <v>43947.0</v>
      </c>
    </row>
    <row r="10781">
      <c r="A10781" s="217">
        <v>43947.816336296295</v>
      </c>
      <c r="B10781" s="3" t="s">
        <v>5184</v>
      </c>
      <c r="C10781" s="3" t="s">
        <v>11057</v>
      </c>
      <c r="D10781" s="3">
        <v>1.0</v>
      </c>
      <c r="E10781" s="3">
        <v>400.0</v>
      </c>
      <c r="G10781" s="266">
        <v>43947.0</v>
      </c>
    </row>
    <row r="10782">
      <c r="A10782" s="217">
        <v>43947.81702452546</v>
      </c>
      <c r="B10782" s="3" t="s">
        <v>5184</v>
      </c>
      <c r="C10782" s="3" t="s">
        <v>284</v>
      </c>
      <c r="D10782" s="3">
        <v>2.0</v>
      </c>
      <c r="E10782" s="3">
        <v>500.0</v>
      </c>
      <c r="G10782" s="266">
        <v>43947.0</v>
      </c>
    </row>
    <row r="10783">
      <c r="A10783" s="217">
        <v>43947.81847113426</v>
      </c>
      <c r="B10783" s="3" t="s">
        <v>5184</v>
      </c>
      <c r="C10783" s="3" t="s">
        <v>9529</v>
      </c>
      <c r="D10783" s="3">
        <v>2.0</v>
      </c>
      <c r="E10783" s="3">
        <v>600.0</v>
      </c>
      <c r="G10783" s="266">
        <v>43947.0</v>
      </c>
    </row>
    <row r="10784">
      <c r="A10784" s="217">
        <v>43947.82057703704</v>
      </c>
      <c r="B10784" s="3" t="s">
        <v>5184</v>
      </c>
      <c r="C10784" s="3" t="s">
        <v>845</v>
      </c>
      <c r="D10784" s="3">
        <v>2.0</v>
      </c>
      <c r="E10784" s="3">
        <v>300.0</v>
      </c>
      <c r="G10784" s="266">
        <v>43947.0</v>
      </c>
    </row>
    <row r="10785">
      <c r="A10785" s="217">
        <v>43948.43394575232</v>
      </c>
      <c r="B10785" s="3" t="s">
        <v>5184</v>
      </c>
      <c r="C10785" s="3" t="s">
        <v>9063</v>
      </c>
      <c r="D10785" s="3">
        <v>1.0</v>
      </c>
      <c r="E10785" s="3">
        <v>100.0</v>
      </c>
      <c r="G10785" s="266">
        <v>43947.0</v>
      </c>
    </row>
    <row r="10786">
      <c r="A10786" s="217">
        <v>43948.435652835644</v>
      </c>
      <c r="B10786" s="3" t="s">
        <v>5184</v>
      </c>
      <c r="C10786" s="3" t="s">
        <v>10969</v>
      </c>
      <c r="D10786" s="3">
        <v>1.0</v>
      </c>
      <c r="E10786" s="3">
        <v>200.0</v>
      </c>
      <c r="G10786" s="266">
        <v>43948.0</v>
      </c>
    </row>
    <row r="10787">
      <c r="A10787" s="217">
        <v>43948.43617069445</v>
      </c>
      <c r="B10787" s="3" t="s">
        <v>5184</v>
      </c>
      <c r="C10787" s="3" t="s">
        <v>7884</v>
      </c>
      <c r="D10787" s="3">
        <v>2.0</v>
      </c>
      <c r="E10787" s="3">
        <v>300.0</v>
      </c>
      <c r="G10787" s="266">
        <v>43948.0</v>
      </c>
    </row>
    <row r="10788">
      <c r="A10788" s="217">
        <v>43948.439272372685</v>
      </c>
      <c r="B10788" s="3" t="s">
        <v>5184</v>
      </c>
      <c r="C10788" s="3" t="s">
        <v>2566</v>
      </c>
      <c r="D10788" s="3">
        <v>1.0</v>
      </c>
      <c r="E10788" s="3">
        <v>120.0</v>
      </c>
      <c r="G10788" s="266">
        <v>43948.0</v>
      </c>
    </row>
    <row r="10789">
      <c r="A10789" s="217">
        <v>43948.43969950231</v>
      </c>
      <c r="B10789" s="3" t="s">
        <v>5184</v>
      </c>
      <c r="C10789" s="3" t="s">
        <v>284</v>
      </c>
      <c r="D10789" s="3">
        <v>2.0</v>
      </c>
      <c r="E10789" s="3">
        <v>500.0</v>
      </c>
      <c r="G10789" s="266">
        <v>43948.0</v>
      </c>
    </row>
    <row r="10790">
      <c r="A10790" s="217">
        <v>43948.503453425925</v>
      </c>
      <c r="B10790" s="3" t="s">
        <v>5184</v>
      </c>
      <c r="C10790" s="3" t="s">
        <v>11063</v>
      </c>
      <c r="D10790" s="3">
        <v>1.0</v>
      </c>
      <c r="E10790" s="3">
        <v>350.0</v>
      </c>
      <c r="G10790" s="266">
        <v>43948.0</v>
      </c>
    </row>
    <row r="10791">
      <c r="A10791" s="217">
        <v>43948.50456528935</v>
      </c>
      <c r="B10791" s="3" t="s">
        <v>5184</v>
      </c>
      <c r="C10791" s="3" t="s">
        <v>10137</v>
      </c>
      <c r="D10791" s="3">
        <v>2.0</v>
      </c>
      <c r="E10791" s="3">
        <v>400.0</v>
      </c>
      <c r="G10791" s="266">
        <v>43948.0</v>
      </c>
    </row>
    <row r="10792">
      <c r="A10792" s="217">
        <v>43948.519547511576</v>
      </c>
      <c r="B10792" s="3" t="s">
        <v>5184</v>
      </c>
      <c r="C10792" s="3" t="s">
        <v>11064</v>
      </c>
      <c r="D10792" s="3">
        <v>1.0</v>
      </c>
      <c r="E10792" s="3">
        <v>300.0</v>
      </c>
      <c r="G10792" s="266">
        <v>43948.0</v>
      </c>
    </row>
    <row r="10793">
      <c r="A10793" s="217">
        <v>43948.520140775465</v>
      </c>
      <c r="B10793" s="3" t="s">
        <v>5184</v>
      </c>
      <c r="C10793" s="3" t="s">
        <v>284</v>
      </c>
      <c r="D10793" s="3">
        <v>2.0</v>
      </c>
      <c r="E10793" s="3">
        <v>500.0</v>
      </c>
      <c r="G10793" s="266">
        <v>43948.0</v>
      </c>
    </row>
    <row r="10794">
      <c r="A10794" s="217">
        <v>43948.74699109954</v>
      </c>
      <c r="B10794" s="3" t="s">
        <v>5184</v>
      </c>
      <c r="C10794" s="3" t="s">
        <v>7884</v>
      </c>
      <c r="D10794" s="3">
        <v>2.0</v>
      </c>
      <c r="E10794" s="3">
        <v>300.0</v>
      </c>
      <c r="G10794" s="266">
        <v>43948.0</v>
      </c>
    </row>
    <row r="10795">
      <c r="A10795" s="217">
        <v>43948.76934813657</v>
      </c>
      <c r="B10795" s="3" t="s">
        <v>5184</v>
      </c>
      <c r="C10795" s="3" t="s">
        <v>7884</v>
      </c>
      <c r="D10795" s="3">
        <v>2.0</v>
      </c>
      <c r="E10795" s="3">
        <v>300.0</v>
      </c>
      <c r="G10795" s="266">
        <v>43948.0</v>
      </c>
    </row>
    <row r="10796">
      <c r="A10796" s="217">
        <v>43949.51865266204</v>
      </c>
      <c r="B10796" s="3" t="s">
        <v>5184</v>
      </c>
      <c r="C10796" s="3" t="s">
        <v>2566</v>
      </c>
      <c r="D10796" s="3">
        <v>1.0</v>
      </c>
      <c r="E10796" s="3">
        <v>120.0</v>
      </c>
      <c r="G10796" s="266">
        <v>43949.0</v>
      </c>
    </row>
    <row r="10797">
      <c r="A10797" s="217">
        <v>43949.51930270833</v>
      </c>
      <c r="B10797" s="3" t="s">
        <v>5184</v>
      </c>
      <c r="C10797" s="3" t="s">
        <v>10955</v>
      </c>
      <c r="D10797" s="3">
        <v>1.0</v>
      </c>
      <c r="E10797" s="3">
        <v>300.0</v>
      </c>
      <c r="G10797" s="266">
        <v>43949.0</v>
      </c>
    </row>
    <row r="10798">
      <c r="A10798" s="217">
        <v>43949.52132851852</v>
      </c>
      <c r="B10798" s="3" t="s">
        <v>5184</v>
      </c>
      <c r="C10798" s="3" t="s">
        <v>284</v>
      </c>
      <c r="D10798" s="3">
        <v>2.0</v>
      </c>
      <c r="E10798" s="3">
        <v>500.0</v>
      </c>
      <c r="G10798" s="266">
        <v>43949.0</v>
      </c>
    </row>
    <row r="10799">
      <c r="A10799" s="217">
        <v>43949.52276091435</v>
      </c>
      <c r="B10799" s="3" t="s">
        <v>5184</v>
      </c>
      <c r="C10799" s="3" t="s">
        <v>11071</v>
      </c>
      <c r="D10799" s="3">
        <v>1.0</v>
      </c>
      <c r="E10799" s="3">
        <v>450.0</v>
      </c>
      <c r="G10799" s="266">
        <v>43949.0</v>
      </c>
    </row>
    <row r="10800">
      <c r="A10800" s="217">
        <v>43949.52352690972</v>
      </c>
      <c r="B10800" s="3" t="s">
        <v>5184</v>
      </c>
      <c r="C10800" s="3" t="s">
        <v>284</v>
      </c>
      <c r="D10800" s="3">
        <v>2.0</v>
      </c>
      <c r="E10800" s="3">
        <v>500.0</v>
      </c>
      <c r="G10800" s="266">
        <v>43949.0</v>
      </c>
    </row>
    <row r="10801">
      <c r="A10801" s="217">
        <v>43949.525030034725</v>
      </c>
      <c r="B10801" s="3" t="s">
        <v>5184</v>
      </c>
      <c r="C10801" s="3" t="s">
        <v>2554</v>
      </c>
      <c r="D10801" s="3">
        <v>1.0</v>
      </c>
      <c r="E10801" s="3">
        <v>150.0</v>
      </c>
      <c r="G10801" s="266">
        <v>43949.0</v>
      </c>
    </row>
    <row r="10802">
      <c r="A10802" s="217">
        <v>43949.53984251157</v>
      </c>
      <c r="B10802" s="3" t="s">
        <v>5184</v>
      </c>
      <c r="C10802" s="3" t="s">
        <v>7884</v>
      </c>
      <c r="D10802" s="3">
        <v>1.0</v>
      </c>
      <c r="E10802" s="3">
        <v>300.0</v>
      </c>
      <c r="G10802" s="266">
        <v>43949.0</v>
      </c>
    </row>
    <row r="10803">
      <c r="A10803" s="217">
        <v>43949.54199267361</v>
      </c>
      <c r="B10803" s="3" t="s">
        <v>5184</v>
      </c>
      <c r="C10803" s="3" t="s">
        <v>2432</v>
      </c>
      <c r="D10803" s="3">
        <v>1.0</v>
      </c>
      <c r="E10803" s="3">
        <v>350.0</v>
      </c>
      <c r="G10803" s="266">
        <v>43949.0</v>
      </c>
    </row>
    <row r="10804">
      <c r="A10804" s="217">
        <v>43949.54260295139</v>
      </c>
      <c r="B10804" s="3" t="s">
        <v>5184</v>
      </c>
      <c r="C10804" s="3" t="s">
        <v>7884</v>
      </c>
      <c r="D10804" s="3">
        <v>2.0</v>
      </c>
      <c r="E10804" s="3">
        <v>300.0</v>
      </c>
      <c r="G10804" s="266">
        <v>43949.0</v>
      </c>
    </row>
    <row r="10805">
      <c r="A10805" s="217">
        <v>43949.7118434375</v>
      </c>
      <c r="B10805" s="3" t="s">
        <v>5184</v>
      </c>
      <c r="C10805" s="3" t="s">
        <v>10137</v>
      </c>
      <c r="D10805" s="3">
        <v>2.0</v>
      </c>
      <c r="E10805" s="3">
        <v>400.0</v>
      </c>
      <c r="G10805" s="266">
        <v>43949.0</v>
      </c>
    </row>
    <row r="10806">
      <c r="A10806" s="217">
        <v>43950.43528291667</v>
      </c>
      <c r="B10806" s="3" t="s">
        <v>5184</v>
      </c>
      <c r="C10806" s="3" t="s">
        <v>2390</v>
      </c>
      <c r="D10806" s="3">
        <v>1.0</v>
      </c>
      <c r="E10806" s="3">
        <v>300.0</v>
      </c>
      <c r="G10806" s="266">
        <v>43950.0</v>
      </c>
    </row>
    <row r="10807">
      <c r="A10807" s="217">
        <v>43950.436218738425</v>
      </c>
      <c r="B10807" s="3" t="s">
        <v>5184</v>
      </c>
      <c r="C10807" s="3" t="s">
        <v>7884</v>
      </c>
      <c r="D10807" s="3">
        <v>2.0</v>
      </c>
      <c r="E10807" s="3">
        <v>300.0</v>
      </c>
      <c r="G10807" s="266">
        <v>43950.0</v>
      </c>
    </row>
    <row r="10808">
      <c r="A10808" s="217">
        <v>43950.462982129626</v>
      </c>
      <c r="B10808" s="3" t="s">
        <v>5184</v>
      </c>
      <c r="C10808" s="3" t="s">
        <v>9107</v>
      </c>
      <c r="D10808" s="3">
        <v>1.0</v>
      </c>
      <c r="E10808" s="3">
        <v>250.0</v>
      </c>
      <c r="G10808" s="266">
        <v>43950.0</v>
      </c>
    </row>
    <row r="10809">
      <c r="A10809" s="217">
        <v>43950.48098184028</v>
      </c>
      <c r="B10809" s="3" t="s">
        <v>5184</v>
      </c>
      <c r="C10809" s="3" t="s">
        <v>10137</v>
      </c>
      <c r="D10809" s="3">
        <v>2.0</v>
      </c>
      <c r="E10809" s="3">
        <v>400.0</v>
      </c>
      <c r="G10809" s="266">
        <v>43950.0</v>
      </c>
    </row>
    <row r="10810">
      <c r="A10810" s="217">
        <v>43950.481809895835</v>
      </c>
      <c r="B10810" s="3" t="s">
        <v>5184</v>
      </c>
      <c r="C10810" s="3" t="s">
        <v>11057</v>
      </c>
      <c r="D10810" s="3">
        <v>1.0</v>
      </c>
      <c r="E10810" s="3">
        <v>400.0</v>
      </c>
      <c r="G10810" s="266">
        <v>43950.0</v>
      </c>
    </row>
    <row r="10811">
      <c r="A10811" s="217">
        <v>43950.48252810186</v>
      </c>
      <c r="B10811" s="3" t="s">
        <v>5184</v>
      </c>
      <c r="C10811" s="3" t="s">
        <v>10137</v>
      </c>
      <c r="D10811" s="3">
        <v>2.0</v>
      </c>
      <c r="E10811" s="3">
        <v>400.0</v>
      </c>
      <c r="G10811" s="266">
        <v>43950.0</v>
      </c>
    </row>
    <row r="10812">
      <c r="A10812" s="217">
        <v>43950.49936884259</v>
      </c>
      <c r="B10812" s="3" t="s">
        <v>5184</v>
      </c>
      <c r="C10812" s="3" t="s">
        <v>10137</v>
      </c>
      <c r="D10812" s="3">
        <v>2.0</v>
      </c>
      <c r="E10812" s="3">
        <v>400.0</v>
      </c>
      <c r="G10812" s="266">
        <v>43950.0</v>
      </c>
    </row>
    <row r="10813">
      <c r="A10813" s="217">
        <v>43950.53079556713</v>
      </c>
      <c r="B10813" s="3" t="s">
        <v>5184</v>
      </c>
      <c r="C10813" s="3" t="s">
        <v>10969</v>
      </c>
      <c r="D10813" s="3">
        <v>1.0</v>
      </c>
      <c r="E10813" s="3">
        <v>200.0</v>
      </c>
      <c r="G10813" s="266">
        <v>43950.0</v>
      </c>
    </row>
    <row r="10814">
      <c r="A10814" s="217">
        <v>43950.53177634259</v>
      </c>
      <c r="B10814" s="3" t="s">
        <v>5184</v>
      </c>
      <c r="C10814" s="3" t="s">
        <v>284</v>
      </c>
      <c r="D10814" s="3">
        <v>2.0</v>
      </c>
      <c r="E10814" s="3">
        <v>500.0</v>
      </c>
      <c r="G10814" s="266">
        <v>43950.0</v>
      </c>
    </row>
    <row r="10815">
      <c r="A10815" s="217">
        <v>43950.65567458334</v>
      </c>
      <c r="B10815" s="3" t="s">
        <v>5184</v>
      </c>
      <c r="C10815" s="3" t="s">
        <v>11080</v>
      </c>
      <c r="D10815" s="3">
        <v>1.0</v>
      </c>
      <c r="E10815" s="3">
        <v>300.0</v>
      </c>
      <c r="G10815" s="266">
        <v>43950.0</v>
      </c>
    </row>
    <row r="10816">
      <c r="A10816" s="217">
        <v>43950.656783784725</v>
      </c>
      <c r="B10816" s="3" t="s">
        <v>5184</v>
      </c>
      <c r="C10816" s="3" t="s">
        <v>9529</v>
      </c>
      <c r="D10816" s="3">
        <v>2.0</v>
      </c>
      <c r="E10816" s="3">
        <v>600.0</v>
      </c>
      <c r="G10816" s="266">
        <v>43950.0</v>
      </c>
    </row>
    <row r="10817">
      <c r="A10817" s="217">
        <v>43950.65817265047</v>
      </c>
      <c r="B10817" s="3" t="s">
        <v>5184</v>
      </c>
      <c r="C10817" s="3" t="s">
        <v>9063</v>
      </c>
      <c r="D10817" s="3">
        <v>1.0</v>
      </c>
      <c r="E10817" s="3">
        <v>100.0</v>
      </c>
      <c r="G10817" s="266">
        <v>43950.0</v>
      </c>
    </row>
    <row r="10818">
      <c r="A10818" s="217">
        <v>43950.65919478009</v>
      </c>
      <c r="B10818" s="3" t="s">
        <v>5184</v>
      </c>
      <c r="C10818" s="3" t="s">
        <v>9529</v>
      </c>
      <c r="D10818" s="3">
        <v>2.0</v>
      </c>
      <c r="E10818" s="3">
        <v>600.0</v>
      </c>
      <c r="G10818" s="266">
        <v>43950.0</v>
      </c>
    </row>
    <row r="10819">
      <c r="A10819" s="217">
        <v>43950.66027677083</v>
      </c>
      <c r="B10819" s="3" t="s">
        <v>5184</v>
      </c>
      <c r="C10819" s="3" t="s">
        <v>11063</v>
      </c>
      <c r="D10819" s="3">
        <v>1.0</v>
      </c>
      <c r="E10819" s="3">
        <v>350.0</v>
      </c>
      <c r="G10819" s="266">
        <v>43950.0</v>
      </c>
    </row>
    <row r="10820">
      <c r="A10820" s="217">
        <v>43950.66089857639</v>
      </c>
      <c r="B10820" s="3" t="s">
        <v>5184</v>
      </c>
      <c r="C10820" s="3" t="s">
        <v>7884</v>
      </c>
      <c r="D10820" s="3">
        <v>2.0</v>
      </c>
      <c r="E10820" s="3">
        <v>300.0</v>
      </c>
      <c r="G10820" s="266">
        <v>43950.0</v>
      </c>
    </row>
    <row r="10821">
      <c r="A10821" s="217">
        <v>43951.466904479166</v>
      </c>
      <c r="B10821" s="3" t="s">
        <v>5184</v>
      </c>
      <c r="C10821" s="3" t="s">
        <v>11088</v>
      </c>
      <c r="D10821" s="3">
        <v>1.0</v>
      </c>
      <c r="E10821" s="3">
        <v>250.0</v>
      </c>
      <c r="G10821" s="266">
        <v>43951.0</v>
      </c>
    </row>
    <row r="10822">
      <c r="A10822" s="217">
        <v>43951.467688819444</v>
      </c>
      <c r="B10822" s="3" t="s">
        <v>5184</v>
      </c>
      <c r="C10822" s="3" t="s">
        <v>9529</v>
      </c>
      <c r="D10822" s="3">
        <v>2.0</v>
      </c>
      <c r="E10822" s="3">
        <v>600.0</v>
      </c>
      <c r="G10822" s="266">
        <v>43951.0</v>
      </c>
    </row>
    <row r="10823">
      <c r="A10823" s="217">
        <v>43951.46850554398</v>
      </c>
      <c r="B10823" s="3" t="s">
        <v>5184</v>
      </c>
      <c r="C10823" s="3" t="s">
        <v>11091</v>
      </c>
      <c r="D10823" s="3">
        <v>1.0</v>
      </c>
      <c r="E10823" s="3">
        <v>300.0</v>
      </c>
      <c r="G10823" s="266">
        <v>43951.0</v>
      </c>
    </row>
    <row r="10824">
      <c r="A10824" s="217">
        <v>43951.46903076389</v>
      </c>
      <c r="B10824" s="3" t="s">
        <v>5184</v>
      </c>
      <c r="C10824" s="3" t="s">
        <v>7884</v>
      </c>
      <c r="D10824" s="3">
        <v>2.0</v>
      </c>
      <c r="E10824" s="3">
        <v>300.0</v>
      </c>
      <c r="G10824" s="266">
        <v>43951.0</v>
      </c>
    </row>
    <row r="10825">
      <c r="A10825" s="217">
        <v>43951.46989340278</v>
      </c>
      <c r="B10825" s="3" t="s">
        <v>5184</v>
      </c>
      <c r="C10825" s="3" t="s">
        <v>9529</v>
      </c>
      <c r="D10825" s="3">
        <v>2.0</v>
      </c>
      <c r="E10825" s="3">
        <v>600.0</v>
      </c>
      <c r="G10825" s="266">
        <v>43951.0</v>
      </c>
    </row>
    <row r="10826">
      <c r="A10826" s="217">
        <v>43952.64890775463</v>
      </c>
      <c r="B10826" s="3" t="s">
        <v>5184</v>
      </c>
      <c r="C10826" s="3" t="s">
        <v>10969</v>
      </c>
      <c r="D10826" s="3">
        <v>1.0</v>
      </c>
      <c r="E10826" s="3">
        <v>200.0</v>
      </c>
      <c r="G10826" s="266">
        <v>43952.0</v>
      </c>
    </row>
    <row r="10827">
      <c r="A10827" s="217">
        <v>43952.65015884259</v>
      </c>
      <c r="B10827" s="3" t="s">
        <v>5184</v>
      </c>
      <c r="C10827" s="3" t="s">
        <v>9529</v>
      </c>
      <c r="D10827" s="3">
        <v>2.0</v>
      </c>
      <c r="E10827" s="3">
        <v>600.0</v>
      </c>
      <c r="G10827" s="266">
        <v>43952.0</v>
      </c>
    </row>
    <row r="10828">
      <c r="A10828" s="217">
        <v>43952.650958240745</v>
      </c>
      <c r="B10828" s="3" t="s">
        <v>5184</v>
      </c>
      <c r="C10828" s="3" t="s">
        <v>7884</v>
      </c>
      <c r="D10828" s="3">
        <v>2.0</v>
      </c>
      <c r="E10828" s="3">
        <v>300.0</v>
      </c>
      <c r="G10828" s="266">
        <v>43952.0</v>
      </c>
    </row>
    <row r="10829">
      <c r="A10829" s="217">
        <v>43952.65218631944</v>
      </c>
      <c r="B10829" s="3" t="s">
        <v>5184</v>
      </c>
      <c r="C10829" s="3" t="s">
        <v>7884</v>
      </c>
      <c r="D10829" s="3">
        <v>2.0</v>
      </c>
      <c r="E10829" s="3">
        <v>300.0</v>
      </c>
      <c r="G10829" s="266">
        <v>43952.0</v>
      </c>
    </row>
    <row r="10830">
      <c r="A10830" s="217">
        <v>43952.655111319444</v>
      </c>
      <c r="B10830" s="3" t="s">
        <v>5184</v>
      </c>
      <c r="C10830" s="3" t="s">
        <v>7884</v>
      </c>
      <c r="D10830" s="3">
        <v>2.0</v>
      </c>
      <c r="E10830" s="3">
        <v>300.0</v>
      </c>
      <c r="G10830" s="266">
        <v>43952.0</v>
      </c>
    </row>
    <row r="10831">
      <c r="A10831" s="217">
        <v>43953.43134443287</v>
      </c>
      <c r="B10831" s="3" t="s">
        <v>5184</v>
      </c>
      <c r="C10831" s="3" t="s">
        <v>10969</v>
      </c>
      <c r="D10831" s="3">
        <v>1.0</v>
      </c>
      <c r="E10831" s="3">
        <v>200.0</v>
      </c>
      <c r="G10831" s="266">
        <v>43953.0</v>
      </c>
    </row>
    <row r="10832">
      <c r="A10832" s="217">
        <v>43953.4318908912</v>
      </c>
      <c r="B10832" s="3" t="s">
        <v>5184</v>
      </c>
      <c r="C10832" s="3" t="s">
        <v>7884</v>
      </c>
      <c r="D10832" s="3">
        <v>2.0</v>
      </c>
      <c r="E10832" s="3">
        <v>300.0</v>
      </c>
      <c r="G10832" s="266">
        <v>43953.0</v>
      </c>
    </row>
    <row r="10833">
      <c r="A10833" s="217">
        <v>43953.47169564815</v>
      </c>
      <c r="B10833" s="3" t="s">
        <v>5184</v>
      </c>
      <c r="C10833" s="3" t="s">
        <v>2556</v>
      </c>
      <c r="D10833" s="3">
        <v>1.0</v>
      </c>
      <c r="E10833" s="3">
        <v>250.0</v>
      </c>
      <c r="G10833" s="266">
        <v>43931.0</v>
      </c>
    </row>
    <row r="10834">
      <c r="A10834" s="217">
        <v>43953.47273646991</v>
      </c>
      <c r="B10834" s="3" t="s">
        <v>5184</v>
      </c>
      <c r="C10834" s="3" t="s">
        <v>7884</v>
      </c>
      <c r="D10834" s="3">
        <v>2.0</v>
      </c>
      <c r="E10834" s="3">
        <v>300.0</v>
      </c>
      <c r="G10834" s="266">
        <v>43945.0</v>
      </c>
    </row>
    <row r="10835">
      <c r="A10835" s="217">
        <v>43953.483645</v>
      </c>
      <c r="B10835" s="3" t="s">
        <v>5184</v>
      </c>
      <c r="C10835" s="3" t="s">
        <v>847</v>
      </c>
      <c r="D10835" s="3">
        <v>2.0</v>
      </c>
      <c r="E10835" s="3">
        <v>1400.0</v>
      </c>
      <c r="G10835" s="266">
        <v>43826.0</v>
      </c>
    </row>
    <row r="10836">
      <c r="A10836" s="217">
        <v>43953.48491097223</v>
      </c>
      <c r="B10836" s="3" t="s">
        <v>5184</v>
      </c>
      <c r="C10836" s="3" t="s">
        <v>11102</v>
      </c>
      <c r="D10836" s="3">
        <v>1.0</v>
      </c>
      <c r="E10836" s="3">
        <v>3200.0</v>
      </c>
      <c r="G10836" s="266">
        <v>43878.0</v>
      </c>
    </row>
    <row r="10837">
      <c r="A10837" s="217">
        <v>43953.49134049768</v>
      </c>
      <c r="B10837" s="3" t="s">
        <v>5184</v>
      </c>
      <c r="C10837" s="3" t="s">
        <v>11104</v>
      </c>
      <c r="D10837" s="3">
        <v>2.0</v>
      </c>
      <c r="E10837" s="3">
        <v>3000.0</v>
      </c>
      <c r="G10837" s="266">
        <v>43878.0</v>
      </c>
    </row>
    <row r="10838">
      <c r="A10838" s="217">
        <v>43953.49290196759</v>
      </c>
      <c r="B10838" s="3" t="s">
        <v>5184</v>
      </c>
      <c r="C10838" s="3" t="s">
        <v>11106</v>
      </c>
      <c r="D10838" s="3">
        <v>1.0</v>
      </c>
      <c r="E10838" s="3">
        <v>2480.0</v>
      </c>
      <c r="G10838" s="266">
        <v>43878.0</v>
      </c>
    </row>
    <row r="10839">
      <c r="A10839" s="217">
        <v>43953.49375059028</v>
      </c>
      <c r="B10839" s="3" t="s">
        <v>5184</v>
      </c>
      <c r="C10839" s="3" t="s">
        <v>11104</v>
      </c>
      <c r="D10839" s="3">
        <v>2.0</v>
      </c>
      <c r="E10839" s="3">
        <v>3000.0</v>
      </c>
      <c r="G10839" s="266">
        <v>43878.0</v>
      </c>
    </row>
    <row r="10840">
      <c r="A10840" s="217">
        <v>43953.49473711806</v>
      </c>
      <c r="B10840" s="3" t="s">
        <v>5184</v>
      </c>
      <c r="C10840" s="3" t="s">
        <v>10137</v>
      </c>
      <c r="D10840" s="3">
        <v>2.0</v>
      </c>
      <c r="E10840" s="3">
        <v>400.0</v>
      </c>
      <c r="G10840" s="266">
        <v>43905.0</v>
      </c>
    </row>
    <row r="10841">
      <c r="A10841" s="217">
        <v>43953.49614407407</v>
      </c>
      <c r="B10841" s="3" t="s">
        <v>5184</v>
      </c>
      <c r="C10841" s="3" t="s">
        <v>11108</v>
      </c>
      <c r="D10841" s="3">
        <v>1.0</v>
      </c>
      <c r="E10841" s="3">
        <v>500.0</v>
      </c>
      <c r="G10841" s="266">
        <v>43905.0</v>
      </c>
    </row>
    <row r="10842">
      <c r="A10842" s="217">
        <v>43953.49699594907</v>
      </c>
      <c r="B10842" s="3" t="s">
        <v>5184</v>
      </c>
      <c r="C10842" s="3" t="s">
        <v>9517</v>
      </c>
      <c r="D10842" s="3">
        <v>2.0</v>
      </c>
      <c r="E10842" s="3">
        <v>1000.0</v>
      </c>
      <c r="G10842" s="266">
        <v>43905.0</v>
      </c>
    </row>
    <row r="10843">
      <c r="A10843" s="217">
        <v>43953.49838261574</v>
      </c>
      <c r="B10843" s="3" t="s">
        <v>5184</v>
      </c>
      <c r="C10843" s="3" t="s">
        <v>8696</v>
      </c>
      <c r="D10843" s="3">
        <v>1.0</v>
      </c>
      <c r="E10843" s="3">
        <v>2950.0</v>
      </c>
      <c r="G10843" s="266">
        <v>43905.0</v>
      </c>
    </row>
    <row r="10844">
      <c r="A10844" s="217">
        <v>43953.499005405094</v>
      </c>
      <c r="B10844" s="3" t="s">
        <v>5184</v>
      </c>
      <c r="C10844" s="3" t="s">
        <v>2566</v>
      </c>
      <c r="D10844" s="3">
        <v>1.0</v>
      </c>
      <c r="E10844" s="3">
        <v>120.0</v>
      </c>
      <c r="G10844" s="266">
        <v>43905.0</v>
      </c>
    </row>
    <row r="10845">
      <c r="A10845" s="217">
        <v>43953.50046008102</v>
      </c>
      <c r="B10845" s="3" t="s">
        <v>5184</v>
      </c>
      <c r="C10845" s="3" t="s">
        <v>11110</v>
      </c>
      <c r="D10845" s="3">
        <v>1.0</v>
      </c>
      <c r="E10845" s="3">
        <v>500.0</v>
      </c>
      <c r="G10845" s="266">
        <v>43892.0</v>
      </c>
    </row>
    <row r="10846">
      <c r="A10846" s="217">
        <v>43953.50152175926</v>
      </c>
      <c r="B10846" s="3" t="s">
        <v>5184</v>
      </c>
      <c r="C10846" s="3" t="s">
        <v>284</v>
      </c>
      <c r="D10846" s="3">
        <v>2.0</v>
      </c>
      <c r="E10846" s="3">
        <v>500.0</v>
      </c>
      <c r="G10846" s="266">
        <v>43892.0</v>
      </c>
    </row>
    <row r="10847">
      <c r="A10847" s="217">
        <v>43953.50374399306</v>
      </c>
      <c r="B10847" s="3" t="s">
        <v>5184</v>
      </c>
      <c r="C10847" s="3" t="s">
        <v>11111</v>
      </c>
      <c r="D10847" s="3">
        <v>1.0</v>
      </c>
      <c r="E10847" s="3">
        <v>300.0</v>
      </c>
      <c r="G10847" s="266">
        <v>43907.0</v>
      </c>
    </row>
    <row r="10848">
      <c r="A10848" s="217">
        <v>43953.51933891204</v>
      </c>
      <c r="B10848" s="3" t="s">
        <v>5184</v>
      </c>
      <c r="C10848" s="3" t="s">
        <v>11114</v>
      </c>
      <c r="D10848" s="3">
        <v>2.0</v>
      </c>
      <c r="E10848" s="3">
        <v>2200.0</v>
      </c>
      <c r="G10848" s="266">
        <v>43867.0</v>
      </c>
    </row>
    <row r="10849">
      <c r="A10849" s="217">
        <v>43953.5218765625</v>
      </c>
      <c r="B10849" s="3" t="s">
        <v>5184</v>
      </c>
      <c r="C10849" s="3" t="s">
        <v>11116</v>
      </c>
      <c r="D10849" s="3">
        <v>2.0</v>
      </c>
      <c r="E10849" s="3">
        <v>2200.0</v>
      </c>
      <c r="G10849" s="266">
        <v>43888.0</v>
      </c>
    </row>
    <row r="10850">
      <c r="A10850" s="217">
        <v>43953.52253913194</v>
      </c>
      <c r="B10850" s="3" t="s">
        <v>5184</v>
      </c>
      <c r="C10850" s="3" t="s">
        <v>7884</v>
      </c>
      <c r="D10850" s="3">
        <v>2.0</v>
      </c>
      <c r="E10850" s="3">
        <v>300.0</v>
      </c>
      <c r="G10850" s="266">
        <v>43892.0</v>
      </c>
    </row>
    <row r="10851">
      <c r="A10851" s="217">
        <v>43953.52417611111</v>
      </c>
      <c r="B10851" s="3" t="s">
        <v>5184</v>
      </c>
      <c r="C10851" s="3" t="s">
        <v>7884</v>
      </c>
      <c r="D10851" s="3">
        <v>2.0</v>
      </c>
      <c r="E10851" s="3">
        <v>300.0</v>
      </c>
      <c r="G10851" s="266">
        <v>43953.0</v>
      </c>
    </row>
    <row r="10852">
      <c r="A10852" s="217">
        <v>43953.528524050926</v>
      </c>
      <c r="B10852" s="3" t="s">
        <v>5184</v>
      </c>
      <c r="C10852" s="3" t="s">
        <v>9529</v>
      </c>
      <c r="D10852" s="3">
        <v>2.0</v>
      </c>
      <c r="E10852" s="3">
        <v>600.0</v>
      </c>
      <c r="G10852" s="266">
        <v>43953.0</v>
      </c>
    </row>
    <row r="10853">
      <c r="A10853" s="217">
        <v>43953.529412372685</v>
      </c>
      <c r="B10853" s="3" t="s">
        <v>5184</v>
      </c>
      <c r="C10853" s="3" t="s">
        <v>7884</v>
      </c>
      <c r="D10853" s="3">
        <v>2.0</v>
      </c>
      <c r="E10853" s="3">
        <v>300.0</v>
      </c>
      <c r="G10853" s="266">
        <v>43953.0</v>
      </c>
    </row>
    <row r="10854">
      <c r="A10854" s="217">
        <v>43954.65674939815</v>
      </c>
      <c r="B10854" s="3" t="s">
        <v>5184</v>
      </c>
      <c r="C10854" s="3" t="s">
        <v>9063</v>
      </c>
      <c r="D10854" s="3">
        <v>1.0</v>
      </c>
      <c r="E10854" s="3">
        <v>0.0</v>
      </c>
      <c r="G10854" s="266">
        <v>43954.0</v>
      </c>
    </row>
    <row r="10855">
      <c r="A10855" s="217">
        <v>43954.65756796296</v>
      </c>
      <c r="B10855" s="3" t="s">
        <v>5184</v>
      </c>
      <c r="C10855" s="3" t="s">
        <v>9063</v>
      </c>
      <c r="D10855" s="3">
        <v>1.0</v>
      </c>
      <c r="E10855" s="3">
        <v>0.0</v>
      </c>
      <c r="G10855" s="266">
        <v>43954.0</v>
      </c>
    </row>
    <row r="10856">
      <c r="A10856" s="217">
        <v>43954.65839444444</v>
      </c>
      <c r="B10856" s="3" t="s">
        <v>5184</v>
      </c>
      <c r="C10856" s="3" t="s">
        <v>7884</v>
      </c>
      <c r="D10856" s="3">
        <v>2.0</v>
      </c>
      <c r="E10856" s="3">
        <v>0.0</v>
      </c>
      <c r="G10856" s="266">
        <v>43954.0</v>
      </c>
    </row>
    <row r="10857">
      <c r="A10857" s="217">
        <v>43956.49194112269</v>
      </c>
      <c r="B10857" s="3" t="s">
        <v>5184</v>
      </c>
      <c r="C10857" s="3" t="s">
        <v>11122</v>
      </c>
      <c r="D10857" s="3">
        <v>1.0</v>
      </c>
      <c r="E10857" s="3">
        <v>0.0</v>
      </c>
      <c r="G10857" s="266">
        <v>43955.0</v>
      </c>
    </row>
    <row r="10858">
      <c r="A10858" s="217">
        <v>43956.492964942125</v>
      </c>
      <c r="B10858" s="3" t="s">
        <v>5184</v>
      </c>
      <c r="C10858" s="3" t="s">
        <v>7884</v>
      </c>
      <c r="D10858" s="3">
        <v>2.0</v>
      </c>
      <c r="E10858" s="3">
        <v>0.0</v>
      </c>
      <c r="G10858" s="266">
        <v>43955.0</v>
      </c>
    </row>
    <row r="10859">
      <c r="A10859" s="217">
        <v>43956.49365796296</v>
      </c>
      <c r="B10859" s="3" t="s">
        <v>5184</v>
      </c>
      <c r="C10859" s="3" t="s">
        <v>284</v>
      </c>
      <c r="D10859" s="3">
        <v>2.0</v>
      </c>
      <c r="E10859" s="3">
        <v>0.0</v>
      </c>
      <c r="G10859" s="266">
        <v>43955.0</v>
      </c>
    </row>
    <row r="10860">
      <c r="A10860" s="217">
        <v>43956.494803587964</v>
      </c>
      <c r="B10860" s="3" t="s">
        <v>5184</v>
      </c>
      <c r="C10860" s="3" t="s">
        <v>10969</v>
      </c>
      <c r="D10860" s="3">
        <v>1.0</v>
      </c>
      <c r="E10860" s="3">
        <v>0.0</v>
      </c>
      <c r="G10860" s="266">
        <v>43956.0</v>
      </c>
    </row>
    <row r="10861">
      <c r="A10861" s="217">
        <v>43956.49535806713</v>
      </c>
      <c r="B10861" s="3" t="s">
        <v>5184</v>
      </c>
      <c r="C10861" s="3" t="s">
        <v>7806</v>
      </c>
      <c r="D10861" s="3">
        <v>2.0</v>
      </c>
      <c r="E10861" s="3">
        <v>0.0</v>
      </c>
      <c r="G10861" s="266">
        <v>43956.0</v>
      </c>
    </row>
    <row r="10862">
      <c r="A10862" s="217">
        <v>43956.496266180555</v>
      </c>
      <c r="B10862" s="3" t="s">
        <v>5184</v>
      </c>
      <c r="C10862" s="3" t="s">
        <v>7884</v>
      </c>
      <c r="D10862" s="3">
        <v>2.0</v>
      </c>
      <c r="E10862" s="3">
        <v>0.0</v>
      </c>
      <c r="G10862" s="266">
        <v>43956.0</v>
      </c>
    </row>
    <row r="10863">
      <c r="A10863" s="217">
        <v>43956.49705548611</v>
      </c>
      <c r="B10863" s="3" t="s">
        <v>5184</v>
      </c>
      <c r="C10863" s="3" t="s">
        <v>10969</v>
      </c>
      <c r="D10863" s="3">
        <v>1.0</v>
      </c>
      <c r="E10863" s="3">
        <v>0.0</v>
      </c>
      <c r="G10863" s="266">
        <v>43956.0</v>
      </c>
    </row>
    <row r="10864">
      <c r="A10864" s="217">
        <v>43956.497564432866</v>
      </c>
      <c r="B10864" s="3" t="s">
        <v>5184</v>
      </c>
      <c r="C10864" s="3" t="s">
        <v>7884</v>
      </c>
      <c r="D10864" s="3">
        <v>2.0</v>
      </c>
      <c r="E10864" s="3">
        <v>0.0</v>
      </c>
      <c r="G10864" s="266">
        <v>43956.0</v>
      </c>
    </row>
    <row r="10865">
      <c r="A10865" s="217">
        <v>43956.498516064814</v>
      </c>
      <c r="B10865" s="3" t="s">
        <v>5184</v>
      </c>
      <c r="C10865" s="3" t="s">
        <v>9063</v>
      </c>
      <c r="D10865" s="3">
        <v>1.0</v>
      </c>
      <c r="E10865" s="3">
        <v>0.0</v>
      </c>
      <c r="G10865" s="266">
        <v>43956.0</v>
      </c>
    </row>
    <row r="10866">
      <c r="A10866" s="217">
        <v>43956.498987060186</v>
      </c>
      <c r="B10866" s="3" t="s">
        <v>5184</v>
      </c>
      <c r="C10866" s="3" t="s">
        <v>7884</v>
      </c>
      <c r="D10866" s="3">
        <v>2.0</v>
      </c>
      <c r="E10866" s="3">
        <v>0.0</v>
      </c>
      <c r="G10866" s="266">
        <v>43956.0</v>
      </c>
    </row>
    <row r="10867">
      <c r="A10867" s="217">
        <v>43956.509342881945</v>
      </c>
      <c r="B10867" s="3" t="s">
        <v>5184</v>
      </c>
      <c r="C10867" s="3" t="s">
        <v>2556</v>
      </c>
      <c r="D10867" s="3">
        <v>1.0</v>
      </c>
      <c r="E10867" s="3">
        <v>0.0</v>
      </c>
      <c r="G10867" s="266">
        <v>43956.0</v>
      </c>
    </row>
    <row r="10868">
      <c r="A10868" s="217">
        <v>43956.71132099537</v>
      </c>
      <c r="B10868" s="3" t="s">
        <v>5184</v>
      </c>
      <c r="C10868" s="3" t="s">
        <v>1045</v>
      </c>
      <c r="D10868" s="3">
        <v>1.0</v>
      </c>
      <c r="E10868" s="3">
        <v>0.0</v>
      </c>
      <c r="G10868" s="266">
        <v>43956.0</v>
      </c>
    </row>
    <row r="10869">
      <c r="A10869" s="217">
        <v>43956.734283645834</v>
      </c>
      <c r="B10869" s="3" t="s">
        <v>5184</v>
      </c>
      <c r="C10869" s="3" t="s">
        <v>284</v>
      </c>
      <c r="D10869" s="3">
        <v>2.0</v>
      </c>
      <c r="E10869" s="3">
        <v>0.0</v>
      </c>
      <c r="G10869" s="266">
        <v>43956.0</v>
      </c>
    </row>
    <row r="10870">
      <c r="A10870" s="217">
        <v>43956.73710138889</v>
      </c>
      <c r="B10870" s="3" t="s">
        <v>5184</v>
      </c>
      <c r="C10870" s="3" t="s">
        <v>7884</v>
      </c>
      <c r="D10870" s="3">
        <v>2.0</v>
      </c>
      <c r="E10870" s="3">
        <v>0.0</v>
      </c>
      <c r="G10870" s="266">
        <v>43956.0</v>
      </c>
    </row>
    <row r="10871">
      <c r="A10871" s="217">
        <v>43957.569092997684</v>
      </c>
      <c r="B10871" s="3" t="s">
        <v>5184</v>
      </c>
      <c r="C10871" s="3" t="s">
        <v>10997</v>
      </c>
      <c r="D10871" s="3">
        <v>1.0</v>
      </c>
      <c r="E10871" s="3">
        <v>0.0</v>
      </c>
      <c r="G10871" s="266">
        <v>43957.0</v>
      </c>
    </row>
    <row r="10872">
      <c r="A10872" s="217">
        <v>43957.69174461806</v>
      </c>
      <c r="B10872" s="3" t="s">
        <v>5184</v>
      </c>
      <c r="C10872" s="3" t="s">
        <v>7884</v>
      </c>
      <c r="D10872" s="3">
        <v>1.0</v>
      </c>
      <c r="E10872" s="3">
        <v>0.0</v>
      </c>
      <c r="G10872" s="266">
        <v>43957.0</v>
      </c>
    </row>
    <row r="10873">
      <c r="A10873" s="217">
        <v>43957.71006709491</v>
      </c>
      <c r="B10873" s="3" t="s">
        <v>5184</v>
      </c>
      <c r="C10873" s="3" t="s">
        <v>11137</v>
      </c>
      <c r="D10873" s="3">
        <v>1.0</v>
      </c>
      <c r="E10873" s="3">
        <v>0.0</v>
      </c>
      <c r="G10873" s="266">
        <v>43957.0</v>
      </c>
    </row>
    <row r="10874">
      <c r="A10874" s="217">
        <v>43957.71052234954</v>
      </c>
      <c r="B10874" s="3" t="s">
        <v>5184</v>
      </c>
      <c r="C10874" s="3" t="s">
        <v>7884</v>
      </c>
      <c r="D10874" s="3">
        <v>2.0</v>
      </c>
      <c r="E10874" s="3">
        <v>0.0</v>
      </c>
      <c r="G10874" s="266">
        <v>43957.0</v>
      </c>
    </row>
    <row r="10875">
      <c r="A10875" s="217">
        <v>43957.71125104166</v>
      </c>
      <c r="B10875" s="3" t="s">
        <v>5184</v>
      </c>
      <c r="C10875" s="3" t="s">
        <v>7884</v>
      </c>
      <c r="D10875" s="3">
        <v>2.0</v>
      </c>
      <c r="E10875" s="3">
        <v>0.0</v>
      </c>
      <c r="G10875" s="266">
        <v>43957.0</v>
      </c>
    </row>
    <row r="10876">
      <c r="A10876" s="217">
        <v>43957.71202905093</v>
      </c>
      <c r="B10876" s="3" t="s">
        <v>5184</v>
      </c>
      <c r="C10876" s="3" t="s">
        <v>7884</v>
      </c>
      <c r="D10876" s="3">
        <v>2.0</v>
      </c>
      <c r="E10876" s="3">
        <v>0.0</v>
      </c>
      <c r="G10876" s="266">
        <v>43957.0</v>
      </c>
    </row>
    <row r="10877">
      <c r="A10877" s="217">
        <v>43957.713019386574</v>
      </c>
      <c r="B10877" s="3" t="s">
        <v>5184</v>
      </c>
      <c r="C10877" s="3" t="s">
        <v>11141</v>
      </c>
      <c r="D10877" s="3">
        <v>1.0</v>
      </c>
      <c r="E10877" s="3">
        <v>0.0</v>
      </c>
      <c r="G10877" s="266">
        <v>43957.0</v>
      </c>
    </row>
    <row r="10878">
      <c r="A10878" s="217">
        <v>43957.713467037036</v>
      </c>
      <c r="B10878" s="3" t="s">
        <v>5184</v>
      </c>
      <c r="C10878" s="3" t="s">
        <v>7884</v>
      </c>
      <c r="D10878" s="3">
        <v>2.0</v>
      </c>
      <c r="E10878" s="3">
        <v>0.0</v>
      </c>
      <c r="G10878" s="266">
        <v>43957.0</v>
      </c>
    </row>
    <row r="10879">
      <c r="A10879" s="217">
        <v>43957.71416028935</v>
      </c>
      <c r="B10879" s="3" t="s">
        <v>5184</v>
      </c>
      <c r="C10879" s="3" t="s">
        <v>7884</v>
      </c>
      <c r="D10879" s="3">
        <v>2.0</v>
      </c>
      <c r="E10879" s="3">
        <v>0.0</v>
      </c>
      <c r="G10879" s="266">
        <v>43957.0</v>
      </c>
    </row>
    <row r="10880">
      <c r="A10880" s="217">
        <v>43958.44810686343</v>
      </c>
      <c r="B10880" s="3" t="s">
        <v>5184</v>
      </c>
      <c r="C10880" s="3" t="s">
        <v>9051</v>
      </c>
      <c r="D10880" s="3">
        <v>1.0</v>
      </c>
      <c r="E10880" s="3">
        <v>0.0</v>
      </c>
      <c r="G10880" s="266">
        <v>43958.0</v>
      </c>
    </row>
    <row r="10881">
      <c r="A10881" s="217">
        <v>43958.449224027776</v>
      </c>
      <c r="B10881" s="3" t="s">
        <v>5184</v>
      </c>
      <c r="C10881" s="3" t="s">
        <v>7884</v>
      </c>
      <c r="D10881" s="3">
        <v>2.0</v>
      </c>
      <c r="E10881" s="3">
        <v>0.0</v>
      </c>
      <c r="G10881" s="266">
        <v>43958.0</v>
      </c>
    </row>
    <row r="10882">
      <c r="A10882" s="217">
        <v>43958.44979576389</v>
      </c>
      <c r="B10882" s="3" t="s">
        <v>5184</v>
      </c>
      <c r="C10882" s="3" t="s">
        <v>284</v>
      </c>
      <c r="D10882" s="3">
        <v>2.0</v>
      </c>
      <c r="E10882" s="3">
        <v>0.0</v>
      </c>
      <c r="G10882" s="266">
        <v>43958.0</v>
      </c>
    </row>
    <row r="10883">
      <c r="A10883" s="217">
        <v>43958.55223195602</v>
      </c>
      <c r="B10883" s="3" t="s">
        <v>5184</v>
      </c>
      <c r="C10883" s="3" t="s">
        <v>2566</v>
      </c>
      <c r="D10883" s="3">
        <v>1.0</v>
      </c>
      <c r="E10883" s="3">
        <v>0.0</v>
      </c>
      <c r="G10883" s="266">
        <v>43958.0</v>
      </c>
    </row>
    <row r="10884">
      <c r="A10884" s="217">
        <v>43958.55303203704</v>
      </c>
      <c r="B10884" s="3" t="s">
        <v>5184</v>
      </c>
      <c r="C10884" s="3" t="s">
        <v>11149</v>
      </c>
      <c r="D10884" s="3">
        <v>1.0</v>
      </c>
      <c r="E10884" s="3">
        <v>0.0</v>
      </c>
      <c r="G10884" s="266">
        <v>43958.0</v>
      </c>
    </row>
    <row r="10885">
      <c r="A10885" s="217">
        <v>43958.553628587964</v>
      </c>
      <c r="B10885" s="3" t="s">
        <v>5184</v>
      </c>
      <c r="C10885" s="3" t="s">
        <v>284</v>
      </c>
      <c r="D10885" s="3">
        <v>2.0</v>
      </c>
      <c r="E10885" s="3">
        <v>0.0</v>
      </c>
      <c r="G10885" s="266">
        <v>43958.0</v>
      </c>
    </row>
    <row r="10886">
      <c r="A10886" s="217">
        <v>43958.55473993055</v>
      </c>
      <c r="B10886" s="3" t="s">
        <v>5184</v>
      </c>
      <c r="C10886" s="3" t="s">
        <v>284</v>
      </c>
      <c r="D10886" s="3">
        <v>2.0</v>
      </c>
      <c r="E10886" s="3">
        <v>0.0</v>
      </c>
      <c r="G10886" s="266">
        <v>43958.0</v>
      </c>
    </row>
    <row r="10887">
      <c r="A10887" s="217">
        <v>43958.65331648148</v>
      </c>
      <c r="B10887" s="3" t="s">
        <v>5184</v>
      </c>
      <c r="C10887" s="3" t="s">
        <v>7884</v>
      </c>
      <c r="D10887" s="3">
        <v>2.0</v>
      </c>
      <c r="E10887" s="3">
        <v>0.0</v>
      </c>
      <c r="G10887" s="266">
        <v>43958.0</v>
      </c>
    </row>
    <row r="10888">
      <c r="A10888" s="217">
        <v>43958.76756503472</v>
      </c>
      <c r="B10888" s="3" t="s">
        <v>5184</v>
      </c>
      <c r="C10888" s="3" t="s">
        <v>284</v>
      </c>
      <c r="D10888" s="3">
        <v>2.0</v>
      </c>
      <c r="E10888" s="3">
        <v>0.0</v>
      </c>
      <c r="G10888" s="266">
        <v>43958.0</v>
      </c>
    </row>
    <row r="10889">
      <c r="A10889" s="217">
        <v>43959.47149454861</v>
      </c>
      <c r="B10889" s="3" t="s">
        <v>5184</v>
      </c>
      <c r="C10889" s="3" t="s">
        <v>11153</v>
      </c>
      <c r="D10889" s="3">
        <v>1.0</v>
      </c>
      <c r="E10889" s="3">
        <v>0.0</v>
      </c>
      <c r="G10889" s="266">
        <v>43959.0</v>
      </c>
    </row>
    <row r="10890">
      <c r="A10890" s="217">
        <v>43959.47209773149</v>
      </c>
      <c r="B10890" s="3" t="s">
        <v>5184</v>
      </c>
      <c r="C10890" s="3" t="s">
        <v>11033</v>
      </c>
      <c r="D10890" s="3">
        <v>1.0</v>
      </c>
      <c r="E10890" s="3">
        <v>0.0</v>
      </c>
      <c r="G10890" s="266">
        <v>43959.0</v>
      </c>
    </row>
    <row r="10891">
      <c r="A10891" s="217">
        <v>43959.47267290509</v>
      </c>
      <c r="B10891" s="3" t="s">
        <v>5184</v>
      </c>
      <c r="C10891" s="3" t="s">
        <v>284</v>
      </c>
      <c r="D10891" s="3">
        <v>2.0</v>
      </c>
      <c r="E10891" s="3">
        <v>0.0</v>
      </c>
      <c r="G10891" s="266">
        <v>43959.0</v>
      </c>
    </row>
    <row r="10892">
      <c r="A10892" s="217">
        <v>43959.473359826385</v>
      </c>
      <c r="B10892" s="3" t="s">
        <v>5184</v>
      </c>
      <c r="C10892" s="3" t="s">
        <v>2566</v>
      </c>
      <c r="D10892" s="3">
        <v>1.0</v>
      </c>
      <c r="E10892" s="3">
        <v>0.0</v>
      </c>
      <c r="G10892" s="266">
        <v>43959.0</v>
      </c>
    </row>
    <row r="10893">
      <c r="A10893" s="217">
        <v>43959.47416856482</v>
      </c>
      <c r="B10893" s="3" t="s">
        <v>5184</v>
      </c>
      <c r="C10893" s="3" t="s">
        <v>11155</v>
      </c>
      <c r="D10893" s="3">
        <v>1.0</v>
      </c>
      <c r="E10893" s="3">
        <v>0.0</v>
      </c>
      <c r="G10893" s="266">
        <v>43959.0</v>
      </c>
    </row>
    <row r="10894">
      <c r="A10894" s="217">
        <v>43959.47542128472</v>
      </c>
      <c r="B10894" s="3" t="s">
        <v>5184</v>
      </c>
      <c r="C10894" s="3" t="s">
        <v>7820</v>
      </c>
      <c r="D10894" s="3">
        <v>1.0</v>
      </c>
      <c r="E10894" s="3">
        <v>0.0</v>
      </c>
      <c r="G10894" s="266">
        <v>43959.0</v>
      </c>
    </row>
    <row r="10895">
      <c r="A10895" s="217">
        <v>43959.47658054398</v>
      </c>
      <c r="B10895" s="3" t="s">
        <v>5184</v>
      </c>
      <c r="C10895" s="3" t="s">
        <v>11157</v>
      </c>
      <c r="D10895" s="3">
        <v>1.0</v>
      </c>
      <c r="E10895" s="3">
        <v>0.0</v>
      </c>
      <c r="G10895" s="266">
        <v>43959.0</v>
      </c>
    </row>
    <row r="10896">
      <c r="A10896" s="217">
        <v>43959.477426111116</v>
      </c>
      <c r="B10896" s="3" t="s">
        <v>5184</v>
      </c>
      <c r="C10896" s="3" t="s">
        <v>7884</v>
      </c>
      <c r="D10896" s="3">
        <v>2.0</v>
      </c>
      <c r="E10896" s="3">
        <v>0.0</v>
      </c>
      <c r="G10896" s="266">
        <v>43959.0</v>
      </c>
    </row>
    <row r="10897">
      <c r="A10897" s="217">
        <v>43959.48718416667</v>
      </c>
      <c r="B10897" s="3" t="s">
        <v>5184</v>
      </c>
      <c r="C10897" s="3" t="s">
        <v>2432</v>
      </c>
      <c r="D10897" s="3">
        <v>1.0</v>
      </c>
      <c r="E10897" s="3">
        <v>0.0</v>
      </c>
      <c r="G10897" s="266">
        <v>43959.0</v>
      </c>
    </row>
    <row r="10898">
      <c r="A10898" s="217">
        <v>43959.48787641204</v>
      </c>
      <c r="B10898" s="3" t="s">
        <v>5184</v>
      </c>
      <c r="C10898" s="3" t="s">
        <v>244</v>
      </c>
      <c r="D10898" s="3">
        <v>2.0</v>
      </c>
      <c r="E10898" s="3">
        <v>0.0</v>
      </c>
      <c r="G10898" s="266">
        <v>43959.0</v>
      </c>
    </row>
    <row r="10899">
      <c r="A10899" s="217">
        <v>43959.52631140046</v>
      </c>
      <c r="B10899" s="3" t="s">
        <v>5184</v>
      </c>
      <c r="C10899" s="3" t="s">
        <v>11149</v>
      </c>
      <c r="D10899" s="3">
        <v>1.0</v>
      </c>
      <c r="E10899" s="3">
        <v>0.0</v>
      </c>
      <c r="G10899" s="266">
        <v>43959.0</v>
      </c>
    </row>
    <row r="10900">
      <c r="A10900" s="217">
        <v>43959.561568715275</v>
      </c>
      <c r="B10900" s="3" t="s">
        <v>5184</v>
      </c>
      <c r="C10900" s="3" t="s">
        <v>7884</v>
      </c>
      <c r="D10900" s="3">
        <v>2.0</v>
      </c>
      <c r="E10900" s="3">
        <v>0.0</v>
      </c>
      <c r="G10900" s="266">
        <v>43959.0</v>
      </c>
    </row>
    <row r="10901">
      <c r="A10901" s="217">
        <v>43959.56463123843</v>
      </c>
      <c r="B10901" s="3" t="s">
        <v>5184</v>
      </c>
      <c r="C10901" s="3" t="s">
        <v>2566</v>
      </c>
      <c r="D10901" s="3">
        <v>1.0</v>
      </c>
      <c r="E10901" s="3">
        <v>0.0</v>
      </c>
      <c r="G10901" s="266">
        <v>43959.0</v>
      </c>
    </row>
    <row r="10902">
      <c r="A10902" s="217">
        <v>43959.56610415509</v>
      </c>
      <c r="B10902" s="3" t="s">
        <v>5184</v>
      </c>
      <c r="C10902" s="3" t="s">
        <v>11159</v>
      </c>
      <c r="D10902" s="3" t="s">
        <v>7547</v>
      </c>
      <c r="E10902" s="3">
        <v>0.0</v>
      </c>
      <c r="G10902" s="266">
        <v>43959.0</v>
      </c>
    </row>
    <row r="10903">
      <c r="A10903" s="217">
        <v>43959.78708825231</v>
      </c>
      <c r="B10903" s="3" t="s">
        <v>5184</v>
      </c>
      <c r="C10903" s="3" t="s">
        <v>2576</v>
      </c>
      <c r="D10903" s="3">
        <v>1.0</v>
      </c>
      <c r="E10903" s="3">
        <v>0.0</v>
      </c>
      <c r="G10903" s="266">
        <v>43959.0</v>
      </c>
    </row>
    <row r="10904">
      <c r="A10904" s="217">
        <v>43959.78751475694</v>
      </c>
      <c r="B10904" s="3" t="s">
        <v>5184</v>
      </c>
      <c r="C10904" s="3" t="s">
        <v>7820</v>
      </c>
      <c r="D10904" s="3">
        <v>2.0</v>
      </c>
      <c r="E10904" s="3">
        <v>0.0</v>
      </c>
      <c r="G10904" s="266">
        <v>43959.0</v>
      </c>
    </row>
    <row r="10905">
      <c r="A10905" s="217">
        <v>43960.45645884259</v>
      </c>
      <c r="B10905" s="3" t="s">
        <v>5184</v>
      </c>
      <c r="C10905" s="3" t="s">
        <v>7806</v>
      </c>
      <c r="D10905" s="3">
        <v>2.0</v>
      </c>
      <c r="E10905" s="3">
        <v>0.0</v>
      </c>
      <c r="G10905" s="266">
        <v>43960.0</v>
      </c>
    </row>
    <row r="10906">
      <c r="A10906" s="217">
        <v>43960.45735449074</v>
      </c>
      <c r="B10906" s="3" t="s">
        <v>5184</v>
      </c>
      <c r="C10906" s="3" t="s">
        <v>244</v>
      </c>
      <c r="D10906" s="3">
        <v>2.0</v>
      </c>
      <c r="E10906" s="3">
        <v>0.0</v>
      </c>
      <c r="G10906" s="266">
        <v>43960.0</v>
      </c>
    </row>
    <row r="10907">
      <c r="A10907" s="217">
        <v>43960.4578949537</v>
      </c>
      <c r="B10907" s="3" t="s">
        <v>5184</v>
      </c>
      <c r="C10907" s="3" t="s">
        <v>2576</v>
      </c>
      <c r="D10907" s="3">
        <v>1.0</v>
      </c>
      <c r="E10907" s="3">
        <v>0.0</v>
      </c>
      <c r="G10907" s="266">
        <v>43960.0</v>
      </c>
    </row>
    <row r="10908">
      <c r="A10908" s="217">
        <v>43960.460865925925</v>
      </c>
      <c r="B10908" s="3" t="s">
        <v>5184</v>
      </c>
      <c r="C10908" s="3" t="s">
        <v>244</v>
      </c>
      <c r="D10908" s="3">
        <v>2.0</v>
      </c>
      <c r="E10908" s="3">
        <v>0.0</v>
      </c>
      <c r="G10908" s="266">
        <v>43960.0</v>
      </c>
    </row>
    <row r="10909">
      <c r="A10909" s="217">
        <v>43960.46183480324</v>
      </c>
      <c r="B10909" s="3" t="s">
        <v>5184</v>
      </c>
      <c r="C10909" s="3" t="s">
        <v>11162</v>
      </c>
      <c r="D10909" s="3">
        <v>1.0</v>
      </c>
      <c r="E10909" s="3">
        <v>0.0</v>
      </c>
      <c r="G10909" s="266">
        <v>43960.0</v>
      </c>
    </row>
    <row r="10910">
      <c r="A10910" s="217">
        <v>43960.462451666666</v>
      </c>
      <c r="B10910" s="3" t="s">
        <v>5184</v>
      </c>
      <c r="C10910" s="3" t="s">
        <v>284</v>
      </c>
      <c r="D10910" s="3">
        <v>2.0</v>
      </c>
      <c r="E10910" s="3">
        <v>0.0</v>
      </c>
      <c r="G10910" s="266">
        <v>43960.0</v>
      </c>
    </row>
    <row r="10911">
      <c r="A10911" s="217">
        <v>43960.51576871528</v>
      </c>
      <c r="B10911" s="3" t="s">
        <v>5184</v>
      </c>
      <c r="C10911" s="3" t="s">
        <v>9063</v>
      </c>
      <c r="D10911" s="3">
        <v>1.0</v>
      </c>
      <c r="E10911" s="3">
        <v>0.0</v>
      </c>
      <c r="G10911" s="266">
        <v>43960.0</v>
      </c>
    </row>
    <row r="10912">
      <c r="A10912" s="217">
        <v>43960.516230520836</v>
      </c>
      <c r="B10912" s="3" t="s">
        <v>5184</v>
      </c>
      <c r="C10912" s="3" t="s">
        <v>284</v>
      </c>
      <c r="D10912" s="3">
        <v>2.0</v>
      </c>
      <c r="E10912" s="3">
        <v>0.0</v>
      </c>
      <c r="G10912" s="266">
        <v>43960.0</v>
      </c>
    </row>
    <row r="10913">
      <c r="A10913" s="217">
        <v>43960.52915722222</v>
      </c>
      <c r="B10913" s="3" t="s">
        <v>5092</v>
      </c>
      <c r="C10913" s="3" t="s">
        <v>7884</v>
      </c>
      <c r="D10913" s="3">
        <v>2.0</v>
      </c>
      <c r="E10913" s="3">
        <v>0.0</v>
      </c>
      <c r="G10913" s="266">
        <v>43893.0</v>
      </c>
    </row>
    <row r="10914">
      <c r="A10914" s="217">
        <v>43960.53213046296</v>
      </c>
      <c r="B10914" s="3" t="s">
        <v>5092</v>
      </c>
      <c r="C10914" s="3" t="s">
        <v>11166</v>
      </c>
      <c r="D10914" s="3">
        <v>2.0</v>
      </c>
      <c r="E10914" s="3">
        <v>0.0</v>
      </c>
      <c r="G10914" s="266">
        <v>43893.0</v>
      </c>
    </row>
    <row r="10915">
      <c r="A10915" s="217">
        <v>43960.532939745375</v>
      </c>
      <c r="B10915" s="3" t="s">
        <v>5092</v>
      </c>
      <c r="C10915" s="3" t="s">
        <v>7884</v>
      </c>
      <c r="D10915" s="3">
        <v>1.0</v>
      </c>
      <c r="E10915" s="3">
        <v>0.0</v>
      </c>
      <c r="G10915" s="266">
        <v>43892.0</v>
      </c>
    </row>
    <row r="10916">
      <c r="A10916" s="217">
        <v>43960.53354387732</v>
      </c>
      <c r="B10916" s="3" t="s">
        <v>5092</v>
      </c>
      <c r="C10916" s="3" t="s">
        <v>244</v>
      </c>
      <c r="D10916" s="3">
        <v>3.0</v>
      </c>
      <c r="E10916" s="3">
        <v>0.0</v>
      </c>
      <c r="G10916" s="266">
        <v>43892.0</v>
      </c>
    </row>
    <row r="10917">
      <c r="A10917" s="217">
        <v>43960.53424454861</v>
      </c>
      <c r="B10917" s="3" t="s">
        <v>5092</v>
      </c>
      <c r="C10917" s="3" t="s">
        <v>244</v>
      </c>
      <c r="D10917" s="3">
        <v>1.0</v>
      </c>
      <c r="E10917" s="3">
        <v>0.0</v>
      </c>
      <c r="G10917" s="266">
        <v>43892.0</v>
      </c>
    </row>
    <row r="10918">
      <c r="A10918" s="217">
        <v>43960.53519559027</v>
      </c>
      <c r="B10918" s="3" t="s">
        <v>5092</v>
      </c>
      <c r="C10918" s="3" t="s">
        <v>244</v>
      </c>
      <c r="D10918" s="3">
        <v>1.0</v>
      </c>
      <c r="E10918" s="3">
        <v>0.0</v>
      </c>
      <c r="G10918" s="266">
        <v>43892.0</v>
      </c>
    </row>
    <row r="10919">
      <c r="A10919" s="217">
        <v>43960.535970798606</v>
      </c>
      <c r="B10919" s="3" t="s">
        <v>5092</v>
      </c>
      <c r="C10919" s="3" t="s">
        <v>284</v>
      </c>
      <c r="D10919" s="3">
        <v>1.0</v>
      </c>
      <c r="E10919" s="3">
        <v>0.0</v>
      </c>
      <c r="G10919" s="266">
        <v>43892.0</v>
      </c>
    </row>
    <row r="10920">
      <c r="A10920" s="217">
        <v>43960.53654582176</v>
      </c>
      <c r="B10920" s="3" t="s">
        <v>5092</v>
      </c>
      <c r="C10920" s="3" t="s">
        <v>7884</v>
      </c>
      <c r="D10920" s="3">
        <v>5.0</v>
      </c>
      <c r="E10920" s="3">
        <v>0.0</v>
      </c>
      <c r="G10920" s="266">
        <v>43892.0</v>
      </c>
    </row>
    <row r="10921">
      <c r="A10921" s="217">
        <v>43960.53732309028</v>
      </c>
      <c r="B10921" s="3" t="s">
        <v>5092</v>
      </c>
      <c r="C10921" s="3" t="s">
        <v>11168</v>
      </c>
      <c r="D10921" s="3">
        <v>2.0</v>
      </c>
      <c r="E10921" s="3">
        <v>0.0</v>
      </c>
      <c r="G10921" s="266">
        <v>43892.0</v>
      </c>
    </row>
    <row r="10922">
      <c r="A10922" s="217">
        <v>43960.53781837963</v>
      </c>
      <c r="B10922" s="3" t="s">
        <v>5092</v>
      </c>
      <c r="C10922" s="3" t="s">
        <v>7427</v>
      </c>
      <c r="D10922" s="3">
        <v>2.0</v>
      </c>
      <c r="E10922" s="3">
        <v>0.0</v>
      </c>
      <c r="G10922" s="266">
        <v>43892.0</v>
      </c>
    </row>
    <row r="10923">
      <c r="A10923" s="217">
        <v>43960.5759216088</v>
      </c>
      <c r="B10923" s="3" t="s">
        <v>5184</v>
      </c>
      <c r="C10923" s="3" t="s">
        <v>11169</v>
      </c>
      <c r="D10923" s="3">
        <v>1.0</v>
      </c>
      <c r="E10923" s="3">
        <v>0.0</v>
      </c>
      <c r="G10923" s="266">
        <v>43960.0</v>
      </c>
    </row>
    <row r="10924">
      <c r="A10924" s="217">
        <v>43960.57685054398</v>
      </c>
      <c r="B10924" s="3" t="s">
        <v>5184</v>
      </c>
      <c r="C10924" s="3" t="s">
        <v>7806</v>
      </c>
      <c r="D10924" s="3">
        <v>2.0</v>
      </c>
      <c r="E10924" s="3">
        <v>0.0</v>
      </c>
      <c r="G10924" s="266">
        <v>43960.0</v>
      </c>
    </row>
    <row r="10925">
      <c r="A10925" s="217">
        <v>43962.595745011575</v>
      </c>
      <c r="B10925" s="3" t="s">
        <v>5184</v>
      </c>
      <c r="C10925" s="3" t="s">
        <v>9051</v>
      </c>
      <c r="D10925" s="3">
        <v>1.0</v>
      </c>
      <c r="E10925" s="3">
        <v>0.0</v>
      </c>
      <c r="G10925" s="266">
        <v>43961.0</v>
      </c>
    </row>
    <row r="10926">
      <c r="A10926" s="217">
        <v>43962.59865679398</v>
      </c>
      <c r="B10926" s="3" t="s">
        <v>5184</v>
      </c>
      <c r="C10926" s="3" t="s">
        <v>11173</v>
      </c>
      <c r="D10926" s="3">
        <v>2.0</v>
      </c>
      <c r="E10926" s="3">
        <v>0.0</v>
      </c>
      <c r="G10926" s="266">
        <v>43961.0</v>
      </c>
    </row>
    <row r="10927">
      <c r="A10927" s="217">
        <v>43962.60377480324</v>
      </c>
      <c r="B10927" s="3" t="s">
        <v>5184</v>
      </c>
      <c r="C10927" s="3" t="s">
        <v>11174</v>
      </c>
      <c r="D10927" s="3">
        <v>1.0</v>
      </c>
      <c r="E10927" s="3">
        <v>0.0</v>
      </c>
      <c r="G10927" s="266">
        <v>43961.0</v>
      </c>
    </row>
    <row r="10928">
      <c r="A10928" s="217">
        <v>43962.60523306713</v>
      </c>
      <c r="B10928" s="3" t="s">
        <v>5184</v>
      </c>
      <c r="C10928" s="3" t="s">
        <v>11176</v>
      </c>
      <c r="D10928" s="3">
        <v>1.0</v>
      </c>
      <c r="E10928" s="3">
        <v>0.0</v>
      </c>
      <c r="G10928" s="266">
        <v>43962.0</v>
      </c>
    </row>
    <row r="10929">
      <c r="A10929" s="217">
        <v>43962.6057775463</v>
      </c>
      <c r="B10929" s="3" t="s">
        <v>5184</v>
      </c>
      <c r="C10929" s="3" t="s">
        <v>11178</v>
      </c>
      <c r="D10929" s="3">
        <v>1.0</v>
      </c>
      <c r="E10929" s="3">
        <v>0.0</v>
      </c>
      <c r="G10929" s="266">
        <v>43962.0</v>
      </c>
    </row>
    <row r="10930">
      <c r="A10930" s="217">
        <v>43962.606377557866</v>
      </c>
      <c r="B10930" s="3" t="s">
        <v>5184</v>
      </c>
      <c r="C10930" s="3" t="s">
        <v>7884</v>
      </c>
      <c r="D10930" s="3">
        <v>2.0</v>
      </c>
      <c r="E10930" s="3">
        <v>0.0</v>
      </c>
      <c r="G10930" s="266">
        <v>43962.0</v>
      </c>
    </row>
    <row r="10931">
      <c r="A10931" s="217">
        <v>43962.613856412034</v>
      </c>
      <c r="B10931" s="3" t="s">
        <v>5184</v>
      </c>
      <c r="C10931" s="3" t="s">
        <v>7884</v>
      </c>
      <c r="D10931" s="3">
        <v>2.0</v>
      </c>
      <c r="E10931" s="3">
        <v>0.0</v>
      </c>
      <c r="G10931" s="266">
        <v>43962.0</v>
      </c>
    </row>
    <row r="10932">
      <c r="A10932" s="217">
        <v>43962.616615810184</v>
      </c>
      <c r="B10932" s="3" t="s">
        <v>5184</v>
      </c>
      <c r="C10932" s="3" t="s">
        <v>10951</v>
      </c>
      <c r="D10932" s="3">
        <v>1.0</v>
      </c>
      <c r="E10932" s="3">
        <v>0.0</v>
      </c>
      <c r="G10932" s="266">
        <v>43962.0</v>
      </c>
    </row>
    <row r="10933">
      <c r="A10933" s="217">
        <v>43962.618402719905</v>
      </c>
      <c r="B10933" s="3" t="s">
        <v>5184</v>
      </c>
      <c r="C10933" s="3" t="s">
        <v>7884</v>
      </c>
      <c r="D10933" s="3">
        <v>2.0</v>
      </c>
      <c r="E10933" s="3">
        <v>0.0</v>
      </c>
      <c r="G10933" s="266">
        <v>43962.0</v>
      </c>
    </row>
    <row r="10934">
      <c r="A10934" s="217">
        <v>43962.61925071759</v>
      </c>
      <c r="B10934" s="3" t="s">
        <v>5184</v>
      </c>
      <c r="C10934" s="3" t="s">
        <v>10969</v>
      </c>
      <c r="D10934" s="3">
        <v>1.0</v>
      </c>
      <c r="E10934" s="3">
        <v>0.0</v>
      </c>
      <c r="G10934" s="266">
        <v>43962.0</v>
      </c>
    </row>
    <row r="10935">
      <c r="A10935" s="217">
        <v>43962.6196944213</v>
      </c>
      <c r="B10935" s="3" t="s">
        <v>5184</v>
      </c>
      <c r="C10935" s="3" t="s">
        <v>7884</v>
      </c>
      <c r="D10935" s="3">
        <v>2.0</v>
      </c>
      <c r="E10935" s="3">
        <v>0.0</v>
      </c>
      <c r="G10935" s="266">
        <v>43962.0</v>
      </c>
    </row>
    <row r="10936">
      <c r="A10936" s="217">
        <v>43962.62108678241</v>
      </c>
      <c r="B10936" s="3" t="s">
        <v>5184</v>
      </c>
      <c r="C10936" s="3" t="s">
        <v>244</v>
      </c>
      <c r="D10936" s="3">
        <v>2.0</v>
      </c>
      <c r="E10936" s="3">
        <v>0.0</v>
      </c>
      <c r="G10936" s="266">
        <v>43962.0</v>
      </c>
    </row>
    <row r="10937">
      <c r="A10937" s="217">
        <v>43962.77656215278</v>
      </c>
      <c r="B10937" s="3" t="s">
        <v>5184</v>
      </c>
      <c r="C10937" s="3" t="s">
        <v>10959</v>
      </c>
      <c r="D10937" s="3">
        <v>1.0</v>
      </c>
      <c r="E10937" s="3">
        <v>0.0</v>
      </c>
      <c r="G10937" s="266">
        <v>43961.0</v>
      </c>
    </row>
    <row r="10938">
      <c r="A10938" s="217">
        <v>43963.4439337963</v>
      </c>
      <c r="B10938" s="3" t="s">
        <v>5184</v>
      </c>
      <c r="C10938" s="3" t="s">
        <v>7884</v>
      </c>
      <c r="D10938" s="3">
        <v>2.0</v>
      </c>
      <c r="E10938" s="3">
        <v>0.0</v>
      </c>
      <c r="G10938" s="266">
        <v>43963.0</v>
      </c>
    </row>
    <row r="10939">
      <c r="A10939" s="217">
        <v>43963.50011521991</v>
      </c>
      <c r="B10939" s="3" t="s">
        <v>5184</v>
      </c>
      <c r="C10939" s="3" t="s">
        <v>9069</v>
      </c>
      <c r="D10939" s="3">
        <v>1.0</v>
      </c>
      <c r="E10939" s="3">
        <v>0.0</v>
      </c>
      <c r="G10939" s="266">
        <v>43963.0</v>
      </c>
    </row>
    <row r="10940">
      <c r="A10940" s="217">
        <v>43963.500774375</v>
      </c>
      <c r="B10940" s="3" t="s">
        <v>5184</v>
      </c>
      <c r="C10940" s="3" t="s">
        <v>7884</v>
      </c>
      <c r="D10940" s="3">
        <v>2.0</v>
      </c>
      <c r="E10940" s="3">
        <v>0.0</v>
      </c>
      <c r="G10940" s="266">
        <v>43963.0</v>
      </c>
    </row>
    <row r="10941">
      <c r="A10941" s="217">
        <v>43963.50172263889</v>
      </c>
      <c r="B10941" s="3" t="s">
        <v>5184</v>
      </c>
      <c r="C10941" s="3" t="s">
        <v>11185</v>
      </c>
      <c r="D10941" s="3">
        <v>1.0</v>
      </c>
      <c r="E10941" s="3">
        <v>0.0</v>
      </c>
      <c r="G10941" s="266">
        <v>43963.0</v>
      </c>
    </row>
    <row r="10942">
      <c r="A10942" s="217">
        <v>43963.5025168287</v>
      </c>
      <c r="B10942" s="3" t="s">
        <v>5184</v>
      </c>
      <c r="C10942" s="3" t="s">
        <v>7806</v>
      </c>
      <c r="D10942" s="3">
        <v>2.0</v>
      </c>
      <c r="E10942" s="3">
        <v>0.0</v>
      </c>
      <c r="G10942" s="266">
        <v>43963.0</v>
      </c>
    </row>
    <row r="10943">
      <c r="A10943" s="217">
        <v>43963.50316530092</v>
      </c>
      <c r="B10943" s="3" t="s">
        <v>5184</v>
      </c>
      <c r="C10943" s="3" t="s">
        <v>7884</v>
      </c>
      <c r="D10943" s="3">
        <v>2.0</v>
      </c>
      <c r="E10943" s="3">
        <v>0.0</v>
      </c>
      <c r="G10943" s="266">
        <v>43963.0</v>
      </c>
    </row>
    <row r="10944">
      <c r="A10944" s="217">
        <v>43963.50476806713</v>
      </c>
      <c r="B10944" s="3" t="s">
        <v>5184</v>
      </c>
      <c r="C10944" s="3" t="s">
        <v>9150</v>
      </c>
      <c r="D10944" s="3">
        <v>1.0</v>
      </c>
      <c r="E10944" s="3">
        <v>0.0</v>
      </c>
      <c r="G10944" s="266">
        <v>43963.0</v>
      </c>
    </row>
    <row r="10945">
      <c r="A10945" s="217">
        <v>43963.50573979167</v>
      </c>
      <c r="B10945" s="3" t="s">
        <v>5184</v>
      </c>
      <c r="C10945" s="3" t="s">
        <v>9517</v>
      </c>
      <c r="D10945" s="3">
        <v>2.0</v>
      </c>
      <c r="E10945" s="3">
        <v>0.0</v>
      </c>
      <c r="G10945" s="266">
        <v>43963.0</v>
      </c>
    </row>
    <row r="10946">
      <c r="A10946" s="217">
        <v>43964.80698043981</v>
      </c>
      <c r="B10946" s="3" t="s">
        <v>5184</v>
      </c>
      <c r="C10946" s="3" t="s">
        <v>7884</v>
      </c>
      <c r="D10946" s="3">
        <v>6.0</v>
      </c>
      <c r="E10946" s="3">
        <v>0.0</v>
      </c>
      <c r="G10946" s="266">
        <v>43964.0</v>
      </c>
    </row>
    <row r="10947">
      <c r="A10947" s="217">
        <v>43964.8075168287</v>
      </c>
      <c r="B10947" s="3" t="s">
        <v>5184</v>
      </c>
      <c r="C10947" s="3" t="s">
        <v>10969</v>
      </c>
      <c r="D10947" s="3">
        <v>1.0</v>
      </c>
      <c r="E10947" s="3">
        <v>0.0</v>
      </c>
      <c r="G10947" s="266">
        <v>43964.0</v>
      </c>
    </row>
    <row r="10948">
      <c r="A10948" s="217">
        <v>43964.80823138889</v>
      </c>
      <c r="B10948" s="3" t="s">
        <v>5184</v>
      </c>
      <c r="C10948" s="3" t="s">
        <v>11190</v>
      </c>
      <c r="D10948" s="3">
        <v>1.0</v>
      </c>
      <c r="E10948" s="3">
        <v>0.0</v>
      </c>
      <c r="G10948" s="266">
        <v>43964.0</v>
      </c>
    </row>
    <row r="10949">
      <c r="A10949" s="217">
        <v>43964.808752233796</v>
      </c>
      <c r="B10949" s="3" t="s">
        <v>5184</v>
      </c>
      <c r="C10949" s="3" t="s">
        <v>7884</v>
      </c>
      <c r="D10949" s="3">
        <v>2.0</v>
      </c>
      <c r="E10949" s="3">
        <v>0.0</v>
      </c>
      <c r="G10949" s="266">
        <v>43964.0</v>
      </c>
    </row>
    <row r="10950">
      <c r="A10950" s="217">
        <v>43965.58576263889</v>
      </c>
      <c r="B10950" s="3" t="s">
        <v>5184</v>
      </c>
      <c r="C10950" s="3" t="s">
        <v>11194</v>
      </c>
      <c r="D10950" s="3">
        <v>1.0</v>
      </c>
      <c r="E10950" s="3">
        <v>0.0</v>
      </c>
      <c r="G10950" s="266">
        <v>43965.0</v>
      </c>
    </row>
    <row r="10951">
      <c r="A10951" s="217">
        <v>43965.586565590274</v>
      </c>
      <c r="B10951" s="3" t="s">
        <v>5184</v>
      </c>
      <c r="C10951" s="3" t="s">
        <v>11196</v>
      </c>
      <c r="D10951" s="3">
        <v>1.0</v>
      </c>
      <c r="E10951" s="3">
        <v>0.0</v>
      </c>
      <c r="G10951" s="266">
        <v>43965.0</v>
      </c>
    </row>
    <row r="10952">
      <c r="A10952" s="217">
        <v>43965.587074571755</v>
      </c>
      <c r="B10952" s="3" t="s">
        <v>5184</v>
      </c>
      <c r="C10952" s="3" t="s">
        <v>7884</v>
      </c>
      <c r="D10952" s="3">
        <v>4.0</v>
      </c>
      <c r="E10952" s="3">
        <v>0.0</v>
      </c>
      <c r="G10952" s="266">
        <v>43965.0</v>
      </c>
    </row>
    <row r="10953">
      <c r="A10953" s="217">
        <v>43965.5878140162</v>
      </c>
      <c r="B10953" s="3" t="s">
        <v>5184</v>
      </c>
      <c r="C10953" s="3" t="s">
        <v>7884</v>
      </c>
      <c r="D10953" s="3">
        <v>2.0</v>
      </c>
      <c r="E10953" s="3">
        <v>0.0</v>
      </c>
      <c r="G10953" s="266">
        <v>43965.0</v>
      </c>
    </row>
    <row r="10954">
      <c r="A10954" s="217">
        <v>43965.59113239583</v>
      </c>
      <c r="B10954" s="3" t="s">
        <v>5184</v>
      </c>
      <c r="C10954" s="3" t="s">
        <v>2566</v>
      </c>
      <c r="D10954" s="3">
        <v>1.0</v>
      </c>
      <c r="E10954" s="3">
        <v>0.0</v>
      </c>
      <c r="G10954" s="266">
        <v>43965.0</v>
      </c>
    </row>
    <row r="10955">
      <c r="A10955" s="217">
        <v>43965.59164572917</v>
      </c>
      <c r="B10955" s="3" t="s">
        <v>5184</v>
      </c>
      <c r="C10955" s="3" t="s">
        <v>10969</v>
      </c>
      <c r="D10955" s="3">
        <v>1.0</v>
      </c>
      <c r="E10955" s="3">
        <v>0.0</v>
      </c>
      <c r="G10955" s="266">
        <v>43965.0</v>
      </c>
    </row>
    <row r="10956">
      <c r="A10956" s="217">
        <v>43965.59202494213</v>
      </c>
      <c r="B10956" s="3" t="s">
        <v>5184</v>
      </c>
      <c r="C10956" s="3" t="s">
        <v>7884</v>
      </c>
      <c r="D10956" s="3">
        <v>2.0</v>
      </c>
      <c r="E10956" s="3">
        <v>0.0</v>
      </c>
      <c r="G10956" s="266">
        <v>43965.0</v>
      </c>
    </row>
    <row r="10957">
      <c r="A10957" s="217">
        <v>43965.59264873843</v>
      </c>
      <c r="B10957" s="3" t="s">
        <v>5184</v>
      </c>
      <c r="C10957" s="3" t="s">
        <v>2554</v>
      </c>
      <c r="D10957" s="3">
        <v>1.0</v>
      </c>
      <c r="E10957" s="3">
        <v>0.0</v>
      </c>
      <c r="G10957" s="266">
        <v>43965.0</v>
      </c>
    </row>
    <row r="10958">
      <c r="A10958" s="217">
        <v>43965.59369603009</v>
      </c>
      <c r="B10958" s="3" t="s">
        <v>5184</v>
      </c>
      <c r="C10958" s="3" t="s">
        <v>7884</v>
      </c>
      <c r="D10958" s="3" t="s">
        <v>7547</v>
      </c>
      <c r="E10958" s="3">
        <v>0.0</v>
      </c>
      <c r="G10958" s="266">
        <v>43965.0</v>
      </c>
    </row>
    <row r="10959">
      <c r="A10959" s="217">
        <v>43965.59479079861</v>
      </c>
      <c r="B10959" s="3" t="s">
        <v>5184</v>
      </c>
      <c r="C10959" s="3" t="s">
        <v>11205</v>
      </c>
      <c r="D10959" s="3">
        <v>1.0</v>
      </c>
      <c r="E10959" s="3">
        <v>0.0</v>
      </c>
      <c r="G10959" s="266">
        <v>43965.0</v>
      </c>
    </row>
    <row r="10960">
      <c r="A10960" s="217">
        <v>43965.595493506946</v>
      </c>
      <c r="B10960" s="3" t="s">
        <v>5184</v>
      </c>
      <c r="C10960" s="3" t="s">
        <v>10969</v>
      </c>
      <c r="D10960" s="3">
        <v>1.0</v>
      </c>
      <c r="E10960" s="3">
        <v>0.0</v>
      </c>
      <c r="G10960" s="266">
        <v>43965.0</v>
      </c>
    </row>
    <row r="10961">
      <c r="A10961" s="217">
        <v>43965.596047743056</v>
      </c>
      <c r="B10961" s="3" t="s">
        <v>5184</v>
      </c>
      <c r="C10961" s="3" t="s">
        <v>7884</v>
      </c>
      <c r="D10961" s="3">
        <v>4.0</v>
      </c>
      <c r="E10961" s="3">
        <v>0.0</v>
      </c>
      <c r="G10961" s="266">
        <v>43965.0</v>
      </c>
    </row>
    <row r="10962">
      <c r="A10962" s="217">
        <v>43965.59670898148</v>
      </c>
      <c r="B10962" s="3" t="s">
        <v>5184</v>
      </c>
      <c r="C10962" s="3" t="s">
        <v>7884</v>
      </c>
      <c r="D10962" s="3">
        <v>2.0</v>
      </c>
      <c r="E10962" s="3">
        <v>0.0</v>
      </c>
      <c r="G10962" s="266">
        <v>43965.0</v>
      </c>
    </row>
    <row r="10963">
      <c r="A10963" s="217">
        <v>43965.711460543986</v>
      </c>
      <c r="B10963" s="3" t="s">
        <v>5184</v>
      </c>
      <c r="C10963" s="3" t="s">
        <v>7884</v>
      </c>
      <c r="D10963" s="3">
        <v>2.0</v>
      </c>
      <c r="E10963" s="3">
        <v>0.0</v>
      </c>
      <c r="G10963" s="266">
        <v>43965.0</v>
      </c>
    </row>
    <row r="10964">
      <c r="A10964" s="217">
        <v>43965.712487743054</v>
      </c>
      <c r="B10964" s="3" t="s">
        <v>5184</v>
      </c>
      <c r="C10964" s="3" t="s">
        <v>8786</v>
      </c>
      <c r="D10964" s="3">
        <v>1.0</v>
      </c>
      <c r="E10964" s="3">
        <v>0.0</v>
      </c>
      <c r="G10964" s="266">
        <v>43965.0</v>
      </c>
    </row>
    <row r="10965">
      <c r="A10965" s="217">
        <v>43967.44341689815</v>
      </c>
      <c r="B10965" s="3" t="s">
        <v>5184</v>
      </c>
      <c r="C10965" s="3" t="s">
        <v>11209</v>
      </c>
      <c r="D10965" s="3">
        <v>1.0</v>
      </c>
      <c r="E10965" s="3">
        <v>0.0</v>
      </c>
      <c r="G10965" s="266">
        <v>43966.0</v>
      </c>
    </row>
    <row r="10966">
      <c r="A10966" s="217">
        <v>43967.443932766204</v>
      </c>
      <c r="B10966" s="3" t="s">
        <v>5184</v>
      </c>
      <c r="C10966" s="3" t="s">
        <v>7884</v>
      </c>
      <c r="D10966" s="3">
        <v>2.0</v>
      </c>
      <c r="E10966" s="3">
        <v>0.0</v>
      </c>
      <c r="G10966" s="266">
        <v>43966.0</v>
      </c>
    </row>
    <row r="10967">
      <c r="A10967" s="217">
        <v>43967.44530876157</v>
      </c>
      <c r="B10967" s="3" t="s">
        <v>5184</v>
      </c>
      <c r="C10967" s="3" t="s">
        <v>244</v>
      </c>
      <c r="D10967" s="3">
        <v>2.0</v>
      </c>
      <c r="E10967" s="3">
        <v>0.0</v>
      </c>
      <c r="G10967" s="266">
        <v>43967.0</v>
      </c>
    </row>
    <row r="10968">
      <c r="A10968" s="217">
        <v>43967.471361793985</v>
      </c>
      <c r="B10968" s="3" t="s">
        <v>5184</v>
      </c>
      <c r="C10968" s="3" t="s">
        <v>10969</v>
      </c>
      <c r="D10968" s="3">
        <v>1.0</v>
      </c>
      <c r="E10968" s="3">
        <v>0.0</v>
      </c>
      <c r="G10968" s="266">
        <v>43967.0</v>
      </c>
    </row>
    <row r="10969">
      <c r="A10969" s="217">
        <v>43967.471831689814</v>
      </c>
      <c r="B10969" s="3" t="s">
        <v>5184</v>
      </c>
      <c r="C10969" s="3" t="s">
        <v>244</v>
      </c>
      <c r="D10969" s="3">
        <v>2.0</v>
      </c>
      <c r="E10969" s="3">
        <v>0.0</v>
      </c>
      <c r="G10969" s="266">
        <v>43967.0</v>
      </c>
    </row>
    <row r="10970">
      <c r="A10970" s="217">
        <v>43967.47405793981</v>
      </c>
      <c r="B10970" s="3" t="s">
        <v>5184</v>
      </c>
      <c r="C10970" s="3" t="s">
        <v>2576</v>
      </c>
      <c r="D10970" s="3">
        <v>1.0</v>
      </c>
      <c r="E10970" s="3">
        <v>0.0</v>
      </c>
      <c r="G10970" s="266">
        <v>43967.0</v>
      </c>
    </row>
    <row r="10971">
      <c r="A10971" s="217">
        <v>43967.4745959375</v>
      </c>
      <c r="B10971" s="3" t="s">
        <v>5184</v>
      </c>
      <c r="C10971" s="3" t="s">
        <v>284</v>
      </c>
      <c r="D10971" s="3">
        <v>2.0</v>
      </c>
      <c r="E10971" s="3">
        <v>0.0</v>
      </c>
      <c r="G10971" s="266">
        <v>43967.0</v>
      </c>
    </row>
    <row r="10972">
      <c r="A10972" s="217">
        <v>43967.54513706018</v>
      </c>
      <c r="B10972" s="3" t="s">
        <v>5184</v>
      </c>
      <c r="C10972" s="3" t="s">
        <v>9063</v>
      </c>
      <c r="D10972" s="3">
        <v>1.0</v>
      </c>
      <c r="E10972" s="3">
        <v>0.0</v>
      </c>
      <c r="G10972" s="266">
        <v>43967.0</v>
      </c>
    </row>
    <row r="10973">
      <c r="A10973" s="217">
        <v>43967.545791666664</v>
      </c>
      <c r="B10973" s="3" t="s">
        <v>5184</v>
      </c>
      <c r="C10973" s="3" t="s">
        <v>10969</v>
      </c>
      <c r="D10973" s="3">
        <v>1.0</v>
      </c>
      <c r="E10973" s="3">
        <v>0.0</v>
      </c>
      <c r="G10973" s="266">
        <v>43967.0</v>
      </c>
    </row>
    <row r="10974">
      <c r="A10974" s="217">
        <v>43967.546390069445</v>
      </c>
      <c r="B10974" s="3" t="s">
        <v>5184</v>
      </c>
      <c r="C10974" s="3" t="s">
        <v>284</v>
      </c>
      <c r="D10974" s="3">
        <v>1.0</v>
      </c>
      <c r="E10974" s="3">
        <v>0.0</v>
      </c>
      <c r="G10974" s="266">
        <v>43967.0</v>
      </c>
    </row>
    <row r="10975">
      <c r="A10975" s="217">
        <v>43967.54808641203</v>
      </c>
      <c r="B10975" s="3" t="s">
        <v>5184</v>
      </c>
      <c r="C10975" s="3" t="s">
        <v>10969</v>
      </c>
      <c r="D10975" s="3">
        <v>1.0</v>
      </c>
      <c r="E10975" s="3">
        <v>0.0</v>
      </c>
      <c r="G10975" s="266">
        <v>43967.0</v>
      </c>
    </row>
    <row r="10976">
      <c r="A10976" s="217">
        <v>43967.548554016204</v>
      </c>
      <c r="B10976" s="3" t="s">
        <v>5184</v>
      </c>
      <c r="C10976" s="3" t="s">
        <v>284</v>
      </c>
      <c r="D10976" s="3">
        <v>2.0</v>
      </c>
      <c r="E10976" s="3">
        <v>0.0</v>
      </c>
      <c r="G10976" s="266">
        <v>43967.0</v>
      </c>
    </row>
    <row r="10977">
      <c r="A10977" s="217">
        <v>43967.54914527778</v>
      </c>
      <c r="B10977" s="3" t="s">
        <v>5184</v>
      </c>
      <c r="C10977" s="3" t="s">
        <v>10969</v>
      </c>
      <c r="D10977" s="3">
        <v>1.0</v>
      </c>
      <c r="E10977" s="3">
        <v>0.0</v>
      </c>
      <c r="G10977" s="266">
        <v>43967.0</v>
      </c>
    </row>
    <row r="10978">
      <c r="A10978" s="217">
        <v>43967.549761689814</v>
      </c>
      <c r="B10978" s="3" t="s">
        <v>5184</v>
      </c>
      <c r="C10978" s="3" t="s">
        <v>244</v>
      </c>
      <c r="D10978" s="3">
        <v>2.0</v>
      </c>
      <c r="E10978" s="3">
        <v>0.0</v>
      </c>
      <c r="G10978" s="266">
        <v>43967.0</v>
      </c>
    </row>
    <row r="10979">
      <c r="A10979" s="217">
        <v>43967.5938721412</v>
      </c>
      <c r="B10979" s="3" t="s">
        <v>5184</v>
      </c>
      <c r="C10979" s="3" t="s">
        <v>11220</v>
      </c>
      <c r="D10979" s="3">
        <v>1.0</v>
      </c>
      <c r="E10979" s="3">
        <v>0.0</v>
      </c>
      <c r="G10979" s="266">
        <v>43967.0</v>
      </c>
    </row>
    <row r="10980">
      <c r="A10980" s="217">
        <v>43967.59472287037</v>
      </c>
      <c r="B10980" s="3" t="s">
        <v>5184</v>
      </c>
      <c r="C10980" s="3" t="s">
        <v>284</v>
      </c>
      <c r="D10980" s="3">
        <v>2.0</v>
      </c>
      <c r="E10980" s="3">
        <v>0.0</v>
      </c>
      <c r="G10980" s="266">
        <v>43967.0</v>
      </c>
    </row>
    <row r="10981">
      <c r="A10981" s="217">
        <v>43967.596309872686</v>
      </c>
      <c r="B10981" s="3" t="s">
        <v>5184</v>
      </c>
      <c r="C10981" s="3" t="s">
        <v>7884</v>
      </c>
      <c r="D10981" s="3">
        <v>2.0</v>
      </c>
      <c r="E10981" s="3">
        <v>0.0</v>
      </c>
      <c r="G10981" s="266">
        <v>43967.0</v>
      </c>
    </row>
    <row r="10982">
      <c r="A10982" s="217">
        <v>43967.596969826394</v>
      </c>
      <c r="B10982" s="3" t="s">
        <v>5184</v>
      </c>
      <c r="C10982" s="3" t="s">
        <v>284</v>
      </c>
      <c r="D10982" s="3">
        <v>2.0</v>
      </c>
      <c r="E10982" s="3">
        <v>0.0</v>
      </c>
      <c r="G10982" s="266">
        <v>43967.0</v>
      </c>
    </row>
    <row r="10983">
      <c r="A10983" s="217">
        <v>43967.7830287963</v>
      </c>
      <c r="B10983" s="3" t="s">
        <v>5184</v>
      </c>
      <c r="C10983" s="3" t="s">
        <v>10969</v>
      </c>
      <c r="D10983" s="3">
        <v>1.0</v>
      </c>
      <c r="E10983" s="3">
        <v>0.0</v>
      </c>
      <c r="G10983" s="266">
        <v>43967.0</v>
      </c>
    </row>
    <row r="10984">
      <c r="A10984" s="217">
        <v>43967.783421608794</v>
      </c>
      <c r="B10984" s="3" t="s">
        <v>5184</v>
      </c>
      <c r="C10984" s="3" t="s">
        <v>284</v>
      </c>
      <c r="D10984" s="3">
        <v>2.0</v>
      </c>
      <c r="E10984" s="3">
        <v>0.0</v>
      </c>
      <c r="G10984" s="266">
        <v>43967.0</v>
      </c>
    </row>
    <row r="10985">
      <c r="A10985" s="217">
        <v>43967.78462939815</v>
      </c>
      <c r="B10985" s="3" t="s">
        <v>5184</v>
      </c>
      <c r="C10985" s="3" t="s">
        <v>2432</v>
      </c>
      <c r="D10985" s="3">
        <v>1.0</v>
      </c>
      <c r="E10985" s="3">
        <v>0.0</v>
      </c>
      <c r="G10985" s="266">
        <v>43967.0</v>
      </c>
    </row>
    <row r="10986">
      <c r="A10986" s="217">
        <v>43967.78507304398</v>
      </c>
      <c r="B10986" s="3" t="s">
        <v>5184</v>
      </c>
      <c r="C10986" s="3" t="s">
        <v>244</v>
      </c>
      <c r="D10986" s="3">
        <v>2.0</v>
      </c>
      <c r="E10986" s="3">
        <v>0.0</v>
      </c>
      <c r="G10986" s="266">
        <v>43967.0</v>
      </c>
    </row>
    <row r="10987">
      <c r="A10987" s="217">
        <v>43968.46022684028</v>
      </c>
      <c r="B10987" s="3" t="s">
        <v>5184</v>
      </c>
      <c r="C10987" s="3" t="s">
        <v>9221</v>
      </c>
      <c r="D10987" s="3">
        <v>1.0</v>
      </c>
      <c r="E10987" s="3">
        <v>0.0</v>
      </c>
      <c r="G10987" s="266">
        <v>43968.0</v>
      </c>
    </row>
    <row r="10988">
      <c r="A10988" s="217">
        <v>43968.46075971065</v>
      </c>
      <c r="B10988" s="3" t="s">
        <v>5184</v>
      </c>
      <c r="C10988" s="3" t="s">
        <v>9517</v>
      </c>
      <c r="D10988" s="3">
        <v>2.0</v>
      </c>
      <c r="E10988" s="3">
        <v>0.0</v>
      </c>
      <c r="G10988" s="266">
        <v>43968.0</v>
      </c>
    </row>
    <row r="10989">
      <c r="A10989" s="217">
        <v>43968.4613861574</v>
      </c>
      <c r="B10989" s="3" t="s">
        <v>5184</v>
      </c>
      <c r="C10989" s="3" t="s">
        <v>11227</v>
      </c>
      <c r="D10989" s="3">
        <v>1.0</v>
      </c>
      <c r="E10989" s="3">
        <v>0.0</v>
      </c>
      <c r="G10989" s="266">
        <v>43968.0</v>
      </c>
    </row>
    <row r="10990">
      <c r="A10990" s="217">
        <v>43968.46192541667</v>
      </c>
      <c r="B10990" s="3" t="s">
        <v>5184</v>
      </c>
      <c r="C10990" s="3" t="s">
        <v>7884</v>
      </c>
      <c r="D10990" s="3">
        <v>2.0</v>
      </c>
      <c r="E10990" s="3">
        <v>0.0</v>
      </c>
      <c r="G10990" s="266">
        <v>43968.0</v>
      </c>
    </row>
    <row r="10991">
      <c r="A10991" s="217">
        <v>43968.49659971065</v>
      </c>
      <c r="B10991" s="3" t="s">
        <v>5184</v>
      </c>
      <c r="C10991" s="3" t="s">
        <v>7427</v>
      </c>
      <c r="D10991" s="3">
        <v>2.0</v>
      </c>
      <c r="E10991" s="3">
        <v>0.0</v>
      </c>
      <c r="G10991" s="266">
        <v>43968.0</v>
      </c>
    </row>
    <row r="10992">
      <c r="A10992" s="217">
        <v>43968.49741240741</v>
      </c>
      <c r="B10992" s="3" t="s">
        <v>5184</v>
      </c>
      <c r="C10992" s="3" t="s">
        <v>244</v>
      </c>
      <c r="D10992" s="3" t="s">
        <v>7547</v>
      </c>
      <c r="E10992" s="3">
        <v>0.0</v>
      </c>
      <c r="G10992" s="266">
        <v>43968.0</v>
      </c>
    </row>
    <row r="10993">
      <c r="A10993" s="217">
        <v>43968.508394930555</v>
      </c>
      <c r="B10993" s="3" t="s">
        <v>5184</v>
      </c>
      <c r="C10993" s="3" t="s">
        <v>7806</v>
      </c>
      <c r="D10993" s="3">
        <v>2.0</v>
      </c>
      <c r="E10993" s="3">
        <v>0.0</v>
      </c>
      <c r="G10993" s="266">
        <v>43968.0</v>
      </c>
    </row>
    <row r="10994">
      <c r="A10994" s="217">
        <v>43968.595336666665</v>
      </c>
      <c r="B10994" s="3" t="s">
        <v>5184</v>
      </c>
      <c r="C10994" s="3" t="s">
        <v>7884</v>
      </c>
      <c r="D10994" s="3">
        <v>2.0</v>
      </c>
      <c r="E10994" s="3">
        <v>0.0</v>
      </c>
      <c r="G10994" s="266">
        <v>43968.0</v>
      </c>
    </row>
    <row r="10995">
      <c r="A10995" s="217">
        <v>43969.50815060185</v>
      </c>
      <c r="B10995" s="3" t="s">
        <v>5184</v>
      </c>
      <c r="C10995" s="3" t="s">
        <v>11231</v>
      </c>
      <c r="D10995" s="3">
        <v>1.0</v>
      </c>
      <c r="E10995" s="3">
        <v>0.0</v>
      </c>
      <c r="G10995" s="266">
        <v>43969.0</v>
      </c>
    </row>
    <row r="10996">
      <c r="A10996" s="217">
        <v>43969.50971513889</v>
      </c>
      <c r="B10996" s="3" t="s">
        <v>5184</v>
      </c>
      <c r="C10996" s="3" t="s">
        <v>9051</v>
      </c>
      <c r="D10996" s="3">
        <v>1.0</v>
      </c>
      <c r="E10996" s="3">
        <v>0.0</v>
      </c>
      <c r="G10996" s="266">
        <v>43969.0</v>
      </c>
    </row>
    <row r="10997">
      <c r="A10997" s="217">
        <v>43969.51010940972</v>
      </c>
      <c r="B10997" s="3" t="s">
        <v>5184</v>
      </c>
      <c r="C10997" s="3" t="s">
        <v>284</v>
      </c>
      <c r="D10997" s="3">
        <v>2.0</v>
      </c>
      <c r="E10997" s="3">
        <v>0.0</v>
      </c>
      <c r="G10997" s="266">
        <v>43969.0</v>
      </c>
    </row>
    <row r="10998">
      <c r="A10998" s="217">
        <v>43969.513540740736</v>
      </c>
      <c r="B10998" s="3" t="s">
        <v>5184</v>
      </c>
      <c r="C10998" s="3" t="s">
        <v>7820</v>
      </c>
      <c r="D10998" s="3">
        <v>2.0</v>
      </c>
      <c r="E10998" s="3">
        <v>0.0</v>
      </c>
      <c r="G10998" s="266">
        <v>43969.0</v>
      </c>
    </row>
    <row r="10999">
      <c r="A10999" s="217">
        <v>43969.5154862037</v>
      </c>
      <c r="B10999" s="3" t="s">
        <v>5184</v>
      </c>
      <c r="C10999" s="3" t="s">
        <v>11235</v>
      </c>
      <c r="D10999" s="3">
        <v>1.0</v>
      </c>
      <c r="E10999" s="3">
        <v>0.0</v>
      </c>
      <c r="G10999" s="266">
        <v>43969.0</v>
      </c>
    </row>
    <row r="11000">
      <c r="A11000" s="217">
        <v>43969.51580608796</v>
      </c>
      <c r="B11000" s="3" t="s">
        <v>5184</v>
      </c>
      <c r="C11000" s="3" t="s">
        <v>284</v>
      </c>
      <c r="D11000" s="3">
        <v>2.0</v>
      </c>
      <c r="E11000" s="3">
        <v>0.0</v>
      </c>
      <c r="G11000" s="266">
        <v>43969.0</v>
      </c>
    </row>
    <row r="11001">
      <c r="A11001" s="217">
        <v>43969.51803260417</v>
      </c>
      <c r="B11001" s="3" t="s">
        <v>5184</v>
      </c>
      <c r="C11001" s="3" t="s">
        <v>244</v>
      </c>
      <c r="D11001" s="3">
        <v>2.0</v>
      </c>
      <c r="E11001" s="3">
        <v>0.0</v>
      </c>
      <c r="G11001" s="266">
        <v>43969.0</v>
      </c>
    </row>
    <row r="11002">
      <c r="A11002" s="217">
        <v>43969.52580634259</v>
      </c>
      <c r="B11002" s="3" t="s">
        <v>5184</v>
      </c>
      <c r="C11002" s="3" t="s">
        <v>10969</v>
      </c>
      <c r="D11002" s="3">
        <v>1.0</v>
      </c>
      <c r="E11002" s="3">
        <v>0.0</v>
      </c>
      <c r="G11002" s="266">
        <v>43963.0</v>
      </c>
    </row>
    <row r="11003">
      <c r="A11003" s="217">
        <v>43969.52619337963</v>
      </c>
      <c r="B11003" s="3" t="s">
        <v>5184</v>
      </c>
      <c r="C11003" s="3" t="s">
        <v>244</v>
      </c>
      <c r="D11003" s="3">
        <v>2.0</v>
      </c>
      <c r="E11003" s="3">
        <v>0.0</v>
      </c>
      <c r="G11003" s="266">
        <v>43969.0</v>
      </c>
    </row>
    <row r="11004">
      <c r="A11004" s="217">
        <v>43969.527969953706</v>
      </c>
      <c r="B11004" s="3" t="s">
        <v>5184</v>
      </c>
      <c r="C11004" s="3" t="s">
        <v>11239</v>
      </c>
      <c r="D11004" s="3">
        <v>1.0</v>
      </c>
      <c r="E11004" s="3">
        <v>0.0</v>
      </c>
      <c r="G11004" s="266">
        <v>43968.0</v>
      </c>
    </row>
    <row r="11005">
      <c r="A11005" s="217">
        <v>43969.528534212965</v>
      </c>
      <c r="B11005" s="3" t="s">
        <v>5184</v>
      </c>
      <c r="C11005" s="3" t="s">
        <v>7884</v>
      </c>
      <c r="D11005" s="3">
        <v>2.0</v>
      </c>
      <c r="E11005" s="3">
        <v>0.0</v>
      </c>
      <c r="G11005" s="266">
        <v>43968.0</v>
      </c>
    </row>
    <row r="11006">
      <c r="A11006" s="217">
        <v>43969.529511851855</v>
      </c>
      <c r="B11006" s="3" t="s">
        <v>5184</v>
      </c>
      <c r="C11006" s="3" t="s">
        <v>11242</v>
      </c>
      <c r="D11006" s="3">
        <v>1.0</v>
      </c>
      <c r="E11006" s="3">
        <v>0.0</v>
      </c>
      <c r="G11006" s="266">
        <v>43968.0</v>
      </c>
    </row>
    <row r="11007">
      <c r="A11007" s="217">
        <v>43969.53002980324</v>
      </c>
      <c r="B11007" s="3" t="s">
        <v>5184</v>
      </c>
      <c r="C11007" s="3" t="s">
        <v>7884</v>
      </c>
      <c r="D11007" s="3">
        <v>2.0</v>
      </c>
      <c r="E11007" s="3">
        <v>0.0</v>
      </c>
      <c r="G11007" s="266">
        <v>43968.0</v>
      </c>
    </row>
    <row r="11008">
      <c r="A11008" s="217">
        <v>43969.66368131945</v>
      </c>
      <c r="B11008" s="3" t="s">
        <v>5184</v>
      </c>
      <c r="C11008" s="3" t="s">
        <v>10969</v>
      </c>
      <c r="D11008" s="3">
        <v>1.0</v>
      </c>
      <c r="E11008" s="3">
        <v>0.0</v>
      </c>
      <c r="G11008" s="266">
        <v>43969.0</v>
      </c>
    </row>
    <row r="11009">
      <c r="A11009" s="217">
        <v>43970.53768925926</v>
      </c>
      <c r="B11009" s="3" t="s">
        <v>5184</v>
      </c>
      <c r="C11009" s="3" t="s">
        <v>7884</v>
      </c>
      <c r="D11009" s="3">
        <v>2.0</v>
      </c>
      <c r="E11009" s="3">
        <v>0.0</v>
      </c>
      <c r="G11009" s="266">
        <v>43969.0</v>
      </c>
    </row>
    <row r="11010">
      <c r="A11010" s="217">
        <v>43970.53912335648</v>
      </c>
      <c r="B11010" s="3" t="s">
        <v>5184</v>
      </c>
      <c r="C11010" s="3" t="s">
        <v>9063</v>
      </c>
      <c r="D11010" s="3">
        <v>1.0</v>
      </c>
      <c r="E11010" s="3">
        <v>0.0</v>
      </c>
      <c r="G11010" s="266">
        <v>43969.0</v>
      </c>
    </row>
    <row r="11011">
      <c r="A11011" s="217">
        <v>43970.53959259259</v>
      </c>
      <c r="B11011" s="3" t="s">
        <v>5184</v>
      </c>
      <c r="C11011" s="3" t="s">
        <v>7884</v>
      </c>
      <c r="D11011" s="3">
        <v>2.0</v>
      </c>
      <c r="E11011" s="3">
        <v>0.0</v>
      </c>
      <c r="G11011" s="266">
        <v>43969.0</v>
      </c>
    </row>
    <row r="11012">
      <c r="A11012" s="217">
        <v>43970.54053543981</v>
      </c>
      <c r="B11012" s="3" t="s">
        <v>5184</v>
      </c>
      <c r="C11012" s="3" t="s">
        <v>11009</v>
      </c>
      <c r="D11012" s="3">
        <v>1.0</v>
      </c>
      <c r="E11012" s="3">
        <v>0.0</v>
      </c>
      <c r="G11012" s="266">
        <v>43970.0</v>
      </c>
    </row>
    <row r="11013">
      <c r="A11013" s="217">
        <v>43970.541077800925</v>
      </c>
      <c r="B11013" s="3" t="s">
        <v>5184</v>
      </c>
      <c r="C11013" s="3" t="s">
        <v>284</v>
      </c>
      <c r="D11013" s="3">
        <v>2.0</v>
      </c>
      <c r="E11013" s="3">
        <v>0.0</v>
      </c>
      <c r="G11013" s="266">
        <v>43970.0</v>
      </c>
    </row>
    <row r="11014">
      <c r="A11014" s="217">
        <v>43970.543752199075</v>
      </c>
      <c r="B11014" s="3" t="s">
        <v>5184</v>
      </c>
      <c r="C11014" s="3" t="s">
        <v>244</v>
      </c>
      <c r="D11014" s="3">
        <v>2.0</v>
      </c>
      <c r="E11014" s="3">
        <v>0.0</v>
      </c>
      <c r="G11014" s="266">
        <v>43970.0</v>
      </c>
    </row>
    <row r="11015">
      <c r="A11015" s="217">
        <v>43970.54451408565</v>
      </c>
      <c r="B11015" s="3" t="s">
        <v>5184</v>
      </c>
      <c r="C11015" s="3" t="s">
        <v>7884</v>
      </c>
      <c r="D11015" s="3">
        <v>2.0</v>
      </c>
      <c r="E11015" s="3">
        <v>0.0</v>
      </c>
      <c r="G11015" s="266">
        <v>43970.0</v>
      </c>
    </row>
    <row r="11016">
      <c r="A11016" s="217">
        <v>43970.54569380787</v>
      </c>
      <c r="B11016" s="3" t="s">
        <v>5184</v>
      </c>
      <c r="C11016" s="3" t="s">
        <v>9150</v>
      </c>
      <c r="D11016" s="3">
        <v>1.0</v>
      </c>
      <c r="E11016" s="3">
        <v>0.0</v>
      </c>
      <c r="G11016" s="266">
        <v>43970.0</v>
      </c>
    </row>
    <row r="11017">
      <c r="A11017" s="217">
        <v>43970.54609739583</v>
      </c>
      <c r="B11017" s="3" t="s">
        <v>5184</v>
      </c>
      <c r="C11017" s="3" t="s">
        <v>244</v>
      </c>
      <c r="D11017" s="3">
        <v>2.0</v>
      </c>
      <c r="E11017" s="3">
        <v>0.0</v>
      </c>
      <c r="G11017" s="266">
        <v>43970.0</v>
      </c>
    </row>
    <row r="11018">
      <c r="A11018" s="217">
        <v>43970.546963217595</v>
      </c>
      <c r="B11018" s="3" t="s">
        <v>5184</v>
      </c>
      <c r="C11018" s="3" t="s">
        <v>10955</v>
      </c>
      <c r="D11018" s="3">
        <v>1.0</v>
      </c>
      <c r="E11018" s="3">
        <v>0.0</v>
      </c>
      <c r="G11018" s="266">
        <v>43970.0</v>
      </c>
    </row>
    <row r="11019">
      <c r="A11019" s="217">
        <v>43970.5475608912</v>
      </c>
      <c r="B11019" s="3" t="s">
        <v>5184</v>
      </c>
      <c r="C11019" s="3" t="s">
        <v>284</v>
      </c>
      <c r="D11019" s="3">
        <v>2.0</v>
      </c>
      <c r="E11019" s="3">
        <v>0.0</v>
      </c>
      <c r="G11019" s="266">
        <v>43970.0</v>
      </c>
    </row>
    <row r="11020">
      <c r="A11020" s="217">
        <v>43970.55068248842</v>
      </c>
      <c r="B11020" s="3" t="s">
        <v>5184</v>
      </c>
      <c r="C11020" s="3" t="s">
        <v>7884</v>
      </c>
      <c r="D11020" s="3">
        <v>2.0</v>
      </c>
      <c r="E11020" s="3">
        <v>0.0</v>
      </c>
      <c r="G11020" s="266">
        <v>43970.0</v>
      </c>
    </row>
    <row r="11021">
      <c r="A11021" s="217">
        <v>43970.55321189815</v>
      </c>
      <c r="B11021" s="3" t="s">
        <v>5184</v>
      </c>
      <c r="C11021" s="3" t="s">
        <v>10969</v>
      </c>
      <c r="D11021" s="3">
        <v>1.0</v>
      </c>
      <c r="E11021" s="3">
        <v>0.0</v>
      </c>
      <c r="G11021" s="266">
        <v>43970.0</v>
      </c>
    </row>
    <row r="11022">
      <c r="A11022" s="217">
        <v>43970.5537769213</v>
      </c>
      <c r="B11022" s="3" t="s">
        <v>5184</v>
      </c>
      <c r="C11022" s="3" t="s">
        <v>7884</v>
      </c>
      <c r="D11022" s="3">
        <v>2.0</v>
      </c>
      <c r="E11022" s="3">
        <v>0.0</v>
      </c>
      <c r="G11022" s="266">
        <v>43970.0</v>
      </c>
    </row>
    <row r="11023">
      <c r="A11023" s="217">
        <v>43970.55455361111</v>
      </c>
      <c r="B11023" s="3" t="s">
        <v>5184</v>
      </c>
      <c r="C11023" s="3" t="s">
        <v>11254</v>
      </c>
      <c r="D11023" s="3">
        <v>1.0</v>
      </c>
      <c r="E11023" s="3">
        <v>0.0</v>
      </c>
      <c r="G11023" s="266">
        <v>43970.0</v>
      </c>
    </row>
    <row r="11024">
      <c r="A11024" s="217">
        <v>43970.555069953705</v>
      </c>
      <c r="B11024" s="3" t="s">
        <v>5184</v>
      </c>
      <c r="C11024" s="3" t="s">
        <v>9517</v>
      </c>
      <c r="D11024" s="3">
        <v>2.0</v>
      </c>
      <c r="E11024" s="3">
        <v>0.0</v>
      </c>
      <c r="G11024" s="266">
        <v>43970.0</v>
      </c>
    </row>
    <row r="11025">
      <c r="A11025" s="217">
        <v>43970.60795104167</v>
      </c>
      <c r="B11025" s="3" t="s">
        <v>5184</v>
      </c>
      <c r="C11025" s="3" t="s">
        <v>11257</v>
      </c>
      <c r="D11025" s="3">
        <v>2.0</v>
      </c>
      <c r="E11025" s="3">
        <v>0.0</v>
      </c>
      <c r="G11025" s="266">
        <v>43970.0</v>
      </c>
    </row>
    <row r="11026">
      <c r="A11026" s="217">
        <v>43970.69903737269</v>
      </c>
      <c r="B11026" s="3" t="s">
        <v>5184</v>
      </c>
      <c r="C11026" s="3" t="s">
        <v>11009</v>
      </c>
      <c r="D11026" s="3">
        <v>1.0</v>
      </c>
      <c r="E11026" s="3">
        <v>0.0</v>
      </c>
      <c r="G11026" s="266">
        <v>43970.0</v>
      </c>
    </row>
    <row r="11027">
      <c r="A11027" s="217">
        <v>43970.69968185185</v>
      </c>
      <c r="B11027" s="3" t="s">
        <v>5184</v>
      </c>
      <c r="C11027" s="3" t="s">
        <v>284</v>
      </c>
      <c r="D11027" s="3">
        <v>2.0</v>
      </c>
      <c r="E11027" s="3">
        <v>0.0</v>
      </c>
      <c r="G11027" s="266">
        <v>43970.0</v>
      </c>
    </row>
    <row r="11028">
      <c r="A11028" s="217">
        <v>43970.735709872686</v>
      </c>
      <c r="B11028" s="3" t="s">
        <v>5184</v>
      </c>
      <c r="C11028" s="3" t="s">
        <v>9063</v>
      </c>
      <c r="D11028" s="3">
        <v>1.0</v>
      </c>
      <c r="E11028" s="3">
        <v>0.0</v>
      </c>
      <c r="G11028" s="266">
        <v>43970.0</v>
      </c>
    </row>
    <row r="11029">
      <c r="A11029" s="217">
        <v>43970.73631554398</v>
      </c>
      <c r="B11029" s="3" t="s">
        <v>5184</v>
      </c>
      <c r="C11029" s="3" t="s">
        <v>7806</v>
      </c>
      <c r="D11029" s="3">
        <v>2.0</v>
      </c>
      <c r="E11029" s="3">
        <v>0.0</v>
      </c>
      <c r="G11029" s="266">
        <v>43970.0</v>
      </c>
    </row>
    <row r="11030">
      <c r="A11030" s="217">
        <v>43970.760203240745</v>
      </c>
      <c r="B11030" s="3" t="s">
        <v>5184</v>
      </c>
      <c r="C11030" s="3" t="s">
        <v>2432</v>
      </c>
      <c r="D11030" s="3">
        <v>1.0</v>
      </c>
      <c r="E11030" s="3">
        <v>0.0</v>
      </c>
      <c r="G11030" s="266">
        <v>43970.0</v>
      </c>
    </row>
    <row r="11031">
      <c r="A11031" s="217">
        <v>43970.76091096065</v>
      </c>
      <c r="B11031" s="3" t="s">
        <v>5184</v>
      </c>
      <c r="C11031" s="3" t="s">
        <v>7884</v>
      </c>
      <c r="D11031" s="3">
        <v>2.0</v>
      </c>
      <c r="E11031" s="3">
        <v>0.0</v>
      </c>
      <c r="G11031" s="266">
        <v>43970.0</v>
      </c>
    </row>
    <row r="11032">
      <c r="A11032" s="217">
        <v>43970.76266150463</v>
      </c>
      <c r="B11032" s="3" t="s">
        <v>5184</v>
      </c>
      <c r="C11032" s="3" t="s">
        <v>2432</v>
      </c>
      <c r="D11032" s="3">
        <v>1.0</v>
      </c>
      <c r="E11032" s="3">
        <v>0.0</v>
      </c>
      <c r="G11032" s="266">
        <v>43970.0</v>
      </c>
    </row>
    <row r="11033">
      <c r="B11033" s="24"/>
      <c r="C11033" s="24"/>
      <c r="D11033" s="214"/>
      <c r="E11033" s="24"/>
      <c r="G11033" s="24"/>
      <c r="DN11033" s="3"/>
    </row>
    <row r="11034">
      <c r="B11034" s="24"/>
      <c r="C11034" s="24"/>
      <c r="D11034" s="214"/>
      <c r="E11034" s="24"/>
      <c r="G11034" s="24"/>
    </row>
    <row r="11035">
      <c r="B11035" s="24"/>
      <c r="C11035" s="24"/>
      <c r="D11035" s="214"/>
      <c r="E11035" s="24"/>
      <c r="G11035" s="24"/>
    </row>
    <row r="11036">
      <c r="B11036" s="24"/>
      <c r="C11036" s="24"/>
      <c r="D11036" s="214"/>
      <c r="E11036" s="24"/>
      <c r="G11036" s="24"/>
    </row>
    <row r="11037">
      <c r="B11037" s="24"/>
      <c r="C11037" s="24"/>
      <c r="D11037" s="214"/>
      <c r="E11037" s="24"/>
      <c r="G11037" s="24"/>
    </row>
    <row r="11038">
      <c r="B11038" s="24"/>
      <c r="C11038" s="24"/>
      <c r="D11038" s="214"/>
      <c r="E11038" s="24"/>
      <c r="G11038" s="24"/>
    </row>
    <row r="11039">
      <c r="B11039" s="24"/>
      <c r="C11039" s="24"/>
      <c r="D11039" s="214"/>
      <c r="E11039" s="24"/>
      <c r="G11039" s="24"/>
    </row>
    <row r="11040">
      <c r="B11040" s="24"/>
      <c r="C11040" s="24"/>
      <c r="D11040" s="214"/>
      <c r="E11040" s="24"/>
      <c r="G11040" s="24"/>
    </row>
    <row r="11041">
      <c r="B11041" s="24"/>
      <c r="C11041" s="24"/>
      <c r="D11041" s="214"/>
      <c r="E11041" s="24"/>
      <c r="G11041" s="24"/>
    </row>
    <row r="11042">
      <c r="B11042" s="24"/>
      <c r="C11042" s="24"/>
      <c r="D11042" s="214"/>
      <c r="E11042" s="24"/>
      <c r="G11042" s="24"/>
    </row>
    <row r="11043">
      <c r="B11043" s="24"/>
      <c r="C11043" s="24"/>
      <c r="D11043" s="214"/>
      <c r="E11043" s="24"/>
      <c r="G11043" s="24"/>
    </row>
    <row r="11044">
      <c r="B11044" s="24"/>
      <c r="C11044" s="24"/>
      <c r="D11044" s="214"/>
      <c r="E11044" s="24"/>
      <c r="G11044" s="24"/>
    </row>
    <row r="11045">
      <c r="B11045" s="24"/>
      <c r="C11045" s="24"/>
      <c r="D11045" s="214"/>
      <c r="E11045" s="24"/>
      <c r="G11045" s="24"/>
    </row>
    <row r="11046">
      <c r="B11046" s="24"/>
      <c r="C11046" s="24"/>
      <c r="D11046" s="214"/>
      <c r="E11046" s="24"/>
      <c r="G11046" s="24"/>
    </row>
    <row r="11047">
      <c r="B11047" s="24"/>
      <c r="C11047" s="24"/>
      <c r="D11047" s="214"/>
      <c r="E11047" s="24"/>
      <c r="G11047" s="24"/>
    </row>
    <row r="11048">
      <c r="B11048" s="24"/>
      <c r="C11048" s="24"/>
      <c r="D11048" s="214"/>
      <c r="E11048" s="24"/>
      <c r="G11048" s="24"/>
    </row>
    <row r="11049">
      <c r="B11049" s="24"/>
      <c r="C11049" s="24"/>
      <c r="D11049" s="214"/>
      <c r="E11049" s="24"/>
      <c r="G11049" s="24"/>
    </row>
    <row r="11050">
      <c r="B11050" s="24"/>
      <c r="C11050" s="24"/>
      <c r="D11050" s="214"/>
      <c r="E11050" s="24"/>
      <c r="G11050" s="24"/>
    </row>
    <row r="11051">
      <c r="B11051" s="24"/>
      <c r="C11051" s="24"/>
      <c r="D11051" s="214"/>
      <c r="E11051" s="24"/>
      <c r="G11051" s="24"/>
    </row>
    <row r="11052">
      <c r="B11052" s="24"/>
      <c r="C11052" s="24"/>
      <c r="D11052" s="214"/>
      <c r="E11052" s="24"/>
      <c r="G11052" s="24"/>
    </row>
    <row r="11053">
      <c r="B11053" s="24"/>
      <c r="C11053" s="24"/>
      <c r="D11053" s="214"/>
      <c r="E11053" s="24"/>
      <c r="G11053" s="24"/>
    </row>
    <row r="11054">
      <c r="B11054" s="24"/>
      <c r="C11054" s="24"/>
      <c r="D11054" s="214"/>
      <c r="E11054" s="24"/>
      <c r="G11054" s="24"/>
    </row>
    <row r="11055">
      <c r="B11055" s="24"/>
      <c r="C11055" s="24"/>
      <c r="D11055" s="214"/>
      <c r="E11055" s="24"/>
      <c r="G11055" s="24"/>
    </row>
    <row r="11056">
      <c r="B11056" s="24"/>
      <c r="C11056" s="24"/>
      <c r="D11056" s="214"/>
      <c r="E11056" s="24"/>
      <c r="G11056" s="24"/>
    </row>
    <row r="11057">
      <c r="B11057" s="24"/>
      <c r="C11057" s="24"/>
      <c r="D11057" s="214"/>
      <c r="E11057" s="24"/>
      <c r="G11057" s="24"/>
    </row>
    <row r="11058">
      <c r="B11058" s="24"/>
      <c r="C11058" s="24"/>
      <c r="D11058" s="214"/>
      <c r="E11058" s="24"/>
      <c r="G11058" s="24"/>
    </row>
    <row r="11059">
      <c r="B11059" s="24"/>
      <c r="C11059" s="24"/>
      <c r="D11059" s="214"/>
      <c r="E11059" s="24"/>
      <c r="G11059" s="24"/>
    </row>
    <row r="11060">
      <c r="B11060" s="24"/>
      <c r="C11060" s="24"/>
      <c r="D11060" s="214"/>
      <c r="E11060" s="24"/>
      <c r="G11060" s="24"/>
    </row>
    <row r="11061">
      <c r="B11061" s="24"/>
      <c r="C11061" s="24"/>
      <c r="D11061" s="214"/>
      <c r="E11061" s="24"/>
      <c r="G11061" s="24"/>
    </row>
    <row r="11062">
      <c r="B11062" s="24"/>
      <c r="C11062" s="24"/>
      <c r="D11062" s="214"/>
      <c r="E11062" s="24"/>
      <c r="G11062" s="24"/>
    </row>
    <row r="11063">
      <c r="B11063" s="24"/>
      <c r="C11063" s="24"/>
      <c r="D11063" s="214"/>
      <c r="E11063" s="24"/>
      <c r="G11063" s="24"/>
    </row>
    <row r="11064">
      <c r="B11064" s="24"/>
      <c r="C11064" s="24"/>
      <c r="D11064" s="214"/>
      <c r="E11064" s="24"/>
      <c r="G11064" s="24"/>
    </row>
    <row r="11065">
      <c r="B11065" s="24"/>
      <c r="C11065" s="24"/>
      <c r="D11065" s="214"/>
      <c r="E11065" s="24"/>
      <c r="G11065" s="24"/>
    </row>
    <row r="11066">
      <c r="B11066" s="24"/>
      <c r="C11066" s="24"/>
      <c r="D11066" s="214"/>
      <c r="E11066" s="24"/>
      <c r="G11066" s="24"/>
    </row>
    <row r="11067">
      <c r="B11067" s="24"/>
      <c r="C11067" s="24"/>
      <c r="D11067" s="214"/>
      <c r="E11067" s="24"/>
      <c r="G11067" s="24"/>
    </row>
    <row r="11068">
      <c r="B11068" s="24"/>
      <c r="C11068" s="24"/>
      <c r="D11068" s="214"/>
      <c r="E11068" s="24"/>
      <c r="G11068" s="24"/>
    </row>
    <row r="11069">
      <c r="B11069" s="24"/>
      <c r="C11069" s="24"/>
      <c r="D11069" s="214"/>
      <c r="E11069" s="24"/>
      <c r="G11069" s="24"/>
    </row>
    <row r="11070">
      <c r="B11070" s="24"/>
      <c r="C11070" s="24"/>
      <c r="D11070" s="214"/>
      <c r="E11070" s="24"/>
      <c r="G11070" s="24"/>
    </row>
    <row r="11071">
      <c r="B11071" s="24"/>
      <c r="C11071" s="24"/>
      <c r="D11071" s="214"/>
      <c r="E11071" s="24"/>
      <c r="G11071" s="24"/>
    </row>
    <row r="11072">
      <c r="B11072" s="24"/>
      <c r="C11072" s="24"/>
      <c r="D11072" s="214"/>
      <c r="E11072" s="24"/>
      <c r="G11072" s="24"/>
    </row>
    <row r="11073">
      <c r="B11073" s="24"/>
      <c r="C11073" s="24"/>
      <c r="D11073" s="214"/>
      <c r="E11073" s="24"/>
      <c r="G11073" s="24"/>
    </row>
    <row r="11074">
      <c r="B11074" s="24"/>
      <c r="C11074" s="24"/>
      <c r="D11074" s="214"/>
      <c r="E11074" s="24"/>
      <c r="G11074" s="24"/>
    </row>
    <row r="11075">
      <c r="B11075" s="24"/>
      <c r="C11075" s="24"/>
      <c r="D11075" s="214"/>
      <c r="E11075" s="24"/>
      <c r="G11075" s="24"/>
    </row>
    <row r="11076">
      <c r="B11076" s="24"/>
      <c r="C11076" s="24"/>
      <c r="D11076" s="214"/>
      <c r="E11076" s="24"/>
      <c r="G11076" s="24"/>
    </row>
    <row r="11077">
      <c r="B11077" s="24"/>
      <c r="C11077" s="24"/>
      <c r="D11077" s="214"/>
      <c r="E11077" s="24"/>
      <c r="G11077" s="24"/>
    </row>
    <row r="11078">
      <c r="B11078" s="24"/>
      <c r="C11078" s="24"/>
      <c r="D11078" s="214"/>
      <c r="E11078" s="24"/>
      <c r="G11078" s="24"/>
    </row>
    <row r="11079">
      <c r="B11079" s="24"/>
      <c r="C11079" s="24"/>
      <c r="D11079" s="214"/>
      <c r="E11079" s="24"/>
      <c r="G11079" s="24"/>
    </row>
    <row r="11080">
      <c r="B11080" s="24"/>
      <c r="C11080" s="24"/>
      <c r="D11080" s="214"/>
      <c r="E11080" s="24"/>
      <c r="G11080" s="24"/>
    </row>
    <row r="11081">
      <c r="B11081" s="24"/>
      <c r="C11081" s="24"/>
      <c r="D11081" s="214"/>
      <c r="E11081" s="24"/>
      <c r="G11081" s="24"/>
    </row>
    <row r="11082">
      <c r="B11082" s="24"/>
      <c r="C11082" s="24"/>
      <c r="D11082" s="214"/>
      <c r="E11082" s="24"/>
      <c r="G11082" s="24"/>
    </row>
    <row r="11083">
      <c r="B11083" s="24"/>
      <c r="C11083" s="24"/>
      <c r="D11083" s="214"/>
      <c r="E11083" s="24"/>
      <c r="G11083" s="24"/>
    </row>
    <row r="11084">
      <c r="B11084" s="24"/>
      <c r="C11084" s="24"/>
      <c r="D11084" s="214"/>
      <c r="E11084" s="24"/>
      <c r="G11084" s="24"/>
    </row>
    <row r="11085">
      <c r="B11085" s="24"/>
      <c r="C11085" s="24"/>
      <c r="D11085" s="214"/>
      <c r="E11085" s="24"/>
      <c r="G11085" s="24"/>
    </row>
    <row r="11086">
      <c r="B11086" s="24"/>
      <c r="C11086" s="24"/>
      <c r="D11086" s="214"/>
      <c r="E11086" s="24"/>
      <c r="G11086" s="24"/>
    </row>
    <row r="11087">
      <c r="B11087" s="24"/>
      <c r="C11087" s="24"/>
      <c r="D11087" s="214"/>
      <c r="E11087" s="24"/>
      <c r="G11087" s="24"/>
    </row>
    <row r="11088">
      <c r="B11088" s="24"/>
      <c r="C11088" s="24"/>
      <c r="D11088" s="214"/>
      <c r="E11088" s="24"/>
      <c r="G11088" s="24"/>
    </row>
    <row r="11089">
      <c r="B11089" s="24"/>
      <c r="C11089" s="24"/>
      <c r="D11089" s="214"/>
      <c r="E11089" s="24"/>
      <c r="G11089" s="24"/>
    </row>
    <row r="11090">
      <c r="B11090" s="24"/>
      <c r="C11090" s="24"/>
      <c r="D11090" s="214"/>
      <c r="E11090" s="24"/>
      <c r="G11090" s="24"/>
    </row>
    <row r="11091">
      <c r="B11091" s="24"/>
      <c r="C11091" s="24"/>
      <c r="D11091" s="214"/>
      <c r="E11091" s="24"/>
      <c r="G11091" s="24"/>
    </row>
    <row r="11092">
      <c r="B11092" s="24"/>
      <c r="C11092" s="24"/>
      <c r="D11092" s="214"/>
      <c r="E11092" s="24"/>
      <c r="G11092" s="24"/>
    </row>
    <row r="11093">
      <c r="B11093" s="24"/>
      <c r="C11093" s="24"/>
      <c r="D11093" s="214"/>
      <c r="E11093" s="24"/>
      <c r="G11093" s="24"/>
    </row>
    <row r="11094">
      <c r="B11094" s="24"/>
      <c r="C11094" s="24"/>
      <c r="D11094" s="214"/>
      <c r="E11094" s="24"/>
      <c r="G11094" s="24"/>
    </row>
    <row r="11095">
      <c r="B11095" s="24"/>
      <c r="C11095" s="24"/>
      <c r="D11095" s="214"/>
      <c r="E11095" s="24"/>
      <c r="G11095" s="24"/>
    </row>
    <row r="11096">
      <c r="B11096" s="24"/>
      <c r="C11096" s="24"/>
      <c r="D11096" s="214"/>
      <c r="E11096" s="24"/>
      <c r="G11096" s="24"/>
    </row>
    <row r="11097">
      <c r="B11097" s="24"/>
      <c r="C11097" s="24"/>
      <c r="D11097" s="214"/>
      <c r="E11097" s="24"/>
      <c r="G11097" s="24"/>
    </row>
    <row r="11098">
      <c r="B11098" s="24"/>
      <c r="C11098" s="24"/>
      <c r="D11098" s="214"/>
      <c r="E11098" s="24"/>
      <c r="G11098" s="24"/>
    </row>
    <row r="11099">
      <c r="B11099" s="24"/>
      <c r="C11099" s="24"/>
      <c r="D11099" s="214"/>
      <c r="E11099" s="24"/>
      <c r="G11099" s="24"/>
    </row>
    <row r="11100">
      <c r="B11100" s="24"/>
      <c r="C11100" s="24"/>
      <c r="D11100" s="214"/>
      <c r="E11100" s="24"/>
      <c r="G11100" s="24"/>
    </row>
    <row r="11101">
      <c r="B11101" s="24"/>
      <c r="C11101" s="24"/>
      <c r="D11101" s="214"/>
      <c r="E11101" s="24"/>
      <c r="G11101" s="24"/>
    </row>
    <row r="11102">
      <c r="B11102" s="24"/>
      <c r="C11102" s="24"/>
      <c r="D11102" s="214"/>
      <c r="E11102" s="24"/>
      <c r="G11102" s="24"/>
    </row>
    <row r="11103">
      <c r="B11103" s="24"/>
      <c r="C11103" s="24"/>
      <c r="D11103" s="214"/>
      <c r="E11103" s="24"/>
      <c r="G11103" s="24"/>
    </row>
    <row r="11104">
      <c r="B11104" s="24"/>
      <c r="C11104" s="24"/>
      <c r="D11104" s="214"/>
      <c r="E11104" s="24"/>
      <c r="G11104" s="24"/>
    </row>
    <row r="11105">
      <c r="B11105" s="24"/>
      <c r="C11105" s="24"/>
      <c r="D11105" s="214"/>
      <c r="E11105" s="24"/>
      <c r="G11105" s="24"/>
    </row>
    <row r="11106">
      <c r="B11106" s="24"/>
      <c r="C11106" s="24"/>
      <c r="D11106" s="214"/>
      <c r="E11106" s="24"/>
      <c r="G11106" s="24"/>
    </row>
    <row r="11107">
      <c r="B11107" s="24"/>
      <c r="C11107" s="24"/>
      <c r="D11107" s="214"/>
      <c r="E11107" s="24"/>
      <c r="G11107" s="24"/>
    </row>
    <row r="11108">
      <c r="B11108" s="24"/>
      <c r="C11108" s="24"/>
      <c r="D11108" s="214"/>
      <c r="E11108" s="24"/>
      <c r="G11108" s="24"/>
    </row>
    <row r="11109">
      <c r="B11109" s="24"/>
      <c r="C11109" s="24"/>
      <c r="D11109" s="214"/>
      <c r="E11109" s="24"/>
      <c r="G11109" s="24"/>
    </row>
    <row r="11110">
      <c r="B11110" s="24"/>
      <c r="C11110" s="24"/>
      <c r="D11110" s="214"/>
      <c r="E11110" s="24"/>
      <c r="G11110" s="24"/>
    </row>
    <row r="11111">
      <c r="B11111" s="24"/>
      <c r="C11111" s="24"/>
      <c r="D11111" s="214"/>
      <c r="E11111" s="24"/>
      <c r="G11111" s="24"/>
    </row>
    <row r="11112">
      <c r="B11112" s="24"/>
      <c r="C11112" s="24"/>
      <c r="D11112" s="214"/>
      <c r="E11112" s="24"/>
      <c r="G11112" s="24"/>
    </row>
    <row r="11113">
      <c r="B11113" s="24"/>
      <c r="C11113" s="24"/>
      <c r="D11113" s="214"/>
      <c r="E11113" s="24"/>
      <c r="G11113" s="24"/>
    </row>
    <row r="11114">
      <c r="B11114" s="24"/>
      <c r="C11114" s="24"/>
      <c r="D11114" s="214"/>
      <c r="E11114" s="24"/>
      <c r="G11114" s="24"/>
    </row>
    <row r="11115">
      <c r="B11115" s="24"/>
      <c r="C11115" s="24"/>
      <c r="D11115" s="214"/>
      <c r="E11115" s="24"/>
      <c r="G11115" s="24"/>
    </row>
    <row r="11116">
      <c r="B11116" s="24"/>
      <c r="C11116" s="24"/>
      <c r="D11116" s="214"/>
      <c r="E11116" s="24"/>
      <c r="G11116" s="24"/>
    </row>
    <row r="11117">
      <c r="B11117" s="24"/>
      <c r="C11117" s="24"/>
      <c r="D11117" s="214"/>
      <c r="E11117" s="24"/>
      <c r="G11117" s="24"/>
    </row>
    <row r="11118">
      <c r="B11118" s="24"/>
      <c r="C11118" s="24"/>
      <c r="D11118" s="214"/>
      <c r="E11118" s="24"/>
      <c r="G11118" s="24"/>
    </row>
    <row r="11119">
      <c r="B11119" s="24"/>
      <c r="C11119" s="24"/>
      <c r="D11119" s="214"/>
      <c r="E11119" s="24"/>
      <c r="G11119" s="24"/>
    </row>
    <row r="11120">
      <c r="B11120" s="24"/>
      <c r="C11120" s="24"/>
      <c r="D11120" s="214"/>
      <c r="E11120" s="24"/>
      <c r="G11120" s="24"/>
    </row>
    <row r="11121">
      <c r="B11121" s="24"/>
      <c r="C11121" s="24"/>
      <c r="D11121" s="214"/>
      <c r="E11121" s="24"/>
      <c r="G11121" s="24"/>
    </row>
    <row r="11122">
      <c r="B11122" s="24"/>
      <c r="C11122" s="24"/>
      <c r="D11122" s="214"/>
      <c r="E11122" s="24"/>
      <c r="G11122" s="24"/>
    </row>
    <row r="11123">
      <c r="B11123" s="24"/>
      <c r="C11123" s="24"/>
      <c r="D11123" s="214"/>
      <c r="E11123" s="24"/>
      <c r="G11123" s="24"/>
    </row>
    <row r="11124">
      <c r="B11124" s="24"/>
      <c r="C11124" s="24"/>
      <c r="D11124" s="214"/>
      <c r="E11124" s="24"/>
      <c r="G11124" s="24"/>
    </row>
    <row r="11125">
      <c r="B11125" s="24"/>
      <c r="C11125" s="24"/>
      <c r="D11125" s="214"/>
      <c r="E11125" s="24"/>
      <c r="G11125" s="24"/>
    </row>
    <row r="11126">
      <c r="B11126" s="24"/>
      <c r="C11126" s="24"/>
      <c r="D11126" s="214"/>
      <c r="E11126" s="24"/>
      <c r="G11126" s="24"/>
    </row>
    <row r="11127">
      <c r="B11127" s="24"/>
      <c r="C11127" s="24"/>
      <c r="D11127" s="214"/>
      <c r="E11127" s="24"/>
      <c r="G11127" s="24"/>
    </row>
    <row r="11128">
      <c r="B11128" s="24"/>
      <c r="C11128" s="24"/>
      <c r="D11128" s="214"/>
      <c r="E11128" s="24"/>
      <c r="G11128" s="24"/>
    </row>
    <row r="11129">
      <c r="B11129" s="24"/>
      <c r="C11129" s="24"/>
      <c r="D11129" s="214"/>
      <c r="E11129" s="24"/>
      <c r="G11129" s="24"/>
    </row>
    <row r="11130">
      <c r="B11130" s="24"/>
      <c r="C11130" s="24"/>
      <c r="D11130" s="214"/>
      <c r="E11130" s="24"/>
      <c r="G11130" s="24"/>
    </row>
    <row r="11131">
      <c r="B11131" s="24"/>
      <c r="C11131" s="24"/>
      <c r="D11131" s="214"/>
      <c r="E11131" s="24"/>
      <c r="G11131" s="24"/>
    </row>
    <row r="11132">
      <c r="B11132" s="24"/>
      <c r="C11132" s="24"/>
      <c r="D11132" s="214"/>
      <c r="E11132" s="24"/>
      <c r="G11132" s="24"/>
    </row>
    <row r="11133">
      <c r="B11133" s="24"/>
      <c r="C11133" s="24"/>
      <c r="D11133" s="214"/>
      <c r="E11133" s="24"/>
      <c r="G11133" s="24"/>
    </row>
    <row r="11134">
      <c r="B11134" s="24"/>
      <c r="C11134" s="24"/>
      <c r="D11134" s="214"/>
      <c r="E11134" s="24"/>
      <c r="G11134" s="24"/>
    </row>
    <row r="11135">
      <c r="B11135" s="24"/>
      <c r="C11135" s="24"/>
      <c r="D11135" s="214"/>
      <c r="E11135" s="24"/>
      <c r="G11135" s="24"/>
    </row>
    <row r="11136">
      <c r="B11136" s="24"/>
      <c r="C11136" s="24"/>
      <c r="D11136" s="214"/>
      <c r="E11136" s="24"/>
      <c r="G11136" s="24"/>
    </row>
    <row r="11137">
      <c r="B11137" s="24"/>
      <c r="C11137" s="24"/>
      <c r="D11137" s="214"/>
      <c r="E11137" s="24"/>
      <c r="G11137" s="24"/>
    </row>
    <row r="11138">
      <c r="B11138" s="24"/>
      <c r="C11138" s="24"/>
      <c r="D11138" s="214"/>
      <c r="E11138" s="24"/>
      <c r="G11138" s="24"/>
    </row>
    <row r="11139">
      <c r="B11139" s="24"/>
      <c r="C11139" s="24"/>
      <c r="D11139" s="214"/>
      <c r="E11139" s="24"/>
      <c r="G11139" s="24"/>
    </row>
    <row r="11140">
      <c r="B11140" s="24"/>
      <c r="C11140" s="24"/>
      <c r="D11140" s="214"/>
      <c r="E11140" s="24"/>
      <c r="G11140" s="24"/>
    </row>
    <row r="11141">
      <c r="B11141" s="24"/>
      <c r="C11141" s="24"/>
      <c r="D11141" s="214"/>
      <c r="E11141" s="24"/>
      <c r="G11141" s="24"/>
    </row>
    <row r="11142">
      <c r="B11142" s="24"/>
      <c r="C11142" s="24"/>
      <c r="D11142" s="214"/>
      <c r="E11142" s="24"/>
      <c r="G11142" s="24"/>
    </row>
    <row r="11143">
      <c r="B11143" s="24"/>
      <c r="C11143" s="24"/>
      <c r="D11143" s="214"/>
      <c r="E11143" s="24"/>
      <c r="G11143" s="24"/>
    </row>
    <row r="11144">
      <c r="B11144" s="24"/>
      <c r="C11144" s="24"/>
      <c r="D11144" s="214"/>
      <c r="E11144" s="24"/>
      <c r="G11144" s="24"/>
    </row>
    <row r="11145">
      <c r="B11145" s="24"/>
      <c r="C11145" s="24"/>
      <c r="D11145" s="214"/>
      <c r="E11145" s="24"/>
      <c r="G11145" s="24"/>
    </row>
    <row r="11146">
      <c r="B11146" s="24"/>
      <c r="C11146" s="24"/>
      <c r="D11146" s="214"/>
      <c r="E11146" s="24"/>
      <c r="G11146" s="24"/>
    </row>
    <row r="11147">
      <c r="B11147" s="24"/>
      <c r="C11147" s="24"/>
      <c r="D11147" s="214"/>
      <c r="E11147" s="24"/>
      <c r="G11147" s="24"/>
    </row>
    <row r="11148">
      <c r="B11148" s="24"/>
      <c r="C11148" s="24"/>
      <c r="D11148" s="214"/>
      <c r="E11148" s="24"/>
      <c r="G11148" s="24"/>
    </row>
    <row r="11149">
      <c r="B11149" s="24"/>
      <c r="C11149" s="24"/>
      <c r="D11149" s="214"/>
      <c r="E11149" s="24"/>
      <c r="G11149" s="24"/>
    </row>
    <row r="11150">
      <c r="B11150" s="24"/>
      <c r="C11150" s="24"/>
      <c r="D11150" s="214"/>
      <c r="E11150" s="24"/>
      <c r="G11150" s="24"/>
    </row>
    <row r="11151">
      <c r="B11151" s="24"/>
      <c r="C11151" s="24"/>
      <c r="D11151" s="214"/>
      <c r="E11151" s="24"/>
      <c r="G11151" s="24"/>
    </row>
    <row r="11152">
      <c r="B11152" s="24"/>
      <c r="C11152" s="24"/>
      <c r="D11152" s="214"/>
      <c r="E11152" s="24"/>
      <c r="G11152" s="24"/>
    </row>
    <row r="11153">
      <c r="B11153" s="24"/>
      <c r="C11153" s="24"/>
      <c r="D11153" s="214"/>
      <c r="E11153" s="24"/>
      <c r="G11153" s="24"/>
    </row>
    <row r="11154">
      <c r="B11154" s="24"/>
      <c r="C11154" s="24"/>
      <c r="D11154" s="214"/>
      <c r="E11154" s="24"/>
      <c r="G11154" s="24"/>
    </row>
    <row r="11155">
      <c r="B11155" s="24"/>
      <c r="C11155" s="24"/>
      <c r="D11155" s="214"/>
      <c r="E11155" s="24"/>
      <c r="G11155" s="24"/>
    </row>
    <row r="11156">
      <c r="B11156" s="24"/>
      <c r="C11156" s="24"/>
      <c r="D11156" s="214"/>
      <c r="E11156" s="24"/>
      <c r="G11156" s="24"/>
    </row>
    <row r="11157">
      <c r="B11157" s="24"/>
      <c r="C11157" s="24"/>
      <c r="D11157" s="214"/>
      <c r="E11157" s="24"/>
      <c r="G11157" s="24"/>
    </row>
    <row r="11158">
      <c r="B11158" s="24"/>
      <c r="C11158" s="24"/>
      <c r="D11158" s="214"/>
      <c r="E11158" s="24"/>
      <c r="G11158" s="24"/>
    </row>
    <row r="11159">
      <c r="B11159" s="24"/>
      <c r="C11159" s="24"/>
      <c r="D11159" s="214"/>
      <c r="E11159" s="24"/>
      <c r="G11159" s="24"/>
    </row>
    <row r="11160">
      <c r="B11160" s="24"/>
      <c r="C11160" s="24"/>
      <c r="D11160" s="214"/>
      <c r="E11160" s="24"/>
      <c r="G11160" s="24"/>
    </row>
    <row r="11161">
      <c r="B11161" s="24"/>
      <c r="C11161" s="24"/>
      <c r="D11161" s="214"/>
      <c r="E11161" s="24"/>
      <c r="G11161" s="24"/>
    </row>
    <row r="11162">
      <c r="B11162" s="24"/>
      <c r="C11162" s="24"/>
      <c r="D11162" s="214"/>
      <c r="E11162" s="24"/>
      <c r="G11162" s="24"/>
    </row>
    <row r="11163">
      <c r="B11163" s="24"/>
      <c r="C11163" s="24"/>
      <c r="D11163" s="214"/>
      <c r="E11163" s="24"/>
      <c r="G11163" s="24"/>
    </row>
    <row r="11164">
      <c r="B11164" s="24"/>
      <c r="C11164" s="24"/>
      <c r="D11164" s="214"/>
      <c r="E11164" s="24"/>
      <c r="G11164" s="24"/>
    </row>
    <row r="11165">
      <c r="B11165" s="24"/>
      <c r="C11165" s="24"/>
      <c r="D11165" s="214"/>
      <c r="E11165" s="24"/>
      <c r="G11165" s="24"/>
    </row>
    <row r="11166">
      <c r="B11166" s="24"/>
      <c r="C11166" s="24"/>
      <c r="D11166" s="214"/>
      <c r="E11166" s="24"/>
      <c r="G11166" s="24"/>
    </row>
    <row r="11167">
      <c r="B11167" s="24"/>
      <c r="C11167" s="24"/>
      <c r="D11167" s="214"/>
      <c r="E11167" s="24"/>
      <c r="G11167" s="24"/>
    </row>
    <row r="11168">
      <c r="B11168" s="24"/>
      <c r="C11168" s="24"/>
      <c r="D11168" s="214"/>
      <c r="E11168" s="24"/>
      <c r="G11168" s="24"/>
    </row>
    <row r="11169">
      <c r="B11169" s="24"/>
      <c r="C11169" s="24"/>
      <c r="D11169" s="214"/>
      <c r="E11169" s="24"/>
      <c r="G11169" s="24"/>
    </row>
    <row r="11170">
      <c r="B11170" s="24"/>
      <c r="C11170" s="24"/>
      <c r="D11170" s="214"/>
      <c r="E11170" s="24"/>
      <c r="G11170" s="24"/>
    </row>
    <row r="11171">
      <c r="B11171" s="24"/>
      <c r="C11171" s="24"/>
      <c r="D11171" s="214"/>
      <c r="E11171" s="24"/>
      <c r="G11171" s="24"/>
    </row>
    <row r="11172">
      <c r="B11172" s="24"/>
      <c r="C11172" s="24"/>
      <c r="D11172" s="214"/>
      <c r="E11172" s="24"/>
      <c r="G11172" s="24"/>
    </row>
    <row r="11173">
      <c r="B11173" s="24"/>
      <c r="C11173" s="24"/>
      <c r="D11173" s="214"/>
      <c r="E11173" s="24"/>
      <c r="G11173" s="24"/>
    </row>
    <row r="11174">
      <c r="B11174" s="24"/>
      <c r="C11174" s="24"/>
      <c r="D11174" s="214"/>
      <c r="E11174" s="24"/>
      <c r="G11174" s="24"/>
    </row>
    <row r="11175">
      <c r="B11175" s="24"/>
      <c r="C11175" s="24"/>
      <c r="D11175" s="214"/>
      <c r="E11175" s="24"/>
      <c r="G11175" s="24"/>
    </row>
    <row r="11176">
      <c r="B11176" s="24"/>
      <c r="C11176" s="24"/>
      <c r="D11176" s="214"/>
      <c r="E11176" s="24"/>
      <c r="G11176" s="24"/>
    </row>
    <row r="11177">
      <c r="B11177" s="24"/>
      <c r="C11177" s="24"/>
      <c r="D11177" s="214"/>
      <c r="E11177" s="24"/>
      <c r="G11177" s="24"/>
    </row>
    <row r="11178">
      <c r="B11178" s="24"/>
      <c r="C11178" s="24"/>
      <c r="D11178" s="214"/>
      <c r="E11178" s="24"/>
      <c r="G11178" s="24"/>
    </row>
    <row r="11179">
      <c r="B11179" s="24"/>
      <c r="C11179" s="24"/>
      <c r="D11179" s="214"/>
      <c r="E11179" s="24"/>
      <c r="G11179" s="24"/>
    </row>
    <row r="11180">
      <c r="B11180" s="24"/>
      <c r="C11180" s="24"/>
      <c r="D11180" s="214"/>
      <c r="E11180" s="24"/>
      <c r="G11180" s="24"/>
    </row>
    <row r="11181">
      <c r="B11181" s="24"/>
      <c r="C11181" s="24"/>
      <c r="D11181" s="214"/>
      <c r="E11181" s="24"/>
      <c r="G11181" s="24"/>
    </row>
    <row r="11182">
      <c r="B11182" s="24"/>
      <c r="C11182" s="24"/>
      <c r="D11182" s="214"/>
      <c r="E11182" s="24"/>
      <c r="G11182" s="24"/>
    </row>
    <row r="11183">
      <c r="B11183" s="24"/>
      <c r="C11183" s="24"/>
      <c r="D11183" s="214"/>
      <c r="E11183" s="24"/>
      <c r="G11183" s="24"/>
    </row>
    <row r="11184">
      <c r="B11184" s="24"/>
      <c r="C11184" s="24"/>
      <c r="D11184" s="214"/>
      <c r="E11184" s="24"/>
      <c r="G11184" s="24"/>
    </row>
    <row r="11185">
      <c r="B11185" s="24"/>
      <c r="C11185" s="24"/>
      <c r="D11185" s="214"/>
      <c r="E11185" s="24"/>
      <c r="G11185" s="24"/>
    </row>
    <row r="11186">
      <c r="B11186" s="24"/>
      <c r="C11186" s="24"/>
      <c r="D11186" s="214"/>
      <c r="E11186" s="24"/>
      <c r="G11186" s="24"/>
    </row>
    <row r="11187">
      <c r="B11187" s="24"/>
      <c r="C11187" s="24"/>
      <c r="D11187" s="214"/>
      <c r="E11187" s="24"/>
      <c r="G11187" s="24"/>
    </row>
    <row r="11188">
      <c r="B11188" s="24"/>
      <c r="C11188" s="24"/>
      <c r="D11188" s="214"/>
      <c r="E11188" s="24"/>
      <c r="G11188" s="24"/>
    </row>
    <row r="11189">
      <c r="B11189" s="24"/>
      <c r="C11189" s="24"/>
      <c r="D11189" s="214"/>
      <c r="E11189" s="24"/>
      <c r="G11189" s="24"/>
    </row>
    <row r="11190">
      <c r="B11190" s="24"/>
      <c r="C11190" s="24"/>
      <c r="D11190" s="214"/>
      <c r="E11190" s="24"/>
      <c r="G11190" s="24"/>
    </row>
    <row r="11191">
      <c r="B11191" s="24"/>
      <c r="C11191" s="24"/>
      <c r="D11191" s="214"/>
      <c r="E11191" s="24"/>
      <c r="G11191" s="24"/>
    </row>
    <row r="11192">
      <c r="B11192" s="24"/>
      <c r="C11192" s="24"/>
      <c r="D11192" s="214"/>
      <c r="E11192" s="24"/>
      <c r="G11192" s="24"/>
    </row>
    <row r="11193">
      <c r="B11193" s="24"/>
      <c r="C11193" s="24"/>
      <c r="D11193" s="214"/>
      <c r="E11193" s="24"/>
      <c r="G11193" s="24"/>
    </row>
    <row r="11194">
      <c r="B11194" s="24"/>
      <c r="C11194" s="24"/>
      <c r="D11194" s="214"/>
      <c r="E11194" s="24"/>
      <c r="G11194" s="24"/>
    </row>
    <row r="11195">
      <c r="B11195" s="24"/>
      <c r="C11195" s="24"/>
      <c r="D11195" s="214"/>
      <c r="E11195" s="24"/>
      <c r="G11195" s="24"/>
    </row>
    <row r="11196">
      <c r="B11196" s="24"/>
      <c r="C11196" s="24"/>
      <c r="D11196" s="214"/>
      <c r="E11196" s="24"/>
      <c r="G11196" s="24"/>
    </row>
    <row r="11197">
      <c r="B11197" s="24"/>
      <c r="C11197" s="24"/>
      <c r="D11197" s="214"/>
      <c r="E11197" s="24"/>
      <c r="G11197" s="24"/>
    </row>
    <row r="11198">
      <c r="B11198" s="24"/>
      <c r="C11198" s="24"/>
      <c r="D11198" s="214"/>
      <c r="E11198" s="24"/>
      <c r="G11198" s="24"/>
    </row>
    <row r="11199">
      <c r="B11199" s="24"/>
      <c r="C11199" s="24"/>
      <c r="D11199" s="214"/>
      <c r="E11199" s="24"/>
      <c r="G11199" s="24"/>
    </row>
    <row r="11200">
      <c r="B11200" s="24"/>
      <c r="C11200" s="24"/>
      <c r="D11200" s="214"/>
      <c r="E11200" s="24"/>
      <c r="G11200" s="24"/>
    </row>
    <row r="11201">
      <c r="B11201" s="24"/>
      <c r="C11201" s="24"/>
      <c r="D11201" s="214"/>
      <c r="E11201" s="24"/>
      <c r="G11201" s="24"/>
    </row>
    <row r="11202">
      <c r="B11202" s="24"/>
      <c r="C11202" s="24"/>
      <c r="D11202" s="214"/>
      <c r="E11202" s="24"/>
      <c r="G11202" s="24"/>
    </row>
    <row r="11203">
      <c r="B11203" s="24"/>
      <c r="C11203" s="24"/>
      <c r="D11203" s="214"/>
      <c r="E11203" s="24"/>
      <c r="G11203" s="24"/>
    </row>
    <row r="11204">
      <c r="B11204" s="24"/>
      <c r="C11204" s="24"/>
      <c r="D11204" s="214"/>
      <c r="E11204" s="24"/>
      <c r="G11204" s="24"/>
    </row>
    <row r="11205">
      <c r="B11205" s="24"/>
      <c r="C11205" s="24"/>
      <c r="D11205" s="214"/>
      <c r="E11205" s="24"/>
      <c r="G11205" s="24"/>
    </row>
    <row r="11206">
      <c r="B11206" s="24"/>
      <c r="C11206" s="24"/>
      <c r="D11206" s="214"/>
      <c r="E11206" s="24"/>
      <c r="G11206" s="24"/>
    </row>
    <row r="11207">
      <c r="B11207" s="24"/>
      <c r="C11207" s="24"/>
      <c r="D11207" s="214"/>
      <c r="E11207" s="24"/>
      <c r="G11207" s="24"/>
    </row>
    <row r="11208">
      <c r="B11208" s="24"/>
      <c r="C11208" s="24"/>
      <c r="D11208" s="214"/>
      <c r="E11208" s="24"/>
      <c r="G11208" s="24"/>
    </row>
    <row r="11209">
      <c r="B11209" s="24"/>
      <c r="C11209" s="24"/>
      <c r="D11209" s="214"/>
      <c r="E11209" s="24"/>
      <c r="G11209" s="24"/>
    </row>
    <row r="11210">
      <c r="B11210" s="24"/>
      <c r="C11210" s="24"/>
      <c r="D11210" s="214"/>
      <c r="E11210" s="24"/>
      <c r="G11210" s="24"/>
    </row>
    <row r="11211">
      <c r="B11211" s="24"/>
      <c r="C11211" s="24"/>
      <c r="D11211" s="214"/>
      <c r="E11211" s="24"/>
      <c r="G11211" s="24"/>
    </row>
    <row r="11212">
      <c r="B11212" s="24"/>
      <c r="C11212" s="24"/>
      <c r="D11212" s="214"/>
      <c r="E11212" s="24"/>
      <c r="G11212" s="24"/>
    </row>
    <row r="11213">
      <c r="B11213" s="24"/>
      <c r="C11213" s="24"/>
      <c r="D11213" s="214"/>
      <c r="E11213" s="24"/>
      <c r="G11213" s="24"/>
    </row>
    <row r="11214">
      <c r="B11214" s="24"/>
      <c r="C11214" s="24"/>
      <c r="D11214" s="214"/>
      <c r="E11214" s="24"/>
      <c r="G11214" s="24"/>
    </row>
    <row r="11215">
      <c r="B11215" s="24"/>
      <c r="C11215" s="24"/>
      <c r="D11215" s="214"/>
      <c r="E11215" s="24"/>
      <c r="G11215" s="24"/>
    </row>
    <row r="11216">
      <c r="B11216" s="24"/>
      <c r="C11216" s="24"/>
      <c r="D11216" s="214"/>
      <c r="E11216" s="24"/>
      <c r="G11216" s="24"/>
    </row>
    <row r="11217">
      <c r="B11217" s="24"/>
      <c r="C11217" s="24"/>
      <c r="D11217" s="214"/>
      <c r="E11217" s="24"/>
      <c r="G11217" s="24"/>
    </row>
    <row r="11218">
      <c r="B11218" s="24"/>
      <c r="C11218" s="24"/>
      <c r="D11218" s="214"/>
      <c r="E11218" s="24"/>
      <c r="G11218" s="24"/>
    </row>
    <row r="11219">
      <c r="B11219" s="24"/>
      <c r="C11219" s="24"/>
      <c r="D11219" s="214"/>
      <c r="E11219" s="24"/>
      <c r="G11219" s="24"/>
    </row>
    <row r="11220">
      <c r="B11220" s="24"/>
      <c r="C11220" s="24"/>
      <c r="D11220" s="214"/>
      <c r="E11220" s="24"/>
      <c r="G11220" s="24"/>
    </row>
    <row r="11221">
      <c r="B11221" s="24"/>
      <c r="C11221" s="24"/>
      <c r="D11221" s="214"/>
      <c r="E11221" s="24"/>
      <c r="G11221" s="24"/>
    </row>
    <row r="11222">
      <c r="B11222" s="24"/>
      <c r="C11222" s="24"/>
      <c r="D11222" s="214"/>
      <c r="E11222" s="24"/>
      <c r="G11222" s="24"/>
    </row>
    <row r="11223">
      <c r="B11223" s="24"/>
      <c r="C11223" s="24"/>
      <c r="D11223" s="214"/>
      <c r="E11223" s="24"/>
      <c r="G11223" s="24"/>
    </row>
    <row r="11224">
      <c r="B11224" s="24"/>
      <c r="C11224" s="24"/>
      <c r="D11224" s="214"/>
      <c r="E11224" s="24"/>
      <c r="G11224" s="24"/>
    </row>
    <row r="11225">
      <c r="B11225" s="24"/>
      <c r="C11225" s="24"/>
      <c r="D11225" s="214"/>
      <c r="E11225" s="24"/>
      <c r="G11225" s="24"/>
    </row>
    <row r="11226">
      <c r="B11226" s="24"/>
      <c r="C11226" s="24"/>
      <c r="D11226" s="214"/>
      <c r="E11226" s="24"/>
      <c r="G11226" s="24"/>
    </row>
    <row r="11227">
      <c r="B11227" s="24"/>
      <c r="C11227" s="24"/>
      <c r="D11227" s="214"/>
      <c r="E11227" s="24"/>
      <c r="G11227" s="24"/>
    </row>
    <row r="11228">
      <c r="B11228" s="24"/>
      <c r="C11228" s="24"/>
      <c r="D11228" s="214"/>
      <c r="E11228" s="24"/>
      <c r="G11228" s="24"/>
    </row>
    <row r="11229">
      <c r="B11229" s="24"/>
      <c r="C11229" s="24"/>
      <c r="D11229" s="214"/>
      <c r="E11229" s="24"/>
      <c r="G11229" s="24"/>
    </row>
    <row r="11230">
      <c r="B11230" s="24"/>
      <c r="C11230" s="24"/>
      <c r="D11230" s="214"/>
      <c r="E11230" s="24"/>
      <c r="G11230" s="24"/>
    </row>
    <row r="11231">
      <c r="B11231" s="24"/>
      <c r="C11231" s="24"/>
      <c r="D11231" s="214"/>
      <c r="E11231" s="24"/>
      <c r="G11231" s="24"/>
    </row>
    <row r="11232">
      <c r="B11232" s="24"/>
      <c r="C11232" s="24"/>
      <c r="D11232" s="214"/>
      <c r="E11232" s="24"/>
      <c r="G11232" s="24"/>
    </row>
    <row r="11233">
      <c r="B11233" s="24"/>
      <c r="C11233" s="24"/>
      <c r="D11233" s="214"/>
      <c r="E11233" s="24"/>
      <c r="G11233" s="24"/>
    </row>
    <row r="11234">
      <c r="B11234" s="24"/>
      <c r="C11234" s="24"/>
      <c r="D11234" s="214"/>
      <c r="E11234" s="24"/>
      <c r="G11234" s="24"/>
    </row>
    <row r="11235">
      <c r="B11235" s="24"/>
      <c r="C11235" s="24"/>
      <c r="D11235" s="214"/>
      <c r="E11235" s="24"/>
      <c r="G11235" s="24"/>
    </row>
    <row r="11236">
      <c r="B11236" s="24"/>
      <c r="C11236" s="24"/>
      <c r="D11236" s="214"/>
      <c r="E11236" s="24"/>
      <c r="G11236" s="24"/>
    </row>
    <row r="11237">
      <c r="B11237" s="24"/>
      <c r="C11237" s="24"/>
      <c r="D11237" s="214"/>
      <c r="E11237" s="24"/>
      <c r="G11237" s="24"/>
    </row>
    <row r="11238">
      <c r="B11238" s="24"/>
      <c r="C11238" s="24"/>
      <c r="D11238" s="214"/>
      <c r="E11238" s="24"/>
      <c r="G11238" s="24"/>
    </row>
    <row r="11239">
      <c r="B11239" s="24"/>
      <c r="C11239" s="24"/>
      <c r="D11239" s="214"/>
      <c r="E11239" s="24"/>
      <c r="G11239" s="24"/>
    </row>
    <row r="11240">
      <c r="B11240" s="24"/>
      <c r="C11240" s="24"/>
      <c r="D11240" s="214"/>
      <c r="E11240" s="24"/>
      <c r="G11240" s="24"/>
    </row>
    <row r="11241">
      <c r="B11241" s="24"/>
      <c r="C11241" s="24"/>
      <c r="D11241" s="214"/>
      <c r="E11241" s="24"/>
      <c r="G11241" s="24"/>
    </row>
    <row r="11242">
      <c r="B11242" s="24"/>
      <c r="C11242" s="24"/>
      <c r="D11242" s="214"/>
      <c r="E11242" s="24"/>
      <c r="G11242" s="24"/>
    </row>
    <row r="11243">
      <c r="B11243" s="24"/>
      <c r="C11243" s="24"/>
      <c r="D11243" s="214"/>
      <c r="E11243" s="24"/>
      <c r="G11243" s="24"/>
    </row>
    <row r="11244">
      <c r="B11244" s="24"/>
      <c r="C11244" s="24"/>
      <c r="D11244" s="214"/>
      <c r="E11244" s="24"/>
      <c r="G11244" s="24"/>
    </row>
    <row r="11245">
      <c r="B11245" s="24"/>
      <c r="C11245" s="24"/>
      <c r="D11245" s="214"/>
      <c r="E11245" s="24"/>
      <c r="G11245" s="24"/>
    </row>
    <row r="11246">
      <c r="B11246" s="24"/>
      <c r="C11246" s="24"/>
      <c r="D11246" s="214"/>
      <c r="E11246" s="24"/>
      <c r="G11246" s="24"/>
    </row>
    <row r="11247">
      <c r="B11247" s="24"/>
      <c r="C11247" s="24"/>
      <c r="D11247" s="214"/>
      <c r="E11247" s="24"/>
      <c r="G11247" s="24"/>
    </row>
    <row r="11248">
      <c r="B11248" s="24"/>
      <c r="C11248" s="24"/>
      <c r="D11248" s="214"/>
      <c r="E11248" s="24"/>
      <c r="G11248" s="24"/>
    </row>
    <row r="11249">
      <c r="B11249" s="24"/>
      <c r="C11249" s="24"/>
      <c r="D11249" s="214"/>
      <c r="E11249" s="24"/>
      <c r="G11249" s="24"/>
    </row>
    <row r="11250">
      <c r="B11250" s="24"/>
      <c r="C11250" s="24"/>
      <c r="D11250" s="214"/>
      <c r="E11250" s="24"/>
      <c r="G11250" s="24"/>
    </row>
    <row r="11251">
      <c r="B11251" s="24"/>
      <c r="C11251" s="24"/>
      <c r="D11251" s="214"/>
      <c r="E11251" s="24"/>
      <c r="G11251" s="24"/>
    </row>
    <row r="11252">
      <c r="B11252" s="24"/>
      <c r="C11252" s="24"/>
      <c r="D11252" s="214"/>
      <c r="E11252" s="24"/>
      <c r="G11252" s="24"/>
    </row>
    <row r="11253">
      <c r="B11253" s="24"/>
      <c r="C11253" s="24"/>
      <c r="D11253" s="214"/>
      <c r="E11253" s="24"/>
      <c r="G11253" s="24"/>
    </row>
    <row r="11254">
      <c r="B11254" s="24"/>
      <c r="C11254" s="24"/>
      <c r="D11254" s="214"/>
      <c r="E11254" s="24"/>
      <c r="G11254" s="24"/>
    </row>
    <row r="11255">
      <c r="B11255" s="24"/>
      <c r="C11255" s="24"/>
      <c r="D11255" s="214"/>
      <c r="E11255" s="24"/>
      <c r="G11255" s="24"/>
    </row>
    <row r="11256">
      <c r="B11256" s="24"/>
      <c r="C11256" s="24"/>
      <c r="D11256" s="214"/>
      <c r="E11256" s="24"/>
      <c r="G11256" s="24"/>
    </row>
    <row r="11257">
      <c r="B11257" s="24"/>
      <c r="C11257" s="24"/>
      <c r="D11257" s="214"/>
      <c r="E11257" s="24"/>
      <c r="G11257" s="24"/>
    </row>
    <row r="11258">
      <c r="B11258" s="24"/>
      <c r="C11258" s="24"/>
      <c r="D11258" s="214"/>
      <c r="E11258" s="24"/>
      <c r="G11258" s="24"/>
    </row>
    <row r="11259">
      <c r="B11259" s="24"/>
      <c r="C11259" s="24"/>
      <c r="D11259" s="214"/>
      <c r="E11259" s="24"/>
      <c r="G11259" s="24"/>
    </row>
    <row r="11260">
      <c r="B11260" s="24"/>
      <c r="C11260" s="24"/>
      <c r="D11260" s="214"/>
      <c r="E11260" s="24"/>
      <c r="G11260" s="24"/>
    </row>
    <row r="11261">
      <c r="B11261" s="24"/>
      <c r="C11261" s="24"/>
      <c r="D11261" s="214"/>
      <c r="E11261" s="24"/>
      <c r="G11261" s="24"/>
    </row>
    <row r="11262">
      <c r="B11262" s="24"/>
      <c r="C11262" s="24"/>
      <c r="D11262" s="214"/>
      <c r="E11262" s="24"/>
      <c r="G11262" s="24"/>
    </row>
    <row r="11263">
      <c r="B11263" s="24"/>
      <c r="C11263" s="24"/>
      <c r="D11263" s="214"/>
      <c r="E11263" s="24"/>
      <c r="G11263" s="24"/>
    </row>
    <row r="11264">
      <c r="B11264" s="24"/>
      <c r="C11264" s="24"/>
      <c r="D11264" s="214"/>
      <c r="E11264" s="24"/>
      <c r="G11264" s="24"/>
    </row>
    <row r="11265">
      <c r="B11265" s="24"/>
      <c r="C11265" s="24"/>
      <c r="D11265" s="214"/>
      <c r="E11265" s="24"/>
      <c r="G11265" s="24"/>
    </row>
    <row r="11266">
      <c r="B11266" s="24"/>
      <c r="C11266" s="24"/>
      <c r="D11266" s="214"/>
      <c r="E11266" s="24"/>
      <c r="G11266" s="24"/>
    </row>
    <row r="11267">
      <c r="B11267" s="24"/>
      <c r="C11267" s="24"/>
      <c r="D11267" s="214"/>
      <c r="E11267" s="24"/>
      <c r="G11267" s="24"/>
    </row>
    <row r="11268">
      <c r="B11268" s="24"/>
      <c r="C11268" s="24"/>
      <c r="D11268" s="214"/>
      <c r="E11268" s="24"/>
      <c r="G11268" s="24"/>
    </row>
    <row r="11269">
      <c r="B11269" s="24"/>
      <c r="C11269" s="24"/>
      <c r="D11269" s="214"/>
      <c r="E11269" s="24"/>
      <c r="G11269" s="24"/>
    </row>
    <row r="11270">
      <c r="B11270" s="24"/>
      <c r="C11270" s="24"/>
      <c r="D11270" s="214"/>
      <c r="E11270" s="24"/>
      <c r="G11270" s="24"/>
    </row>
    <row r="11271">
      <c r="B11271" s="24"/>
      <c r="C11271" s="24"/>
      <c r="D11271" s="214"/>
      <c r="E11271" s="24"/>
      <c r="G11271" s="24"/>
    </row>
    <row r="11272">
      <c r="B11272" s="24"/>
      <c r="C11272" s="24"/>
      <c r="D11272" s="214"/>
      <c r="E11272" s="24"/>
      <c r="G11272" s="24"/>
    </row>
    <row r="11273">
      <c r="B11273" s="24"/>
      <c r="C11273" s="24"/>
      <c r="D11273" s="214"/>
      <c r="E11273" s="24"/>
      <c r="G11273" s="24"/>
    </row>
    <row r="11274">
      <c r="B11274" s="24"/>
      <c r="C11274" s="24"/>
      <c r="D11274" s="214"/>
      <c r="E11274" s="24"/>
      <c r="G11274" s="24"/>
    </row>
    <row r="11275">
      <c r="B11275" s="24"/>
      <c r="C11275" s="24"/>
      <c r="D11275" s="214"/>
      <c r="E11275" s="24"/>
      <c r="G11275" s="24"/>
    </row>
    <row r="11276">
      <c r="B11276" s="24"/>
      <c r="C11276" s="24"/>
      <c r="D11276" s="214"/>
      <c r="E11276" s="24"/>
      <c r="G11276" s="24"/>
    </row>
    <row r="11277">
      <c r="B11277" s="24"/>
      <c r="C11277" s="24"/>
      <c r="D11277" s="214"/>
      <c r="E11277" s="24"/>
      <c r="G11277" s="24"/>
    </row>
    <row r="11278">
      <c r="B11278" s="24"/>
      <c r="C11278" s="24"/>
      <c r="D11278" s="214"/>
      <c r="E11278" s="24"/>
      <c r="G11278" s="24"/>
    </row>
    <row r="11279">
      <c r="B11279" s="24"/>
      <c r="C11279" s="24"/>
      <c r="D11279" s="214"/>
      <c r="E11279" s="24"/>
      <c r="G11279" s="24"/>
    </row>
    <row r="11280">
      <c r="B11280" s="24"/>
      <c r="C11280" s="24"/>
      <c r="D11280" s="214"/>
      <c r="E11280" s="24"/>
      <c r="G11280" s="24"/>
    </row>
    <row r="11281">
      <c r="B11281" s="24"/>
      <c r="C11281" s="24"/>
      <c r="D11281" s="214"/>
      <c r="E11281" s="24"/>
      <c r="G11281" s="24"/>
    </row>
    <row r="11282">
      <c r="B11282" s="24"/>
      <c r="C11282" s="24"/>
      <c r="D11282" s="214"/>
      <c r="E11282" s="24"/>
      <c r="G11282" s="24"/>
    </row>
    <row r="11283">
      <c r="B11283" s="24"/>
      <c r="C11283" s="24"/>
      <c r="D11283" s="214"/>
      <c r="E11283" s="24"/>
      <c r="G11283" s="24"/>
    </row>
    <row r="11284">
      <c r="B11284" s="24"/>
      <c r="C11284" s="24"/>
      <c r="D11284" s="214"/>
      <c r="E11284" s="24"/>
      <c r="G11284" s="24"/>
    </row>
    <row r="11285">
      <c r="B11285" s="24"/>
      <c r="C11285" s="24"/>
      <c r="D11285" s="214"/>
      <c r="E11285" s="24"/>
      <c r="G11285" s="24"/>
    </row>
    <row r="11286">
      <c r="B11286" s="24"/>
      <c r="C11286" s="24"/>
      <c r="D11286" s="214"/>
      <c r="E11286" s="24"/>
      <c r="G11286" s="24"/>
    </row>
    <row r="11287">
      <c r="B11287" s="24"/>
      <c r="C11287" s="24"/>
      <c r="D11287" s="214"/>
      <c r="E11287" s="24"/>
      <c r="G11287" s="24"/>
    </row>
    <row r="11288">
      <c r="B11288" s="24"/>
      <c r="C11288" s="24"/>
      <c r="D11288" s="214"/>
      <c r="E11288" s="24"/>
      <c r="G11288" s="24"/>
    </row>
    <row r="11289">
      <c r="B11289" s="24"/>
      <c r="C11289" s="24"/>
      <c r="D11289" s="214"/>
      <c r="E11289" s="24"/>
      <c r="G11289" s="24"/>
    </row>
    <row r="11290">
      <c r="B11290" s="24"/>
      <c r="C11290" s="24"/>
      <c r="D11290" s="214"/>
      <c r="E11290" s="24"/>
      <c r="G11290" s="24"/>
    </row>
    <row r="11291">
      <c r="B11291" s="24"/>
      <c r="C11291" s="24"/>
      <c r="D11291" s="214"/>
      <c r="E11291" s="24"/>
      <c r="G11291" s="24"/>
    </row>
    <row r="11292">
      <c r="B11292" s="24"/>
      <c r="C11292" s="24"/>
      <c r="D11292" s="214"/>
      <c r="E11292" s="24"/>
      <c r="G11292" s="24"/>
    </row>
    <row r="11293">
      <c r="B11293" s="24"/>
      <c r="C11293" s="24"/>
      <c r="D11293" s="214"/>
      <c r="E11293" s="24"/>
      <c r="G11293" s="24"/>
    </row>
    <row r="11294">
      <c r="B11294" s="24"/>
      <c r="C11294" s="24"/>
      <c r="D11294" s="214"/>
      <c r="E11294" s="24"/>
      <c r="G11294" s="24"/>
    </row>
    <row r="11295">
      <c r="B11295" s="24"/>
      <c r="C11295" s="24"/>
      <c r="D11295" s="214"/>
      <c r="E11295" s="24"/>
      <c r="G11295" s="24"/>
    </row>
    <row r="11296">
      <c r="B11296" s="24"/>
      <c r="C11296" s="24"/>
      <c r="D11296" s="214"/>
      <c r="E11296" s="24"/>
      <c r="G11296" s="24"/>
    </row>
    <row r="11297">
      <c r="B11297" s="24"/>
      <c r="C11297" s="24"/>
      <c r="D11297" s="214"/>
      <c r="E11297" s="24"/>
      <c r="G11297" s="24"/>
    </row>
    <row r="11298">
      <c r="B11298" s="24"/>
      <c r="C11298" s="24"/>
      <c r="D11298" s="214"/>
      <c r="E11298" s="24"/>
      <c r="G11298" s="24"/>
    </row>
    <row r="11299">
      <c r="B11299" s="24"/>
      <c r="C11299" s="24"/>
      <c r="D11299" s="214"/>
      <c r="E11299" s="24"/>
      <c r="G11299" s="24"/>
    </row>
    <row r="11300">
      <c r="B11300" s="24"/>
      <c r="C11300" s="24"/>
      <c r="D11300" s="214"/>
      <c r="E11300" s="24"/>
      <c r="G11300" s="24"/>
    </row>
    <row r="11301">
      <c r="B11301" s="24"/>
      <c r="C11301" s="24"/>
      <c r="D11301" s="214"/>
      <c r="E11301" s="24"/>
      <c r="G11301" s="24"/>
    </row>
    <row r="11302">
      <c r="B11302" s="24"/>
      <c r="C11302" s="24"/>
      <c r="D11302" s="214"/>
      <c r="E11302" s="24"/>
      <c r="G11302" s="24"/>
    </row>
    <row r="11303">
      <c r="B11303" s="24"/>
      <c r="C11303" s="24"/>
      <c r="D11303" s="214"/>
      <c r="E11303" s="24"/>
      <c r="G11303" s="24"/>
    </row>
    <row r="11304">
      <c r="B11304" s="24"/>
      <c r="C11304" s="24"/>
      <c r="D11304" s="214"/>
      <c r="E11304" s="24"/>
      <c r="G11304" s="24"/>
    </row>
    <row r="11305">
      <c r="B11305" s="24"/>
      <c r="C11305" s="24"/>
      <c r="D11305" s="214"/>
      <c r="E11305" s="24"/>
      <c r="G11305" s="24"/>
    </row>
    <row r="11306">
      <c r="B11306" s="24"/>
      <c r="C11306" s="24"/>
      <c r="D11306" s="214"/>
      <c r="E11306" s="24"/>
      <c r="G11306" s="24"/>
    </row>
    <row r="11307">
      <c r="B11307" s="24"/>
      <c r="C11307" s="24"/>
      <c r="D11307" s="214"/>
      <c r="E11307" s="24"/>
      <c r="G11307" s="24"/>
    </row>
    <row r="11308">
      <c r="B11308" s="24"/>
      <c r="C11308" s="24"/>
      <c r="D11308" s="214"/>
      <c r="E11308" s="24"/>
      <c r="G11308" s="24"/>
    </row>
    <row r="11309">
      <c r="B11309" s="24"/>
      <c r="C11309" s="24"/>
      <c r="D11309" s="214"/>
      <c r="E11309" s="24"/>
      <c r="G11309" s="24"/>
    </row>
    <row r="11310">
      <c r="B11310" s="24"/>
      <c r="C11310" s="24"/>
      <c r="D11310" s="214"/>
      <c r="E11310" s="24"/>
      <c r="G11310" s="24"/>
    </row>
    <row r="11311">
      <c r="B11311" s="24"/>
      <c r="C11311" s="24"/>
      <c r="D11311" s="214"/>
      <c r="E11311" s="24"/>
      <c r="G11311" s="24"/>
    </row>
    <row r="11312">
      <c r="B11312" s="24"/>
      <c r="C11312" s="24"/>
      <c r="D11312" s="214"/>
      <c r="E11312" s="24"/>
      <c r="G11312" s="24"/>
    </row>
    <row r="11313">
      <c r="B11313" s="24"/>
      <c r="C11313" s="24"/>
      <c r="D11313" s="214"/>
      <c r="E11313" s="24"/>
      <c r="G11313" s="24"/>
    </row>
    <row r="11314">
      <c r="B11314" s="24"/>
      <c r="C11314" s="24"/>
      <c r="D11314" s="214"/>
      <c r="E11314" s="24"/>
      <c r="G11314" s="24"/>
    </row>
    <row r="11315">
      <c r="B11315" s="24"/>
      <c r="C11315" s="24"/>
      <c r="D11315" s="214"/>
      <c r="E11315" s="24"/>
      <c r="G11315" s="24"/>
    </row>
    <row r="11316">
      <c r="B11316" s="24"/>
      <c r="C11316" s="24"/>
      <c r="D11316" s="214"/>
      <c r="E11316" s="24"/>
      <c r="G11316" s="24"/>
    </row>
    <row r="11317">
      <c r="B11317" s="24"/>
      <c r="C11317" s="24"/>
      <c r="D11317" s="214"/>
      <c r="E11317" s="24"/>
      <c r="G11317" s="24"/>
    </row>
    <row r="11318">
      <c r="B11318" s="24"/>
      <c r="C11318" s="24"/>
      <c r="D11318" s="214"/>
      <c r="E11318" s="24"/>
      <c r="G11318" s="24"/>
    </row>
    <row r="11319">
      <c r="B11319" s="24"/>
      <c r="C11319" s="24"/>
      <c r="D11319" s="214"/>
      <c r="E11319" s="24"/>
      <c r="G11319" s="24"/>
    </row>
    <row r="11320">
      <c r="B11320" s="24"/>
      <c r="C11320" s="24"/>
      <c r="D11320" s="214"/>
      <c r="E11320" s="24"/>
      <c r="G11320" s="24"/>
    </row>
    <row r="11321">
      <c r="B11321" s="24"/>
      <c r="C11321" s="24"/>
      <c r="D11321" s="214"/>
      <c r="E11321" s="24"/>
      <c r="G11321" s="24"/>
    </row>
    <row r="11322">
      <c r="B11322" s="24"/>
      <c r="C11322" s="24"/>
      <c r="D11322" s="214"/>
      <c r="E11322" s="24"/>
      <c r="G11322" s="24"/>
    </row>
    <row r="11323">
      <c r="B11323" s="24"/>
      <c r="C11323" s="24"/>
      <c r="D11323" s="214"/>
      <c r="E11323" s="24"/>
      <c r="G11323" s="24"/>
    </row>
    <row r="11324">
      <c r="B11324" s="24"/>
      <c r="C11324" s="24"/>
      <c r="D11324" s="214"/>
      <c r="E11324" s="24"/>
      <c r="G11324" s="24"/>
    </row>
    <row r="11325">
      <c r="B11325" s="24"/>
      <c r="C11325" s="24"/>
      <c r="D11325" s="214"/>
      <c r="E11325" s="24"/>
      <c r="G11325" s="24"/>
    </row>
    <row r="11326">
      <c r="B11326" s="24"/>
      <c r="C11326" s="24"/>
      <c r="D11326" s="214"/>
      <c r="E11326" s="24"/>
      <c r="G11326" s="24"/>
    </row>
    <row r="11327">
      <c r="B11327" s="24"/>
      <c r="C11327" s="24"/>
      <c r="D11327" s="214"/>
      <c r="E11327" s="24"/>
      <c r="G11327" s="24"/>
    </row>
    <row r="11328">
      <c r="B11328" s="24"/>
      <c r="C11328" s="24"/>
      <c r="D11328" s="214"/>
      <c r="E11328" s="24"/>
      <c r="G11328" s="24"/>
    </row>
    <row r="11329">
      <c r="B11329" s="24"/>
      <c r="C11329" s="24"/>
      <c r="D11329" s="214"/>
      <c r="E11329" s="24"/>
      <c r="G11329" s="24"/>
    </row>
    <row r="11330">
      <c r="B11330" s="24"/>
      <c r="C11330" s="24"/>
      <c r="D11330" s="214"/>
      <c r="E11330" s="24"/>
      <c r="G11330" s="24"/>
    </row>
    <row r="11331">
      <c r="B11331" s="24"/>
      <c r="C11331" s="24"/>
      <c r="D11331" s="214"/>
      <c r="E11331" s="24"/>
      <c r="G11331" s="24"/>
    </row>
    <row r="11332">
      <c r="B11332" s="24"/>
      <c r="C11332" s="24"/>
      <c r="D11332" s="214"/>
      <c r="E11332" s="24"/>
      <c r="G11332" s="24"/>
    </row>
    <row r="11333">
      <c r="B11333" s="24"/>
      <c r="C11333" s="24"/>
      <c r="D11333" s="214"/>
      <c r="E11333" s="24"/>
      <c r="G11333" s="24"/>
    </row>
    <row r="11334">
      <c r="B11334" s="24"/>
      <c r="C11334" s="24"/>
      <c r="D11334" s="214"/>
      <c r="E11334" s="24"/>
      <c r="G11334" s="24"/>
    </row>
    <row r="11335">
      <c r="B11335" s="24"/>
      <c r="C11335" s="24"/>
      <c r="D11335" s="214"/>
      <c r="E11335" s="24"/>
      <c r="G11335" s="24"/>
    </row>
    <row r="11336">
      <c r="B11336" s="24"/>
      <c r="C11336" s="24"/>
      <c r="D11336" s="214"/>
      <c r="E11336" s="24"/>
      <c r="G11336" s="24"/>
    </row>
    <row r="11337">
      <c r="B11337" s="24"/>
      <c r="C11337" s="24"/>
      <c r="D11337" s="214"/>
      <c r="E11337" s="24"/>
      <c r="G11337" s="24"/>
    </row>
    <row r="11338">
      <c r="B11338" s="24"/>
      <c r="C11338" s="24"/>
      <c r="D11338" s="214"/>
      <c r="E11338" s="24"/>
      <c r="G11338" s="24"/>
    </row>
    <row r="11339">
      <c r="B11339" s="24"/>
      <c r="C11339" s="24"/>
      <c r="D11339" s="214"/>
      <c r="E11339" s="24"/>
      <c r="G11339" s="24"/>
    </row>
    <row r="11340">
      <c r="B11340" s="24"/>
      <c r="C11340" s="24"/>
      <c r="D11340" s="214"/>
      <c r="E11340" s="24"/>
      <c r="G11340" s="24"/>
    </row>
    <row r="11341">
      <c r="B11341" s="24"/>
      <c r="C11341" s="24"/>
      <c r="D11341" s="214"/>
      <c r="E11341" s="24"/>
      <c r="G11341" s="24"/>
    </row>
    <row r="11342">
      <c r="B11342" s="24"/>
      <c r="C11342" s="24"/>
      <c r="D11342" s="214"/>
      <c r="E11342" s="24"/>
      <c r="G11342" s="24"/>
    </row>
    <row r="11343">
      <c r="B11343" s="24"/>
      <c r="C11343" s="24"/>
      <c r="D11343" s="214"/>
      <c r="E11343" s="24"/>
      <c r="G11343" s="24"/>
    </row>
    <row r="11344">
      <c r="B11344" s="24"/>
      <c r="C11344" s="24"/>
      <c r="D11344" s="214"/>
      <c r="E11344" s="24"/>
      <c r="G11344" s="24"/>
    </row>
    <row r="11345">
      <c r="B11345" s="24"/>
      <c r="C11345" s="24"/>
      <c r="D11345" s="214"/>
      <c r="E11345" s="24"/>
      <c r="G11345" s="24"/>
    </row>
    <row r="11346">
      <c r="B11346" s="24"/>
      <c r="C11346" s="24"/>
      <c r="D11346" s="214"/>
      <c r="E11346" s="24"/>
      <c r="G11346" s="24"/>
    </row>
    <row r="11347">
      <c r="B11347" s="24"/>
      <c r="C11347" s="24"/>
      <c r="D11347" s="214"/>
      <c r="E11347" s="24"/>
      <c r="G11347" s="24"/>
    </row>
    <row r="11348">
      <c r="B11348" s="24"/>
      <c r="C11348" s="24"/>
      <c r="D11348" s="214"/>
      <c r="E11348" s="24"/>
      <c r="G11348" s="24"/>
    </row>
    <row r="11349">
      <c r="B11349" s="24"/>
      <c r="C11349" s="24"/>
      <c r="D11349" s="214"/>
      <c r="E11349" s="24"/>
      <c r="G11349" s="24"/>
    </row>
    <row r="11350">
      <c r="B11350" s="24"/>
      <c r="C11350" s="24"/>
      <c r="D11350" s="214"/>
      <c r="E11350" s="24"/>
      <c r="G11350" s="24"/>
    </row>
    <row r="11351">
      <c r="B11351" s="24"/>
      <c r="C11351" s="24"/>
      <c r="D11351" s="214"/>
      <c r="E11351" s="24"/>
      <c r="G11351" s="24"/>
    </row>
    <row r="11352">
      <c r="B11352" s="24"/>
      <c r="C11352" s="24"/>
      <c r="D11352" s="214"/>
      <c r="E11352" s="24"/>
      <c r="G11352" s="24"/>
    </row>
    <row r="11353">
      <c r="B11353" s="24"/>
      <c r="C11353" s="24"/>
      <c r="D11353" s="214"/>
      <c r="E11353" s="24"/>
      <c r="G11353" s="24"/>
    </row>
    <row r="11354">
      <c r="B11354" s="24"/>
      <c r="C11354" s="24"/>
      <c r="D11354" s="214"/>
      <c r="E11354" s="24"/>
      <c r="G11354" s="24"/>
    </row>
    <row r="11355">
      <c r="B11355" s="24"/>
      <c r="C11355" s="24"/>
      <c r="D11355" s="214"/>
      <c r="E11355" s="24"/>
      <c r="G11355" s="24"/>
    </row>
    <row r="11356">
      <c r="B11356" s="24"/>
      <c r="C11356" s="24"/>
      <c r="D11356" s="214"/>
      <c r="E11356" s="24"/>
      <c r="G11356" s="24"/>
    </row>
    <row r="11357">
      <c r="B11357" s="24"/>
      <c r="C11357" s="24"/>
      <c r="D11357" s="214"/>
      <c r="E11357" s="24"/>
      <c r="G11357" s="24"/>
    </row>
    <row r="11358">
      <c r="B11358" s="24"/>
      <c r="C11358" s="24"/>
      <c r="D11358" s="214"/>
      <c r="E11358" s="24"/>
      <c r="G11358" s="24"/>
    </row>
    <row r="11359">
      <c r="B11359" s="24"/>
      <c r="C11359" s="24"/>
      <c r="D11359" s="214"/>
      <c r="E11359" s="24"/>
      <c r="G11359" s="24"/>
    </row>
    <row r="11360">
      <c r="B11360" s="24"/>
      <c r="C11360" s="24"/>
      <c r="D11360" s="214"/>
      <c r="E11360" s="24"/>
      <c r="G11360" s="24"/>
    </row>
    <row r="11361">
      <c r="B11361" s="24"/>
      <c r="C11361" s="24"/>
      <c r="D11361" s="214"/>
      <c r="E11361" s="24"/>
      <c r="G11361" s="24"/>
    </row>
    <row r="11362">
      <c r="B11362" s="24"/>
      <c r="C11362" s="24"/>
      <c r="D11362" s="214"/>
      <c r="E11362" s="24"/>
      <c r="G11362" s="24"/>
    </row>
    <row r="11363">
      <c r="B11363" s="24"/>
      <c r="C11363" s="24"/>
      <c r="D11363" s="214"/>
      <c r="E11363" s="24"/>
      <c r="G11363" s="24"/>
    </row>
    <row r="11364">
      <c r="B11364" s="24"/>
      <c r="C11364" s="24"/>
      <c r="D11364" s="214"/>
      <c r="E11364" s="24"/>
      <c r="G11364" s="24"/>
    </row>
    <row r="11365">
      <c r="B11365" s="24"/>
      <c r="C11365" s="24"/>
      <c r="D11365" s="214"/>
      <c r="E11365" s="24"/>
      <c r="G11365" s="24"/>
    </row>
    <row r="11366">
      <c r="B11366" s="24"/>
      <c r="C11366" s="24"/>
      <c r="D11366" s="214"/>
      <c r="E11366" s="24"/>
      <c r="G11366" s="24"/>
    </row>
    <row r="11367">
      <c r="B11367" s="24"/>
      <c r="C11367" s="24"/>
      <c r="D11367" s="214"/>
      <c r="E11367" s="24"/>
      <c r="G11367" s="24"/>
    </row>
    <row r="11368">
      <c r="B11368" s="24"/>
      <c r="C11368" s="24"/>
      <c r="D11368" s="214"/>
      <c r="E11368" s="24"/>
      <c r="G11368" s="24"/>
    </row>
    <row r="11369">
      <c r="B11369" s="24"/>
      <c r="C11369" s="24"/>
      <c r="D11369" s="214"/>
      <c r="E11369" s="24"/>
      <c r="G11369" s="24"/>
    </row>
    <row r="11370">
      <c r="B11370" s="24"/>
      <c r="C11370" s="24"/>
      <c r="D11370" s="214"/>
      <c r="E11370" s="24"/>
      <c r="G11370" s="24"/>
    </row>
    <row r="11371">
      <c r="B11371" s="24"/>
      <c r="C11371" s="24"/>
      <c r="D11371" s="214"/>
      <c r="E11371" s="24"/>
      <c r="G11371" s="24"/>
    </row>
    <row r="11372">
      <c r="B11372" s="24"/>
      <c r="C11372" s="24"/>
      <c r="D11372" s="214"/>
      <c r="E11372" s="24"/>
      <c r="G11372" s="24"/>
    </row>
    <row r="11373">
      <c r="B11373" s="24"/>
      <c r="C11373" s="24"/>
      <c r="D11373" s="214"/>
      <c r="E11373" s="24"/>
      <c r="G11373" s="24"/>
    </row>
    <row r="11374">
      <c r="B11374" s="24"/>
      <c r="C11374" s="24"/>
      <c r="D11374" s="214"/>
      <c r="E11374" s="24"/>
      <c r="G11374" s="24"/>
    </row>
    <row r="11375">
      <c r="B11375" s="24"/>
      <c r="C11375" s="24"/>
      <c r="D11375" s="214"/>
      <c r="E11375" s="24"/>
      <c r="G11375" s="24"/>
    </row>
    <row r="11376">
      <c r="B11376" s="24"/>
      <c r="C11376" s="24"/>
      <c r="D11376" s="214"/>
      <c r="E11376" s="24"/>
      <c r="G11376" s="24"/>
    </row>
    <row r="11377">
      <c r="B11377" s="24"/>
      <c r="C11377" s="24"/>
      <c r="D11377" s="214"/>
      <c r="E11377" s="24"/>
      <c r="G11377" s="24"/>
    </row>
    <row r="11378">
      <c r="B11378" s="24"/>
      <c r="C11378" s="24"/>
      <c r="D11378" s="214"/>
      <c r="E11378" s="24"/>
      <c r="G11378" s="24"/>
    </row>
    <row r="11379">
      <c r="B11379" s="24"/>
      <c r="C11379" s="24"/>
      <c r="D11379" s="214"/>
      <c r="E11379" s="24"/>
      <c r="G11379" s="24"/>
    </row>
    <row r="11380">
      <c r="B11380" s="24"/>
      <c r="C11380" s="24"/>
      <c r="D11380" s="214"/>
      <c r="E11380" s="24"/>
      <c r="G11380" s="24"/>
    </row>
    <row r="11381">
      <c r="B11381" s="24"/>
      <c r="C11381" s="24"/>
      <c r="D11381" s="214"/>
      <c r="E11381" s="24"/>
      <c r="G11381" s="24"/>
    </row>
    <row r="11382">
      <c r="B11382" s="24"/>
      <c r="C11382" s="24"/>
      <c r="D11382" s="214"/>
      <c r="E11382" s="24"/>
      <c r="G11382" s="24"/>
    </row>
    <row r="11383">
      <c r="B11383" s="24"/>
      <c r="C11383" s="24"/>
      <c r="D11383" s="214"/>
      <c r="E11383" s="24"/>
      <c r="G11383" s="24"/>
    </row>
    <row r="11384">
      <c r="B11384" s="24"/>
      <c r="C11384" s="24"/>
      <c r="D11384" s="214"/>
      <c r="E11384" s="24"/>
      <c r="G11384" s="24"/>
    </row>
    <row r="11385">
      <c r="B11385" s="24"/>
      <c r="C11385" s="24"/>
      <c r="D11385" s="214"/>
      <c r="E11385" s="24"/>
      <c r="G11385" s="24"/>
    </row>
    <row r="11386">
      <c r="B11386" s="24"/>
      <c r="C11386" s="24"/>
      <c r="D11386" s="214"/>
      <c r="E11386" s="24"/>
      <c r="G11386" s="24"/>
    </row>
    <row r="11387">
      <c r="B11387" s="24"/>
      <c r="C11387" s="24"/>
      <c r="D11387" s="214"/>
      <c r="E11387" s="24"/>
      <c r="G11387" s="24"/>
    </row>
    <row r="11388">
      <c r="B11388" s="24"/>
      <c r="C11388" s="24"/>
      <c r="D11388" s="214"/>
      <c r="E11388" s="24"/>
      <c r="G11388" s="24"/>
    </row>
    <row r="11389">
      <c r="B11389" s="24"/>
      <c r="C11389" s="24"/>
      <c r="D11389" s="214"/>
      <c r="E11389" s="24"/>
      <c r="G11389" s="24"/>
    </row>
    <row r="11390">
      <c r="B11390" s="24"/>
      <c r="C11390" s="24"/>
      <c r="D11390" s="214"/>
      <c r="E11390" s="24"/>
      <c r="G11390" s="24"/>
    </row>
    <row r="11391">
      <c r="B11391" s="24"/>
      <c r="C11391" s="24"/>
      <c r="D11391" s="214"/>
      <c r="E11391" s="24"/>
      <c r="G11391" s="24"/>
    </row>
    <row r="11392">
      <c r="B11392" s="24"/>
      <c r="C11392" s="24"/>
      <c r="D11392" s="214"/>
      <c r="E11392" s="24"/>
      <c r="G11392" s="24"/>
    </row>
    <row r="11393">
      <c r="B11393" s="24"/>
      <c r="C11393" s="24"/>
      <c r="D11393" s="214"/>
      <c r="E11393" s="24"/>
      <c r="G11393" s="24"/>
    </row>
    <row r="11394">
      <c r="B11394" s="24"/>
      <c r="C11394" s="24"/>
      <c r="D11394" s="214"/>
      <c r="E11394" s="24"/>
      <c r="G11394" s="24"/>
    </row>
    <row r="11395">
      <c r="B11395" s="24"/>
      <c r="C11395" s="24"/>
      <c r="D11395" s="214"/>
      <c r="E11395" s="24"/>
      <c r="G11395" s="24"/>
    </row>
    <row r="11396">
      <c r="B11396" s="24"/>
      <c r="C11396" s="24"/>
      <c r="D11396" s="214"/>
      <c r="E11396" s="24"/>
      <c r="G11396" s="24"/>
    </row>
    <row r="11397">
      <c r="B11397" s="24"/>
      <c r="C11397" s="24"/>
      <c r="D11397" s="214"/>
      <c r="E11397" s="24"/>
      <c r="G11397" s="24"/>
    </row>
    <row r="11398">
      <c r="B11398" s="24"/>
      <c r="C11398" s="24"/>
      <c r="D11398" s="214"/>
      <c r="E11398" s="24"/>
      <c r="G11398" s="24"/>
    </row>
    <row r="11399">
      <c r="B11399" s="24"/>
      <c r="C11399" s="24"/>
      <c r="D11399" s="214"/>
      <c r="E11399" s="24"/>
      <c r="G11399" s="24"/>
    </row>
    <row r="11400">
      <c r="B11400" s="24"/>
      <c r="C11400" s="24"/>
      <c r="D11400" s="214"/>
      <c r="E11400" s="24"/>
      <c r="G11400" s="24"/>
    </row>
    <row r="11401">
      <c r="B11401" s="24"/>
      <c r="C11401" s="24"/>
      <c r="D11401" s="214"/>
      <c r="E11401" s="24"/>
      <c r="G11401" s="24"/>
    </row>
    <row r="11402">
      <c r="B11402" s="24"/>
      <c r="C11402" s="24"/>
      <c r="D11402" s="214"/>
      <c r="E11402" s="24"/>
      <c r="G11402" s="24"/>
    </row>
    <row r="11403">
      <c r="B11403" s="24"/>
      <c r="C11403" s="24"/>
      <c r="D11403" s="214"/>
      <c r="E11403" s="24"/>
      <c r="G11403" s="24"/>
    </row>
    <row r="11404">
      <c r="B11404" s="24"/>
      <c r="C11404" s="24"/>
      <c r="D11404" s="214"/>
      <c r="E11404" s="24"/>
      <c r="G11404" s="24"/>
    </row>
    <row r="11405">
      <c r="B11405" s="24"/>
      <c r="C11405" s="24"/>
      <c r="D11405" s="214"/>
      <c r="E11405" s="24"/>
      <c r="G11405" s="24"/>
    </row>
    <row r="11406">
      <c r="B11406" s="24"/>
      <c r="C11406" s="24"/>
      <c r="D11406" s="214"/>
      <c r="E11406" s="24"/>
      <c r="G11406" s="24"/>
    </row>
    <row r="11407">
      <c r="B11407" s="24"/>
      <c r="C11407" s="24"/>
      <c r="D11407" s="214"/>
      <c r="E11407" s="24"/>
      <c r="G11407" s="24"/>
    </row>
    <row r="11408">
      <c r="B11408" s="24"/>
      <c r="C11408" s="24"/>
      <c r="D11408" s="214"/>
      <c r="E11408" s="24"/>
      <c r="G11408" s="24"/>
    </row>
    <row r="11409">
      <c r="B11409" s="24"/>
      <c r="C11409" s="24"/>
      <c r="D11409" s="214"/>
      <c r="E11409" s="24"/>
      <c r="G11409" s="24"/>
    </row>
    <row r="11410">
      <c r="B11410" s="24"/>
      <c r="C11410" s="24"/>
      <c r="D11410" s="214"/>
      <c r="E11410" s="24"/>
      <c r="G11410" s="24"/>
    </row>
    <row r="11411">
      <c r="B11411" s="24"/>
      <c r="C11411" s="24"/>
      <c r="D11411" s="214"/>
      <c r="E11411" s="24"/>
      <c r="G11411" s="24"/>
    </row>
    <row r="11412">
      <c r="B11412" s="24"/>
      <c r="C11412" s="24"/>
      <c r="D11412" s="214"/>
      <c r="E11412" s="24"/>
      <c r="G11412" s="24"/>
    </row>
    <row r="11413">
      <c r="B11413" s="24"/>
      <c r="C11413" s="24"/>
      <c r="D11413" s="214"/>
      <c r="E11413" s="24"/>
      <c r="G11413" s="24"/>
    </row>
    <row r="11414">
      <c r="B11414" s="24"/>
      <c r="C11414" s="24"/>
      <c r="D11414" s="214"/>
      <c r="E11414" s="24"/>
      <c r="G11414" s="24"/>
    </row>
    <row r="11415">
      <c r="B11415" s="24"/>
      <c r="C11415" s="24"/>
      <c r="D11415" s="214"/>
      <c r="E11415" s="24"/>
      <c r="G11415" s="24"/>
    </row>
    <row r="11416">
      <c r="B11416" s="24"/>
      <c r="C11416" s="24"/>
      <c r="D11416" s="214"/>
      <c r="E11416" s="24"/>
      <c r="G11416" s="24"/>
    </row>
    <row r="11417">
      <c r="B11417" s="24"/>
      <c r="C11417" s="24"/>
      <c r="D11417" s="214"/>
      <c r="E11417" s="24"/>
      <c r="G11417" s="24"/>
    </row>
    <row r="11418">
      <c r="B11418" s="24"/>
      <c r="C11418" s="24"/>
      <c r="D11418" s="214"/>
      <c r="E11418" s="24"/>
      <c r="G11418" s="24"/>
    </row>
    <row r="11419">
      <c r="B11419" s="24"/>
      <c r="C11419" s="24"/>
      <c r="D11419" s="214"/>
      <c r="E11419" s="24"/>
      <c r="G11419" s="24"/>
    </row>
    <row r="11420">
      <c r="B11420" s="24"/>
      <c r="C11420" s="24"/>
      <c r="D11420" s="214"/>
      <c r="E11420" s="24"/>
      <c r="G11420" s="24"/>
    </row>
    <row r="11421">
      <c r="B11421" s="24"/>
      <c r="C11421" s="24"/>
      <c r="D11421" s="214"/>
      <c r="E11421" s="24"/>
      <c r="G11421" s="24"/>
    </row>
    <row r="11422">
      <c r="B11422" s="24"/>
      <c r="C11422" s="24"/>
      <c r="D11422" s="214"/>
      <c r="E11422" s="24"/>
      <c r="G11422" s="24"/>
    </row>
    <row r="11423">
      <c r="B11423" s="24"/>
      <c r="C11423" s="24"/>
      <c r="D11423" s="214"/>
      <c r="E11423" s="24"/>
      <c r="G11423" s="24"/>
    </row>
    <row r="11424">
      <c r="B11424" s="24"/>
      <c r="C11424" s="24"/>
      <c r="D11424" s="214"/>
      <c r="E11424" s="24"/>
      <c r="G11424" s="24"/>
    </row>
    <row r="11425">
      <c r="B11425" s="24"/>
      <c r="C11425" s="24"/>
      <c r="D11425" s="214"/>
      <c r="E11425" s="24"/>
      <c r="G11425" s="24"/>
    </row>
    <row r="11426">
      <c r="B11426" s="24"/>
      <c r="C11426" s="24"/>
      <c r="D11426" s="214"/>
      <c r="E11426" s="24"/>
      <c r="G11426" s="24"/>
    </row>
    <row r="11427">
      <c r="B11427" s="24"/>
      <c r="C11427" s="24"/>
      <c r="D11427" s="214"/>
      <c r="E11427" s="24"/>
      <c r="G11427" s="24"/>
    </row>
    <row r="11428">
      <c r="B11428" s="24"/>
      <c r="C11428" s="24"/>
      <c r="D11428" s="214"/>
      <c r="E11428" s="24"/>
      <c r="G11428" s="24"/>
    </row>
    <row r="11429">
      <c r="B11429" s="24"/>
      <c r="C11429" s="24"/>
      <c r="D11429" s="214"/>
      <c r="E11429" s="24"/>
      <c r="G11429" s="24"/>
    </row>
    <row r="11430">
      <c r="B11430" s="24"/>
      <c r="C11430" s="24"/>
      <c r="D11430" s="214"/>
      <c r="E11430" s="24"/>
      <c r="G11430" s="24"/>
    </row>
    <row r="11431">
      <c r="B11431" s="24"/>
      <c r="C11431" s="24"/>
      <c r="D11431" s="214"/>
      <c r="E11431" s="24"/>
      <c r="G11431" s="24"/>
    </row>
    <row r="11432">
      <c r="B11432" s="24"/>
      <c r="C11432" s="24"/>
      <c r="D11432" s="214"/>
      <c r="E11432" s="24"/>
      <c r="G11432" s="24"/>
    </row>
    <row r="11433">
      <c r="B11433" s="24"/>
      <c r="C11433" s="24"/>
      <c r="D11433" s="214"/>
      <c r="E11433" s="24"/>
      <c r="G11433" s="24"/>
    </row>
    <row r="11434">
      <c r="B11434" s="24"/>
      <c r="C11434" s="24"/>
      <c r="D11434" s="214"/>
      <c r="E11434" s="24"/>
      <c r="G11434" s="24"/>
    </row>
    <row r="11435">
      <c r="B11435" s="24"/>
      <c r="C11435" s="24"/>
      <c r="D11435" s="214"/>
      <c r="E11435" s="24"/>
      <c r="G11435" s="24"/>
    </row>
    <row r="11436">
      <c r="B11436" s="24"/>
      <c r="C11436" s="24"/>
      <c r="D11436" s="214"/>
      <c r="E11436" s="24"/>
      <c r="G11436" s="24"/>
    </row>
    <row r="11437">
      <c r="B11437" s="24"/>
      <c r="C11437" s="24"/>
      <c r="D11437" s="214"/>
      <c r="E11437" s="24"/>
      <c r="G11437" s="24"/>
    </row>
    <row r="11438">
      <c r="B11438" s="24"/>
      <c r="C11438" s="24"/>
      <c r="D11438" s="214"/>
      <c r="E11438" s="24"/>
      <c r="G11438" s="24"/>
    </row>
    <row r="11439">
      <c r="B11439" s="24"/>
      <c r="C11439" s="24"/>
      <c r="D11439" s="214"/>
      <c r="E11439" s="24"/>
      <c r="G11439" s="24"/>
    </row>
    <row r="11440">
      <c r="B11440" s="24"/>
      <c r="C11440" s="24"/>
      <c r="D11440" s="214"/>
      <c r="E11440" s="24"/>
      <c r="G11440" s="24"/>
    </row>
    <row r="11441">
      <c r="B11441" s="24"/>
      <c r="C11441" s="24"/>
      <c r="D11441" s="214"/>
      <c r="E11441" s="24"/>
      <c r="G11441" s="24"/>
    </row>
    <row r="11442">
      <c r="B11442" s="24"/>
      <c r="C11442" s="24"/>
      <c r="D11442" s="214"/>
      <c r="E11442" s="24"/>
      <c r="G11442" s="24"/>
    </row>
    <row r="11443">
      <c r="B11443" s="24"/>
      <c r="C11443" s="24"/>
      <c r="D11443" s="214"/>
      <c r="E11443" s="24"/>
      <c r="G11443" s="24"/>
    </row>
    <row r="11444">
      <c r="B11444" s="24"/>
      <c r="C11444" s="24"/>
      <c r="D11444" s="214"/>
      <c r="E11444" s="24"/>
      <c r="G11444" s="24"/>
    </row>
    <row r="11445">
      <c r="B11445" s="24"/>
      <c r="C11445" s="24"/>
      <c r="D11445" s="214"/>
      <c r="E11445" s="24"/>
      <c r="G11445" s="24"/>
    </row>
    <row r="11446">
      <c r="B11446" s="24"/>
      <c r="C11446" s="24"/>
      <c r="D11446" s="214"/>
      <c r="E11446" s="24"/>
      <c r="G11446" s="24"/>
    </row>
    <row r="11447">
      <c r="B11447" s="24"/>
      <c r="C11447" s="24"/>
      <c r="D11447" s="214"/>
      <c r="E11447" s="24"/>
      <c r="G11447" s="24"/>
    </row>
    <row r="11448">
      <c r="B11448" s="24"/>
      <c r="C11448" s="24"/>
      <c r="D11448" s="214"/>
      <c r="E11448" s="24"/>
      <c r="G11448" s="24"/>
    </row>
    <row r="11449">
      <c r="B11449" s="24"/>
      <c r="C11449" s="24"/>
      <c r="D11449" s="214"/>
      <c r="E11449" s="24"/>
      <c r="G11449" s="24"/>
    </row>
    <row r="11450">
      <c r="B11450" s="24"/>
      <c r="C11450" s="24"/>
      <c r="D11450" s="214"/>
      <c r="E11450" s="24"/>
      <c r="G11450" s="24"/>
    </row>
    <row r="11451">
      <c r="B11451" s="24"/>
      <c r="C11451" s="24"/>
      <c r="D11451" s="214"/>
      <c r="E11451" s="24"/>
      <c r="G11451" s="24"/>
    </row>
    <row r="11452">
      <c r="B11452" s="24"/>
      <c r="C11452" s="24"/>
      <c r="D11452" s="214"/>
      <c r="E11452" s="24"/>
      <c r="G11452" s="24"/>
    </row>
    <row r="11453">
      <c r="B11453" s="24"/>
      <c r="C11453" s="24"/>
      <c r="D11453" s="214"/>
      <c r="E11453" s="24"/>
      <c r="G11453" s="24"/>
    </row>
    <row r="11454">
      <c r="B11454" s="24"/>
      <c r="C11454" s="24"/>
      <c r="D11454" s="214"/>
      <c r="E11454" s="24"/>
      <c r="G11454" s="24"/>
    </row>
    <row r="11455">
      <c r="B11455" s="24"/>
      <c r="C11455" s="24"/>
      <c r="D11455" s="214"/>
      <c r="E11455" s="24"/>
      <c r="G11455" s="24"/>
    </row>
    <row r="11456">
      <c r="B11456" s="24"/>
      <c r="C11456" s="24"/>
      <c r="D11456" s="214"/>
      <c r="E11456" s="24"/>
      <c r="G11456" s="24"/>
    </row>
    <row r="11457">
      <c r="B11457" s="24"/>
      <c r="C11457" s="24"/>
      <c r="D11457" s="214"/>
      <c r="E11457" s="24"/>
      <c r="G11457" s="24"/>
    </row>
    <row r="11458">
      <c r="B11458" s="24"/>
      <c r="C11458" s="24"/>
      <c r="D11458" s="214"/>
      <c r="E11458" s="24"/>
      <c r="G11458" s="24"/>
    </row>
    <row r="11459">
      <c r="B11459" s="24"/>
      <c r="C11459" s="24"/>
      <c r="D11459" s="214"/>
      <c r="E11459" s="24"/>
      <c r="G11459" s="24"/>
    </row>
    <row r="11460">
      <c r="B11460" s="24"/>
      <c r="C11460" s="24"/>
      <c r="D11460" s="214"/>
      <c r="E11460" s="24"/>
      <c r="G11460" s="24"/>
    </row>
    <row r="11461">
      <c r="B11461" s="24"/>
      <c r="C11461" s="24"/>
      <c r="D11461" s="214"/>
      <c r="E11461" s="24"/>
      <c r="G11461" s="24"/>
    </row>
    <row r="11462">
      <c r="B11462" s="24"/>
      <c r="C11462" s="24"/>
      <c r="D11462" s="214"/>
      <c r="E11462" s="24"/>
      <c r="G11462" s="24"/>
    </row>
    <row r="11463">
      <c r="B11463" s="24"/>
      <c r="C11463" s="24"/>
      <c r="D11463" s="214"/>
      <c r="E11463" s="24"/>
      <c r="G11463" s="24"/>
    </row>
    <row r="11464">
      <c r="B11464" s="24"/>
      <c r="C11464" s="24"/>
      <c r="D11464" s="214"/>
      <c r="E11464" s="24"/>
      <c r="G11464" s="24"/>
    </row>
    <row r="11465">
      <c r="B11465" s="24"/>
      <c r="C11465" s="24"/>
      <c r="D11465" s="214"/>
      <c r="E11465" s="24"/>
      <c r="G11465" s="24"/>
    </row>
    <row r="11466">
      <c r="B11466" s="24"/>
      <c r="C11466" s="24"/>
      <c r="D11466" s="214"/>
      <c r="E11466" s="24"/>
      <c r="G11466" s="24"/>
    </row>
    <row r="11467">
      <c r="B11467" s="24"/>
      <c r="C11467" s="24"/>
      <c r="D11467" s="214"/>
      <c r="E11467" s="24"/>
      <c r="G11467" s="24"/>
    </row>
    <row r="11468">
      <c r="B11468" s="24"/>
      <c r="C11468" s="24"/>
      <c r="D11468" s="214"/>
      <c r="E11468" s="24"/>
      <c r="G11468" s="24"/>
    </row>
    <row r="11469">
      <c r="B11469" s="24"/>
      <c r="C11469" s="24"/>
      <c r="D11469" s="214"/>
      <c r="E11469" s="24"/>
      <c r="G11469" s="24"/>
    </row>
    <row r="11470">
      <c r="B11470" s="24"/>
      <c r="C11470" s="24"/>
      <c r="D11470" s="214"/>
      <c r="E11470" s="24"/>
      <c r="G11470" s="24"/>
    </row>
    <row r="11471">
      <c r="B11471" s="24"/>
      <c r="C11471" s="24"/>
      <c r="D11471" s="214"/>
      <c r="E11471" s="24"/>
      <c r="G11471" s="24"/>
    </row>
    <row r="11472">
      <c r="B11472" s="24"/>
      <c r="C11472" s="24"/>
      <c r="D11472" s="214"/>
      <c r="E11472" s="24"/>
      <c r="G11472" s="24"/>
    </row>
    <row r="11473">
      <c r="B11473" s="24"/>
      <c r="C11473" s="24"/>
      <c r="D11473" s="214"/>
      <c r="E11473" s="24"/>
      <c r="G11473" s="24"/>
    </row>
    <row r="11474">
      <c r="B11474" s="24"/>
      <c r="C11474" s="24"/>
      <c r="D11474" s="214"/>
      <c r="E11474" s="24"/>
      <c r="G11474" s="24"/>
    </row>
    <row r="11475">
      <c r="B11475" s="24"/>
      <c r="C11475" s="24"/>
      <c r="D11475" s="214"/>
      <c r="E11475" s="24"/>
      <c r="G11475" s="24"/>
    </row>
    <row r="11476">
      <c r="B11476" s="24"/>
      <c r="C11476" s="24"/>
      <c r="D11476" s="214"/>
      <c r="E11476" s="24"/>
      <c r="G11476" s="24"/>
    </row>
    <row r="11477">
      <c r="B11477" s="24"/>
      <c r="C11477" s="24"/>
      <c r="D11477" s="214"/>
      <c r="E11477" s="24"/>
      <c r="G11477" s="24"/>
    </row>
    <row r="11478">
      <c r="B11478" s="24"/>
      <c r="C11478" s="24"/>
      <c r="D11478" s="214"/>
      <c r="E11478" s="24"/>
      <c r="G11478" s="24"/>
    </row>
    <row r="11479">
      <c r="B11479" s="24"/>
      <c r="C11479" s="24"/>
      <c r="D11479" s="214"/>
      <c r="E11479" s="24"/>
      <c r="G11479" s="24"/>
    </row>
    <row r="11480">
      <c r="B11480" s="24"/>
      <c r="C11480" s="24"/>
      <c r="D11480" s="214"/>
      <c r="E11480" s="24"/>
      <c r="G11480" s="24"/>
    </row>
    <row r="11481">
      <c r="B11481" s="24"/>
      <c r="C11481" s="24"/>
      <c r="D11481" s="214"/>
      <c r="E11481" s="24"/>
      <c r="G11481" s="24"/>
    </row>
    <row r="11482">
      <c r="B11482" s="24"/>
      <c r="C11482" s="24"/>
      <c r="D11482" s="214"/>
      <c r="E11482" s="24"/>
      <c r="G11482" s="24"/>
    </row>
    <row r="11483">
      <c r="B11483" s="24"/>
      <c r="C11483" s="24"/>
      <c r="D11483" s="214"/>
      <c r="E11483" s="24"/>
      <c r="G11483" s="24"/>
    </row>
    <row r="11484">
      <c r="B11484" s="24"/>
      <c r="C11484" s="24"/>
      <c r="D11484" s="214"/>
      <c r="E11484" s="24"/>
      <c r="G11484" s="24"/>
    </row>
    <row r="11485">
      <c r="B11485" s="24"/>
      <c r="C11485" s="24"/>
      <c r="D11485" s="214"/>
      <c r="E11485" s="24"/>
      <c r="G11485" s="24"/>
    </row>
    <row r="11486">
      <c r="B11486" s="24"/>
      <c r="C11486" s="24"/>
      <c r="D11486" s="214"/>
      <c r="E11486" s="24"/>
      <c r="G11486" s="24"/>
    </row>
    <row r="11487">
      <c r="B11487" s="24"/>
      <c r="C11487" s="24"/>
      <c r="D11487" s="214"/>
      <c r="E11487" s="24"/>
      <c r="G11487" s="24"/>
    </row>
    <row r="11488">
      <c r="B11488" s="24"/>
      <c r="C11488" s="24"/>
      <c r="D11488" s="214"/>
      <c r="E11488" s="24"/>
      <c r="G11488" s="24"/>
    </row>
    <row r="11489">
      <c r="B11489" s="24"/>
      <c r="C11489" s="24"/>
      <c r="D11489" s="214"/>
      <c r="E11489" s="24"/>
      <c r="G11489" s="24"/>
    </row>
    <row r="11490">
      <c r="B11490" s="24"/>
      <c r="C11490" s="24"/>
      <c r="D11490" s="214"/>
      <c r="E11490" s="24"/>
      <c r="G11490" s="24"/>
    </row>
    <row r="11491">
      <c r="B11491" s="24"/>
      <c r="C11491" s="24"/>
      <c r="D11491" s="214"/>
      <c r="E11491" s="24"/>
      <c r="G11491" s="24"/>
    </row>
    <row r="11492">
      <c r="B11492" s="24"/>
      <c r="C11492" s="24"/>
      <c r="D11492" s="214"/>
      <c r="E11492" s="24"/>
      <c r="G11492" s="24"/>
    </row>
    <row r="11493">
      <c r="B11493" s="24"/>
      <c r="C11493" s="24"/>
      <c r="D11493" s="214"/>
      <c r="E11493" s="24"/>
      <c r="G11493" s="24"/>
    </row>
    <row r="11494">
      <c r="B11494" s="24"/>
      <c r="C11494" s="24"/>
      <c r="D11494" s="214"/>
      <c r="E11494" s="24"/>
      <c r="G11494" s="24"/>
    </row>
    <row r="11495">
      <c r="B11495" s="24"/>
      <c r="C11495" s="24"/>
      <c r="D11495" s="214"/>
      <c r="E11495" s="24"/>
      <c r="G11495" s="24"/>
    </row>
    <row r="11496">
      <c r="B11496" s="24"/>
      <c r="C11496" s="24"/>
      <c r="D11496" s="214"/>
      <c r="E11496" s="24"/>
      <c r="G11496" s="24"/>
    </row>
    <row r="11497">
      <c r="B11497" s="24"/>
      <c r="C11497" s="24"/>
      <c r="D11497" s="214"/>
      <c r="E11497" s="24"/>
      <c r="G11497" s="24"/>
    </row>
    <row r="11498">
      <c r="B11498" s="24"/>
      <c r="C11498" s="24"/>
      <c r="D11498" s="214"/>
      <c r="E11498" s="24"/>
      <c r="G11498" s="24"/>
    </row>
    <row r="11499">
      <c r="B11499" s="24"/>
      <c r="C11499" s="24"/>
      <c r="D11499" s="214"/>
      <c r="E11499" s="24"/>
      <c r="G11499" s="24"/>
    </row>
    <row r="11500">
      <c r="B11500" s="24"/>
      <c r="C11500" s="24"/>
      <c r="D11500" s="214"/>
      <c r="E11500" s="24"/>
      <c r="G11500" s="24"/>
    </row>
    <row r="11501">
      <c r="B11501" s="24"/>
      <c r="C11501" s="24"/>
      <c r="D11501" s="214"/>
      <c r="E11501" s="24"/>
      <c r="G11501" s="24"/>
    </row>
    <row r="11502">
      <c r="B11502" s="24"/>
      <c r="C11502" s="24"/>
      <c r="D11502" s="214"/>
      <c r="E11502" s="24"/>
      <c r="G11502" s="24"/>
    </row>
    <row r="11503">
      <c r="B11503" s="24"/>
      <c r="C11503" s="24"/>
      <c r="D11503" s="214"/>
      <c r="E11503" s="24"/>
      <c r="G11503" s="24"/>
    </row>
    <row r="11504">
      <c r="B11504" s="24"/>
      <c r="C11504" s="24"/>
      <c r="D11504" s="214"/>
      <c r="E11504" s="24"/>
      <c r="G11504" s="24"/>
    </row>
    <row r="11505">
      <c r="B11505" s="24"/>
      <c r="C11505" s="24"/>
      <c r="D11505" s="214"/>
      <c r="E11505" s="24"/>
      <c r="G11505" s="24"/>
    </row>
    <row r="11506">
      <c r="B11506" s="24"/>
      <c r="C11506" s="24"/>
      <c r="D11506" s="214"/>
      <c r="E11506" s="24"/>
      <c r="G11506" s="24"/>
    </row>
    <row r="11507">
      <c r="B11507" s="24"/>
      <c r="C11507" s="24"/>
      <c r="D11507" s="214"/>
      <c r="E11507" s="24"/>
      <c r="G11507" s="24"/>
    </row>
    <row r="11508">
      <c r="B11508" s="24"/>
      <c r="C11508" s="24"/>
      <c r="D11508" s="214"/>
      <c r="E11508" s="24"/>
      <c r="G11508" s="24"/>
    </row>
    <row r="11509">
      <c r="B11509" s="24"/>
      <c r="C11509" s="24"/>
      <c r="D11509" s="214"/>
      <c r="E11509" s="24"/>
      <c r="G11509" s="24"/>
    </row>
    <row r="11510">
      <c r="B11510" s="24"/>
      <c r="C11510" s="24"/>
      <c r="D11510" s="214"/>
      <c r="E11510" s="24"/>
      <c r="G11510" s="24"/>
    </row>
    <row r="11511">
      <c r="B11511" s="24"/>
      <c r="C11511" s="24"/>
      <c r="D11511" s="214"/>
      <c r="E11511" s="24"/>
      <c r="G11511" s="24"/>
    </row>
    <row r="11512">
      <c r="B11512" s="24"/>
      <c r="C11512" s="24"/>
      <c r="D11512" s="214"/>
      <c r="E11512" s="24"/>
      <c r="G11512" s="24"/>
    </row>
    <row r="11513">
      <c r="B11513" s="24"/>
      <c r="C11513" s="24"/>
      <c r="D11513" s="214"/>
      <c r="E11513" s="24"/>
      <c r="G11513" s="24"/>
    </row>
    <row r="11514">
      <c r="B11514" s="24"/>
      <c r="C11514" s="24"/>
      <c r="D11514" s="214"/>
      <c r="E11514" s="24"/>
      <c r="G11514" s="24"/>
    </row>
    <row r="11515">
      <c r="B11515" s="24"/>
      <c r="C11515" s="24"/>
      <c r="D11515" s="214"/>
      <c r="E11515" s="24"/>
      <c r="G11515" s="24"/>
    </row>
    <row r="11516">
      <c r="B11516" s="24"/>
      <c r="C11516" s="24"/>
      <c r="D11516" s="214"/>
      <c r="E11516" s="24"/>
      <c r="G11516" s="24"/>
    </row>
    <row r="11517">
      <c r="B11517" s="24"/>
      <c r="C11517" s="24"/>
      <c r="D11517" s="214"/>
      <c r="E11517" s="24"/>
      <c r="G11517" s="24"/>
    </row>
    <row r="11518">
      <c r="B11518" s="24"/>
      <c r="C11518" s="24"/>
      <c r="D11518" s="214"/>
      <c r="E11518" s="24"/>
      <c r="G11518" s="24"/>
    </row>
    <row r="11519">
      <c r="B11519" s="24"/>
      <c r="C11519" s="24"/>
      <c r="D11519" s="214"/>
      <c r="E11519" s="24"/>
      <c r="G11519" s="24"/>
    </row>
    <row r="11520">
      <c r="B11520" s="24"/>
      <c r="C11520" s="24"/>
      <c r="D11520" s="214"/>
      <c r="E11520" s="24"/>
      <c r="G11520" s="24"/>
    </row>
    <row r="11521">
      <c r="B11521" s="24"/>
      <c r="C11521" s="24"/>
      <c r="D11521" s="214"/>
      <c r="E11521" s="24"/>
      <c r="G11521" s="24"/>
    </row>
    <row r="11522">
      <c r="B11522" s="24"/>
      <c r="C11522" s="24"/>
      <c r="D11522" s="214"/>
      <c r="E11522" s="24"/>
      <c r="G11522" s="24"/>
    </row>
    <row r="11523">
      <c r="B11523" s="24"/>
      <c r="C11523" s="24"/>
      <c r="D11523" s="214"/>
      <c r="E11523" s="24"/>
      <c r="G11523" s="24"/>
    </row>
    <row r="11524">
      <c r="B11524" s="24"/>
      <c r="C11524" s="24"/>
      <c r="D11524" s="214"/>
      <c r="E11524" s="24"/>
      <c r="G11524" s="24"/>
    </row>
    <row r="11525">
      <c r="B11525" s="24"/>
      <c r="C11525" s="24"/>
      <c r="D11525" s="214"/>
      <c r="E11525" s="24"/>
      <c r="G11525" s="24"/>
    </row>
    <row r="11526">
      <c r="B11526" s="24"/>
      <c r="C11526" s="24"/>
      <c r="D11526" s="214"/>
      <c r="E11526" s="24"/>
      <c r="G11526" s="24"/>
    </row>
    <row r="11527">
      <c r="B11527" s="24"/>
      <c r="C11527" s="24"/>
      <c r="D11527" s="214"/>
      <c r="E11527" s="24"/>
      <c r="G11527" s="24"/>
    </row>
    <row r="11528">
      <c r="B11528" s="24"/>
      <c r="C11528" s="24"/>
      <c r="D11528" s="214"/>
      <c r="E11528" s="24"/>
      <c r="G11528" s="24"/>
    </row>
    <row r="11529">
      <c r="B11529" s="24"/>
      <c r="C11529" s="24"/>
      <c r="D11529" s="214"/>
      <c r="E11529" s="24"/>
      <c r="G11529" s="24"/>
    </row>
    <row r="11530">
      <c r="B11530" s="24"/>
      <c r="C11530" s="24"/>
      <c r="D11530" s="214"/>
      <c r="E11530" s="24"/>
      <c r="G11530" s="24"/>
    </row>
    <row r="11531">
      <c r="B11531" s="24"/>
      <c r="C11531" s="24"/>
      <c r="D11531" s="214"/>
      <c r="E11531" s="24"/>
      <c r="G11531" s="24"/>
    </row>
    <row r="11532">
      <c r="B11532" s="24"/>
      <c r="C11532" s="24"/>
      <c r="D11532" s="214"/>
      <c r="E11532" s="24"/>
      <c r="G11532" s="24"/>
    </row>
    <row r="11533">
      <c r="B11533" s="24"/>
      <c r="C11533" s="24"/>
      <c r="D11533" s="214"/>
      <c r="E11533" s="24"/>
      <c r="G11533" s="24"/>
    </row>
    <row r="11534">
      <c r="B11534" s="24"/>
      <c r="C11534" s="24"/>
      <c r="D11534" s="214"/>
      <c r="E11534" s="24"/>
      <c r="G11534" s="24"/>
    </row>
    <row r="11535">
      <c r="B11535" s="24"/>
      <c r="C11535" s="24"/>
      <c r="D11535" s="214"/>
      <c r="E11535" s="24"/>
      <c r="G11535" s="24"/>
    </row>
    <row r="11536">
      <c r="B11536" s="24"/>
      <c r="C11536" s="24"/>
      <c r="D11536" s="214"/>
      <c r="E11536" s="24"/>
      <c r="G11536" s="24"/>
    </row>
    <row r="11537">
      <c r="B11537" s="24"/>
      <c r="C11537" s="24"/>
      <c r="D11537" s="214"/>
      <c r="E11537" s="24"/>
      <c r="G11537" s="24"/>
    </row>
    <row r="11538">
      <c r="B11538" s="24"/>
      <c r="C11538" s="24"/>
      <c r="D11538" s="214"/>
      <c r="E11538" s="24"/>
      <c r="G11538" s="24"/>
    </row>
    <row r="11539">
      <c r="B11539" s="24"/>
      <c r="C11539" s="24"/>
      <c r="D11539" s="214"/>
      <c r="E11539" s="24"/>
      <c r="G11539" s="24"/>
    </row>
    <row r="11540">
      <c r="B11540" s="24"/>
      <c r="C11540" s="24"/>
      <c r="D11540" s="214"/>
      <c r="E11540" s="24"/>
      <c r="G11540" s="24"/>
    </row>
    <row r="11541">
      <c r="B11541" s="24"/>
      <c r="C11541" s="24"/>
      <c r="D11541" s="214"/>
      <c r="E11541" s="24"/>
      <c r="G11541" s="24"/>
    </row>
    <row r="11542">
      <c r="B11542" s="24"/>
      <c r="C11542" s="24"/>
      <c r="D11542" s="214"/>
      <c r="E11542" s="24"/>
      <c r="G11542" s="24"/>
    </row>
    <row r="11543">
      <c r="B11543" s="24"/>
      <c r="C11543" s="24"/>
      <c r="D11543" s="214"/>
      <c r="E11543" s="24"/>
      <c r="G11543" s="24"/>
    </row>
    <row r="11544">
      <c r="B11544" s="24"/>
      <c r="C11544" s="24"/>
      <c r="D11544" s="214"/>
      <c r="E11544" s="24"/>
      <c r="G11544" s="24"/>
    </row>
    <row r="11545">
      <c r="B11545" s="24"/>
      <c r="C11545" s="24"/>
      <c r="D11545" s="214"/>
      <c r="E11545" s="24"/>
      <c r="G11545" s="24"/>
    </row>
    <row r="11546">
      <c r="B11546" s="24"/>
      <c r="C11546" s="24"/>
      <c r="D11546" s="214"/>
      <c r="E11546" s="24"/>
      <c r="G11546" s="24"/>
    </row>
    <row r="11547">
      <c r="B11547" s="24"/>
      <c r="C11547" s="24"/>
      <c r="D11547" s="214"/>
      <c r="E11547" s="24"/>
      <c r="G11547" s="24"/>
    </row>
    <row r="11548">
      <c r="B11548" s="24"/>
      <c r="C11548" s="24"/>
      <c r="D11548" s="214"/>
      <c r="E11548" s="24"/>
      <c r="G11548" s="24"/>
    </row>
    <row r="11549">
      <c r="B11549" s="24"/>
      <c r="C11549" s="24"/>
      <c r="D11549" s="214"/>
      <c r="E11549" s="24"/>
      <c r="G11549" s="24"/>
    </row>
    <row r="11550">
      <c r="B11550" s="24"/>
      <c r="C11550" s="24"/>
      <c r="D11550" s="214"/>
      <c r="E11550" s="24"/>
      <c r="G11550" s="24"/>
    </row>
    <row r="11551">
      <c r="B11551" s="24"/>
      <c r="C11551" s="24"/>
      <c r="D11551" s="214"/>
      <c r="E11551" s="24"/>
      <c r="G11551" s="24"/>
    </row>
    <row r="11552">
      <c r="B11552" s="24"/>
      <c r="C11552" s="24"/>
      <c r="D11552" s="214"/>
      <c r="E11552" s="24"/>
      <c r="G11552" s="24"/>
    </row>
    <row r="11553">
      <c r="B11553" s="24"/>
      <c r="C11553" s="24"/>
      <c r="D11553" s="214"/>
      <c r="E11553" s="24"/>
      <c r="G11553" s="24"/>
    </row>
    <row r="11554">
      <c r="B11554" s="24"/>
      <c r="C11554" s="24"/>
      <c r="D11554" s="214"/>
      <c r="E11554" s="24"/>
      <c r="G11554" s="24"/>
    </row>
    <row r="11555">
      <c r="B11555" s="24"/>
      <c r="C11555" s="24"/>
      <c r="D11555" s="214"/>
      <c r="E11555" s="24"/>
      <c r="G11555" s="24"/>
    </row>
    <row r="11556">
      <c r="B11556" s="24"/>
      <c r="C11556" s="24"/>
      <c r="D11556" s="214"/>
      <c r="E11556" s="24"/>
      <c r="G11556" s="24"/>
    </row>
    <row r="11557">
      <c r="B11557" s="24"/>
      <c r="C11557" s="24"/>
      <c r="D11557" s="214"/>
      <c r="E11557" s="24"/>
      <c r="G11557" s="24"/>
    </row>
    <row r="11558">
      <c r="B11558" s="24"/>
      <c r="C11558" s="24"/>
      <c r="D11558" s="214"/>
      <c r="E11558" s="24"/>
      <c r="G11558" s="24"/>
    </row>
    <row r="11559">
      <c r="B11559" s="24"/>
      <c r="C11559" s="24"/>
      <c r="D11559" s="214"/>
      <c r="E11559" s="24"/>
      <c r="G11559" s="24"/>
    </row>
    <row r="11560">
      <c r="B11560" s="24"/>
      <c r="C11560" s="24"/>
      <c r="D11560" s="214"/>
      <c r="E11560" s="24"/>
      <c r="G11560" s="24"/>
    </row>
    <row r="11561">
      <c r="B11561" s="24"/>
      <c r="C11561" s="24"/>
      <c r="D11561" s="214"/>
      <c r="E11561" s="24"/>
      <c r="G11561" s="24"/>
    </row>
    <row r="11562">
      <c r="B11562" s="24"/>
      <c r="C11562" s="24"/>
      <c r="D11562" s="214"/>
      <c r="E11562" s="24"/>
      <c r="G11562" s="24"/>
    </row>
    <row r="11563">
      <c r="B11563" s="24"/>
      <c r="C11563" s="24"/>
      <c r="D11563" s="214"/>
      <c r="E11563" s="24"/>
      <c r="G11563" s="24"/>
    </row>
    <row r="11564">
      <c r="B11564" s="24"/>
      <c r="C11564" s="24"/>
      <c r="D11564" s="214"/>
      <c r="E11564" s="24"/>
      <c r="G11564" s="24"/>
    </row>
    <row r="11565">
      <c r="B11565" s="24"/>
      <c r="C11565" s="24"/>
      <c r="D11565" s="214"/>
      <c r="E11565" s="24"/>
      <c r="G11565" s="24"/>
    </row>
    <row r="11566">
      <c r="B11566" s="24"/>
      <c r="C11566" s="24"/>
      <c r="D11566" s="214"/>
      <c r="E11566" s="24"/>
      <c r="G11566" s="24"/>
    </row>
    <row r="11567">
      <c r="B11567" s="24"/>
      <c r="C11567" s="24"/>
      <c r="D11567" s="214"/>
      <c r="E11567" s="24"/>
      <c r="G11567" s="24"/>
    </row>
    <row r="11568">
      <c r="B11568" s="24"/>
      <c r="C11568" s="24"/>
      <c r="D11568" s="214"/>
      <c r="E11568" s="24"/>
      <c r="G11568" s="24"/>
    </row>
    <row r="11569">
      <c r="B11569" s="24"/>
      <c r="C11569" s="24"/>
      <c r="D11569" s="214"/>
      <c r="E11569" s="24"/>
      <c r="G11569" s="24"/>
    </row>
    <row r="11570">
      <c r="B11570" s="24"/>
      <c r="C11570" s="24"/>
      <c r="D11570" s="214"/>
      <c r="E11570" s="24"/>
      <c r="G11570" s="24"/>
    </row>
    <row r="11571">
      <c r="B11571" s="24"/>
      <c r="C11571" s="24"/>
      <c r="D11571" s="214"/>
      <c r="E11571" s="24"/>
      <c r="G11571" s="24"/>
    </row>
    <row r="11572">
      <c r="B11572" s="24"/>
      <c r="C11572" s="24"/>
      <c r="D11572" s="214"/>
      <c r="E11572" s="24"/>
      <c r="G11572" s="24"/>
    </row>
    <row r="11573">
      <c r="B11573" s="24"/>
      <c r="C11573" s="24"/>
      <c r="D11573" s="214"/>
      <c r="E11573" s="24"/>
      <c r="G11573" s="24"/>
    </row>
    <row r="11574">
      <c r="B11574" s="24"/>
      <c r="C11574" s="24"/>
      <c r="D11574" s="214"/>
      <c r="E11574" s="24"/>
      <c r="G11574" s="24"/>
    </row>
    <row r="11575">
      <c r="B11575" s="24"/>
      <c r="C11575" s="24"/>
      <c r="D11575" s="214"/>
      <c r="E11575" s="24"/>
      <c r="G11575" s="24"/>
    </row>
    <row r="11576">
      <c r="B11576" s="24"/>
      <c r="C11576" s="24"/>
      <c r="D11576" s="214"/>
      <c r="E11576" s="24"/>
      <c r="G11576" s="24"/>
    </row>
    <row r="11577">
      <c r="B11577" s="24"/>
      <c r="C11577" s="24"/>
      <c r="D11577" s="214"/>
      <c r="E11577" s="24"/>
      <c r="G11577" s="24"/>
    </row>
    <row r="11578">
      <c r="B11578" s="24"/>
      <c r="C11578" s="24"/>
      <c r="D11578" s="214"/>
      <c r="E11578" s="24"/>
      <c r="G11578" s="24"/>
    </row>
    <row r="11579">
      <c r="B11579" s="24"/>
      <c r="C11579" s="24"/>
      <c r="D11579" s="214"/>
      <c r="E11579" s="24"/>
      <c r="G11579" s="24"/>
    </row>
    <row r="11580">
      <c r="B11580" s="24"/>
      <c r="C11580" s="24"/>
      <c r="D11580" s="214"/>
      <c r="E11580" s="24"/>
      <c r="G11580" s="24"/>
    </row>
    <row r="11581">
      <c r="B11581" s="24"/>
      <c r="C11581" s="24"/>
      <c r="D11581" s="214"/>
      <c r="E11581" s="24"/>
      <c r="G11581" s="24"/>
    </row>
    <row r="11582">
      <c r="B11582" s="24"/>
      <c r="C11582" s="24"/>
      <c r="D11582" s="214"/>
      <c r="E11582" s="24"/>
      <c r="G11582" s="24"/>
    </row>
    <row r="11583">
      <c r="B11583" s="24"/>
      <c r="C11583" s="24"/>
      <c r="D11583" s="214"/>
      <c r="E11583" s="24"/>
      <c r="G11583" s="24"/>
    </row>
    <row r="11584">
      <c r="B11584" s="24"/>
      <c r="C11584" s="24"/>
      <c r="D11584" s="214"/>
      <c r="E11584" s="24"/>
      <c r="G11584" s="24"/>
    </row>
    <row r="11585">
      <c r="B11585" s="24"/>
      <c r="C11585" s="24"/>
      <c r="D11585" s="214"/>
      <c r="E11585" s="24"/>
      <c r="G11585" s="24"/>
    </row>
    <row r="11586">
      <c r="B11586" s="24"/>
      <c r="C11586" s="24"/>
      <c r="D11586" s="214"/>
      <c r="E11586" s="24"/>
      <c r="G11586" s="24"/>
    </row>
    <row r="11587">
      <c r="B11587" s="24"/>
      <c r="C11587" s="24"/>
      <c r="D11587" s="214"/>
      <c r="E11587" s="24"/>
      <c r="G11587" s="24"/>
    </row>
    <row r="11588">
      <c r="B11588" s="24"/>
      <c r="C11588" s="24"/>
      <c r="D11588" s="214"/>
      <c r="E11588" s="24"/>
      <c r="G11588" s="24"/>
    </row>
    <row r="11589">
      <c r="B11589" s="24"/>
      <c r="C11589" s="24"/>
      <c r="D11589" s="214"/>
      <c r="E11589" s="24"/>
      <c r="G11589" s="24"/>
    </row>
    <row r="11590">
      <c r="B11590" s="24"/>
      <c r="C11590" s="24"/>
      <c r="D11590" s="214"/>
      <c r="E11590" s="24"/>
      <c r="G11590" s="24"/>
    </row>
    <row r="11591">
      <c r="B11591" s="24"/>
      <c r="C11591" s="24"/>
      <c r="D11591" s="214"/>
      <c r="E11591" s="24"/>
      <c r="G11591" s="24"/>
    </row>
    <row r="11592">
      <c r="B11592" s="24"/>
      <c r="C11592" s="24"/>
      <c r="D11592" s="214"/>
      <c r="E11592" s="24"/>
      <c r="G11592" s="24"/>
    </row>
    <row r="11593">
      <c r="B11593" s="24"/>
      <c r="C11593" s="24"/>
      <c r="D11593" s="214"/>
      <c r="E11593" s="24"/>
      <c r="G11593" s="24"/>
    </row>
    <row r="11594">
      <c r="B11594" s="24"/>
      <c r="C11594" s="24"/>
      <c r="D11594" s="214"/>
      <c r="E11594" s="24"/>
      <c r="G11594" s="24"/>
    </row>
    <row r="11595">
      <c r="B11595" s="24"/>
      <c r="C11595" s="24"/>
      <c r="D11595" s="214"/>
      <c r="E11595" s="24"/>
      <c r="G11595" s="24"/>
    </row>
    <row r="11596">
      <c r="B11596" s="24"/>
      <c r="C11596" s="24"/>
      <c r="D11596" s="214"/>
      <c r="E11596" s="24"/>
      <c r="G11596" s="24"/>
    </row>
    <row r="11597">
      <c r="B11597" s="24"/>
      <c r="C11597" s="24"/>
      <c r="D11597" s="214"/>
      <c r="E11597" s="24"/>
      <c r="G11597" s="24"/>
    </row>
    <row r="11598">
      <c r="B11598" s="24"/>
      <c r="C11598" s="24"/>
      <c r="D11598" s="214"/>
      <c r="E11598" s="24"/>
      <c r="G11598" s="24"/>
    </row>
    <row r="11599">
      <c r="B11599" s="24"/>
      <c r="C11599" s="24"/>
      <c r="D11599" s="214"/>
      <c r="E11599" s="24"/>
      <c r="G11599" s="24"/>
    </row>
    <row r="11600">
      <c r="B11600" s="24"/>
      <c r="C11600" s="24"/>
      <c r="D11600" s="214"/>
      <c r="E11600" s="24"/>
      <c r="G11600" s="24"/>
    </row>
    <row r="11601">
      <c r="B11601" s="24"/>
      <c r="C11601" s="24"/>
      <c r="D11601" s="214"/>
      <c r="E11601" s="24"/>
      <c r="G11601" s="24"/>
    </row>
    <row r="11602">
      <c r="B11602" s="24"/>
      <c r="C11602" s="24"/>
      <c r="D11602" s="214"/>
      <c r="E11602" s="24"/>
      <c r="G11602" s="24"/>
    </row>
    <row r="11603">
      <c r="B11603" s="24"/>
      <c r="C11603" s="24"/>
      <c r="D11603" s="214"/>
      <c r="E11603" s="24"/>
      <c r="G11603" s="24"/>
    </row>
    <row r="11604">
      <c r="B11604" s="24"/>
      <c r="C11604" s="24"/>
      <c r="D11604" s="214"/>
      <c r="E11604" s="24"/>
      <c r="G11604" s="24"/>
    </row>
    <row r="11605">
      <c r="B11605" s="24"/>
      <c r="C11605" s="24"/>
      <c r="D11605" s="214"/>
      <c r="E11605" s="24"/>
      <c r="G11605" s="24"/>
    </row>
    <row r="11606">
      <c r="B11606" s="24"/>
      <c r="C11606" s="24"/>
      <c r="D11606" s="214"/>
      <c r="E11606" s="24"/>
      <c r="G11606" s="24"/>
    </row>
    <row r="11607">
      <c r="B11607" s="24"/>
      <c r="C11607" s="24"/>
      <c r="D11607" s="214"/>
      <c r="E11607" s="24"/>
      <c r="G11607" s="24"/>
    </row>
    <row r="11608">
      <c r="B11608" s="24"/>
      <c r="C11608" s="24"/>
      <c r="D11608" s="214"/>
      <c r="E11608" s="24"/>
      <c r="G11608" s="24"/>
    </row>
    <row r="11609">
      <c r="B11609" s="24"/>
      <c r="C11609" s="24"/>
      <c r="D11609" s="214"/>
      <c r="E11609" s="24"/>
      <c r="G11609" s="24"/>
    </row>
    <row r="11610">
      <c r="B11610" s="24"/>
      <c r="C11610" s="24"/>
      <c r="D11610" s="214"/>
      <c r="E11610" s="24"/>
      <c r="G11610" s="24"/>
    </row>
    <row r="11611">
      <c r="B11611" s="24"/>
      <c r="C11611" s="24"/>
      <c r="D11611" s="214"/>
      <c r="E11611" s="24"/>
      <c r="G11611" s="24"/>
    </row>
    <row r="11612">
      <c r="B11612" s="24"/>
      <c r="C11612" s="24"/>
      <c r="D11612" s="214"/>
      <c r="E11612" s="24"/>
      <c r="G11612" s="24"/>
    </row>
    <row r="11613">
      <c r="B11613" s="24"/>
      <c r="C11613" s="24"/>
      <c r="D11613" s="214"/>
      <c r="E11613" s="24"/>
      <c r="G11613" s="24"/>
    </row>
    <row r="11614">
      <c r="B11614" s="24"/>
      <c r="C11614" s="24"/>
      <c r="D11614" s="214"/>
      <c r="E11614" s="24"/>
      <c r="G11614" s="24"/>
    </row>
    <row r="11615">
      <c r="B11615" s="24"/>
      <c r="C11615" s="24"/>
      <c r="D11615" s="214"/>
      <c r="E11615" s="24"/>
      <c r="G11615" s="24"/>
    </row>
    <row r="11616">
      <c r="B11616" s="24"/>
      <c r="C11616" s="24"/>
      <c r="D11616" s="214"/>
      <c r="E11616" s="24"/>
      <c r="G11616" s="24"/>
    </row>
    <row r="11617">
      <c r="B11617" s="24"/>
      <c r="C11617" s="24"/>
      <c r="D11617" s="214"/>
      <c r="E11617" s="24"/>
      <c r="G11617" s="24"/>
    </row>
    <row r="11618">
      <c r="B11618" s="24"/>
      <c r="C11618" s="24"/>
      <c r="D11618" s="214"/>
      <c r="E11618" s="24"/>
      <c r="G11618" s="24"/>
    </row>
    <row r="11619">
      <c r="B11619" s="24"/>
      <c r="C11619" s="24"/>
      <c r="D11619" s="214"/>
      <c r="E11619" s="24"/>
      <c r="G11619" s="24"/>
    </row>
    <row r="11620">
      <c r="B11620" s="24"/>
      <c r="C11620" s="24"/>
      <c r="D11620" s="214"/>
      <c r="E11620" s="24"/>
      <c r="G11620" s="24"/>
    </row>
    <row r="11621">
      <c r="B11621" s="24"/>
      <c r="C11621" s="24"/>
      <c r="D11621" s="214"/>
      <c r="E11621" s="24"/>
      <c r="G11621" s="24"/>
    </row>
    <row r="11622">
      <c r="B11622" s="24"/>
      <c r="C11622" s="24"/>
      <c r="D11622" s="214"/>
      <c r="E11622" s="24"/>
      <c r="G11622" s="24"/>
    </row>
    <row r="11623">
      <c r="B11623" s="24"/>
      <c r="C11623" s="24"/>
      <c r="D11623" s="214"/>
      <c r="E11623" s="24"/>
      <c r="G11623" s="24"/>
    </row>
    <row r="11624">
      <c r="B11624" s="24"/>
      <c r="C11624" s="24"/>
      <c r="D11624" s="214"/>
      <c r="E11624" s="24"/>
      <c r="G11624" s="24"/>
    </row>
    <row r="11625">
      <c r="B11625" s="24"/>
      <c r="C11625" s="24"/>
      <c r="D11625" s="214"/>
      <c r="E11625" s="24"/>
      <c r="G11625" s="24"/>
    </row>
    <row r="11626">
      <c r="B11626" s="24"/>
      <c r="C11626" s="24"/>
      <c r="D11626" s="214"/>
      <c r="E11626" s="24"/>
      <c r="G11626" s="24"/>
    </row>
    <row r="11627">
      <c r="B11627" s="24"/>
      <c r="C11627" s="24"/>
      <c r="D11627" s="214"/>
      <c r="E11627" s="24"/>
      <c r="G11627" s="24"/>
    </row>
    <row r="11628">
      <c r="B11628" s="24"/>
      <c r="C11628" s="24"/>
      <c r="D11628" s="214"/>
      <c r="E11628" s="24"/>
      <c r="G11628" s="24"/>
    </row>
    <row r="11629">
      <c r="B11629" s="24"/>
      <c r="C11629" s="24"/>
      <c r="D11629" s="214"/>
      <c r="E11629" s="24"/>
      <c r="G11629" s="24"/>
    </row>
    <row r="11630">
      <c r="B11630" s="24"/>
      <c r="C11630" s="24"/>
      <c r="D11630" s="214"/>
      <c r="E11630" s="24"/>
      <c r="G11630" s="24"/>
    </row>
    <row r="11631">
      <c r="B11631" s="24"/>
      <c r="C11631" s="24"/>
      <c r="D11631" s="214"/>
      <c r="E11631" s="24"/>
      <c r="G11631" s="24"/>
    </row>
    <row r="11632">
      <c r="B11632" s="24"/>
      <c r="C11632" s="24"/>
      <c r="D11632" s="214"/>
      <c r="E11632" s="24"/>
      <c r="G11632" s="24"/>
    </row>
    <row r="11633">
      <c r="B11633" s="24"/>
      <c r="C11633" s="24"/>
      <c r="D11633" s="214"/>
      <c r="E11633" s="24"/>
      <c r="G11633" s="24"/>
    </row>
    <row r="11634">
      <c r="B11634" s="24"/>
      <c r="C11634" s="24"/>
      <c r="D11634" s="214"/>
      <c r="E11634" s="24"/>
      <c r="G11634" s="24"/>
    </row>
    <row r="11635">
      <c r="B11635" s="24"/>
      <c r="C11635" s="24"/>
      <c r="D11635" s="214"/>
      <c r="E11635" s="24"/>
      <c r="G11635" s="24"/>
    </row>
    <row r="11636">
      <c r="B11636" s="24"/>
      <c r="C11636" s="24"/>
      <c r="D11636" s="214"/>
      <c r="E11636" s="24"/>
      <c r="G11636" s="24"/>
    </row>
    <row r="11637">
      <c r="B11637" s="24"/>
      <c r="C11637" s="24"/>
      <c r="D11637" s="214"/>
      <c r="E11637" s="24"/>
      <c r="G11637" s="24"/>
    </row>
    <row r="11638">
      <c r="B11638" s="24"/>
      <c r="C11638" s="24"/>
      <c r="D11638" s="214"/>
      <c r="E11638" s="24"/>
      <c r="G11638" s="24"/>
    </row>
    <row r="11639">
      <c r="B11639" s="24"/>
      <c r="C11639" s="24"/>
      <c r="D11639" s="214"/>
      <c r="E11639" s="24"/>
      <c r="G11639" s="24"/>
    </row>
    <row r="11640">
      <c r="B11640" s="24"/>
      <c r="C11640" s="24"/>
      <c r="D11640" s="214"/>
      <c r="E11640" s="24"/>
      <c r="G11640" s="24"/>
    </row>
    <row r="11641">
      <c r="B11641" s="24"/>
      <c r="C11641" s="24"/>
      <c r="D11641" s="214"/>
      <c r="E11641" s="24"/>
      <c r="G11641" s="24"/>
    </row>
    <row r="11642">
      <c r="B11642" s="24"/>
      <c r="C11642" s="24"/>
      <c r="D11642" s="214"/>
      <c r="E11642" s="24"/>
      <c r="G11642" s="24"/>
    </row>
    <row r="11643">
      <c r="B11643" s="24"/>
      <c r="C11643" s="24"/>
      <c r="D11643" s="214"/>
      <c r="E11643" s="24"/>
      <c r="G11643" s="24"/>
    </row>
    <row r="11644">
      <c r="B11644" s="24"/>
      <c r="C11644" s="24"/>
      <c r="D11644" s="214"/>
      <c r="E11644" s="24"/>
      <c r="G11644" s="24"/>
    </row>
    <row r="11645">
      <c r="B11645" s="24"/>
      <c r="C11645" s="24"/>
      <c r="D11645" s="214"/>
      <c r="E11645" s="24"/>
      <c r="G11645" s="24"/>
    </row>
    <row r="11646">
      <c r="B11646" s="24"/>
      <c r="C11646" s="24"/>
      <c r="D11646" s="214"/>
      <c r="E11646" s="24"/>
      <c r="G11646" s="24"/>
    </row>
    <row r="11647">
      <c r="B11647" s="24"/>
      <c r="C11647" s="24"/>
      <c r="D11647" s="214"/>
      <c r="E11647" s="24"/>
      <c r="G11647" s="24"/>
    </row>
    <row r="11648">
      <c r="B11648" s="24"/>
      <c r="C11648" s="24"/>
      <c r="D11648" s="214"/>
      <c r="E11648" s="24"/>
      <c r="G11648" s="24"/>
    </row>
    <row r="11649">
      <c r="B11649" s="24"/>
      <c r="C11649" s="24"/>
      <c r="D11649" s="214"/>
      <c r="E11649" s="24"/>
      <c r="G11649" s="24"/>
    </row>
    <row r="11650">
      <c r="B11650" s="24"/>
      <c r="C11650" s="24"/>
      <c r="D11650" s="214"/>
      <c r="E11650" s="24"/>
      <c r="G11650" s="24"/>
    </row>
    <row r="11651">
      <c r="B11651" s="24"/>
      <c r="C11651" s="24"/>
      <c r="D11651" s="214"/>
      <c r="E11651" s="24"/>
      <c r="G11651" s="24"/>
    </row>
    <row r="11652">
      <c r="B11652" s="24"/>
      <c r="C11652" s="24"/>
      <c r="D11652" s="214"/>
      <c r="E11652" s="24"/>
      <c r="G11652" s="24"/>
    </row>
    <row r="11653">
      <c r="B11653" s="24"/>
      <c r="C11653" s="24"/>
      <c r="D11653" s="214"/>
      <c r="E11653" s="24"/>
      <c r="G11653" s="24"/>
    </row>
    <row r="11654">
      <c r="B11654" s="24"/>
      <c r="C11654" s="24"/>
      <c r="D11654" s="214"/>
      <c r="E11654" s="24"/>
      <c r="G11654" s="24"/>
    </row>
    <row r="11655">
      <c r="B11655" s="24"/>
      <c r="C11655" s="24"/>
      <c r="D11655" s="214"/>
      <c r="E11655" s="24"/>
      <c r="G11655" s="24"/>
    </row>
    <row r="11656">
      <c r="B11656" s="24"/>
      <c r="C11656" s="24"/>
      <c r="D11656" s="214"/>
      <c r="E11656" s="24"/>
      <c r="G11656" s="24"/>
    </row>
    <row r="11657">
      <c r="B11657" s="24"/>
      <c r="C11657" s="24"/>
      <c r="D11657" s="214"/>
      <c r="E11657" s="24"/>
      <c r="G11657" s="24"/>
    </row>
    <row r="11658">
      <c r="B11658" s="24"/>
      <c r="C11658" s="24"/>
      <c r="D11658" s="214"/>
      <c r="E11658" s="24"/>
      <c r="G11658" s="24"/>
    </row>
    <row r="11659">
      <c r="B11659" s="24"/>
      <c r="C11659" s="24"/>
      <c r="D11659" s="214"/>
      <c r="E11659" s="24"/>
      <c r="G11659" s="24"/>
    </row>
    <row r="11660">
      <c r="B11660" s="24"/>
      <c r="C11660" s="24"/>
      <c r="D11660" s="214"/>
      <c r="E11660" s="24"/>
      <c r="G11660" s="24"/>
    </row>
    <row r="11661">
      <c r="B11661" s="24"/>
      <c r="C11661" s="24"/>
      <c r="D11661" s="214"/>
      <c r="E11661" s="24"/>
      <c r="G11661" s="24"/>
    </row>
    <row r="11662">
      <c r="B11662" s="24"/>
      <c r="C11662" s="24"/>
      <c r="D11662" s="214"/>
      <c r="E11662" s="24"/>
      <c r="G11662" s="24"/>
    </row>
    <row r="11663">
      <c r="B11663" s="24"/>
      <c r="C11663" s="24"/>
      <c r="D11663" s="214"/>
      <c r="E11663" s="24"/>
      <c r="G11663" s="24"/>
    </row>
    <row r="11664">
      <c r="B11664" s="24"/>
      <c r="C11664" s="24"/>
      <c r="D11664" s="214"/>
      <c r="E11664" s="24"/>
      <c r="G11664" s="24"/>
    </row>
    <row r="11665">
      <c r="B11665" s="24"/>
      <c r="C11665" s="24"/>
      <c r="D11665" s="214"/>
      <c r="E11665" s="24"/>
      <c r="G11665" s="24"/>
    </row>
    <row r="11666">
      <c r="B11666" s="24"/>
      <c r="C11666" s="24"/>
      <c r="D11666" s="214"/>
      <c r="E11666" s="24"/>
      <c r="G11666" s="24"/>
    </row>
    <row r="11667">
      <c r="B11667" s="24"/>
      <c r="C11667" s="24"/>
      <c r="D11667" s="214"/>
      <c r="E11667" s="24"/>
      <c r="G11667" s="24"/>
    </row>
    <row r="11668">
      <c r="B11668" s="24"/>
      <c r="C11668" s="24"/>
      <c r="D11668" s="214"/>
      <c r="E11668" s="24"/>
      <c r="G11668" s="24"/>
    </row>
    <row r="11669">
      <c r="B11669" s="24"/>
      <c r="C11669" s="24"/>
      <c r="D11669" s="214"/>
      <c r="E11669" s="24"/>
      <c r="G11669" s="24"/>
    </row>
    <row r="11670">
      <c r="B11670" s="24"/>
      <c r="C11670" s="24"/>
      <c r="D11670" s="214"/>
      <c r="E11670" s="24"/>
      <c r="G11670" s="24"/>
    </row>
    <row r="11671">
      <c r="B11671" s="24"/>
      <c r="C11671" s="24"/>
      <c r="D11671" s="214"/>
      <c r="E11671" s="24"/>
      <c r="G11671" s="24"/>
    </row>
    <row r="11672">
      <c r="B11672" s="24"/>
      <c r="C11672" s="24"/>
      <c r="D11672" s="214"/>
      <c r="E11672" s="24"/>
      <c r="G11672" s="24"/>
    </row>
    <row r="11673">
      <c r="B11673" s="24"/>
      <c r="C11673" s="24"/>
      <c r="D11673" s="214"/>
      <c r="E11673" s="24"/>
      <c r="G11673" s="24"/>
    </row>
    <row r="11674">
      <c r="B11674" s="24"/>
      <c r="C11674" s="24"/>
      <c r="D11674" s="214"/>
      <c r="E11674" s="24"/>
      <c r="G11674" s="24"/>
    </row>
    <row r="11675">
      <c r="B11675" s="24"/>
      <c r="C11675" s="24"/>
      <c r="D11675" s="214"/>
      <c r="E11675" s="24"/>
      <c r="G11675" s="24"/>
    </row>
    <row r="11676">
      <c r="B11676" s="24"/>
      <c r="C11676" s="24"/>
      <c r="D11676" s="214"/>
      <c r="E11676" s="24"/>
      <c r="G11676" s="24"/>
    </row>
    <row r="11677">
      <c r="B11677" s="24"/>
      <c r="C11677" s="24"/>
      <c r="D11677" s="214"/>
      <c r="E11677" s="24"/>
      <c r="G11677" s="24"/>
    </row>
    <row r="11678">
      <c r="B11678" s="24"/>
      <c r="C11678" s="24"/>
      <c r="D11678" s="214"/>
      <c r="E11678" s="24"/>
      <c r="G11678" s="24"/>
    </row>
    <row r="11679">
      <c r="B11679" s="24"/>
      <c r="C11679" s="24"/>
      <c r="D11679" s="214"/>
      <c r="E11679" s="24"/>
      <c r="G11679" s="24"/>
    </row>
    <row r="11680">
      <c r="B11680" s="24"/>
      <c r="C11680" s="24"/>
      <c r="D11680" s="214"/>
      <c r="E11680" s="24"/>
      <c r="G11680" s="24"/>
    </row>
    <row r="11681">
      <c r="B11681" s="24"/>
      <c r="C11681" s="24"/>
      <c r="D11681" s="214"/>
      <c r="E11681" s="24"/>
      <c r="G11681" s="24"/>
    </row>
    <row r="11682">
      <c r="B11682" s="24"/>
      <c r="C11682" s="24"/>
      <c r="D11682" s="214"/>
      <c r="E11682" s="24"/>
      <c r="G11682" s="24"/>
    </row>
    <row r="11683">
      <c r="B11683" s="24"/>
      <c r="C11683" s="24"/>
      <c r="D11683" s="214"/>
      <c r="E11683" s="24"/>
      <c r="G11683" s="24"/>
    </row>
    <row r="11684">
      <c r="B11684" s="24"/>
      <c r="C11684" s="24"/>
      <c r="D11684" s="214"/>
      <c r="E11684" s="24"/>
      <c r="G11684" s="24"/>
    </row>
    <row r="11685">
      <c r="B11685" s="24"/>
      <c r="C11685" s="24"/>
      <c r="D11685" s="214"/>
      <c r="E11685" s="24"/>
      <c r="G11685" s="24"/>
    </row>
    <row r="11686">
      <c r="B11686" s="24"/>
      <c r="C11686" s="24"/>
      <c r="D11686" s="214"/>
      <c r="E11686" s="24"/>
      <c r="G11686" s="24"/>
    </row>
    <row r="11687">
      <c r="B11687" s="24"/>
      <c r="C11687" s="24"/>
      <c r="D11687" s="214"/>
      <c r="E11687" s="24"/>
      <c r="G11687" s="24"/>
    </row>
    <row r="11688">
      <c r="B11688" s="24"/>
      <c r="C11688" s="24"/>
      <c r="D11688" s="214"/>
      <c r="E11688" s="24"/>
      <c r="G11688" s="24"/>
    </row>
    <row r="11689">
      <c r="B11689" s="24"/>
      <c r="C11689" s="24"/>
      <c r="D11689" s="214"/>
      <c r="E11689" s="24"/>
      <c r="G11689" s="24"/>
    </row>
    <row r="11690">
      <c r="B11690" s="24"/>
      <c r="C11690" s="24"/>
      <c r="D11690" s="214"/>
      <c r="E11690" s="24"/>
      <c r="G11690" s="24"/>
    </row>
    <row r="11691">
      <c r="B11691" s="24"/>
      <c r="C11691" s="24"/>
      <c r="D11691" s="214"/>
      <c r="E11691" s="24"/>
      <c r="G11691" s="24"/>
    </row>
    <row r="11692">
      <c r="B11692" s="24"/>
      <c r="C11692" s="24"/>
      <c r="D11692" s="214"/>
      <c r="E11692" s="24"/>
      <c r="G11692" s="24"/>
    </row>
    <row r="11693">
      <c r="B11693" s="24"/>
      <c r="C11693" s="24"/>
      <c r="D11693" s="214"/>
      <c r="E11693" s="24"/>
      <c r="G11693" s="24"/>
    </row>
    <row r="11694">
      <c r="B11694" s="24"/>
      <c r="C11694" s="24"/>
      <c r="D11694" s="214"/>
      <c r="E11694" s="24"/>
      <c r="G11694" s="24"/>
    </row>
    <row r="11695">
      <c r="B11695" s="24"/>
      <c r="C11695" s="24"/>
      <c r="D11695" s="214"/>
      <c r="E11695" s="24"/>
      <c r="G11695" s="24"/>
    </row>
    <row r="11696">
      <c r="B11696" s="24"/>
      <c r="C11696" s="24"/>
      <c r="D11696" s="214"/>
      <c r="E11696" s="24"/>
      <c r="G11696" s="24"/>
    </row>
    <row r="11697">
      <c r="B11697" s="24"/>
      <c r="C11697" s="24"/>
      <c r="D11697" s="214"/>
      <c r="E11697" s="24"/>
      <c r="G11697" s="24"/>
    </row>
    <row r="11698">
      <c r="B11698" s="24"/>
      <c r="C11698" s="24"/>
      <c r="D11698" s="214"/>
      <c r="E11698" s="24"/>
      <c r="G11698" s="24"/>
    </row>
    <row r="11699">
      <c r="B11699" s="24"/>
      <c r="C11699" s="24"/>
      <c r="D11699" s="214"/>
      <c r="E11699" s="24"/>
      <c r="G11699" s="24"/>
    </row>
    <row r="11700">
      <c r="B11700" s="24"/>
      <c r="C11700" s="24"/>
      <c r="D11700" s="214"/>
      <c r="E11700" s="24"/>
      <c r="G11700" s="24"/>
    </row>
    <row r="11701">
      <c r="B11701" s="24"/>
      <c r="C11701" s="24"/>
      <c r="D11701" s="214"/>
      <c r="E11701" s="24"/>
      <c r="G11701" s="24"/>
    </row>
    <row r="11702">
      <c r="B11702" s="24"/>
      <c r="C11702" s="24"/>
      <c r="D11702" s="214"/>
      <c r="E11702" s="24"/>
      <c r="G11702" s="24"/>
    </row>
    <row r="11703">
      <c r="B11703" s="24"/>
      <c r="C11703" s="24"/>
      <c r="D11703" s="214"/>
      <c r="E11703" s="24"/>
      <c r="G11703" s="24"/>
    </row>
    <row r="11704">
      <c r="B11704" s="24"/>
      <c r="C11704" s="24"/>
      <c r="D11704" s="214"/>
      <c r="E11704" s="24"/>
      <c r="G11704" s="24"/>
    </row>
    <row r="11705">
      <c r="B11705" s="24"/>
      <c r="C11705" s="24"/>
      <c r="D11705" s="214"/>
      <c r="E11705" s="24"/>
      <c r="G11705" s="24"/>
    </row>
    <row r="11706">
      <c r="B11706" s="24"/>
      <c r="C11706" s="24"/>
      <c r="D11706" s="214"/>
      <c r="E11706" s="24"/>
      <c r="G11706" s="24"/>
    </row>
    <row r="11707">
      <c r="B11707" s="24"/>
      <c r="C11707" s="24"/>
      <c r="D11707" s="214"/>
      <c r="E11707" s="24"/>
      <c r="G11707" s="24"/>
    </row>
    <row r="11708">
      <c r="B11708" s="24"/>
      <c r="C11708" s="24"/>
      <c r="D11708" s="214"/>
      <c r="E11708" s="24"/>
      <c r="G11708" s="24"/>
    </row>
    <row r="11709">
      <c r="B11709" s="24"/>
      <c r="C11709" s="24"/>
      <c r="D11709" s="214"/>
      <c r="E11709" s="24"/>
      <c r="G11709" s="24"/>
    </row>
    <row r="11710">
      <c r="B11710" s="24"/>
      <c r="C11710" s="24"/>
      <c r="D11710" s="214"/>
      <c r="E11710" s="24"/>
      <c r="G11710" s="24"/>
    </row>
    <row r="11711">
      <c r="B11711" s="24"/>
      <c r="C11711" s="24"/>
      <c r="D11711" s="214"/>
      <c r="E11711" s="24"/>
      <c r="G11711" s="24"/>
    </row>
    <row r="11712">
      <c r="B11712" s="24"/>
      <c r="C11712" s="24"/>
      <c r="D11712" s="214"/>
      <c r="E11712" s="24"/>
      <c r="G11712" s="24"/>
    </row>
    <row r="11713">
      <c r="B11713" s="24"/>
      <c r="C11713" s="24"/>
      <c r="D11713" s="214"/>
      <c r="E11713" s="24"/>
      <c r="G11713" s="24"/>
    </row>
    <row r="11714">
      <c r="B11714" s="24"/>
      <c r="C11714" s="24"/>
      <c r="D11714" s="214"/>
      <c r="E11714" s="24"/>
      <c r="G11714" s="24"/>
    </row>
    <row r="11715">
      <c r="B11715" s="24"/>
      <c r="C11715" s="24"/>
      <c r="D11715" s="214"/>
      <c r="E11715" s="24"/>
      <c r="G11715" s="24"/>
    </row>
    <row r="11716">
      <c r="B11716" s="24"/>
      <c r="C11716" s="24"/>
      <c r="D11716" s="214"/>
      <c r="E11716" s="24"/>
      <c r="G11716" s="24"/>
    </row>
    <row r="11717">
      <c r="B11717" s="24"/>
      <c r="C11717" s="24"/>
      <c r="D11717" s="214"/>
      <c r="E11717" s="24"/>
      <c r="G11717" s="24"/>
    </row>
    <row r="11718">
      <c r="B11718" s="24"/>
      <c r="C11718" s="24"/>
      <c r="D11718" s="214"/>
      <c r="E11718" s="24"/>
      <c r="G11718" s="24"/>
    </row>
    <row r="11719">
      <c r="B11719" s="24"/>
      <c r="C11719" s="24"/>
      <c r="D11719" s="214"/>
      <c r="E11719" s="24"/>
      <c r="G11719" s="24"/>
    </row>
    <row r="11720">
      <c r="B11720" s="24"/>
      <c r="C11720" s="24"/>
      <c r="D11720" s="214"/>
      <c r="E11720" s="24"/>
      <c r="G11720" s="24"/>
    </row>
    <row r="11721">
      <c r="B11721" s="24"/>
      <c r="C11721" s="24"/>
      <c r="D11721" s="214"/>
      <c r="E11721" s="24"/>
      <c r="G11721" s="24"/>
    </row>
    <row r="11722">
      <c r="B11722" s="24"/>
      <c r="C11722" s="24"/>
      <c r="D11722" s="214"/>
      <c r="E11722" s="24"/>
      <c r="G11722" s="24"/>
    </row>
    <row r="11723">
      <c r="B11723" s="24"/>
      <c r="C11723" s="24"/>
      <c r="D11723" s="214"/>
      <c r="E11723" s="24"/>
      <c r="G11723" s="24"/>
    </row>
    <row r="11724">
      <c r="B11724" s="24"/>
      <c r="C11724" s="24"/>
      <c r="D11724" s="214"/>
      <c r="E11724" s="24"/>
      <c r="G11724" s="24"/>
    </row>
    <row r="11725">
      <c r="B11725" s="24"/>
      <c r="C11725" s="24"/>
      <c r="D11725" s="214"/>
      <c r="E11725" s="24"/>
      <c r="G11725" s="24"/>
    </row>
    <row r="11726">
      <c r="B11726" s="24"/>
      <c r="C11726" s="24"/>
      <c r="D11726" s="214"/>
      <c r="E11726" s="24"/>
      <c r="G11726" s="24"/>
    </row>
    <row r="11727">
      <c r="B11727" s="24"/>
      <c r="C11727" s="24"/>
      <c r="D11727" s="214"/>
      <c r="E11727" s="24"/>
      <c r="G11727" s="24"/>
    </row>
    <row r="11728">
      <c r="B11728" s="24"/>
      <c r="C11728" s="24"/>
      <c r="D11728" s="214"/>
      <c r="E11728" s="24"/>
      <c r="G11728" s="24"/>
    </row>
    <row r="11729">
      <c r="B11729" s="24"/>
      <c r="C11729" s="24"/>
      <c r="D11729" s="214"/>
      <c r="E11729" s="24"/>
      <c r="G11729" s="24"/>
    </row>
    <row r="11730">
      <c r="B11730" s="24"/>
      <c r="C11730" s="24"/>
      <c r="D11730" s="214"/>
      <c r="E11730" s="24"/>
      <c r="G11730" s="24"/>
    </row>
    <row r="11731">
      <c r="B11731" s="24"/>
      <c r="C11731" s="24"/>
      <c r="D11731" s="214"/>
      <c r="E11731" s="24"/>
      <c r="G11731" s="24"/>
    </row>
    <row r="11732">
      <c r="B11732" s="24"/>
      <c r="C11732" s="24"/>
      <c r="D11732" s="214"/>
      <c r="E11732" s="24"/>
      <c r="G11732" s="24"/>
    </row>
    <row r="11733">
      <c r="B11733" s="24"/>
      <c r="C11733" s="24"/>
      <c r="D11733" s="214"/>
      <c r="E11733" s="24"/>
      <c r="G11733" s="24"/>
    </row>
    <row r="11734">
      <c r="B11734" s="24"/>
      <c r="C11734" s="24"/>
      <c r="D11734" s="214"/>
      <c r="E11734" s="24"/>
      <c r="G11734" s="24"/>
    </row>
    <row r="11735">
      <c r="B11735" s="24"/>
      <c r="C11735" s="24"/>
      <c r="D11735" s="214"/>
      <c r="E11735" s="24"/>
      <c r="G11735" s="24"/>
    </row>
    <row r="11736">
      <c r="B11736" s="24"/>
      <c r="C11736" s="24"/>
      <c r="D11736" s="214"/>
      <c r="E11736" s="24"/>
      <c r="G11736" s="24"/>
    </row>
    <row r="11737">
      <c r="B11737" s="24"/>
      <c r="C11737" s="24"/>
      <c r="D11737" s="214"/>
      <c r="E11737" s="24"/>
      <c r="G11737" s="24"/>
    </row>
    <row r="11738">
      <c r="B11738" s="24"/>
      <c r="C11738" s="24"/>
      <c r="D11738" s="214"/>
      <c r="E11738" s="24"/>
      <c r="G11738" s="24"/>
    </row>
    <row r="11739">
      <c r="B11739" s="24"/>
      <c r="C11739" s="24"/>
      <c r="D11739" s="214"/>
      <c r="E11739" s="24"/>
      <c r="G11739" s="24"/>
    </row>
    <row r="11740">
      <c r="B11740" s="24"/>
      <c r="C11740" s="24"/>
      <c r="D11740" s="214"/>
      <c r="E11740" s="24"/>
      <c r="G11740" s="24"/>
    </row>
    <row r="11741">
      <c r="B11741" s="24"/>
      <c r="C11741" s="24"/>
      <c r="D11741" s="214"/>
      <c r="E11741" s="24"/>
      <c r="G11741" s="24"/>
    </row>
    <row r="11742">
      <c r="B11742" s="24"/>
      <c r="C11742" s="24"/>
      <c r="D11742" s="214"/>
      <c r="E11742" s="24"/>
      <c r="G11742" s="24"/>
    </row>
    <row r="11743">
      <c r="B11743" s="24"/>
      <c r="C11743" s="24"/>
      <c r="D11743" s="214"/>
      <c r="E11743" s="24"/>
      <c r="G11743" s="24"/>
    </row>
    <row r="11744">
      <c r="B11744" s="24"/>
      <c r="C11744" s="24"/>
      <c r="D11744" s="214"/>
      <c r="E11744" s="24"/>
      <c r="G11744" s="24"/>
    </row>
    <row r="11745">
      <c r="B11745" s="24"/>
      <c r="C11745" s="24"/>
      <c r="D11745" s="214"/>
      <c r="E11745" s="24"/>
      <c r="G11745" s="24"/>
    </row>
    <row r="11746">
      <c r="B11746" s="24"/>
      <c r="C11746" s="24"/>
      <c r="D11746" s="214"/>
      <c r="E11746" s="24"/>
      <c r="G11746" s="24"/>
    </row>
    <row r="11747">
      <c r="B11747" s="24"/>
      <c r="C11747" s="24"/>
      <c r="D11747" s="214"/>
      <c r="E11747" s="24"/>
      <c r="G11747" s="24"/>
    </row>
    <row r="11748">
      <c r="B11748" s="24"/>
      <c r="C11748" s="24"/>
      <c r="D11748" s="214"/>
      <c r="E11748" s="24"/>
      <c r="G11748" s="24"/>
    </row>
    <row r="11749">
      <c r="B11749" s="24"/>
      <c r="C11749" s="24"/>
      <c r="D11749" s="214"/>
      <c r="E11749" s="24"/>
      <c r="G11749" s="24"/>
    </row>
    <row r="11750">
      <c r="B11750" s="24"/>
      <c r="C11750" s="24"/>
      <c r="D11750" s="214"/>
      <c r="E11750" s="24"/>
      <c r="G11750" s="24"/>
    </row>
    <row r="11751">
      <c r="B11751" s="24"/>
      <c r="C11751" s="24"/>
      <c r="D11751" s="214"/>
      <c r="E11751" s="24"/>
      <c r="G11751" s="24"/>
    </row>
    <row r="11752">
      <c r="B11752" s="24"/>
      <c r="C11752" s="24"/>
      <c r="D11752" s="214"/>
      <c r="E11752" s="24"/>
      <c r="G11752" s="24"/>
    </row>
    <row r="11753">
      <c r="B11753" s="24"/>
      <c r="C11753" s="24"/>
      <c r="D11753" s="214"/>
      <c r="E11753" s="24"/>
      <c r="G11753" s="24"/>
    </row>
    <row r="11754">
      <c r="B11754" s="24"/>
      <c r="C11754" s="24"/>
      <c r="D11754" s="214"/>
      <c r="E11754" s="24"/>
      <c r="G11754" s="24"/>
    </row>
    <row r="11755">
      <c r="B11755" s="24"/>
      <c r="C11755" s="24"/>
      <c r="D11755" s="214"/>
      <c r="E11755" s="24"/>
      <c r="G11755" s="24"/>
    </row>
    <row r="11756">
      <c r="B11756" s="24"/>
      <c r="C11756" s="24"/>
      <c r="D11756" s="214"/>
      <c r="E11756" s="24"/>
      <c r="G11756" s="24"/>
    </row>
    <row r="11757">
      <c r="B11757" s="24"/>
      <c r="C11757" s="24"/>
      <c r="D11757" s="214"/>
      <c r="E11757" s="24"/>
      <c r="G11757" s="24"/>
    </row>
    <row r="11758">
      <c r="B11758" s="24"/>
      <c r="C11758" s="24"/>
      <c r="D11758" s="214"/>
      <c r="E11758" s="24"/>
      <c r="G11758" s="24"/>
    </row>
    <row r="11759">
      <c r="B11759" s="24"/>
      <c r="C11759" s="24"/>
      <c r="D11759" s="214"/>
      <c r="E11759" s="24"/>
      <c r="G11759" s="24"/>
    </row>
    <row r="11760">
      <c r="B11760" s="24"/>
      <c r="C11760" s="24"/>
      <c r="D11760" s="214"/>
      <c r="E11760" s="24"/>
      <c r="G11760" s="24"/>
    </row>
    <row r="11761">
      <c r="B11761" s="24"/>
      <c r="C11761" s="24"/>
      <c r="D11761" s="214"/>
      <c r="E11761" s="24"/>
      <c r="G11761" s="24"/>
    </row>
    <row r="11762">
      <c r="B11762" s="24"/>
      <c r="C11762" s="24"/>
      <c r="D11762" s="214"/>
      <c r="E11762" s="24"/>
      <c r="G11762" s="24"/>
    </row>
    <row r="11763">
      <c r="B11763" s="24"/>
      <c r="C11763" s="24"/>
      <c r="D11763" s="214"/>
      <c r="E11763" s="24"/>
      <c r="G11763" s="24"/>
    </row>
    <row r="11764">
      <c r="B11764" s="24"/>
      <c r="C11764" s="24"/>
      <c r="D11764" s="214"/>
      <c r="E11764" s="24"/>
      <c r="G11764" s="24"/>
    </row>
    <row r="11765">
      <c r="B11765" s="24"/>
      <c r="C11765" s="24"/>
      <c r="D11765" s="214"/>
      <c r="E11765" s="24"/>
      <c r="G11765" s="24"/>
    </row>
    <row r="11766">
      <c r="B11766" s="24"/>
      <c r="C11766" s="24"/>
      <c r="D11766" s="214"/>
      <c r="E11766" s="24"/>
      <c r="G11766" s="24"/>
    </row>
    <row r="11767">
      <c r="B11767" s="24"/>
      <c r="C11767" s="24"/>
      <c r="D11767" s="214"/>
      <c r="E11767" s="24"/>
      <c r="G11767" s="24"/>
    </row>
    <row r="11768">
      <c r="B11768" s="24"/>
      <c r="C11768" s="24"/>
      <c r="D11768" s="214"/>
      <c r="E11768" s="24"/>
      <c r="G11768" s="24"/>
    </row>
    <row r="11769">
      <c r="B11769" s="24"/>
      <c r="C11769" s="24"/>
      <c r="D11769" s="214"/>
      <c r="E11769" s="24"/>
      <c r="G11769" s="24"/>
    </row>
    <row r="11770">
      <c r="B11770" s="24"/>
      <c r="C11770" s="24"/>
      <c r="D11770" s="214"/>
      <c r="E11770" s="24"/>
      <c r="G11770" s="24"/>
    </row>
    <row r="11771">
      <c r="B11771" s="24"/>
      <c r="C11771" s="24"/>
      <c r="D11771" s="214"/>
      <c r="E11771" s="24"/>
      <c r="G11771" s="24"/>
    </row>
    <row r="11772">
      <c r="B11772" s="24"/>
      <c r="C11772" s="24"/>
      <c r="D11772" s="214"/>
      <c r="E11772" s="24"/>
      <c r="G11772" s="24"/>
    </row>
    <row r="11773">
      <c r="B11773" s="24"/>
      <c r="C11773" s="24"/>
      <c r="D11773" s="214"/>
      <c r="E11773" s="24"/>
      <c r="G11773" s="24"/>
    </row>
    <row r="11774">
      <c r="B11774" s="24"/>
      <c r="C11774" s="24"/>
      <c r="D11774" s="214"/>
      <c r="E11774" s="24"/>
      <c r="G11774" s="24"/>
    </row>
    <row r="11775">
      <c r="B11775" s="24"/>
      <c r="C11775" s="24"/>
      <c r="D11775" s="214"/>
      <c r="E11775" s="24"/>
      <c r="G11775" s="24"/>
    </row>
    <row r="11776">
      <c r="B11776" s="24"/>
      <c r="C11776" s="24"/>
      <c r="D11776" s="214"/>
      <c r="E11776" s="24"/>
      <c r="G11776" s="24"/>
    </row>
    <row r="11777">
      <c r="B11777" s="24"/>
      <c r="C11777" s="24"/>
      <c r="D11777" s="214"/>
      <c r="E11777" s="24"/>
      <c r="G11777" s="24"/>
    </row>
    <row r="11778">
      <c r="B11778" s="24"/>
      <c r="C11778" s="24"/>
      <c r="D11778" s="214"/>
      <c r="E11778" s="24"/>
      <c r="G11778" s="24"/>
    </row>
    <row r="11779">
      <c r="B11779" s="24"/>
      <c r="C11779" s="24"/>
      <c r="D11779" s="214"/>
      <c r="E11779" s="24"/>
      <c r="G11779" s="24"/>
    </row>
    <row r="11780">
      <c r="B11780" s="24"/>
      <c r="C11780" s="24"/>
      <c r="D11780" s="214"/>
      <c r="E11780" s="24"/>
      <c r="G11780" s="24"/>
    </row>
    <row r="11781">
      <c r="B11781" s="24"/>
      <c r="C11781" s="24"/>
      <c r="D11781" s="214"/>
      <c r="E11781" s="24"/>
      <c r="G11781" s="24"/>
    </row>
    <row r="11782">
      <c r="B11782" s="24"/>
      <c r="C11782" s="24"/>
      <c r="D11782" s="214"/>
      <c r="E11782" s="24"/>
      <c r="G11782" s="24"/>
    </row>
    <row r="11783">
      <c r="B11783" s="24"/>
      <c r="C11783" s="24"/>
      <c r="D11783" s="214"/>
      <c r="E11783" s="24"/>
      <c r="G11783" s="24"/>
    </row>
    <row r="11784">
      <c r="B11784" s="24"/>
      <c r="C11784" s="24"/>
      <c r="D11784" s="214"/>
      <c r="E11784" s="24"/>
      <c r="G11784" s="24"/>
    </row>
    <row r="11785">
      <c r="B11785" s="24"/>
      <c r="C11785" s="24"/>
      <c r="D11785" s="214"/>
      <c r="E11785" s="24"/>
      <c r="G11785" s="24"/>
    </row>
    <row r="11786">
      <c r="B11786" s="24"/>
      <c r="C11786" s="24"/>
      <c r="D11786" s="214"/>
      <c r="E11786" s="24"/>
      <c r="G11786" s="24"/>
    </row>
    <row r="11787">
      <c r="B11787" s="24"/>
      <c r="C11787" s="24"/>
      <c r="D11787" s="214"/>
      <c r="E11787" s="24"/>
      <c r="G11787" s="24"/>
    </row>
    <row r="11788">
      <c r="B11788" s="24"/>
      <c r="C11788" s="24"/>
      <c r="D11788" s="214"/>
      <c r="E11788" s="24"/>
      <c r="G11788" s="24"/>
    </row>
    <row r="11789">
      <c r="B11789" s="24"/>
      <c r="C11789" s="24"/>
      <c r="D11789" s="214"/>
      <c r="E11789" s="24"/>
      <c r="G11789" s="24"/>
    </row>
    <row r="11790">
      <c r="B11790" s="24"/>
      <c r="C11790" s="24"/>
      <c r="D11790" s="214"/>
      <c r="E11790" s="24"/>
      <c r="G11790" s="24"/>
    </row>
    <row r="11791">
      <c r="B11791" s="24"/>
      <c r="C11791" s="24"/>
      <c r="D11791" s="214"/>
      <c r="E11791" s="24"/>
      <c r="G11791" s="24"/>
    </row>
    <row r="11792">
      <c r="B11792" s="24"/>
      <c r="C11792" s="24"/>
      <c r="D11792" s="214"/>
      <c r="E11792" s="24"/>
      <c r="G11792" s="24"/>
    </row>
    <row r="11793">
      <c r="B11793" s="24"/>
      <c r="C11793" s="24"/>
      <c r="D11793" s="214"/>
      <c r="E11793" s="24"/>
      <c r="G11793" s="24"/>
    </row>
    <row r="11794">
      <c r="B11794" s="24"/>
      <c r="C11794" s="24"/>
      <c r="D11794" s="214"/>
      <c r="E11794" s="24"/>
      <c r="G11794" s="24"/>
    </row>
    <row r="11795">
      <c r="B11795" s="24"/>
      <c r="C11795" s="24"/>
      <c r="D11795" s="214"/>
      <c r="E11795" s="24"/>
      <c r="G11795" s="24"/>
    </row>
    <row r="11796">
      <c r="B11796" s="24"/>
      <c r="C11796" s="24"/>
      <c r="D11796" s="214"/>
      <c r="E11796" s="24"/>
      <c r="G11796" s="24"/>
    </row>
    <row r="11797">
      <c r="B11797" s="24"/>
      <c r="C11797" s="24"/>
      <c r="D11797" s="214"/>
      <c r="E11797" s="24"/>
      <c r="G11797" s="24"/>
    </row>
    <row r="11798">
      <c r="B11798" s="24"/>
      <c r="C11798" s="24"/>
      <c r="D11798" s="214"/>
      <c r="E11798" s="24"/>
      <c r="G11798" s="24"/>
    </row>
    <row r="11799">
      <c r="B11799" s="24"/>
      <c r="C11799" s="24"/>
      <c r="D11799" s="214"/>
      <c r="E11799" s="24"/>
      <c r="G11799" s="24"/>
    </row>
    <row r="11800">
      <c r="B11800" s="24"/>
      <c r="C11800" s="24"/>
      <c r="D11800" s="214"/>
      <c r="E11800" s="24"/>
      <c r="G11800" s="24"/>
    </row>
    <row r="11801">
      <c r="B11801" s="24"/>
      <c r="C11801" s="24"/>
      <c r="D11801" s="214"/>
      <c r="E11801" s="24"/>
      <c r="G11801" s="24"/>
    </row>
    <row r="11802">
      <c r="B11802" s="24"/>
      <c r="C11802" s="24"/>
      <c r="D11802" s="214"/>
      <c r="E11802" s="24"/>
      <c r="G11802" s="24"/>
    </row>
    <row r="11803">
      <c r="B11803" s="24"/>
      <c r="C11803" s="24"/>
      <c r="D11803" s="214"/>
      <c r="E11803" s="24"/>
      <c r="G11803" s="24"/>
    </row>
    <row r="11804">
      <c r="B11804" s="24"/>
      <c r="C11804" s="24"/>
      <c r="D11804" s="214"/>
      <c r="E11804" s="24"/>
      <c r="G11804" s="24"/>
    </row>
    <row r="11805">
      <c r="B11805" s="24"/>
      <c r="C11805" s="24"/>
      <c r="D11805" s="214"/>
      <c r="E11805" s="24"/>
      <c r="G11805" s="24"/>
    </row>
    <row r="11806">
      <c r="B11806" s="24"/>
      <c r="C11806" s="24"/>
      <c r="D11806" s="214"/>
      <c r="E11806" s="24"/>
      <c r="G11806" s="24"/>
    </row>
    <row r="11807">
      <c r="B11807" s="24"/>
      <c r="C11807" s="24"/>
      <c r="D11807" s="214"/>
      <c r="E11807" s="24"/>
      <c r="G11807" s="24"/>
    </row>
    <row r="11808">
      <c r="B11808" s="24"/>
      <c r="C11808" s="24"/>
      <c r="D11808" s="214"/>
      <c r="E11808" s="24"/>
      <c r="G11808" s="24"/>
    </row>
    <row r="11809">
      <c r="B11809" s="24"/>
      <c r="C11809" s="24"/>
      <c r="D11809" s="214"/>
      <c r="E11809" s="24"/>
      <c r="G11809" s="24"/>
    </row>
    <row r="11810">
      <c r="B11810" s="24"/>
      <c r="C11810" s="24"/>
      <c r="D11810" s="214"/>
      <c r="E11810" s="24"/>
      <c r="G11810" s="24"/>
    </row>
    <row r="11811">
      <c r="B11811" s="24"/>
      <c r="C11811" s="24"/>
      <c r="D11811" s="214"/>
      <c r="E11811" s="24"/>
      <c r="G11811" s="24"/>
    </row>
    <row r="11812">
      <c r="B11812" s="24"/>
      <c r="C11812" s="24"/>
      <c r="D11812" s="214"/>
      <c r="E11812" s="24"/>
      <c r="G11812" s="24"/>
    </row>
    <row r="11813">
      <c r="B11813" s="24"/>
      <c r="C11813" s="24"/>
      <c r="D11813" s="214"/>
      <c r="E11813" s="24"/>
      <c r="G11813" s="24"/>
    </row>
    <row r="11814">
      <c r="B11814" s="24"/>
      <c r="C11814" s="24"/>
      <c r="D11814" s="214"/>
      <c r="E11814" s="24"/>
      <c r="G11814" s="24"/>
    </row>
    <row r="11815">
      <c r="B11815" s="24"/>
      <c r="C11815" s="24"/>
      <c r="D11815" s="214"/>
      <c r="E11815" s="24"/>
      <c r="G11815" s="24"/>
    </row>
    <row r="11816">
      <c r="B11816" s="24"/>
      <c r="C11816" s="24"/>
      <c r="D11816" s="214"/>
      <c r="E11816" s="24"/>
      <c r="G11816" s="24"/>
    </row>
    <row r="11817">
      <c r="B11817" s="24"/>
      <c r="C11817" s="24"/>
      <c r="D11817" s="214"/>
      <c r="E11817" s="24"/>
      <c r="G11817" s="24"/>
    </row>
    <row r="11818">
      <c r="B11818" s="24"/>
      <c r="C11818" s="24"/>
      <c r="D11818" s="214"/>
      <c r="E11818" s="24"/>
      <c r="G11818" s="24"/>
    </row>
    <row r="11819">
      <c r="B11819" s="24"/>
      <c r="C11819" s="24"/>
      <c r="D11819" s="214"/>
      <c r="E11819" s="24"/>
      <c r="G11819" s="24"/>
    </row>
    <row r="11820">
      <c r="B11820" s="24"/>
      <c r="C11820" s="24"/>
      <c r="D11820" s="214"/>
      <c r="E11820" s="24"/>
      <c r="G11820" s="24"/>
    </row>
    <row r="11821">
      <c r="B11821" s="24"/>
      <c r="C11821" s="24"/>
      <c r="D11821" s="214"/>
      <c r="E11821" s="24"/>
      <c r="G11821" s="24"/>
    </row>
    <row r="11822">
      <c r="B11822" s="24"/>
      <c r="C11822" s="24"/>
      <c r="D11822" s="214"/>
      <c r="E11822" s="24"/>
      <c r="G11822" s="24"/>
    </row>
    <row r="11823">
      <c r="B11823" s="24"/>
      <c r="C11823" s="24"/>
      <c r="D11823" s="214"/>
      <c r="E11823" s="24"/>
      <c r="G11823" s="24"/>
    </row>
    <row r="11824">
      <c r="B11824" s="24"/>
      <c r="C11824" s="24"/>
      <c r="D11824" s="214"/>
      <c r="E11824" s="24"/>
      <c r="G11824" s="24"/>
    </row>
    <row r="11825">
      <c r="B11825" s="24"/>
      <c r="C11825" s="24"/>
      <c r="D11825" s="214"/>
      <c r="E11825" s="24"/>
      <c r="G11825" s="24"/>
    </row>
    <row r="11826">
      <c r="B11826" s="24"/>
      <c r="C11826" s="24"/>
      <c r="D11826" s="214"/>
      <c r="E11826" s="24"/>
      <c r="G11826" s="24"/>
    </row>
    <row r="11827">
      <c r="B11827" s="24"/>
      <c r="C11827" s="24"/>
      <c r="D11827" s="214"/>
      <c r="E11827" s="24"/>
      <c r="G11827" s="24"/>
    </row>
    <row r="11828">
      <c r="B11828" s="24"/>
      <c r="C11828" s="24"/>
      <c r="D11828" s="214"/>
      <c r="E11828" s="24"/>
      <c r="G11828" s="24"/>
    </row>
    <row r="11829">
      <c r="B11829" s="24"/>
      <c r="C11829" s="24"/>
      <c r="D11829" s="214"/>
      <c r="E11829" s="24"/>
      <c r="G11829" s="24"/>
    </row>
    <row r="11830">
      <c r="B11830" s="24"/>
      <c r="C11830" s="24"/>
      <c r="D11830" s="214"/>
      <c r="E11830" s="24"/>
      <c r="G11830" s="24"/>
    </row>
    <row r="11831">
      <c r="B11831" s="24"/>
      <c r="C11831" s="24"/>
      <c r="D11831" s="214"/>
      <c r="E11831" s="24"/>
      <c r="G11831" s="24"/>
    </row>
    <row r="11832">
      <c r="B11832" s="24"/>
      <c r="C11832" s="24"/>
      <c r="D11832" s="214"/>
      <c r="E11832" s="24"/>
      <c r="G11832" s="24"/>
    </row>
    <row r="11833">
      <c r="B11833" s="24"/>
      <c r="C11833" s="24"/>
      <c r="D11833" s="214"/>
      <c r="E11833" s="24"/>
      <c r="G11833" s="24"/>
    </row>
    <row r="11834">
      <c r="B11834" s="24"/>
      <c r="C11834" s="24"/>
      <c r="D11834" s="214"/>
      <c r="E11834" s="24"/>
      <c r="G11834" s="24"/>
    </row>
    <row r="11835">
      <c r="B11835" s="24"/>
      <c r="C11835" s="24"/>
      <c r="D11835" s="214"/>
      <c r="E11835" s="24"/>
      <c r="G11835" s="24"/>
    </row>
    <row r="11836">
      <c r="B11836" s="24"/>
      <c r="C11836" s="24"/>
      <c r="D11836" s="214"/>
      <c r="E11836" s="24"/>
      <c r="G11836" s="24"/>
    </row>
    <row r="11837">
      <c r="B11837" s="24"/>
      <c r="C11837" s="24"/>
      <c r="D11837" s="214"/>
      <c r="E11837" s="24"/>
      <c r="G11837" s="24"/>
    </row>
    <row r="11838">
      <c r="B11838" s="24"/>
      <c r="C11838" s="24"/>
      <c r="D11838" s="214"/>
      <c r="E11838" s="24"/>
      <c r="G11838" s="24"/>
    </row>
    <row r="11839">
      <c r="B11839" s="24"/>
      <c r="C11839" s="24"/>
      <c r="D11839" s="214"/>
      <c r="E11839" s="24"/>
      <c r="G11839" s="24"/>
    </row>
    <row r="11840">
      <c r="B11840" s="24"/>
      <c r="C11840" s="24"/>
      <c r="D11840" s="214"/>
      <c r="E11840" s="24"/>
      <c r="G11840" s="24"/>
    </row>
    <row r="11841">
      <c r="B11841" s="24"/>
      <c r="C11841" s="24"/>
      <c r="D11841" s="214"/>
      <c r="E11841" s="24"/>
      <c r="G11841" s="24"/>
    </row>
    <row r="11842">
      <c r="B11842" s="24"/>
      <c r="C11842" s="24"/>
      <c r="D11842" s="214"/>
      <c r="E11842" s="24"/>
      <c r="G11842" s="24"/>
    </row>
    <row r="11843">
      <c r="B11843" s="24"/>
      <c r="C11843" s="24"/>
      <c r="D11843" s="214"/>
      <c r="E11843" s="24"/>
      <c r="G11843" s="24"/>
    </row>
    <row r="11844">
      <c r="B11844" s="24"/>
      <c r="C11844" s="24"/>
      <c r="D11844" s="214"/>
      <c r="E11844" s="24"/>
      <c r="G11844" s="24"/>
    </row>
    <row r="11845">
      <c r="B11845" s="24"/>
      <c r="C11845" s="24"/>
      <c r="D11845" s="214"/>
      <c r="E11845" s="24"/>
      <c r="G11845" s="24"/>
    </row>
    <row r="11846">
      <c r="B11846" s="24"/>
      <c r="C11846" s="24"/>
      <c r="D11846" s="214"/>
      <c r="E11846" s="24"/>
      <c r="G11846" s="24"/>
    </row>
    <row r="11847">
      <c r="B11847" s="24"/>
      <c r="C11847" s="24"/>
      <c r="D11847" s="214"/>
      <c r="E11847" s="24"/>
      <c r="G11847" s="24"/>
    </row>
    <row r="11848">
      <c r="B11848" s="24"/>
      <c r="C11848" s="24"/>
      <c r="D11848" s="214"/>
      <c r="E11848" s="24"/>
      <c r="G11848" s="24"/>
    </row>
    <row r="11849">
      <c r="B11849" s="24"/>
      <c r="C11849" s="24"/>
      <c r="D11849" s="214"/>
      <c r="E11849" s="24"/>
      <c r="G11849" s="24"/>
    </row>
    <row r="11850">
      <c r="B11850" s="24"/>
      <c r="C11850" s="24"/>
      <c r="D11850" s="214"/>
      <c r="E11850" s="24"/>
      <c r="G11850" s="24"/>
    </row>
    <row r="11851">
      <c r="B11851" s="24"/>
      <c r="C11851" s="24"/>
      <c r="D11851" s="214"/>
      <c r="E11851" s="24"/>
      <c r="G11851" s="24"/>
    </row>
    <row r="11852">
      <c r="B11852" s="24"/>
      <c r="C11852" s="24"/>
      <c r="D11852" s="214"/>
      <c r="E11852" s="24"/>
      <c r="G11852" s="24"/>
    </row>
    <row r="11853">
      <c r="B11853" s="24"/>
      <c r="C11853" s="24"/>
      <c r="D11853" s="214"/>
      <c r="E11853" s="24"/>
      <c r="G11853" s="24"/>
    </row>
    <row r="11854">
      <c r="B11854" s="24"/>
      <c r="C11854" s="24"/>
      <c r="D11854" s="214"/>
      <c r="E11854" s="24"/>
      <c r="G11854" s="24"/>
    </row>
    <row r="11855">
      <c r="B11855" s="24"/>
      <c r="C11855" s="24"/>
      <c r="D11855" s="214"/>
      <c r="E11855" s="24"/>
      <c r="G11855" s="24"/>
    </row>
    <row r="11856">
      <c r="B11856" s="24"/>
      <c r="C11856" s="24"/>
      <c r="D11856" s="214"/>
      <c r="E11856" s="24"/>
      <c r="G11856" s="24"/>
    </row>
    <row r="11857">
      <c r="B11857" s="24"/>
      <c r="C11857" s="24"/>
      <c r="D11857" s="214"/>
      <c r="E11857" s="24"/>
      <c r="G11857" s="24"/>
    </row>
    <row r="11858">
      <c r="B11858" s="24"/>
      <c r="C11858" s="24"/>
      <c r="D11858" s="214"/>
      <c r="E11858" s="24"/>
      <c r="G11858" s="24"/>
    </row>
    <row r="11859">
      <c r="B11859" s="24"/>
      <c r="C11859" s="24"/>
      <c r="D11859" s="214"/>
      <c r="E11859" s="24"/>
      <c r="G11859" s="24"/>
    </row>
    <row r="11860">
      <c r="B11860" s="24"/>
      <c r="C11860" s="24"/>
      <c r="D11860" s="214"/>
      <c r="E11860" s="24"/>
      <c r="G11860" s="24"/>
    </row>
    <row r="11861">
      <c r="B11861" s="24"/>
      <c r="C11861" s="24"/>
      <c r="D11861" s="214"/>
      <c r="E11861" s="24"/>
      <c r="G11861" s="24"/>
    </row>
    <row r="11862">
      <c r="B11862" s="24"/>
      <c r="C11862" s="24"/>
      <c r="D11862" s="214"/>
      <c r="E11862" s="24"/>
      <c r="G11862" s="24"/>
    </row>
    <row r="11863">
      <c r="B11863" s="24"/>
      <c r="C11863" s="24"/>
      <c r="D11863" s="214"/>
      <c r="E11863" s="24"/>
      <c r="G11863" s="24"/>
    </row>
    <row r="11864">
      <c r="B11864" s="24"/>
      <c r="C11864" s="24"/>
      <c r="D11864" s="214"/>
      <c r="E11864" s="24"/>
      <c r="G11864" s="24"/>
    </row>
    <row r="11865">
      <c r="B11865" s="24"/>
      <c r="C11865" s="24"/>
      <c r="D11865" s="214"/>
      <c r="E11865" s="24"/>
      <c r="G11865" s="24"/>
    </row>
    <row r="11866">
      <c r="B11866" s="24"/>
      <c r="C11866" s="24"/>
      <c r="D11866" s="214"/>
      <c r="E11866" s="24"/>
      <c r="G11866" s="24"/>
    </row>
    <row r="11867">
      <c r="B11867" s="24"/>
      <c r="C11867" s="24"/>
      <c r="D11867" s="214"/>
      <c r="E11867" s="24"/>
      <c r="G11867" s="24"/>
    </row>
    <row r="11868">
      <c r="B11868" s="24"/>
      <c r="C11868" s="24"/>
      <c r="D11868" s="214"/>
      <c r="E11868" s="24"/>
      <c r="G11868" s="24"/>
    </row>
    <row r="11869">
      <c r="B11869" s="24"/>
      <c r="C11869" s="24"/>
      <c r="D11869" s="214"/>
      <c r="E11869" s="24"/>
      <c r="G11869" s="24"/>
    </row>
    <row r="11870">
      <c r="B11870" s="24"/>
      <c r="C11870" s="24"/>
      <c r="D11870" s="214"/>
      <c r="E11870" s="24"/>
      <c r="G11870" s="24"/>
    </row>
    <row r="11871">
      <c r="B11871" s="24"/>
      <c r="C11871" s="24"/>
      <c r="D11871" s="214"/>
      <c r="E11871" s="24"/>
      <c r="G11871" s="24"/>
    </row>
    <row r="11872">
      <c r="B11872" s="24"/>
      <c r="C11872" s="24"/>
      <c r="D11872" s="214"/>
      <c r="E11872" s="24"/>
      <c r="G11872" s="24"/>
    </row>
    <row r="11873">
      <c r="B11873" s="24"/>
      <c r="C11873" s="24"/>
      <c r="D11873" s="214"/>
      <c r="E11873" s="24"/>
      <c r="G11873" s="24"/>
    </row>
    <row r="11874">
      <c r="B11874" s="24"/>
      <c r="C11874" s="24"/>
      <c r="D11874" s="214"/>
      <c r="E11874" s="24"/>
      <c r="G11874" s="24"/>
    </row>
    <row r="11875">
      <c r="B11875" s="24"/>
      <c r="C11875" s="24"/>
      <c r="D11875" s="214"/>
      <c r="E11875" s="24"/>
      <c r="G11875" s="24"/>
    </row>
    <row r="11876">
      <c r="B11876" s="24"/>
      <c r="C11876" s="24"/>
      <c r="D11876" s="214"/>
      <c r="E11876" s="24"/>
      <c r="G11876" s="24"/>
    </row>
    <row r="11877">
      <c r="B11877" s="24"/>
      <c r="C11877" s="24"/>
      <c r="D11877" s="214"/>
      <c r="E11877" s="24"/>
      <c r="G11877" s="24"/>
    </row>
    <row r="11878">
      <c r="B11878" s="24"/>
      <c r="C11878" s="24"/>
      <c r="D11878" s="214"/>
      <c r="E11878" s="24"/>
      <c r="G11878" s="24"/>
    </row>
    <row r="11879">
      <c r="B11879" s="24"/>
      <c r="C11879" s="24"/>
      <c r="D11879" s="214"/>
      <c r="E11879" s="24"/>
      <c r="G11879" s="24"/>
    </row>
    <row r="11880">
      <c r="B11880" s="24"/>
      <c r="C11880" s="24"/>
      <c r="D11880" s="214"/>
      <c r="E11880" s="24"/>
      <c r="G11880" s="24"/>
    </row>
    <row r="11881">
      <c r="B11881" s="24"/>
      <c r="C11881" s="24"/>
      <c r="D11881" s="214"/>
      <c r="E11881" s="24"/>
      <c r="G11881" s="24"/>
    </row>
    <row r="11882">
      <c r="B11882" s="24"/>
      <c r="C11882" s="24"/>
      <c r="D11882" s="214"/>
      <c r="E11882" s="24"/>
      <c r="G11882" s="24"/>
    </row>
    <row r="11883">
      <c r="B11883" s="24"/>
      <c r="C11883" s="24"/>
      <c r="D11883" s="214"/>
      <c r="E11883" s="24"/>
      <c r="G11883" s="24"/>
    </row>
    <row r="11884">
      <c r="B11884" s="24"/>
      <c r="C11884" s="24"/>
      <c r="D11884" s="214"/>
      <c r="E11884" s="24"/>
      <c r="G11884" s="24"/>
    </row>
    <row r="11885">
      <c r="B11885" s="24"/>
      <c r="C11885" s="24"/>
      <c r="D11885" s="214"/>
      <c r="E11885" s="24"/>
      <c r="G11885" s="24"/>
    </row>
    <row r="11886">
      <c r="B11886" s="24"/>
      <c r="C11886" s="24"/>
      <c r="D11886" s="214"/>
      <c r="E11886" s="24"/>
      <c r="G11886" s="24"/>
    </row>
    <row r="11887">
      <c r="B11887" s="24"/>
      <c r="C11887" s="24"/>
      <c r="D11887" s="214"/>
      <c r="E11887" s="24"/>
      <c r="G11887" s="24"/>
    </row>
    <row r="11888">
      <c r="B11888" s="24"/>
      <c r="C11888" s="24"/>
      <c r="D11888" s="214"/>
      <c r="E11888" s="24"/>
      <c r="G11888" s="24"/>
    </row>
    <row r="11889">
      <c r="B11889" s="24"/>
      <c r="C11889" s="24"/>
      <c r="D11889" s="214"/>
      <c r="E11889" s="24"/>
      <c r="G11889" s="24"/>
    </row>
    <row r="11890">
      <c r="B11890" s="24"/>
      <c r="C11890" s="24"/>
      <c r="D11890" s="214"/>
      <c r="E11890" s="24"/>
      <c r="G11890" s="24"/>
    </row>
    <row r="11891">
      <c r="B11891" s="24"/>
      <c r="C11891" s="24"/>
      <c r="D11891" s="214"/>
      <c r="E11891" s="24"/>
      <c r="G11891" s="24"/>
    </row>
    <row r="11892">
      <c r="B11892" s="24"/>
      <c r="C11892" s="24"/>
      <c r="D11892" s="214"/>
      <c r="E11892" s="24"/>
      <c r="G11892" s="24"/>
    </row>
    <row r="11893">
      <c r="B11893" s="24"/>
      <c r="C11893" s="24"/>
      <c r="D11893" s="214"/>
      <c r="E11893" s="24"/>
      <c r="G11893" s="24"/>
    </row>
    <row r="11894">
      <c r="B11894" s="24"/>
      <c r="C11894" s="24"/>
      <c r="D11894" s="214"/>
      <c r="E11894" s="24"/>
      <c r="G11894" s="24"/>
    </row>
    <row r="11895">
      <c r="B11895" s="24"/>
      <c r="C11895" s="24"/>
      <c r="D11895" s="214"/>
      <c r="E11895" s="24"/>
      <c r="G11895" s="24"/>
    </row>
    <row r="11896">
      <c r="B11896" s="24"/>
      <c r="C11896" s="24"/>
      <c r="D11896" s="214"/>
      <c r="E11896" s="24"/>
      <c r="G11896" s="24"/>
    </row>
    <row r="11897">
      <c r="B11897" s="24"/>
      <c r="C11897" s="24"/>
      <c r="D11897" s="214"/>
      <c r="E11897" s="24"/>
      <c r="G11897" s="24"/>
    </row>
    <row r="11898">
      <c r="B11898" s="24"/>
      <c r="C11898" s="24"/>
      <c r="D11898" s="214"/>
      <c r="E11898" s="24"/>
      <c r="G11898" s="24"/>
    </row>
    <row r="11899">
      <c r="B11899" s="24"/>
      <c r="C11899" s="24"/>
      <c r="D11899" s="214"/>
      <c r="E11899" s="24"/>
      <c r="G11899" s="24"/>
    </row>
    <row r="11900">
      <c r="B11900" s="24"/>
      <c r="C11900" s="24"/>
      <c r="D11900" s="214"/>
      <c r="E11900" s="24"/>
      <c r="G11900" s="24"/>
    </row>
    <row r="11901">
      <c r="B11901" s="24"/>
      <c r="C11901" s="24"/>
      <c r="D11901" s="214"/>
      <c r="E11901" s="24"/>
      <c r="G11901" s="24"/>
    </row>
    <row r="11902">
      <c r="B11902" s="24"/>
      <c r="C11902" s="24"/>
      <c r="D11902" s="214"/>
      <c r="E11902" s="24"/>
      <c r="G11902" s="24"/>
    </row>
    <row r="11903">
      <c r="B11903" s="24"/>
      <c r="C11903" s="24"/>
      <c r="D11903" s="214"/>
      <c r="E11903" s="24"/>
      <c r="G11903" s="24"/>
    </row>
    <row r="11904">
      <c r="B11904" s="24"/>
      <c r="C11904" s="24"/>
      <c r="D11904" s="214"/>
      <c r="E11904" s="24"/>
      <c r="G11904" s="24"/>
    </row>
    <row r="11905">
      <c r="B11905" s="24"/>
      <c r="C11905" s="24"/>
      <c r="D11905" s="214"/>
      <c r="E11905" s="24"/>
      <c r="G11905" s="24"/>
    </row>
    <row r="11906">
      <c r="B11906" s="24"/>
      <c r="C11906" s="24"/>
      <c r="D11906" s="214"/>
      <c r="E11906" s="24"/>
      <c r="G11906" s="24"/>
    </row>
    <row r="11907">
      <c r="B11907" s="24"/>
      <c r="C11907" s="24"/>
      <c r="D11907" s="214"/>
      <c r="E11907" s="24"/>
      <c r="G11907" s="24"/>
    </row>
    <row r="11908">
      <c r="B11908" s="24"/>
      <c r="C11908" s="24"/>
      <c r="D11908" s="214"/>
      <c r="E11908" s="24"/>
      <c r="G11908" s="24"/>
    </row>
    <row r="11909">
      <c r="B11909" s="24"/>
      <c r="C11909" s="24"/>
      <c r="D11909" s="214"/>
      <c r="E11909" s="24"/>
      <c r="G11909" s="24"/>
    </row>
    <row r="11910">
      <c r="B11910" s="24"/>
      <c r="C11910" s="24"/>
      <c r="D11910" s="214"/>
      <c r="E11910" s="24"/>
      <c r="G11910" s="24"/>
    </row>
    <row r="11911">
      <c r="B11911" s="24"/>
      <c r="C11911" s="24"/>
      <c r="D11911" s="214"/>
      <c r="E11911" s="24"/>
      <c r="G11911" s="24"/>
    </row>
    <row r="11912">
      <c r="B11912" s="24"/>
      <c r="C11912" s="24"/>
      <c r="D11912" s="214"/>
      <c r="E11912" s="24"/>
      <c r="G11912" s="24"/>
    </row>
    <row r="11913">
      <c r="B11913" s="24"/>
      <c r="C11913" s="24"/>
      <c r="D11913" s="214"/>
      <c r="E11913" s="24"/>
      <c r="G11913" s="24"/>
    </row>
    <row r="11914">
      <c r="B11914" s="24"/>
      <c r="C11914" s="24"/>
      <c r="D11914" s="214"/>
      <c r="E11914" s="24"/>
      <c r="G11914" s="24"/>
    </row>
    <row r="11915">
      <c r="B11915" s="24"/>
      <c r="C11915" s="24"/>
      <c r="D11915" s="214"/>
      <c r="E11915" s="24"/>
      <c r="G11915" s="24"/>
    </row>
    <row r="11916">
      <c r="B11916" s="24"/>
      <c r="C11916" s="24"/>
      <c r="D11916" s="214"/>
      <c r="E11916" s="24"/>
      <c r="G11916" s="24"/>
    </row>
    <row r="11917">
      <c r="B11917" s="24"/>
      <c r="C11917" s="24"/>
      <c r="D11917" s="214"/>
      <c r="E11917" s="24"/>
      <c r="G11917" s="24"/>
    </row>
    <row r="11918">
      <c r="B11918" s="24"/>
      <c r="C11918" s="24"/>
      <c r="D11918" s="214"/>
      <c r="E11918" s="24"/>
      <c r="G11918" s="24"/>
    </row>
    <row r="11919">
      <c r="B11919" s="24"/>
      <c r="C11919" s="24"/>
      <c r="D11919" s="214"/>
      <c r="E11919" s="24"/>
      <c r="G11919" s="24"/>
    </row>
    <row r="11920">
      <c r="B11920" s="24"/>
      <c r="C11920" s="24"/>
      <c r="D11920" s="214"/>
      <c r="E11920" s="24"/>
      <c r="G11920" s="24"/>
    </row>
    <row r="11921">
      <c r="B11921" s="24"/>
      <c r="C11921" s="24"/>
      <c r="D11921" s="214"/>
      <c r="E11921" s="24"/>
      <c r="G11921" s="24"/>
    </row>
    <row r="11922">
      <c r="B11922" s="24"/>
      <c r="C11922" s="24"/>
      <c r="D11922" s="214"/>
      <c r="E11922" s="24"/>
      <c r="G11922" s="24"/>
    </row>
    <row r="11923">
      <c r="B11923" s="24"/>
      <c r="C11923" s="24"/>
      <c r="D11923" s="214"/>
      <c r="E11923" s="24"/>
      <c r="G11923" s="24"/>
    </row>
    <row r="11924">
      <c r="B11924" s="24"/>
      <c r="C11924" s="24"/>
      <c r="D11924" s="214"/>
      <c r="E11924" s="24"/>
      <c r="G11924" s="24"/>
    </row>
    <row r="11925">
      <c r="B11925" s="24"/>
      <c r="C11925" s="24"/>
      <c r="D11925" s="214"/>
      <c r="E11925" s="24"/>
      <c r="G11925" s="24"/>
    </row>
    <row r="11926">
      <c r="B11926" s="24"/>
      <c r="C11926" s="24"/>
      <c r="D11926" s="214"/>
      <c r="E11926" s="24"/>
      <c r="G11926" s="24"/>
    </row>
    <row r="11927">
      <c r="B11927" s="24"/>
      <c r="C11927" s="24"/>
      <c r="D11927" s="214"/>
      <c r="E11927" s="24"/>
      <c r="G11927" s="24"/>
    </row>
    <row r="11928">
      <c r="B11928" s="24"/>
      <c r="C11928" s="24"/>
      <c r="D11928" s="214"/>
      <c r="E11928" s="24"/>
      <c r="G11928" s="24"/>
    </row>
    <row r="11929">
      <c r="B11929" s="24"/>
      <c r="C11929" s="24"/>
      <c r="D11929" s="214"/>
      <c r="E11929" s="24"/>
      <c r="G11929" s="24"/>
    </row>
    <row r="11930">
      <c r="B11930" s="24"/>
      <c r="C11930" s="24"/>
      <c r="D11930" s="214"/>
      <c r="E11930" s="24"/>
      <c r="G11930" s="24"/>
    </row>
    <row r="11931">
      <c r="B11931" s="24"/>
      <c r="C11931" s="24"/>
      <c r="D11931" s="214"/>
      <c r="E11931" s="24"/>
      <c r="G11931" s="24"/>
    </row>
    <row r="11932">
      <c r="B11932" s="24"/>
      <c r="C11932" s="24"/>
      <c r="D11932" s="214"/>
      <c r="E11932" s="24"/>
      <c r="G11932" s="24"/>
    </row>
    <row r="11933">
      <c r="B11933" s="24"/>
      <c r="C11933" s="24"/>
      <c r="D11933" s="214"/>
      <c r="E11933" s="24"/>
      <c r="G11933" s="24"/>
    </row>
    <row r="11934">
      <c r="B11934" s="24"/>
      <c r="C11934" s="24"/>
      <c r="D11934" s="214"/>
      <c r="E11934" s="24"/>
      <c r="G11934" s="24"/>
    </row>
    <row r="11935">
      <c r="B11935" s="24"/>
      <c r="C11935" s="24"/>
      <c r="D11935" s="214"/>
      <c r="E11935" s="24"/>
      <c r="G11935" s="24"/>
    </row>
    <row r="11936">
      <c r="B11936" s="24"/>
      <c r="C11936" s="24"/>
      <c r="D11936" s="214"/>
      <c r="E11936" s="24"/>
      <c r="G11936" s="24"/>
    </row>
    <row r="11937">
      <c r="B11937" s="24"/>
      <c r="C11937" s="24"/>
      <c r="D11937" s="214"/>
      <c r="E11937" s="24"/>
      <c r="G11937" s="24"/>
    </row>
    <row r="11938">
      <c r="B11938" s="24"/>
      <c r="C11938" s="24"/>
      <c r="D11938" s="214"/>
      <c r="E11938" s="24"/>
      <c r="G11938" s="24"/>
    </row>
    <row r="11939">
      <c r="B11939" s="24"/>
      <c r="C11939" s="24"/>
      <c r="D11939" s="214"/>
      <c r="E11939" s="24"/>
      <c r="G11939" s="24"/>
    </row>
    <row r="11940">
      <c r="B11940" s="24"/>
      <c r="C11940" s="24"/>
      <c r="D11940" s="214"/>
      <c r="E11940" s="24"/>
      <c r="G11940" s="24"/>
    </row>
    <row r="11941">
      <c r="B11941" s="24"/>
      <c r="C11941" s="24"/>
      <c r="D11941" s="214"/>
      <c r="E11941" s="24"/>
      <c r="G11941" s="24"/>
    </row>
    <row r="11942">
      <c r="B11942" s="24"/>
      <c r="C11942" s="24"/>
      <c r="D11942" s="214"/>
      <c r="E11942" s="24"/>
      <c r="G11942" s="24"/>
    </row>
    <row r="11943">
      <c r="B11943" s="24"/>
      <c r="C11943" s="24"/>
      <c r="D11943" s="214"/>
      <c r="E11943" s="24"/>
      <c r="G11943" s="24"/>
    </row>
    <row r="11944">
      <c r="B11944" s="24"/>
      <c r="C11944" s="24"/>
      <c r="D11944" s="214"/>
      <c r="E11944" s="24"/>
      <c r="G11944" s="24"/>
    </row>
    <row r="11945">
      <c r="B11945" s="24"/>
      <c r="C11945" s="24"/>
      <c r="D11945" s="214"/>
      <c r="E11945" s="24"/>
      <c r="G11945" s="24"/>
    </row>
    <row r="11946">
      <c r="B11946" s="24"/>
      <c r="C11946" s="24"/>
      <c r="D11946" s="214"/>
      <c r="E11946" s="24"/>
      <c r="G11946" s="24"/>
    </row>
    <row r="11947">
      <c r="B11947" s="24"/>
      <c r="C11947" s="24"/>
      <c r="D11947" s="214"/>
      <c r="E11947" s="24"/>
      <c r="G11947" s="24"/>
    </row>
    <row r="11948">
      <c r="B11948" s="24"/>
      <c r="C11948" s="24"/>
      <c r="D11948" s="214"/>
      <c r="E11948" s="24"/>
      <c r="G11948" s="24"/>
    </row>
    <row r="11949">
      <c r="B11949" s="24"/>
      <c r="C11949" s="24"/>
      <c r="D11949" s="214"/>
      <c r="E11949" s="24"/>
      <c r="G11949" s="24"/>
    </row>
    <row r="11950">
      <c r="B11950" s="24"/>
      <c r="C11950" s="24"/>
      <c r="D11950" s="214"/>
      <c r="E11950" s="24"/>
      <c r="G11950" s="24"/>
    </row>
    <row r="11951">
      <c r="B11951" s="24"/>
      <c r="C11951" s="24"/>
      <c r="D11951" s="214"/>
      <c r="E11951" s="24"/>
      <c r="G11951" s="24"/>
    </row>
    <row r="11952">
      <c r="B11952" s="24"/>
      <c r="C11952" s="24"/>
      <c r="D11952" s="214"/>
      <c r="E11952" s="24"/>
      <c r="G11952" s="24"/>
    </row>
    <row r="11953">
      <c r="B11953" s="24"/>
      <c r="C11953" s="24"/>
      <c r="D11953" s="214"/>
      <c r="E11953" s="24"/>
      <c r="G11953" s="24"/>
    </row>
    <row r="11954">
      <c r="B11954" s="24"/>
      <c r="C11954" s="24"/>
      <c r="D11954" s="214"/>
      <c r="E11954" s="24"/>
      <c r="G11954" s="24"/>
    </row>
    <row r="11955">
      <c r="B11955" s="24"/>
      <c r="C11955" s="24"/>
      <c r="D11955" s="214"/>
      <c r="E11955" s="24"/>
      <c r="G11955" s="24"/>
    </row>
    <row r="11956">
      <c r="B11956" s="24"/>
      <c r="C11956" s="24"/>
      <c r="D11956" s="214"/>
      <c r="E11956" s="24"/>
      <c r="G11956" s="24"/>
    </row>
    <row r="11957">
      <c r="B11957" s="24"/>
      <c r="C11957" s="24"/>
      <c r="D11957" s="214"/>
      <c r="E11957" s="24"/>
      <c r="G11957" s="24"/>
    </row>
    <row r="11958">
      <c r="B11958" s="24"/>
      <c r="C11958" s="24"/>
      <c r="D11958" s="214"/>
      <c r="E11958" s="24"/>
      <c r="G11958" s="24"/>
    </row>
    <row r="11959">
      <c r="B11959" s="24"/>
      <c r="C11959" s="24"/>
      <c r="D11959" s="214"/>
      <c r="E11959" s="24"/>
      <c r="G11959" s="24"/>
    </row>
    <row r="11960">
      <c r="B11960" s="24"/>
      <c r="C11960" s="24"/>
      <c r="D11960" s="214"/>
      <c r="E11960" s="24"/>
      <c r="G11960" s="24"/>
    </row>
    <row r="11961">
      <c r="B11961" s="24"/>
      <c r="C11961" s="24"/>
      <c r="D11961" s="214"/>
      <c r="E11961" s="24"/>
      <c r="G11961" s="24"/>
    </row>
    <row r="11962">
      <c r="B11962" s="24"/>
      <c r="C11962" s="24"/>
      <c r="D11962" s="214"/>
      <c r="E11962" s="24"/>
      <c r="G11962" s="24"/>
    </row>
    <row r="11963">
      <c r="B11963" s="24"/>
      <c r="C11963" s="24"/>
      <c r="D11963" s="214"/>
      <c r="E11963" s="24"/>
      <c r="G11963" s="24"/>
    </row>
    <row r="11964">
      <c r="B11964" s="24"/>
      <c r="C11964" s="24"/>
      <c r="D11964" s="214"/>
      <c r="E11964" s="24"/>
      <c r="G11964" s="24"/>
    </row>
    <row r="11965">
      <c r="B11965" s="24"/>
      <c r="C11965" s="24"/>
      <c r="D11965" s="214"/>
      <c r="E11965" s="24"/>
      <c r="G11965" s="24"/>
    </row>
    <row r="11966">
      <c r="B11966" s="24"/>
      <c r="C11966" s="24"/>
      <c r="D11966" s="214"/>
      <c r="E11966" s="24"/>
      <c r="G11966" s="24"/>
    </row>
    <row r="11967">
      <c r="B11967" s="24"/>
      <c r="C11967" s="24"/>
      <c r="D11967" s="214"/>
      <c r="E11967" s="24"/>
      <c r="G11967" s="24"/>
    </row>
    <row r="11968">
      <c r="B11968" s="24"/>
      <c r="C11968" s="24"/>
      <c r="D11968" s="214"/>
      <c r="E11968" s="24"/>
      <c r="G11968" s="24"/>
    </row>
    <row r="11969">
      <c r="B11969" s="24"/>
      <c r="C11969" s="24"/>
      <c r="D11969" s="214"/>
      <c r="E11969" s="24"/>
      <c r="G11969" s="24"/>
    </row>
    <row r="11970">
      <c r="B11970" s="24"/>
      <c r="C11970" s="24"/>
      <c r="D11970" s="214"/>
      <c r="E11970" s="24"/>
      <c r="G11970" s="24"/>
    </row>
    <row r="11971">
      <c r="B11971" s="24"/>
      <c r="C11971" s="24"/>
      <c r="D11971" s="214"/>
      <c r="E11971" s="24"/>
      <c r="G11971" s="24"/>
    </row>
    <row r="11972">
      <c r="B11972" s="24"/>
      <c r="C11972" s="24"/>
      <c r="D11972" s="214"/>
      <c r="E11972" s="24"/>
      <c r="G11972" s="24"/>
    </row>
    <row r="11973">
      <c r="B11973" s="24"/>
      <c r="C11973" s="24"/>
      <c r="D11973" s="214"/>
      <c r="E11973" s="24"/>
      <c r="G11973" s="24"/>
    </row>
    <row r="11974">
      <c r="B11974" s="24"/>
      <c r="C11974" s="24"/>
      <c r="D11974" s="214"/>
      <c r="E11974" s="24"/>
      <c r="G11974" s="24"/>
    </row>
    <row r="11975">
      <c r="B11975" s="24"/>
      <c r="C11975" s="24"/>
      <c r="D11975" s="214"/>
      <c r="E11975" s="24"/>
      <c r="G11975" s="24"/>
    </row>
    <row r="11976">
      <c r="B11976" s="24"/>
      <c r="C11976" s="24"/>
      <c r="D11976" s="214"/>
      <c r="E11976" s="24"/>
      <c r="G11976" s="24"/>
    </row>
    <row r="11977">
      <c r="B11977" s="24"/>
      <c r="C11977" s="24"/>
      <c r="D11977" s="214"/>
      <c r="E11977" s="24"/>
      <c r="G11977" s="24"/>
    </row>
    <row r="11978">
      <c r="B11978" s="24"/>
      <c r="C11978" s="24"/>
      <c r="D11978" s="214"/>
      <c r="E11978" s="24"/>
      <c r="G11978" s="24"/>
    </row>
    <row r="11979">
      <c r="B11979" s="24"/>
      <c r="C11979" s="24"/>
      <c r="D11979" s="214"/>
      <c r="E11979" s="24"/>
      <c r="G11979" s="24"/>
    </row>
    <row r="11980">
      <c r="B11980" s="24"/>
      <c r="C11980" s="24"/>
      <c r="D11980" s="214"/>
      <c r="E11980" s="24"/>
      <c r="G11980" s="24"/>
    </row>
    <row r="11981">
      <c r="B11981" s="24"/>
      <c r="C11981" s="24"/>
      <c r="D11981" s="214"/>
      <c r="E11981" s="24"/>
      <c r="G11981" s="24"/>
    </row>
    <row r="11982">
      <c r="B11982" s="24"/>
      <c r="C11982" s="24"/>
      <c r="D11982" s="214"/>
      <c r="E11982" s="24"/>
      <c r="G11982" s="24"/>
    </row>
    <row r="11983">
      <c r="B11983" s="24"/>
      <c r="C11983" s="24"/>
      <c r="D11983" s="214"/>
      <c r="E11983" s="24"/>
      <c r="G11983" s="24"/>
    </row>
    <row r="11984">
      <c r="B11984" s="24"/>
      <c r="C11984" s="24"/>
      <c r="D11984" s="214"/>
      <c r="E11984" s="24"/>
      <c r="G11984" s="24"/>
    </row>
    <row r="11985">
      <c r="B11985" s="24"/>
      <c r="C11985" s="24"/>
      <c r="D11985" s="214"/>
      <c r="E11985" s="24"/>
      <c r="G11985" s="24"/>
    </row>
    <row r="11986">
      <c r="B11986" s="24"/>
      <c r="C11986" s="24"/>
      <c r="D11986" s="214"/>
      <c r="E11986" s="24"/>
      <c r="G11986" s="24"/>
    </row>
    <row r="11987">
      <c r="B11987" s="24"/>
      <c r="C11987" s="24"/>
      <c r="D11987" s="214"/>
      <c r="E11987" s="24"/>
      <c r="G11987" s="24"/>
    </row>
    <row r="11988">
      <c r="B11988" s="24"/>
      <c r="C11988" s="24"/>
      <c r="D11988" s="214"/>
      <c r="E11988" s="24"/>
      <c r="G11988" s="24"/>
    </row>
    <row r="11989">
      <c r="B11989" s="24"/>
      <c r="C11989" s="24"/>
      <c r="D11989" s="214"/>
      <c r="E11989" s="24"/>
      <c r="G11989" s="24"/>
    </row>
    <row r="11990">
      <c r="B11990" s="24"/>
      <c r="C11990" s="24"/>
      <c r="D11990" s="214"/>
      <c r="E11990" s="24"/>
      <c r="G11990" s="24"/>
    </row>
    <row r="11991">
      <c r="B11991" s="24"/>
      <c r="C11991" s="24"/>
      <c r="D11991" s="214"/>
      <c r="E11991" s="24"/>
      <c r="G11991" s="24"/>
    </row>
    <row r="11992">
      <c r="B11992" s="24"/>
      <c r="C11992" s="24"/>
      <c r="D11992" s="214"/>
      <c r="E11992" s="24"/>
      <c r="G11992" s="24"/>
    </row>
    <row r="11993">
      <c r="B11993" s="24"/>
      <c r="C11993" s="24"/>
      <c r="D11993" s="214"/>
      <c r="E11993" s="24"/>
      <c r="G11993" s="24"/>
    </row>
    <row r="11994">
      <c r="B11994" s="24"/>
      <c r="C11994" s="24"/>
      <c r="D11994" s="214"/>
      <c r="E11994" s="24"/>
      <c r="G11994" s="24"/>
    </row>
    <row r="11995">
      <c r="B11995" s="24"/>
      <c r="C11995" s="24"/>
      <c r="D11995" s="214"/>
      <c r="E11995" s="24"/>
      <c r="G11995" s="24"/>
    </row>
    <row r="11996">
      <c r="B11996" s="24"/>
      <c r="C11996" s="24"/>
      <c r="D11996" s="214"/>
      <c r="E11996" s="24"/>
      <c r="G11996" s="24"/>
    </row>
    <row r="11997">
      <c r="B11997" s="24"/>
      <c r="C11997" s="24"/>
      <c r="D11997" s="214"/>
      <c r="E11997" s="24"/>
      <c r="G11997" s="24"/>
    </row>
    <row r="11998">
      <c r="B11998" s="24"/>
      <c r="C11998" s="24"/>
      <c r="D11998" s="214"/>
      <c r="E11998" s="24"/>
      <c r="G11998" s="24"/>
    </row>
    <row r="11999">
      <c r="B11999" s="24"/>
      <c r="C11999" s="24"/>
      <c r="D11999" s="214"/>
      <c r="E11999" s="24"/>
      <c r="G11999" s="24"/>
    </row>
    <row r="12000">
      <c r="B12000" s="24"/>
      <c r="C12000" s="24"/>
      <c r="D12000" s="214"/>
      <c r="E12000" s="24"/>
      <c r="G12000" s="24"/>
    </row>
    <row r="12001">
      <c r="B12001" s="24"/>
      <c r="C12001" s="24"/>
      <c r="D12001" s="214"/>
      <c r="E12001" s="24"/>
      <c r="G12001" s="24"/>
    </row>
    <row r="12002">
      <c r="B12002" s="24"/>
      <c r="C12002" s="24"/>
      <c r="D12002" s="214"/>
      <c r="E12002" s="24"/>
      <c r="G12002" s="24"/>
    </row>
    <row r="12003">
      <c r="B12003" s="24"/>
      <c r="C12003" s="24"/>
      <c r="D12003" s="214"/>
      <c r="E12003" s="24"/>
      <c r="G12003" s="24"/>
    </row>
    <row r="12004">
      <c r="B12004" s="24"/>
      <c r="C12004" s="24"/>
      <c r="D12004" s="214"/>
      <c r="E12004" s="24"/>
      <c r="G12004" s="24"/>
    </row>
    <row r="12005">
      <c r="B12005" s="24"/>
      <c r="C12005" s="24"/>
      <c r="D12005" s="214"/>
      <c r="E12005" s="24"/>
      <c r="G12005" s="24"/>
    </row>
    <row r="12006">
      <c r="B12006" s="24"/>
      <c r="C12006" s="24"/>
      <c r="D12006" s="214"/>
      <c r="E12006" s="24"/>
      <c r="G12006" s="24"/>
    </row>
    <row r="12007">
      <c r="B12007" s="24"/>
      <c r="C12007" s="24"/>
      <c r="D12007" s="214"/>
      <c r="E12007" s="24"/>
      <c r="G12007" s="24"/>
    </row>
    <row r="12008">
      <c r="B12008" s="24"/>
      <c r="C12008" s="24"/>
      <c r="D12008" s="214"/>
      <c r="E12008" s="24"/>
      <c r="G12008" s="24"/>
    </row>
    <row r="12009">
      <c r="B12009" s="24"/>
      <c r="C12009" s="24"/>
      <c r="D12009" s="214"/>
      <c r="E12009" s="24"/>
      <c r="G12009" s="24"/>
    </row>
    <row r="12010">
      <c r="B12010" s="24"/>
      <c r="C12010" s="24"/>
      <c r="D12010" s="214"/>
      <c r="E12010" s="24"/>
      <c r="G12010" s="24"/>
    </row>
    <row r="12011">
      <c r="B12011" s="24"/>
      <c r="C12011" s="24"/>
      <c r="D12011" s="214"/>
      <c r="E12011" s="24"/>
      <c r="G12011" s="24"/>
    </row>
    <row r="12012">
      <c r="B12012" s="24"/>
      <c r="C12012" s="24"/>
      <c r="D12012" s="214"/>
      <c r="E12012" s="24"/>
      <c r="G12012" s="24"/>
    </row>
    <row r="12013">
      <c r="B12013" s="24"/>
      <c r="C12013" s="24"/>
      <c r="D12013" s="214"/>
      <c r="E12013" s="24"/>
      <c r="G12013" s="24"/>
    </row>
    <row r="12014">
      <c r="B12014" s="24"/>
      <c r="C12014" s="24"/>
      <c r="D12014" s="214"/>
      <c r="E12014" s="24"/>
      <c r="G12014" s="24"/>
    </row>
    <row r="12015">
      <c r="B12015" s="24"/>
      <c r="C12015" s="24"/>
      <c r="D12015" s="214"/>
      <c r="E12015" s="24"/>
      <c r="G12015" s="24"/>
    </row>
    <row r="12016">
      <c r="B12016" s="24"/>
      <c r="C12016" s="24"/>
      <c r="D12016" s="214"/>
      <c r="E12016" s="24"/>
      <c r="G12016" s="24"/>
    </row>
    <row r="12017">
      <c r="B12017" s="24"/>
      <c r="C12017" s="24"/>
      <c r="D12017" s="214"/>
      <c r="E12017" s="24"/>
      <c r="G12017" s="24"/>
    </row>
    <row r="12018">
      <c r="B12018" s="24"/>
      <c r="C12018" s="24"/>
      <c r="D12018" s="214"/>
      <c r="E12018" s="24"/>
      <c r="G12018" s="24"/>
    </row>
    <row r="12019">
      <c r="B12019" s="24"/>
      <c r="C12019" s="24"/>
      <c r="D12019" s="214"/>
      <c r="E12019" s="24"/>
      <c r="G12019" s="24"/>
    </row>
    <row r="12020">
      <c r="B12020" s="24"/>
      <c r="C12020" s="24"/>
      <c r="D12020" s="214"/>
      <c r="E12020" s="24"/>
      <c r="G12020" s="24"/>
    </row>
    <row r="12021">
      <c r="B12021" s="24"/>
      <c r="C12021" s="24"/>
      <c r="D12021" s="214"/>
      <c r="E12021" s="24"/>
      <c r="G12021" s="24"/>
    </row>
    <row r="12022">
      <c r="B12022" s="24"/>
      <c r="C12022" s="24"/>
      <c r="D12022" s="214"/>
      <c r="E12022" s="24"/>
      <c r="G12022" s="24"/>
    </row>
    <row r="12023">
      <c r="B12023" s="24"/>
      <c r="C12023" s="24"/>
      <c r="D12023" s="214"/>
      <c r="E12023" s="24"/>
      <c r="G12023" s="24"/>
    </row>
    <row r="12024">
      <c r="B12024" s="24"/>
      <c r="C12024" s="24"/>
      <c r="D12024" s="214"/>
      <c r="E12024" s="24"/>
      <c r="G12024" s="24"/>
    </row>
    <row r="12025">
      <c r="B12025" s="24"/>
      <c r="C12025" s="24"/>
      <c r="D12025" s="214"/>
      <c r="E12025" s="24"/>
      <c r="G12025" s="24"/>
    </row>
    <row r="12026">
      <c r="B12026" s="24"/>
      <c r="C12026" s="24"/>
      <c r="D12026" s="214"/>
      <c r="E12026" s="24"/>
      <c r="G12026" s="24"/>
    </row>
    <row r="12027">
      <c r="B12027" s="24"/>
      <c r="C12027" s="24"/>
      <c r="D12027" s="214"/>
      <c r="E12027" s="24"/>
      <c r="G12027" s="24"/>
    </row>
    <row r="12028">
      <c r="B12028" s="24"/>
      <c r="C12028" s="24"/>
      <c r="D12028" s="214"/>
      <c r="E12028" s="24"/>
      <c r="G12028" s="24"/>
    </row>
    <row r="12029">
      <c r="B12029" s="24"/>
      <c r="C12029" s="24"/>
      <c r="D12029" s="214"/>
      <c r="E12029" s="24"/>
      <c r="G12029" s="24"/>
    </row>
    <row r="12030">
      <c r="B12030" s="24"/>
      <c r="C12030" s="24"/>
      <c r="D12030" s="214"/>
      <c r="E12030" s="24"/>
      <c r="G12030" s="24"/>
    </row>
    <row r="12031">
      <c r="B12031" s="24"/>
      <c r="C12031" s="24"/>
      <c r="D12031" s="214"/>
      <c r="E12031" s="24"/>
      <c r="G12031" s="24"/>
    </row>
    <row r="12032">
      <c r="B12032" s="24"/>
      <c r="C12032" s="24"/>
      <c r="D12032" s="214"/>
      <c r="E12032" s="24"/>
      <c r="G12032" s="24"/>
    </row>
    <row r="12033">
      <c r="B12033" s="24"/>
      <c r="C12033" s="24"/>
      <c r="D12033" s="214"/>
      <c r="E12033" s="24"/>
      <c r="G12033" s="24"/>
    </row>
    <row r="12034">
      <c r="B12034" s="24"/>
      <c r="C12034" s="24"/>
      <c r="D12034" s="214"/>
      <c r="E12034" s="24"/>
      <c r="G12034" s="24"/>
    </row>
    <row r="12035">
      <c r="B12035" s="24"/>
      <c r="C12035" s="24"/>
      <c r="D12035" s="214"/>
      <c r="E12035" s="24"/>
      <c r="G12035" s="24"/>
    </row>
    <row r="12036">
      <c r="B12036" s="24"/>
      <c r="C12036" s="24"/>
      <c r="D12036" s="214"/>
      <c r="E12036" s="24"/>
      <c r="G12036" s="24"/>
    </row>
    <row r="12037">
      <c r="B12037" s="24"/>
      <c r="C12037" s="24"/>
      <c r="D12037" s="214"/>
      <c r="E12037" s="24"/>
      <c r="G12037" s="24"/>
    </row>
    <row r="12038">
      <c r="B12038" s="24"/>
      <c r="C12038" s="24"/>
      <c r="D12038" s="214"/>
      <c r="E12038" s="24"/>
      <c r="G12038" s="24"/>
    </row>
    <row r="12039">
      <c r="B12039" s="24"/>
      <c r="C12039" s="24"/>
      <c r="D12039" s="214"/>
      <c r="E12039" s="24"/>
      <c r="G12039" s="24"/>
    </row>
    <row r="12040">
      <c r="B12040" s="24"/>
      <c r="C12040" s="24"/>
      <c r="D12040" s="214"/>
      <c r="E12040" s="24"/>
      <c r="G12040" s="24"/>
    </row>
    <row r="12041">
      <c r="B12041" s="24"/>
      <c r="C12041" s="24"/>
      <c r="D12041" s="214"/>
      <c r="E12041" s="24"/>
      <c r="G12041" s="24"/>
    </row>
    <row r="12042">
      <c r="B12042" s="24"/>
      <c r="C12042" s="24"/>
      <c r="D12042" s="214"/>
      <c r="E12042" s="24"/>
      <c r="G12042" s="24"/>
    </row>
    <row r="12043">
      <c r="B12043" s="24"/>
      <c r="C12043" s="24"/>
      <c r="D12043" s="214"/>
      <c r="E12043" s="24"/>
      <c r="G12043" s="24"/>
    </row>
    <row r="12044">
      <c r="B12044" s="24"/>
      <c r="C12044" s="24"/>
      <c r="D12044" s="214"/>
      <c r="E12044" s="24"/>
      <c r="G12044" s="24"/>
    </row>
    <row r="12045">
      <c r="B12045" s="24"/>
      <c r="C12045" s="24"/>
      <c r="D12045" s="214"/>
      <c r="E12045" s="24"/>
      <c r="G12045" s="24"/>
    </row>
    <row r="12046">
      <c r="B12046" s="24"/>
      <c r="C12046" s="24"/>
      <c r="D12046" s="214"/>
      <c r="E12046" s="24"/>
      <c r="G12046" s="24"/>
    </row>
    <row r="12047">
      <c r="B12047" s="24"/>
      <c r="C12047" s="24"/>
      <c r="D12047" s="214"/>
      <c r="E12047" s="24"/>
      <c r="G12047" s="24"/>
    </row>
    <row r="12048">
      <c r="B12048" s="24"/>
      <c r="C12048" s="24"/>
      <c r="D12048" s="214"/>
      <c r="E12048" s="24"/>
      <c r="G12048" s="24"/>
    </row>
    <row r="12049">
      <c r="B12049" s="24"/>
      <c r="C12049" s="24"/>
      <c r="D12049" s="214"/>
      <c r="E12049" s="24"/>
      <c r="G12049" s="24"/>
    </row>
    <row r="12050">
      <c r="B12050" s="24"/>
      <c r="C12050" s="24"/>
      <c r="D12050" s="214"/>
      <c r="E12050" s="24"/>
      <c r="G12050" s="24"/>
    </row>
    <row r="12051">
      <c r="B12051" s="24"/>
      <c r="C12051" s="24"/>
      <c r="D12051" s="214"/>
      <c r="E12051" s="24"/>
      <c r="G12051" s="24"/>
    </row>
    <row r="12052">
      <c r="B12052" s="24"/>
      <c r="C12052" s="24"/>
      <c r="D12052" s="214"/>
      <c r="E12052" s="24"/>
      <c r="G12052" s="24"/>
    </row>
    <row r="12053">
      <c r="B12053" s="24"/>
      <c r="C12053" s="24"/>
      <c r="D12053" s="214"/>
      <c r="E12053" s="24"/>
      <c r="G12053" s="24"/>
    </row>
    <row r="12054">
      <c r="B12054" s="24"/>
      <c r="C12054" s="24"/>
      <c r="D12054" s="214"/>
      <c r="E12054" s="24"/>
      <c r="G12054" s="24"/>
    </row>
    <row r="12055">
      <c r="B12055" s="24"/>
      <c r="C12055" s="24"/>
      <c r="D12055" s="214"/>
      <c r="E12055" s="24"/>
      <c r="G12055" s="24"/>
    </row>
    <row r="12056">
      <c r="B12056" s="24"/>
      <c r="C12056" s="24"/>
      <c r="D12056" s="214"/>
      <c r="E12056" s="24"/>
      <c r="G12056" s="24"/>
    </row>
    <row r="12057">
      <c r="B12057" s="24"/>
      <c r="C12057" s="24"/>
      <c r="D12057" s="214"/>
      <c r="E12057" s="24"/>
      <c r="G12057" s="24"/>
    </row>
    <row r="12058">
      <c r="B12058" s="24"/>
      <c r="C12058" s="24"/>
      <c r="D12058" s="214"/>
      <c r="E12058" s="24"/>
      <c r="G12058" s="24"/>
    </row>
    <row r="12059">
      <c r="B12059" s="24"/>
      <c r="C12059" s="24"/>
      <c r="D12059" s="214"/>
      <c r="E12059" s="24"/>
      <c r="G12059" s="24"/>
    </row>
    <row r="12060">
      <c r="B12060" s="24"/>
      <c r="C12060" s="24"/>
      <c r="D12060" s="214"/>
      <c r="E12060" s="24"/>
      <c r="G12060" s="24"/>
    </row>
    <row r="12061">
      <c r="B12061" s="24"/>
      <c r="C12061" s="24"/>
      <c r="D12061" s="214"/>
      <c r="E12061" s="24"/>
      <c r="G12061" s="24"/>
    </row>
    <row r="12062">
      <c r="B12062" s="24"/>
      <c r="C12062" s="24"/>
      <c r="D12062" s="214"/>
      <c r="E12062" s="24"/>
      <c r="G12062" s="24"/>
    </row>
    <row r="12063">
      <c r="B12063" s="24"/>
      <c r="C12063" s="24"/>
      <c r="D12063" s="214"/>
      <c r="E12063" s="24"/>
      <c r="G12063" s="24"/>
    </row>
    <row r="12064">
      <c r="B12064" s="24"/>
      <c r="C12064" s="24"/>
      <c r="D12064" s="214"/>
      <c r="E12064" s="24"/>
      <c r="G12064" s="24"/>
    </row>
    <row r="12065">
      <c r="B12065" s="24"/>
      <c r="C12065" s="24"/>
      <c r="D12065" s="214"/>
      <c r="E12065" s="24"/>
      <c r="G12065" s="24"/>
    </row>
    <row r="12066">
      <c r="B12066" s="24"/>
      <c r="C12066" s="24"/>
      <c r="D12066" s="214"/>
      <c r="E12066" s="24"/>
      <c r="G12066" s="24"/>
    </row>
    <row r="12067">
      <c r="B12067" s="24"/>
      <c r="C12067" s="24"/>
      <c r="D12067" s="214"/>
      <c r="E12067" s="24"/>
      <c r="G12067" s="24"/>
    </row>
    <row r="12068">
      <c r="B12068" s="24"/>
      <c r="C12068" s="24"/>
      <c r="D12068" s="214"/>
      <c r="E12068" s="24"/>
      <c r="G12068" s="24"/>
    </row>
    <row r="12069">
      <c r="B12069" s="24"/>
      <c r="C12069" s="24"/>
      <c r="D12069" s="214"/>
      <c r="E12069" s="24"/>
      <c r="G12069" s="24"/>
    </row>
    <row r="12070">
      <c r="B12070" s="24"/>
      <c r="C12070" s="24"/>
      <c r="D12070" s="214"/>
      <c r="E12070" s="24"/>
      <c r="G12070" s="24"/>
    </row>
    <row r="12071">
      <c r="B12071" s="24"/>
      <c r="C12071" s="24"/>
      <c r="D12071" s="214"/>
      <c r="E12071" s="24"/>
      <c r="G12071" s="24"/>
    </row>
    <row r="12072">
      <c r="B12072" s="24"/>
      <c r="C12072" s="24"/>
      <c r="D12072" s="214"/>
      <c r="E12072" s="24"/>
      <c r="G12072" s="24"/>
    </row>
    <row r="12073">
      <c r="B12073" s="24"/>
      <c r="C12073" s="24"/>
      <c r="D12073" s="214"/>
      <c r="E12073" s="24"/>
      <c r="G12073" s="24"/>
    </row>
    <row r="12074">
      <c r="B12074" s="24"/>
      <c r="C12074" s="24"/>
      <c r="D12074" s="214"/>
      <c r="E12074" s="24"/>
      <c r="G12074" s="24"/>
    </row>
    <row r="12075">
      <c r="B12075" s="24"/>
      <c r="C12075" s="24"/>
      <c r="D12075" s="214"/>
      <c r="E12075" s="24"/>
      <c r="G12075" s="24"/>
    </row>
    <row r="12076">
      <c r="B12076" s="24"/>
      <c r="C12076" s="24"/>
      <c r="D12076" s="214"/>
      <c r="E12076" s="24"/>
      <c r="G12076" s="24"/>
    </row>
    <row r="12077">
      <c r="B12077" s="24"/>
      <c r="C12077" s="24"/>
      <c r="D12077" s="214"/>
      <c r="E12077" s="24"/>
      <c r="G12077" s="24"/>
    </row>
    <row r="12078">
      <c r="B12078" s="24"/>
      <c r="C12078" s="24"/>
      <c r="D12078" s="214"/>
      <c r="E12078" s="24"/>
      <c r="G12078" s="24"/>
    </row>
    <row r="12079">
      <c r="B12079" s="24"/>
      <c r="C12079" s="24"/>
      <c r="D12079" s="214"/>
      <c r="E12079" s="24"/>
      <c r="G12079" s="24"/>
    </row>
    <row r="12080">
      <c r="B12080" s="24"/>
      <c r="C12080" s="24"/>
      <c r="D12080" s="214"/>
      <c r="E12080" s="24"/>
      <c r="G12080" s="24"/>
    </row>
    <row r="12081">
      <c r="B12081" s="24"/>
      <c r="C12081" s="24"/>
      <c r="D12081" s="214"/>
      <c r="E12081" s="24"/>
      <c r="G12081" s="24"/>
    </row>
    <row r="12082">
      <c r="B12082" s="24"/>
      <c r="C12082" s="24"/>
      <c r="D12082" s="214"/>
      <c r="E12082" s="24"/>
      <c r="G12082" s="24"/>
    </row>
    <row r="12083">
      <c r="B12083" s="24"/>
      <c r="C12083" s="24"/>
      <c r="D12083" s="214"/>
      <c r="E12083" s="24"/>
      <c r="G12083" s="24"/>
    </row>
    <row r="12084">
      <c r="B12084" s="24"/>
      <c r="C12084" s="24"/>
      <c r="D12084" s="214"/>
      <c r="E12084" s="24"/>
      <c r="G12084" s="24"/>
    </row>
    <row r="12085">
      <c r="B12085" s="24"/>
      <c r="C12085" s="24"/>
      <c r="D12085" s="214"/>
      <c r="E12085" s="24"/>
      <c r="G12085" s="24"/>
    </row>
    <row r="12086">
      <c r="B12086" s="24"/>
      <c r="C12086" s="24"/>
      <c r="D12086" s="214"/>
      <c r="E12086" s="24"/>
      <c r="G12086" s="24"/>
    </row>
    <row r="12087">
      <c r="B12087" s="24"/>
      <c r="C12087" s="24"/>
      <c r="D12087" s="214"/>
      <c r="E12087" s="24"/>
      <c r="G12087" s="24"/>
    </row>
    <row r="12088">
      <c r="B12088" s="24"/>
      <c r="C12088" s="24"/>
      <c r="D12088" s="214"/>
      <c r="E12088" s="24"/>
      <c r="G12088" s="24"/>
    </row>
    <row r="12089">
      <c r="B12089" s="24"/>
      <c r="C12089" s="24"/>
      <c r="D12089" s="214"/>
      <c r="E12089" s="24"/>
      <c r="G12089" s="24"/>
    </row>
    <row r="12090">
      <c r="B12090" s="24"/>
      <c r="C12090" s="24"/>
      <c r="D12090" s="214"/>
      <c r="E12090" s="24"/>
      <c r="G12090" s="24"/>
    </row>
    <row r="12091">
      <c r="B12091" s="24"/>
      <c r="C12091" s="24"/>
      <c r="D12091" s="214"/>
      <c r="E12091" s="24"/>
      <c r="G12091" s="24"/>
    </row>
    <row r="12092">
      <c r="B12092" s="24"/>
      <c r="C12092" s="24"/>
      <c r="D12092" s="214"/>
      <c r="E12092" s="24"/>
      <c r="G12092" s="24"/>
    </row>
    <row r="12093">
      <c r="B12093" s="24"/>
      <c r="C12093" s="24"/>
      <c r="D12093" s="214"/>
      <c r="E12093" s="24"/>
      <c r="G12093" s="24"/>
    </row>
    <row r="12094">
      <c r="B12094" s="24"/>
      <c r="C12094" s="24"/>
      <c r="D12094" s="214"/>
      <c r="E12094" s="24"/>
      <c r="G12094" s="24"/>
    </row>
    <row r="12095">
      <c r="A12095" s="3" t="s">
        <v>2096</v>
      </c>
      <c r="B12095" s="24"/>
      <c r="C12095" s="24"/>
      <c r="D12095" s="214"/>
      <c r="E12095" s="24"/>
      <c r="G12095" s="24"/>
    </row>
    <row r="12096">
      <c r="B12096" s="24"/>
      <c r="C12096" s="24"/>
      <c r="D12096" s="214"/>
      <c r="E12096" s="24"/>
      <c r="G12096" s="24"/>
    </row>
    <row r="12097">
      <c r="B12097" s="24"/>
      <c r="C12097" s="24"/>
      <c r="D12097" s="214"/>
      <c r="E12097" s="24"/>
      <c r="G12097" s="24"/>
    </row>
    <row r="12098">
      <c r="B12098" s="24"/>
      <c r="C12098" s="24"/>
      <c r="D12098" s="214"/>
      <c r="E12098" s="24"/>
      <c r="G12098" s="24"/>
    </row>
    <row r="12099">
      <c r="B12099" s="24"/>
      <c r="C12099" s="24"/>
      <c r="D12099" s="214"/>
      <c r="E12099" s="24"/>
      <c r="G12099" s="24"/>
    </row>
    <row r="12100">
      <c r="B12100" s="24"/>
      <c r="C12100" s="24"/>
      <c r="D12100" s="214"/>
      <c r="E12100" s="24"/>
      <c r="G12100" s="24"/>
    </row>
    <row r="12101">
      <c r="B12101" s="24"/>
      <c r="C12101" s="24"/>
      <c r="D12101" s="214"/>
      <c r="E12101" s="24"/>
      <c r="G12101" s="24"/>
    </row>
    <row r="12102">
      <c r="B12102" s="24"/>
      <c r="C12102" s="24"/>
      <c r="D12102" s="214"/>
      <c r="E12102" s="24"/>
      <c r="G12102" s="24"/>
    </row>
    <row r="12103">
      <c r="B12103" s="24"/>
      <c r="C12103" s="24"/>
      <c r="D12103" s="214"/>
      <c r="E12103" s="24"/>
      <c r="G12103" s="24"/>
    </row>
    <row r="12104">
      <c r="B12104" s="24"/>
      <c r="C12104" s="24"/>
      <c r="D12104" s="214"/>
      <c r="E12104" s="24"/>
      <c r="G12104" s="24"/>
    </row>
    <row r="12105">
      <c r="B12105" s="24"/>
      <c r="C12105" s="24"/>
      <c r="D12105" s="214"/>
      <c r="E12105" s="24"/>
      <c r="G12105" s="24"/>
    </row>
    <row r="12106">
      <c r="B12106" s="24"/>
      <c r="C12106" s="24"/>
      <c r="D12106" s="214"/>
      <c r="E12106" s="24"/>
      <c r="G12106" s="24"/>
    </row>
    <row r="12107">
      <c r="B12107" s="24"/>
      <c r="C12107" s="24"/>
      <c r="D12107" s="214"/>
      <c r="E12107" s="24"/>
      <c r="G12107" s="24"/>
    </row>
    <row r="12108">
      <c r="B12108" s="24"/>
      <c r="C12108" s="24"/>
      <c r="D12108" s="214"/>
      <c r="E12108" s="24"/>
      <c r="G12108" s="24"/>
    </row>
    <row r="12109">
      <c r="B12109" s="24"/>
      <c r="C12109" s="24"/>
      <c r="D12109" s="214"/>
      <c r="E12109" s="24"/>
      <c r="G12109" s="24"/>
    </row>
    <row r="12110">
      <c r="B12110" s="24"/>
      <c r="C12110" s="24"/>
      <c r="D12110" s="214"/>
      <c r="E12110" s="24"/>
      <c r="G12110" s="24"/>
    </row>
    <row r="12111">
      <c r="B12111" s="24"/>
      <c r="C12111" s="24"/>
      <c r="D12111" s="214"/>
      <c r="E12111" s="24"/>
      <c r="G12111" s="24"/>
    </row>
    <row r="12112">
      <c r="B12112" s="24"/>
      <c r="C12112" s="24"/>
      <c r="D12112" s="214"/>
      <c r="E12112" s="24"/>
      <c r="G12112" s="24"/>
    </row>
    <row r="12113">
      <c r="B12113" s="24"/>
      <c r="C12113" s="24"/>
      <c r="D12113" s="214"/>
      <c r="E12113" s="24"/>
      <c r="G12113" s="24"/>
    </row>
    <row r="12114">
      <c r="B12114" s="24"/>
      <c r="C12114" s="24"/>
      <c r="D12114" s="214"/>
      <c r="E12114" s="24"/>
      <c r="G12114" s="24"/>
    </row>
    <row r="12115">
      <c r="B12115" s="24"/>
      <c r="C12115" s="24"/>
      <c r="D12115" s="214"/>
      <c r="E12115" s="24"/>
      <c r="G12115" s="24"/>
    </row>
    <row r="12116">
      <c r="B12116" s="24"/>
      <c r="C12116" s="24"/>
      <c r="D12116" s="214"/>
      <c r="E12116" s="24"/>
      <c r="G12116" s="24"/>
    </row>
    <row r="12117">
      <c r="B12117" s="24"/>
      <c r="C12117" s="24"/>
      <c r="D12117" s="214"/>
      <c r="E12117" s="24"/>
      <c r="G12117" s="24"/>
    </row>
    <row r="12118">
      <c r="B12118" s="24"/>
      <c r="C12118" s="24"/>
      <c r="D12118" s="214"/>
      <c r="E12118" s="24"/>
      <c r="G12118" s="24"/>
    </row>
    <row r="12119">
      <c r="B12119" s="24"/>
      <c r="C12119" s="24"/>
      <c r="D12119" s="214"/>
      <c r="E12119" s="24"/>
      <c r="G12119" s="24"/>
    </row>
    <row r="12120">
      <c r="B12120" s="24"/>
      <c r="C12120" s="24"/>
      <c r="D12120" s="214"/>
      <c r="E12120" s="24"/>
      <c r="G12120" s="24"/>
    </row>
    <row r="12121">
      <c r="B12121" s="24"/>
      <c r="C12121" s="24"/>
      <c r="D12121" s="214"/>
      <c r="E12121" s="24"/>
      <c r="G12121" s="24"/>
    </row>
    <row r="12122">
      <c r="B12122" s="24"/>
      <c r="C12122" s="24"/>
      <c r="D12122" s="214"/>
      <c r="E12122" s="24"/>
      <c r="G12122" s="24"/>
    </row>
    <row r="12123">
      <c r="B12123" s="24"/>
      <c r="C12123" s="24"/>
      <c r="D12123" s="214"/>
      <c r="E12123" s="24"/>
      <c r="G12123" s="24"/>
    </row>
    <row r="12124">
      <c r="B12124" s="24"/>
      <c r="C12124" s="24"/>
      <c r="D12124" s="214"/>
      <c r="E12124" s="24"/>
      <c r="G12124" s="24"/>
    </row>
    <row r="12125">
      <c r="B12125" s="24"/>
      <c r="C12125" s="24"/>
      <c r="D12125" s="214"/>
      <c r="E12125" s="24"/>
      <c r="G12125" s="24"/>
    </row>
    <row r="12126">
      <c r="B12126" s="24"/>
      <c r="C12126" s="24"/>
      <c r="D12126" s="214"/>
      <c r="E12126" s="24"/>
      <c r="G12126" s="24"/>
    </row>
    <row r="12127">
      <c r="B12127" s="24"/>
      <c r="C12127" s="24"/>
      <c r="D12127" s="214"/>
      <c r="E12127" s="24"/>
      <c r="G12127" s="24"/>
    </row>
    <row r="12128">
      <c r="B12128" s="24"/>
      <c r="C12128" s="24"/>
      <c r="D12128" s="214"/>
      <c r="E12128" s="24"/>
      <c r="G12128" s="24"/>
    </row>
    <row r="12129">
      <c r="B12129" s="24"/>
      <c r="C12129" s="24"/>
      <c r="D12129" s="214"/>
      <c r="E12129" s="24"/>
      <c r="G12129" s="24"/>
    </row>
    <row r="12130">
      <c r="B12130" s="24"/>
      <c r="C12130" s="24"/>
      <c r="D12130" s="214"/>
      <c r="E12130" s="24"/>
      <c r="G12130" s="24"/>
    </row>
    <row r="12131">
      <c r="B12131" s="24"/>
      <c r="C12131" s="24"/>
      <c r="D12131" s="214"/>
      <c r="E12131" s="24"/>
      <c r="G12131" s="24"/>
    </row>
    <row r="12132">
      <c r="B12132" s="24"/>
      <c r="C12132" s="24"/>
      <c r="D12132" s="214"/>
      <c r="E12132" s="24"/>
      <c r="G12132" s="24"/>
    </row>
    <row r="12133">
      <c r="B12133" s="24"/>
      <c r="C12133" s="24"/>
      <c r="D12133" s="214"/>
      <c r="E12133" s="24"/>
      <c r="G12133" s="24"/>
    </row>
    <row r="12134">
      <c r="B12134" s="24"/>
      <c r="C12134" s="24"/>
      <c r="D12134" s="214"/>
      <c r="E12134" s="24"/>
      <c r="G12134" s="24"/>
    </row>
    <row r="12135">
      <c r="B12135" s="24"/>
      <c r="C12135" s="24"/>
      <c r="D12135" s="214"/>
      <c r="E12135" s="24"/>
      <c r="G12135" s="24"/>
    </row>
    <row r="12136">
      <c r="B12136" s="24"/>
      <c r="C12136" s="24"/>
      <c r="D12136" s="214"/>
      <c r="E12136" s="24"/>
      <c r="G12136" s="24"/>
    </row>
    <row r="12137">
      <c r="B12137" s="24"/>
      <c r="C12137" s="24"/>
      <c r="D12137" s="214"/>
      <c r="E12137" s="24"/>
      <c r="G12137" s="24"/>
    </row>
    <row r="12138">
      <c r="B12138" s="24"/>
      <c r="C12138" s="24"/>
      <c r="D12138" s="214"/>
      <c r="E12138" s="24"/>
      <c r="G12138" s="24"/>
    </row>
    <row r="12139">
      <c r="B12139" s="24"/>
      <c r="C12139" s="24"/>
      <c r="D12139" s="214"/>
      <c r="E12139" s="24"/>
      <c r="G12139" s="24"/>
    </row>
    <row r="12140">
      <c r="B12140" s="24"/>
      <c r="C12140" s="24"/>
      <c r="D12140" s="214"/>
      <c r="E12140" s="24"/>
      <c r="G12140" s="24"/>
    </row>
    <row r="12141">
      <c r="B12141" s="24"/>
      <c r="C12141" s="24"/>
      <c r="D12141" s="214"/>
      <c r="E12141" s="24"/>
      <c r="G12141" s="24"/>
    </row>
    <row r="12142">
      <c r="B12142" s="24"/>
      <c r="C12142" s="24"/>
      <c r="D12142" s="214"/>
      <c r="E12142" s="24"/>
      <c r="G12142" s="24"/>
    </row>
    <row r="12143">
      <c r="B12143" s="24"/>
      <c r="C12143" s="24"/>
      <c r="D12143" s="214"/>
      <c r="E12143" s="24"/>
      <c r="G12143" s="24"/>
    </row>
    <row r="12144">
      <c r="B12144" s="24"/>
      <c r="C12144" s="24"/>
      <c r="D12144" s="214"/>
      <c r="E12144" s="24"/>
      <c r="G12144" s="24"/>
    </row>
    <row r="12145">
      <c r="B12145" s="24"/>
      <c r="C12145" s="24"/>
      <c r="D12145" s="214"/>
      <c r="E12145" s="24"/>
      <c r="G12145" s="24"/>
    </row>
    <row r="12146">
      <c r="B12146" s="24"/>
      <c r="C12146" s="24"/>
      <c r="D12146" s="214"/>
      <c r="E12146" s="24"/>
      <c r="G12146" s="24"/>
    </row>
    <row r="12147">
      <c r="B12147" s="24"/>
      <c r="C12147" s="24"/>
      <c r="D12147" s="214"/>
      <c r="E12147" s="24"/>
      <c r="G12147" s="24"/>
    </row>
    <row r="12148">
      <c r="B12148" s="24"/>
      <c r="C12148" s="24"/>
      <c r="D12148" s="214"/>
      <c r="E12148" s="24"/>
      <c r="G12148" s="24"/>
    </row>
    <row r="12149">
      <c r="B12149" s="24"/>
      <c r="C12149" s="24"/>
      <c r="D12149" s="214"/>
      <c r="E12149" s="24"/>
      <c r="G12149" s="24"/>
    </row>
    <row r="12150">
      <c r="B12150" s="24"/>
      <c r="C12150" s="24"/>
      <c r="D12150" s="214"/>
      <c r="E12150" s="24"/>
      <c r="G12150" s="24"/>
    </row>
    <row r="12151">
      <c r="B12151" s="24"/>
      <c r="C12151" s="24"/>
      <c r="D12151" s="214"/>
      <c r="E12151" s="24"/>
      <c r="G12151" s="24"/>
    </row>
    <row r="12152">
      <c r="B12152" s="24"/>
      <c r="C12152" s="24"/>
      <c r="D12152" s="214"/>
      <c r="E12152" s="24"/>
      <c r="G12152" s="24"/>
    </row>
    <row r="12153">
      <c r="B12153" s="24"/>
      <c r="C12153" s="24"/>
      <c r="D12153" s="214"/>
      <c r="E12153" s="24"/>
      <c r="G12153" s="24"/>
    </row>
    <row r="12154">
      <c r="B12154" s="24"/>
      <c r="C12154" s="24"/>
      <c r="D12154" s="214"/>
      <c r="E12154" s="24"/>
      <c r="G12154" s="24"/>
    </row>
    <row r="12155">
      <c r="B12155" s="24"/>
      <c r="C12155" s="24"/>
      <c r="D12155" s="214"/>
      <c r="E12155" s="24"/>
      <c r="G12155" s="24"/>
    </row>
    <row r="12156">
      <c r="B12156" s="24"/>
      <c r="C12156" s="24"/>
      <c r="D12156" s="214"/>
      <c r="E12156" s="24"/>
      <c r="G12156" s="24"/>
    </row>
    <row r="12157">
      <c r="B12157" s="24"/>
      <c r="C12157" s="24"/>
      <c r="D12157" s="214"/>
      <c r="E12157" s="24"/>
      <c r="G12157" s="24"/>
    </row>
    <row r="12158">
      <c r="B12158" s="24"/>
      <c r="C12158" s="24"/>
      <c r="D12158" s="214"/>
      <c r="E12158" s="24"/>
      <c r="G12158" s="24"/>
    </row>
    <row r="12159">
      <c r="B12159" s="24"/>
      <c r="C12159" s="24"/>
      <c r="D12159" s="214"/>
      <c r="E12159" s="24"/>
      <c r="G12159" s="24"/>
    </row>
    <row r="12160">
      <c r="B12160" s="24"/>
      <c r="C12160" s="24"/>
      <c r="D12160" s="214"/>
      <c r="E12160" s="24"/>
      <c r="G12160" s="24"/>
    </row>
    <row r="12161">
      <c r="B12161" s="24"/>
      <c r="C12161" s="24"/>
      <c r="D12161" s="214"/>
      <c r="E12161" s="24"/>
      <c r="G12161" s="24"/>
    </row>
    <row r="12162">
      <c r="B12162" s="24"/>
      <c r="C12162" s="24"/>
      <c r="D12162" s="214"/>
      <c r="E12162" s="24"/>
      <c r="G12162" s="24"/>
    </row>
    <row r="12163">
      <c r="B12163" s="24"/>
      <c r="C12163" s="24"/>
      <c r="D12163" s="214"/>
      <c r="E12163" s="24"/>
      <c r="G12163" s="24"/>
    </row>
    <row r="12164">
      <c r="B12164" s="24"/>
      <c r="C12164" s="24"/>
      <c r="D12164" s="214"/>
      <c r="E12164" s="24"/>
      <c r="G12164" s="24"/>
    </row>
    <row r="12165">
      <c r="B12165" s="24"/>
      <c r="C12165" s="24"/>
      <c r="D12165" s="214"/>
      <c r="E12165" s="24"/>
      <c r="G12165" s="24"/>
    </row>
    <row r="12166">
      <c r="B12166" s="24"/>
      <c r="C12166" s="24"/>
      <c r="D12166" s="214"/>
      <c r="E12166" s="24"/>
      <c r="G12166" s="24"/>
    </row>
    <row r="12167">
      <c r="B12167" s="24"/>
      <c r="C12167" s="24"/>
      <c r="D12167" s="214"/>
      <c r="E12167" s="24"/>
      <c r="G12167" s="24"/>
    </row>
    <row r="12168">
      <c r="B12168" s="24"/>
      <c r="C12168" s="24"/>
      <c r="D12168" s="214"/>
      <c r="E12168" s="24"/>
      <c r="G12168" s="24"/>
    </row>
    <row r="12169">
      <c r="B12169" s="24"/>
      <c r="C12169" s="24"/>
      <c r="D12169" s="214"/>
      <c r="E12169" s="24"/>
      <c r="G12169" s="24"/>
    </row>
    <row r="12170">
      <c r="B12170" s="24"/>
      <c r="C12170" s="24"/>
      <c r="D12170" s="214"/>
      <c r="E12170" s="24"/>
      <c r="G12170" s="24"/>
    </row>
    <row r="12171">
      <c r="B12171" s="24"/>
      <c r="C12171" s="24"/>
      <c r="D12171" s="214"/>
      <c r="E12171" s="24"/>
      <c r="G12171" s="24"/>
    </row>
    <row r="12172">
      <c r="B12172" s="24"/>
      <c r="C12172" s="24"/>
      <c r="D12172" s="214"/>
      <c r="E12172" s="24"/>
      <c r="G12172" s="24"/>
    </row>
    <row r="12173">
      <c r="B12173" s="24"/>
      <c r="C12173" s="24"/>
      <c r="D12173" s="214"/>
      <c r="E12173" s="24"/>
      <c r="G12173" s="24"/>
    </row>
    <row r="12174">
      <c r="B12174" s="24"/>
      <c r="C12174" s="24"/>
      <c r="D12174" s="214"/>
      <c r="E12174" s="24"/>
      <c r="G12174" s="24"/>
    </row>
    <row r="12175">
      <c r="B12175" s="24"/>
      <c r="C12175" s="24"/>
      <c r="D12175" s="214"/>
      <c r="E12175" s="24"/>
      <c r="G12175" s="24"/>
    </row>
    <row r="12176">
      <c r="B12176" s="24"/>
      <c r="C12176" s="24"/>
      <c r="D12176" s="214"/>
      <c r="E12176" s="24"/>
      <c r="G12176" s="24"/>
    </row>
    <row r="12177">
      <c r="B12177" s="24"/>
      <c r="C12177" s="24"/>
      <c r="D12177" s="214"/>
      <c r="E12177" s="24"/>
      <c r="G12177" s="24"/>
    </row>
    <row r="12178">
      <c r="B12178" s="24"/>
      <c r="C12178" s="24"/>
      <c r="D12178" s="214"/>
      <c r="E12178" s="24"/>
      <c r="G12178" s="24"/>
    </row>
    <row r="12179">
      <c r="B12179" s="24"/>
      <c r="C12179" s="24"/>
      <c r="D12179" s="214"/>
      <c r="E12179" s="24"/>
      <c r="G12179" s="24"/>
    </row>
    <row r="12180">
      <c r="B12180" s="24"/>
      <c r="C12180" s="24"/>
      <c r="D12180" s="214"/>
      <c r="E12180" s="24"/>
      <c r="G12180" s="24"/>
    </row>
    <row r="12181">
      <c r="B12181" s="24"/>
      <c r="C12181" s="24"/>
      <c r="D12181" s="214"/>
      <c r="E12181" s="24"/>
      <c r="G12181" s="24"/>
    </row>
    <row r="12182">
      <c r="B12182" s="24"/>
      <c r="C12182" s="24"/>
      <c r="D12182" s="214"/>
      <c r="E12182" s="24"/>
      <c r="G12182" s="24"/>
    </row>
    <row r="12183">
      <c r="B12183" s="24"/>
      <c r="C12183" s="24"/>
      <c r="D12183" s="214"/>
      <c r="E12183" s="24"/>
      <c r="G12183" s="24"/>
    </row>
    <row r="12184">
      <c r="B12184" s="24"/>
      <c r="C12184" s="24"/>
      <c r="D12184" s="214"/>
      <c r="E12184" s="24"/>
      <c r="G12184" s="24"/>
    </row>
    <row r="12185">
      <c r="B12185" s="24"/>
      <c r="C12185" s="24"/>
      <c r="D12185" s="214"/>
      <c r="E12185" s="24"/>
      <c r="G12185" s="24"/>
    </row>
    <row r="12186">
      <c r="B12186" s="24"/>
      <c r="C12186" s="24"/>
      <c r="D12186" s="214"/>
      <c r="E12186" s="24"/>
      <c r="G12186" s="24"/>
    </row>
    <row r="12187">
      <c r="B12187" s="24"/>
      <c r="C12187" s="24"/>
      <c r="D12187" s="214"/>
      <c r="E12187" s="24"/>
      <c r="G12187" s="24"/>
    </row>
    <row r="12188">
      <c r="B12188" s="24"/>
      <c r="C12188" s="24"/>
      <c r="D12188" s="214"/>
      <c r="E12188" s="24"/>
      <c r="G12188" s="24"/>
    </row>
    <row r="12189">
      <c r="B12189" s="24"/>
      <c r="C12189" s="24"/>
      <c r="D12189" s="214"/>
      <c r="E12189" s="24"/>
      <c r="G12189" s="24"/>
    </row>
    <row r="12190">
      <c r="B12190" s="24"/>
      <c r="C12190" s="24"/>
      <c r="D12190" s="214"/>
      <c r="E12190" s="24"/>
      <c r="G12190" s="24"/>
    </row>
    <row r="12191">
      <c r="B12191" s="24"/>
      <c r="C12191" s="24"/>
      <c r="D12191" s="214"/>
      <c r="E12191" s="24"/>
      <c r="G12191" s="24"/>
    </row>
    <row r="12192">
      <c r="B12192" s="24"/>
      <c r="C12192" s="24"/>
      <c r="D12192" s="214"/>
      <c r="E12192" s="24"/>
      <c r="G12192" s="24"/>
    </row>
    <row r="12193">
      <c r="B12193" s="24"/>
      <c r="C12193" s="24"/>
      <c r="D12193" s="214"/>
      <c r="E12193" s="24"/>
      <c r="G12193" s="24"/>
    </row>
    <row r="12194">
      <c r="B12194" s="24"/>
      <c r="C12194" s="24"/>
      <c r="D12194" s="214"/>
      <c r="E12194" s="24"/>
      <c r="G12194" s="24"/>
    </row>
    <row r="12195">
      <c r="B12195" s="24"/>
      <c r="C12195" s="24"/>
      <c r="D12195" s="214"/>
      <c r="E12195" s="24"/>
      <c r="G12195" s="24"/>
    </row>
    <row r="12196">
      <c r="B12196" s="24"/>
      <c r="C12196" s="24"/>
      <c r="D12196" s="214"/>
      <c r="E12196" s="24"/>
      <c r="G12196" s="24"/>
    </row>
    <row r="12197">
      <c r="B12197" s="24"/>
      <c r="C12197" s="24"/>
      <c r="D12197" s="214"/>
      <c r="E12197" s="24"/>
      <c r="G12197" s="24"/>
    </row>
    <row r="12198">
      <c r="B12198" s="24"/>
      <c r="C12198" s="24"/>
      <c r="D12198" s="214"/>
      <c r="E12198" s="24"/>
      <c r="G12198" s="24"/>
    </row>
    <row r="12199">
      <c r="B12199" s="24"/>
      <c r="C12199" s="24"/>
      <c r="D12199" s="214"/>
      <c r="E12199" s="24"/>
      <c r="G12199" s="24"/>
    </row>
    <row r="12200">
      <c r="B12200" s="24"/>
      <c r="C12200" s="24"/>
      <c r="D12200" s="214"/>
      <c r="E12200" s="24"/>
      <c r="G12200" s="24"/>
    </row>
    <row r="12201">
      <c r="B12201" s="24"/>
      <c r="C12201" s="24"/>
      <c r="D12201" s="214"/>
      <c r="E12201" s="24"/>
      <c r="G12201" s="24"/>
    </row>
    <row r="12202">
      <c r="B12202" s="24"/>
      <c r="C12202" s="24"/>
      <c r="D12202" s="214"/>
      <c r="E12202" s="24"/>
      <c r="G12202" s="24"/>
    </row>
    <row r="12203">
      <c r="B12203" s="24"/>
      <c r="C12203" s="24"/>
      <c r="D12203" s="214"/>
      <c r="E12203" s="24"/>
      <c r="G12203" s="24"/>
    </row>
    <row r="12204">
      <c r="B12204" s="24"/>
      <c r="C12204" s="24"/>
      <c r="D12204" s="214"/>
      <c r="E12204" s="24"/>
      <c r="G12204" s="24"/>
    </row>
    <row r="12205">
      <c r="B12205" s="24"/>
      <c r="C12205" s="24"/>
      <c r="D12205" s="214"/>
      <c r="E12205" s="24"/>
      <c r="G12205" s="24"/>
    </row>
    <row r="12206">
      <c r="B12206" s="24"/>
      <c r="C12206" s="24"/>
      <c r="D12206" s="214"/>
      <c r="E12206" s="24"/>
      <c r="G12206" s="24"/>
    </row>
    <row r="12207">
      <c r="B12207" s="24"/>
      <c r="C12207" s="24"/>
      <c r="D12207" s="214"/>
      <c r="E12207" s="24"/>
      <c r="G12207" s="24"/>
    </row>
    <row r="12208">
      <c r="B12208" s="24"/>
      <c r="C12208" s="24"/>
      <c r="D12208" s="214"/>
      <c r="E12208" s="24"/>
      <c r="G12208" s="24"/>
    </row>
    <row r="12209">
      <c r="B12209" s="24"/>
      <c r="C12209" s="24"/>
      <c r="D12209" s="214"/>
      <c r="E12209" s="24"/>
      <c r="G12209" s="24"/>
    </row>
    <row r="12210">
      <c r="B12210" s="24"/>
      <c r="C12210" s="24"/>
      <c r="D12210" s="214"/>
      <c r="E12210" s="24"/>
      <c r="G12210" s="24"/>
    </row>
    <row r="12211">
      <c r="B12211" s="24"/>
      <c r="C12211" s="24"/>
      <c r="D12211" s="214"/>
      <c r="E12211" s="24"/>
      <c r="G12211" s="24"/>
    </row>
    <row r="12212">
      <c r="B12212" s="24"/>
      <c r="C12212" s="24"/>
      <c r="D12212" s="214"/>
      <c r="E12212" s="24"/>
      <c r="G12212" s="24"/>
    </row>
    <row r="12213">
      <c r="B12213" s="24"/>
      <c r="C12213" s="24"/>
      <c r="D12213" s="214"/>
      <c r="E12213" s="24"/>
      <c r="G12213" s="24"/>
    </row>
    <row r="12214">
      <c r="B12214" s="24"/>
      <c r="C12214" s="24"/>
      <c r="D12214" s="214"/>
      <c r="E12214" s="24"/>
      <c r="G12214" s="24"/>
    </row>
    <row r="12215">
      <c r="B12215" s="24"/>
      <c r="C12215" s="24"/>
      <c r="D12215" s="214"/>
      <c r="E12215" s="24"/>
      <c r="G12215" s="24"/>
    </row>
    <row r="12216">
      <c r="B12216" s="24"/>
      <c r="C12216" s="24"/>
      <c r="D12216" s="214"/>
      <c r="E12216" s="24"/>
      <c r="G12216" s="24"/>
    </row>
    <row r="12217">
      <c r="B12217" s="24"/>
      <c r="C12217" s="24"/>
      <c r="D12217" s="214"/>
      <c r="E12217" s="24"/>
      <c r="G12217" s="24"/>
    </row>
    <row r="12218">
      <c r="B12218" s="24"/>
      <c r="C12218" s="24"/>
      <c r="D12218" s="214"/>
      <c r="E12218" s="24"/>
      <c r="G12218" s="24"/>
    </row>
    <row r="12219">
      <c r="B12219" s="24"/>
      <c r="C12219" s="24"/>
      <c r="D12219" s="214"/>
      <c r="E12219" s="24"/>
      <c r="G12219" s="24"/>
    </row>
    <row r="12220">
      <c r="B12220" s="24"/>
      <c r="C12220" s="24"/>
      <c r="D12220" s="214"/>
      <c r="E12220" s="24"/>
      <c r="G12220" s="24"/>
    </row>
    <row r="12221">
      <c r="B12221" s="24"/>
      <c r="C12221" s="24"/>
      <c r="D12221" s="214"/>
      <c r="E12221" s="24"/>
      <c r="G12221" s="24"/>
    </row>
    <row r="12222">
      <c r="B12222" s="24"/>
      <c r="C12222" s="24"/>
      <c r="D12222" s="214"/>
      <c r="E12222" s="24"/>
      <c r="G12222" s="24"/>
    </row>
    <row r="12223">
      <c r="B12223" s="24"/>
      <c r="C12223" s="24"/>
      <c r="D12223" s="214"/>
      <c r="E12223" s="24"/>
      <c r="G12223" s="24"/>
    </row>
    <row r="12224">
      <c r="B12224" s="24"/>
      <c r="C12224" s="24"/>
      <c r="D12224" s="214"/>
      <c r="E12224" s="24"/>
      <c r="G12224" s="24"/>
    </row>
    <row r="12225">
      <c r="B12225" s="24"/>
      <c r="C12225" s="24"/>
      <c r="D12225" s="214"/>
      <c r="E12225" s="24"/>
      <c r="G12225" s="24"/>
    </row>
    <row r="12226">
      <c r="B12226" s="24"/>
      <c r="C12226" s="24"/>
      <c r="D12226" s="214"/>
      <c r="E12226" s="24"/>
      <c r="G12226" s="24"/>
    </row>
    <row r="12227">
      <c r="B12227" s="24"/>
      <c r="C12227" s="24"/>
      <c r="D12227" s="214"/>
      <c r="E12227" s="24"/>
      <c r="G12227" s="24"/>
    </row>
    <row r="12228">
      <c r="B12228" s="24"/>
      <c r="C12228" s="24"/>
      <c r="D12228" s="214"/>
      <c r="E12228" s="24"/>
      <c r="G12228" s="24"/>
    </row>
    <row r="12229">
      <c r="B12229" s="24"/>
      <c r="C12229" s="24"/>
      <c r="D12229" s="214"/>
      <c r="E12229" s="24"/>
      <c r="G12229" s="24"/>
    </row>
    <row r="12230">
      <c r="B12230" s="24"/>
      <c r="C12230" s="24"/>
      <c r="D12230" s="214"/>
      <c r="E12230" s="24"/>
      <c r="G12230" s="24"/>
    </row>
    <row r="12231">
      <c r="B12231" s="24"/>
      <c r="C12231" s="24"/>
      <c r="D12231" s="214"/>
      <c r="E12231" s="24"/>
      <c r="G12231" s="24"/>
    </row>
    <row r="12232">
      <c r="B12232" s="24"/>
      <c r="C12232" s="24"/>
      <c r="D12232" s="214"/>
      <c r="E12232" s="24"/>
      <c r="G12232" s="24"/>
    </row>
    <row r="12233">
      <c r="B12233" s="24"/>
      <c r="C12233" s="24"/>
      <c r="D12233" s="214"/>
      <c r="E12233" s="24"/>
      <c r="G12233" s="24"/>
    </row>
    <row r="12234">
      <c r="B12234" s="24"/>
      <c r="C12234" s="24"/>
      <c r="D12234" s="214"/>
      <c r="E12234" s="24"/>
      <c r="G12234" s="24"/>
    </row>
    <row r="12235">
      <c r="B12235" s="24"/>
      <c r="C12235" s="24"/>
      <c r="D12235" s="214"/>
      <c r="E12235" s="24"/>
      <c r="G12235" s="24"/>
    </row>
    <row r="12236">
      <c r="B12236" s="24"/>
      <c r="C12236" s="24"/>
      <c r="D12236" s="214"/>
      <c r="E12236" s="24"/>
      <c r="G12236" s="24"/>
    </row>
    <row r="12237">
      <c r="B12237" s="24"/>
      <c r="C12237" s="24"/>
      <c r="D12237" s="214"/>
      <c r="E12237" s="24"/>
      <c r="G12237" s="24"/>
    </row>
    <row r="12238">
      <c r="B12238" s="24"/>
      <c r="C12238" s="24"/>
      <c r="D12238" s="214"/>
      <c r="E12238" s="24"/>
      <c r="G12238" s="24"/>
    </row>
    <row r="12239">
      <c r="B12239" s="24"/>
      <c r="C12239" s="24"/>
      <c r="D12239" s="214"/>
      <c r="E12239" s="24"/>
      <c r="G12239" s="24"/>
    </row>
    <row r="12240">
      <c r="B12240" s="24"/>
      <c r="C12240" s="24"/>
      <c r="D12240" s="214"/>
      <c r="E12240" s="24"/>
      <c r="G12240" s="24"/>
    </row>
    <row r="12241">
      <c r="B12241" s="24"/>
      <c r="C12241" s="24"/>
      <c r="D12241" s="214"/>
      <c r="E12241" s="24"/>
      <c r="G12241" s="24"/>
    </row>
    <row r="12242">
      <c r="B12242" s="24"/>
      <c r="C12242" s="24"/>
      <c r="D12242" s="214"/>
      <c r="E12242" s="24"/>
      <c r="G12242" s="24"/>
    </row>
    <row r="12243">
      <c r="B12243" s="24"/>
      <c r="C12243" s="24"/>
      <c r="D12243" s="214"/>
      <c r="E12243" s="24"/>
      <c r="G12243" s="24"/>
    </row>
    <row r="12244">
      <c r="B12244" s="24"/>
      <c r="C12244" s="24"/>
      <c r="D12244" s="214"/>
      <c r="E12244" s="24"/>
      <c r="G12244" s="24"/>
    </row>
    <row r="12245">
      <c r="B12245" s="24"/>
      <c r="C12245" s="24"/>
      <c r="D12245" s="214"/>
      <c r="E12245" s="24"/>
      <c r="G12245" s="24"/>
    </row>
    <row r="12246">
      <c r="B12246" s="24"/>
      <c r="C12246" s="24"/>
      <c r="D12246" s="214"/>
      <c r="E12246" s="24"/>
      <c r="G12246" s="24"/>
    </row>
    <row r="12247">
      <c r="B12247" s="24"/>
      <c r="C12247" s="24"/>
      <c r="D12247" s="214"/>
      <c r="E12247" s="24"/>
      <c r="G12247" s="24"/>
    </row>
    <row r="12248">
      <c r="B12248" s="24"/>
      <c r="C12248" s="24"/>
      <c r="D12248" s="214"/>
      <c r="E12248" s="24"/>
      <c r="G12248" s="24"/>
    </row>
    <row r="12249">
      <c r="B12249" s="24"/>
      <c r="C12249" s="24"/>
      <c r="D12249" s="214"/>
      <c r="E12249" s="24"/>
      <c r="G12249" s="24"/>
    </row>
    <row r="12250">
      <c r="B12250" s="24"/>
      <c r="C12250" s="24"/>
      <c r="D12250" s="214"/>
      <c r="E12250" s="24"/>
      <c r="G12250" s="24"/>
    </row>
    <row r="12251">
      <c r="B12251" s="24"/>
      <c r="C12251" s="24"/>
      <c r="D12251" s="214"/>
      <c r="E12251" s="24"/>
      <c r="G12251" s="24"/>
    </row>
    <row r="12252">
      <c r="B12252" s="24"/>
      <c r="C12252" s="24"/>
      <c r="D12252" s="214"/>
      <c r="E12252" s="24"/>
      <c r="G12252" s="24"/>
    </row>
    <row r="12253">
      <c r="B12253" s="24"/>
      <c r="C12253" s="24"/>
      <c r="D12253" s="214"/>
      <c r="E12253" s="24"/>
      <c r="G12253" s="24"/>
    </row>
    <row r="12254">
      <c r="B12254" s="24"/>
      <c r="C12254" s="24"/>
      <c r="D12254" s="214"/>
      <c r="E12254" s="24"/>
      <c r="G12254" s="24"/>
    </row>
    <row r="12255">
      <c r="B12255" s="24"/>
      <c r="C12255" s="24"/>
      <c r="D12255" s="214"/>
      <c r="E12255" s="24"/>
      <c r="G12255" s="24"/>
    </row>
    <row r="12256">
      <c r="B12256" s="24"/>
      <c r="C12256" s="24"/>
      <c r="D12256" s="214"/>
      <c r="E12256" s="24"/>
      <c r="G12256" s="24"/>
    </row>
    <row r="12257">
      <c r="B12257" s="24"/>
      <c r="C12257" s="24"/>
      <c r="D12257" s="214"/>
      <c r="E12257" s="24"/>
      <c r="G12257" s="24"/>
    </row>
    <row r="12258">
      <c r="B12258" s="24"/>
      <c r="C12258" s="24"/>
      <c r="D12258" s="214"/>
      <c r="E12258" s="24"/>
      <c r="G12258" s="24"/>
    </row>
    <row r="12259">
      <c r="B12259" s="24"/>
      <c r="C12259" s="24"/>
      <c r="D12259" s="214"/>
      <c r="E12259" s="24"/>
      <c r="G12259" s="24"/>
    </row>
    <row r="12260">
      <c r="B12260" s="24"/>
      <c r="C12260" s="24"/>
      <c r="D12260" s="214"/>
      <c r="E12260" s="24"/>
      <c r="G12260" s="24"/>
    </row>
    <row r="12261">
      <c r="B12261" s="24"/>
      <c r="C12261" s="24"/>
      <c r="D12261" s="214"/>
      <c r="E12261" s="24"/>
      <c r="G12261" s="24"/>
    </row>
    <row r="12262">
      <c r="B12262" s="24"/>
      <c r="C12262" s="24"/>
      <c r="D12262" s="214"/>
      <c r="E12262" s="24"/>
      <c r="G12262" s="24"/>
    </row>
    <row r="12263">
      <c r="B12263" s="24"/>
      <c r="C12263" s="24"/>
      <c r="D12263" s="214"/>
      <c r="E12263" s="24"/>
      <c r="G12263" s="24"/>
    </row>
    <row r="12264">
      <c r="B12264" s="24"/>
      <c r="C12264" s="24"/>
      <c r="D12264" s="214"/>
      <c r="E12264" s="24"/>
      <c r="G12264" s="24"/>
    </row>
    <row r="12265">
      <c r="B12265" s="24"/>
      <c r="C12265" s="24"/>
      <c r="D12265" s="214"/>
      <c r="E12265" s="24"/>
      <c r="G12265" s="24"/>
    </row>
    <row r="12266">
      <c r="B12266" s="24"/>
      <c r="C12266" s="24"/>
      <c r="D12266" s="214"/>
      <c r="E12266" s="24"/>
      <c r="G12266" s="24"/>
    </row>
    <row r="12267">
      <c r="B12267" s="24"/>
      <c r="C12267" s="24"/>
      <c r="D12267" s="214"/>
      <c r="E12267" s="24"/>
      <c r="G12267" s="24"/>
    </row>
    <row r="12268">
      <c r="B12268" s="24"/>
      <c r="C12268" s="24"/>
      <c r="D12268" s="214"/>
      <c r="E12268" s="24"/>
      <c r="G12268" s="24"/>
    </row>
    <row r="12269">
      <c r="B12269" s="24"/>
      <c r="C12269" s="24"/>
      <c r="D12269" s="214"/>
      <c r="E12269" s="24"/>
      <c r="G12269" s="24"/>
    </row>
    <row r="12270">
      <c r="B12270" s="24"/>
      <c r="C12270" s="24"/>
      <c r="D12270" s="214"/>
      <c r="E12270" s="24"/>
      <c r="G12270" s="24"/>
    </row>
    <row r="12271">
      <c r="B12271" s="24"/>
      <c r="C12271" s="24"/>
      <c r="D12271" s="214"/>
      <c r="E12271" s="24"/>
      <c r="G12271" s="24"/>
    </row>
    <row r="12272">
      <c r="B12272" s="24"/>
      <c r="C12272" s="24"/>
      <c r="D12272" s="214"/>
      <c r="E12272" s="24"/>
      <c r="G12272" s="24"/>
    </row>
    <row r="12273">
      <c r="B12273" s="24"/>
      <c r="C12273" s="24"/>
      <c r="D12273" s="214"/>
      <c r="E12273" s="24"/>
      <c r="G12273" s="24"/>
    </row>
    <row r="12274">
      <c r="B12274" s="24"/>
      <c r="C12274" s="24"/>
      <c r="D12274" s="214"/>
      <c r="E12274" s="24"/>
      <c r="G12274" s="24"/>
    </row>
    <row r="12275">
      <c r="B12275" s="24"/>
      <c r="C12275" s="24"/>
      <c r="D12275" s="214"/>
      <c r="E12275" s="24"/>
      <c r="G12275" s="24"/>
    </row>
    <row r="12276">
      <c r="B12276" s="24"/>
      <c r="C12276" s="24"/>
      <c r="D12276" s="214"/>
      <c r="E12276" s="24"/>
      <c r="G12276" s="24"/>
    </row>
    <row r="12277">
      <c r="B12277" s="24"/>
      <c r="C12277" s="24"/>
      <c r="D12277" s="214"/>
      <c r="E12277" s="24"/>
      <c r="G12277" s="24"/>
    </row>
    <row r="12278">
      <c r="B12278" s="24"/>
      <c r="C12278" s="24"/>
      <c r="D12278" s="214"/>
      <c r="E12278" s="24"/>
      <c r="G12278" s="24"/>
    </row>
    <row r="12279">
      <c r="B12279" s="24"/>
      <c r="C12279" s="24"/>
      <c r="D12279" s="214"/>
      <c r="E12279" s="24"/>
      <c r="G12279" s="24"/>
    </row>
    <row r="12280">
      <c r="B12280" s="24"/>
      <c r="C12280" s="24"/>
      <c r="D12280" s="214"/>
      <c r="E12280" s="24"/>
      <c r="G12280" s="24"/>
    </row>
    <row r="12281">
      <c r="B12281" s="24"/>
      <c r="C12281" s="24"/>
      <c r="D12281" s="214"/>
      <c r="E12281" s="24"/>
      <c r="G12281" s="24"/>
    </row>
    <row r="12282">
      <c r="B12282" s="24"/>
      <c r="C12282" s="24"/>
      <c r="D12282" s="214"/>
      <c r="E12282" s="24"/>
      <c r="G12282" s="24"/>
    </row>
    <row r="12283">
      <c r="B12283" s="24"/>
      <c r="C12283" s="24"/>
      <c r="D12283" s="214"/>
      <c r="E12283" s="24"/>
      <c r="G12283" s="24"/>
    </row>
    <row r="12284">
      <c r="B12284" s="24"/>
      <c r="C12284" s="24"/>
      <c r="D12284" s="214"/>
      <c r="E12284" s="24"/>
      <c r="G12284" s="24"/>
    </row>
    <row r="12285">
      <c r="B12285" s="24"/>
      <c r="C12285" s="24"/>
      <c r="D12285" s="214"/>
      <c r="E12285" s="24"/>
      <c r="G12285" s="24"/>
    </row>
    <row r="12286">
      <c r="B12286" s="24"/>
      <c r="C12286" s="24"/>
      <c r="D12286" s="214"/>
      <c r="E12286" s="24"/>
      <c r="G12286" s="24"/>
    </row>
    <row r="12287">
      <c r="B12287" s="24"/>
      <c r="C12287" s="24"/>
      <c r="D12287" s="214"/>
      <c r="E12287" s="24"/>
      <c r="G12287" s="24"/>
    </row>
    <row r="12288">
      <c r="B12288" s="24"/>
      <c r="C12288" s="24"/>
      <c r="D12288" s="214"/>
      <c r="E12288" s="24"/>
      <c r="G12288" s="24"/>
    </row>
    <row r="12289">
      <c r="B12289" s="24"/>
      <c r="C12289" s="24"/>
      <c r="D12289" s="214"/>
      <c r="E12289" s="24"/>
      <c r="G12289" s="24"/>
    </row>
    <row r="12290">
      <c r="B12290" s="24"/>
      <c r="C12290" s="24"/>
      <c r="D12290" s="214"/>
      <c r="E12290" s="24"/>
      <c r="G12290" s="24"/>
    </row>
    <row r="12291">
      <c r="B12291" s="24"/>
      <c r="C12291" s="24"/>
      <c r="D12291" s="214"/>
      <c r="E12291" s="24"/>
      <c r="G12291" s="24"/>
    </row>
    <row r="12292">
      <c r="B12292" s="24"/>
      <c r="C12292" s="24"/>
      <c r="D12292" s="214"/>
      <c r="E12292" s="24"/>
      <c r="G12292" s="24"/>
    </row>
    <row r="12293">
      <c r="B12293" s="24"/>
      <c r="C12293" s="24"/>
      <c r="D12293" s="214"/>
      <c r="E12293" s="24"/>
      <c r="G12293" s="24"/>
    </row>
    <row r="12294">
      <c r="B12294" s="24"/>
      <c r="C12294" s="24"/>
      <c r="D12294" s="214"/>
      <c r="E12294" s="24"/>
      <c r="G12294" s="24"/>
    </row>
    <row r="12295">
      <c r="B12295" s="24"/>
      <c r="C12295" s="24"/>
      <c r="D12295" s="214"/>
      <c r="E12295" s="24"/>
      <c r="G12295" s="24"/>
    </row>
    <row r="12296">
      <c r="B12296" s="24"/>
      <c r="C12296" s="24"/>
      <c r="D12296" s="214"/>
      <c r="E12296" s="24"/>
      <c r="G12296" s="24"/>
    </row>
    <row r="12297">
      <c r="B12297" s="24"/>
      <c r="C12297" s="24"/>
      <c r="D12297" s="214"/>
      <c r="E12297" s="24"/>
      <c r="G12297" s="24"/>
    </row>
    <row r="12298">
      <c r="B12298" s="24"/>
      <c r="C12298" s="24"/>
      <c r="D12298" s="214"/>
      <c r="E12298" s="24"/>
      <c r="G12298" s="24"/>
    </row>
    <row r="12299">
      <c r="B12299" s="24"/>
      <c r="C12299" s="24"/>
      <c r="D12299" s="214"/>
      <c r="E12299" s="24"/>
      <c r="G12299" s="24"/>
    </row>
    <row r="12300">
      <c r="B12300" s="24"/>
      <c r="C12300" s="24"/>
      <c r="D12300" s="214"/>
      <c r="E12300" s="24"/>
      <c r="G12300" s="24"/>
    </row>
    <row r="12301">
      <c r="B12301" s="24"/>
      <c r="C12301" s="24"/>
      <c r="D12301" s="214"/>
      <c r="E12301" s="24"/>
      <c r="G12301" s="24"/>
    </row>
    <row r="12302">
      <c r="B12302" s="24"/>
      <c r="C12302" s="24"/>
      <c r="D12302" s="214"/>
      <c r="E12302" s="24"/>
      <c r="G12302" s="24"/>
    </row>
    <row r="12303">
      <c r="B12303" s="24"/>
      <c r="C12303" s="24"/>
      <c r="D12303" s="214"/>
      <c r="E12303" s="24"/>
      <c r="G12303" s="24"/>
    </row>
    <row r="12304">
      <c r="B12304" s="24"/>
      <c r="C12304" s="24"/>
      <c r="D12304" s="214"/>
      <c r="E12304" s="24"/>
      <c r="G12304" s="24"/>
    </row>
    <row r="12305">
      <c r="B12305" s="24"/>
      <c r="C12305" s="24"/>
      <c r="D12305" s="214"/>
      <c r="E12305" s="24"/>
      <c r="G12305" s="24"/>
    </row>
    <row r="12306">
      <c r="B12306" s="24"/>
      <c r="C12306" s="24"/>
      <c r="D12306" s="214"/>
      <c r="E12306" s="24"/>
      <c r="G12306" s="24"/>
    </row>
    <row r="12307">
      <c r="B12307" s="24"/>
      <c r="C12307" s="24"/>
      <c r="D12307" s="214"/>
      <c r="E12307" s="24"/>
      <c r="G12307" s="24"/>
    </row>
    <row r="12308">
      <c r="B12308" s="24"/>
      <c r="C12308" s="24"/>
      <c r="D12308" s="214"/>
      <c r="E12308" s="24"/>
      <c r="G12308" s="24"/>
    </row>
    <row r="12309">
      <c r="B12309" s="24"/>
      <c r="C12309" s="24"/>
      <c r="D12309" s="214"/>
      <c r="E12309" s="24"/>
      <c r="G12309" s="24"/>
    </row>
    <row r="12310">
      <c r="B12310" s="24"/>
      <c r="C12310" s="24"/>
      <c r="D12310" s="214"/>
      <c r="E12310" s="24"/>
      <c r="G12310" s="24"/>
    </row>
    <row r="12311">
      <c r="B12311" s="24"/>
      <c r="C12311" s="24"/>
      <c r="D12311" s="214"/>
      <c r="E12311" s="24"/>
      <c r="G12311" s="24"/>
    </row>
    <row r="12312">
      <c r="B12312" s="24"/>
      <c r="C12312" s="24"/>
      <c r="D12312" s="214"/>
      <c r="E12312" s="24"/>
      <c r="G12312" s="24"/>
    </row>
    <row r="12313">
      <c r="B12313" s="24"/>
      <c r="C12313" s="24"/>
      <c r="D12313" s="214"/>
      <c r="E12313" s="24"/>
      <c r="G12313" s="24"/>
    </row>
    <row r="12314">
      <c r="B12314" s="24"/>
      <c r="C12314" s="24"/>
      <c r="D12314" s="214"/>
      <c r="E12314" s="24"/>
      <c r="G12314" s="24"/>
    </row>
    <row r="12315">
      <c r="B12315" s="24"/>
      <c r="C12315" s="24"/>
      <c r="D12315" s="214"/>
      <c r="E12315" s="24"/>
      <c r="G12315" s="24"/>
    </row>
    <row r="12316">
      <c r="B12316" s="24"/>
      <c r="C12316" s="24"/>
      <c r="D12316" s="214"/>
      <c r="E12316" s="24"/>
      <c r="G12316" s="24"/>
    </row>
    <row r="12317">
      <c r="B12317" s="24"/>
      <c r="C12317" s="24"/>
      <c r="D12317" s="214"/>
      <c r="E12317" s="24"/>
      <c r="G12317" s="24"/>
    </row>
    <row r="12318">
      <c r="B12318" s="24"/>
      <c r="C12318" s="24"/>
      <c r="D12318" s="214"/>
      <c r="E12318" s="24"/>
      <c r="G12318" s="24"/>
    </row>
    <row r="12319">
      <c r="B12319" s="24"/>
      <c r="C12319" s="24"/>
      <c r="D12319" s="214"/>
      <c r="E12319" s="24"/>
      <c r="G12319" s="24"/>
    </row>
    <row r="12320">
      <c r="B12320" s="24"/>
      <c r="C12320" s="24"/>
      <c r="D12320" s="214"/>
      <c r="E12320" s="24"/>
      <c r="G12320" s="24"/>
    </row>
    <row r="12321">
      <c r="B12321" s="24"/>
      <c r="C12321" s="24"/>
      <c r="D12321" s="214"/>
      <c r="E12321" s="24"/>
      <c r="G12321" s="24"/>
    </row>
    <row r="12322">
      <c r="B12322" s="24"/>
      <c r="C12322" s="24"/>
      <c r="D12322" s="214"/>
      <c r="E12322" s="24"/>
      <c r="G12322" s="24"/>
    </row>
    <row r="12323">
      <c r="B12323" s="24"/>
      <c r="C12323" s="24"/>
      <c r="D12323" s="214"/>
      <c r="E12323" s="24"/>
      <c r="G12323" s="24"/>
    </row>
    <row r="12324">
      <c r="B12324" s="24"/>
      <c r="C12324" s="24"/>
      <c r="D12324" s="214"/>
      <c r="E12324" s="24"/>
      <c r="G12324" s="24"/>
    </row>
    <row r="12325">
      <c r="B12325" s="24"/>
      <c r="C12325" s="24"/>
      <c r="D12325" s="214"/>
      <c r="E12325" s="24"/>
      <c r="G12325" s="24"/>
    </row>
    <row r="12326">
      <c r="B12326" s="24"/>
      <c r="C12326" s="24"/>
      <c r="D12326" s="214"/>
      <c r="E12326" s="24"/>
      <c r="G12326" s="24"/>
    </row>
    <row r="12327">
      <c r="B12327" s="24"/>
      <c r="C12327" s="24"/>
      <c r="D12327" s="214"/>
      <c r="E12327" s="24"/>
      <c r="G12327" s="24"/>
    </row>
    <row r="12328">
      <c r="B12328" s="24"/>
      <c r="C12328" s="24"/>
      <c r="D12328" s="214"/>
      <c r="E12328" s="24"/>
      <c r="G12328" s="24"/>
    </row>
    <row r="12329">
      <c r="B12329" s="24"/>
      <c r="C12329" s="24"/>
      <c r="D12329" s="214"/>
      <c r="E12329" s="24"/>
      <c r="G12329" s="24"/>
    </row>
    <row r="12330">
      <c r="B12330" s="24"/>
      <c r="C12330" s="24"/>
      <c r="D12330" s="214"/>
      <c r="E12330" s="24"/>
      <c r="G12330" s="24"/>
    </row>
    <row r="12331">
      <c r="B12331" s="24"/>
      <c r="C12331" s="24"/>
      <c r="D12331" s="214"/>
      <c r="E12331" s="24"/>
      <c r="G12331" s="24"/>
    </row>
    <row r="12332">
      <c r="B12332" s="24"/>
      <c r="C12332" s="24"/>
      <c r="D12332" s="214"/>
      <c r="E12332" s="24"/>
      <c r="G12332" s="24"/>
    </row>
    <row r="12333">
      <c r="B12333" s="24"/>
      <c r="C12333" s="24"/>
      <c r="D12333" s="214"/>
      <c r="E12333" s="24"/>
      <c r="G12333" s="24"/>
    </row>
    <row r="12334">
      <c r="B12334" s="24"/>
      <c r="C12334" s="24"/>
      <c r="D12334" s="214"/>
      <c r="E12334" s="24"/>
      <c r="G12334" s="24"/>
    </row>
    <row r="12335">
      <c r="B12335" s="24"/>
      <c r="C12335" s="24"/>
      <c r="D12335" s="214"/>
      <c r="E12335" s="24"/>
      <c r="G12335" s="24"/>
    </row>
    <row r="12336">
      <c r="B12336" s="24"/>
      <c r="C12336" s="24"/>
      <c r="D12336" s="214"/>
      <c r="E12336" s="24"/>
      <c r="G12336" s="24"/>
    </row>
    <row r="12337">
      <c r="B12337" s="24"/>
      <c r="C12337" s="24"/>
      <c r="D12337" s="214"/>
      <c r="E12337" s="24"/>
      <c r="G12337" s="24"/>
    </row>
    <row r="12338">
      <c r="B12338" s="24"/>
      <c r="C12338" s="24"/>
      <c r="D12338" s="214"/>
      <c r="E12338" s="24"/>
      <c r="G12338" s="24"/>
    </row>
    <row r="12339">
      <c r="B12339" s="24"/>
      <c r="C12339" s="24"/>
      <c r="D12339" s="214"/>
      <c r="E12339" s="24"/>
      <c r="G12339" s="24"/>
    </row>
    <row r="12340">
      <c r="B12340" s="24"/>
      <c r="C12340" s="24"/>
      <c r="D12340" s="214"/>
      <c r="E12340" s="24"/>
      <c r="G12340" s="24"/>
    </row>
    <row r="12341">
      <c r="B12341" s="24"/>
      <c r="C12341" s="24"/>
      <c r="D12341" s="214"/>
      <c r="E12341" s="24"/>
      <c r="G12341" s="24"/>
    </row>
    <row r="12342">
      <c r="B12342" s="24"/>
      <c r="C12342" s="24"/>
      <c r="D12342" s="214"/>
      <c r="E12342" s="24"/>
      <c r="G12342" s="24"/>
    </row>
    <row r="12343">
      <c r="B12343" s="24"/>
      <c r="C12343" s="24"/>
      <c r="D12343" s="214"/>
      <c r="E12343" s="24"/>
      <c r="G12343" s="24"/>
    </row>
    <row r="12344">
      <c r="B12344" s="24"/>
      <c r="C12344" s="24"/>
      <c r="D12344" s="214"/>
      <c r="E12344" s="24"/>
      <c r="G12344" s="24"/>
    </row>
    <row r="12345">
      <c r="B12345" s="24"/>
      <c r="C12345" s="24"/>
      <c r="D12345" s="214"/>
      <c r="E12345" s="24"/>
      <c r="G12345" s="24"/>
    </row>
    <row r="12346">
      <c r="B12346" s="24"/>
      <c r="C12346" s="24"/>
      <c r="D12346" s="214"/>
      <c r="E12346" s="24"/>
      <c r="G12346" s="24"/>
    </row>
    <row r="12347">
      <c r="B12347" s="24"/>
      <c r="C12347" s="24"/>
      <c r="D12347" s="214"/>
      <c r="E12347" s="24"/>
      <c r="G12347" s="24"/>
    </row>
    <row r="12348">
      <c r="B12348" s="24"/>
      <c r="C12348" s="24"/>
      <c r="D12348" s="214"/>
      <c r="E12348" s="24"/>
      <c r="G12348" s="24"/>
    </row>
    <row r="12349">
      <c r="B12349" s="24"/>
      <c r="C12349" s="24"/>
      <c r="D12349" s="214"/>
      <c r="E12349" s="24"/>
      <c r="G12349" s="24"/>
    </row>
    <row r="12350">
      <c r="B12350" s="24"/>
      <c r="C12350" s="24"/>
      <c r="D12350" s="214"/>
      <c r="E12350" s="24"/>
      <c r="G12350" s="24"/>
    </row>
    <row r="12351">
      <c r="B12351" s="24"/>
      <c r="C12351" s="24"/>
      <c r="D12351" s="214"/>
      <c r="E12351" s="24"/>
      <c r="G12351" s="24"/>
    </row>
    <row r="12352">
      <c r="B12352" s="24"/>
      <c r="C12352" s="24"/>
      <c r="D12352" s="214"/>
      <c r="E12352" s="24"/>
      <c r="G12352" s="24"/>
    </row>
    <row r="12353">
      <c r="B12353" s="24"/>
      <c r="C12353" s="24"/>
      <c r="D12353" s="214"/>
      <c r="E12353" s="24"/>
      <c r="G12353" s="24"/>
    </row>
    <row r="12354">
      <c r="B12354" s="24"/>
      <c r="C12354" s="24"/>
      <c r="D12354" s="214"/>
      <c r="E12354" s="24"/>
      <c r="G12354" s="24"/>
    </row>
    <row r="12355">
      <c r="B12355" s="24"/>
      <c r="C12355" s="24"/>
      <c r="D12355" s="214"/>
      <c r="E12355" s="24"/>
      <c r="G12355" s="24"/>
    </row>
    <row r="12356">
      <c r="B12356" s="24"/>
      <c r="C12356" s="24"/>
      <c r="D12356" s="214"/>
      <c r="E12356" s="24"/>
      <c r="G12356" s="24"/>
    </row>
    <row r="12357">
      <c r="B12357" s="24"/>
      <c r="C12357" s="24"/>
      <c r="D12357" s="214"/>
      <c r="E12357" s="24"/>
      <c r="G12357" s="24"/>
    </row>
    <row r="12358">
      <c r="B12358" s="24"/>
      <c r="C12358" s="24"/>
      <c r="D12358" s="214"/>
      <c r="E12358" s="24"/>
      <c r="G12358" s="24"/>
    </row>
    <row r="12359">
      <c r="B12359" s="24"/>
      <c r="C12359" s="24"/>
      <c r="D12359" s="214"/>
      <c r="E12359" s="24"/>
      <c r="G12359" s="24"/>
    </row>
    <row r="12360">
      <c r="B12360" s="24"/>
      <c r="C12360" s="24"/>
      <c r="D12360" s="214"/>
      <c r="E12360" s="24"/>
      <c r="G12360" s="24"/>
    </row>
    <row r="12361">
      <c r="B12361" s="24"/>
      <c r="C12361" s="24"/>
      <c r="D12361" s="214"/>
      <c r="E12361" s="24"/>
      <c r="G12361" s="24"/>
    </row>
    <row r="12362">
      <c r="B12362" s="24"/>
      <c r="C12362" s="24"/>
      <c r="D12362" s="214"/>
      <c r="E12362" s="24"/>
      <c r="G12362" s="24"/>
    </row>
    <row r="12363">
      <c r="B12363" s="24"/>
      <c r="C12363" s="24"/>
      <c r="D12363" s="214"/>
      <c r="E12363" s="24"/>
      <c r="G12363" s="24"/>
    </row>
    <row r="12364">
      <c r="B12364" s="24"/>
      <c r="C12364" s="24"/>
      <c r="D12364" s="214"/>
      <c r="E12364" s="24"/>
      <c r="G12364" s="24"/>
    </row>
    <row r="12365">
      <c r="B12365" s="24"/>
      <c r="C12365" s="24"/>
      <c r="D12365" s="214"/>
      <c r="E12365" s="24"/>
      <c r="G12365" s="24"/>
    </row>
    <row r="12366">
      <c r="B12366" s="24"/>
      <c r="C12366" s="24"/>
      <c r="D12366" s="214"/>
      <c r="E12366" s="24"/>
      <c r="G12366" s="24"/>
    </row>
    <row r="12367">
      <c r="B12367" s="24"/>
      <c r="C12367" s="24"/>
      <c r="D12367" s="214"/>
      <c r="E12367" s="24"/>
      <c r="G12367" s="24"/>
    </row>
    <row r="12368">
      <c r="B12368" s="24"/>
      <c r="C12368" s="24"/>
      <c r="D12368" s="214"/>
      <c r="E12368" s="24"/>
      <c r="G12368" s="24"/>
    </row>
    <row r="12369">
      <c r="B12369" s="24"/>
      <c r="C12369" s="24"/>
      <c r="D12369" s="214"/>
      <c r="E12369" s="24"/>
      <c r="G12369" s="24"/>
    </row>
    <row r="12370">
      <c r="B12370" s="24"/>
      <c r="C12370" s="24"/>
      <c r="D12370" s="214"/>
      <c r="E12370" s="24"/>
      <c r="G12370" s="24"/>
    </row>
    <row r="12371">
      <c r="B12371" s="24"/>
      <c r="C12371" s="24"/>
      <c r="D12371" s="214"/>
      <c r="E12371" s="24"/>
      <c r="G12371" s="24"/>
    </row>
    <row r="12372">
      <c r="B12372" s="24"/>
      <c r="C12372" s="24"/>
      <c r="D12372" s="214"/>
      <c r="E12372" s="24"/>
      <c r="G12372" s="24"/>
    </row>
    <row r="12373">
      <c r="B12373" s="24"/>
      <c r="C12373" s="24"/>
      <c r="D12373" s="214"/>
      <c r="E12373" s="24"/>
      <c r="G12373" s="24"/>
    </row>
    <row r="12374">
      <c r="B12374" s="24"/>
      <c r="C12374" s="24"/>
      <c r="D12374" s="214"/>
      <c r="E12374" s="24"/>
      <c r="G12374" s="24"/>
    </row>
    <row r="12375">
      <c r="B12375" s="24"/>
      <c r="C12375" s="24"/>
      <c r="D12375" s="214"/>
      <c r="E12375" s="24"/>
      <c r="G12375" s="24"/>
    </row>
    <row r="12376">
      <c r="B12376" s="24"/>
      <c r="C12376" s="24"/>
      <c r="D12376" s="214"/>
      <c r="E12376" s="24"/>
      <c r="G12376" s="24"/>
    </row>
    <row r="12377">
      <c r="B12377" s="24"/>
      <c r="C12377" s="24"/>
      <c r="D12377" s="214"/>
      <c r="E12377" s="24"/>
      <c r="G12377" s="24"/>
    </row>
    <row r="12378">
      <c r="B12378" s="24"/>
      <c r="C12378" s="24"/>
      <c r="D12378" s="214"/>
      <c r="E12378" s="24"/>
      <c r="G12378" s="24"/>
    </row>
    <row r="12379">
      <c r="B12379" s="24"/>
      <c r="C12379" s="24"/>
      <c r="D12379" s="214"/>
      <c r="E12379" s="24"/>
      <c r="G12379" s="24"/>
    </row>
    <row r="12380">
      <c r="B12380" s="24"/>
      <c r="C12380" s="24"/>
      <c r="D12380" s="214"/>
      <c r="E12380" s="24"/>
      <c r="G12380" s="24"/>
    </row>
    <row r="12381">
      <c r="B12381" s="24"/>
      <c r="C12381" s="24"/>
      <c r="D12381" s="214"/>
      <c r="E12381" s="24"/>
      <c r="G12381" s="24"/>
    </row>
    <row r="12382">
      <c r="B12382" s="24"/>
      <c r="C12382" s="24"/>
      <c r="D12382" s="214"/>
      <c r="E12382" s="24"/>
      <c r="G12382" s="24"/>
    </row>
    <row r="12383">
      <c r="B12383" s="24"/>
      <c r="C12383" s="24"/>
      <c r="D12383" s="214"/>
      <c r="E12383" s="24"/>
      <c r="G12383" s="24"/>
    </row>
    <row r="12384">
      <c r="B12384" s="24"/>
      <c r="C12384" s="24"/>
      <c r="D12384" s="214"/>
      <c r="E12384" s="24"/>
      <c r="G12384" s="24"/>
    </row>
    <row r="12385">
      <c r="B12385" s="24"/>
      <c r="C12385" s="24"/>
      <c r="D12385" s="214"/>
      <c r="E12385" s="24"/>
      <c r="G12385" s="24"/>
    </row>
    <row r="12386">
      <c r="B12386" s="24"/>
      <c r="C12386" s="24"/>
      <c r="D12386" s="214"/>
      <c r="E12386" s="24"/>
      <c r="G12386" s="24"/>
    </row>
    <row r="12387">
      <c r="B12387" s="24"/>
      <c r="C12387" s="24"/>
      <c r="D12387" s="214"/>
      <c r="E12387" s="24"/>
      <c r="G12387" s="24"/>
    </row>
    <row r="12388">
      <c r="B12388" s="24"/>
      <c r="C12388" s="24"/>
      <c r="D12388" s="214"/>
      <c r="E12388" s="24"/>
      <c r="G12388" s="24"/>
    </row>
    <row r="12389">
      <c r="B12389" s="24"/>
      <c r="C12389" s="24"/>
      <c r="D12389" s="214"/>
      <c r="E12389" s="24"/>
      <c r="G12389" s="24"/>
    </row>
    <row r="12390">
      <c r="B12390" s="24"/>
      <c r="C12390" s="24"/>
      <c r="D12390" s="214"/>
      <c r="E12390" s="24"/>
      <c r="G12390" s="24"/>
    </row>
    <row r="12391">
      <c r="B12391" s="24"/>
      <c r="C12391" s="24"/>
      <c r="D12391" s="214"/>
      <c r="E12391" s="24"/>
      <c r="G12391" s="24"/>
    </row>
    <row r="12392">
      <c r="B12392" s="24"/>
      <c r="C12392" s="24"/>
      <c r="D12392" s="214"/>
      <c r="E12392" s="24"/>
      <c r="G12392" s="24"/>
    </row>
    <row r="12393">
      <c r="B12393" s="24"/>
      <c r="C12393" s="24"/>
      <c r="D12393" s="214"/>
      <c r="E12393" s="24"/>
      <c r="G12393" s="24"/>
    </row>
    <row r="12394">
      <c r="B12394" s="24"/>
      <c r="C12394" s="24"/>
      <c r="D12394" s="214"/>
      <c r="E12394" s="24"/>
      <c r="G12394" s="24"/>
    </row>
    <row r="12395">
      <c r="B12395" s="24"/>
      <c r="C12395" s="24"/>
      <c r="D12395" s="214"/>
      <c r="E12395" s="24"/>
      <c r="G12395" s="24"/>
    </row>
    <row r="12396">
      <c r="B12396" s="24"/>
      <c r="C12396" s="24"/>
      <c r="D12396" s="214"/>
      <c r="E12396" s="24"/>
      <c r="G12396" s="24"/>
    </row>
    <row r="12397">
      <c r="B12397" s="24"/>
      <c r="C12397" s="24"/>
      <c r="D12397" s="214"/>
      <c r="E12397" s="24"/>
      <c r="G12397" s="24"/>
    </row>
    <row r="12398">
      <c r="B12398" s="24"/>
      <c r="C12398" s="24"/>
      <c r="D12398" s="214"/>
      <c r="E12398" s="24"/>
      <c r="G12398" s="24"/>
    </row>
    <row r="12399">
      <c r="B12399" s="24"/>
      <c r="C12399" s="24"/>
      <c r="D12399" s="214"/>
      <c r="E12399" s="24"/>
      <c r="G12399" s="24"/>
    </row>
    <row r="12400">
      <c r="B12400" s="24"/>
      <c r="C12400" s="24"/>
      <c r="D12400" s="214"/>
      <c r="E12400" s="24"/>
      <c r="G12400" s="24"/>
    </row>
    <row r="12401">
      <c r="B12401" s="24"/>
      <c r="C12401" s="24"/>
      <c r="D12401" s="214"/>
      <c r="E12401" s="24"/>
      <c r="G12401" s="24"/>
    </row>
    <row r="12402">
      <c r="B12402" s="24"/>
      <c r="C12402" s="24"/>
      <c r="D12402" s="214"/>
      <c r="E12402" s="24"/>
      <c r="G12402" s="24"/>
    </row>
    <row r="12403">
      <c r="B12403" s="24"/>
      <c r="C12403" s="24"/>
      <c r="D12403" s="214"/>
      <c r="E12403" s="24"/>
      <c r="G12403" s="24"/>
    </row>
    <row r="12404">
      <c r="B12404" s="24"/>
      <c r="C12404" s="24"/>
      <c r="D12404" s="214"/>
      <c r="E12404" s="24"/>
      <c r="G12404" s="24"/>
    </row>
    <row r="12405">
      <c r="B12405" s="24"/>
      <c r="C12405" s="24"/>
      <c r="D12405" s="214"/>
      <c r="E12405" s="24"/>
      <c r="G12405" s="24"/>
    </row>
    <row r="12406">
      <c r="B12406" s="24"/>
      <c r="C12406" s="24"/>
      <c r="D12406" s="214"/>
      <c r="E12406" s="24"/>
      <c r="G12406" s="24"/>
    </row>
    <row r="12407">
      <c r="B12407" s="24"/>
      <c r="C12407" s="24"/>
      <c r="D12407" s="214"/>
      <c r="E12407" s="24"/>
      <c r="G12407" s="24"/>
    </row>
    <row r="12408">
      <c r="B12408" s="24"/>
      <c r="C12408" s="24"/>
      <c r="D12408" s="214"/>
      <c r="E12408" s="24"/>
      <c r="G12408" s="24"/>
    </row>
    <row r="12409">
      <c r="B12409" s="24"/>
      <c r="C12409" s="24"/>
      <c r="D12409" s="214"/>
      <c r="E12409" s="24"/>
      <c r="G12409" s="24"/>
    </row>
    <row r="12410">
      <c r="B12410" s="24"/>
      <c r="C12410" s="24"/>
      <c r="D12410" s="214"/>
      <c r="E12410" s="24"/>
      <c r="G12410" s="24"/>
    </row>
    <row r="12411">
      <c r="B12411" s="24"/>
      <c r="C12411" s="24"/>
      <c r="D12411" s="214"/>
      <c r="E12411" s="24"/>
      <c r="G12411" s="24"/>
    </row>
    <row r="12412">
      <c r="B12412" s="24"/>
      <c r="C12412" s="24"/>
      <c r="D12412" s="214"/>
      <c r="E12412" s="24"/>
      <c r="G12412" s="24"/>
    </row>
    <row r="12413">
      <c r="B12413" s="24"/>
      <c r="C12413" s="24"/>
      <c r="D12413" s="214"/>
      <c r="E12413" s="24"/>
      <c r="G12413" s="24"/>
    </row>
    <row r="12414">
      <c r="B12414" s="24"/>
      <c r="C12414" s="24"/>
      <c r="D12414" s="214"/>
      <c r="E12414" s="24"/>
      <c r="G12414" s="24"/>
    </row>
    <row r="12415">
      <c r="B12415" s="24"/>
      <c r="C12415" s="24"/>
      <c r="D12415" s="214"/>
      <c r="E12415" s="24"/>
      <c r="G12415" s="24"/>
    </row>
    <row r="12416">
      <c r="B12416" s="24"/>
      <c r="C12416" s="24"/>
      <c r="D12416" s="214"/>
      <c r="E12416" s="24"/>
      <c r="G12416" s="24"/>
    </row>
    <row r="12417">
      <c r="B12417" s="24"/>
      <c r="C12417" s="24"/>
      <c r="D12417" s="214"/>
      <c r="E12417" s="24"/>
      <c r="G12417" s="24"/>
    </row>
    <row r="12418">
      <c r="B12418" s="24"/>
      <c r="C12418" s="24"/>
      <c r="D12418" s="214"/>
      <c r="E12418" s="24"/>
      <c r="G12418" s="24"/>
    </row>
    <row r="12419">
      <c r="B12419" s="24"/>
      <c r="C12419" s="24"/>
      <c r="D12419" s="214"/>
      <c r="E12419" s="24"/>
      <c r="G12419" s="24"/>
    </row>
    <row r="12420">
      <c r="B12420" s="24"/>
      <c r="C12420" s="24"/>
      <c r="D12420" s="214"/>
      <c r="E12420" s="24"/>
      <c r="G12420" s="24"/>
    </row>
    <row r="12421">
      <c r="B12421" s="24"/>
      <c r="C12421" s="24"/>
      <c r="D12421" s="214"/>
      <c r="E12421" s="24"/>
      <c r="G12421" s="24"/>
    </row>
    <row r="12422">
      <c r="B12422" s="24"/>
      <c r="C12422" s="24"/>
      <c r="D12422" s="214"/>
      <c r="E12422" s="24"/>
      <c r="G12422" s="24"/>
    </row>
    <row r="12423">
      <c r="B12423" s="24"/>
      <c r="C12423" s="24"/>
      <c r="D12423" s="214"/>
      <c r="E12423" s="24"/>
      <c r="G12423" s="24"/>
    </row>
    <row r="12424">
      <c r="B12424" s="24"/>
      <c r="C12424" s="24"/>
      <c r="D12424" s="214"/>
      <c r="E12424" s="24"/>
      <c r="G12424" s="24"/>
    </row>
    <row r="12425">
      <c r="B12425" s="24"/>
      <c r="C12425" s="24"/>
      <c r="D12425" s="214"/>
      <c r="E12425" s="24"/>
      <c r="G12425" s="24"/>
    </row>
    <row r="12426">
      <c r="B12426" s="24"/>
      <c r="C12426" s="24"/>
      <c r="D12426" s="214"/>
      <c r="E12426" s="24"/>
      <c r="G12426" s="24"/>
    </row>
    <row r="12427">
      <c r="B12427" s="24"/>
      <c r="C12427" s="24"/>
      <c r="D12427" s="214"/>
      <c r="E12427" s="24"/>
      <c r="G12427" s="24"/>
    </row>
    <row r="12428">
      <c r="B12428" s="24"/>
      <c r="C12428" s="24"/>
      <c r="D12428" s="214"/>
      <c r="E12428" s="24"/>
      <c r="G12428" s="24"/>
    </row>
    <row r="12429">
      <c r="B12429" s="24"/>
      <c r="C12429" s="24"/>
      <c r="D12429" s="214"/>
      <c r="E12429" s="24"/>
      <c r="G12429" s="24"/>
    </row>
    <row r="12430">
      <c r="B12430" s="24"/>
      <c r="C12430" s="24"/>
      <c r="D12430" s="214"/>
      <c r="E12430" s="24"/>
      <c r="G12430" s="24"/>
    </row>
    <row r="12431">
      <c r="B12431" s="24"/>
      <c r="C12431" s="24"/>
      <c r="D12431" s="214"/>
      <c r="E12431" s="24"/>
      <c r="G12431" s="24"/>
    </row>
    <row r="12432">
      <c r="B12432" s="24"/>
      <c r="C12432" s="24"/>
      <c r="D12432" s="214"/>
      <c r="E12432" s="24"/>
      <c r="G12432" s="24"/>
    </row>
    <row r="12433">
      <c r="B12433" s="24"/>
      <c r="C12433" s="24"/>
      <c r="D12433" s="214"/>
      <c r="E12433" s="24"/>
      <c r="G12433" s="24"/>
    </row>
    <row r="12434">
      <c r="B12434" s="24"/>
      <c r="C12434" s="24"/>
      <c r="D12434" s="214"/>
      <c r="E12434" s="24"/>
      <c r="G12434" s="24"/>
    </row>
    <row r="12435">
      <c r="B12435" s="24"/>
      <c r="C12435" s="24"/>
      <c r="D12435" s="214"/>
      <c r="E12435" s="24"/>
      <c r="G12435" s="24"/>
    </row>
    <row r="12436">
      <c r="B12436" s="24"/>
      <c r="C12436" s="24"/>
      <c r="D12436" s="214"/>
      <c r="E12436" s="24"/>
      <c r="G12436" s="24"/>
    </row>
    <row r="12437">
      <c r="B12437" s="24"/>
      <c r="C12437" s="24"/>
      <c r="D12437" s="214"/>
      <c r="E12437" s="24"/>
      <c r="G12437" s="24"/>
    </row>
    <row r="12438">
      <c r="B12438" s="24"/>
      <c r="C12438" s="24"/>
      <c r="D12438" s="214"/>
      <c r="E12438" s="24"/>
      <c r="G12438" s="24"/>
    </row>
    <row r="12439">
      <c r="B12439" s="24"/>
      <c r="C12439" s="24"/>
      <c r="D12439" s="214"/>
      <c r="E12439" s="24"/>
      <c r="G12439" s="24"/>
    </row>
    <row r="12440">
      <c r="B12440" s="24"/>
      <c r="C12440" s="24"/>
      <c r="D12440" s="214"/>
      <c r="E12440" s="24"/>
      <c r="G12440" s="24"/>
    </row>
    <row r="12441">
      <c r="B12441" s="24"/>
      <c r="C12441" s="24"/>
      <c r="D12441" s="214"/>
      <c r="E12441" s="24"/>
      <c r="G12441" s="24"/>
    </row>
    <row r="12442">
      <c r="B12442" s="24"/>
      <c r="C12442" s="24"/>
      <c r="D12442" s="214"/>
      <c r="E12442" s="24"/>
      <c r="G12442" s="24"/>
    </row>
    <row r="12443">
      <c r="B12443" s="24"/>
      <c r="C12443" s="24"/>
      <c r="D12443" s="214"/>
      <c r="E12443" s="24"/>
      <c r="G12443" s="24"/>
    </row>
    <row r="12444">
      <c r="B12444" s="24"/>
      <c r="C12444" s="24"/>
      <c r="D12444" s="214"/>
      <c r="E12444" s="24"/>
      <c r="G12444" s="24"/>
    </row>
    <row r="12445">
      <c r="B12445" s="24"/>
      <c r="C12445" s="24"/>
      <c r="D12445" s="214"/>
      <c r="E12445" s="24"/>
      <c r="G12445" s="24"/>
    </row>
    <row r="12446">
      <c r="B12446" s="24"/>
      <c r="C12446" s="24"/>
      <c r="D12446" s="214"/>
      <c r="E12446" s="24"/>
      <c r="G12446" s="24"/>
    </row>
    <row r="12447">
      <c r="B12447" s="24"/>
      <c r="C12447" s="24"/>
      <c r="D12447" s="214"/>
      <c r="E12447" s="24"/>
      <c r="G12447" s="24"/>
    </row>
    <row r="12448">
      <c r="B12448" s="24"/>
      <c r="C12448" s="24"/>
      <c r="D12448" s="214"/>
      <c r="E12448" s="24"/>
      <c r="G12448" s="24"/>
    </row>
    <row r="12449">
      <c r="B12449" s="24"/>
      <c r="C12449" s="24"/>
      <c r="D12449" s="214"/>
      <c r="E12449" s="24"/>
      <c r="G12449" s="24"/>
    </row>
    <row r="12450">
      <c r="B12450" s="24"/>
      <c r="C12450" s="24"/>
      <c r="D12450" s="214"/>
      <c r="E12450" s="24"/>
      <c r="G12450" s="24"/>
    </row>
    <row r="12451">
      <c r="B12451" s="24"/>
      <c r="C12451" s="24"/>
      <c r="D12451" s="214"/>
      <c r="E12451" s="24"/>
      <c r="G12451" s="24"/>
    </row>
    <row r="12452">
      <c r="B12452" s="24"/>
      <c r="C12452" s="24"/>
      <c r="D12452" s="214"/>
      <c r="E12452" s="24"/>
      <c r="G12452" s="24"/>
    </row>
    <row r="12453">
      <c r="B12453" s="24"/>
      <c r="C12453" s="24"/>
      <c r="D12453" s="214"/>
      <c r="E12453" s="24"/>
      <c r="G12453" s="24"/>
    </row>
    <row r="12454">
      <c r="B12454" s="24"/>
      <c r="C12454" s="24"/>
      <c r="D12454" s="214"/>
      <c r="E12454" s="24"/>
      <c r="G12454" s="24"/>
    </row>
    <row r="12455">
      <c r="B12455" s="24"/>
      <c r="C12455" s="24"/>
      <c r="D12455" s="214"/>
      <c r="E12455" s="24"/>
      <c r="G12455" s="24"/>
    </row>
    <row r="12456">
      <c r="B12456" s="24"/>
      <c r="C12456" s="24"/>
      <c r="D12456" s="214"/>
      <c r="E12456" s="24"/>
      <c r="G12456" s="24"/>
    </row>
    <row r="12457">
      <c r="B12457" s="24"/>
      <c r="C12457" s="24"/>
      <c r="D12457" s="214"/>
      <c r="E12457" s="24"/>
      <c r="G12457" s="24"/>
    </row>
    <row r="12458">
      <c r="B12458" s="24"/>
      <c r="C12458" s="24"/>
      <c r="D12458" s="214"/>
      <c r="E12458" s="24"/>
      <c r="G12458" s="24"/>
    </row>
    <row r="12459">
      <c r="B12459" s="24"/>
      <c r="C12459" s="24"/>
      <c r="D12459" s="214"/>
      <c r="E12459" s="24"/>
      <c r="G12459" s="24"/>
    </row>
    <row r="12460">
      <c r="B12460" s="24"/>
      <c r="C12460" s="24"/>
      <c r="D12460" s="214"/>
      <c r="E12460" s="24"/>
      <c r="G12460" s="24"/>
    </row>
    <row r="12461">
      <c r="B12461" s="24"/>
      <c r="C12461" s="24"/>
      <c r="D12461" s="214"/>
      <c r="E12461" s="24"/>
      <c r="G12461" s="24"/>
    </row>
    <row r="12462">
      <c r="B12462" s="24"/>
      <c r="C12462" s="24"/>
      <c r="D12462" s="214"/>
      <c r="E12462" s="24"/>
      <c r="G12462" s="24"/>
    </row>
    <row r="12463">
      <c r="B12463" s="24"/>
      <c r="C12463" s="24"/>
      <c r="D12463" s="214"/>
      <c r="E12463" s="24"/>
      <c r="G12463" s="24"/>
    </row>
    <row r="12464">
      <c r="B12464" s="24"/>
      <c r="C12464" s="24"/>
      <c r="D12464" s="214"/>
      <c r="E12464" s="24"/>
      <c r="G12464" s="24"/>
    </row>
    <row r="12465">
      <c r="B12465" s="24"/>
      <c r="C12465" s="24"/>
      <c r="D12465" s="214"/>
      <c r="E12465" s="24"/>
      <c r="G12465" s="24"/>
    </row>
    <row r="12466">
      <c r="B12466" s="24"/>
      <c r="C12466" s="24"/>
      <c r="D12466" s="214"/>
      <c r="E12466" s="24"/>
      <c r="G12466" s="24"/>
    </row>
    <row r="12467">
      <c r="B12467" s="24"/>
      <c r="C12467" s="24"/>
      <c r="D12467" s="214"/>
      <c r="E12467" s="24"/>
      <c r="G12467" s="24"/>
    </row>
    <row r="12468">
      <c r="B12468" s="24"/>
      <c r="C12468" s="24"/>
      <c r="D12468" s="214"/>
      <c r="E12468" s="24"/>
      <c r="G12468" s="24"/>
    </row>
    <row r="12469">
      <c r="B12469" s="24"/>
      <c r="C12469" s="24"/>
      <c r="D12469" s="214"/>
      <c r="E12469" s="24"/>
      <c r="G12469" s="24"/>
    </row>
    <row r="12470">
      <c r="B12470" s="24"/>
      <c r="C12470" s="24"/>
      <c r="D12470" s="214"/>
      <c r="E12470" s="24"/>
      <c r="G12470" s="24"/>
    </row>
    <row r="12471">
      <c r="B12471" s="24"/>
      <c r="C12471" s="24"/>
      <c r="D12471" s="214"/>
      <c r="E12471" s="24"/>
      <c r="G12471" s="24"/>
    </row>
    <row r="12472">
      <c r="B12472" s="24"/>
      <c r="C12472" s="24"/>
      <c r="D12472" s="214"/>
      <c r="E12472" s="24"/>
      <c r="G12472" s="24"/>
    </row>
    <row r="12473">
      <c r="B12473" s="24"/>
      <c r="C12473" s="24"/>
      <c r="D12473" s="214"/>
      <c r="E12473" s="24"/>
      <c r="G12473" s="24"/>
    </row>
    <row r="12474">
      <c r="B12474" s="24"/>
      <c r="C12474" s="24"/>
      <c r="D12474" s="214"/>
      <c r="E12474" s="24"/>
      <c r="G12474" s="24"/>
    </row>
    <row r="12475">
      <c r="B12475" s="24"/>
      <c r="C12475" s="24"/>
      <c r="D12475" s="214"/>
      <c r="E12475" s="24"/>
      <c r="G12475" s="24"/>
    </row>
    <row r="12476">
      <c r="B12476" s="24"/>
      <c r="C12476" s="24"/>
      <c r="D12476" s="214"/>
      <c r="E12476" s="24"/>
      <c r="G12476" s="24"/>
    </row>
    <row r="12477">
      <c r="B12477" s="24"/>
      <c r="C12477" s="24"/>
      <c r="D12477" s="214"/>
      <c r="E12477" s="24"/>
      <c r="G12477" s="24"/>
    </row>
    <row r="12478">
      <c r="B12478" s="24"/>
      <c r="C12478" s="24"/>
      <c r="D12478" s="214"/>
      <c r="E12478" s="24"/>
      <c r="G12478" s="24"/>
    </row>
    <row r="12479">
      <c r="B12479" s="24"/>
      <c r="C12479" s="24"/>
      <c r="D12479" s="214"/>
      <c r="E12479" s="24"/>
      <c r="G12479" s="24"/>
    </row>
    <row r="12480">
      <c r="B12480" s="24"/>
      <c r="C12480" s="24"/>
      <c r="D12480" s="214"/>
      <c r="E12480" s="24"/>
      <c r="G12480" s="24"/>
    </row>
    <row r="12481">
      <c r="B12481" s="24"/>
      <c r="C12481" s="24"/>
      <c r="D12481" s="214"/>
      <c r="E12481" s="24"/>
      <c r="G12481" s="24"/>
    </row>
    <row r="12482">
      <c r="B12482" s="24"/>
      <c r="C12482" s="24"/>
      <c r="D12482" s="214"/>
      <c r="E12482" s="24"/>
      <c r="G12482" s="24"/>
    </row>
    <row r="12483">
      <c r="B12483" s="24"/>
      <c r="C12483" s="24"/>
      <c r="D12483" s="214"/>
      <c r="E12483" s="24"/>
      <c r="G12483" s="24"/>
    </row>
    <row r="12484">
      <c r="B12484" s="24"/>
      <c r="C12484" s="24"/>
      <c r="D12484" s="214"/>
      <c r="E12484" s="24"/>
      <c r="G12484" s="24"/>
    </row>
    <row r="12485">
      <c r="B12485" s="24"/>
      <c r="C12485" s="24"/>
      <c r="D12485" s="214"/>
      <c r="E12485" s="24"/>
      <c r="G12485" s="24"/>
    </row>
    <row r="12486">
      <c r="B12486" s="24"/>
      <c r="C12486" s="24"/>
      <c r="D12486" s="214"/>
      <c r="E12486" s="24"/>
      <c r="G12486" s="24"/>
    </row>
    <row r="12487">
      <c r="B12487" s="24"/>
      <c r="C12487" s="24"/>
      <c r="D12487" s="214"/>
      <c r="E12487" s="24"/>
      <c r="G12487" s="24"/>
    </row>
    <row r="12488">
      <c r="B12488" s="24"/>
      <c r="C12488" s="24"/>
      <c r="D12488" s="214"/>
      <c r="E12488" s="24"/>
      <c r="G12488" s="24"/>
    </row>
    <row r="12489">
      <c r="B12489" s="24"/>
      <c r="C12489" s="24"/>
      <c r="D12489" s="214"/>
      <c r="E12489" s="24"/>
      <c r="G12489" s="24"/>
    </row>
    <row r="12490">
      <c r="B12490" s="24"/>
      <c r="C12490" s="24"/>
      <c r="D12490" s="214"/>
      <c r="E12490" s="24"/>
      <c r="G12490" s="24"/>
    </row>
    <row r="12491">
      <c r="B12491" s="24"/>
      <c r="C12491" s="24"/>
      <c r="D12491" s="214"/>
      <c r="E12491" s="24"/>
      <c r="G12491" s="24"/>
    </row>
    <row r="12492">
      <c r="B12492" s="24"/>
      <c r="C12492" s="24"/>
      <c r="D12492" s="214"/>
      <c r="E12492" s="24"/>
      <c r="G12492" s="24"/>
    </row>
    <row r="12493">
      <c r="B12493" s="24"/>
      <c r="C12493" s="24"/>
      <c r="D12493" s="214"/>
      <c r="E12493" s="24"/>
      <c r="G12493" s="24"/>
    </row>
    <row r="12494">
      <c r="B12494" s="24"/>
      <c r="C12494" s="24"/>
      <c r="D12494" s="214"/>
      <c r="E12494" s="24"/>
      <c r="G12494" s="24"/>
    </row>
    <row r="12495">
      <c r="B12495" s="24"/>
      <c r="C12495" s="24"/>
      <c r="D12495" s="214"/>
      <c r="E12495" s="24"/>
      <c r="G12495" s="24"/>
    </row>
    <row r="12496">
      <c r="B12496" s="24"/>
      <c r="C12496" s="24"/>
      <c r="D12496" s="214"/>
      <c r="E12496" s="24"/>
      <c r="G12496" s="24"/>
    </row>
    <row r="12497">
      <c r="B12497" s="24"/>
      <c r="C12497" s="24"/>
      <c r="D12497" s="214"/>
      <c r="E12497" s="24"/>
      <c r="G12497" s="24"/>
    </row>
    <row r="12498">
      <c r="B12498" s="24"/>
      <c r="C12498" s="24"/>
      <c r="D12498" s="214"/>
      <c r="E12498" s="24"/>
      <c r="G12498" s="24"/>
    </row>
    <row r="12499">
      <c r="B12499" s="24"/>
      <c r="C12499" s="24"/>
      <c r="D12499" s="214"/>
      <c r="E12499" s="24"/>
      <c r="G12499" s="24"/>
    </row>
    <row r="12500">
      <c r="B12500" s="24"/>
      <c r="C12500" s="24"/>
      <c r="D12500" s="214"/>
      <c r="E12500" s="24"/>
      <c r="G12500" s="24"/>
    </row>
    <row r="12501">
      <c r="B12501" s="24"/>
      <c r="C12501" s="24"/>
      <c r="D12501" s="214"/>
      <c r="E12501" s="24"/>
      <c r="G12501" s="24"/>
    </row>
    <row r="12502">
      <c r="B12502" s="24"/>
      <c r="C12502" s="24"/>
      <c r="D12502" s="214"/>
      <c r="E12502" s="24"/>
      <c r="G12502" s="24"/>
    </row>
    <row r="12503">
      <c r="B12503" s="24"/>
      <c r="C12503" s="24"/>
      <c r="D12503" s="214"/>
      <c r="E12503" s="24"/>
      <c r="G12503" s="24"/>
    </row>
    <row r="12504">
      <c r="B12504" s="24"/>
      <c r="C12504" s="24"/>
      <c r="D12504" s="214"/>
      <c r="E12504" s="24"/>
      <c r="G12504" s="24"/>
    </row>
    <row r="12505">
      <c r="B12505" s="24"/>
      <c r="C12505" s="24"/>
      <c r="D12505" s="214"/>
      <c r="E12505" s="24"/>
      <c r="G12505" s="24"/>
    </row>
    <row r="12506">
      <c r="B12506" s="24"/>
      <c r="C12506" s="24"/>
      <c r="D12506" s="214"/>
      <c r="E12506" s="24"/>
      <c r="G12506" s="24"/>
    </row>
    <row r="12507">
      <c r="B12507" s="24"/>
      <c r="C12507" s="24"/>
      <c r="D12507" s="214"/>
      <c r="E12507" s="24"/>
      <c r="G12507" s="24"/>
    </row>
    <row r="12508">
      <c r="B12508" s="24"/>
      <c r="C12508" s="24"/>
      <c r="D12508" s="214"/>
      <c r="E12508" s="24"/>
      <c r="G12508" s="24"/>
    </row>
    <row r="12509">
      <c r="B12509" s="24"/>
      <c r="C12509" s="24"/>
      <c r="D12509" s="214"/>
      <c r="E12509" s="24"/>
      <c r="G12509" s="24"/>
    </row>
    <row r="12510">
      <c r="B12510" s="24"/>
      <c r="C12510" s="24"/>
      <c r="D12510" s="214"/>
      <c r="E12510" s="24"/>
      <c r="G12510" s="24"/>
    </row>
    <row r="12511">
      <c r="B12511" s="24"/>
      <c r="C12511" s="24"/>
      <c r="D12511" s="214"/>
      <c r="E12511" s="24"/>
      <c r="G12511" s="24"/>
    </row>
    <row r="12512">
      <c r="B12512" s="24"/>
      <c r="C12512" s="24"/>
      <c r="D12512" s="214"/>
      <c r="E12512" s="24"/>
      <c r="G12512" s="24"/>
    </row>
    <row r="12513">
      <c r="B12513" s="24"/>
      <c r="C12513" s="24"/>
      <c r="D12513" s="214"/>
      <c r="E12513" s="24"/>
      <c r="G12513" s="24"/>
    </row>
    <row r="12514">
      <c r="B12514" s="24"/>
      <c r="C12514" s="24"/>
      <c r="D12514" s="214"/>
      <c r="E12514" s="24"/>
      <c r="G12514" s="24"/>
    </row>
    <row r="12515">
      <c r="B12515" s="24"/>
      <c r="C12515" s="24"/>
      <c r="D12515" s="214"/>
      <c r="E12515" s="24"/>
      <c r="G12515" s="24"/>
    </row>
    <row r="12516">
      <c r="B12516" s="24"/>
      <c r="C12516" s="24"/>
      <c r="D12516" s="214"/>
      <c r="E12516" s="24"/>
      <c r="G12516" s="24"/>
    </row>
    <row r="12517">
      <c r="B12517" s="24"/>
      <c r="C12517" s="24"/>
      <c r="D12517" s="214"/>
      <c r="E12517" s="24"/>
      <c r="G12517" s="24"/>
    </row>
    <row r="12518">
      <c r="B12518" s="24"/>
      <c r="C12518" s="24"/>
      <c r="D12518" s="214"/>
      <c r="E12518" s="24"/>
      <c r="G12518" s="24"/>
    </row>
    <row r="12519">
      <c r="B12519" s="24"/>
      <c r="C12519" s="24"/>
      <c r="D12519" s="214"/>
      <c r="E12519" s="24"/>
      <c r="G12519" s="24"/>
    </row>
    <row r="12520">
      <c r="B12520" s="24"/>
      <c r="C12520" s="24"/>
      <c r="D12520" s="214"/>
      <c r="E12520" s="24"/>
      <c r="G12520" s="24"/>
    </row>
    <row r="12521">
      <c r="B12521" s="24"/>
      <c r="C12521" s="24"/>
      <c r="D12521" s="214"/>
      <c r="E12521" s="24"/>
      <c r="G12521" s="24"/>
    </row>
    <row r="12522">
      <c r="B12522" s="24"/>
      <c r="C12522" s="24"/>
      <c r="D12522" s="214"/>
      <c r="E12522" s="24"/>
      <c r="G12522" s="24"/>
    </row>
    <row r="12523">
      <c r="B12523" s="24"/>
      <c r="C12523" s="24"/>
      <c r="D12523" s="214"/>
      <c r="E12523" s="24"/>
      <c r="G12523" s="24"/>
    </row>
    <row r="12524">
      <c r="B12524" s="24"/>
      <c r="C12524" s="24"/>
      <c r="D12524" s="214"/>
      <c r="E12524" s="24"/>
      <c r="G12524" s="24"/>
    </row>
    <row r="12525">
      <c r="B12525" s="24"/>
      <c r="C12525" s="24"/>
      <c r="D12525" s="214"/>
      <c r="E12525" s="24"/>
      <c r="G12525" s="24"/>
    </row>
    <row r="12526">
      <c r="B12526" s="24"/>
      <c r="C12526" s="24"/>
      <c r="D12526" s="214"/>
      <c r="E12526" s="24"/>
      <c r="G12526" s="24"/>
    </row>
    <row r="12527">
      <c r="B12527" s="24"/>
      <c r="C12527" s="24"/>
      <c r="D12527" s="214"/>
      <c r="E12527" s="24"/>
      <c r="G12527" s="24"/>
    </row>
    <row r="12528">
      <c r="B12528" s="24"/>
      <c r="C12528" s="24"/>
      <c r="D12528" s="214"/>
      <c r="E12528" s="24"/>
      <c r="G12528" s="24"/>
    </row>
    <row r="12529">
      <c r="B12529" s="24"/>
      <c r="C12529" s="24"/>
      <c r="D12529" s="214"/>
      <c r="E12529" s="24"/>
      <c r="G12529" s="24"/>
    </row>
    <row r="12530">
      <c r="B12530" s="24"/>
      <c r="C12530" s="24"/>
      <c r="D12530" s="214"/>
      <c r="E12530" s="24"/>
      <c r="G12530" s="24"/>
    </row>
    <row r="12531">
      <c r="B12531" s="24"/>
      <c r="C12531" s="24"/>
      <c r="D12531" s="214"/>
      <c r="E12531" s="24"/>
      <c r="G12531" s="24"/>
    </row>
    <row r="12532">
      <c r="B12532" s="24"/>
      <c r="C12532" s="24"/>
      <c r="D12532" s="214"/>
      <c r="E12532" s="24"/>
      <c r="G12532" s="24"/>
    </row>
    <row r="12533">
      <c r="B12533" s="24"/>
      <c r="C12533" s="24"/>
      <c r="D12533" s="214"/>
      <c r="E12533" s="24"/>
      <c r="G12533" s="24"/>
    </row>
    <row r="12534">
      <c r="B12534" s="24"/>
      <c r="C12534" s="24"/>
      <c r="D12534" s="214"/>
      <c r="E12534" s="24"/>
      <c r="G12534" s="24"/>
    </row>
    <row r="12535">
      <c r="B12535" s="24"/>
      <c r="C12535" s="24"/>
      <c r="D12535" s="214"/>
      <c r="E12535" s="24"/>
      <c r="G12535" s="24"/>
    </row>
    <row r="12536">
      <c r="B12536" s="24"/>
      <c r="C12536" s="24"/>
      <c r="D12536" s="214"/>
      <c r="E12536" s="24"/>
      <c r="G12536" s="24"/>
    </row>
    <row r="12537">
      <c r="B12537" s="24"/>
      <c r="C12537" s="24"/>
      <c r="D12537" s="214"/>
      <c r="E12537" s="24"/>
      <c r="G12537" s="24"/>
    </row>
    <row r="12538">
      <c r="B12538" s="24"/>
      <c r="C12538" s="24"/>
      <c r="D12538" s="214"/>
      <c r="E12538" s="24"/>
      <c r="G12538" s="24"/>
    </row>
    <row r="12539">
      <c r="B12539" s="24"/>
      <c r="C12539" s="24"/>
      <c r="D12539" s="214"/>
      <c r="E12539" s="24"/>
      <c r="G12539" s="24"/>
    </row>
    <row r="12540">
      <c r="B12540" s="24"/>
      <c r="C12540" s="24"/>
      <c r="D12540" s="214"/>
      <c r="E12540" s="24"/>
      <c r="G12540" s="24"/>
    </row>
    <row r="12541">
      <c r="B12541" s="24"/>
      <c r="C12541" s="24"/>
      <c r="D12541" s="214"/>
      <c r="E12541" s="24"/>
      <c r="G12541" s="24"/>
    </row>
    <row r="12542">
      <c r="B12542" s="24"/>
      <c r="C12542" s="24"/>
      <c r="D12542" s="214"/>
      <c r="E12542" s="24"/>
      <c r="G12542" s="24"/>
    </row>
    <row r="12543">
      <c r="B12543" s="24"/>
      <c r="C12543" s="24"/>
      <c r="D12543" s="214"/>
      <c r="E12543" s="24"/>
      <c r="G12543" s="24"/>
    </row>
    <row r="12544">
      <c r="B12544" s="24"/>
      <c r="C12544" s="24"/>
      <c r="D12544" s="214"/>
      <c r="E12544" s="24"/>
      <c r="G12544" s="24"/>
    </row>
    <row r="12545">
      <c r="B12545" s="24"/>
      <c r="C12545" s="24"/>
      <c r="D12545" s="214"/>
      <c r="E12545" s="24"/>
      <c r="G12545" s="24"/>
    </row>
    <row r="12546">
      <c r="B12546" s="24"/>
      <c r="C12546" s="24"/>
      <c r="D12546" s="214"/>
      <c r="E12546" s="24"/>
      <c r="G12546" s="24"/>
    </row>
    <row r="12547">
      <c r="B12547" s="24"/>
      <c r="C12547" s="24"/>
      <c r="D12547" s="214"/>
      <c r="E12547" s="24"/>
      <c r="G12547" s="24"/>
    </row>
    <row r="12548">
      <c r="B12548" s="24"/>
      <c r="C12548" s="24"/>
      <c r="D12548" s="214"/>
      <c r="E12548" s="24"/>
      <c r="G12548" s="24"/>
    </row>
    <row r="12549">
      <c r="B12549" s="24"/>
      <c r="C12549" s="24"/>
      <c r="D12549" s="214"/>
      <c r="E12549" s="24"/>
      <c r="G12549" s="24"/>
    </row>
    <row r="12550">
      <c r="B12550" s="24"/>
      <c r="C12550" s="24"/>
      <c r="D12550" s="214"/>
      <c r="E12550" s="24"/>
      <c r="G12550" s="24"/>
    </row>
    <row r="12551">
      <c r="B12551" s="24"/>
      <c r="C12551" s="24"/>
      <c r="D12551" s="214"/>
      <c r="E12551" s="24"/>
      <c r="G12551" s="24"/>
    </row>
    <row r="12552">
      <c r="B12552" s="24"/>
      <c r="C12552" s="24"/>
      <c r="D12552" s="214"/>
      <c r="E12552" s="24"/>
      <c r="G12552" s="24"/>
    </row>
    <row r="12553">
      <c r="B12553" s="24"/>
      <c r="C12553" s="24"/>
      <c r="D12553" s="214"/>
      <c r="E12553" s="24"/>
      <c r="G12553" s="24"/>
    </row>
    <row r="12554">
      <c r="B12554" s="24"/>
      <c r="C12554" s="24"/>
      <c r="D12554" s="214"/>
      <c r="E12554" s="24"/>
      <c r="G12554" s="24"/>
    </row>
    <row r="12555">
      <c r="B12555" s="24"/>
      <c r="C12555" s="24"/>
      <c r="D12555" s="214"/>
      <c r="E12555" s="24"/>
      <c r="G12555" s="24"/>
    </row>
    <row r="12556">
      <c r="B12556" s="24"/>
      <c r="C12556" s="24"/>
      <c r="D12556" s="214"/>
      <c r="E12556" s="24"/>
      <c r="G12556" s="24"/>
    </row>
    <row r="12557">
      <c r="B12557" s="24"/>
      <c r="C12557" s="24"/>
      <c r="D12557" s="214"/>
      <c r="E12557" s="24"/>
      <c r="G12557" s="24"/>
    </row>
    <row r="12558">
      <c r="B12558" s="24"/>
      <c r="C12558" s="24"/>
      <c r="D12558" s="214"/>
      <c r="E12558" s="24"/>
      <c r="G12558" s="24"/>
    </row>
    <row r="12559">
      <c r="B12559" s="24"/>
      <c r="C12559" s="24"/>
      <c r="D12559" s="214"/>
      <c r="E12559" s="24"/>
      <c r="G12559" s="24"/>
    </row>
    <row r="12560">
      <c r="B12560" s="24"/>
      <c r="C12560" s="24"/>
      <c r="D12560" s="214"/>
      <c r="E12560" s="24"/>
      <c r="G12560" s="24"/>
    </row>
    <row r="12561">
      <c r="B12561" s="24"/>
      <c r="C12561" s="24"/>
      <c r="D12561" s="214"/>
      <c r="E12561" s="24"/>
      <c r="G12561" s="24"/>
    </row>
    <row r="12562">
      <c r="B12562" s="24"/>
      <c r="C12562" s="24"/>
      <c r="D12562" s="214"/>
      <c r="E12562" s="24"/>
      <c r="G12562" s="24"/>
    </row>
    <row r="12563">
      <c r="B12563" s="24"/>
      <c r="C12563" s="24"/>
      <c r="D12563" s="214"/>
      <c r="E12563" s="24"/>
      <c r="G12563" s="24"/>
    </row>
    <row r="12564">
      <c r="B12564" s="24"/>
      <c r="C12564" s="24"/>
      <c r="D12564" s="214"/>
      <c r="E12564" s="24"/>
      <c r="G12564" s="24"/>
    </row>
    <row r="12565">
      <c r="B12565" s="24"/>
      <c r="C12565" s="24"/>
      <c r="D12565" s="214"/>
      <c r="E12565" s="24"/>
      <c r="G12565" s="24"/>
    </row>
    <row r="12566">
      <c r="B12566" s="24"/>
      <c r="C12566" s="24"/>
      <c r="D12566" s="214"/>
      <c r="E12566" s="24"/>
      <c r="G12566" s="24"/>
    </row>
    <row r="12567">
      <c r="B12567" s="24"/>
      <c r="C12567" s="24"/>
      <c r="D12567" s="214"/>
      <c r="E12567" s="24"/>
      <c r="G12567" s="24"/>
    </row>
    <row r="12568">
      <c r="B12568" s="24"/>
      <c r="C12568" s="24"/>
      <c r="D12568" s="214"/>
      <c r="E12568" s="24"/>
      <c r="G12568" s="24"/>
    </row>
    <row r="12569">
      <c r="B12569" s="24"/>
      <c r="C12569" s="24"/>
      <c r="D12569" s="214"/>
      <c r="E12569" s="24"/>
      <c r="G12569" s="24"/>
    </row>
    <row r="12570">
      <c r="B12570" s="24"/>
      <c r="C12570" s="24"/>
      <c r="D12570" s="214"/>
      <c r="E12570" s="24"/>
      <c r="G12570" s="24"/>
    </row>
    <row r="12571">
      <c r="B12571" s="24"/>
      <c r="C12571" s="24"/>
      <c r="D12571" s="214"/>
      <c r="E12571" s="24"/>
      <c r="G12571" s="24"/>
    </row>
    <row r="12572">
      <c r="B12572" s="24"/>
      <c r="C12572" s="24"/>
      <c r="D12572" s="214"/>
      <c r="E12572" s="24"/>
      <c r="G12572" s="24"/>
    </row>
    <row r="12573">
      <c r="B12573" s="24"/>
      <c r="C12573" s="24"/>
      <c r="D12573" s="214"/>
      <c r="E12573" s="24"/>
      <c r="G12573" s="24"/>
    </row>
    <row r="12574">
      <c r="B12574" s="24"/>
      <c r="C12574" s="24"/>
      <c r="D12574" s="214"/>
      <c r="E12574" s="24"/>
      <c r="G12574" s="24"/>
    </row>
    <row r="12575">
      <c r="B12575" s="24"/>
      <c r="C12575" s="24"/>
      <c r="D12575" s="214"/>
      <c r="E12575" s="24"/>
      <c r="G12575" s="24"/>
    </row>
    <row r="12576">
      <c r="B12576" s="24"/>
      <c r="C12576" s="24"/>
      <c r="D12576" s="214"/>
      <c r="E12576" s="24"/>
      <c r="G12576" s="24"/>
    </row>
    <row r="12577">
      <c r="B12577" s="24"/>
      <c r="C12577" s="24"/>
      <c r="D12577" s="214"/>
      <c r="E12577" s="24"/>
      <c r="G12577" s="24"/>
    </row>
    <row r="12578">
      <c r="B12578" s="24"/>
      <c r="C12578" s="24"/>
      <c r="D12578" s="214"/>
      <c r="E12578" s="24"/>
      <c r="G12578" s="24"/>
    </row>
    <row r="12579">
      <c r="B12579" s="24"/>
      <c r="C12579" s="24"/>
      <c r="D12579" s="214"/>
      <c r="E12579" s="24"/>
      <c r="G12579" s="24"/>
    </row>
    <row r="12580">
      <c r="B12580" s="24"/>
      <c r="C12580" s="24"/>
      <c r="D12580" s="214"/>
      <c r="E12580" s="24"/>
      <c r="G12580" s="24"/>
    </row>
    <row r="12581">
      <c r="B12581" s="24"/>
      <c r="C12581" s="24"/>
      <c r="D12581" s="214"/>
      <c r="E12581" s="24"/>
      <c r="G12581" s="24"/>
    </row>
    <row r="12582">
      <c r="B12582" s="24"/>
      <c r="C12582" s="24"/>
      <c r="D12582" s="214"/>
      <c r="E12582" s="24"/>
      <c r="G12582" s="24"/>
    </row>
    <row r="12583">
      <c r="B12583" s="24"/>
      <c r="C12583" s="24"/>
      <c r="D12583" s="214"/>
      <c r="E12583" s="24"/>
      <c r="G12583" s="24"/>
    </row>
    <row r="12584">
      <c r="B12584" s="24"/>
      <c r="C12584" s="24"/>
      <c r="D12584" s="214"/>
      <c r="E12584" s="24"/>
      <c r="G12584" s="24"/>
    </row>
    <row r="12585">
      <c r="B12585" s="24"/>
      <c r="C12585" s="24"/>
      <c r="D12585" s="214"/>
      <c r="E12585" s="24"/>
      <c r="G12585" s="24"/>
    </row>
    <row r="12586">
      <c r="B12586" s="24"/>
      <c r="C12586" s="24"/>
      <c r="D12586" s="214"/>
      <c r="E12586" s="24"/>
      <c r="G12586" s="24"/>
    </row>
    <row r="12587">
      <c r="B12587" s="24"/>
      <c r="C12587" s="24"/>
      <c r="D12587" s="214"/>
      <c r="E12587" s="24"/>
      <c r="G12587" s="24"/>
    </row>
    <row r="12588">
      <c r="B12588" s="24"/>
      <c r="C12588" s="24"/>
      <c r="D12588" s="214"/>
      <c r="E12588" s="24"/>
      <c r="G12588" s="24"/>
    </row>
    <row r="12589">
      <c r="B12589" s="24"/>
      <c r="C12589" s="24"/>
      <c r="D12589" s="214"/>
      <c r="E12589" s="24"/>
      <c r="G12589" s="24"/>
    </row>
    <row r="12590">
      <c r="B12590" s="24"/>
      <c r="C12590" s="24"/>
      <c r="D12590" s="214"/>
      <c r="E12590" s="24"/>
      <c r="G12590" s="24"/>
    </row>
    <row r="12591">
      <c r="B12591" s="24"/>
      <c r="C12591" s="24"/>
      <c r="D12591" s="214"/>
      <c r="E12591" s="24"/>
      <c r="G12591" s="24"/>
    </row>
    <row r="12592">
      <c r="B12592" s="24"/>
      <c r="C12592" s="24"/>
      <c r="D12592" s="214"/>
      <c r="E12592" s="24"/>
      <c r="G12592" s="24"/>
    </row>
    <row r="12593">
      <c r="B12593" s="24"/>
      <c r="C12593" s="24"/>
      <c r="D12593" s="214"/>
      <c r="E12593" s="24"/>
      <c r="G12593" s="24"/>
    </row>
    <row r="12594">
      <c r="B12594" s="24"/>
      <c r="C12594" s="24"/>
      <c r="D12594" s="214"/>
      <c r="E12594" s="24"/>
      <c r="G12594" s="24"/>
    </row>
    <row r="12595">
      <c r="B12595" s="24"/>
      <c r="C12595" s="24"/>
      <c r="D12595" s="214"/>
      <c r="E12595" s="24"/>
      <c r="G12595" s="24"/>
    </row>
    <row r="12596">
      <c r="B12596" s="24"/>
      <c r="C12596" s="24"/>
      <c r="D12596" s="214"/>
      <c r="E12596" s="24"/>
      <c r="G12596" s="24"/>
    </row>
    <row r="12597">
      <c r="B12597" s="24"/>
      <c r="C12597" s="24"/>
      <c r="D12597" s="214"/>
      <c r="E12597" s="24"/>
      <c r="G12597" s="24"/>
    </row>
    <row r="12598">
      <c r="B12598" s="24"/>
      <c r="C12598" s="24"/>
      <c r="D12598" s="214"/>
      <c r="E12598" s="24"/>
      <c r="G12598" s="24"/>
    </row>
    <row r="12599">
      <c r="B12599" s="24"/>
      <c r="C12599" s="24"/>
      <c r="D12599" s="214"/>
      <c r="E12599" s="24"/>
      <c r="G12599" s="24"/>
    </row>
    <row r="12600">
      <c r="B12600" s="24"/>
      <c r="C12600" s="24"/>
      <c r="D12600" s="214"/>
      <c r="E12600" s="24"/>
      <c r="G12600" s="24"/>
    </row>
    <row r="12601">
      <c r="B12601" s="24"/>
      <c r="C12601" s="24"/>
      <c r="D12601" s="214"/>
      <c r="E12601" s="24"/>
      <c r="G12601" s="24"/>
    </row>
    <row r="12602">
      <c r="B12602" s="24"/>
      <c r="C12602" s="24"/>
      <c r="D12602" s="214"/>
      <c r="E12602" s="24"/>
      <c r="G12602" s="24"/>
    </row>
    <row r="12603">
      <c r="B12603" s="24"/>
      <c r="C12603" s="24"/>
      <c r="D12603" s="214"/>
      <c r="E12603" s="24"/>
      <c r="G12603" s="24"/>
    </row>
    <row r="12604">
      <c r="B12604" s="24"/>
      <c r="C12604" s="24"/>
      <c r="D12604" s="214"/>
      <c r="E12604" s="24"/>
      <c r="G12604" s="24"/>
    </row>
    <row r="12605">
      <c r="B12605" s="24"/>
      <c r="C12605" s="24"/>
      <c r="D12605" s="214"/>
      <c r="E12605" s="24"/>
      <c r="G12605" s="24"/>
    </row>
    <row r="12606">
      <c r="B12606" s="24"/>
      <c r="C12606" s="24"/>
      <c r="D12606" s="214"/>
      <c r="E12606" s="24"/>
      <c r="G12606" s="24"/>
    </row>
    <row r="12607">
      <c r="B12607" s="24"/>
      <c r="C12607" s="24"/>
      <c r="D12607" s="214"/>
      <c r="E12607" s="24"/>
      <c r="G12607" s="24"/>
    </row>
    <row r="12608">
      <c r="B12608" s="24"/>
      <c r="C12608" s="24"/>
      <c r="D12608" s="214"/>
      <c r="E12608" s="24"/>
      <c r="G12608" s="24"/>
    </row>
    <row r="12609">
      <c r="B12609" s="24"/>
      <c r="C12609" s="24"/>
      <c r="D12609" s="214"/>
      <c r="E12609" s="24"/>
      <c r="G12609" s="24"/>
    </row>
    <row r="12610">
      <c r="B12610" s="24"/>
      <c r="C12610" s="24"/>
      <c r="D12610" s="214"/>
      <c r="E12610" s="24"/>
      <c r="G12610" s="24"/>
    </row>
    <row r="12611">
      <c r="B12611" s="24"/>
      <c r="C12611" s="24"/>
      <c r="D12611" s="214"/>
      <c r="E12611" s="24"/>
      <c r="G12611" s="24"/>
    </row>
    <row r="12612">
      <c r="B12612" s="24"/>
      <c r="C12612" s="24"/>
      <c r="D12612" s="214"/>
      <c r="E12612" s="24"/>
      <c r="G12612" s="24"/>
    </row>
    <row r="12613">
      <c r="B12613" s="24"/>
      <c r="C12613" s="24"/>
      <c r="D12613" s="214"/>
      <c r="E12613" s="24"/>
      <c r="G12613" s="24"/>
    </row>
    <row r="12614">
      <c r="B12614" s="24"/>
      <c r="C12614" s="24"/>
      <c r="D12614" s="214"/>
      <c r="E12614" s="24"/>
      <c r="G12614" s="24"/>
    </row>
    <row r="12615">
      <c r="B12615" s="24"/>
      <c r="C12615" s="24"/>
      <c r="D12615" s="214"/>
      <c r="E12615" s="24"/>
      <c r="G12615" s="24"/>
    </row>
    <row r="12616">
      <c r="B12616" s="24"/>
      <c r="C12616" s="24"/>
      <c r="D12616" s="214"/>
      <c r="E12616" s="24"/>
      <c r="G12616" s="24"/>
    </row>
    <row r="12617">
      <c r="B12617" s="24"/>
      <c r="C12617" s="24"/>
      <c r="D12617" s="214"/>
      <c r="E12617" s="24"/>
      <c r="G12617" s="24"/>
    </row>
    <row r="12618">
      <c r="B12618" s="24"/>
      <c r="C12618" s="24"/>
      <c r="D12618" s="214"/>
      <c r="E12618" s="24"/>
      <c r="G12618" s="24"/>
    </row>
    <row r="12619">
      <c r="B12619" s="24"/>
      <c r="C12619" s="24"/>
      <c r="D12619" s="214"/>
      <c r="E12619" s="24"/>
      <c r="G12619" s="24"/>
    </row>
    <row r="12620">
      <c r="B12620" s="24"/>
      <c r="C12620" s="24"/>
      <c r="D12620" s="214"/>
      <c r="E12620" s="24"/>
      <c r="G12620" s="24"/>
    </row>
    <row r="12621">
      <c r="B12621" s="24"/>
      <c r="C12621" s="24"/>
      <c r="D12621" s="214"/>
      <c r="E12621" s="24"/>
      <c r="G12621" s="24"/>
    </row>
    <row r="12622">
      <c r="B12622" s="24"/>
      <c r="C12622" s="24"/>
      <c r="D12622" s="214"/>
      <c r="E12622" s="24"/>
      <c r="G12622" s="24"/>
    </row>
    <row r="12623">
      <c r="B12623" s="24"/>
      <c r="C12623" s="24"/>
      <c r="D12623" s="214"/>
      <c r="E12623" s="24"/>
      <c r="G12623" s="24"/>
    </row>
    <row r="12624">
      <c r="B12624" s="24"/>
      <c r="C12624" s="24"/>
      <c r="D12624" s="214"/>
      <c r="E12624" s="24"/>
      <c r="G12624" s="24"/>
    </row>
    <row r="12625">
      <c r="B12625" s="24"/>
      <c r="C12625" s="24"/>
      <c r="D12625" s="214"/>
      <c r="E12625" s="24"/>
      <c r="G12625" s="24"/>
    </row>
    <row r="12626">
      <c r="B12626" s="24"/>
      <c r="C12626" s="24"/>
      <c r="D12626" s="214"/>
      <c r="E12626" s="24"/>
      <c r="G12626" s="24"/>
    </row>
    <row r="12627">
      <c r="B12627" s="24"/>
      <c r="C12627" s="24"/>
      <c r="D12627" s="214"/>
      <c r="E12627" s="24"/>
      <c r="G12627" s="24"/>
    </row>
    <row r="12628">
      <c r="B12628" s="24"/>
      <c r="C12628" s="24"/>
      <c r="D12628" s="214"/>
      <c r="E12628" s="24"/>
      <c r="G12628" s="24"/>
    </row>
    <row r="12629">
      <c r="B12629" s="24"/>
      <c r="C12629" s="24"/>
      <c r="D12629" s="214"/>
      <c r="E12629" s="24"/>
      <c r="G12629" s="24"/>
    </row>
    <row r="12630">
      <c r="B12630" s="24"/>
      <c r="C12630" s="24"/>
      <c r="D12630" s="214"/>
      <c r="E12630" s="24"/>
      <c r="G12630" s="24"/>
    </row>
    <row r="12631">
      <c r="B12631" s="24"/>
      <c r="C12631" s="24"/>
      <c r="D12631" s="214"/>
      <c r="E12631" s="24"/>
      <c r="G12631" s="24"/>
    </row>
    <row r="12632">
      <c r="B12632" s="24"/>
      <c r="C12632" s="24"/>
      <c r="D12632" s="214"/>
      <c r="E12632" s="24"/>
      <c r="G12632" s="24"/>
    </row>
    <row r="12633">
      <c r="B12633" s="24"/>
      <c r="C12633" s="24"/>
      <c r="D12633" s="214"/>
      <c r="E12633" s="24"/>
      <c r="G12633" s="24"/>
    </row>
    <row r="12634">
      <c r="B12634" s="24"/>
      <c r="C12634" s="24"/>
      <c r="D12634" s="214"/>
      <c r="E12634" s="24"/>
      <c r="G12634" s="24"/>
    </row>
    <row r="12635">
      <c r="B12635" s="24"/>
      <c r="C12635" s="24"/>
      <c r="D12635" s="214"/>
      <c r="E12635" s="24"/>
      <c r="G12635" s="24"/>
    </row>
    <row r="12636">
      <c r="B12636" s="24"/>
      <c r="C12636" s="24"/>
      <c r="D12636" s="214"/>
      <c r="E12636" s="24"/>
      <c r="G12636" s="24"/>
    </row>
    <row r="12637">
      <c r="B12637" s="24"/>
      <c r="C12637" s="24"/>
      <c r="D12637" s="214"/>
      <c r="E12637" s="24"/>
      <c r="G12637" s="24"/>
    </row>
    <row r="12638">
      <c r="B12638" s="24"/>
      <c r="C12638" s="24"/>
      <c r="D12638" s="214"/>
      <c r="E12638" s="24"/>
      <c r="G12638" s="24"/>
    </row>
    <row r="12639">
      <c r="B12639" s="24"/>
      <c r="C12639" s="24"/>
      <c r="D12639" s="214"/>
      <c r="E12639" s="24"/>
      <c r="G12639" s="24"/>
    </row>
    <row r="12640">
      <c r="B12640" s="24"/>
      <c r="C12640" s="24"/>
      <c r="D12640" s="214"/>
      <c r="E12640" s="24"/>
      <c r="G12640" s="24"/>
    </row>
    <row r="12641">
      <c r="B12641" s="24"/>
      <c r="C12641" s="24"/>
      <c r="D12641" s="214"/>
      <c r="E12641" s="24"/>
      <c r="G12641" s="24"/>
    </row>
    <row r="12642">
      <c r="B12642" s="24"/>
      <c r="C12642" s="24"/>
      <c r="D12642" s="214"/>
      <c r="E12642" s="24"/>
      <c r="G12642" s="24"/>
    </row>
    <row r="12643">
      <c r="B12643" s="24"/>
      <c r="C12643" s="24"/>
      <c r="D12643" s="214"/>
      <c r="E12643" s="24"/>
      <c r="G12643" s="24"/>
    </row>
    <row r="12644">
      <c r="B12644" s="24"/>
      <c r="C12644" s="24"/>
      <c r="D12644" s="214"/>
      <c r="E12644" s="24"/>
      <c r="G12644" s="24"/>
    </row>
    <row r="12645">
      <c r="B12645" s="24"/>
      <c r="C12645" s="24"/>
      <c r="D12645" s="214"/>
      <c r="E12645" s="24"/>
      <c r="G12645" s="24"/>
    </row>
    <row r="12646">
      <c r="B12646" s="24"/>
      <c r="C12646" s="24"/>
      <c r="D12646" s="214"/>
      <c r="E12646" s="24"/>
      <c r="G12646" s="24"/>
    </row>
    <row r="12647">
      <c r="B12647" s="24"/>
      <c r="C12647" s="24"/>
      <c r="D12647" s="214"/>
      <c r="E12647" s="24"/>
      <c r="G12647" s="24"/>
    </row>
    <row r="12648">
      <c r="B12648" s="24"/>
      <c r="C12648" s="24"/>
      <c r="D12648" s="214"/>
      <c r="E12648" s="24"/>
      <c r="G12648" s="24"/>
    </row>
    <row r="12649">
      <c r="B12649" s="24"/>
      <c r="C12649" s="24"/>
      <c r="D12649" s="214"/>
      <c r="E12649" s="24"/>
      <c r="G12649" s="24"/>
    </row>
    <row r="12650">
      <c r="B12650" s="24"/>
      <c r="C12650" s="24"/>
      <c r="D12650" s="214"/>
      <c r="E12650" s="24"/>
      <c r="G12650" s="24"/>
    </row>
    <row r="12651">
      <c r="B12651" s="24"/>
      <c r="C12651" s="24"/>
      <c r="D12651" s="214"/>
      <c r="E12651" s="24"/>
      <c r="G12651" s="24"/>
    </row>
    <row r="12652">
      <c r="B12652" s="24"/>
      <c r="C12652" s="24"/>
      <c r="D12652" s="214"/>
      <c r="E12652" s="24"/>
      <c r="G12652" s="24"/>
    </row>
    <row r="12653">
      <c r="B12653" s="24"/>
      <c r="C12653" s="24"/>
      <c r="D12653" s="214"/>
      <c r="E12653" s="24"/>
      <c r="G12653" s="24"/>
    </row>
    <row r="12654">
      <c r="B12654" s="24"/>
      <c r="C12654" s="24"/>
      <c r="D12654" s="214"/>
      <c r="E12654" s="24"/>
      <c r="G12654" s="24"/>
    </row>
    <row r="12655">
      <c r="B12655" s="24"/>
      <c r="C12655" s="24"/>
      <c r="D12655" s="214"/>
      <c r="E12655" s="24"/>
      <c r="G12655" s="24"/>
    </row>
    <row r="12656">
      <c r="B12656" s="24"/>
      <c r="C12656" s="24"/>
      <c r="D12656" s="214"/>
      <c r="E12656" s="24"/>
      <c r="G12656" s="24"/>
    </row>
    <row r="12657">
      <c r="B12657" s="24"/>
      <c r="C12657" s="24"/>
      <c r="D12657" s="214"/>
      <c r="E12657" s="24"/>
      <c r="G12657" s="24"/>
    </row>
    <row r="12658">
      <c r="B12658" s="24"/>
      <c r="C12658" s="24"/>
      <c r="D12658" s="214"/>
      <c r="E12658" s="24"/>
      <c r="G12658" s="24"/>
    </row>
    <row r="12659">
      <c r="B12659" s="24"/>
      <c r="C12659" s="24"/>
      <c r="D12659" s="214"/>
      <c r="E12659" s="24"/>
      <c r="G12659" s="24"/>
    </row>
    <row r="12660">
      <c r="B12660" s="24"/>
      <c r="C12660" s="24"/>
      <c r="D12660" s="214"/>
      <c r="E12660" s="24"/>
      <c r="G12660" s="24"/>
    </row>
    <row r="12661">
      <c r="B12661" s="24"/>
      <c r="C12661" s="24"/>
      <c r="D12661" s="214"/>
      <c r="E12661" s="24"/>
      <c r="G12661" s="24"/>
    </row>
    <row r="12662">
      <c r="B12662" s="24"/>
      <c r="C12662" s="24"/>
      <c r="D12662" s="214"/>
      <c r="E12662" s="24"/>
      <c r="G12662" s="24"/>
    </row>
    <row r="12663">
      <c r="B12663" s="24"/>
      <c r="C12663" s="24"/>
      <c r="D12663" s="214"/>
      <c r="E12663" s="24"/>
      <c r="G12663" s="24"/>
    </row>
    <row r="12664">
      <c r="B12664" s="24"/>
      <c r="C12664" s="24"/>
      <c r="D12664" s="214"/>
      <c r="E12664" s="24"/>
      <c r="G12664" s="24"/>
    </row>
    <row r="12665">
      <c r="B12665" s="24"/>
      <c r="C12665" s="24"/>
      <c r="D12665" s="214"/>
      <c r="E12665" s="24"/>
      <c r="G12665" s="24"/>
    </row>
    <row r="12666">
      <c r="B12666" s="24"/>
      <c r="C12666" s="24"/>
      <c r="D12666" s="214"/>
      <c r="E12666" s="24"/>
      <c r="G12666" s="24"/>
    </row>
    <row r="12667">
      <c r="B12667" s="24"/>
      <c r="C12667" s="24"/>
      <c r="D12667" s="214"/>
      <c r="E12667" s="24"/>
      <c r="G12667" s="24"/>
    </row>
    <row r="12668">
      <c r="B12668" s="24"/>
      <c r="C12668" s="24"/>
      <c r="D12668" s="214"/>
      <c r="E12668" s="24"/>
      <c r="G12668" s="24"/>
    </row>
    <row r="12669">
      <c r="B12669" s="24"/>
      <c r="C12669" s="24"/>
      <c r="D12669" s="214"/>
      <c r="E12669" s="24"/>
      <c r="G12669" s="24"/>
    </row>
    <row r="12670">
      <c r="B12670" s="24"/>
      <c r="C12670" s="24"/>
      <c r="D12670" s="214"/>
      <c r="E12670" s="24"/>
      <c r="G12670" s="24"/>
    </row>
    <row r="12671">
      <c r="B12671" s="24"/>
      <c r="C12671" s="24"/>
      <c r="D12671" s="214"/>
      <c r="E12671" s="24"/>
      <c r="G12671" s="24"/>
    </row>
    <row r="12672">
      <c r="B12672" s="24"/>
      <c r="C12672" s="24"/>
      <c r="D12672" s="214"/>
      <c r="E12672" s="24"/>
      <c r="G12672" s="24"/>
    </row>
    <row r="12673">
      <c r="B12673" s="24"/>
      <c r="C12673" s="24"/>
      <c r="D12673" s="214"/>
      <c r="E12673" s="24"/>
      <c r="G12673" s="24"/>
    </row>
    <row r="12674">
      <c r="B12674" s="24"/>
      <c r="C12674" s="24"/>
      <c r="D12674" s="214"/>
      <c r="E12674" s="24"/>
      <c r="G12674" s="24"/>
    </row>
    <row r="12675">
      <c r="B12675" s="24"/>
      <c r="C12675" s="24"/>
      <c r="D12675" s="214"/>
      <c r="E12675" s="24"/>
      <c r="G12675" s="24"/>
    </row>
    <row r="12676">
      <c r="B12676" s="24"/>
      <c r="C12676" s="24"/>
      <c r="D12676" s="214"/>
      <c r="E12676" s="24"/>
      <c r="G12676" s="24"/>
    </row>
    <row r="12677">
      <c r="B12677" s="24"/>
      <c r="C12677" s="24"/>
      <c r="D12677" s="214"/>
      <c r="E12677" s="24"/>
      <c r="G12677" s="24"/>
    </row>
    <row r="12678">
      <c r="B12678" s="24"/>
      <c r="C12678" s="24"/>
      <c r="D12678" s="214"/>
      <c r="E12678" s="24"/>
      <c r="G12678" s="24"/>
    </row>
    <row r="12679">
      <c r="B12679" s="24"/>
      <c r="C12679" s="24"/>
      <c r="D12679" s="214"/>
      <c r="E12679" s="24"/>
      <c r="G12679" s="24"/>
    </row>
    <row r="12680">
      <c r="B12680" s="24"/>
      <c r="C12680" s="24"/>
      <c r="D12680" s="214"/>
      <c r="E12680" s="24"/>
      <c r="G12680" s="24"/>
    </row>
    <row r="12681">
      <c r="B12681" s="24"/>
      <c r="C12681" s="24"/>
      <c r="D12681" s="214"/>
      <c r="E12681" s="24"/>
      <c r="G12681" s="24"/>
    </row>
    <row r="12682">
      <c r="B12682" s="24"/>
      <c r="C12682" s="24"/>
      <c r="D12682" s="214"/>
      <c r="E12682" s="24"/>
      <c r="G12682" s="24"/>
    </row>
    <row r="12683">
      <c r="B12683" s="24"/>
      <c r="C12683" s="24"/>
      <c r="D12683" s="214"/>
      <c r="E12683" s="24"/>
      <c r="G12683" s="24"/>
    </row>
    <row r="12684">
      <c r="B12684" s="24"/>
      <c r="C12684" s="24"/>
      <c r="D12684" s="214"/>
      <c r="E12684" s="24"/>
      <c r="G12684" s="24"/>
    </row>
    <row r="12685">
      <c r="B12685" s="24"/>
      <c r="C12685" s="24"/>
      <c r="D12685" s="214"/>
      <c r="E12685" s="24"/>
      <c r="G12685" s="24"/>
    </row>
    <row r="12686">
      <c r="B12686" s="24"/>
      <c r="C12686" s="24"/>
      <c r="D12686" s="214"/>
      <c r="E12686" s="24"/>
      <c r="G12686" s="24"/>
    </row>
    <row r="12687">
      <c r="B12687" s="24"/>
      <c r="C12687" s="24"/>
      <c r="D12687" s="214"/>
      <c r="E12687" s="24"/>
      <c r="G12687" s="24"/>
    </row>
    <row r="12688">
      <c r="B12688" s="24"/>
      <c r="C12688" s="24"/>
      <c r="D12688" s="214"/>
      <c r="E12688" s="24"/>
      <c r="G12688" s="24"/>
    </row>
    <row r="12689">
      <c r="B12689" s="24"/>
      <c r="C12689" s="24"/>
      <c r="D12689" s="214"/>
      <c r="E12689" s="24"/>
      <c r="G12689" s="24"/>
    </row>
    <row r="12690">
      <c r="B12690" s="24"/>
      <c r="C12690" s="24"/>
      <c r="D12690" s="214"/>
      <c r="E12690" s="24"/>
      <c r="G12690" s="24"/>
    </row>
    <row r="12691">
      <c r="B12691" s="24"/>
      <c r="C12691" s="24"/>
      <c r="D12691" s="214"/>
      <c r="E12691" s="24"/>
      <c r="G12691" s="24"/>
    </row>
    <row r="12692">
      <c r="B12692" s="24"/>
      <c r="C12692" s="24"/>
      <c r="D12692" s="214"/>
      <c r="E12692" s="24"/>
      <c r="G12692" s="24"/>
    </row>
    <row r="12693">
      <c r="B12693" s="24"/>
      <c r="C12693" s="24"/>
      <c r="D12693" s="214"/>
      <c r="E12693" s="24"/>
      <c r="G12693" s="24"/>
    </row>
    <row r="12694">
      <c r="B12694" s="24"/>
      <c r="C12694" s="24"/>
      <c r="D12694" s="214"/>
      <c r="E12694" s="24"/>
      <c r="G12694" s="24"/>
    </row>
    <row r="12695">
      <c r="B12695" s="24"/>
      <c r="C12695" s="24"/>
      <c r="D12695" s="214"/>
      <c r="E12695" s="24"/>
      <c r="G12695" s="24"/>
    </row>
    <row r="12696">
      <c r="B12696" s="24"/>
      <c r="C12696" s="24"/>
      <c r="D12696" s="214"/>
      <c r="E12696" s="24"/>
      <c r="G12696" s="24"/>
    </row>
    <row r="12697">
      <c r="B12697" s="24"/>
      <c r="C12697" s="24"/>
      <c r="D12697" s="214"/>
      <c r="E12697" s="24"/>
      <c r="G12697" s="24"/>
    </row>
    <row r="12698">
      <c r="B12698" s="24"/>
      <c r="C12698" s="24"/>
      <c r="D12698" s="214"/>
      <c r="E12698" s="24"/>
      <c r="G12698" s="24"/>
    </row>
    <row r="12699">
      <c r="B12699" s="24"/>
      <c r="C12699" s="24"/>
      <c r="D12699" s="214"/>
      <c r="E12699" s="24"/>
      <c r="G12699" s="24"/>
    </row>
    <row r="12700">
      <c r="B12700" s="24"/>
      <c r="C12700" s="24"/>
      <c r="D12700" s="214"/>
      <c r="E12700" s="24"/>
      <c r="G12700" s="24"/>
    </row>
    <row r="12701">
      <c r="B12701" s="24"/>
      <c r="C12701" s="24"/>
      <c r="D12701" s="214"/>
      <c r="E12701" s="24"/>
      <c r="G12701" s="24"/>
    </row>
    <row r="12702">
      <c r="B12702" s="24"/>
      <c r="C12702" s="24"/>
      <c r="D12702" s="214"/>
      <c r="E12702" s="24"/>
      <c r="G12702" s="24"/>
    </row>
    <row r="12703">
      <c r="B12703" s="24"/>
      <c r="C12703" s="24"/>
      <c r="D12703" s="214"/>
      <c r="E12703" s="24"/>
      <c r="G12703" s="24"/>
    </row>
    <row r="12704">
      <c r="B12704" s="24"/>
      <c r="C12704" s="24"/>
      <c r="D12704" s="214"/>
      <c r="E12704" s="24"/>
      <c r="G12704" s="24"/>
    </row>
    <row r="12705">
      <c r="B12705" s="24"/>
      <c r="C12705" s="24"/>
      <c r="D12705" s="214"/>
      <c r="E12705" s="24"/>
      <c r="G12705" s="24"/>
    </row>
    <row r="12706">
      <c r="B12706" s="24"/>
      <c r="C12706" s="24"/>
      <c r="D12706" s="214"/>
      <c r="E12706" s="24"/>
      <c r="G12706" s="24"/>
    </row>
    <row r="12707">
      <c r="B12707" s="24"/>
      <c r="C12707" s="24"/>
      <c r="D12707" s="214"/>
      <c r="E12707" s="24"/>
      <c r="G12707" s="24"/>
    </row>
    <row r="12708">
      <c r="B12708" s="24"/>
      <c r="C12708" s="24"/>
      <c r="D12708" s="214"/>
      <c r="E12708" s="24"/>
      <c r="G12708" s="24"/>
    </row>
    <row r="12709">
      <c r="B12709" s="24"/>
      <c r="C12709" s="24"/>
      <c r="D12709" s="214"/>
      <c r="E12709" s="24"/>
      <c r="G12709" s="24"/>
    </row>
    <row r="12710">
      <c r="B12710" s="24"/>
      <c r="C12710" s="24"/>
      <c r="D12710" s="214"/>
      <c r="E12710" s="24"/>
      <c r="G12710" s="24"/>
    </row>
    <row r="12711">
      <c r="B12711" s="24"/>
      <c r="C12711" s="24"/>
      <c r="D12711" s="214"/>
      <c r="E12711" s="24"/>
      <c r="G12711" s="24"/>
    </row>
    <row r="12712">
      <c r="B12712" s="24"/>
      <c r="C12712" s="24"/>
      <c r="D12712" s="214"/>
      <c r="E12712" s="24"/>
      <c r="G12712" s="24"/>
    </row>
    <row r="12713">
      <c r="B12713" s="24"/>
      <c r="C12713" s="24"/>
      <c r="D12713" s="214"/>
      <c r="E12713" s="24"/>
      <c r="G12713" s="24"/>
    </row>
    <row r="12714">
      <c r="B12714" s="24"/>
      <c r="C12714" s="24"/>
      <c r="D12714" s="214"/>
      <c r="E12714" s="24"/>
      <c r="G12714" s="24"/>
    </row>
    <row r="12715">
      <c r="B12715" s="24"/>
      <c r="C12715" s="24"/>
      <c r="D12715" s="214"/>
      <c r="E12715" s="24"/>
      <c r="G12715" s="24"/>
    </row>
    <row r="12716">
      <c r="B12716" s="24"/>
      <c r="C12716" s="24"/>
      <c r="D12716" s="214"/>
      <c r="E12716" s="24"/>
      <c r="G12716" s="24"/>
    </row>
    <row r="12717">
      <c r="B12717" s="24"/>
      <c r="C12717" s="24"/>
      <c r="D12717" s="214"/>
      <c r="E12717" s="24"/>
      <c r="G12717" s="24"/>
    </row>
    <row r="12718">
      <c r="B12718" s="24"/>
      <c r="C12718" s="24"/>
      <c r="D12718" s="214"/>
      <c r="E12718" s="24"/>
      <c r="G12718" s="24"/>
    </row>
    <row r="12719">
      <c r="B12719" s="24"/>
      <c r="C12719" s="24"/>
      <c r="D12719" s="214"/>
      <c r="E12719" s="24"/>
      <c r="G12719" s="24"/>
    </row>
    <row r="12720">
      <c r="B12720" s="24"/>
      <c r="C12720" s="24"/>
      <c r="D12720" s="214"/>
      <c r="E12720" s="24"/>
      <c r="G12720" s="24"/>
    </row>
    <row r="12721">
      <c r="B12721" s="24"/>
      <c r="C12721" s="24"/>
      <c r="D12721" s="214"/>
      <c r="E12721" s="24"/>
      <c r="G12721" s="24"/>
    </row>
    <row r="12722">
      <c r="B12722" s="24"/>
      <c r="C12722" s="24"/>
      <c r="D12722" s="214"/>
      <c r="E12722" s="24"/>
      <c r="G12722" s="24"/>
    </row>
    <row r="12723">
      <c r="B12723" s="24"/>
      <c r="C12723" s="24"/>
      <c r="D12723" s="214"/>
      <c r="E12723" s="24"/>
      <c r="G12723" s="24"/>
    </row>
    <row r="12724">
      <c r="B12724" s="24"/>
      <c r="C12724" s="24"/>
      <c r="D12724" s="214"/>
      <c r="E12724" s="24"/>
      <c r="G12724" s="24"/>
    </row>
    <row r="12725">
      <c r="B12725" s="24"/>
      <c r="C12725" s="24"/>
      <c r="D12725" s="214"/>
      <c r="E12725" s="24"/>
      <c r="G12725" s="24"/>
    </row>
    <row r="12726">
      <c r="B12726" s="24"/>
      <c r="C12726" s="24"/>
      <c r="D12726" s="214"/>
      <c r="E12726" s="24"/>
      <c r="G12726" s="24"/>
    </row>
    <row r="12727">
      <c r="B12727" s="24"/>
      <c r="C12727" s="24"/>
      <c r="D12727" s="214"/>
      <c r="E12727" s="24"/>
      <c r="G12727" s="24"/>
    </row>
    <row r="12728">
      <c r="B12728" s="24"/>
      <c r="C12728" s="24"/>
      <c r="D12728" s="214"/>
      <c r="E12728" s="24"/>
      <c r="G12728" s="24"/>
    </row>
    <row r="12729">
      <c r="B12729" s="24"/>
      <c r="C12729" s="24"/>
      <c r="D12729" s="214"/>
      <c r="E12729" s="24"/>
      <c r="G12729" s="24"/>
    </row>
    <row r="12730">
      <c r="B12730" s="24"/>
      <c r="C12730" s="24"/>
      <c r="D12730" s="214"/>
      <c r="E12730" s="24"/>
      <c r="G12730" s="24"/>
    </row>
    <row r="12731">
      <c r="B12731" s="24"/>
      <c r="C12731" s="24"/>
      <c r="D12731" s="214"/>
      <c r="E12731" s="24"/>
      <c r="G12731" s="24"/>
    </row>
    <row r="12732">
      <c r="B12732" s="24"/>
      <c r="C12732" s="24"/>
      <c r="D12732" s="214"/>
      <c r="E12732" s="24"/>
      <c r="G12732" s="24"/>
    </row>
    <row r="12733">
      <c r="B12733" s="24"/>
      <c r="C12733" s="24"/>
      <c r="D12733" s="214"/>
      <c r="E12733" s="24"/>
      <c r="G12733" s="24"/>
    </row>
    <row r="12734">
      <c r="B12734" s="24"/>
      <c r="C12734" s="24"/>
      <c r="D12734" s="214"/>
      <c r="E12734" s="24"/>
      <c r="G12734" s="24"/>
    </row>
    <row r="12735">
      <c r="B12735" s="24"/>
      <c r="C12735" s="24"/>
      <c r="D12735" s="214"/>
      <c r="E12735" s="24"/>
      <c r="G12735" s="24"/>
    </row>
    <row r="12736">
      <c r="B12736" s="24"/>
      <c r="C12736" s="24"/>
      <c r="D12736" s="214"/>
      <c r="E12736" s="24"/>
      <c r="G12736" s="24"/>
    </row>
    <row r="12737">
      <c r="B12737" s="24"/>
      <c r="C12737" s="24"/>
      <c r="D12737" s="214"/>
      <c r="E12737" s="24"/>
      <c r="G12737" s="24"/>
    </row>
    <row r="12738">
      <c r="B12738" s="24"/>
      <c r="C12738" s="24"/>
      <c r="D12738" s="214"/>
      <c r="E12738" s="24"/>
      <c r="G12738" s="24"/>
    </row>
    <row r="12739">
      <c r="B12739" s="24"/>
      <c r="C12739" s="24"/>
      <c r="D12739" s="214"/>
      <c r="E12739" s="24"/>
      <c r="G12739" s="24"/>
    </row>
    <row r="12740">
      <c r="B12740" s="24"/>
      <c r="C12740" s="24"/>
      <c r="D12740" s="214"/>
      <c r="E12740" s="24"/>
      <c r="G12740" s="24"/>
    </row>
    <row r="12741">
      <c r="B12741" s="24"/>
      <c r="C12741" s="24"/>
      <c r="D12741" s="214"/>
      <c r="E12741" s="24"/>
      <c r="G12741" s="24"/>
    </row>
    <row r="12742">
      <c r="B12742" s="24"/>
      <c r="C12742" s="24"/>
      <c r="D12742" s="214"/>
      <c r="E12742" s="24"/>
      <c r="G12742" s="24"/>
    </row>
    <row r="12743">
      <c r="B12743" s="24"/>
      <c r="C12743" s="24"/>
      <c r="D12743" s="214"/>
      <c r="E12743" s="24"/>
      <c r="G12743" s="24"/>
    </row>
    <row r="12744">
      <c r="B12744" s="24"/>
      <c r="C12744" s="24"/>
      <c r="D12744" s="214"/>
      <c r="E12744" s="24"/>
      <c r="G12744" s="24"/>
    </row>
    <row r="12745">
      <c r="B12745" s="24"/>
      <c r="C12745" s="24"/>
      <c r="D12745" s="214"/>
      <c r="E12745" s="24"/>
      <c r="G12745" s="24"/>
    </row>
    <row r="12746">
      <c r="B12746" s="24"/>
      <c r="C12746" s="24"/>
      <c r="D12746" s="214"/>
      <c r="E12746" s="24"/>
      <c r="G12746" s="24"/>
    </row>
    <row r="12747">
      <c r="B12747" s="24"/>
      <c r="C12747" s="24"/>
      <c r="D12747" s="214"/>
      <c r="E12747" s="24"/>
      <c r="G12747" s="24"/>
    </row>
    <row r="12748">
      <c r="B12748" s="24"/>
      <c r="C12748" s="24"/>
      <c r="D12748" s="214"/>
      <c r="E12748" s="24"/>
      <c r="G12748" s="24"/>
    </row>
    <row r="12749">
      <c r="B12749" s="24"/>
      <c r="C12749" s="24"/>
      <c r="D12749" s="214"/>
      <c r="E12749" s="24"/>
      <c r="G12749" s="24"/>
    </row>
    <row r="12750">
      <c r="B12750" s="24"/>
      <c r="C12750" s="24"/>
      <c r="D12750" s="214"/>
      <c r="E12750" s="24"/>
      <c r="G12750" s="24"/>
    </row>
    <row r="12751">
      <c r="B12751" s="24"/>
      <c r="C12751" s="24"/>
      <c r="D12751" s="214"/>
      <c r="E12751" s="24"/>
      <c r="G12751" s="24"/>
    </row>
    <row r="12752">
      <c r="B12752" s="24"/>
      <c r="C12752" s="24"/>
      <c r="D12752" s="214"/>
      <c r="E12752" s="24"/>
      <c r="G12752" s="24"/>
    </row>
    <row r="12753">
      <c r="B12753" s="24"/>
      <c r="C12753" s="24"/>
      <c r="D12753" s="214"/>
      <c r="E12753" s="24"/>
      <c r="G12753" s="24"/>
    </row>
    <row r="12754">
      <c r="B12754" s="24"/>
      <c r="C12754" s="24"/>
      <c r="D12754" s="214"/>
      <c r="E12754" s="24"/>
      <c r="G12754" s="24"/>
    </row>
    <row r="12755">
      <c r="B12755" s="24"/>
      <c r="C12755" s="24"/>
      <c r="D12755" s="214"/>
      <c r="E12755" s="24"/>
      <c r="G12755" s="24"/>
    </row>
    <row r="12756">
      <c r="B12756" s="24"/>
      <c r="C12756" s="24"/>
      <c r="D12756" s="214"/>
      <c r="E12756" s="24"/>
      <c r="G12756" s="24"/>
    </row>
    <row r="12757">
      <c r="B12757" s="24"/>
      <c r="C12757" s="24"/>
      <c r="D12757" s="214"/>
      <c r="E12757" s="24"/>
      <c r="G12757" s="24"/>
    </row>
    <row r="12758">
      <c r="B12758" s="24"/>
      <c r="C12758" s="24"/>
      <c r="D12758" s="214"/>
      <c r="E12758" s="24"/>
      <c r="G12758" s="24"/>
    </row>
    <row r="12759">
      <c r="B12759" s="24"/>
      <c r="C12759" s="24"/>
      <c r="D12759" s="214"/>
      <c r="E12759" s="24"/>
      <c r="G12759" s="24"/>
    </row>
    <row r="12760">
      <c r="B12760" s="24"/>
      <c r="C12760" s="24"/>
      <c r="D12760" s="214"/>
      <c r="E12760" s="24"/>
      <c r="G12760" s="24"/>
    </row>
    <row r="12761">
      <c r="B12761" s="24"/>
      <c r="C12761" s="24"/>
      <c r="D12761" s="214"/>
      <c r="E12761" s="24"/>
      <c r="G12761" s="24"/>
    </row>
    <row r="12762">
      <c r="B12762" s="24"/>
      <c r="C12762" s="24"/>
      <c r="D12762" s="214"/>
      <c r="E12762" s="24"/>
      <c r="G12762" s="24"/>
    </row>
    <row r="12763">
      <c r="B12763" s="24"/>
      <c r="C12763" s="24"/>
      <c r="D12763" s="214"/>
      <c r="E12763" s="24"/>
      <c r="G12763" s="24"/>
    </row>
    <row r="12764">
      <c r="B12764" s="24"/>
      <c r="C12764" s="24"/>
      <c r="D12764" s="214"/>
      <c r="E12764" s="24"/>
      <c r="G12764" s="24"/>
    </row>
    <row r="12765">
      <c r="B12765" s="24"/>
      <c r="C12765" s="24"/>
      <c r="D12765" s="214"/>
      <c r="E12765" s="24"/>
      <c r="G12765" s="24"/>
    </row>
    <row r="12766">
      <c r="B12766" s="24"/>
      <c r="C12766" s="24"/>
      <c r="D12766" s="214"/>
      <c r="E12766" s="24"/>
      <c r="G12766" s="24"/>
    </row>
    <row r="12767">
      <c r="B12767" s="24"/>
      <c r="C12767" s="24"/>
      <c r="D12767" s="214"/>
      <c r="E12767" s="24"/>
      <c r="G12767" s="24"/>
    </row>
    <row r="12768">
      <c r="B12768" s="24"/>
      <c r="C12768" s="24"/>
      <c r="D12768" s="214"/>
      <c r="E12768" s="24"/>
      <c r="G12768" s="24"/>
    </row>
    <row r="12769">
      <c r="B12769" s="24"/>
      <c r="C12769" s="24"/>
      <c r="D12769" s="214"/>
      <c r="E12769" s="24"/>
      <c r="G12769" s="24"/>
    </row>
    <row r="12770">
      <c r="B12770" s="24"/>
      <c r="C12770" s="24"/>
      <c r="D12770" s="214"/>
      <c r="E12770" s="24"/>
      <c r="G12770" s="24"/>
    </row>
    <row r="12771">
      <c r="B12771" s="24"/>
      <c r="C12771" s="24"/>
      <c r="D12771" s="214"/>
      <c r="E12771" s="24"/>
      <c r="G12771" s="24"/>
    </row>
    <row r="12772">
      <c r="B12772" s="24"/>
      <c r="C12772" s="24"/>
      <c r="D12772" s="214"/>
      <c r="E12772" s="24"/>
      <c r="G12772" s="24"/>
    </row>
    <row r="12773">
      <c r="B12773" s="24"/>
      <c r="C12773" s="24"/>
      <c r="D12773" s="214"/>
      <c r="E12773" s="24"/>
      <c r="G12773" s="24"/>
    </row>
    <row r="12774">
      <c r="B12774" s="24"/>
      <c r="C12774" s="24"/>
      <c r="D12774" s="214"/>
      <c r="E12774" s="24"/>
      <c r="G12774" s="24"/>
    </row>
    <row r="12775">
      <c r="B12775" s="24"/>
      <c r="C12775" s="24"/>
      <c r="D12775" s="214"/>
      <c r="E12775" s="24"/>
      <c r="G12775" s="24"/>
    </row>
    <row r="12776">
      <c r="B12776" s="24"/>
      <c r="C12776" s="24"/>
      <c r="D12776" s="214"/>
      <c r="E12776" s="24"/>
      <c r="G12776" s="24"/>
    </row>
    <row r="12777">
      <c r="B12777" s="24"/>
      <c r="C12777" s="24"/>
      <c r="D12777" s="214"/>
      <c r="E12777" s="24"/>
      <c r="G12777" s="24"/>
    </row>
    <row r="12778">
      <c r="B12778" s="24"/>
      <c r="C12778" s="24"/>
      <c r="D12778" s="214"/>
      <c r="E12778" s="24"/>
      <c r="G12778" s="24"/>
    </row>
    <row r="12779">
      <c r="B12779" s="24"/>
      <c r="C12779" s="24"/>
      <c r="D12779" s="214"/>
      <c r="E12779" s="24"/>
      <c r="G12779" s="24"/>
    </row>
    <row r="12780">
      <c r="B12780" s="24"/>
      <c r="C12780" s="24"/>
      <c r="D12780" s="214"/>
      <c r="E12780" s="24"/>
      <c r="G12780" s="24"/>
    </row>
    <row r="12781">
      <c r="B12781" s="24"/>
      <c r="C12781" s="24"/>
      <c r="D12781" s="214"/>
      <c r="E12781" s="24"/>
      <c r="G12781" s="24"/>
    </row>
    <row r="12782">
      <c r="B12782" s="24"/>
      <c r="C12782" s="24"/>
      <c r="D12782" s="214"/>
      <c r="E12782" s="24"/>
      <c r="G12782" s="24"/>
    </row>
    <row r="12783">
      <c r="B12783" s="24"/>
      <c r="C12783" s="24"/>
      <c r="D12783" s="214"/>
      <c r="E12783" s="24"/>
      <c r="G12783" s="24"/>
    </row>
    <row r="12784">
      <c r="B12784" s="24"/>
      <c r="C12784" s="24"/>
      <c r="D12784" s="214"/>
      <c r="E12784" s="24"/>
      <c r="G12784" s="24"/>
    </row>
    <row r="12785">
      <c r="B12785" s="24"/>
      <c r="C12785" s="24"/>
      <c r="D12785" s="214"/>
      <c r="E12785" s="24"/>
      <c r="G12785" s="24"/>
    </row>
    <row r="12786">
      <c r="B12786" s="24"/>
      <c r="C12786" s="24"/>
      <c r="D12786" s="214"/>
      <c r="E12786" s="24"/>
      <c r="G12786" s="24"/>
    </row>
    <row r="12787">
      <c r="B12787" s="24"/>
      <c r="C12787" s="24"/>
      <c r="D12787" s="214"/>
      <c r="E12787" s="24"/>
      <c r="G12787" s="24"/>
    </row>
    <row r="12788">
      <c r="B12788" s="24"/>
      <c r="C12788" s="24"/>
      <c r="D12788" s="214"/>
      <c r="E12788" s="24"/>
      <c r="G12788" s="24"/>
    </row>
    <row r="12789">
      <c r="B12789" s="24"/>
      <c r="C12789" s="24"/>
      <c r="D12789" s="214"/>
      <c r="E12789" s="24"/>
      <c r="G12789" s="24"/>
    </row>
    <row r="12790">
      <c r="B12790" s="24"/>
      <c r="C12790" s="24"/>
      <c r="D12790" s="214"/>
      <c r="E12790" s="24"/>
      <c r="G12790" s="24"/>
    </row>
    <row r="12791">
      <c r="B12791" s="24"/>
      <c r="C12791" s="24"/>
      <c r="D12791" s="214"/>
      <c r="E12791" s="24"/>
      <c r="G12791" s="24"/>
    </row>
    <row r="12792">
      <c r="B12792" s="24"/>
      <c r="C12792" s="24"/>
      <c r="D12792" s="214"/>
      <c r="E12792" s="24"/>
      <c r="G12792" s="24"/>
    </row>
    <row r="12793">
      <c r="B12793" s="24"/>
      <c r="C12793" s="24"/>
      <c r="D12793" s="214"/>
      <c r="E12793" s="24"/>
      <c r="G12793" s="24"/>
    </row>
    <row r="12794">
      <c r="B12794" s="24"/>
      <c r="C12794" s="24"/>
      <c r="D12794" s="214"/>
      <c r="E12794" s="24"/>
      <c r="G12794" s="24"/>
    </row>
    <row r="12795">
      <c r="B12795" s="24"/>
      <c r="C12795" s="24"/>
      <c r="D12795" s="214"/>
      <c r="E12795" s="24"/>
      <c r="G12795" s="24"/>
    </row>
    <row r="12796">
      <c r="B12796" s="24"/>
      <c r="C12796" s="24"/>
      <c r="D12796" s="214"/>
      <c r="E12796" s="24"/>
      <c r="G12796" s="24"/>
    </row>
    <row r="12797">
      <c r="B12797" s="24"/>
      <c r="C12797" s="24"/>
      <c r="D12797" s="214"/>
      <c r="E12797" s="24"/>
      <c r="G12797" s="24"/>
    </row>
    <row r="12798">
      <c r="B12798" s="24"/>
      <c r="C12798" s="24"/>
      <c r="D12798" s="214"/>
      <c r="E12798" s="24"/>
      <c r="G12798" s="24"/>
    </row>
    <row r="12799">
      <c r="B12799" s="24"/>
      <c r="C12799" s="24"/>
      <c r="D12799" s="214"/>
      <c r="E12799" s="24"/>
      <c r="G12799" s="24"/>
    </row>
    <row r="12800">
      <c r="B12800" s="24"/>
      <c r="C12800" s="24"/>
      <c r="D12800" s="214"/>
      <c r="E12800" s="24"/>
      <c r="G12800" s="24"/>
    </row>
    <row r="12801">
      <c r="B12801" s="24"/>
      <c r="C12801" s="24"/>
      <c r="D12801" s="214"/>
      <c r="E12801" s="24"/>
      <c r="G12801" s="24"/>
    </row>
    <row r="12802">
      <c r="B12802" s="24"/>
      <c r="C12802" s="24"/>
      <c r="D12802" s="214"/>
      <c r="E12802" s="24"/>
      <c r="G12802" s="24"/>
    </row>
    <row r="12803">
      <c r="B12803" s="24"/>
      <c r="C12803" s="24"/>
      <c r="D12803" s="214"/>
      <c r="E12803" s="24"/>
      <c r="G12803" s="24"/>
    </row>
    <row r="12804">
      <c r="B12804" s="24"/>
      <c r="C12804" s="24"/>
      <c r="D12804" s="214"/>
      <c r="E12804" s="24"/>
      <c r="G12804" s="24"/>
    </row>
    <row r="12805">
      <c r="B12805" s="24"/>
      <c r="C12805" s="24"/>
      <c r="D12805" s="214"/>
      <c r="E12805" s="24"/>
      <c r="G12805" s="24"/>
    </row>
    <row r="12806">
      <c r="B12806" s="24"/>
      <c r="C12806" s="24"/>
      <c r="D12806" s="214"/>
      <c r="E12806" s="24"/>
      <c r="G12806" s="24"/>
    </row>
    <row r="12807">
      <c r="B12807" s="24"/>
      <c r="C12807" s="24"/>
      <c r="D12807" s="214"/>
      <c r="E12807" s="24"/>
      <c r="G12807" s="24"/>
    </row>
    <row r="12808">
      <c r="B12808" s="24"/>
      <c r="C12808" s="24"/>
      <c r="D12808" s="214"/>
      <c r="E12808" s="24"/>
      <c r="G12808" s="24"/>
    </row>
    <row r="12809">
      <c r="B12809" s="24"/>
      <c r="C12809" s="24"/>
      <c r="D12809" s="214"/>
      <c r="E12809" s="24"/>
      <c r="G12809" s="24"/>
    </row>
    <row r="12810">
      <c r="B12810" s="24"/>
      <c r="C12810" s="24"/>
      <c r="D12810" s="214"/>
      <c r="E12810" s="24"/>
      <c r="G12810" s="24"/>
    </row>
    <row r="12811">
      <c r="B12811" s="24"/>
      <c r="C12811" s="24"/>
      <c r="D12811" s="214"/>
      <c r="E12811" s="24"/>
      <c r="G12811" s="24"/>
    </row>
    <row r="12812">
      <c r="B12812" s="24"/>
      <c r="C12812" s="24"/>
      <c r="D12812" s="214"/>
      <c r="E12812" s="24"/>
      <c r="G12812" s="24"/>
    </row>
    <row r="12813">
      <c r="B12813" s="24"/>
      <c r="C12813" s="24"/>
      <c r="D12813" s="214"/>
      <c r="E12813" s="24"/>
      <c r="G12813" s="24"/>
    </row>
    <row r="12814">
      <c r="B12814" s="24"/>
      <c r="C12814" s="24"/>
      <c r="D12814" s="214"/>
      <c r="E12814" s="24"/>
      <c r="G12814" s="24"/>
    </row>
    <row r="12815">
      <c r="B12815" s="24"/>
      <c r="C12815" s="24"/>
      <c r="D12815" s="214"/>
      <c r="E12815" s="24"/>
      <c r="G12815" s="24"/>
    </row>
    <row r="12816">
      <c r="B12816" s="24"/>
      <c r="C12816" s="24"/>
      <c r="D12816" s="214"/>
      <c r="E12816" s="24"/>
      <c r="G12816" s="24"/>
    </row>
    <row r="12817">
      <c r="B12817" s="24"/>
      <c r="C12817" s="24"/>
      <c r="D12817" s="214"/>
      <c r="E12817" s="24"/>
      <c r="G12817" s="24"/>
    </row>
    <row r="12818">
      <c r="B12818" s="24"/>
      <c r="C12818" s="24"/>
      <c r="D12818" s="214"/>
      <c r="E12818" s="24"/>
      <c r="G12818" s="24"/>
    </row>
    <row r="12819">
      <c r="B12819" s="24"/>
      <c r="C12819" s="24"/>
      <c r="D12819" s="214"/>
      <c r="E12819" s="24"/>
      <c r="G12819" s="24"/>
    </row>
    <row r="12820">
      <c r="B12820" s="24"/>
      <c r="C12820" s="24"/>
      <c r="D12820" s="214"/>
      <c r="E12820" s="24"/>
      <c r="G12820" s="24"/>
    </row>
    <row r="12821">
      <c r="B12821" s="24"/>
      <c r="C12821" s="24"/>
      <c r="D12821" s="214"/>
      <c r="E12821" s="24"/>
      <c r="G12821" s="24"/>
    </row>
    <row r="12822">
      <c r="B12822" s="24"/>
      <c r="C12822" s="24"/>
      <c r="D12822" s="214"/>
      <c r="E12822" s="24"/>
      <c r="G12822" s="24"/>
    </row>
    <row r="12823">
      <c r="B12823" s="24"/>
      <c r="C12823" s="24"/>
      <c r="D12823" s="214"/>
      <c r="E12823" s="24"/>
      <c r="G12823" s="24"/>
    </row>
    <row r="12824">
      <c r="B12824" s="24"/>
      <c r="C12824" s="24"/>
      <c r="D12824" s="214"/>
      <c r="E12824" s="24"/>
      <c r="G12824" s="24"/>
    </row>
    <row r="12825">
      <c r="B12825" s="24"/>
      <c r="C12825" s="24"/>
      <c r="D12825" s="214"/>
      <c r="E12825" s="24"/>
      <c r="G12825" s="24"/>
    </row>
    <row r="12826">
      <c r="B12826" s="24"/>
      <c r="C12826" s="24"/>
      <c r="D12826" s="214"/>
      <c r="E12826" s="24"/>
      <c r="G12826" s="24"/>
    </row>
    <row r="12827">
      <c r="B12827" s="24"/>
      <c r="C12827" s="24"/>
      <c r="D12827" s="214"/>
      <c r="E12827" s="24"/>
      <c r="G12827" s="24"/>
    </row>
    <row r="12828">
      <c r="B12828" s="24"/>
      <c r="C12828" s="24"/>
      <c r="D12828" s="214"/>
      <c r="E12828" s="24"/>
      <c r="G12828" s="24"/>
    </row>
    <row r="12829">
      <c r="B12829" s="24"/>
      <c r="C12829" s="24"/>
      <c r="D12829" s="214"/>
      <c r="E12829" s="24"/>
      <c r="G12829" s="24"/>
    </row>
    <row r="12830">
      <c r="B12830" s="24"/>
      <c r="C12830" s="24"/>
      <c r="D12830" s="214"/>
      <c r="E12830" s="24"/>
      <c r="G12830" s="24"/>
    </row>
    <row r="12831">
      <c r="B12831" s="24"/>
      <c r="C12831" s="24"/>
      <c r="D12831" s="214"/>
      <c r="E12831" s="24"/>
      <c r="G12831" s="24"/>
    </row>
    <row r="12832">
      <c r="B12832" s="24"/>
      <c r="C12832" s="24"/>
      <c r="D12832" s="214"/>
      <c r="E12832" s="24"/>
      <c r="G12832" s="24"/>
    </row>
    <row r="12833">
      <c r="B12833" s="24"/>
      <c r="C12833" s="24"/>
      <c r="D12833" s="214"/>
      <c r="E12833" s="24"/>
      <c r="G12833" s="24"/>
    </row>
    <row r="12834">
      <c r="B12834" s="24"/>
      <c r="C12834" s="24"/>
      <c r="D12834" s="214"/>
      <c r="E12834" s="24"/>
      <c r="G12834" s="24"/>
    </row>
    <row r="12835">
      <c r="B12835" s="24"/>
      <c r="C12835" s="24"/>
      <c r="D12835" s="214"/>
      <c r="E12835" s="24"/>
      <c r="G12835" s="24"/>
    </row>
    <row r="12836">
      <c r="B12836" s="24"/>
      <c r="C12836" s="24"/>
      <c r="D12836" s="214"/>
      <c r="E12836" s="24"/>
      <c r="G12836" s="24"/>
    </row>
    <row r="12837">
      <c r="B12837" s="24"/>
      <c r="C12837" s="24"/>
      <c r="D12837" s="214"/>
      <c r="E12837" s="24"/>
      <c r="G12837" s="24"/>
    </row>
    <row r="12838">
      <c r="B12838" s="24"/>
      <c r="C12838" s="24"/>
      <c r="D12838" s="214"/>
      <c r="E12838" s="24"/>
      <c r="G12838" s="24"/>
    </row>
    <row r="12839">
      <c r="B12839" s="24"/>
      <c r="C12839" s="24"/>
      <c r="D12839" s="214"/>
      <c r="E12839" s="24"/>
      <c r="G12839" s="24"/>
    </row>
    <row r="12840">
      <c r="B12840" s="24"/>
      <c r="C12840" s="24"/>
      <c r="D12840" s="214"/>
      <c r="E12840" s="24"/>
      <c r="G12840" s="24"/>
    </row>
    <row r="12841">
      <c r="B12841" s="24"/>
      <c r="C12841" s="24"/>
      <c r="D12841" s="214"/>
      <c r="E12841" s="24"/>
      <c r="G12841" s="24"/>
    </row>
    <row r="12842">
      <c r="B12842" s="24"/>
      <c r="C12842" s="24"/>
      <c r="D12842" s="214"/>
      <c r="E12842" s="24"/>
      <c r="G12842" s="24"/>
    </row>
    <row r="12843">
      <c r="B12843" s="24"/>
      <c r="C12843" s="24"/>
      <c r="D12843" s="214"/>
      <c r="E12843" s="24"/>
      <c r="G12843" s="24"/>
    </row>
    <row r="12844">
      <c r="B12844" s="24"/>
      <c r="C12844" s="24"/>
      <c r="D12844" s="214"/>
      <c r="E12844" s="24"/>
      <c r="G12844" s="24"/>
    </row>
    <row r="12845">
      <c r="B12845" s="24"/>
      <c r="C12845" s="24"/>
      <c r="D12845" s="214"/>
      <c r="E12845" s="24"/>
      <c r="G12845" s="24"/>
    </row>
    <row r="12846">
      <c r="B12846" s="24"/>
      <c r="C12846" s="24"/>
      <c r="D12846" s="214"/>
      <c r="E12846" s="24"/>
      <c r="G12846" s="24"/>
    </row>
    <row r="12847">
      <c r="B12847" s="24"/>
      <c r="C12847" s="24"/>
      <c r="D12847" s="214"/>
      <c r="E12847" s="24"/>
      <c r="G12847" s="24"/>
    </row>
    <row r="12848">
      <c r="B12848" s="24"/>
      <c r="C12848" s="24"/>
      <c r="D12848" s="214"/>
      <c r="E12848" s="24"/>
      <c r="G12848" s="24"/>
    </row>
    <row r="12849">
      <c r="B12849" s="24"/>
      <c r="C12849" s="24"/>
      <c r="D12849" s="214"/>
      <c r="E12849" s="24"/>
      <c r="G12849" s="24"/>
    </row>
    <row r="12850">
      <c r="B12850" s="24"/>
      <c r="C12850" s="24"/>
      <c r="D12850" s="214"/>
      <c r="E12850" s="24"/>
      <c r="G12850" s="24"/>
    </row>
    <row r="12851">
      <c r="B12851" s="24"/>
      <c r="C12851" s="24"/>
      <c r="D12851" s="214"/>
      <c r="E12851" s="24"/>
      <c r="G12851" s="24"/>
    </row>
    <row r="12852">
      <c r="B12852" s="24"/>
      <c r="C12852" s="24"/>
      <c r="D12852" s="214"/>
      <c r="E12852" s="24"/>
      <c r="G12852" s="24"/>
    </row>
    <row r="12853">
      <c r="B12853" s="24"/>
      <c r="C12853" s="24"/>
      <c r="D12853" s="214"/>
      <c r="E12853" s="24"/>
      <c r="G12853" s="24"/>
    </row>
    <row r="12854">
      <c r="B12854" s="24"/>
      <c r="C12854" s="24"/>
      <c r="D12854" s="214"/>
      <c r="E12854" s="24"/>
      <c r="G12854" s="24"/>
    </row>
    <row r="12855">
      <c r="B12855" s="24"/>
      <c r="C12855" s="24"/>
      <c r="D12855" s="214"/>
      <c r="E12855" s="24"/>
      <c r="G12855" s="24"/>
    </row>
    <row r="12856">
      <c r="B12856" s="24"/>
      <c r="C12856" s="24"/>
      <c r="D12856" s="214"/>
      <c r="E12856" s="24"/>
      <c r="G12856" s="24"/>
    </row>
    <row r="12857">
      <c r="B12857" s="24"/>
      <c r="C12857" s="24"/>
      <c r="D12857" s="214"/>
      <c r="E12857" s="24"/>
      <c r="G12857" s="24"/>
    </row>
    <row r="12858">
      <c r="B12858" s="24"/>
      <c r="C12858" s="24"/>
      <c r="D12858" s="214"/>
      <c r="E12858" s="24"/>
      <c r="G12858" s="24"/>
    </row>
    <row r="12859">
      <c r="B12859" s="24"/>
      <c r="C12859" s="24"/>
      <c r="D12859" s="214"/>
      <c r="E12859" s="24"/>
      <c r="G12859" s="24"/>
    </row>
    <row r="12860">
      <c r="B12860" s="24"/>
      <c r="C12860" s="24"/>
      <c r="D12860" s="214"/>
      <c r="E12860" s="24"/>
      <c r="G12860" s="24"/>
    </row>
    <row r="12861">
      <c r="B12861" s="24"/>
      <c r="C12861" s="24"/>
      <c r="D12861" s="214"/>
      <c r="E12861" s="24"/>
      <c r="G12861" s="24"/>
    </row>
    <row r="12862">
      <c r="B12862" s="24"/>
      <c r="C12862" s="24"/>
      <c r="D12862" s="214"/>
      <c r="E12862" s="24"/>
      <c r="G12862" s="24"/>
    </row>
    <row r="12863">
      <c r="B12863" s="24"/>
      <c r="C12863" s="24"/>
      <c r="D12863" s="214"/>
      <c r="E12863" s="24"/>
      <c r="G12863" s="24"/>
    </row>
    <row r="12864">
      <c r="B12864" s="24"/>
      <c r="C12864" s="24"/>
      <c r="D12864" s="214"/>
      <c r="E12864" s="24"/>
      <c r="G12864" s="24"/>
    </row>
    <row r="12865">
      <c r="B12865" s="24"/>
      <c r="C12865" s="24"/>
      <c r="D12865" s="214"/>
      <c r="E12865" s="24"/>
      <c r="G12865" s="24"/>
    </row>
    <row r="12866">
      <c r="B12866" s="24"/>
      <c r="C12866" s="24"/>
      <c r="D12866" s="214"/>
      <c r="E12866" s="24"/>
      <c r="G12866" s="24"/>
    </row>
    <row r="12867">
      <c r="B12867" s="24"/>
      <c r="C12867" s="24"/>
      <c r="D12867" s="214"/>
      <c r="E12867" s="24"/>
      <c r="G12867" s="24"/>
    </row>
    <row r="12868">
      <c r="B12868" s="24"/>
      <c r="C12868" s="24"/>
      <c r="D12868" s="214"/>
      <c r="E12868" s="24"/>
      <c r="G12868" s="24"/>
    </row>
    <row r="12869">
      <c r="B12869" s="24"/>
      <c r="C12869" s="24"/>
      <c r="D12869" s="214"/>
      <c r="E12869" s="24"/>
      <c r="G12869" s="24"/>
    </row>
    <row r="12870">
      <c r="B12870" s="24"/>
      <c r="C12870" s="24"/>
      <c r="D12870" s="214"/>
      <c r="E12870" s="24"/>
      <c r="G12870" s="24"/>
    </row>
    <row r="12871">
      <c r="B12871" s="24"/>
      <c r="C12871" s="24"/>
      <c r="D12871" s="214"/>
      <c r="E12871" s="24"/>
      <c r="G12871" s="24"/>
    </row>
    <row r="12872">
      <c r="B12872" s="24"/>
      <c r="C12872" s="24"/>
      <c r="D12872" s="214"/>
      <c r="E12872" s="24"/>
      <c r="G12872" s="24"/>
    </row>
    <row r="12873">
      <c r="B12873" s="24"/>
      <c r="C12873" s="24"/>
      <c r="D12873" s="214"/>
      <c r="E12873" s="24"/>
      <c r="G12873" s="24"/>
    </row>
    <row r="12874">
      <c r="B12874" s="24"/>
      <c r="C12874" s="24"/>
      <c r="D12874" s="214"/>
      <c r="E12874" s="24"/>
      <c r="G12874" s="24"/>
    </row>
    <row r="12875">
      <c r="B12875" s="24"/>
      <c r="C12875" s="24"/>
      <c r="D12875" s="214"/>
      <c r="E12875" s="24"/>
      <c r="G12875" s="24"/>
    </row>
    <row r="12876">
      <c r="B12876" s="24"/>
      <c r="C12876" s="24"/>
      <c r="D12876" s="214"/>
      <c r="E12876" s="24"/>
      <c r="G12876" s="24"/>
    </row>
    <row r="12877">
      <c r="B12877" s="24"/>
      <c r="C12877" s="24"/>
      <c r="D12877" s="214"/>
      <c r="E12877" s="24"/>
      <c r="G12877" s="24"/>
    </row>
    <row r="12878">
      <c r="B12878" s="24"/>
      <c r="C12878" s="24"/>
      <c r="D12878" s="214"/>
      <c r="E12878" s="24"/>
      <c r="G12878" s="24"/>
    </row>
    <row r="12879">
      <c r="B12879" s="24"/>
      <c r="C12879" s="24"/>
      <c r="D12879" s="214"/>
      <c r="E12879" s="24"/>
      <c r="G12879" s="24"/>
    </row>
    <row r="12880">
      <c r="B12880" s="24"/>
      <c r="C12880" s="24"/>
      <c r="D12880" s="214"/>
      <c r="E12880" s="24"/>
      <c r="G12880" s="24"/>
    </row>
    <row r="12881">
      <c r="B12881" s="24"/>
      <c r="C12881" s="24"/>
      <c r="D12881" s="214"/>
      <c r="E12881" s="24"/>
      <c r="G12881" s="24"/>
    </row>
    <row r="12882">
      <c r="B12882" s="24"/>
      <c r="C12882" s="24"/>
      <c r="D12882" s="214"/>
      <c r="E12882" s="24"/>
      <c r="G12882" s="24"/>
    </row>
    <row r="12883">
      <c r="B12883" s="24"/>
      <c r="C12883" s="24"/>
      <c r="D12883" s="214"/>
      <c r="E12883" s="24"/>
      <c r="G12883" s="24"/>
    </row>
    <row r="12884">
      <c r="B12884" s="24"/>
      <c r="C12884" s="24"/>
      <c r="D12884" s="214"/>
      <c r="E12884" s="24"/>
      <c r="G12884" s="24"/>
    </row>
    <row r="12885">
      <c r="B12885" s="24"/>
      <c r="C12885" s="24"/>
      <c r="D12885" s="214"/>
      <c r="E12885" s="24"/>
      <c r="G12885" s="24"/>
    </row>
    <row r="12886">
      <c r="B12886" s="24"/>
      <c r="C12886" s="24"/>
      <c r="D12886" s="214"/>
      <c r="E12886" s="24"/>
      <c r="G12886" s="24"/>
    </row>
    <row r="12887">
      <c r="B12887" s="24"/>
      <c r="C12887" s="24"/>
      <c r="D12887" s="214"/>
      <c r="E12887" s="24"/>
      <c r="G12887" s="24"/>
    </row>
    <row r="12888">
      <c r="B12888" s="24"/>
      <c r="C12888" s="24"/>
      <c r="D12888" s="214"/>
      <c r="E12888" s="24"/>
      <c r="G12888" s="24"/>
    </row>
    <row r="12889">
      <c r="B12889" s="24"/>
      <c r="C12889" s="24"/>
      <c r="D12889" s="214"/>
      <c r="E12889" s="24"/>
      <c r="G12889" s="24"/>
    </row>
    <row r="12890">
      <c r="B12890" s="24"/>
      <c r="C12890" s="24"/>
      <c r="D12890" s="214"/>
      <c r="E12890" s="24"/>
      <c r="G12890" s="24"/>
    </row>
    <row r="12891">
      <c r="B12891" s="24"/>
      <c r="C12891" s="24"/>
      <c r="D12891" s="214"/>
      <c r="E12891" s="24"/>
      <c r="G12891" s="24"/>
    </row>
    <row r="12892">
      <c r="B12892" s="24"/>
      <c r="C12892" s="24"/>
      <c r="D12892" s="214"/>
      <c r="E12892" s="24"/>
      <c r="G12892" s="24"/>
    </row>
    <row r="12893">
      <c r="B12893" s="24"/>
      <c r="C12893" s="24"/>
      <c r="D12893" s="214"/>
      <c r="E12893" s="24"/>
      <c r="G12893" s="24"/>
    </row>
    <row r="12894">
      <c r="B12894" s="24"/>
      <c r="C12894" s="24"/>
      <c r="D12894" s="214"/>
      <c r="E12894" s="24"/>
      <c r="G12894" s="24"/>
    </row>
    <row r="12895">
      <c r="B12895" s="24"/>
      <c r="C12895" s="24"/>
      <c r="D12895" s="214"/>
      <c r="E12895" s="24"/>
      <c r="G12895" s="24"/>
    </row>
    <row r="12896">
      <c r="B12896" s="24"/>
      <c r="C12896" s="24"/>
      <c r="D12896" s="214"/>
      <c r="E12896" s="24"/>
      <c r="G12896" s="24"/>
    </row>
    <row r="12897">
      <c r="B12897" s="24"/>
      <c r="C12897" s="24"/>
      <c r="D12897" s="214"/>
      <c r="E12897" s="24"/>
      <c r="G12897" s="24"/>
    </row>
    <row r="12898">
      <c r="B12898" s="24"/>
      <c r="C12898" s="24"/>
      <c r="D12898" s="214"/>
      <c r="E12898" s="24"/>
      <c r="G12898" s="24"/>
    </row>
    <row r="12899">
      <c r="B12899" s="24"/>
      <c r="C12899" s="24"/>
      <c r="D12899" s="214"/>
      <c r="E12899" s="24"/>
      <c r="G12899" s="24"/>
    </row>
    <row r="12900">
      <c r="B12900" s="24"/>
      <c r="C12900" s="24"/>
      <c r="D12900" s="214"/>
      <c r="E12900" s="24"/>
      <c r="G12900" s="24"/>
    </row>
    <row r="12901">
      <c r="B12901" s="24"/>
      <c r="C12901" s="24"/>
      <c r="D12901" s="214"/>
      <c r="E12901" s="24"/>
      <c r="G12901" s="24"/>
    </row>
    <row r="12902">
      <c r="B12902" s="24"/>
      <c r="C12902" s="24"/>
      <c r="D12902" s="214"/>
      <c r="E12902" s="24"/>
      <c r="G12902" s="24"/>
    </row>
    <row r="12903">
      <c r="B12903" s="24"/>
      <c r="C12903" s="24"/>
      <c r="D12903" s="214"/>
      <c r="E12903" s="24"/>
      <c r="G12903" s="24"/>
    </row>
    <row r="12904">
      <c r="B12904" s="24"/>
      <c r="C12904" s="24"/>
      <c r="D12904" s="214"/>
      <c r="E12904" s="24"/>
      <c r="G12904" s="24"/>
    </row>
    <row r="12905">
      <c r="B12905" s="24"/>
      <c r="C12905" s="24"/>
      <c r="D12905" s="214"/>
      <c r="E12905" s="24"/>
      <c r="G12905" s="24"/>
    </row>
    <row r="12906">
      <c r="B12906" s="24"/>
      <c r="C12906" s="24"/>
      <c r="D12906" s="214"/>
      <c r="E12906" s="24"/>
      <c r="G12906" s="24"/>
    </row>
    <row r="12907">
      <c r="B12907" s="24"/>
      <c r="C12907" s="24"/>
      <c r="D12907" s="214"/>
      <c r="E12907" s="24"/>
      <c r="G12907" s="24"/>
    </row>
    <row r="12908">
      <c r="B12908" s="24"/>
      <c r="C12908" s="24"/>
      <c r="D12908" s="214"/>
      <c r="E12908" s="24"/>
      <c r="G12908" s="24"/>
    </row>
    <row r="12909">
      <c r="B12909" s="24"/>
      <c r="C12909" s="24"/>
      <c r="D12909" s="214"/>
      <c r="E12909" s="24"/>
      <c r="G12909" s="24"/>
    </row>
    <row r="12910">
      <c r="B12910" s="24"/>
      <c r="C12910" s="24"/>
      <c r="D12910" s="214"/>
      <c r="E12910" s="24"/>
      <c r="G12910" s="24"/>
    </row>
    <row r="12911">
      <c r="B12911" s="24"/>
      <c r="C12911" s="24"/>
      <c r="D12911" s="214"/>
      <c r="E12911" s="24"/>
      <c r="G12911" s="24"/>
    </row>
    <row r="12912">
      <c r="B12912" s="24"/>
      <c r="C12912" s="24"/>
      <c r="D12912" s="214"/>
      <c r="E12912" s="24"/>
      <c r="G12912" s="24"/>
    </row>
    <row r="12913">
      <c r="B12913" s="24"/>
      <c r="C12913" s="24"/>
      <c r="D12913" s="214"/>
      <c r="E12913" s="24"/>
      <c r="G12913" s="24"/>
    </row>
    <row r="12914">
      <c r="B12914" s="24"/>
      <c r="C12914" s="24"/>
      <c r="D12914" s="214"/>
      <c r="E12914" s="24"/>
      <c r="G12914" s="24"/>
    </row>
    <row r="12915">
      <c r="B12915" s="24"/>
      <c r="C12915" s="24"/>
      <c r="D12915" s="214"/>
      <c r="E12915" s="24"/>
      <c r="G12915" s="24"/>
    </row>
    <row r="12916">
      <c r="B12916" s="24"/>
      <c r="C12916" s="24"/>
      <c r="D12916" s="214"/>
      <c r="E12916" s="24"/>
      <c r="G12916" s="24"/>
    </row>
    <row r="12917">
      <c r="B12917" s="24"/>
      <c r="C12917" s="24"/>
      <c r="D12917" s="214"/>
      <c r="E12917" s="24"/>
      <c r="G12917" s="24"/>
    </row>
    <row r="12918">
      <c r="B12918" s="24"/>
      <c r="C12918" s="24"/>
      <c r="D12918" s="214"/>
      <c r="E12918" s="24"/>
      <c r="G12918" s="24"/>
    </row>
    <row r="12919">
      <c r="B12919" s="24"/>
      <c r="C12919" s="24"/>
      <c r="D12919" s="214"/>
      <c r="E12919" s="24"/>
      <c r="G12919" s="24"/>
    </row>
    <row r="12920">
      <c r="B12920" s="24"/>
      <c r="C12920" s="24"/>
      <c r="D12920" s="214"/>
      <c r="E12920" s="24"/>
      <c r="G12920" s="24"/>
    </row>
    <row r="12921">
      <c r="B12921" s="24"/>
      <c r="C12921" s="24"/>
      <c r="D12921" s="214"/>
      <c r="E12921" s="24"/>
      <c r="G12921" s="24"/>
    </row>
    <row r="12922">
      <c r="B12922" s="24"/>
      <c r="C12922" s="24"/>
      <c r="D12922" s="214"/>
      <c r="E12922" s="24"/>
      <c r="G12922" s="24"/>
    </row>
    <row r="12923">
      <c r="B12923" s="24"/>
      <c r="C12923" s="24"/>
      <c r="D12923" s="214"/>
      <c r="E12923" s="24"/>
      <c r="G12923" s="24"/>
    </row>
    <row r="12924">
      <c r="B12924" s="24"/>
      <c r="C12924" s="24"/>
      <c r="D12924" s="214"/>
      <c r="E12924" s="24"/>
      <c r="G12924" s="24"/>
    </row>
    <row r="12925">
      <c r="B12925" s="24"/>
      <c r="C12925" s="24"/>
      <c r="D12925" s="214"/>
      <c r="E12925" s="24"/>
      <c r="G12925" s="24"/>
    </row>
    <row r="12926">
      <c r="B12926" s="24"/>
      <c r="C12926" s="24"/>
      <c r="D12926" s="214"/>
      <c r="E12926" s="24"/>
      <c r="G12926" s="24"/>
    </row>
    <row r="12927">
      <c r="B12927" s="24"/>
      <c r="C12927" s="24"/>
      <c r="D12927" s="214"/>
      <c r="E12927" s="24"/>
      <c r="G12927" s="24"/>
    </row>
    <row r="12928">
      <c r="B12928" s="24"/>
      <c r="C12928" s="24"/>
      <c r="D12928" s="214"/>
      <c r="E12928" s="24"/>
      <c r="G12928" s="24"/>
    </row>
    <row r="12929">
      <c r="B12929" s="24"/>
      <c r="C12929" s="24"/>
      <c r="D12929" s="214"/>
      <c r="E12929" s="24"/>
      <c r="G12929" s="24"/>
    </row>
    <row r="12930">
      <c r="B12930" s="24"/>
      <c r="C12930" s="24"/>
      <c r="D12930" s="214"/>
      <c r="E12930" s="24"/>
      <c r="G12930" s="24"/>
    </row>
    <row r="12931">
      <c r="B12931" s="24"/>
      <c r="C12931" s="24"/>
      <c r="D12931" s="214"/>
      <c r="E12931" s="24"/>
      <c r="G12931" s="24"/>
    </row>
    <row r="12932">
      <c r="B12932" s="24"/>
      <c r="C12932" s="24"/>
      <c r="D12932" s="214"/>
      <c r="E12932" s="24"/>
      <c r="G12932" s="24"/>
    </row>
    <row r="12933">
      <c r="B12933" s="24"/>
      <c r="C12933" s="24"/>
      <c r="D12933" s="214"/>
      <c r="E12933" s="24"/>
      <c r="G12933" s="24"/>
    </row>
    <row r="12934">
      <c r="B12934" s="24"/>
      <c r="C12934" s="24"/>
      <c r="D12934" s="214"/>
      <c r="E12934" s="24"/>
      <c r="G12934" s="24"/>
    </row>
    <row r="12935">
      <c r="B12935" s="24"/>
      <c r="C12935" s="24"/>
      <c r="D12935" s="214"/>
      <c r="E12935" s="24"/>
      <c r="G12935" s="24"/>
    </row>
    <row r="12936">
      <c r="B12936" s="24"/>
      <c r="C12936" s="24"/>
      <c r="D12936" s="214"/>
      <c r="E12936" s="24"/>
      <c r="G12936" s="24"/>
    </row>
    <row r="12937">
      <c r="B12937" s="24"/>
      <c r="C12937" s="24"/>
      <c r="D12937" s="214"/>
      <c r="E12937" s="24"/>
      <c r="G12937" s="24"/>
    </row>
    <row r="12938">
      <c r="B12938" s="24"/>
      <c r="C12938" s="24"/>
      <c r="D12938" s="214"/>
      <c r="E12938" s="24"/>
      <c r="G12938" s="24"/>
    </row>
    <row r="12939">
      <c r="B12939" s="24"/>
      <c r="C12939" s="24"/>
      <c r="D12939" s="214"/>
      <c r="E12939" s="24"/>
      <c r="G12939" s="24"/>
    </row>
    <row r="12940">
      <c r="B12940" s="24"/>
      <c r="C12940" s="24"/>
      <c r="D12940" s="214"/>
      <c r="E12940" s="24"/>
      <c r="G12940" s="24"/>
    </row>
    <row r="12941">
      <c r="B12941" s="24"/>
      <c r="C12941" s="24"/>
      <c r="D12941" s="214"/>
      <c r="E12941" s="24"/>
      <c r="G12941" s="24"/>
    </row>
    <row r="12942">
      <c r="B12942" s="24"/>
      <c r="C12942" s="24"/>
      <c r="D12942" s="214"/>
      <c r="E12942" s="24"/>
      <c r="G12942" s="24"/>
    </row>
    <row r="12943">
      <c r="B12943" s="24"/>
      <c r="C12943" s="24"/>
      <c r="D12943" s="214"/>
      <c r="E12943" s="24"/>
      <c r="G12943" s="24"/>
    </row>
    <row r="12944">
      <c r="B12944" s="24"/>
      <c r="C12944" s="24"/>
      <c r="D12944" s="214"/>
      <c r="E12944" s="24"/>
      <c r="G12944" s="24"/>
    </row>
    <row r="12945">
      <c r="B12945" s="24"/>
      <c r="C12945" s="24"/>
      <c r="D12945" s="214"/>
      <c r="E12945" s="24"/>
      <c r="G12945" s="24"/>
    </row>
    <row r="12946">
      <c r="B12946" s="24"/>
      <c r="C12946" s="24"/>
      <c r="D12946" s="214"/>
      <c r="E12946" s="24"/>
      <c r="G12946" s="24"/>
    </row>
    <row r="12947">
      <c r="B12947" s="24"/>
      <c r="C12947" s="24"/>
      <c r="D12947" s="214"/>
      <c r="E12947" s="24"/>
      <c r="G12947" s="24"/>
    </row>
    <row r="12948">
      <c r="B12948" s="24"/>
      <c r="C12948" s="24"/>
      <c r="D12948" s="214"/>
      <c r="E12948" s="24"/>
      <c r="G12948" s="24"/>
    </row>
    <row r="12949">
      <c r="B12949" s="24"/>
      <c r="C12949" s="24"/>
      <c r="D12949" s="214"/>
      <c r="E12949" s="24"/>
      <c r="G12949" s="24"/>
    </row>
    <row r="12950">
      <c r="B12950" s="24"/>
      <c r="C12950" s="24"/>
      <c r="D12950" s="214"/>
      <c r="E12950" s="24"/>
      <c r="G12950" s="24"/>
    </row>
    <row r="12951">
      <c r="B12951" s="24"/>
      <c r="C12951" s="24"/>
      <c r="D12951" s="214"/>
      <c r="E12951" s="24"/>
      <c r="G12951" s="24"/>
    </row>
    <row r="12952">
      <c r="B12952" s="24"/>
      <c r="C12952" s="24"/>
      <c r="D12952" s="214"/>
      <c r="E12952" s="24"/>
      <c r="G12952" s="24"/>
    </row>
    <row r="12953">
      <c r="B12953" s="24"/>
      <c r="C12953" s="24"/>
      <c r="D12953" s="214"/>
      <c r="E12953" s="24"/>
      <c r="G12953" s="24"/>
    </row>
    <row r="12954">
      <c r="B12954" s="24"/>
      <c r="C12954" s="24"/>
      <c r="D12954" s="214"/>
      <c r="E12954" s="24"/>
      <c r="G12954" s="24"/>
    </row>
    <row r="12955">
      <c r="B12955" s="24"/>
      <c r="C12955" s="24"/>
      <c r="D12955" s="214"/>
      <c r="E12955" s="24"/>
      <c r="G12955" s="24"/>
    </row>
    <row r="12956">
      <c r="B12956" s="24"/>
      <c r="C12956" s="24"/>
      <c r="D12956" s="214"/>
      <c r="E12956" s="24"/>
      <c r="G12956" s="24"/>
    </row>
    <row r="12957">
      <c r="B12957" s="24"/>
      <c r="C12957" s="24"/>
      <c r="D12957" s="214"/>
      <c r="E12957" s="24"/>
      <c r="G12957" s="24"/>
    </row>
    <row r="12958">
      <c r="B12958" s="24"/>
      <c r="C12958" s="24"/>
      <c r="D12958" s="214"/>
      <c r="E12958" s="24"/>
      <c r="G12958" s="24"/>
    </row>
    <row r="12959">
      <c r="B12959" s="24"/>
      <c r="C12959" s="24"/>
      <c r="D12959" s="214"/>
      <c r="E12959" s="24"/>
      <c r="G12959" s="24"/>
    </row>
    <row r="12960">
      <c r="B12960" s="24"/>
      <c r="C12960" s="24"/>
      <c r="D12960" s="214"/>
      <c r="E12960" s="24"/>
      <c r="G12960" s="24"/>
    </row>
    <row r="12961">
      <c r="B12961" s="24"/>
      <c r="C12961" s="24"/>
      <c r="D12961" s="214"/>
      <c r="E12961" s="24"/>
      <c r="G12961" s="24"/>
    </row>
    <row r="12962">
      <c r="B12962" s="24"/>
      <c r="C12962" s="24"/>
      <c r="D12962" s="214"/>
      <c r="E12962" s="24"/>
      <c r="G12962" s="24"/>
    </row>
    <row r="12963">
      <c r="B12963" s="24"/>
      <c r="C12963" s="24"/>
      <c r="D12963" s="214"/>
      <c r="E12963" s="24"/>
      <c r="G12963" s="24"/>
    </row>
    <row r="12964">
      <c r="B12964" s="24"/>
      <c r="C12964" s="24"/>
      <c r="D12964" s="214"/>
      <c r="E12964" s="24"/>
      <c r="G12964" s="24"/>
    </row>
    <row r="12965">
      <c r="B12965" s="24"/>
      <c r="C12965" s="24"/>
      <c r="D12965" s="214"/>
      <c r="E12965" s="24"/>
      <c r="G12965" s="24"/>
    </row>
    <row r="12966">
      <c r="B12966" s="24"/>
      <c r="C12966" s="24"/>
      <c r="D12966" s="214"/>
      <c r="E12966" s="24"/>
      <c r="G12966" s="24"/>
    </row>
    <row r="12967">
      <c r="B12967" s="24"/>
      <c r="C12967" s="24"/>
      <c r="D12967" s="214"/>
      <c r="E12967" s="24"/>
      <c r="G12967" s="24"/>
    </row>
    <row r="12968">
      <c r="B12968" s="24"/>
      <c r="C12968" s="24"/>
      <c r="D12968" s="214"/>
      <c r="E12968" s="24"/>
      <c r="G12968" s="24"/>
    </row>
    <row r="12969">
      <c r="B12969" s="24"/>
      <c r="C12969" s="24"/>
      <c r="D12969" s="214"/>
      <c r="E12969" s="24"/>
      <c r="G12969" s="24"/>
    </row>
    <row r="12970">
      <c r="B12970" s="24"/>
      <c r="C12970" s="24"/>
      <c r="D12970" s="214"/>
      <c r="E12970" s="24"/>
      <c r="G12970" s="24"/>
    </row>
    <row r="12971">
      <c r="B12971" s="24"/>
      <c r="C12971" s="24"/>
      <c r="D12971" s="214"/>
      <c r="E12971" s="24"/>
      <c r="G12971" s="24"/>
    </row>
    <row r="12972">
      <c r="B12972" s="24"/>
      <c r="C12972" s="24"/>
      <c r="D12972" s="214"/>
      <c r="E12972" s="24"/>
      <c r="G12972" s="24"/>
    </row>
    <row r="12973">
      <c r="B12973" s="24"/>
      <c r="C12973" s="24"/>
      <c r="D12973" s="214"/>
      <c r="E12973" s="24"/>
      <c r="G12973" s="24"/>
    </row>
    <row r="12974">
      <c r="B12974" s="24"/>
      <c r="C12974" s="24"/>
      <c r="D12974" s="214"/>
      <c r="E12974" s="24"/>
      <c r="G12974" s="24"/>
    </row>
    <row r="12975">
      <c r="B12975" s="24"/>
      <c r="C12975" s="24"/>
      <c r="D12975" s="214"/>
      <c r="E12975" s="24"/>
      <c r="G12975" s="24"/>
    </row>
    <row r="12976">
      <c r="B12976" s="24"/>
      <c r="C12976" s="24"/>
      <c r="D12976" s="214"/>
      <c r="E12976" s="24"/>
      <c r="G12976" s="24"/>
    </row>
    <row r="12977">
      <c r="B12977" s="24"/>
      <c r="C12977" s="24"/>
      <c r="D12977" s="214"/>
      <c r="E12977" s="24"/>
      <c r="G12977" s="24"/>
    </row>
    <row r="12978">
      <c r="B12978" s="24"/>
      <c r="C12978" s="24"/>
      <c r="D12978" s="214"/>
      <c r="E12978" s="24"/>
      <c r="G12978" s="24"/>
    </row>
    <row r="12979">
      <c r="B12979" s="24"/>
      <c r="C12979" s="24"/>
      <c r="D12979" s="214"/>
      <c r="E12979" s="24"/>
      <c r="G12979" s="24"/>
    </row>
    <row r="12980">
      <c r="B12980" s="24"/>
      <c r="C12980" s="24"/>
      <c r="D12980" s="214"/>
      <c r="E12980" s="24"/>
      <c r="G12980" s="24"/>
    </row>
    <row r="12981">
      <c r="B12981" s="24"/>
      <c r="C12981" s="24"/>
      <c r="D12981" s="214"/>
      <c r="E12981" s="24"/>
      <c r="G12981" s="24"/>
    </row>
    <row r="12982">
      <c r="B12982" s="24"/>
      <c r="C12982" s="24"/>
      <c r="D12982" s="214"/>
      <c r="E12982" s="24"/>
      <c r="G12982" s="24"/>
    </row>
    <row r="12983">
      <c r="B12983" s="24"/>
      <c r="C12983" s="24"/>
      <c r="D12983" s="214"/>
      <c r="E12983" s="24"/>
      <c r="G12983" s="24"/>
    </row>
    <row r="12984">
      <c r="B12984" s="24"/>
      <c r="C12984" s="24"/>
      <c r="D12984" s="214"/>
      <c r="E12984" s="24"/>
      <c r="G12984" s="24"/>
    </row>
    <row r="12985">
      <c r="B12985" s="24"/>
      <c r="C12985" s="24"/>
      <c r="D12985" s="214"/>
      <c r="E12985" s="24"/>
      <c r="G12985" s="24"/>
    </row>
    <row r="12986">
      <c r="B12986" s="24"/>
      <c r="C12986" s="24"/>
      <c r="D12986" s="214"/>
      <c r="E12986" s="24"/>
      <c r="G12986" s="24"/>
    </row>
    <row r="12987">
      <c r="B12987" s="24"/>
      <c r="C12987" s="24"/>
      <c r="D12987" s="214"/>
      <c r="E12987" s="24"/>
      <c r="G12987" s="24"/>
    </row>
    <row r="12988">
      <c r="B12988" s="24"/>
      <c r="C12988" s="24"/>
      <c r="D12988" s="214"/>
      <c r="E12988" s="24"/>
      <c r="G12988" s="24"/>
    </row>
    <row r="12989">
      <c r="B12989" s="24"/>
      <c r="C12989" s="24"/>
      <c r="D12989" s="214"/>
      <c r="E12989" s="24"/>
      <c r="G12989" s="24"/>
    </row>
    <row r="12990">
      <c r="B12990" s="24"/>
      <c r="C12990" s="24"/>
      <c r="D12990" s="214"/>
      <c r="E12990" s="24"/>
      <c r="G12990" s="24"/>
    </row>
    <row r="12991">
      <c r="B12991" s="24"/>
      <c r="C12991" s="24"/>
      <c r="D12991" s="214"/>
      <c r="E12991" s="24"/>
      <c r="G12991" s="24"/>
    </row>
    <row r="12992">
      <c r="B12992" s="24"/>
      <c r="C12992" s="24"/>
      <c r="D12992" s="214"/>
      <c r="E12992" s="24"/>
      <c r="G12992" s="24"/>
    </row>
    <row r="12993">
      <c r="B12993" s="24"/>
      <c r="C12993" s="24"/>
      <c r="D12993" s="214"/>
      <c r="E12993" s="24"/>
      <c r="G12993" s="24"/>
    </row>
    <row r="12994">
      <c r="B12994" s="24"/>
      <c r="C12994" s="24"/>
      <c r="D12994" s="214"/>
      <c r="E12994" s="24"/>
      <c r="G12994" s="24"/>
    </row>
    <row r="12995">
      <c r="B12995" s="24"/>
      <c r="C12995" s="24"/>
      <c r="D12995" s="214"/>
      <c r="E12995" s="24"/>
      <c r="G12995" s="24"/>
    </row>
    <row r="12996">
      <c r="B12996" s="24"/>
      <c r="C12996" s="24"/>
      <c r="D12996" s="214"/>
      <c r="E12996" s="24"/>
      <c r="G12996" s="24"/>
    </row>
    <row r="12997">
      <c r="B12997" s="24"/>
      <c r="C12997" s="24"/>
      <c r="D12997" s="214"/>
      <c r="E12997" s="24"/>
      <c r="G12997" s="24"/>
    </row>
    <row r="12998">
      <c r="B12998" s="24"/>
      <c r="C12998" s="24"/>
      <c r="D12998" s="214"/>
      <c r="E12998" s="24"/>
      <c r="G12998" s="24"/>
    </row>
    <row r="12999">
      <c r="B12999" s="24"/>
      <c r="C12999" s="24"/>
      <c r="D12999" s="214"/>
      <c r="E12999" s="24"/>
      <c r="G12999" s="24"/>
    </row>
    <row r="13000">
      <c r="B13000" s="24"/>
      <c r="C13000" s="24"/>
      <c r="D13000" s="214"/>
      <c r="E13000" s="24"/>
      <c r="G13000" s="24"/>
    </row>
    <row r="13001">
      <c r="B13001" s="24"/>
      <c r="C13001" s="24"/>
      <c r="D13001" s="214"/>
      <c r="E13001" s="24"/>
      <c r="G13001" s="24"/>
    </row>
    <row r="13002">
      <c r="B13002" s="24"/>
      <c r="C13002" s="24"/>
      <c r="D13002" s="214"/>
      <c r="E13002" s="24"/>
      <c r="G13002" s="24"/>
    </row>
    <row r="13003">
      <c r="B13003" s="24"/>
      <c r="C13003" s="24"/>
      <c r="D13003" s="214"/>
      <c r="E13003" s="24"/>
      <c r="G13003" s="24"/>
    </row>
    <row r="13004">
      <c r="B13004" s="24"/>
      <c r="C13004" s="24"/>
      <c r="D13004" s="214"/>
      <c r="E13004" s="24"/>
      <c r="G13004" s="24"/>
    </row>
    <row r="13005">
      <c r="B13005" s="24"/>
      <c r="C13005" s="24"/>
      <c r="D13005" s="214"/>
      <c r="E13005" s="24"/>
      <c r="G13005" s="24"/>
    </row>
    <row r="13006">
      <c r="B13006" s="24"/>
      <c r="C13006" s="24"/>
      <c r="D13006" s="214"/>
      <c r="E13006" s="24"/>
      <c r="G13006" s="24"/>
    </row>
    <row r="13007">
      <c r="B13007" s="24"/>
      <c r="C13007" s="24"/>
      <c r="D13007" s="214"/>
      <c r="E13007" s="24"/>
      <c r="G13007" s="24"/>
    </row>
    <row r="13008">
      <c r="B13008" s="24"/>
      <c r="C13008" s="24"/>
      <c r="D13008" s="214"/>
      <c r="E13008" s="24"/>
      <c r="G13008" s="24"/>
    </row>
    <row r="13009">
      <c r="B13009" s="24"/>
      <c r="C13009" s="24"/>
      <c r="D13009" s="214"/>
      <c r="E13009" s="24"/>
      <c r="G13009" s="24"/>
    </row>
    <row r="13010">
      <c r="B13010" s="24"/>
      <c r="C13010" s="24"/>
      <c r="D13010" s="214"/>
      <c r="E13010" s="24"/>
      <c r="G13010" s="24"/>
    </row>
    <row r="13011">
      <c r="B13011" s="24"/>
      <c r="C13011" s="24"/>
      <c r="D13011" s="214"/>
      <c r="E13011" s="24"/>
      <c r="G13011" s="24"/>
    </row>
    <row r="13012">
      <c r="B13012" s="24"/>
      <c r="C13012" s="24"/>
      <c r="D13012" s="214"/>
      <c r="E13012" s="24"/>
      <c r="G13012" s="24"/>
    </row>
    <row r="13013">
      <c r="B13013" s="24"/>
      <c r="C13013" s="24"/>
      <c r="D13013" s="214"/>
      <c r="E13013" s="24"/>
      <c r="G13013" s="24"/>
    </row>
    <row r="13014">
      <c r="B13014" s="24"/>
      <c r="C13014" s="24"/>
      <c r="D13014" s="214"/>
      <c r="E13014" s="24"/>
      <c r="G13014" s="24"/>
    </row>
    <row r="13015">
      <c r="B13015" s="24"/>
      <c r="C13015" s="24"/>
      <c r="D13015" s="214"/>
      <c r="E13015" s="24"/>
      <c r="G13015" s="24"/>
    </row>
    <row r="13016">
      <c r="B13016" s="24"/>
      <c r="C13016" s="24"/>
      <c r="D13016" s="214"/>
      <c r="E13016" s="24"/>
      <c r="G13016" s="24"/>
    </row>
    <row r="13017">
      <c r="B13017" s="24"/>
      <c r="C13017" s="24"/>
      <c r="D13017" s="214"/>
      <c r="E13017" s="24"/>
      <c r="G13017" s="24"/>
    </row>
    <row r="13018">
      <c r="B13018" s="24"/>
      <c r="C13018" s="24"/>
      <c r="D13018" s="214"/>
      <c r="E13018" s="24"/>
      <c r="G13018" s="24"/>
    </row>
    <row r="13019">
      <c r="B13019" s="24"/>
      <c r="C13019" s="24"/>
      <c r="D13019" s="214"/>
      <c r="E13019" s="24"/>
      <c r="G13019" s="24"/>
    </row>
    <row r="13020">
      <c r="B13020" s="24"/>
      <c r="C13020" s="24"/>
      <c r="D13020" s="214"/>
      <c r="E13020" s="24"/>
      <c r="G13020" s="24"/>
    </row>
    <row r="13021">
      <c r="B13021" s="24"/>
      <c r="C13021" s="24"/>
      <c r="D13021" s="214"/>
      <c r="E13021" s="24"/>
      <c r="G13021" s="24"/>
    </row>
    <row r="13022">
      <c r="B13022" s="24"/>
      <c r="C13022" s="24"/>
      <c r="D13022" s="214"/>
      <c r="E13022" s="24"/>
      <c r="G13022" s="24"/>
    </row>
    <row r="13023">
      <c r="B13023" s="24"/>
      <c r="C13023" s="24"/>
      <c r="D13023" s="214"/>
      <c r="E13023" s="24"/>
      <c r="G13023" s="24"/>
    </row>
    <row r="13024">
      <c r="B13024" s="24"/>
      <c r="C13024" s="24"/>
      <c r="D13024" s="214"/>
      <c r="E13024" s="24"/>
      <c r="G13024" s="24"/>
    </row>
    <row r="13025">
      <c r="B13025" s="24"/>
      <c r="C13025" s="24"/>
      <c r="D13025" s="214"/>
      <c r="E13025" s="24"/>
      <c r="G13025" s="24"/>
    </row>
    <row r="13026">
      <c r="B13026" s="24"/>
      <c r="C13026" s="24"/>
      <c r="D13026" s="214"/>
      <c r="E13026" s="24"/>
      <c r="G13026" s="24"/>
    </row>
    <row r="13027">
      <c r="B13027" s="24"/>
      <c r="C13027" s="24"/>
      <c r="D13027" s="214"/>
      <c r="E13027" s="24"/>
      <c r="G13027" s="24"/>
    </row>
    <row r="13028">
      <c r="B13028" s="24"/>
      <c r="C13028" s="24"/>
      <c r="D13028" s="214"/>
      <c r="E13028" s="24"/>
      <c r="G13028" s="24"/>
    </row>
    <row r="13029">
      <c r="B13029" s="24"/>
      <c r="C13029" s="24"/>
      <c r="D13029" s="214"/>
      <c r="E13029" s="24"/>
      <c r="G13029" s="24"/>
    </row>
    <row r="13030">
      <c r="B13030" s="24"/>
      <c r="C13030" s="24"/>
      <c r="D13030" s="214"/>
      <c r="E13030" s="24"/>
      <c r="G13030" s="24"/>
    </row>
    <row r="13031">
      <c r="B13031" s="24"/>
      <c r="C13031" s="24"/>
      <c r="D13031" s="214"/>
      <c r="E13031" s="24"/>
      <c r="G13031" s="24"/>
    </row>
    <row r="13032">
      <c r="B13032" s="24"/>
      <c r="C13032" s="24"/>
      <c r="D13032" s="214"/>
      <c r="E13032" s="24"/>
      <c r="G13032" s="24"/>
    </row>
    <row r="13033">
      <c r="B13033" s="24"/>
      <c r="C13033" s="24"/>
      <c r="D13033" s="214"/>
      <c r="E13033" s="24"/>
      <c r="G13033" s="24"/>
    </row>
    <row r="13034">
      <c r="B13034" s="24"/>
      <c r="C13034" s="24"/>
      <c r="D13034" s="214"/>
      <c r="E13034" s="24"/>
      <c r="G13034" s="24"/>
    </row>
    <row r="13035">
      <c r="B13035" s="24"/>
      <c r="C13035" s="24"/>
      <c r="D13035" s="214"/>
      <c r="E13035" s="24"/>
      <c r="G13035" s="24"/>
    </row>
    <row r="13036">
      <c r="B13036" s="24"/>
      <c r="C13036" s="24"/>
      <c r="D13036" s="214"/>
      <c r="E13036" s="24"/>
      <c r="G13036" s="24"/>
    </row>
    <row r="13037">
      <c r="B13037" s="24"/>
      <c r="C13037" s="24"/>
      <c r="D13037" s="214"/>
      <c r="E13037" s="24"/>
      <c r="G13037" s="24"/>
    </row>
    <row r="13038">
      <c r="B13038" s="24"/>
      <c r="C13038" s="24"/>
      <c r="D13038" s="214"/>
      <c r="E13038" s="24"/>
      <c r="G13038" s="24"/>
    </row>
    <row r="13039">
      <c r="B13039" s="24"/>
      <c r="C13039" s="24"/>
      <c r="D13039" s="214"/>
      <c r="E13039" s="24"/>
      <c r="G13039" s="24"/>
    </row>
    <row r="13040">
      <c r="B13040" s="24"/>
      <c r="C13040" s="24"/>
      <c r="D13040" s="214"/>
      <c r="E13040" s="24"/>
      <c r="G13040" s="24"/>
    </row>
    <row r="13041">
      <c r="B13041" s="24"/>
      <c r="C13041" s="24"/>
      <c r="D13041" s="214"/>
      <c r="E13041" s="24"/>
      <c r="G13041" s="24"/>
    </row>
    <row r="13042">
      <c r="B13042" s="24"/>
      <c r="C13042" s="24"/>
      <c r="D13042" s="214"/>
      <c r="E13042" s="24"/>
      <c r="G13042" s="24"/>
    </row>
    <row r="13043">
      <c r="B13043" s="24"/>
      <c r="C13043" s="24"/>
      <c r="D13043" s="214"/>
      <c r="E13043" s="24"/>
      <c r="G13043" s="24"/>
    </row>
    <row r="13044">
      <c r="B13044" s="24"/>
      <c r="C13044" s="24"/>
      <c r="D13044" s="214"/>
      <c r="E13044" s="24"/>
      <c r="G13044" s="24"/>
    </row>
    <row r="13045">
      <c r="B13045" s="24"/>
      <c r="C13045" s="24"/>
      <c r="D13045" s="214"/>
      <c r="E13045" s="24"/>
      <c r="G13045" s="24"/>
    </row>
    <row r="13046">
      <c r="B13046" s="24"/>
      <c r="C13046" s="24"/>
      <c r="D13046" s="214"/>
      <c r="E13046" s="24"/>
      <c r="G13046" s="24"/>
    </row>
    <row r="13047">
      <c r="B13047" s="24"/>
      <c r="C13047" s="24"/>
      <c r="D13047" s="214"/>
      <c r="E13047" s="24"/>
      <c r="G13047" s="24"/>
    </row>
    <row r="13048">
      <c r="B13048" s="24"/>
      <c r="C13048" s="24"/>
      <c r="D13048" s="214"/>
      <c r="E13048" s="24"/>
      <c r="G13048" s="24"/>
    </row>
    <row r="13049">
      <c r="B13049" s="24"/>
      <c r="C13049" s="24"/>
      <c r="D13049" s="214"/>
      <c r="E13049" s="24"/>
      <c r="G13049" s="24"/>
    </row>
    <row r="13050">
      <c r="B13050" s="24"/>
      <c r="C13050" s="24"/>
      <c r="D13050" s="214"/>
      <c r="E13050" s="24"/>
      <c r="G13050" s="24"/>
    </row>
    <row r="13051">
      <c r="B13051" s="24"/>
      <c r="C13051" s="24"/>
      <c r="D13051" s="214"/>
      <c r="E13051" s="24"/>
      <c r="G13051" s="24"/>
    </row>
    <row r="13052">
      <c r="B13052" s="24"/>
      <c r="C13052" s="24"/>
      <c r="D13052" s="214"/>
      <c r="E13052" s="24"/>
      <c r="G13052" s="24"/>
    </row>
    <row r="13053">
      <c r="B13053" s="24"/>
      <c r="C13053" s="24"/>
      <c r="D13053" s="214"/>
      <c r="E13053" s="24"/>
      <c r="G13053" s="24"/>
    </row>
    <row r="13054">
      <c r="B13054" s="24"/>
      <c r="C13054" s="24"/>
      <c r="D13054" s="214"/>
      <c r="E13054" s="24"/>
      <c r="G13054" s="24"/>
    </row>
    <row r="13055">
      <c r="B13055" s="24"/>
      <c r="C13055" s="24"/>
      <c r="D13055" s="214"/>
      <c r="E13055" s="24"/>
      <c r="G13055" s="24"/>
    </row>
    <row r="13056">
      <c r="B13056" s="24"/>
      <c r="C13056" s="24"/>
      <c r="D13056" s="214"/>
      <c r="E13056" s="24"/>
      <c r="G13056" s="24"/>
    </row>
    <row r="13057">
      <c r="B13057" s="24"/>
      <c r="C13057" s="24"/>
      <c r="D13057" s="214"/>
      <c r="E13057" s="24"/>
      <c r="G13057" s="24"/>
    </row>
    <row r="13058">
      <c r="B13058" s="24"/>
      <c r="C13058" s="24"/>
      <c r="D13058" s="214"/>
      <c r="E13058" s="24"/>
      <c r="G13058" s="24"/>
    </row>
    <row r="13059">
      <c r="B13059" s="24"/>
      <c r="C13059" s="24"/>
      <c r="D13059" s="214"/>
      <c r="E13059" s="24"/>
      <c r="G13059" s="24"/>
    </row>
    <row r="13060">
      <c r="B13060" s="24"/>
      <c r="C13060" s="24"/>
      <c r="D13060" s="214"/>
      <c r="E13060" s="24"/>
      <c r="G13060" s="24"/>
    </row>
    <row r="13061">
      <c r="B13061" s="24"/>
      <c r="C13061" s="24"/>
      <c r="D13061" s="214"/>
      <c r="E13061" s="24"/>
      <c r="G13061" s="24"/>
    </row>
    <row r="13062">
      <c r="B13062" s="24"/>
      <c r="C13062" s="24"/>
      <c r="D13062" s="214"/>
      <c r="E13062" s="24"/>
      <c r="G13062" s="24"/>
    </row>
    <row r="13063">
      <c r="B13063" s="24"/>
      <c r="C13063" s="24"/>
      <c r="D13063" s="214"/>
      <c r="E13063" s="24"/>
      <c r="G13063" s="24"/>
    </row>
    <row r="13064">
      <c r="B13064" s="24"/>
      <c r="C13064" s="24"/>
      <c r="D13064" s="214"/>
      <c r="E13064" s="24"/>
      <c r="G13064" s="24"/>
    </row>
    <row r="13065">
      <c r="B13065" s="24"/>
      <c r="C13065" s="24"/>
      <c r="D13065" s="214"/>
      <c r="E13065" s="24"/>
      <c r="G13065" s="24"/>
    </row>
    <row r="13066">
      <c r="B13066" s="24"/>
      <c r="C13066" s="24"/>
      <c r="D13066" s="214"/>
      <c r="E13066" s="24"/>
      <c r="G13066" s="24"/>
    </row>
    <row r="13067">
      <c r="B13067" s="24"/>
      <c r="C13067" s="24"/>
      <c r="D13067" s="214"/>
      <c r="E13067" s="24"/>
      <c r="G13067" s="24"/>
    </row>
    <row r="13068">
      <c r="B13068" s="24"/>
      <c r="C13068" s="24"/>
      <c r="D13068" s="214"/>
      <c r="E13068" s="24"/>
      <c r="G13068" s="24"/>
    </row>
    <row r="13069">
      <c r="B13069" s="24"/>
      <c r="C13069" s="24"/>
      <c r="D13069" s="214"/>
      <c r="E13069" s="24"/>
      <c r="G13069" s="24"/>
    </row>
    <row r="13070">
      <c r="B13070" s="24"/>
      <c r="C13070" s="24"/>
      <c r="D13070" s="214"/>
      <c r="E13070" s="24"/>
      <c r="G13070" s="24"/>
    </row>
    <row r="13071">
      <c r="B13071" s="24"/>
      <c r="C13071" s="24"/>
      <c r="D13071" s="214"/>
      <c r="E13071" s="24"/>
      <c r="G13071" s="24"/>
    </row>
    <row r="13072">
      <c r="B13072" s="24"/>
      <c r="C13072" s="24"/>
      <c r="D13072" s="214"/>
      <c r="E13072" s="24"/>
      <c r="G13072" s="24"/>
    </row>
    <row r="13073">
      <c r="B13073" s="24"/>
      <c r="C13073" s="24"/>
      <c r="D13073" s="214"/>
      <c r="E13073" s="24"/>
      <c r="G13073" s="24"/>
    </row>
    <row r="13074">
      <c r="B13074" s="24"/>
      <c r="C13074" s="24"/>
      <c r="D13074" s="214"/>
      <c r="E13074" s="24"/>
      <c r="G13074" s="24"/>
    </row>
    <row r="13075">
      <c r="B13075" s="24"/>
      <c r="C13075" s="24"/>
      <c r="D13075" s="214"/>
      <c r="E13075" s="24"/>
      <c r="G13075" s="24"/>
    </row>
    <row r="13076">
      <c r="B13076" s="24"/>
      <c r="C13076" s="24"/>
      <c r="D13076" s="214"/>
      <c r="E13076" s="24"/>
      <c r="G13076" s="24"/>
    </row>
    <row r="13077">
      <c r="B13077" s="24"/>
      <c r="C13077" s="24"/>
      <c r="D13077" s="214"/>
      <c r="E13077" s="24"/>
      <c r="G13077" s="24"/>
    </row>
    <row r="13078">
      <c r="B13078" s="24"/>
      <c r="C13078" s="24"/>
      <c r="D13078" s="214"/>
      <c r="E13078" s="24"/>
      <c r="G13078" s="24"/>
    </row>
    <row r="13079">
      <c r="B13079" s="24"/>
      <c r="C13079" s="24"/>
      <c r="D13079" s="214"/>
      <c r="E13079" s="24"/>
      <c r="G13079" s="24"/>
    </row>
    <row r="13080">
      <c r="B13080" s="24"/>
      <c r="C13080" s="24"/>
      <c r="D13080" s="214"/>
      <c r="E13080" s="24"/>
      <c r="G13080" s="24"/>
    </row>
    <row r="13081">
      <c r="B13081" s="24"/>
      <c r="C13081" s="24"/>
      <c r="D13081" s="214"/>
      <c r="E13081" s="24"/>
      <c r="G13081" s="24"/>
    </row>
    <row r="13082">
      <c r="B13082" s="24"/>
      <c r="C13082" s="24"/>
      <c r="D13082" s="214"/>
      <c r="E13082" s="24"/>
      <c r="G13082" s="24"/>
    </row>
    <row r="13083">
      <c r="B13083" s="24"/>
      <c r="C13083" s="24"/>
      <c r="D13083" s="214"/>
      <c r="E13083" s="24"/>
      <c r="G13083" s="24"/>
    </row>
    <row r="13084">
      <c r="B13084" s="24"/>
      <c r="C13084" s="24"/>
      <c r="D13084" s="214"/>
      <c r="E13084" s="24"/>
      <c r="G13084" s="24"/>
    </row>
    <row r="13085">
      <c r="B13085" s="24"/>
      <c r="C13085" s="24"/>
      <c r="D13085" s="214"/>
      <c r="E13085" s="24"/>
      <c r="G13085" s="24"/>
    </row>
    <row r="13086">
      <c r="B13086" s="24"/>
      <c r="C13086" s="24"/>
      <c r="D13086" s="214"/>
      <c r="E13086" s="24"/>
      <c r="G13086" s="24"/>
    </row>
    <row r="13087">
      <c r="B13087" s="24"/>
      <c r="C13087" s="24"/>
      <c r="D13087" s="214"/>
      <c r="E13087" s="24"/>
      <c r="G13087" s="24"/>
    </row>
    <row r="13088">
      <c r="B13088" s="24"/>
      <c r="C13088" s="24"/>
      <c r="D13088" s="214"/>
      <c r="E13088" s="24"/>
      <c r="G13088" s="24"/>
    </row>
    <row r="13089">
      <c r="B13089" s="24"/>
      <c r="C13089" s="24"/>
      <c r="D13089" s="214"/>
      <c r="E13089" s="24"/>
      <c r="G13089" s="24"/>
    </row>
    <row r="13090">
      <c r="B13090" s="24"/>
      <c r="C13090" s="24"/>
      <c r="D13090" s="214"/>
      <c r="E13090" s="24"/>
      <c r="G13090" s="24"/>
    </row>
    <row r="13091">
      <c r="B13091" s="24"/>
      <c r="C13091" s="24"/>
      <c r="D13091" s="214"/>
      <c r="E13091" s="24"/>
      <c r="G13091" s="24"/>
    </row>
    <row r="13092">
      <c r="B13092" s="24"/>
      <c r="C13092" s="24"/>
      <c r="D13092" s="214"/>
      <c r="E13092" s="24"/>
      <c r="G13092" s="24"/>
    </row>
    <row r="13093">
      <c r="B13093" s="24"/>
      <c r="C13093" s="24"/>
      <c r="D13093" s="214"/>
      <c r="E13093" s="24"/>
      <c r="G13093" s="24"/>
    </row>
    <row r="13094">
      <c r="B13094" s="24"/>
      <c r="C13094" s="24"/>
      <c r="D13094" s="214"/>
      <c r="E13094" s="24"/>
      <c r="G13094" s="24"/>
    </row>
    <row r="13095">
      <c r="B13095" s="24"/>
      <c r="C13095" s="24"/>
      <c r="D13095" s="214"/>
      <c r="E13095" s="24"/>
      <c r="G13095" s="24"/>
    </row>
    <row r="13096">
      <c r="B13096" s="24"/>
      <c r="C13096" s="24"/>
      <c r="D13096" s="214"/>
      <c r="E13096" s="24"/>
      <c r="G13096" s="24"/>
    </row>
    <row r="13097">
      <c r="B13097" s="24"/>
      <c r="C13097" s="24"/>
      <c r="D13097" s="214"/>
      <c r="E13097" s="24"/>
      <c r="G13097" s="24"/>
    </row>
    <row r="13098">
      <c r="B13098" s="24"/>
      <c r="C13098" s="24"/>
      <c r="D13098" s="214"/>
      <c r="E13098" s="24"/>
      <c r="G13098" s="24"/>
    </row>
  </sheetData>
  <customSheetViews>
    <customSheetView guid="{013AA9FF-1BD7-475C-A847-B40E8D4C7A26}" filter="1" showAutoFilter="1">
      <autoFilter ref="$A$1:$DZ$13098"/>
    </customSheetView>
  </customSheetView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4" max="4" width="13.13"/>
    <col customWidth="1" min="5" max="5" width="27.38"/>
    <col customWidth="1" min="6" max="6" width="7.75"/>
    <col customWidth="1" min="7" max="7" width="8.63"/>
    <col customWidth="1" min="8" max="8" width="9.0"/>
  </cols>
  <sheetData>
    <row r="1">
      <c r="A1" s="3"/>
      <c r="C1" s="7"/>
      <c r="D1" s="46"/>
      <c r="E1" s="270"/>
      <c r="G1" s="7"/>
    </row>
    <row r="2">
      <c r="A2" s="15" t="s">
        <v>4496</v>
      </c>
      <c r="B2" s="15" t="s">
        <v>11263</v>
      </c>
      <c r="C2" s="42" t="s">
        <v>747</v>
      </c>
      <c r="D2" s="15" t="s">
        <v>11264</v>
      </c>
      <c r="E2" s="15" t="s">
        <v>11265</v>
      </c>
      <c r="F2" s="16"/>
      <c r="G2" s="42" t="s">
        <v>11266</v>
      </c>
      <c r="DN2" s="16"/>
    </row>
    <row r="3">
      <c r="A3" s="15" t="s">
        <v>11267</v>
      </c>
      <c r="B3" s="15">
        <v>1.0</v>
      </c>
      <c r="C3" s="80"/>
      <c r="D3" s="16"/>
      <c r="E3" s="15" t="s">
        <v>11268</v>
      </c>
      <c r="F3" s="16"/>
      <c r="G3" s="80"/>
      <c r="DN3" s="16"/>
    </row>
    <row r="4">
      <c r="A4" s="118" t="s">
        <v>11269</v>
      </c>
      <c r="B4" s="15">
        <v>1.0</v>
      </c>
      <c r="C4" s="42">
        <v>17090.0</v>
      </c>
      <c r="D4" s="15" t="s">
        <v>11270</v>
      </c>
      <c r="E4" s="15" t="s">
        <v>1229</v>
      </c>
      <c r="F4" s="16"/>
      <c r="G4" s="80"/>
      <c r="DN4" s="16"/>
    </row>
    <row r="5">
      <c r="A5" s="118" t="s">
        <v>997</v>
      </c>
      <c r="B5" s="15">
        <v>1.0</v>
      </c>
      <c r="C5" s="42">
        <v>15000.0</v>
      </c>
      <c r="D5" s="15" t="s">
        <v>11270</v>
      </c>
      <c r="E5" s="15" t="s">
        <v>11271</v>
      </c>
      <c r="F5" s="16"/>
      <c r="G5" s="80"/>
      <c r="DN5" s="16"/>
    </row>
    <row r="6">
      <c r="A6" s="15" t="s">
        <v>11272</v>
      </c>
      <c r="B6" s="15">
        <v>1.0</v>
      </c>
      <c r="C6" s="80"/>
      <c r="D6" s="16"/>
      <c r="E6" s="15" t="s">
        <v>1229</v>
      </c>
      <c r="F6" s="15" t="s">
        <v>1008</v>
      </c>
      <c r="G6" s="42">
        <v>0.0</v>
      </c>
      <c r="DN6" s="16"/>
    </row>
    <row r="7">
      <c r="A7" s="118" t="s">
        <v>5234</v>
      </c>
      <c r="B7" s="15">
        <v>1.0</v>
      </c>
      <c r="C7" s="42">
        <v>14700.0</v>
      </c>
      <c r="D7" s="15" t="s">
        <v>11270</v>
      </c>
      <c r="E7" s="15" t="s">
        <v>11275</v>
      </c>
      <c r="F7" s="16"/>
      <c r="G7" s="80"/>
      <c r="DN7" s="16"/>
    </row>
    <row r="8">
      <c r="A8" s="15" t="s">
        <v>11276</v>
      </c>
      <c r="B8" s="15">
        <v>1.0</v>
      </c>
      <c r="C8" s="80"/>
      <c r="D8" s="15" t="s">
        <v>11277</v>
      </c>
      <c r="E8" s="15" t="s">
        <v>1286</v>
      </c>
      <c r="F8" s="15" t="s">
        <v>2998</v>
      </c>
      <c r="G8" s="42">
        <v>1.0</v>
      </c>
      <c r="DN8" s="16"/>
    </row>
    <row r="9">
      <c r="A9" s="272" t="s">
        <v>4501</v>
      </c>
      <c r="B9" s="15">
        <v>1.0</v>
      </c>
      <c r="C9" s="42">
        <v>2099.0</v>
      </c>
      <c r="D9" s="16"/>
      <c r="E9" s="15" t="s">
        <v>11279</v>
      </c>
      <c r="F9" s="15" t="s">
        <v>867</v>
      </c>
      <c r="G9" s="42">
        <v>1.0</v>
      </c>
      <c r="DN9" s="16"/>
    </row>
    <row r="10">
      <c r="A10" s="15" t="s">
        <v>11280</v>
      </c>
      <c r="B10" s="15">
        <v>1.0</v>
      </c>
      <c r="C10" s="80"/>
      <c r="D10" s="16"/>
      <c r="E10" s="15" t="s">
        <v>11279</v>
      </c>
      <c r="F10" s="15" t="s">
        <v>2998</v>
      </c>
      <c r="G10" s="179">
        <v>1.0</v>
      </c>
      <c r="DN10" s="16"/>
    </row>
    <row r="11">
      <c r="A11" s="15" t="s">
        <v>4674</v>
      </c>
      <c r="B11" s="15">
        <v>1.0</v>
      </c>
      <c r="C11" s="80"/>
      <c r="D11" s="16"/>
      <c r="E11" s="15" t="s">
        <v>885</v>
      </c>
      <c r="F11" s="272" t="s">
        <v>1277</v>
      </c>
      <c r="G11" s="42">
        <v>1.0</v>
      </c>
      <c r="DN11" s="99"/>
    </row>
    <row r="12">
      <c r="A12" s="15" t="s">
        <v>4680</v>
      </c>
      <c r="B12" s="15">
        <v>1.0</v>
      </c>
      <c r="C12" s="80"/>
      <c r="D12" s="16"/>
      <c r="E12" s="15" t="s">
        <v>11281</v>
      </c>
      <c r="F12" s="15" t="s">
        <v>1241</v>
      </c>
      <c r="G12" s="42">
        <v>1.0</v>
      </c>
      <c r="DN12" s="16"/>
    </row>
    <row r="13">
      <c r="A13" s="15" t="s">
        <v>11282</v>
      </c>
      <c r="B13" s="15"/>
      <c r="C13" s="42"/>
      <c r="D13" s="16"/>
      <c r="E13" s="15" t="s">
        <v>11283</v>
      </c>
      <c r="F13" s="15" t="s">
        <v>2998</v>
      </c>
      <c r="G13" s="179">
        <v>1.0</v>
      </c>
      <c r="DN13" s="16"/>
    </row>
    <row r="14">
      <c r="A14" s="15" t="s">
        <v>11284</v>
      </c>
      <c r="B14" s="15">
        <v>1.0</v>
      </c>
      <c r="C14" s="80"/>
      <c r="D14" s="16"/>
      <c r="E14" s="15" t="s">
        <v>11279</v>
      </c>
      <c r="F14" s="16"/>
      <c r="G14" s="80"/>
      <c r="DN14" s="16"/>
    </row>
    <row r="15">
      <c r="A15" s="15" t="s">
        <v>1242</v>
      </c>
      <c r="B15" s="15"/>
      <c r="C15" s="42"/>
      <c r="D15" s="16"/>
      <c r="E15" s="15" t="s">
        <v>1229</v>
      </c>
      <c r="F15" s="15" t="s">
        <v>2998</v>
      </c>
      <c r="G15" s="179">
        <v>1.0</v>
      </c>
      <c r="DN15" s="16"/>
    </row>
    <row r="16">
      <c r="A16" s="272" t="s">
        <v>4536</v>
      </c>
      <c r="B16" s="15">
        <v>1.0</v>
      </c>
      <c r="C16" s="80"/>
      <c r="D16" s="16"/>
      <c r="E16" s="15" t="s">
        <v>11285</v>
      </c>
      <c r="F16" s="15" t="s">
        <v>2998</v>
      </c>
      <c r="G16" s="179">
        <v>1.0</v>
      </c>
      <c r="DN16" s="16"/>
    </row>
    <row r="17">
      <c r="A17" s="15" t="s">
        <v>1244</v>
      </c>
      <c r="B17" s="15">
        <v>1.0</v>
      </c>
      <c r="C17" s="80"/>
      <c r="D17" s="16"/>
      <c r="E17" s="15" t="s">
        <v>11279</v>
      </c>
      <c r="F17" s="15" t="s">
        <v>2998</v>
      </c>
      <c r="G17" s="179">
        <v>1.0</v>
      </c>
      <c r="DN17" s="16"/>
    </row>
    <row r="18">
      <c r="A18" s="15" t="s">
        <v>4700</v>
      </c>
      <c r="B18" s="15">
        <v>1.0</v>
      </c>
      <c r="C18" s="80"/>
      <c r="D18" s="16"/>
      <c r="E18" s="15" t="s">
        <v>11279</v>
      </c>
      <c r="F18" s="15" t="s">
        <v>2998</v>
      </c>
      <c r="G18" s="42">
        <v>1.0</v>
      </c>
      <c r="DN18" s="16"/>
    </row>
    <row r="19">
      <c r="A19" s="15" t="s">
        <v>1249</v>
      </c>
      <c r="B19" s="15">
        <v>1.0</v>
      </c>
      <c r="C19" s="80"/>
      <c r="D19" s="16"/>
      <c r="E19" s="15" t="s">
        <v>11279</v>
      </c>
      <c r="F19" s="16"/>
      <c r="G19" s="80"/>
      <c r="DN19" s="16"/>
    </row>
    <row r="20">
      <c r="A20" s="15" t="s">
        <v>4548</v>
      </c>
      <c r="B20" s="15">
        <v>1.0</v>
      </c>
      <c r="C20" s="42">
        <v>2699.0</v>
      </c>
      <c r="D20" s="16"/>
      <c r="E20" s="15" t="s">
        <v>11279</v>
      </c>
      <c r="F20" s="15" t="s">
        <v>1277</v>
      </c>
      <c r="G20" s="179">
        <v>1.0</v>
      </c>
      <c r="DN20" s="16"/>
    </row>
    <row r="21">
      <c r="A21" s="118" t="s">
        <v>4709</v>
      </c>
      <c r="B21" s="15">
        <v>1.0</v>
      </c>
      <c r="C21" s="80"/>
      <c r="D21" s="16"/>
      <c r="E21" s="15" t="s">
        <v>11279</v>
      </c>
      <c r="F21" s="16"/>
      <c r="G21" s="80"/>
      <c r="DN21" s="16"/>
    </row>
    <row r="22">
      <c r="A22" s="15" t="s">
        <v>4557</v>
      </c>
      <c r="B22" s="15"/>
      <c r="C22" s="80"/>
      <c r="D22" s="16"/>
      <c r="E22" s="15" t="s">
        <v>11286</v>
      </c>
      <c r="F22" s="272" t="s">
        <v>1241</v>
      </c>
      <c r="G22" s="42"/>
      <c r="DN22" s="16"/>
    </row>
    <row r="23">
      <c r="A23" s="15" t="s">
        <v>11287</v>
      </c>
      <c r="B23" s="15">
        <v>1.0</v>
      </c>
      <c r="C23" s="80"/>
      <c r="D23" s="16"/>
      <c r="E23" s="15" t="s">
        <v>11279</v>
      </c>
      <c r="F23" s="16"/>
      <c r="G23" s="80"/>
      <c r="DN23" s="16"/>
    </row>
    <row r="24">
      <c r="A24" s="15" t="s">
        <v>4748</v>
      </c>
      <c r="B24" s="15">
        <v>1.0</v>
      </c>
      <c r="C24" s="42">
        <v>2299.0</v>
      </c>
      <c r="D24" s="16"/>
      <c r="E24" s="15" t="s">
        <v>11279</v>
      </c>
      <c r="F24" s="15" t="s">
        <v>1277</v>
      </c>
      <c r="G24" s="179">
        <v>1.0</v>
      </c>
      <c r="DN24" s="16"/>
    </row>
    <row r="25">
      <c r="A25" s="15" t="s">
        <v>11288</v>
      </c>
      <c r="B25" s="15">
        <v>1.0</v>
      </c>
      <c r="C25" s="80"/>
      <c r="D25" s="16"/>
      <c r="E25" s="15" t="s">
        <v>11279</v>
      </c>
      <c r="F25" s="16"/>
      <c r="G25" s="80"/>
      <c r="DN25" s="16"/>
    </row>
    <row r="26">
      <c r="A26" s="15" t="s">
        <v>4563</v>
      </c>
      <c r="B26" s="276">
        <v>1.0</v>
      </c>
      <c r="C26" s="42">
        <v>2799.0</v>
      </c>
      <c r="D26" s="16"/>
      <c r="E26" s="15" t="s">
        <v>11279</v>
      </c>
      <c r="F26" s="272" t="s">
        <v>11289</v>
      </c>
      <c r="G26" s="42">
        <v>2.0</v>
      </c>
      <c r="DN26" s="16"/>
    </row>
    <row r="27">
      <c r="A27" s="15" t="s">
        <v>10014</v>
      </c>
      <c r="B27" s="15">
        <v>1.0</v>
      </c>
      <c r="C27" s="80"/>
      <c r="D27" s="16"/>
      <c r="E27" s="15" t="s">
        <v>1823</v>
      </c>
      <c r="F27" s="272"/>
      <c r="G27" s="42">
        <v>1.0</v>
      </c>
      <c r="DN27" s="16"/>
    </row>
    <row r="28">
      <c r="A28" s="118" t="s">
        <v>11290</v>
      </c>
      <c r="B28" s="15">
        <v>1.0</v>
      </c>
      <c r="C28" s="42">
        <v>2299.0</v>
      </c>
      <c r="D28" s="16"/>
      <c r="E28" s="15" t="s">
        <v>11279</v>
      </c>
      <c r="F28" s="272" t="s">
        <v>1277</v>
      </c>
      <c r="G28" s="42">
        <v>1.0</v>
      </c>
      <c r="DN28" s="16"/>
    </row>
    <row r="29">
      <c r="A29" s="15" t="s">
        <v>4569</v>
      </c>
      <c r="B29" s="15">
        <v>1.0</v>
      </c>
      <c r="C29" s="80"/>
      <c r="D29" s="16"/>
      <c r="E29" s="15" t="s">
        <v>11279</v>
      </c>
      <c r="F29" s="16"/>
      <c r="G29" s="80"/>
      <c r="DN29" s="16"/>
    </row>
    <row r="30">
      <c r="A30" s="15" t="s">
        <v>9455</v>
      </c>
      <c r="B30" s="15">
        <v>1.0</v>
      </c>
      <c r="C30" s="42">
        <v>2099.0</v>
      </c>
      <c r="D30" s="16"/>
      <c r="E30" s="15" t="s">
        <v>11279</v>
      </c>
      <c r="F30" s="272" t="s">
        <v>1277</v>
      </c>
      <c r="G30" s="179">
        <v>1.0</v>
      </c>
      <c r="DN30" s="16"/>
    </row>
    <row r="31">
      <c r="A31" s="15" t="s">
        <v>11291</v>
      </c>
      <c r="B31" s="15">
        <v>1.0</v>
      </c>
      <c r="C31" s="42">
        <v>1999.0</v>
      </c>
      <c r="D31" s="16"/>
      <c r="E31" s="15" t="s">
        <v>11279</v>
      </c>
      <c r="F31" s="272" t="s">
        <v>1277</v>
      </c>
      <c r="G31" s="179">
        <v>1.0</v>
      </c>
      <c r="DN31" s="16"/>
    </row>
    <row r="32">
      <c r="A32" s="15" t="s">
        <v>11292</v>
      </c>
      <c r="B32" s="15">
        <v>1.0</v>
      </c>
      <c r="C32" s="80"/>
      <c r="D32" s="16"/>
      <c r="E32" s="15" t="s">
        <v>11279</v>
      </c>
      <c r="F32" s="16"/>
      <c r="G32" s="42">
        <v>1.0</v>
      </c>
      <c r="DN32" s="16"/>
    </row>
    <row r="33">
      <c r="A33" s="15" t="s">
        <v>4584</v>
      </c>
      <c r="B33" s="15">
        <v>2.0</v>
      </c>
      <c r="C33" s="80"/>
      <c r="D33" s="15" t="s">
        <v>11270</v>
      </c>
      <c r="E33" s="15" t="s">
        <v>11293</v>
      </c>
      <c r="F33" s="15" t="s">
        <v>11294</v>
      </c>
      <c r="G33" s="42">
        <v>2.0</v>
      </c>
      <c r="DN33" s="16"/>
    </row>
    <row r="34">
      <c r="A34" s="118" t="s">
        <v>11295</v>
      </c>
      <c r="B34" s="15">
        <v>1.0</v>
      </c>
      <c r="C34" s="80"/>
      <c r="D34" s="15" t="s">
        <v>11270</v>
      </c>
      <c r="E34" s="15" t="s">
        <v>11296</v>
      </c>
      <c r="F34" s="16"/>
      <c r="G34" s="42">
        <v>1.0</v>
      </c>
      <c r="DN34" s="99"/>
    </row>
    <row r="35">
      <c r="A35" s="15" t="s">
        <v>11297</v>
      </c>
      <c r="B35" s="15">
        <v>1.0</v>
      </c>
      <c r="C35" s="80"/>
      <c r="D35" s="15" t="s">
        <v>867</v>
      </c>
      <c r="E35" s="15" t="s">
        <v>11279</v>
      </c>
      <c r="F35" s="15"/>
      <c r="G35" s="42">
        <v>0.0</v>
      </c>
      <c r="DN35" s="16"/>
    </row>
    <row r="36">
      <c r="A36" s="15" t="s">
        <v>11298</v>
      </c>
      <c r="B36" s="15">
        <v>1.0</v>
      </c>
      <c r="C36" s="42" t="s">
        <v>11299</v>
      </c>
      <c r="D36" s="16"/>
      <c r="E36" s="15" t="s">
        <v>11300</v>
      </c>
      <c r="F36" s="16"/>
      <c r="G36" s="279">
        <v>1.0</v>
      </c>
      <c r="DN36" s="16"/>
    </row>
    <row r="37">
      <c r="A37" s="15" t="s">
        <v>693</v>
      </c>
      <c r="B37" s="15">
        <v>1.0</v>
      </c>
      <c r="C37" s="80"/>
      <c r="D37" s="16"/>
      <c r="E37" s="15" t="s">
        <v>11300</v>
      </c>
      <c r="F37" s="15" t="s">
        <v>11301</v>
      </c>
      <c r="G37" s="16"/>
      <c r="DN37" s="16"/>
    </row>
    <row r="38">
      <c r="A38" s="118" t="s">
        <v>694</v>
      </c>
      <c r="B38" s="15">
        <v>2.0</v>
      </c>
      <c r="C38" s="42"/>
      <c r="D38" s="16"/>
      <c r="E38" s="15" t="s">
        <v>11279</v>
      </c>
      <c r="F38" s="15" t="s">
        <v>2769</v>
      </c>
      <c r="G38" s="179">
        <v>2.0</v>
      </c>
      <c r="DN38" s="16"/>
    </row>
    <row r="39">
      <c r="A39" s="15" t="s">
        <v>4840</v>
      </c>
      <c r="B39" s="15">
        <v>1.0</v>
      </c>
      <c r="C39" s="80"/>
      <c r="D39" s="16"/>
      <c r="E39" s="15" t="s">
        <v>11279</v>
      </c>
      <c r="F39" s="16"/>
      <c r="G39" s="80"/>
      <c r="DN39" s="16"/>
    </row>
    <row r="40">
      <c r="A40" s="118" t="s">
        <v>4613</v>
      </c>
      <c r="B40" s="15">
        <v>1.0</v>
      </c>
      <c r="C40" s="42"/>
      <c r="D40" s="16"/>
      <c r="E40" s="15" t="s">
        <v>11303</v>
      </c>
      <c r="F40" s="16"/>
      <c r="G40" s="80"/>
      <c r="DN40" s="16"/>
    </row>
    <row r="41">
      <c r="A41" s="272" t="s">
        <v>1267</v>
      </c>
      <c r="B41" s="15">
        <v>1.0</v>
      </c>
      <c r="C41" s="80"/>
      <c r="D41" s="16"/>
      <c r="E41" s="15" t="s">
        <v>885</v>
      </c>
      <c r="F41" s="272"/>
      <c r="G41" s="179">
        <v>1.0</v>
      </c>
      <c r="DN41" s="16"/>
    </row>
    <row r="42">
      <c r="A42" s="15" t="s">
        <v>4615</v>
      </c>
      <c r="B42" s="15">
        <v>1.0</v>
      </c>
      <c r="C42" s="80"/>
      <c r="D42" s="16"/>
      <c r="E42" s="15" t="s">
        <v>11300</v>
      </c>
      <c r="F42" s="272" t="s">
        <v>2998</v>
      </c>
      <c r="G42" s="179">
        <v>1.0</v>
      </c>
      <c r="DN42" s="16"/>
    </row>
    <row r="43">
      <c r="A43" s="273" t="s">
        <v>1270</v>
      </c>
      <c r="B43" s="15">
        <v>1.0</v>
      </c>
      <c r="C43" s="80"/>
      <c r="D43" s="16"/>
      <c r="E43" s="15" t="s">
        <v>885</v>
      </c>
      <c r="F43" s="272"/>
      <c r="G43" s="179">
        <v>1.0</v>
      </c>
      <c r="DN43" s="16"/>
    </row>
    <row r="44">
      <c r="A44" s="15" t="s">
        <v>1270</v>
      </c>
      <c r="B44" s="15">
        <v>1.0</v>
      </c>
      <c r="C44" s="80"/>
      <c r="D44" s="16"/>
      <c r="E44" s="15" t="s">
        <v>11279</v>
      </c>
      <c r="F44" s="16"/>
      <c r="G44" s="42">
        <v>1.0</v>
      </c>
      <c r="DN44" s="16"/>
    </row>
    <row r="45">
      <c r="A45" s="15" t="s">
        <v>11304</v>
      </c>
      <c r="B45" s="15">
        <v>1.0</v>
      </c>
      <c r="C45" s="80"/>
      <c r="D45" s="16"/>
      <c r="E45" s="15" t="s">
        <v>11279</v>
      </c>
      <c r="F45" s="15" t="s">
        <v>11305</v>
      </c>
      <c r="G45" s="179">
        <v>1.0</v>
      </c>
      <c r="DN45" s="16"/>
    </row>
    <row r="46">
      <c r="A46" s="272" t="s">
        <v>4864</v>
      </c>
      <c r="B46" s="15">
        <v>1.0</v>
      </c>
      <c r="C46" s="42">
        <v>2299.0</v>
      </c>
      <c r="D46" s="15" t="s">
        <v>11306</v>
      </c>
      <c r="E46" s="15" t="s">
        <v>11279</v>
      </c>
      <c r="F46" s="15" t="s">
        <v>1243</v>
      </c>
      <c r="G46" s="179">
        <v>1.0</v>
      </c>
      <c r="DN46" s="16"/>
    </row>
    <row r="47">
      <c r="A47" s="15" t="s">
        <v>9456</v>
      </c>
      <c r="B47" s="15">
        <v>1.0</v>
      </c>
      <c r="C47" s="42">
        <v>2099.0</v>
      </c>
      <c r="D47" s="16"/>
      <c r="E47" s="15" t="s">
        <v>11279</v>
      </c>
      <c r="F47" s="15" t="s">
        <v>867</v>
      </c>
      <c r="G47" s="42">
        <v>0.0</v>
      </c>
      <c r="DN47" s="16"/>
    </row>
    <row r="48">
      <c r="A48" s="15" t="s">
        <v>4889</v>
      </c>
      <c r="B48" s="15">
        <v>1.0</v>
      </c>
      <c r="C48" s="42">
        <v>1699.0</v>
      </c>
      <c r="D48" s="16"/>
      <c r="E48" s="15" t="s">
        <v>11279</v>
      </c>
      <c r="F48" s="15" t="s">
        <v>11307</v>
      </c>
      <c r="G48" s="179">
        <v>1.0</v>
      </c>
      <c r="DN48" s="16"/>
    </row>
    <row r="49">
      <c r="A49" s="15" t="s">
        <v>11308</v>
      </c>
      <c r="B49" s="15">
        <v>1.0</v>
      </c>
      <c r="C49" s="42">
        <v>2799.0</v>
      </c>
      <c r="D49" s="16"/>
      <c r="E49" s="15" t="s">
        <v>11279</v>
      </c>
      <c r="F49" s="15" t="s">
        <v>1277</v>
      </c>
      <c r="G49" s="42">
        <v>1.0</v>
      </c>
      <c r="DN49" s="16"/>
    </row>
    <row r="50">
      <c r="A50" s="273" t="s">
        <v>4636</v>
      </c>
      <c r="B50" s="15">
        <v>0.0</v>
      </c>
      <c r="C50" s="42">
        <v>1395.0</v>
      </c>
      <c r="D50" s="16"/>
      <c r="E50" s="15" t="s">
        <v>885</v>
      </c>
      <c r="F50" s="16"/>
      <c r="G50" s="280"/>
      <c r="DN50" s="16"/>
    </row>
    <row r="51">
      <c r="A51" s="15" t="s">
        <v>4897</v>
      </c>
      <c r="B51" s="15">
        <v>1.0</v>
      </c>
      <c r="C51" s="80"/>
      <c r="D51" s="16"/>
      <c r="E51" s="15" t="s">
        <v>11279</v>
      </c>
      <c r="F51" s="16"/>
      <c r="G51" s="80"/>
      <c r="DN51" s="16"/>
    </row>
    <row r="52">
      <c r="A52" s="118" t="s">
        <v>4899</v>
      </c>
      <c r="B52" s="15">
        <v>1.0</v>
      </c>
      <c r="C52" s="42">
        <v>1395.0</v>
      </c>
      <c r="D52" s="16"/>
      <c r="E52" s="15" t="s">
        <v>11279</v>
      </c>
      <c r="F52" s="15" t="s">
        <v>1243</v>
      </c>
      <c r="G52" s="42">
        <v>1.0</v>
      </c>
      <c r="DN52" s="16"/>
    </row>
    <row r="53">
      <c r="A53" s="15" t="s">
        <v>9457</v>
      </c>
      <c r="B53" s="15">
        <v>1.0</v>
      </c>
      <c r="C53" s="42">
        <v>3490.0</v>
      </c>
      <c r="D53" s="16"/>
      <c r="E53" s="15" t="s">
        <v>11309</v>
      </c>
      <c r="F53" s="16"/>
      <c r="G53" s="80"/>
      <c r="DN53" s="16"/>
    </row>
    <row r="54">
      <c r="A54" s="15" t="s">
        <v>4936</v>
      </c>
      <c r="B54" s="15">
        <v>1.0</v>
      </c>
      <c r="C54" s="42">
        <v>1099.0</v>
      </c>
      <c r="D54" s="16"/>
      <c r="E54" s="15" t="s">
        <v>11279</v>
      </c>
      <c r="F54" s="15" t="s">
        <v>1277</v>
      </c>
      <c r="G54" s="179">
        <v>1.0</v>
      </c>
      <c r="DN54" s="16"/>
    </row>
    <row r="55">
      <c r="A55" s="15" t="s">
        <v>4944</v>
      </c>
      <c r="B55" s="15">
        <v>0.0</v>
      </c>
      <c r="C55" s="80"/>
      <c r="D55" s="16"/>
      <c r="E55" s="15" t="s">
        <v>11279</v>
      </c>
      <c r="F55" s="15" t="s">
        <v>11310</v>
      </c>
      <c r="G55" s="80"/>
      <c r="DN55" s="16"/>
    </row>
    <row r="56">
      <c r="A56" s="15" t="s">
        <v>4950</v>
      </c>
      <c r="B56" s="15">
        <v>1.0</v>
      </c>
      <c r="C56" s="80"/>
      <c r="D56" s="16"/>
      <c r="E56" s="15" t="s">
        <v>11301</v>
      </c>
      <c r="F56" s="15"/>
      <c r="G56" s="179">
        <v>1.0</v>
      </c>
      <c r="DN56" s="16"/>
    </row>
    <row r="57">
      <c r="A57" s="15" t="s">
        <v>11311</v>
      </c>
      <c r="B57" s="15">
        <v>1.0</v>
      </c>
      <c r="C57" s="80"/>
      <c r="D57" s="16"/>
      <c r="E57" s="15" t="s">
        <v>11312</v>
      </c>
      <c r="F57" s="15" t="s">
        <v>1277</v>
      </c>
      <c r="G57" s="179"/>
      <c r="DN57" s="16"/>
    </row>
    <row r="58">
      <c r="A58" s="15" t="s">
        <v>4966</v>
      </c>
      <c r="B58" s="15">
        <v>1.0</v>
      </c>
      <c r="C58" s="80"/>
      <c r="D58" s="16"/>
      <c r="E58" s="15" t="s">
        <v>11279</v>
      </c>
      <c r="F58" s="15" t="s">
        <v>1277</v>
      </c>
      <c r="G58" s="179">
        <v>1.0</v>
      </c>
      <c r="DN58" s="16"/>
    </row>
    <row r="59">
      <c r="A59" s="118" t="s">
        <v>4970</v>
      </c>
      <c r="B59" s="15">
        <v>1.0</v>
      </c>
      <c r="C59" s="42"/>
      <c r="D59" s="16"/>
      <c r="E59" s="15" t="s">
        <v>11313</v>
      </c>
      <c r="F59" s="16"/>
      <c r="G59" s="80"/>
      <c r="DN59" s="16"/>
    </row>
    <row r="60">
      <c r="A60" s="15" t="s">
        <v>11314</v>
      </c>
      <c r="B60" s="15">
        <v>1.0</v>
      </c>
      <c r="C60" s="42">
        <v>921.0</v>
      </c>
      <c r="D60" s="15" t="s">
        <v>11315</v>
      </c>
      <c r="E60" s="15" t="s">
        <v>11279</v>
      </c>
      <c r="F60" s="15" t="s">
        <v>1243</v>
      </c>
      <c r="G60" s="42">
        <v>1.0</v>
      </c>
      <c r="DN60" s="16"/>
    </row>
    <row r="61">
      <c r="A61" s="118" t="s">
        <v>11316</v>
      </c>
      <c r="B61" s="15">
        <v>1.0</v>
      </c>
      <c r="C61" s="80"/>
      <c r="D61" s="15"/>
      <c r="E61" s="15" t="s">
        <v>11317</v>
      </c>
      <c r="F61" s="15" t="s">
        <v>2998</v>
      </c>
      <c r="G61" s="42">
        <v>1.0</v>
      </c>
      <c r="DN61" s="16"/>
    </row>
    <row r="62">
      <c r="A62" s="273" t="s">
        <v>5007</v>
      </c>
      <c r="B62" s="15">
        <v>1.0</v>
      </c>
      <c r="C62" s="80"/>
      <c r="D62" s="16"/>
      <c r="E62" s="15" t="s">
        <v>885</v>
      </c>
      <c r="F62" s="15" t="s">
        <v>11305</v>
      </c>
      <c r="G62" s="179">
        <v>1.0</v>
      </c>
      <c r="DN62" s="16"/>
    </row>
    <row r="63">
      <c r="A63" s="272" t="s">
        <v>1285</v>
      </c>
      <c r="B63" s="15">
        <v>1.0</v>
      </c>
      <c r="C63" s="42">
        <v>850.0</v>
      </c>
      <c r="D63" s="16"/>
      <c r="E63" s="15" t="s">
        <v>11285</v>
      </c>
      <c r="F63" s="15" t="s">
        <v>1277</v>
      </c>
      <c r="G63" s="179">
        <v>1.0</v>
      </c>
      <c r="DN63" s="16"/>
    </row>
    <row r="64">
      <c r="A64" s="15" t="s">
        <v>11318</v>
      </c>
      <c r="B64" s="15">
        <v>1.0</v>
      </c>
      <c r="C64" s="80"/>
      <c r="D64" s="15" t="s">
        <v>1286</v>
      </c>
      <c r="E64" s="15" t="s">
        <v>1277</v>
      </c>
      <c r="F64" s="15"/>
      <c r="G64" s="179">
        <v>1.0</v>
      </c>
      <c r="DN64" s="16"/>
    </row>
    <row r="65">
      <c r="A65" s="15" t="s">
        <v>11319</v>
      </c>
      <c r="B65" s="15">
        <v>1.0</v>
      </c>
      <c r="C65" s="42">
        <v>3295.0</v>
      </c>
      <c r="D65" s="15" t="s">
        <v>11320</v>
      </c>
      <c r="E65" s="15" t="s">
        <v>11321</v>
      </c>
      <c r="F65" s="15" t="s">
        <v>11322</v>
      </c>
      <c r="G65" s="42">
        <v>1.0</v>
      </c>
      <c r="DN65" s="16"/>
    </row>
    <row r="66">
      <c r="A66" s="15" t="s">
        <v>11323</v>
      </c>
      <c r="B66" s="15">
        <v>1.0</v>
      </c>
      <c r="C66" s="80"/>
      <c r="D66" s="15" t="s">
        <v>631</v>
      </c>
      <c r="E66" s="15" t="s">
        <v>11324</v>
      </c>
      <c r="F66" s="16"/>
      <c r="G66" s="42">
        <v>1.0</v>
      </c>
      <c r="DN66" s="16"/>
    </row>
    <row r="67">
      <c r="A67" s="15" t="s">
        <v>11325</v>
      </c>
      <c r="B67" s="15">
        <v>1.0</v>
      </c>
      <c r="C67" s="42">
        <v>2450.0</v>
      </c>
      <c r="D67" s="15" t="s">
        <v>631</v>
      </c>
      <c r="E67" s="15" t="s">
        <v>1229</v>
      </c>
      <c r="F67" s="76" t="s">
        <v>1496</v>
      </c>
      <c r="G67" s="15">
        <v>1.0</v>
      </c>
      <c r="DN67" s="16"/>
    </row>
    <row r="68">
      <c r="A68" s="15" t="s">
        <v>11326</v>
      </c>
      <c r="B68" s="15">
        <v>1.0</v>
      </c>
      <c r="C68" s="42">
        <v>1500.0</v>
      </c>
      <c r="D68" s="15" t="s">
        <v>631</v>
      </c>
      <c r="E68" s="15" t="s">
        <v>11324</v>
      </c>
      <c r="F68" s="76" t="s">
        <v>1284</v>
      </c>
      <c r="G68" s="42">
        <v>1.0</v>
      </c>
      <c r="DN68" s="16"/>
    </row>
    <row r="69">
      <c r="A69" s="15" t="s">
        <v>11327</v>
      </c>
      <c r="B69" s="15">
        <v>1.0</v>
      </c>
      <c r="C69" s="80"/>
      <c r="D69" s="15" t="s">
        <v>631</v>
      </c>
      <c r="E69" s="15" t="s">
        <v>11328</v>
      </c>
      <c r="F69" s="15" t="s">
        <v>2648</v>
      </c>
      <c r="G69" s="42">
        <v>1.0</v>
      </c>
      <c r="DN69" s="16"/>
    </row>
    <row r="70">
      <c r="A70" s="15" t="s">
        <v>11329</v>
      </c>
      <c r="B70" s="15">
        <v>1.0</v>
      </c>
      <c r="C70" s="80"/>
      <c r="D70" s="15" t="s">
        <v>631</v>
      </c>
      <c r="E70" s="15" t="s">
        <v>11330</v>
      </c>
      <c r="F70" s="15" t="s">
        <v>1284</v>
      </c>
      <c r="G70" s="42">
        <v>1.0</v>
      </c>
      <c r="DN70" s="16"/>
    </row>
    <row r="71">
      <c r="A71" s="165" t="s">
        <v>5640</v>
      </c>
      <c r="B71" s="273">
        <v>1.0</v>
      </c>
      <c r="C71" s="83">
        <v>2800.0</v>
      </c>
      <c r="D71" s="15" t="s">
        <v>631</v>
      </c>
      <c r="E71" s="281" t="s">
        <v>11331</v>
      </c>
      <c r="F71" s="258"/>
      <c r="G71" s="55"/>
      <c r="DN71" s="16"/>
    </row>
    <row r="72">
      <c r="A72" s="15" t="s">
        <v>11332</v>
      </c>
      <c r="B72" s="15">
        <v>1.0</v>
      </c>
      <c r="C72" s="42"/>
      <c r="D72" s="15" t="s">
        <v>631</v>
      </c>
      <c r="E72" s="15" t="s">
        <v>11279</v>
      </c>
      <c r="F72" s="76" t="s">
        <v>1483</v>
      </c>
      <c r="G72" s="42">
        <v>1.0</v>
      </c>
      <c r="DN72" s="16"/>
    </row>
    <row r="73">
      <c r="A73" s="15" t="s">
        <v>11333</v>
      </c>
      <c r="B73" s="15">
        <v>1.0</v>
      </c>
      <c r="C73" s="42">
        <v>1950.0</v>
      </c>
      <c r="D73" s="15" t="s">
        <v>631</v>
      </c>
      <c r="E73" s="15" t="s">
        <v>11279</v>
      </c>
      <c r="F73" s="76" t="s">
        <v>1284</v>
      </c>
      <c r="G73" s="42">
        <v>1.0</v>
      </c>
      <c r="DN73" s="16"/>
    </row>
    <row r="74">
      <c r="A74" s="15" t="s">
        <v>11334</v>
      </c>
      <c r="B74" s="15">
        <v>1.0</v>
      </c>
      <c r="C74" s="42">
        <v>1950.0</v>
      </c>
      <c r="D74" s="15" t="s">
        <v>631</v>
      </c>
      <c r="E74" s="15" t="s">
        <v>11279</v>
      </c>
      <c r="F74" s="15" t="s">
        <v>2998</v>
      </c>
      <c r="G74" s="179"/>
      <c r="DN74" s="16"/>
    </row>
    <row r="75">
      <c r="A75" s="15" t="s">
        <v>11335</v>
      </c>
      <c r="B75" s="15">
        <v>1.0</v>
      </c>
      <c r="C75" s="42">
        <v>1750.0</v>
      </c>
      <c r="D75" s="15" t="s">
        <v>631</v>
      </c>
      <c r="E75" s="15" t="s">
        <v>11336</v>
      </c>
      <c r="F75" s="15" t="s">
        <v>11337</v>
      </c>
      <c r="G75" s="179">
        <v>1.0</v>
      </c>
      <c r="DN75" s="16"/>
    </row>
    <row r="76">
      <c r="A76" s="272" t="s">
        <v>8538</v>
      </c>
      <c r="B76" s="15">
        <v>1.0</v>
      </c>
      <c r="C76" s="80"/>
      <c r="D76" s="15" t="s">
        <v>631</v>
      </c>
      <c r="E76" s="15" t="s">
        <v>11300</v>
      </c>
      <c r="F76" s="15" t="s">
        <v>2998</v>
      </c>
      <c r="G76" s="179">
        <v>1.0</v>
      </c>
      <c r="DN76" s="16"/>
    </row>
    <row r="77">
      <c r="A77" s="272" t="s">
        <v>11338</v>
      </c>
      <c r="B77" s="15">
        <v>1.0</v>
      </c>
      <c r="C77" s="42">
        <v>2730.0</v>
      </c>
      <c r="D77" s="15" t="s">
        <v>631</v>
      </c>
      <c r="E77" s="15" t="s">
        <v>11279</v>
      </c>
      <c r="F77" s="15" t="s">
        <v>2998</v>
      </c>
      <c r="G77" s="179">
        <v>1.0</v>
      </c>
      <c r="DN77" s="16"/>
    </row>
    <row r="78">
      <c r="A78" s="272" t="s">
        <v>11339</v>
      </c>
      <c r="B78" s="15">
        <v>1.0</v>
      </c>
      <c r="C78" s="80"/>
      <c r="D78" s="15" t="s">
        <v>631</v>
      </c>
      <c r="E78" s="15" t="s">
        <v>1286</v>
      </c>
      <c r="F78" s="15" t="s">
        <v>1483</v>
      </c>
      <c r="G78" s="179">
        <v>1.0</v>
      </c>
      <c r="DN78" s="16"/>
    </row>
    <row r="79">
      <c r="A79" s="118" t="s">
        <v>9236</v>
      </c>
      <c r="B79" s="15">
        <v>1.0</v>
      </c>
      <c r="C79" s="42">
        <v>2380.0</v>
      </c>
      <c r="D79" s="15" t="s">
        <v>631</v>
      </c>
      <c r="E79" s="15" t="s">
        <v>885</v>
      </c>
      <c r="F79" s="16"/>
      <c r="G79" s="80"/>
      <c r="DN79" s="16"/>
    </row>
    <row r="80">
      <c r="A80" s="272" t="s">
        <v>1501</v>
      </c>
      <c r="B80" s="15">
        <v>1.0</v>
      </c>
      <c r="C80" s="80"/>
      <c r="D80" s="15" t="s">
        <v>631</v>
      </c>
      <c r="E80" s="15" t="s">
        <v>11279</v>
      </c>
      <c r="F80" s="15" t="s">
        <v>11340</v>
      </c>
      <c r="G80" s="179">
        <v>1.0</v>
      </c>
      <c r="DN80" s="16"/>
    </row>
    <row r="81">
      <c r="A81" s="118" t="s">
        <v>9238</v>
      </c>
      <c r="B81" s="118">
        <v>1.0</v>
      </c>
      <c r="C81" s="83">
        <v>2350.0</v>
      </c>
      <c r="D81" s="15" t="s">
        <v>631</v>
      </c>
      <c r="E81" s="118" t="s">
        <v>885</v>
      </c>
      <c r="F81" s="167"/>
      <c r="G81" s="79"/>
      <c r="DN81" s="16"/>
    </row>
    <row r="82">
      <c r="A82" s="75" t="s">
        <v>1516</v>
      </c>
      <c r="B82" s="75">
        <v>1.0</v>
      </c>
      <c r="C82" s="75">
        <v>2590.0</v>
      </c>
      <c r="D82" s="15" t="s">
        <v>631</v>
      </c>
      <c r="E82" s="53" t="s">
        <v>885</v>
      </c>
      <c r="F82" s="15" t="s">
        <v>2998</v>
      </c>
      <c r="G82" s="83"/>
      <c r="DN82" s="16"/>
    </row>
    <row r="83">
      <c r="A83" s="15" t="s">
        <v>6414</v>
      </c>
      <c r="B83" s="15"/>
      <c r="C83" s="42"/>
      <c r="D83" s="15" t="s">
        <v>631</v>
      </c>
      <c r="E83" s="15" t="s">
        <v>11341</v>
      </c>
      <c r="F83" s="15" t="s">
        <v>2998</v>
      </c>
      <c r="G83" s="179"/>
      <c r="DN83" s="16"/>
    </row>
    <row r="84">
      <c r="A84" s="15" t="s">
        <v>11342</v>
      </c>
      <c r="B84" s="15">
        <v>1.0</v>
      </c>
      <c r="C84" s="42">
        <v>2350.0</v>
      </c>
      <c r="D84" s="15" t="s">
        <v>631</v>
      </c>
      <c r="E84" s="15" t="s">
        <v>11279</v>
      </c>
      <c r="F84" s="16"/>
      <c r="G84" s="279">
        <v>1.0</v>
      </c>
      <c r="DN84" s="16"/>
    </row>
    <row r="85">
      <c r="A85" s="15" t="s">
        <v>11343</v>
      </c>
      <c r="B85" s="15">
        <v>1.0</v>
      </c>
      <c r="C85" s="42">
        <v>2550.0</v>
      </c>
      <c r="D85" s="15" t="s">
        <v>631</v>
      </c>
      <c r="E85" s="15" t="s">
        <v>11279</v>
      </c>
      <c r="F85" s="15" t="s">
        <v>2998</v>
      </c>
      <c r="G85" s="42">
        <v>1.0</v>
      </c>
      <c r="DN85" s="16"/>
    </row>
    <row r="86">
      <c r="A86" s="15" t="s">
        <v>11344</v>
      </c>
      <c r="B86" s="15">
        <v>1.0</v>
      </c>
      <c r="C86" s="42">
        <v>2780.0</v>
      </c>
      <c r="D86" s="15" t="s">
        <v>631</v>
      </c>
      <c r="E86" s="15" t="s">
        <v>11345</v>
      </c>
      <c r="F86" s="15" t="s">
        <v>2998</v>
      </c>
      <c r="G86" s="179">
        <v>1.0</v>
      </c>
      <c r="DN86" s="16"/>
    </row>
    <row r="87">
      <c r="A87" s="15" t="s">
        <v>11346</v>
      </c>
      <c r="B87" s="15">
        <v>1.0</v>
      </c>
      <c r="C87" s="42">
        <v>2350.0</v>
      </c>
      <c r="D87" s="15" t="s">
        <v>631</v>
      </c>
      <c r="E87" s="15" t="s">
        <v>885</v>
      </c>
      <c r="F87" s="15" t="s">
        <v>1483</v>
      </c>
      <c r="G87" s="179"/>
      <c r="DN87" s="16"/>
    </row>
    <row r="88">
      <c r="A88" s="272" t="s">
        <v>1547</v>
      </c>
      <c r="B88" s="15">
        <v>1.0</v>
      </c>
      <c r="C88" s="42">
        <v>2780.0</v>
      </c>
      <c r="D88" s="15" t="s">
        <v>631</v>
      </c>
      <c r="E88" s="15" t="s">
        <v>11279</v>
      </c>
      <c r="F88" s="15" t="s">
        <v>11340</v>
      </c>
      <c r="G88" s="179">
        <v>1.0</v>
      </c>
      <c r="DN88" s="16"/>
    </row>
    <row r="89">
      <c r="A89" s="15" t="s">
        <v>11347</v>
      </c>
      <c r="B89" s="15">
        <v>1.0</v>
      </c>
      <c r="C89" s="80"/>
      <c r="D89" s="15" t="s">
        <v>631</v>
      </c>
      <c r="E89" s="15" t="s">
        <v>11279</v>
      </c>
      <c r="F89" s="16"/>
      <c r="G89" s="80"/>
      <c r="DN89" s="16"/>
    </row>
    <row r="90">
      <c r="A90" s="15" t="s">
        <v>11348</v>
      </c>
      <c r="B90" s="15">
        <v>1.0</v>
      </c>
      <c r="C90" s="42">
        <v>2350.0</v>
      </c>
      <c r="D90" s="15" t="s">
        <v>631</v>
      </c>
      <c r="E90" s="15" t="s">
        <v>11279</v>
      </c>
      <c r="F90" s="15" t="s">
        <v>1483</v>
      </c>
      <c r="G90" s="42">
        <v>1.0</v>
      </c>
      <c r="DN90" s="16"/>
    </row>
    <row r="91">
      <c r="A91" s="15" t="s">
        <v>11349</v>
      </c>
      <c r="B91" s="15">
        <v>1.0</v>
      </c>
      <c r="C91" s="80"/>
      <c r="D91" s="15" t="s">
        <v>631</v>
      </c>
      <c r="E91" s="15" t="s">
        <v>11279</v>
      </c>
      <c r="F91" s="15" t="s">
        <v>2998</v>
      </c>
      <c r="G91" s="179">
        <v>1.0</v>
      </c>
      <c r="DN91" s="16"/>
    </row>
    <row r="92">
      <c r="A92" s="15" t="s">
        <v>1555</v>
      </c>
      <c r="B92" s="15">
        <v>1.0</v>
      </c>
      <c r="C92" s="42" t="s">
        <v>11350</v>
      </c>
      <c r="D92" s="15" t="s">
        <v>631</v>
      </c>
      <c r="E92" s="15" t="s">
        <v>11279</v>
      </c>
      <c r="F92" s="15" t="s">
        <v>11340</v>
      </c>
      <c r="G92" s="179">
        <v>1.0</v>
      </c>
      <c r="DN92" s="16"/>
    </row>
    <row r="93">
      <c r="A93" s="15" t="s">
        <v>11351</v>
      </c>
      <c r="B93" s="15">
        <v>1.0</v>
      </c>
      <c r="C93" s="80"/>
      <c r="D93" s="15" t="s">
        <v>631</v>
      </c>
      <c r="E93" s="15" t="s">
        <v>11279</v>
      </c>
      <c r="F93" s="16"/>
      <c r="G93" s="80"/>
      <c r="DN93" s="16"/>
    </row>
    <row r="94">
      <c r="A94" s="15" t="s">
        <v>11352</v>
      </c>
      <c r="B94" s="15">
        <v>1.0</v>
      </c>
      <c r="C94" s="80"/>
      <c r="D94" s="15" t="s">
        <v>11353</v>
      </c>
      <c r="E94" s="16"/>
      <c r="F94" s="15" t="s">
        <v>11354</v>
      </c>
      <c r="G94" s="42">
        <v>1.0</v>
      </c>
      <c r="DN94" s="16"/>
    </row>
    <row r="95">
      <c r="A95" s="15" t="s">
        <v>11356</v>
      </c>
      <c r="B95" s="15"/>
      <c r="C95" s="80"/>
      <c r="D95" s="15"/>
      <c r="E95" s="15" t="s">
        <v>11357</v>
      </c>
      <c r="F95" s="15" t="s">
        <v>11354</v>
      </c>
      <c r="G95" s="80"/>
      <c r="DN95" s="16"/>
    </row>
    <row r="96">
      <c r="A96" s="15" t="s">
        <v>11358</v>
      </c>
      <c r="B96" s="15">
        <v>1.0</v>
      </c>
      <c r="C96" s="80"/>
      <c r="D96" s="15" t="s">
        <v>631</v>
      </c>
      <c r="E96" s="15" t="s">
        <v>11359</v>
      </c>
      <c r="F96" s="76" t="s">
        <v>1654</v>
      </c>
      <c r="G96" s="80"/>
      <c r="DN96" s="16"/>
    </row>
    <row r="97">
      <c r="A97" s="15" t="s">
        <v>1650</v>
      </c>
      <c r="B97" s="15">
        <v>2.0</v>
      </c>
      <c r="C97" s="42">
        <v>2500.0</v>
      </c>
      <c r="D97" s="16"/>
      <c r="E97" s="16"/>
      <c r="F97" s="16"/>
      <c r="G97" s="42">
        <v>2.0</v>
      </c>
      <c r="DN97" s="16"/>
    </row>
    <row r="98">
      <c r="A98" s="165" t="s">
        <v>5280</v>
      </c>
      <c r="B98" s="15">
        <v>1.0</v>
      </c>
      <c r="C98" s="42">
        <v>7090.0</v>
      </c>
      <c r="D98" s="15" t="s">
        <v>1713</v>
      </c>
      <c r="E98" s="15" t="s">
        <v>11360</v>
      </c>
      <c r="F98" s="15" t="s">
        <v>1719</v>
      </c>
      <c r="G98" s="179">
        <v>1.0</v>
      </c>
      <c r="DN98" s="16"/>
    </row>
    <row r="99">
      <c r="A99" s="15" t="s">
        <v>9979</v>
      </c>
      <c r="B99" s="15">
        <v>1.0</v>
      </c>
      <c r="C99" s="80"/>
      <c r="D99" s="15" t="s">
        <v>1713</v>
      </c>
      <c r="E99" s="15" t="s">
        <v>1229</v>
      </c>
      <c r="F99" s="15" t="s">
        <v>2998</v>
      </c>
      <c r="G99" s="179">
        <v>1.0</v>
      </c>
      <c r="DN99" s="16"/>
    </row>
    <row r="100">
      <c r="A100" s="15" t="s">
        <v>11361</v>
      </c>
      <c r="B100" s="15">
        <v>1.0</v>
      </c>
      <c r="C100" s="42" t="s">
        <v>1719</v>
      </c>
      <c r="D100" s="15" t="s">
        <v>1713</v>
      </c>
      <c r="E100" s="15" t="s">
        <v>1630</v>
      </c>
      <c r="F100" s="15" t="s">
        <v>1719</v>
      </c>
      <c r="G100" s="179">
        <v>1.0</v>
      </c>
      <c r="DN100" s="16"/>
    </row>
    <row r="101">
      <c r="A101" s="15" t="s">
        <v>9688</v>
      </c>
      <c r="B101" s="15">
        <v>1.0</v>
      </c>
      <c r="C101" s="80"/>
      <c r="D101" s="15" t="s">
        <v>1713</v>
      </c>
      <c r="E101" s="15" t="s">
        <v>11354</v>
      </c>
      <c r="F101" s="16"/>
      <c r="G101" s="80"/>
      <c r="DN101" s="16"/>
    </row>
    <row r="102">
      <c r="A102" s="15" t="s">
        <v>11362</v>
      </c>
      <c r="B102" s="15">
        <v>1.0</v>
      </c>
      <c r="C102" s="42">
        <v>9290.0</v>
      </c>
      <c r="D102" s="15" t="s">
        <v>1713</v>
      </c>
      <c r="E102" s="15" t="s">
        <v>1229</v>
      </c>
      <c r="F102" s="15" t="s">
        <v>1243</v>
      </c>
      <c r="G102" s="179">
        <v>1.0</v>
      </c>
      <c r="DN102" s="16"/>
    </row>
    <row r="103">
      <c r="A103" s="15" t="s">
        <v>11363</v>
      </c>
      <c r="B103" s="15">
        <v>1.0</v>
      </c>
      <c r="C103" s="42">
        <v>5790.0</v>
      </c>
      <c r="D103" s="15" t="s">
        <v>1713</v>
      </c>
      <c r="E103" s="15" t="s">
        <v>11321</v>
      </c>
      <c r="F103" s="15" t="s">
        <v>2998</v>
      </c>
      <c r="G103" s="42">
        <v>1.0</v>
      </c>
      <c r="DN103" s="16"/>
    </row>
    <row r="104">
      <c r="A104" s="272" t="s">
        <v>11364</v>
      </c>
      <c r="B104" s="15">
        <v>1.0</v>
      </c>
      <c r="C104" s="42">
        <v>8790.0</v>
      </c>
      <c r="D104" s="15" t="s">
        <v>1713</v>
      </c>
      <c r="E104" s="15" t="s">
        <v>11365</v>
      </c>
      <c r="F104" s="15" t="s">
        <v>11366</v>
      </c>
      <c r="G104" s="179">
        <v>1.0</v>
      </c>
      <c r="DN104" s="16"/>
    </row>
    <row r="105">
      <c r="A105" s="15" t="s">
        <v>11367</v>
      </c>
      <c r="B105" s="15">
        <v>1.0</v>
      </c>
      <c r="C105" s="80"/>
      <c r="D105" s="15" t="s">
        <v>1713</v>
      </c>
      <c r="E105" s="15" t="s">
        <v>1229</v>
      </c>
      <c r="F105" s="15" t="s">
        <v>1719</v>
      </c>
      <c r="G105" s="42">
        <v>1.0</v>
      </c>
      <c r="DN105" s="16"/>
    </row>
    <row r="106">
      <c r="A106" s="15" t="s">
        <v>8456</v>
      </c>
      <c r="B106" s="15">
        <v>0.0</v>
      </c>
      <c r="C106" s="80"/>
      <c r="D106" s="15" t="s">
        <v>1713</v>
      </c>
      <c r="E106" s="15" t="s">
        <v>1229</v>
      </c>
      <c r="F106" s="15" t="s">
        <v>2998</v>
      </c>
      <c r="G106" s="42">
        <v>0.0</v>
      </c>
      <c r="DN106" s="16"/>
    </row>
    <row r="107">
      <c r="A107" s="15" t="s">
        <v>5278</v>
      </c>
      <c r="B107" s="15">
        <v>1.0</v>
      </c>
      <c r="C107" s="42">
        <v>5990.0</v>
      </c>
      <c r="D107" s="15" t="s">
        <v>1713</v>
      </c>
      <c r="E107" s="15" t="s">
        <v>11321</v>
      </c>
      <c r="F107" s="15" t="s">
        <v>2998</v>
      </c>
      <c r="G107" s="42">
        <v>1.0</v>
      </c>
      <c r="DN107" s="16"/>
    </row>
    <row r="108">
      <c r="A108" s="273" t="s">
        <v>1720</v>
      </c>
      <c r="B108" s="15">
        <v>1.0</v>
      </c>
      <c r="C108" s="42">
        <v>10990.0</v>
      </c>
      <c r="D108" s="15" t="s">
        <v>1713</v>
      </c>
      <c r="E108" s="16"/>
      <c r="F108" s="16"/>
      <c r="G108" s="80"/>
      <c r="DN108" s="16"/>
    </row>
    <row r="109">
      <c r="A109" s="15" t="s">
        <v>11368</v>
      </c>
      <c r="B109" s="15">
        <v>1.0</v>
      </c>
      <c r="C109" s="42">
        <v>5990.0</v>
      </c>
      <c r="D109" s="15" t="s">
        <v>1713</v>
      </c>
      <c r="E109" s="15" t="s">
        <v>11321</v>
      </c>
      <c r="F109" s="15" t="s">
        <v>2998</v>
      </c>
      <c r="G109" s="42">
        <v>1.0</v>
      </c>
      <c r="DN109" s="16"/>
    </row>
    <row r="110">
      <c r="A110" s="15" t="s">
        <v>11369</v>
      </c>
      <c r="B110" s="15">
        <v>1.0</v>
      </c>
      <c r="C110" s="80"/>
      <c r="D110" s="15" t="s">
        <v>1713</v>
      </c>
      <c r="E110" s="15" t="s">
        <v>1229</v>
      </c>
      <c r="F110" s="15" t="s">
        <v>2998</v>
      </c>
      <c r="G110" s="42">
        <v>1.0</v>
      </c>
      <c r="DN110" s="16"/>
    </row>
    <row r="111">
      <c r="A111" s="165" t="s">
        <v>11372</v>
      </c>
      <c r="B111" s="15">
        <v>1.0</v>
      </c>
      <c r="C111" s="42">
        <v>7990.0</v>
      </c>
      <c r="D111" s="15" t="s">
        <v>1713</v>
      </c>
      <c r="E111" s="16"/>
      <c r="F111" s="16"/>
      <c r="G111" s="80"/>
      <c r="DN111" s="16"/>
    </row>
    <row r="112">
      <c r="A112" s="273" t="s">
        <v>11372</v>
      </c>
      <c r="B112" s="15">
        <v>1.0</v>
      </c>
      <c r="C112" s="42">
        <v>7690.0</v>
      </c>
      <c r="D112" s="15" t="s">
        <v>1713</v>
      </c>
      <c r="E112" s="16"/>
      <c r="F112" s="16"/>
      <c r="G112" s="80"/>
      <c r="DN112" s="16"/>
    </row>
    <row r="113">
      <c r="A113" s="272" t="s">
        <v>9686</v>
      </c>
      <c r="B113" s="15">
        <v>1.0</v>
      </c>
      <c r="C113" s="42">
        <v>6690.0</v>
      </c>
      <c r="D113" s="15" t="s">
        <v>1713</v>
      </c>
      <c r="E113" s="15" t="s">
        <v>11321</v>
      </c>
      <c r="F113" s="76" t="s">
        <v>1654</v>
      </c>
      <c r="G113" s="179">
        <v>1.0</v>
      </c>
      <c r="DN113" s="16"/>
    </row>
    <row r="114">
      <c r="A114" s="165" t="s">
        <v>7099</v>
      </c>
      <c r="B114" s="15">
        <v>0.0</v>
      </c>
      <c r="C114" s="42">
        <v>8990.0</v>
      </c>
      <c r="D114" s="15" t="s">
        <v>1713</v>
      </c>
      <c r="E114" s="15" t="s">
        <v>11321</v>
      </c>
      <c r="F114" s="15"/>
      <c r="G114" s="179">
        <v>0.0</v>
      </c>
      <c r="DN114" s="16"/>
    </row>
    <row r="115">
      <c r="A115" s="15" t="s">
        <v>11374</v>
      </c>
      <c r="B115" s="15">
        <v>1.0</v>
      </c>
      <c r="C115" s="42">
        <v>9220.0</v>
      </c>
      <c r="D115" s="15" t="s">
        <v>1713</v>
      </c>
      <c r="E115" s="15" t="s">
        <v>11375</v>
      </c>
      <c r="F115" s="15" t="s">
        <v>2998</v>
      </c>
      <c r="G115" s="179">
        <v>1.0</v>
      </c>
      <c r="DN115" s="16"/>
    </row>
    <row r="116">
      <c r="A116" s="165" t="s">
        <v>11376</v>
      </c>
      <c r="B116" s="15">
        <v>1.0</v>
      </c>
      <c r="C116" s="42">
        <v>90.0</v>
      </c>
      <c r="D116" s="15" t="s">
        <v>1713</v>
      </c>
      <c r="E116" s="15" t="s">
        <v>1229</v>
      </c>
      <c r="F116" s="15" t="s">
        <v>2998</v>
      </c>
      <c r="G116" s="42">
        <v>1.0</v>
      </c>
      <c r="DN116" s="16"/>
    </row>
    <row r="117">
      <c r="A117" s="15" t="s">
        <v>11377</v>
      </c>
      <c r="B117" s="15">
        <v>1.0</v>
      </c>
      <c r="C117" s="42">
        <v>11990.0</v>
      </c>
      <c r="D117" s="15" t="s">
        <v>1713</v>
      </c>
      <c r="E117" s="15" t="s">
        <v>11279</v>
      </c>
      <c r="F117" s="15" t="s">
        <v>5304</v>
      </c>
      <c r="G117" s="179">
        <v>1.0</v>
      </c>
      <c r="DN117" s="16"/>
    </row>
    <row r="118">
      <c r="A118" s="15" t="s">
        <v>11378</v>
      </c>
      <c r="B118" s="15">
        <v>1.0</v>
      </c>
      <c r="C118" s="80"/>
      <c r="D118" s="15" t="s">
        <v>1713</v>
      </c>
      <c r="E118" s="15" t="s">
        <v>11379</v>
      </c>
      <c r="F118" s="15" t="s">
        <v>2709</v>
      </c>
      <c r="G118" s="179">
        <v>1.0</v>
      </c>
      <c r="DN118" s="16"/>
    </row>
    <row r="119">
      <c r="A119" s="165" t="s">
        <v>11380</v>
      </c>
      <c r="B119" s="15">
        <v>1.0</v>
      </c>
      <c r="C119" s="42">
        <v>4990.0</v>
      </c>
      <c r="D119" s="16"/>
      <c r="E119" s="15" t="s">
        <v>11360</v>
      </c>
      <c r="F119" s="16"/>
      <c r="G119" s="80"/>
      <c r="DN119" s="16"/>
    </row>
    <row r="120">
      <c r="A120" s="15" t="s">
        <v>5093</v>
      </c>
      <c r="B120" s="15">
        <v>1.0</v>
      </c>
      <c r="C120" s="80"/>
      <c r="D120" s="15" t="s">
        <v>1793</v>
      </c>
      <c r="E120" s="15" t="s">
        <v>11354</v>
      </c>
      <c r="F120" s="16"/>
      <c r="G120" s="42" t="s">
        <v>11381</v>
      </c>
      <c r="DN120" s="16"/>
    </row>
    <row r="121">
      <c r="A121" s="165" t="s">
        <v>11382</v>
      </c>
      <c r="B121" s="15">
        <v>1.0</v>
      </c>
      <c r="C121" s="42">
        <v>7490.0</v>
      </c>
      <c r="D121" s="16"/>
      <c r="E121" s="15" t="s">
        <v>1229</v>
      </c>
      <c r="F121" s="76" t="s">
        <v>1819</v>
      </c>
      <c r="G121" s="42">
        <v>1.0</v>
      </c>
      <c r="DN121" s="16"/>
    </row>
    <row r="122">
      <c r="A122" s="15" t="s">
        <v>11383</v>
      </c>
      <c r="B122" s="15">
        <v>1.0</v>
      </c>
      <c r="C122" s="42">
        <v>7690.0</v>
      </c>
      <c r="D122" s="16"/>
      <c r="E122" s="15" t="s">
        <v>1229</v>
      </c>
      <c r="F122" s="76" t="s">
        <v>1819</v>
      </c>
      <c r="G122" s="42">
        <v>1.0</v>
      </c>
      <c r="DN122" s="16"/>
    </row>
    <row r="123">
      <c r="A123" s="15" t="s">
        <v>11384</v>
      </c>
      <c r="B123" s="15">
        <v>1.0</v>
      </c>
      <c r="C123" s="80"/>
      <c r="D123" s="16"/>
      <c r="E123" s="15"/>
      <c r="F123" s="15"/>
      <c r="G123" s="179">
        <v>1.0</v>
      </c>
      <c r="DN123" s="16"/>
    </row>
    <row r="124">
      <c r="A124" s="273" t="s">
        <v>11385</v>
      </c>
      <c r="B124" s="15">
        <v>1.0</v>
      </c>
      <c r="C124" s="80"/>
      <c r="D124" s="15" t="s">
        <v>11270</v>
      </c>
      <c r="E124" s="15" t="s">
        <v>1896</v>
      </c>
      <c r="F124" s="76" t="s">
        <v>1827</v>
      </c>
      <c r="G124" s="42"/>
      <c r="DN124" s="16"/>
    </row>
    <row r="125">
      <c r="A125" s="273" t="s">
        <v>6641</v>
      </c>
      <c r="B125" s="15">
        <v>1.0</v>
      </c>
      <c r="C125" s="42">
        <v>8890.0</v>
      </c>
      <c r="D125" s="15"/>
      <c r="E125" s="15" t="s">
        <v>1229</v>
      </c>
      <c r="F125" s="76" t="s">
        <v>1819</v>
      </c>
      <c r="G125" s="42">
        <v>1.0</v>
      </c>
      <c r="DN125" s="16"/>
    </row>
    <row r="126">
      <c r="A126" s="273" t="s">
        <v>11386</v>
      </c>
      <c r="B126" s="15">
        <v>1.0</v>
      </c>
      <c r="C126" s="80"/>
      <c r="D126" s="16"/>
      <c r="E126" s="15" t="s">
        <v>11387</v>
      </c>
      <c r="F126" s="16"/>
      <c r="G126" s="80"/>
      <c r="DN126" s="16"/>
    </row>
    <row r="127">
      <c r="A127" s="165" t="s">
        <v>11388</v>
      </c>
      <c r="B127" s="15">
        <v>0.0</v>
      </c>
      <c r="C127" s="42">
        <v>6890.0</v>
      </c>
      <c r="D127" s="16"/>
      <c r="E127" s="16"/>
      <c r="F127" s="16"/>
      <c r="G127" s="80"/>
      <c r="DN127" s="16"/>
    </row>
    <row r="128">
      <c r="A128" s="15" t="s">
        <v>11389</v>
      </c>
      <c r="B128" s="15">
        <v>1.0</v>
      </c>
      <c r="C128" s="42">
        <v>5990.0</v>
      </c>
      <c r="D128" s="16"/>
      <c r="E128" s="15" t="s">
        <v>1229</v>
      </c>
      <c r="F128" s="15" t="s">
        <v>11390</v>
      </c>
      <c r="G128" s="80"/>
      <c r="DN128" s="16"/>
    </row>
    <row r="129">
      <c r="A129" s="15" t="s">
        <v>5106</v>
      </c>
      <c r="B129" s="15">
        <v>1.0</v>
      </c>
      <c r="C129" s="80"/>
      <c r="D129" s="16"/>
      <c r="E129" s="15" t="s">
        <v>11391</v>
      </c>
      <c r="F129" s="16"/>
      <c r="G129" s="80"/>
      <c r="DN129" s="16"/>
    </row>
    <row r="130">
      <c r="A130" s="15" t="s">
        <v>1829</v>
      </c>
      <c r="B130" s="15">
        <v>1.0</v>
      </c>
      <c r="C130" s="80"/>
      <c r="D130" s="16"/>
      <c r="E130" s="15" t="s">
        <v>11392</v>
      </c>
      <c r="F130" s="76" t="s">
        <v>11393</v>
      </c>
      <c r="G130" s="42">
        <v>1.0</v>
      </c>
      <c r="DN130" s="16"/>
    </row>
    <row r="131">
      <c r="A131" s="15" t="s">
        <v>1816</v>
      </c>
      <c r="B131" s="15">
        <v>1.0</v>
      </c>
      <c r="C131" s="80"/>
      <c r="D131" s="16"/>
      <c r="E131" s="15" t="s">
        <v>11354</v>
      </c>
      <c r="F131" s="15"/>
      <c r="G131" s="42">
        <v>1.0</v>
      </c>
      <c r="DN131" s="16"/>
    </row>
    <row r="132">
      <c r="A132" s="15" t="s">
        <v>1805</v>
      </c>
      <c r="B132" s="15">
        <v>1.0</v>
      </c>
      <c r="C132" s="42" t="s">
        <v>11394</v>
      </c>
      <c r="D132" s="42">
        <v>9390.0</v>
      </c>
      <c r="E132" s="15" t="s">
        <v>1229</v>
      </c>
      <c r="F132" s="15" t="s">
        <v>11394</v>
      </c>
      <c r="G132" s="80"/>
      <c r="DN132" s="16"/>
    </row>
    <row r="133">
      <c r="A133" s="15" t="s">
        <v>11395</v>
      </c>
      <c r="B133" s="15">
        <v>1.0</v>
      </c>
      <c r="C133" s="42">
        <v>8790.0</v>
      </c>
      <c r="D133" s="16"/>
      <c r="E133" s="15" t="s">
        <v>11279</v>
      </c>
      <c r="F133" s="76" t="s">
        <v>1819</v>
      </c>
      <c r="G133" s="42">
        <v>1.0</v>
      </c>
      <c r="DN133" s="16"/>
    </row>
    <row r="134">
      <c r="A134" s="15" t="s">
        <v>6644</v>
      </c>
      <c r="B134" s="15">
        <v>1.0</v>
      </c>
      <c r="C134" s="80"/>
      <c r="D134" s="16"/>
      <c r="E134" s="15" t="s">
        <v>11396</v>
      </c>
      <c r="F134" s="76" t="s">
        <v>1819</v>
      </c>
      <c r="G134" s="42">
        <v>1.0</v>
      </c>
      <c r="DN134" s="16"/>
    </row>
    <row r="135">
      <c r="A135" s="15" t="s">
        <v>11397</v>
      </c>
      <c r="B135" s="15">
        <v>1.0</v>
      </c>
      <c r="C135" s="42">
        <v>6890.0</v>
      </c>
      <c r="D135" s="15" t="s">
        <v>1793</v>
      </c>
      <c r="E135" s="15" t="s">
        <v>1229</v>
      </c>
      <c r="F135" s="76" t="s">
        <v>1819</v>
      </c>
      <c r="G135" s="42">
        <v>1.0</v>
      </c>
      <c r="DN135" s="16"/>
    </row>
    <row r="136" ht="15.0" customHeight="1">
      <c r="A136" s="15" t="s">
        <v>11398</v>
      </c>
      <c r="B136" s="15">
        <v>1.0</v>
      </c>
      <c r="C136" s="42">
        <v>9490.0</v>
      </c>
      <c r="D136" s="16"/>
      <c r="E136" s="15" t="s">
        <v>1229</v>
      </c>
      <c r="F136" s="76" t="s">
        <v>1819</v>
      </c>
      <c r="G136" s="174">
        <v>1.0</v>
      </c>
      <c r="DN136" s="16"/>
    </row>
    <row r="137">
      <c r="A137" s="15" t="s">
        <v>11399</v>
      </c>
      <c r="B137" s="15">
        <v>1.0</v>
      </c>
      <c r="C137" s="42" t="s">
        <v>11400</v>
      </c>
      <c r="D137" s="16"/>
      <c r="E137" s="15" t="s">
        <v>1229</v>
      </c>
      <c r="F137" s="76" t="s">
        <v>1819</v>
      </c>
      <c r="G137" s="42">
        <v>1.0</v>
      </c>
      <c r="DN137" s="16"/>
    </row>
    <row r="138">
      <c r="A138" s="165" t="s">
        <v>11401</v>
      </c>
      <c r="B138" s="15">
        <v>1.0</v>
      </c>
      <c r="C138" s="42">
        <v>5990.0</v>
      </c>
      <c r="D138" s="16"/>
      <c r="E138" s="15" t="s">
        <v>11357</v>
      </c>
      <c r="F138" s="119" t="s">
        <v>1819</v>
      </c>
      <c r="G138" s="42">
        <v>1.0</v>
      </c>
      <c r="DN138" s="16"/>
    </row>
    <row r="139">
      <c r="A139" s="15" t="s">
        <v>6645</v>
      </c>
      <c r="B139" s="15">
        <v>1.0</v>
      </c>
      <c r="C139" s="80"/>
      <c r="D139" s="16"/>
      <c r="E139" s="15" t="s">
        <v>11402</v>
      </c>
      <c r="F139" s="76" t="s">
        <v>1819</v>
      </c>
      <c r="G139" s="42">
        <v>1.0</v>
      </c>
      <c r="DN139" s="16"/>
    </row>
    <row r="140">
      <c r="A140" s="165" t="s">
        <v>1835</v>
      </c>
      <c r="B140" s="15">
        <v>1.0</v>
      </c>
      <c r="C140" s="42">
        <v>10890.0</v>
      </c>
      <c r="D140" s="15"/>
      <c r="E140" s="15" t="s">
        <v>1896</v>
      </c>
      <c r="F140" s="76" t="s">
        <v>1819</v>
      </c>
      <c r="G140" s="42">
        <v>1.0</v>
      </c>
      <c r="DN140" s="16"/>
    </row>
    <row r="141">
      <c r="A141" s="15" t="s">
        <v>11403</v>
      </c>
      <c r="B141" s="15">
        <v>1.0</v>
      </c>
      <c r="C141" s="80"/>
      <c r="D141" s="16"/>
      <c r="E141" s="15" t="s">
        <v>1229</v>
      </c>
      <c r="F141" s="16"/>
      <c r="G141" s="80"/>
      <c r="DN141" s="16"/>
    </row>
    <row r="142">
      <c r="A142" s="15" t="s">
        <v>1842</v>
      </c>
      <c r="B142" s="15">
        <v>1.0</v>
      </c>
      <c r="C142" s="42" t="s">
        <v>11394</v>
      </c>
      <c r="D142" s="16"/>
      <c r="E142" s="15" t="s">
        <v>11354</v>
      </c>
      <c r="F142" s="16"/>
      <c r="G142" s="80"/>
      <c r="DN142" s="16"/>
    </row>
    <row r="143">
      <c r="A143" s="15" t="s">
        <v>11404</v>
      </c>
      <c r="B143" s="15">
        <v>2.0</v>
      </c>
      <c r="C143" s="42">
        <v>4490.0</v>
      </c>
      <c r="D143" s="16"/>
      <c r="E143" s="15" t="s">
        <v>1229</v>
      </c>
      <c r="F143" s="15" t="s">
        <v>11393</v>
      </c>
      <c r="G143" s="42">
        <v>2.0</v>
      </c>
      <c r="DN143" s="16"/>
    </row>
    <row r="144">
      <c r="A144" s="165" t="s">
        <v>9337</v>
      </c>
      <c r="B144" s="15">
        <v>1.0</v>
      </c>
      <c r="C144" s="42">
        <v>6990.0</v>
      </c>
      <c r="D144" s="16"/>
      <c r="E144" s="16"/>
      <c r="F144" s="16"/>
      <c r="G144" s="80"/>
      <c r="DN144" s="16"/>
    </row>
    <row r="145">
      <c r="A145" s="15" t="s">
        <v>9337</v>
      </c>
      <c r="B145" s="15">
        <v>1.0</v>
      </c>
      <c r="C145" s="80"/>
      <c r="D145" s="16"/>
      <c r="E145" s="15" t="s">
        <v>1229</v>
      </c>
      <c r="F145" s="16"/>
      <c r="G145" s="80"/>
      <c r="DN145" s="16"/>
    </row>
    <row r="146">
      <c r="A146" s="15" t="s">
        <v>1852</v>
      </c>
      <c r="B146" s="15">
        <v>2.0</v>
      </c>
      <c r="C146" s="80"/>
      <c r="D146" s="16"/>
      <c r="E146" s="15" t="s">
        <v>1229</v>
      </c>
      <c r="F146" s="15" t="s">
        <v>1902</v>
      </c>
      <c r="G146" s="179">
        <v>2.0</v>
      </c>
      <c r="DN146" s="16"/>
    </row>
    <row r="147">
      <c r="A147" s="15" t="s">
        <v>10106</v>
      </c>
      <c r="B147" s="15">
        <v>1.0</v>
      </c>
      <c r="C147" s="42">
        <v>5990.0</v>
      </c>
      <c r="D147" s="16"/>
      <c r="E147" s="15" t="s">
        <v>1229</v>
      </c>
      <c r="F147" s="76" t="s">
        <v>1819</v>
      </c>
      <c r="G147" s="279">
        <v>1.0</v>
      </c>
      <c r="DN147" s="16"/>
    </row>
    <row r="148">
      <c r="A148" s="15" t="s">
        <v>1854</v>
      </c>
      <c r="B148" s="15">
        <v>1.0</v>
      </c>
      <c r="C148" s="80"/>
      <c r="D148" s="16"/>
      <c r="E148" s="15" t="s">
        <v>1229</v>
      </c>
      <c r="F148" s="16"/>
      <c r="G148" s="279">
        <v>1.0</v>
      </c>
      <c r="DN148" s="16"/>
    </row>
    <row r="149">
      <c r="A149" s="15" t="s">
        <v>11405</v>
      </c>
      <c r="B149" s="15">
        <v>1.0</v>
      </c>
      <c r="C149" s="80"/>
      <c r="D149" s="16"/>
      <c r="E149" s="15" t="s">
        <v>1229</v>
      </c>
      <c r="F149" s="76" t="s">
        <v>1819</v>
      </c>
      <c r="G149" s="42">
        <v>1.0</v>
      </c>
      <c r="DN149" s="16"/>
    </row>
    <row r="150">
      <c r="A150" s="15" t="s">
        <v>7206</v>
      </c>
      <c r="B150" s="15">
        <v>1.0</v>
      </c>
      <c r="C150" s="42">
        <v>10090.0</v>
      </c>
      <c r="D150" s="16"/>
      <c r="E150" s="15" t="s">
        <v>1229</v>
      </c>
      <c r="F150" s="15" t="s">
        <v>1819</v>
      </c>
      <c r="G150" s="179">
        <v>2.0</v>
      </c>
      <c r="DN150" s="16"/>
    </row>
    <row r="151">
      <c r="A151" s="15" t="s">
        <v>5121</v>
      </c>
      <c r="B151" s="15">
        <v>1.0</v>
      </c>
      <c r="C151" s="80"/>
      <c r="D151" s="16"/>
      <c r="E151" s="15" t="s">
        <v>1229</v>
      </c>
      <c r="F151" s="16"/>
      <c r="G151" s="80"/>
      <c r="DN151" s="16"/>
    </row>
    <row r="152">
      <c r="A152" s="15" t="s">
        <v>6022</v>
      </c>
      <c r="B152" s="15">
        <v>1.0</v>
      </c>
      <c r="C152" s="42">
        <v>6890.0</v>
      </c>
      <c r="D152" s="16"/>
      <c r="E152" s="15" t="s">
        <v>1229</v>
      </c>
      <c r="F152" s="76" t="s">
        <v>1819</v>
      </c>
      <c r="G152" s="179">
        <v>1.0</v>
      </c>
      <c r="DN152" s="16"/>
    </row>
    <row r="153">
      <c r="A153" s="273" t="s">
        <v>1863</v>
      </c>
      <c r="B153" s="15">
        <v>1.0</v>
      </c>
      <c r="C153" s="80"/>
      <c r="D153" s="16"/>
      <c r="E153" s="15" t="s">
        <v>1229</v>
      </c>
      <c r="F153" s="16"/>
      <c r="G153" s="80"/>
      <c r="DN153" s="16"/>
    </row>
    <row r="154">
      <c r="A154" s="15" t="s">
        <v>6189</v>
      </c>
      <c r="B154" s="15">
        <v>1.0</v>
      </c>
      <c r="C154" s="42">
        <v>9390.0</v>
      </c>
      <c r="D154" s="15" t="s">
        <v>1896</v>
      </c>
      <c r="E154" s="15" t="s">
        <v>1896</v>
      </c>
      <c r="F154" s="76" t="s">
        <v>1819</v>
      </c>
      <c r="G154" s="42">
        <v>1.0</v>
      </c>
      <c r="DN154" s="16"/>
    </row>
    <row r="155">
      <c r="A155" s="15" t="s">
        <v>6654</v>
      </c>
      <c r="B155" s="15">
        <v>1.0</v>
      </c>
      <c r="C155" s="80"/>
      <c r="D155" s="15"/>
      <c r="E155" s="15" t="s">
        <v>1229</v>
      </c>
      <c r="F155" s="15" t="s">
        <v>1819</v>
      </c>
      <c r="G155" s="42">
        <v>1.0</v>
      </c>
      <c r="DN155" s="16"/>
    </row>
    <row r="156">
      <c r="A156" s="15" t="s">
        <v>7812</v>
      </c>
      <c r="B156" s="15">
        <v>1.0</v>
      </c>
      <c r="C156" s="42">
        <v>9490.0</v>
      </c>
      <c r="D156" s="15" t="s">
        <v>1793</v>
      </c>
      <c r="E156" s="15" t="s">
        <v>1526</v>
      </c>
      <c r="F156" s="76" t="s">
        <v>1819</v>
      </c>
      <c r="G156" s="42">
        <v>1.0</v>
      </c>
      <c r="DN156" s="16"/>
    </row>
    <row r="157">
      <c r="A157" s="15" t="s">
        <v>1865</v>
      </c>
      <c r="B157" s="15">
        <v>1.0</v>
      </c>
      <c r="C157" s="80"/>
      <c r="D157" s="16"/>
      <c r="E157" s="15" t="s">
        <v>11406</v>
      </c>
      <c r="F157" s="15" t="s">
        <v>11407</v>
      </c>
      <c r="G157" s="179">
        <v>1.0</v>
      </c>
      <c r="DN157" s="16"/>
    </row>
    <row r="158">
      <c r="A158" s="118" t="s">
        <v>5143</v>
      </c>
      <c r="B158" s="15">
        <v>1.0</v>
      </c>
      <c r="C158" s="42">
        <v>6790.0</v>
      </c>
      <c r="D158" s="15"/>
      <c r="E158" s="15" t="s">
        <v>1229</v>
      </c>
      <c r="F158" s="76" t="s">
        <v>1819</v>
      </c>
      <c r="G158" s="42">
        <v>1.0</v>
      </c>
      <c r="DN158" s="16"/>
    </row>
    <row r="159">
      <c r="A159" s="15" t="s">
        <v>11409</v>
      </c>
      <c r="B159" s="15">
        <v>1.0</v>
      </c>
      <c r="C159" s="80"/>
      <c r="D159" s="16"/>
      <c r="E159" s="15" t="s">
        <v>1229</v>
      </c>
      <c r="F159" s="76" t="s">
        <v>1819</v>
      </c>
      <c r="G159" s="42">
        <v>1.0</v>
      </c>
      <c r="DN159" s="16"/>
    </row>
    <row r="160">
      <c r="A160" s="15" t="s">
        <v>11410</v>
      </c>
      <c r="B160" s="15">
        <v>1.0</v>
      </c>
      <c r="C160" s="42">
        <v>6390.0</v>
      </c>
      <c r="D160" s="15" t="s">
        <v>1793</v>
      </c>
      <c r="E160" s="15" t="s">
        <v>1229</v>
      </c>
      <c r="F160" s="76" t="s">
        <v>1819</v>
      </c>
      <c r="G160" s="42">
        <v>1.0</v>
      </c>
      <c r="DN160" s="16"/>
    </row>
    <row r="161">
      <c r="A161" s="15" t="s">
        <v>11411</v>
      </c>
      <c r="B161" s="15">
        <v>1.0</v>
      </c>
      <c r="C161" s="42">
        <v>9900.0</v>
      </c>
      <c r="D161" s="16"/>
      <c r="E161" s="15" t="s">
        <v>1229</v>
      </c>
      <c r="F161" s="76" t="s">
        <v>1819</v>
      </c>
      <c r="G161" s="179">
        <v>1.0</v>
      </c>
      <c r="DN161" s="16"/>
    </row>
    <row r="162">
      <c r="A162" s="165" t="s">
        <v>6262</v>
      </c>
      <c r="B162" s="15">
        <v>0.0</v>
      </c>
      <c r="C162" s="42">
        <v>4290.0</v>
      </c>
      <c r="D162" s="16"/>
      <c r="E162" s="15" t="s">
        <v>11412</v>
      </c>
      <c r="F162" s="16"/>
      <c r="G162" s="80"/>
      <c r="DN162" s="16"/>
    </row>
    <row r="163">
      <c r="A163" s="165" t="s">
        <v>6262</v>
      </c>
      <c r="B163" s="15">
        <v>1.0</v>
      </c>
      <c r="C163" s="42">
        <v>4290.0</v>
      </c>
      <c r="D163" s="16"/>
      <c r="E163" s="15" t="s">
        <v>1896</v>
      </c>
      <c r="F163" s="16"/>
      <c r="G163" s="80"/>
      <c r="DN163" s="16"/>
    </row>
    <row r="164">
      <c r="A164" s="165" t="s">
        <v>1867</v>
      </c>
      <c r="B164" s="15">
        <v>1.0</v>
      </c>
      <c r="C164" s="80"/>
      <c r="D164" s="16"/>
      <c r="E164" s="15" t="s">
        <v>11360</v>
      </c>
      <c r="F164" s="15" t="s">
        <v>11394</v>
      </c>
      <c r="G164" s="80"/>
      <c r="DN164" s="16"/>
    </row>
    <row r="165">
      <c r="A165" s="273" t="s">
        <v>11413</v>
      </c>
      <c r="B165" s="15">
        <v>1.0</v>
      </c>
      <c r="C165" s="42">
        <v>8890.0</v>
      </c>
      <c r="D165" s="16"/>
      <c r="E165" s="15" t="s">
        <v>1229</v>
      </c>
      <c r="F165" s="76" t="s">
        <v>1819</v>
      </c>
      <c r="G165" s="42">
        <v>1.0</v>
      </c>
      <c r="DN165" s="16"/>
    </row>
    <row r="166">
      <c r="A166" s="75" t="s">
        <v>1822</v>
      </c>
      <c r="B166" s="282">
        <v>1.0</v>
      </c>
      <c r="C166" s="83">
        <v>9490.0</v>
      </c>
      <c r="D166" s="76"/>
      <c r="E166" s="53" t="s">
        <v>885</v>
      </c>
      <c r="F166" s="76" t="s">
        <v>1819</v>
      </c>
      <c r="G166" s="83">
        <v>1.0</v>
      </c>
      <c r="DN166" s="16"/>
    </row>
    <row r="167">
      <c r="A167" s="15" t="s">
        <v>11414</v>
      </c>
      <c r="B167" s="15">
        <v>1.0</v>
      </c>
      <c r="C167" s="80"/>
      <c r="D167" s="16"/>
      <c r="E167" s="15" t="s">
        <v>11354</v>
      </c>
      <c r="F167" s="16"/>
      <c r="G167" s="80"/>
      <c r="DN167" s="16"/>
    </row>
    <row r="168">
      <c r="A168" s="15" t="s">
        <v>6193</v>
      </c>
      <c r="B168" s="15">
        <v>1.0</v>
      </c>
      <c r="C168" s="42">
        <v>7790.0</v>
      </c>
      <c r="D168" s="16"/>
      <c r="E168" s="15" t="s">
        <v>1229</v>
      </c>
      <c r="F168" s="76" t="s">
        <v>1819</v>
      </c>
      <c r="G168" s="42">
        <v>1.0</v>
      </c>
      <c r="DN168" s="16"/>
    </row>
    <row r="169" ht="18.0" customHeight="1">
      <c r="A169" s="15" t="s">
        <v>11415</v>
      </c>
      <c r="B169" s="15">
        <v>1.0</v>
      </c>
      <c r="C169" s="80"/>
      <c r="D169" s="16"/>
      <c r="E169" s="15" t="s">
        <v>1229</v>
      </c>
      <c r="F169" s="76" t="s">
        <v>1819</v>
      </c>
      <c r="G169" s="179">
        <v>1.0</v>
      </c>
      <c r="DN169" s="16"/>
    </row>
    <row r="170">
      <c r="A170" s="15" t="s">
        <v>6196</v>
      </c>
      <c r="B170" s="15">
        <v>1.0</v>
      </c>
      <c r="C170" s="80"/>
      <c r="D170" s="16"/>
      <c r="E170" s="15" t="s">
        <v>1229</v>
      </c>
      <c r="F170" s="76" t="s">
        <v>1819</v>
      </c>
      <c r="G170" s="179">
        <v>1.0</v>
      </c>
      <c r="DN170" s="16"/>
    </row>
    <row r="171">
      <c r="A171" s="15" t="s">
        <v>1869</v>
      </c>
      <c r="B171" s="15">
        <v>1.0</v>
      </c>
      <c r="C171" s="42" t="s">
        <v>11394</v>
      </c>
      <c r="D171" s="16"/>
      <c r="E171" s="15" t="s">
        <v>1526</v>
      </c>
      <c r="F171" s="15" t="s">
        <v>11394</v>
      </c>
      <c r="G171" s="80"/>
      <c r="DN171" s="16"/>
    </row>
    <row r="172">
      <c r="A172" s="15" t="s">
        <v>11416</v>
      </c>
      <c r="B172" s="15">
        <v>1.0</v>
      </c>
      <c r="C172" s="80"/>
      <c r="D172" s="16"/>
      <c r="E172" s="15" t="s">
        <v>1229</v>
      </c>
      <c r="F172" s="76" t="s">
        <v>1819</v>
      </c>
      <c r="G172" s="279">
        <v>1.0</v>
      </c>
      <c r="DN172" s="16"/>
    </row>
    <row r="173">
      <c r="A173" s="15" t="s">
        <v>6494</v>
      </c>
      <c r="B173" s="15">
        <v>1.0</v>
      </c>
      <c r="C173" s="42">
        <v>8290.0</v>
      </c>
      <c r="D173" s="16"/>
      <c r="E173" s="15" t="s">
        <v>1229</v>
      </c>
      <c r="F173" s="76" t="s">
        <v>1819</v>
      </c>
      <c r="G173" s="42">
        <v>1.0</v>
      </c>
      <c r="DN173" s="16"/>
    </row>
    <row r="174">
      <c r="A174" s="15" t="s">
        <v>1876</v>
      </c>
      <c r="B174" s="15">
        <v>1.0</v>
      </c>
      <c r="C174" s="80"/>
      <c r="D174" s="15" t="s">
        <v>1793</v>
      </c>
      <c r="E174" s="15" t="s">
        <v>11417</v>
      </c>
      <c r="F174" s="16"/>
      <c r="G174" s="80"/>
      <c r="DN174" s="16"/>
    </row>
    <row r="175">
      <c r="A175" s="15" t="s">
        <v>11418</v>
      </c>
      <c r="B175" s="15">
        <v>1.0</v>
      </c>
      <c r="C175" s="42">
        <v>15400.0</v>
      </c>
      <c r="D175" s="16"/>
      <c r="E175" s="15" t="s">
        <v>1229</v>
      </c>
      <c r="F175" s="76" t="s">
        <v>1819</v>
      </c>
      <c r="G175" s="179">
        <v>1.0</v>
      </c>
      <c r="DN175" s="16"/>
    </row>
    <row r="176">
      <c r="A176" s="165" t="s">
        <v>9082</v>
      </c>
      <c r="B176" s="15">
        <v>1.0</v>
      </c>
      <c r="C176" s="42">
        <v>6790.0</v>
      </c>
      <c r="D176" s="16"/>
      <c r="E176" s="15" t="s">
        <v>11419</v>
      </c>
      <c r="F176" s="16"/>
      <c r="G176" s="80"/>
      <c r="DN176" s="16"/>
    </row>
    <row r="177">
      <c r="A177" s="15" t="s">
        <v>6201</v>
      </c>
      <c r="B177" s="15">
        <v>1.0</v>
      </c>
      <c r="C177" s="42">
        <v>8190.0</v>
      </c>
      <c r="D177" s="16"/>
      <c r="E177" s="15" t="s">
        <v>1229</v>
      </c>
      <c r="F177" s="76" t="s">
        <v>1819</v>
      </c>
      <c r="G177" s="179">
        <v>1.0</v>
      </c>
      <c r="DN177" s="16"/>
    </row>
    <row r="178">
      <c r="A178" s="15" t="s">
        <v>5157</v>
      </c>
      <c r="B178" s="15">
        <v>1.0</v>
      </c>
      <c r="C178" s="80"/>
      <c r="D178" s="16"/>
      <c r="E178" s="15" t="s">
        <v>1229</v>
      </c>
      <c r="F178" s="76" t="s">
        <v>1819</v>
      </c>
      <c r="G178" s="42">
        <v>1.0</v>
      </c>
      <c r="DN178" s="16"/>
    </row>
    <row r="179">
      <c r="A179" s="15" t="s">
        <v>5154</v>
      </c>
      <c r="B179" s="15">
        <v>1.0</v>
      </c>
      <c r="C179" s="42"/>
      <c r="D179" s="16"/>
      <c r="E179" s="15" t="s">
        <v>1229</v>
      </c>
      <c r="F179" s="76" t="s">
        <v>1819</v>
      </c>
      <c r="G179" s="42">
        <v>1.0</v>
      </c>
      <c r="DN179" s="16"/>
    </row>
    <row r="180">
      <c r="A180" s="15" t="s">
        <v>11420</v>
      </c>
      <c r="B180" s="15">
        <v>1.0</v>
      </c>
      <c r="C180" s="42">
        <v>7190.0</v>
      </c>
      <c r="D180" s="16"/>
      <c r="E180" s="15" t="s">
        <v>1229</v>
      </c>
      <c r="F180" s="76" t="s">
        <v>1819</v>
      </c>
      <c r="G180" s="42">
        <v>1.0</v>
      </c>
      <c r="DN180" s="16"/>
    </row>
    <row r="181">
      <c r="A181" s="15" t="s">
        <v>10171</v>
      </c>
      <c r="B181" s="15">
        <v>1.0</v>
      </c>
      <c r="C181" s="42" t="s">
        <v>1229</v>
      </c>
      <c r="D181" s="16"/>
      <c r="E181" s="15" t="s">
        <v>11279</v>
      </c>
      <c r="F181" s="76" t="s">
        <v>1819</v>
      </c>
      <c r="G181" s="279">
        <v>1.0</v>
      </c>
      <c r="DN181" s="16"/>
    </row>
    <row r="182">
      <c r="A182" s="15" t="s">
        <v>11421</v>
      </c>
      <c r="B182" s="15">
        <v>1.0</v>
      </c>
      <c r="C182" s="80"/>
      <c r="D182" s="16"/>
      <c r="E182" s="15" t="s">
        <v>1229</v>
      </c>
      <c r="F182" s="76" t="s">
        <v>1819</v>
      </c>
      <c r="G182" s="42">
        <v>1.0</v>
      </c>
      <c r="DN182" s="16"/>
    </row>
    <row r="183">
      <c r="A183" s="283" t="s">
        <v>6203</v>
      </c>
      <c r="B183" s="15">
        <v>1.0</v>
      </c>
      <c r="C183" s="42">
        <v>7990.0</v>
      </c>
      <c r="D183" s="16"/>
      <c r="E183" s="15" t="s">
        <v>1229</v>
      </c>
      <c r="F183" s="76" t="s">
        <v>1819</v>
      </c>
      <c r="G183" s="42">
        <v>1.0</v>
      </c>
      <c r="DN183" s="16"/>
    </row>
    <row r="184">
      <c r="A184" s="15" t="s">
        <v>11422</v>
      </c>
      <c r="B184" s="15">
        <v>1.0</v>
      </c>
      <c r="C184" s="80"/>
      <c r="D184" s="16"/>
      <c r="E184" s="15" t="s">
        <v>1526</v>
      </c>
      <c r="F184" s="15" t="s">
        <v>11423</v>
      </c>
      <c r="G184" s="179">
        <v>1.0</v>
      </c>
      <c r="DN184" s="16"/>
    </row>
    <row r="185">
      <c r="A185" s="284" t="s">
        <v>6205</v>
      </c>
      <c r="B185" s="15">
        <v>1.0</v>
      </c>
      <c r="C185" s="42">
        <v>9690.0</v>
      </c>
      <c r="D185" s="16"/>
      <c r="E185" s="15" t="s">
        <v>1896</v>
      </c>
      <c r="F185" s="118" t="s">
        <v>1819</v>
      </c>
      <c r="G185" s="42">
        <v>1.0</v>
      </c>
      <c r="DN185" s="16"/>
    </row>
    <row r="186">
      <c r="A186" s="15" t="s">
        <v>5169</v>
      </c>
      <c r="B186" s="15">
        <v>1.0</v>
      </c>
      <c r="C186" s="42">
        <v>5290.0</v>
      </c>
      <c r="D186" s="16"/>
      <c r="E186" s="15" t="s">
        <v>1229</v>
      </c>
      <c r="F186" s="76" t="s">
        <v>1819</v>
      </c>
      <c r="G186" s="179">
        <v>1.0</v>
      </c>
      <c r="DN186" s="16"/>
    </row>
    <row r="187">
      <c r="A187" s="15" t="s">
        <v>6679</v>
      </c>
      <c r="B187" s="15">
        <v>1.0</v>
      </c>
      <c r="C187" s="42">
        <v>12590.0</v>
      </c>
      <c r="D187" s="16"/>
      <c r="E187" s="15" t="s">
        <v>1229</v>
      </c>
      <c r="F187" s="118" t="s">
        <v>1819</v>
      </c>
      <c r="G187" s="42">
        <v>1.0</v>
      </c>
      <c r="DN187" s="16"/>
    </row>
    <row r="188">
      <c r="A188" s="15" t="s">
        <v>1890</v>
      </c>
      <c r="B188" s="15">
        <v>1.0</v>
      </c>
      <c r="C188" s="80"/>
      <c r="D188" s="16"/>
      <c r="E188" s="15" t="s">
        <v>11360</v>
      </c>
      <c r="F188" s="15" t="s">
        <v>1902</v>
      </c>
      <c r="G188" s="42">
        <v>1.0</v>
      </c>
      <c r="DN188" s="16"/>
    </row>
    <row r="189">
      <c r="A189" s="273" t="s">
        <v>1889</v>
      </c>
      <c r="B189" s="15">
        <v>1.0</v>
      </c>
      <c r="C189" s="42">
        <v>6490.0</v>
      </c>
      <c r="D189" s="16"/>
      <c r="E189" s="16"/>
      <c r="F189" s="16"/>
      <c r="G189" s="80"/>
      <c r="DN189" s="16"/>
    </row>
    <row r="190">
      <c r="A190" s="15" t="s">
        <v>10667</v>
      </c>
      <c r="B190" s="16"/>
      <c r="C190" s="80"/>
      <c r="D190" s="16"/>
      <c r="E190" s="15" t="s">
        <v>11425</v>
      </c>
      <c r="F190" s="15">
        <v>0.0</v>
      </c>
      <c r="G190" s="80"/>
      <c r="DN190" s="16"/>
    </row>
    <row r="191">
      <c r="A191" s="15" t="s">
        <v>11426</v>
      </c>
      <c r="B191" s="15">
        <v>1.0</v>
      </c>
      <c r="C191" s="42">
        <v>8490.0</v>
      </c>
      <c r="D191" s="16"/>
      <c r="E191" s="15" t="s">
        <v>1229</v>
      </c>
      <c r="F191" s="76" t="s">
        <v>1819</v>
      </c>
      <c r="G191" s="179">
        <v>1.0</v>
      </c>
      <c r="DN191" s="16"/>
    </row>
    <row r="192">
      <c r="A192" s="15" t="s">
        <v>11427</v>
      </c>
      <c r="B192" s="15">
        <v>1.0</v>
      </c>
      <c r="C192" s="42" t="s">
        <v>11394</v>
      </c>
      <c r="D192" s="16"/>
      <c r="E192" s="15" t="s">
        <v>1229</v>
      </c>
      <c r="F192" s="15" t="s">
        <v>11394</v>
      </c>
      <c r="G192" s="80"/>
      <c r="DN192" s="16"/>
    </row>
    <row r="193">
      <c r="A193" s="15" t="s">
        <v>11428</v>
      </c>
      <c r="B193" s="15">
        <v>1.0</v>
      </c>
      <c r="C193" s="42">
        <v>2990.0</v>
      </c>
      <c r="D193" s="15" t="s">
        <v>885</v>
      </c>
      <c r="E193" s="15" t="s">
        <v>1896</v>
      </c>
      <c r="F193" s="15"/>
      <c r="G193" s="42"/>
      <c r="DN193" s="16"/>
    </row>
    <row r="194">
      <c r="A194" s="15" t="s">
        <v>11429</v>
      </c>
      <c r="B194" s="15">
        <v>1.0</v>
      </c>
      <c r="C194" s="42"/>
      <c r="D194" s="15" t="s">
        <v>885</v>
      </c>
      <c r="E194" s="15" t="s">
        <v>1896</v>
      </c>
      <c r="F194" s="15" t="s">
        <v>2998</v>
      </c>
      <c r="G194" s="179"/>
      <c r="DN194" s="16"/>
    </row>
    <row r="195">
      <c r="A195" s="15" t="s">
        <v>11430</v>
      </c>
      <c r="B195" s="15">
        <v>1.0</v>
      </c>
      <c r="C195" s="42">
        <v>1599.0</v>
      </c>
      <c r="D195" s="15" t="s">
        <v>11431</v>
      </c>
      <c r="E195" s="15" t="s">
        <v>11321</v>
      </c>
      <c r="F195" s="15" t="s">
        <v>2709</v>
      </c>
      <c r="G195" s="179">
        <v>1.0</v>
      </c>
      <c r="DN195" s="16"/>
    </row>
    <row r="196">
      <c r="A196" s="15" t="s">
        <v>2012</v>
      </c>
      <c r="B196" s="15">
        <v>1.0</v>
      </c>
      <c r="C196" s="42" t="s">
        <v>11299</v>
      </c>
      <c r="D196" s="15" t="s">
        <v>11432</v>
      </c>
      <c r="E196" s="15" t="s">
        <v>1229</v>
      </c>
      <c r="F196" s="16"/>
      <c r="G196" s="80"/>
      <c r="DN196" s="16"/>
    </row>
    <row r="197">
      <c r="A197" s="118" t="s">
        <v>11433</v>
      </c>
      <c r="B197" s="15">
        <v>1.0</v>
      </c>
      <c r="C197" s="80"/>
      <c r="D197" s="15" t="s">
        <v>11432</v>
      </c>
      <c r="E197" s="15" t="s">
        <v>885</v>
      </c>
      <c r="F197" s="15" t="s">
        <v>2998</v>
      </c>
      <c r="G197" s="42">
        <v>1.0</v>
      </c>
      <c r="DN197" s="16"/>
    </row>
    <row r="198">
      <c r="A198" s="15" t="s">
        <v>11434</v>
      </c>
      <c r="B198" s="15">
        <v>1.0</v>
      </c>
      <c r="C198" s="42">
        <v>8000.0</v>
      </c>
      <c r="D198" s="15" t="s">
        <v>11432</v>
      </c>
      <c r="E198" s="15" t="s">
        <v>11435</v>
      </c>
      <c r="F198" s="15" t="s">
        <v>2998</v>
      </c>
      <c r="G198" s="42">
        <v>1.0</v>
      </c>
      <c r="DN198" s="16"/>
    </row>
    <row r="199">
      <c r="A199" s="118" t="s">
        <v>5360</v>
      </c>
      <c r="B199" s="15">
        <v>1.0</v>
      </c>
      <c r="C199" s="42">
        <v>8415.0</v>
      </c>
      <c r="D199" s="15" t="s">
        <v>11432</v>
      </c>
      <c r="E199" s="15" t="s">
        <v>11436</v>
      </c>
      <c r="F199" s="16"/>
      <c r="G199" s="80"/>
      <c r="DN199" s="16"/>
    </row>
    <row r="200">
      <c r="A200" s="118" t="s">
        <v>9379</v>
      </c>
      <c r="B200" s="15">
        <v>1.0</v>
      </c>
      <c r="C200" s="80"/>
      <c r="D200" s="15" t="s">
        <v>11432</v>
      </c>
      <c r="E200" s="15" t="s">
        <v>885</v>
      </c>
      <c r="F200" s="15"/>
      <c r="G200" s="42">
        <v>1.0</v>
      </c>
      <c r="DN200" s="16"/>
    </row>
    <row r="201">
      <c r="A201" s="118" t="s">
        <v>2057</v>
      </c>
      <c r="B201" s="15">
        <v>1.0</v>
      </c>
      <c r="C201" s="80"/>
      <c r="D201" s="15" t="s">
        <v>11432</v>
      </c>
      <c r="E201" s="15" t="s">
        <v>11270</v>
      </c>
      <c r="F201" s="16"/>
      <c r="G201" s="80"/>
      <c r="DN201" s="16"/>
    </row>
    <row r="202">
      <c r="A202" s="272" t="s">
        <v>11437</v>
      </c>
      <c r="B202" s="15">
        <v>1.0</v>
      </c>
      <c r="C202" s="42">
        <v>3475.0</v>
      </c>
      <c r="D202" s="15" t="s">
        <v>2094</v>
      </c>
      <c r="E202" s="15" t="s">
        <v>11279</v>
      </c>
      <c r="F202" s="15" t="s">
        <v>1668</v>
      </c>
      <c r="G202" s="179">
        <v>1.0</v>
      </c>
      <c r="DN202" s="16"/>
    </row>
    <row r="203">
      <c r="A203" s="272" t="s">
        <v>5438</v>
      </c>
      <c r="B203" s="15">
        <v>1.0</v>
      </c>
      <c r="C203" s="42">
        <v>4790.0</v>
      </c>
      <c r="D203" s="15" t="s">
        <v>2094</v>
      </c>
      <c r="E203" s="15" t="s">
        <v>11279</v>
      </c>
      <c r="F203" s="15" t="s">
        <v>1668</v>
      </c>
      <c r="G203" s="179">
        <v>1.0</v>
      </c>
      <c r="DN203" s="16"/>
    </row>
    <row r="204">
      <c r="A204" s="15" t="s">
        <v>9675</v>
      </c>
      <c r="B204" s="15">
        <v>2.0</v>
      </c>
      <c r="C204" s="42">
        <v>3290.0</v>
      </c>
      <c r="D204" s="16"/>
      <c r="E204" s="15" t="s">
        <v>11438</v>
      </c>
      <c r="F204" s="15" t="s">
        <v>11294</v>
      </c>
      <c r="G204" s="42">
        <v>2.0</v>
      </c>
      <c r="DN204" s="16"/>
    </row>
    <row r="205">
      <c r="A205" s="15" t="s">
        <v>8820</v>
      </c>
      <c r="B205" s="15">
        <v>1.0</v>
      </c>
      <c r="C205" s="42">
        <v>3490.0</v>
      </c>
      <c r="D205" s="16"/>
      <c r="E205" s="15" t="s">
        <v>1229</v>
      </c>
      <c r="F205" s="15" t="s">
        <v>2998</v>
      </c>
      <c r="G205" s="179">
        <v>1.0</v>
      </c>
      <c r="DN205" s="16"/>
    </row>
    <row r="206">
      <c r="A206" s="15" t="s">
        <v>11439</v>
      </c>
      <c r="B206" s="15">
        <v>1.0</v>
      </c>
      <c r="C206" s="42">
        <v>3490.0</v>
      </c>
      <c r="D206" s="16"/>
      <c r="E206" s="15" t="s">
        <v>11279</v>
      </c>
      <c r="F206" s="15" t="s">
        <v>2998</v>
      </c>
      <c r="G206" s="179">
        <v>1.0</v>
      </c>
      <c r="DN206" s="16"/>
    </row>
    <row r="207">
      <c r="A207" s="15" t="s">
        <v>6944</v>
      </c>
      <c r="B207" s="15">
        <v>1.0</v>
      </c>
      <c r="C207" s="42"/>
      <c r="D207" s="15" t="s">
        <v>2094</v>
      </c>
      <c r="E207" s="15" t="s">
        <v>885</v>
      </c>
      <c r="F207" s="15" t="s">
        <v>2998</v>
      </c>
      <c r="G207" s="179">
        <v>1.0</v>
      </c>
      <c r="DN207" s="16"/>
    </row>
    <row r="208">
      <c r="A208" s="272" t="s">
        <v>11440</v>
      </c>
      <c r="B208" s="15">
        <v>1.0</v>
      </c>
      <c r="C208" s="42">
        <v>3990.0</v>
      </c>
      <c r="D208" s="15" t="s">
        <v>2094</v>
      </c>
      <c r="E208" s="15" t="s">
        <v>11279</v>
      </c>
      <c r="F208" s="15" t="s">
        <v>1668</v>
      </c>
      <c r="G208" s="179">
        <v>1.0</v>
      </c>
      <c r="DN208" s="16"/>
    </row>
    <row r="209">
      <c r="A209" s="15" t="s">
        <v>11441</v>
      </c>
      <c r="B209" s="15">
        <v>1.0</v>
      </c>
      <c r="C209" s="80"/>
      <c r="D209" s="15" t="s">
        <v>11442</v>
      </c>
      <c r="E209" s="15" t="s">
        <v>11279</v>
      </c>
      <c r="F209" s="15" t="s">
        <v>2998</v>
      </c>
      <c r="G209" s="42">
        <v>1.0</v>
      </c>
      <c r="DN209" s="16"/>
    </row>
    <row r="210">
      <c r="A210" s="15" t="s">
        <v>11315</v>
      </c>
      <c r="B210" s="15">
        <v>2.0</v>
      </c>
      <c r="C210" s="80"/>
      <c r="D210" s="15" t="s">
        <v>11315</v>
      </c>
      <c r="E210" s="15" t="s">
        <v>11443</v>
      </c>
      <c r="F210" s="15" t="s">
        <v>11294</v>
      </c>
      <c r="G210" s="42">
        <v>2.0</v>
      </c>
      <c r="DN210" s="16"/>
    </row>
    <row r="211">
      <c r="A211" s="75" t="s">
        <v>11444</v>
      </c>
      <c r="B211" s="75">
        <v>1.0</v>
      </c>
      <c r="C211" s="75">
        <v>1600.0</v>
      </c>
      <c r="D211" s="76" t="s">
        <v>1265</v>
      </c>
      <c r="E211" s="53" t="s">
        <v>978</v>
      </c>
      <c r="F211" s="54"/>
      <c r="G211" s="55">
        <v>1600.0</v>
      </c>
      <c r="DN211" s="16"/>
    </row>
    <row r="212">
      <c r="A212" s="16"/>
      <c r="B212" s="16"/>
      <c r="C212" s="80"/>
      <c r="D212" s="16"/>
      <c r="E212" s="16"/>
      <c r="F212" s="16"/>
      <c r="G212" s="80"/>
      <c r="DN212" s="16"/>
    </row>
    <row r="213">
      <c r="A213" s="16"/>
      <c r="B213" s="16"/>
      <c r="C213" s="80"/>
      <c r="D213" s="16"/>
      <c r="E213" s="16"/>
      <c r="F213" s="16"/>
      <c r="G213" s="80"/>
      <c r="DN213" s="16"/>
    </row>
    <row r="214">
      <c r="A214" s="16"/>
      <c r="B214" s="16"/>
      <c r="C214" s="80"/>
      <c r="D214" s="16"/>
      <c r="E214" s="16"/>
      <c r="F214" s="16"/>
      <c r="G214" s="80"/>
      <c r="DN214" s="16"/>
    </row>
    <row r="215">
      <c r="A215" s="16"/>
      <c r="B215" s="16"/>
      <c r="C215" s="80"/>
      <c r="D215" s="16"/>
      <c r="E215" s="16"/>
      <c r="F215" s="16"/>
      <c r="G215" s="80"/>
      <c r="DN215" s="16"/>
    </row>
    <row r="216">
      <c r="A216" s="16"/>
      <c r="B216" s="16"/>
      <c r="C216" s="80"/>
      <c r="D216" s="16"/>
      <c r="E216" s="16"/>
      <c r="F216" s="16"/>
      <c r="G216" s="80"/>
      <c r="DN216" s="16"/>
    </row>
    <row r="217">
      <c r="A217" s="16"/>
      <c r="B217" s="16"/>
      <c r="C217" s="80"/>
      <c r="D217" s="16"/>
      <c r="E217" s="16"/>
      <c r="F217" s="16"/>
      <c r="G217" s="80"/>
      <c r="DN217" s="16"/>
    </row>
    <row r="218">
      <c r="A218" s="16"/>
      <c r="B218" s="16"/>
      <c r="C218" s="80"/>
      <c r="D218" s="16"/>
      <c r="E218" s="16"/>
      <c r="F218" s="16"/>
      <c r="G218" s="80"/>
      <c r="DN218" s="16"/>
    </row>
    <row r="219">
      <c r="A219" s="16"/>
      <c r="B219" s="16"/>
      <c r="C219" s="80"/>
      <c r="D219" s="16"/>
      <c r="E219" s="16"/>
      <c r="F219" s="16"/>
      <c r="G219" s="80"/>
      <c r="DN219" s="16"/>
    </row>
    <row r="220">
      <c r="A220" s="16"/>
      <c r="B220" s="16"/>
      <c r="C220" s="80"/>
      <c r="D220" s="16"/>
      <c r="E220" s="16"/>
      <c r="F220" s="16"/>
      <c r="G220" s="80"/>
      <c r="DN220" s="16"/>
    </row>
    <row r="221">
      <c r="A221" s="16"/>
      <c r="B221" s="16"/>
      <c r="C221" s="80"/>
      <c r="D221" s="16"/>
      <c r="E221" s="16"/>
      <c r="F221" s="16"/>
      <c r="G221" s="80"/>
      <c r="DN221" s="16"/>
    </row>
    <row r="222">
      <c r="A222" s="16"/>
      <c r="B222" s="16"/>
      <c r="C222" s="80"/>
      <c r="D222" s="16"/>
      <c r="E222" s="16"/>
      <c r="F222" s="16"/>
      <c r="G222" s="80"/>
      <c r="DN222" s="16"/>
    </row>
    <row r="223">
      <c r="A223" s="16"/>
      <c r="B223" s="16"/>
      <c r="C223" s="80"/>
      <c r="D223" s="16"/>
      <c r="E223" s="16"/>
      <c r="F223" s="16"/>
      <c r="G223" s="80"/>
      <c r="DN223" s="16"/>
    </row>
    <row r="224">
      <c r="A224" s="16"/>
      <c r="B224" s="16"/>
      <c r="C224" s="80"/>
      <c r="D224" s="16"/>
      <c r="E224" s="16"/>
      <c r="F224" s="16"/>
      <c r="G224" s="80"/>
      <c r="DN224" s="16"/>
    </row>
    <row r="225">
      <c r="C225" s="7"/>
      <c r="G225" s="7"/>
    </row>
    <row r="226">
      <c r="C226" s="7"/>
      <c r="G226" s="7"/>
    </row>
    <row r="227">
      <c r="C227" s="7"/>
      <c r="G227" s="7"/>
    </row>
    <row r="228">
      <c r="C228" s="7"/>
      <c r="G228" s="7"/>
    </row>
    <row r="229">
      <c r="C229" s="7"/>
      <c r="G229" s="7"/>
    </row>
    <row r="230">
      <c r="C230" s="7"/>
      <c r="G230" s="7"/>
    </row>
    <row r="231">
      <c r="C231" s="7"/>
      <c r="G231" s="7"/>
    </row>
    <row r="232">
      <c r="C232" s="7"/>
      <c r="G232" s="7"/>
    </row>
    <row r="233">
      <c r="C233" s="7"/>
      <c r="G233" s="7"/>
    </row>
    <row r="234">
      <c r="C234" s="7"/>
      <c r="G234" s="7"/>
    </row>
    <row r="235">
      <c r="C235" s="7"/>
      <c r="G235" s="7"/>
    </row>
    <row r="236">
      <c r="C236" s="7"/>
      <c r="G236" s="7"/>
    </row>
    <row r="237">
      <c r="C237" s="7"/>
      <c r="G237" s="7"/>
    </row>
    <row r="238">
      <c r="C238" s="7"/>
      <c r="G238" s="7"/>
    </row>
    <row r="239">
      <c r="C239" s="7"/>
      <c r="G239" s="7"/>
    </row>
    <row r="240">
      <c r="C240" s="7"/>
      <c r="G240" s="7"/>
    </row>
    <row r="241">
      <c r="C241" s="7"/>
      <c r="G241" s="7"/>
    </row>
    <row r="242">
      <c r="C242" s="7"/>
      <c r="G242" s="7"/>
    </row>
    <row r="243">
      <c r="C243" s="7"/>
      <c r="G243" s="7"/>
    </row>
    <row r="244">
      <c r="C244" s="7"/>
      <c r="G244" s="7"/>
    </row>
    <row r="245">
      <c r="C245" s="7"/>
      <c r="G245" s="7"/>
    </row>
    <row r="246">
      <c r="C246" s="7"/>
      <c r="G246" s="7"/>
    </row>
    <row r="247">
      <c r="C247" s="7"/>
      <c r="G247" s="7"/>
    </row>
    <row r="248">
      <c r="C248" s="7"/>
      <c r="G248" s="7"/>
    </row>
    <row r="249">
      <c r="C249" s="7"/>
      <c r="G249" s="7"/>
    </row>
    <row r="250">
      <c r="C250" s="7"/>
      <c r="G250" s="7"/>
    </row>
    <row r="251">
      <c r="C251" s="7"/>
      <c r="G251" s="7"/>
    </row>
    <row r="252">
      <c r="C252" s="7"/>
      <c r="G252" s="7"/>
    </row>
    <row r="253">
      <c r="C253" s="7"/>
      <c r="G253" s="7"/>
    </row>
    <row r="254">
      <c r="C254" s="7"/>
      <c r="G254" s="7"/>
    </row>
    <row r="255">
      <c r="C255" s="7"/>
      <c r="G255" s="7"/>
    </row>
    <row r="256">
      <c r="C256" s="7"/>
      <c r="G256" s="7"/>
    </row>
    <row r="257">
      <c r="C257" s="7"/>
      <c r="G257" s="7"/>
    </row>
    <row r="258">
      <c r="C258" s="7"/>
      <c r="G258" s="7"/>
    </row>
    <row r="259">
      <c r="C259" s="7"/>
      <c r="G259" s="7"/>
    </row>
    <row r="260">
      <c r="C260" s="7"/>
      <c r="G260" s="7"/>
    </row>
    <row r="261">
      <c r="C261" s="7"/>
      <c r="G261" s="7"/>
    </row>
    <row r="262">
      <c r="C262" s="7"/>
      <c r="G262" s="7"/>
    </row>
    <row r="263">
      <c r="C263" s="7"/>
      <c r="G263" s="7"/>
    </row>
    <row r="264">
      <c r="C264" s="7"/>
      <c r="G264" s="7"/>
    </row>
    <row r="265">
      <c r="C265" s="7"/>
      <c r="G265" s="7"/>
    </row>
    <row r="266">
      <c r="C266" s="7"/>
      <c r="G266" s="7"/>
    </row>
    <row r="267">
      <c r="C267" s="7"/>
      <c r="G267" s="7"/>
    </row>
    <row r="268">
      <c r="C268" s="7"/>
      <c r="G268" s="7"/>
    </row>
    <row r="269">
      <c r="C269" s="7"/>
      <c r="G269" s="7"/>
    </row>
    <row r="270">
      <c r="C270" s="7"/>
      <c r="G270" s="7"/>
    </row>
    <row r="271">
      <c r="C271" s="7"/>
      <c r="G271" s="7"/>
    </row>
    <row r="272">
      <c r="C272" s="7"/>
      <c r="G272" s="7"/>
    </row>
    <row r="273">
      <c r="C273" s="7"/>
      <c r="G273" s="7"/>
    </row>
    <row r="274">
      <c r="C274" s="7"/>
      <c r="G274" s="7"/>
    </row>
    <row r="275">
      <c r="C275" s="7"/>
      <c r="G275" s="7"/>
    </row>
    <row r="276">
      <c r="C276" s="7"/>
      <c r="G276" s="7"/>
    </row>
    <row r="277">
      <c r="C277" s="7"/>
      <c r="G277" s="7"/>
    </row>
    <row r="278">
      <c r="C278" s="7"/>
      <c r="G278" s="7"/>
    </row>
    <row r="279">
      <c r="C279" s="7"/>
      <c r="G279" s="7"/>
    </row>
    <row r="280">
      <c r="C280" s="7"/>
      <c r="G280" s="7"/>
    </row>
    <row r="281">
      <c r="C281" s="7"/>
      <c r="G281" s="7"/>
    </row>
    <row r="282">
      <c r="C282" s="7"/>
      <c r="G282" s="7"/>
    </row>
    <row r="283">
      <c r="C283" s="7"/>
      <c r="G283" s="7"/>
    </row>
    <row r="284">
      <c r="C284" s="7"/>
      <c r="G284" s="7"/>
    </row>
    <row r="285">
      <c r="C285" s="7"/>
      <c r="G285" s="7"/>
    </row>
    <row r="286">
      <c r="C286" s="7"/>
      <c r="G286" s="7"/>
    </row>
    <row r="287">
      <c r="C287" s="7"/>
      <c r="G287" s="7"/>
    </row>
    <row r="288">
      <c r="C288" s="7"/>
      <c r="G288" s="7"/>
    </row>
    <row r="289">
      <c r="C289" s="7"/>
      <c r="G289" s="7"/>
    </row>
    <row r="290">
      <c r="C290" s="7"/>
      <c r="G290" s="7"/>
    </row>
    <row r="291">
      <c r="C291" s="7"/>
      <c r="G291" s="7"/>
    </row>
    <row r="292">
      <c r="C292" s="7"/>
      <c r="G292" s="7"/>
    </row>
    <row r="293">
      <c r="C293" s="7"/>
      <c r="G293" s="7"/>
    </row>
    <row r="294">
      <c r="C294" s="7"/>
      <c r="G294" s="7"/>
    </row>
    <row r="295">
      <c r="C295" s="7"/>
      <c r="G295" s="7"/>
    </row>
    <row r="296">
      <c r="C296" s="7"/>
      <c r="G296" s="7"/>
    </row>
    <row r="297">
      <c r="C297" s="7"/>
      <c r="G297" s="7"/>
    </row>
    <row r="298">
      <c r="C298" s="7"/>
      <c r="G298" s="7"/>
    </row>
    <row r="299">
      <c r="C299" s="7"/>
      <c r="G299" s="7"/>
    </row>
    <row r="300">
      <c r="C300" s="7"/>
      <c r="G300" s="7"/>
    </row>
    <row r="301">
      <c r="C301" s="7"/>
      <c r="G301" s="7"/>
    </row>
    <row r="302">
      <c r="C302" s="7"/>
      <c r="G302" s="7"/>
    </row>
    <row r="303">
      <c r="C303" s="7"/>
      <c r="G303" s="7"/>
    </row>
    <row r="304">
      <c r="C304" s="7"/>
      <c r="G304" s="7"/>
    </row>
    <row r="305">
      <c r="C305" s="7"/>
      <c r="G305" s="7"/>
    </row>
    <row r="306">
      <c r="C306" s="7"/>
      <c r="G306" s="7"/>
    </row>
    <row r="307">
      <c r="C307" s="7"/>
      <c r="G307" s="7"/>
    </row>
    <row r="308">
      <c r="C308" s="7"/>
      <c r="G308" s="7"/>
    </row>
    <row r="309">
      <c r="C309" s="7"/>
      <c r="G309" s="7"/>
    </row>
    <row r="310">
      <c r="C310" s="7"/>
      <c r="G310" s="7"/>
    </row>
    <row r="311">
      <c r="C311" s="7"/>
      <c r="G311" s="7"/>
    </row>
    <row r="312">
      <c r="C312" s="7"/>
      <c r="G312" s="7"/>
    </row>
    <row r="313">
      <c r="C313" s="7"/>
      <c r="G313" s="7"/>
    </row>
    <row r="314">
      <c r="C314" s="7"/>
      <c r="G314" s="7"/>
    </row>
    <row r="315">
      <c r="C315" s="7"/>
      <c r="G315" s="7"/>
    </row>
    <row r="316">
      <c r="C316" s="7"/>
      <c r="G316" s="7"/>
    </row>
    <row r="317">
      <c r="C317" s="7"/>
      <c r="G317" s="7"/>
    </row>
    <row r="318">
      <c r="C318" s="7"/>
      <c r="G318" s="7"/>
    </row>
    <row r="319">
      <c r="C319" s="7"/>
      <c r="G319" s="7"/>
    </row>
    <row r="320">
      <c r="C320" s="7"/>
      <c r="G320" s="7"/>
    </row>
    <row r="321">
      <c r="C321" s="7"/>
      <c r="G321" s="7"/>
    </row>
    <row r="322">
      <c r="C322" s="7"/>
      <c r="G322" s="7"/>
    </row>
    <row r="323">
      <c r="C323" s="7"/>
      <c r="G323" s="7"/>
    </row>
    <row r="324">
      <c r="C324" s="7"/>
      <c r="G324" s="7"/>
    </row>
    <row r="325">
      <c r="C325" s="7"/>
      <c r="G325" s="7"/>
    </row>
    <row r="326">
      <c r="C326" s="7"/>
      <c r="G326" s="7"/>
    </row>
    <row r="327">
      <c r="C327" s="7"/>
      <c r="G327" s="7"/>
    </row>
    <row r="328">
      <c r="C328" s="7"/>
      <c r="G328" s="7"/>
    </row>
    <row r="329">
      <c r="C329" s="7"/>
      <c r="G329" s="7"/>
    </row>
    <row r="330">
      <c r="C330" s="7"/>
      <c r="G330" s="7"/>
    </row>
    <row r="331">
      <c r="C331" s="7"/>
      <c r="G331" s="7"/>
    </row>
    <row r="332">
      <c r="C332" s="7"/>
      <c r="G332" s="7"/>
    </row>
    <row r="333">
      <c r="C333" s="7"/>
      <c r="G333" s="7"/>
    </row>
    <row r="334">
      <c r="C334" s="7"/>
      <c r="G334" s="7"/>
    </row>
    <row r="335">
      <c r="C335" s="7"/>
      <c r="G335" s="7"/>
    </row>
    <row r="336">
      <c r="C336" s="7"/>
      <c r="G336" s="7"/>
    </row>
    <row r="337">
      <c r="C337" s="7"/>
      <c r="G337" s="7"/>
    </row>
    <row r="338">
      <c r="C338" s="7"/>
      <c r="G338" s="7"/>
    </row>
    <row r="339">
      <c r="C339" s="7"/>
      <c r="G339" s="7"/>
    </row>
    <row r="340">
      <c r="C340" s="7"/>
      <c r="G340" s="7"/>
    </row>
    <row r="341">
      <c r="C341" s="7"/>
      <c r="G341" s="7"/>
    </row>
    <row r="342">
      <c r="C342" s="7"/>
      <c r="G342" s="7"/>
    </row>
    <row r="343">
      <c r="C343" s="7"/>
      <c r="G343" s="7"/>
    </row>
    <row r="344">
      <c r="C344" s="7"/>
      <c r="G344" s="7"/>
    </row>
    <row r="345">
      <c r="C345" s="7"/>
      <c r="G345" s="7"/>
    </row>
    <row r="346">
      <c r="C346" s="7"/>
      <c r="G346" s="7"/>
    </row>
    <row r="347">
      <c r="C347" s="7"/>
      <c r="G347" s="7"/>
    </row>
    <row r="348">
      <c r="C348" s="7"/>
      <c r="G348" s="7"/>
    </row>
    <row r="349">
      <c r="C349" s="7"/>
      <c r="G349" s="7"/>
    </row>
    <row r="350">
      <c r="C350" s="7"/>
      <c r="G350" s="7"/>
    </row>
    <row r="351">
      <c r="C351" s="7"/>
      <c r="G351" s="7"/>
    </row>
    <row r="352">
      <c r="C352" s="7"/>
      <c r="G352" s="7"/>
    </row>
    <row r="353">
      <c r="C353" s="7"/>
      <c r="G353" s="7"/>
    </row>
    <row r="354">
      <c r="C354" s="7"/>
      <c r="G354" s="7"/>
    </row>
    <row r="355">
      <c r="C355" s="7"/>
      <c r="G355" s="7"/>
    </row>
    <row r="356">
      <c r="C356" s="7"/>
      <c r="G356" s="7"/>
    </row>
    <row r="357">
      <c r="C357" s="7"/>
      <c r="G357" s="7"/>
    </row>
    <row r="358">
      <c r="C358" s="7"/>
      <c r="G358" s="7"/>
    </row>
    <row r="359">
      <c r="C359" s="7"/>
      <c r="G359" s="7"/>
    </row>
    <row r="360">
      <c r="C360" s="7"/>
      <c r="G360" s="7"/>
    </row>
    <row r="361">
      <c r="C361" s="7"/>
      <c r="G361" s="7"/>
    </row>
    <row r="362">
      <c r="C362" s="7"/>
      <c r="G362" s="7"/>
    </row>
    <row r="363">
      <c r="C363" s="7"/>
      <c r="G363" s="7"/>
    </row>
    <row r="364">
      <c r="C364" s="7"/>
      <c r="G364" s="7"/>
    </row>
    <row r="365">
      <c r="C365" s="7"/>
      <c r="G365" s="7"/>
    </row>
    <row r="366">
      <c r="C366" s="7"/>
      <c r="G366" s="7"/>
    </row>
    <row r="367">
      <c r="C367" s="7"/>
      <c r="G367" s="7"/>
    </row>
    <row r="368">
      <c r="C368" s="7"/>
      <c r="G368" s="7"/>
    </row>
    <row r="369">
      <c r="C369" s="7"/>
      <c r="G369" s="7"/>
    </row>
    <row r="370">
      <c r="C370" s="7"/>
      <c r="G370" s="7"/>
    </row>
    <row r="371">
      <c r="C371" s="7"/>
      <c r="G371" s="7"/>
    </row>
    <row r="372">
      <c r="C372" s="7"/>
      <c r="G372" s="7"/>
    </row>
    <row r="373">
      <c r="C373" s="7"/>
      <c r="G373" s="7"/>
    </row>
    <row r="374">
      <c r="C374" s="7"/>
      <c r="G374" s="7"/>
    </row>
    <row r="375">
      <c r="C375" s="7"/>
      <c r="G375" s="7"/>
    </row>
    <row r="376">
      <c r="C376" s="7"/>
      <c r="G376" s="7"/>
    </row>
    <row r="377">
      <c r="C377" s="7"/>
      <c r="G377" s="7"/>
    </row>
    <row r="378">
      <c r="C378" s="7"/>
      <c r="G378" s="7"/>
    </row>
    <row r="379">
      <c r="C379" s="7"/>
      <c r="G379" s="7"/>
    </row>
    <row r="380">
      <c r="C380" s="7"/>
      <c r="G380" s="7"/>
    </row>
    <row r="381">
      <c r="C381" s="7"/>
      <c r="G381" s="7"/>
    </row>
    <row r="382">
      <c r="C382" s="7"/>
      <c r="G382" s="7"/>
    </row>
    <row r="383">
      <c r="C383" s="7"/>
      <c r="G383" s="7"/>
    </row>
    <row r="384">
      <c r="C384" s="7"/>
      <c r="G384" s="7"/>
    </row>
    <row r="385">
      <c r="C385" s="7"/>
      <c r="G385" s="7"/>
    </row>
    <row r="386">
      <c r="C386" s="7"/>
      <c r="G386" s="7"/>
    </row>
    <row r="387">
      <c r="C387" s="7"/>
      <c r="G387" s="7"/>
    </row>
    <row r="388">
      <c r="C388" s="7"/>
      <c r="G388" s="7"/>
    </row>
    <row r="389">
      <c r="C389" s="7"/>
      <c r="G389" s="7"/>
    </row>
    <row r="390">
      <c r="C390" s="7"/>
      <c r="G390" s="7"/>
    </row>
    <row r="391">
      <c r="C391" s="7"/>
      <c r="G391" s="7"/>
    </row>
    <row r="392">
      <c r="C392" s="7"/>
      <c r="G392" s="7"/>
    </row>
    <row r="393">
      <c r="C393" s="7"/>
      <c r="G393" s="7"/>
    </row>
    <row r="394">
      <c r="C394" s="7"/>
      <c r="G394" s="7"/>
    </row>
    <row r="395">
      <c r="C395" s="7"/>
      <c r="G395" s="7"/>
    </row>
    <row r="396">
      <c r="C396" s="7"/>
      <c r="G396" s="7"/>
    </row>
    <row r="397">
      <c r="C397" s="7"/>
      <c r="G397" s="7"/>
    </row>
    <row r="398">
      <c r="C398" s="7"/>
      <c r="G398" s="7"/>
    </row>
    <row r="399">
      <c r="C399" s="7"/>
      <c r="G399" s="7"/>
    </row>
    <row r="400">
      <c r="C400" s="7"/>
      <c r="G400" s="7"/>
    </row>
    <row r="401">
      <c r="C401" s="7"/>
      <c r="G401" s="7"/>
    </row>
    <row r="402">
      <c r="C402" s="7"/>
      <c r="G402" s="7"/>
    </row>
    <row r="403">
      <c r="C403" s="7"/>
      <c r="G403" s="7"/>
    </row>
    <row r="404">
      <c r="C404" s="7"/>
      <c r="G404" s="7"/>
    </row>
    <row r="405">
      <c r="C405" s="7"/>
      <c r="G405" s="7"/>
    </row>
    <row r="406">
      <c r="C406" s="7"/>
      <c r="G406" s="7"/>
    </row>
    <row r="407">
      <c r="C407" s="7"/>
      <c r="G407" s="7"/>
    </row>
    <row r="408">
      <c r="C408" s="7"/>
      <c r="G408" s="7"/>
    </row>
    <row r="409">
      <c r="C409" s="7"/>
      <c r="G409" s="7"/>
    </row>
    <row r="410">
      <c r="C410" s="7"/>
      <c r="G410" s="7"/>
    </row>
    <row r="411">
      <c r="C411" s="7"/>
      <c r="G411" s="7"/>
    </row>
    <row r="412">
      <c r="C412" s="7"/>
      <c r="G412" s="7"/>
    </row>
    <row r="413">
      <c r="C413" s="7"/>
      <c r="G413" s="7"/>
    </row>
    <row r="414">
      <c r="C414" s="7"/>
      <c r="G414" s="7"/>
    </row>
    <row r="415">
      <c r="C415" s="7"/>
      <c r="G415" s="7"/>
    </row>
    <row r="416">
      <c r="C416" s="7"/>
      <c r="G416" s="7"/>
    </row>
    <row r="417">
      <c r="C417" s="7"/>
      <c r="G417" s="7"/>
    </row>
    <row r="418">
      <c r="C418" s="7"/>
      <c r="G418" s="7"/>
    </row>
    <row r="419">
      <c r="C419" s="7"/>
      <c r="G419" s="7"/>
    </row>
    <row r="420">
      <c r="C420" s="7"/>
      <c r="G420" s="7"/>
    </row>
    <row r="421">
      <c r="C421" s="7"/>
      <c r="G421" s="7"/>
    </row>
    <row r="422">
      <c r="C422" s="7"/>
      <c r="G422" s="7"/>
    </row>
    <row r="423">
      <c r="C423" s="7"/>
      <c r="G423" s="7"/>
    </row>
    <row r="424">
      <c r="C424" s="7"/>
      <c r="G424" s="7"/>
    </row>
    <row r="425">
      <c r="C425" s="7"/>
      <c r="G425" s="7"/>
    </row>
    <row r="426">
      <c r="C426" s="7"/>
      <c r="G426" s="7"/>
    </row>
    <row r="427">
      <c r="C427" s="7"/>
      <c r="G427" s="7"/>
    </row>
    <row r="428">
      <c r="C428" s="7"/>
      <c r="G428" s="7"/>
    </row>
    <row r="429">
      <c r="C429" s="7"/>
      <c r="G429" s="7"/>
    </row>
    <row r="430">
      <c r="C430" s="7"/>
      <c r="G430" s="7"/>
    </row>
    <row r="431">
      <c r="C431" s="7"/>
      <c r="G431" s="7"/>
    </row>
    <row r="432">
      <c r="C432" s="7"/>
      <c r="G432" s="7"/>
    </row>
    <row r="433">
      <c r="C433" s="7"/>
      <c r="G433" s="7"/>
    </row>
    <row r="434">
      <c r="C434" s="7"/>
      <c r="G434" s="7"/>
    </row>
    <row r="435">
      <c r="C435" s="7"/>
      <c r="G435" s="7"/>
    </row>
    <row r="436">
      <c r="C436" s="7"/>
      <c r="G436" s="7"/>
    </row>
    <row r="437">
      <c r="C437" s="7"/>
      <c r="G437" s="7"/>
    </row>
    <row r="438">
      <c r="C438" s="7"/>
      <c r="G438" s="7"/>
    </row>
    <row r="439">
      <c r="C439" s="7"/>
      <c r="G439" s="7"/>
    </row>
    <row r="440">
      <c r="C440" s="7"/>
      <c r="G440" s="7"/>
    </row>
    <row r="441">
      <c r="C441" s="7"/>
      <c r="G441" s="7"/>
    </row>
    <row r="442">
      <c r="C442" s="7"/>
      <c r="G442" s="7"/>
    </row>
    <row r="443">
      <c r="C443" s="7"/>
      <c r="G443" s="7"/>
    </row>
    <row r="444">
      <c r="C444" s="7"/>
      <c r="G444" s="7"/>
    </row>
    <row r="445">
      <c r="C445" s="7"/>
      <c r="G445" s="7"/>
    </row>
    <row r="446">
      <c r="C446" s="7"/>
      <c r="G446" s="7"/>
    </row>
    <row r="447">
      <c r="C447" s="7"/>
      <c r="G447" s="7"/>
    </row>
    <row r="448">
      <c r="C448" s="7"/>
      <c r="G448" s="7"/>
    </row>
    <row r="449">
      <c r="C449" s="7"/>
      <c r="G449" s="7"/>
    </row>
    <row r="450">
      <c r="C450" s="7"/>
      <c r="G450" s="7"/>
    </row>
    <row r="451">
      <c r="C451" s="7"/>
      <c r="G451" s="7"/>
    </row>
    <row r="452">
      <c r="C452" s="7"/>
      <c r="G452" s="7"/>
    </row>
    <row r="453">
      <c r="C453" s="7"/>
      <c r="G453" s="7"/>
    </row>
    <row r="454">
      <c r="C454" s="7"/>
      <c r="G454" s="7"/>
    </row>
    <row r="455">
      <c r="C455" s="7"/>
      <c r="G455" s="7"/>
    </row>
    <row r="456">
      <c r="C456" s="7"/>
      <c r="G456" s="7"/>
    </row>
    <row r="457">
      <c r="C457" s="7"/>
      <c r="G457" s="7"/>
    </row>
    <row r="458">
      <c r="C458" s="7"/>
      <c r="G458" s="7"/>
    </row>
    <row r="459">
      <c r="C459" s="7"/>
      <c r="G459" s="7"/>
    </row>
    <row r="460">
      <c r="C460" s="7"/>
      <c r="G460" s="7"/>
    </row>
    <row r="461">
      <c r="C461" s="7"/>
      <c r="G461" s="7"/>
    </row>
    <row r="462">
      <c r="C462" s="7"/>
      <c r="G462" s="7"/>
    </row>
    <row r="463">
      <c r="C463" s="7"/>
      <c r="G463" s="7"/>
    </row>
    <row r="464">
      <c r="C464" s="7"/>
      <c r="G464" s="7"/>
    </row>
    <row r="465">
      <c r="C465" s="7"/>
      <c r="G465" s="7"/>
    </row>
    <row r="466">
      <c r="C466" s="7"/>
      <c r="G466" s="7"/>
    </row>
    <row r="467">
      <c r="C467" s="7"/>
      <c r="G467" s="7"/>
    </row>
    <row r="468">
      <c r="C468" s="7"/>
      <c r="G468" s="7"/>
    </row>
    <row r="469">
      <c r="C469" s="7"/>
      <c r="G469" s="7"/>
    </row>
    <row r="470">
      <c r="C470" s="7"/>
      <c r="G470" s="7"/>
    </row>
    <row r="471">
      <c r="C471" s="7"/>
      <c r="G471" s="7"/>
    </row>
    <row r="472">
      <c r="C472" s="7"/>
      <c r="G472" s="7"/>
    </row>
    <row r="473">
      <c r="C473" s="7"/>
      <c r="G473" s="7"/>
    </row>
    <row r="474">
      <c r="C474" s="7"/>
      <c r="G474" s="7"/>
    </row>
    <row r="475">
      <c r="C475" s="7"/>
      <c r="G475" s="7"/>
    </row>
    <row r="476">
      <c r="C476" s="7"/>
      <c r="G476" s="7"/>
    </row>
    <row r="477">
      <c r="C477" s="7"/>
      <c r="G477" s="7"/>
    </row>
    <row r="478">
      <c r="C478" s="7"/>
      <c r="G478" s="7"/>
    </row>
    <row r="479">
      <c r="C479" s="7"/>
      <c r="G479" s="7"/>
    </row>
    <row r="480">
      <c r="C480" s="7"/>
      <c r="G480" s="7"/>
    </row>
    <row r="481">
      <c r="C481" s="7"/>
      <c r="G481" s="7"/>
    </row>
    <row r="482">
      <c r="C482" s="7"/>
      <c r="G482" s="7"/>
    </row>
    <row r="483">
      <c r="C483" s="7"/>
      <c r="G483" s="7"/>
    </row>
    <row r="484">
      <c r="C484" s="7"/>
      <c r="G484" s="7"/>
    </row>
    <row r="485">
      <c r="C485" s="7"/>
      <c r="G485" s="7"/>
    </row>
    <row r="486">
      <c r="C486" s="7"/>
      <c r="G486" s="7"/>
    </row>
    <row r="487">
      <c r="C487" s="7"/>
      <c r="G487" s="7"/>
    </row>
    <row r="488">
      <c r="C488" s="7"/>
      <c r="G488" s="7"/>
    </row>
    <row r="489">
      <c r="C489" s="7"/>
      <c r="G489" s="7"/>
    </row>
    <row r="490">
      <c r="C490" s="7"/>
      <c r="G490" s="7"/>
    </row>
    <row r="491">
      <c r="C491" s="7"/>
      <c r="G491" s="7"/>
    </row>
    <row r="492">
      <c r="C492" s="7"/>
      <c r="G492" s="7"/>
    </row>
    <row r="493">
      <c r="C493" s="7"/>
      <c r="G493" s="7"/>
    </row>
    <row r="494">
      <c r="C494" s="7"/>
      <c r="G494" s="7"/>
    </row>
    <row r="495">
      <c r="C495" s="7"/>
      <c r="G495" s="7"/>
    </row>
    <row r="496">
      <c r="C496" s="7"/>
      <c r="G496" s="7"/>
    </row>
    <row r="497">
      <c r="C497" s="7"/>
      <c r="G497" s="7"/>
    </row>
    <row r="498">
      <c r="C498" s="7"/>
      <c r="G498" s="7"/>
    </row>
    <row r="499">
      <c r="C499" s="7"/>
      <c r="G499" s="7"/>
    </row>
    <row r="500">
      <c r="C500" s="7"/>
      <c r="G500" s="7"/>
    </row>
    <row r="501">
      <c r="C501" s="7"/>
      <c r="G501" s="7"/>
    </row>
    <row r="502">
      <c r="C502" s="7"/>
      <c r="G502" s="7"/>
    </row>
    <row r="503">
      <c r="C503" s="7"/>
      <c r="G503" s="7"/>
    </row>
    <row r="504">
      <c r="C504" s="7"/>
      <c r="G504" s="7"/>
    </row>
    <row r="505">
      <c r="C505" s="7"/>
      <c r="G505" s="7"/>
    </row>
    <row r="506">
      <c r="C506" s="7"/>
      <c r="G506" s="7"/>
    </row>
    <row r="507">
      <c r="C507" s="7"/>
      <c r="G507" s="7"/>
    </row>
    <row r="508">
      <c r="C508" s="7"/>
      <c r="G508" s="7"/>
    </row>
    <row r="509">
      <c r="C509" s="7"/>
      <c r="G509" s="7"/>
    </row>
    <row r="510">
      <c r="C510" s="7"/>
      <c r="G510" s="7"/>
    </row>
    <row r="511">
      <c r="C511" s="7"/>
      <c r="G511" s="7"/>
    </row>
    <row r="512">
      <c r="C512" s="7"/>
      <c r="G512" s="7"/>
    </row>
    <row r="513">
      <c r="C513" s="7"/>
      <c r="G513" s="7"/>
    </row>
    <row r="514">
      <c r="C514" s="7"/>
      <c r="G514" s="7"/>
    </row>
    <row r="515">
      <c r="C515" s="7"/>
      <c r="G515" s="7"/>
    </row>
    <row r="516">
      <c r="C516" s="7"/>
      <c r="G516" s="7"/>
    </row>
    <row r="517">
      <c r="C517" s="7"/>
      <c r="G517" s="7"/>
    </row>
    <row r="518">
      <c r="C518" s="7"/>
      <c r="G518" s="7"/>
    </row>
    <row r="519">
      <c r="C519" s="7"/>
      <c r="G519" s="7"/>
    </row>
    <row r="520">
      <c r="C520" s="7"/>
      <c r="G520" s="7"/>
    </row>
    <row r="521">
      <c r="C521" s="7"/>
      <c r="G521" s="7"/>
    </row>
    <row r="522">
      <c r="C522" s="7"/>
      <c r="G522" s="7"/>
    </row>
    <row r="523">
      <c r="C523" s="7"/>
      <c r="G523" s="7"/>
    </row>
    <row r="524">
      <c r="C524" s="7"/>
      <c r="G524" s="7"/>
    </row>
    <row r="525">
      <c r="C525" s="7"/>
      <c r="G525" s="7"/>
    </row>
    <row r="526">
      <c r="C526" s="7"/>
      <c r="G526" s="7"/>
    </row>
    <row r="527">
      <c r="C527" s="7"/>
      <c r="G527" s="7"/>
    </row>
    <row r="528">
      <c r="C528" s="7"/>
      <c r="G528" s="7"/>
    </row>
    <row r="529">
      <c r="C529" s="7"/>
      <c r="G529" s="7"/>
    </row>
    <row r="530">
      <c r="C530" s="7"/>
      <c r="G530" s="7"/>
    </row>
    <row r="531">
      <c r="C531" s="7"/>
      <c r="G531" s="7"/>
    </row>
    <row r="532">
      <c r="C532" s="7"/>
      <c r="G532" s="7"/>
    </row>
    <row r="533">
      <c r="C533" s="7"/>
      <c r="G533" s="7"/>
    </row>
    <row r="534">
      <c r="C534" s="7"/>
      <c r="G534" s="7"/>
    </row>
    <row r="535">
      <c r="C535" s="7"/>
      <c r="G535" s="7"/>
    </row>
    <row r="536">
      <c r="C536" s="7"/>
      <c r="G536" s="7"/>
    </row>
    <row r="537">
      <c r="C537" s="7"/>
      <c r="G537" s="7"/>
    </row>
    <row r="538">
      <c r="C538" s="7"/>
      <c r="G538" s="7"/>
    </row>
    <row r="539">
      <c r="C539" s="7"/>
      <c r="G539" s="7"/>
    </row>
    <row r="540">
      <c r="C540" s="7"/>
      <c r="G540" s="7"/>
    </row>
    <row r="541">
      <c r="C541" s="7"/>
      <c r="G541" s="7"/>
    </row>
    <row r="542">
      <c r="C542" s="7"/>
      <c r="G542" s="7"/>
    </row>
    <row r="543">
      <c r="C543" s="7"/>
      <c r="G543" s="7"/>
    </row>
    <row r="544">
      <c r="C544" s="7"/>
      <c r="G544" s="7"/>
    </row>
    <row r="545">
      <c r="C545" s="7"/>
      <c r="G545" s="7"/>
    </row>
    <row r="546">
      <c r="C546" s="7"/>
      <c r="G546" s="7"/>
    </row>
    <row r="547">
      <c r="C547" s="7"/>
      <c r="G547" s="7"/>
    </row>
    <row r="548">
      <c r="C548" s="7"/>
      <c r="G548" s="7"/>
    </row>
    <row r="549">
      <c r="C549" s="7"/>
      <c r="G549" s="7"/>
    </row>
    <row r="550">
      <c r="C550" s="7"/>
      <c r="G550" s="7"/>
    </row>
    <row r="551">
      <c r="C551" s="7"/>
      <c r="G551" s="7"/>
    </row>
    <row r="552">
      <c r="C552" s="7"/>
      <c r="G552" s="7"/>
    </row>
    <row r="553">
      <c r="C553" s="7"/>
      <c r="G553" s="7"/>
    </row>
    <row r="554">
      <c r="C554" s="7"/>
      <c r="G554" s="7"/>
    </row>
    <row r="555">
      <c r="C555" s="7"/>
      <c r="G555" s="7"/>
    </row>
    <row r="556">
      <c r="C556" s="7"/>
      <c r="G556" s="7"/>
    </row>
    <row r="557">
      <c r="C557" s="7"/>
      <c r="G557" s="7"/>
    </row>
    <row r="558">
      <c r="C558" s="7"/>
      <c r="G558" s="7"/>
    </row>
    <row r="559">
      <c r="C559" s="7"/>
      <c r="G559" s="7"/>
    </row>
    <row r="560">
      <c r="C560" s="7"/>
      <c r="G560" s="7"/>
    </row>
    <row r="561">
      <c r="C561" s="7"/>
      <c r="G561" s="7"/>
    </row>
    <row r="562">
      <c r="C562" s="7"/>
      <c r="G562" s="7"/>
    </row>
    <row r="563">
      <c r="C563" s="7"/>
      <c r="G563" s="7"/>
    </row>
    <row r="564">
      <c r="C564" s="7"/>
      <c r="G564" s="7"/>
    </row>
    <row r="565">
      <c r="C565" s="7"/>
      <c r="G565" s="7"/>
    </row>
    <row r="566">
      <c r="C566" s="7"/>
      <c r="G566" s="7"/>
    </row>
    <row r="567">
      <c r="C567" s="7"/>
      <c r="G567" s="7"/>
    </row>
    <row r="568">
      <c r="C568" s="7"/>
      <c r="G568" s="7"/>
    </row>
    <row r="569">
      <c r="C569" s="7"/>
      <c r="G569" s="7"/>
    </row>
    <row r="570">
      <c r="C570" s="7"/>
      <c r="G570" s="7"/>
    </row>
    <row r="571">
      <c r="C571" s="7"/>
      <c r="G571" s="7"/>
    </row>
    <row r="572">
      <c r="C572" s="7"/>
      <c r="G572" s="7"/>
    </row>
    <row r="573">
      <c r="C573" s="7"/>
      <c r="G573" s="7"/>
    </row>
    <row r="574">
      <c r="C574" s="7"/>
      <c r="G574" s="7"/>
    </row>
    <row r="575">
      <c r="C575" s="7"/>
      <c r="G575" s="7"/>
    </row>
    <row r="576">
      <c r="C576" s="7"/>
      <c r="G576" s="7"/>
    </row>
    <row r="577">
      <c r="C577" s="7"/>
      <c r="G577" s="7"/>
    </row>
    <row r="578">
      <c r="C578" s="7"/>
      <c r="G578" s="7"/>
    </row>
    <row r="579">
      <c r="C579" s="7"/>
      <c r="G579" s="7"/>
    </row>
    <row r="580">
      <c r="C580" s="7"/>
      <c r="G580" s="7"/>
    </row>
    <row r="581">
      <c r="C581" s="7"/>
      <c r="G581" s="7"/>
    </row>
    <row r="582">
      <c r="C582" s="7"/>
      <c r="G582" s="7"/>
    </row>
    <row r="583">
      <c r="C583" s="7"/>
      <c r="G583" s="7"/>
    </row>
    <row r="584">
      <c r="C584" s="7"/>
      <c r="G584" s="7"/>
    </row>
    <row r="585">
      <c r="C585" s="7"/>
      <c r="G585" s="7"/>
    </row>
    <row r="586">
      <c r="C586" s="7"/>
      <c r="G586" s="7"/>
    </row>
    <row r="587">
      <c r="C587" s="7"/>
      <c r="G587" s="7"/>
    </row>
    <row r="588">
      <c r="C588" s="7"/>
      <c r="G588" s="7"/>
    </row>
    <row r="589">
      <c r="C589" s="7"/>
      <c r="G589" s="7"/>
    </row>
    <row r="590">
      <c r="C590" s="7"/>
      <c r="G590" s="7"/>
    </row>
    <row r="591">
      <c r="C591" s="7"/>
      <c r="G591" s="7"/>
    </row>
    <row r="592">
      <c r="C592" s="7"/>
      <c r="G592" s="7"/>
    </row>
    <row r="593">
      <c r="C593" s="7"/>
      <c r="G593" s="7"/>
    </row>
    <row r="594">
      <c r="C594" s="7"/>
      <c r="G594" s="7"/>
    </row>
    <row r="595">
      <c r="C595" s="7"/>
      <c r="G595" s="7"/>
    </row>
    <row r="596">
      <c r="C596" s="7"/>
      <c r="G596" s="7"/>
    </row>
    <row r="597">
      <c r="C597" s="7"/>
      <c r="G597" s="7"/>
    </row>
    <row r="598">
      <c r="C598" s="7"/>
      <c r="G598" s="7"/>
    </row>
    <row r="599">
      <c r="C599" s="7"/>
      <c r="G599" s="7"/>
    </row>
    <row r="600">
      <c r="C600" s="7"/>
      <c r="G600" s="7"/>
    </row>
    <row r="601">
      <c r="C601" s="7"/>
      <c r="G601" s="7"/>
    </row>
    <row r="602">
      <c r="C602" s="7"/>
      <c r="G602" s="7"/>
    </row>
    <row r="603">
      <c r="C603" s="7"/>
      <c r="G603" s="7"/>
    </row>
    <row r="604">
      <c r="C604" s="7"/>
      <c r="G604" s="7"/>
    </row>
    <row r="605">
      <c r="C605" s="7"/>
      <c r="G605" s="7"/>
    </row>
    <row r="606">
      <c r="C606" s="7"/>
      <c r="G606" s="7"/>
    </row>
    <row r="607">
      <c r="C607" s="7"/>
      <c r="G607" s="7"/>
    </row>
    <row r="608">
      <c r="C608" s="7"/>
      <c r="G608" s="7"/>
    </row>
    <row r="609">
      <c r="C609" s="7"/>
      <c r="G609" s="7"/>
    </row>
    <row r="610">
      <c r="C610" s="7"/>
      <c r="G610" s="7"/>
    </row>
    <row r="611">
      <c r="C611" s="7"/>
      <c r="G611" s="7"/>
    </row>
    <row r="612">
      <c r="C612" s="7"/>
      <c r="G612" s="7"/>
    </row>
    <row r="613">
      <c r="C613" s="7"/>
      <c r="G613" s="7"/>
    </row>
    <row r="614">
      <c r="C614" s="7"/>
      <c r="G614" s="7"/>
    </row>
    <row r="615">
      <c r="C615" s="7"/>
      <c r="G615" s="7"/>
    </row>
    <row r="616">
      <c r="C616" s="7"/>
      <c r="G616" s="7"/>
    </row>
    <row r="617">
      <c r="C617" s="7"/>
      <c r="G617" s="7"/>
    </row>
    <row r="618">
      <c r="C618" s="7"/>
      <c r="G618" s="7"/>
    </row>
    <row r="619">
      <c r="C619" s="7"/>
      <c r="G619" s="7"/>
    </row>
    <row r="620">
      <c r="C620" s="7"/>
      <c r="G620" s="7"/>
    </row>
    <row r="621">
      <c r="C621" s="7"/>
      <c r="G621" s="7"/>
    </row>
    <row r="622">
      <c r="C622" s="7"/>
      <c r="G622" s="7"/>
    </row>
    <row r="623">
      <c r="C623" s="7"/>
      <c r="G623" s="7"/>
    </row>
    <row r="624">
      <c r="C624" s="7"/>
      <c r="G624" s="7"/>
    </row>
    <row r="625">
      <c r="C625" s="7"/>
      <c r="G625" s="7"/>
    </row>
    <row r="626">
      <c r="C626" s="7"/>
      <c r="G626" s="7"/>
    </row>
    <row r="627">
      <c r="C627" s="7"/>
      <c r="G627" s="7"/>
    </row>
    <row r="628">
      <c r="C628" s="7"/>
      <c r="G628" s="7"/>
    </row>
    <row r="629">
      <c r="C629" s="7"/>
      <c r="G629" s="7"/>
    </row>
    <row r="630">
      <c r="C630" s="7"/>
      <c r="G630" s="7"/>
    </row>
    <row r="631">
      <c r="C631" s="7"/>
      <c r="G631" s="7"/>
    </row>
    <row r="632">
      <c r="C632" s="7"/>
      <c r="G632" s="7"/>
    </row>
    <row r="633">
      <c r="C633" s="7"/>
      <c r="G633" s="7"/>
    </row>
    <row r="634">
      <c r="C634" s="7"/>
      <c r="G634" s="7"/>
    </row>
    <row r="635">
      <c r="C635" s="7"/>
      <c r="G635" s="7"/>
    </row>
    <row r="636">
      <c r="C636" s="7"/>
      <c r="G636" s="7"/>
    </row>
    <row r="637">
      <c r="C637" s="7"/>
      <c r="G637" s="7"/>
    </row>
    <row r="638">
      <c r="C638" s="7"/>
      <c r="G638" s="7"/>
    </row>
    <row r="639">
      <c r="C639" s="7"/>
      <c r="G639" s="7"/>
    </row>
    <row r="640">
      <c r="C640" s="7"/>
      <c r="G640" s="7"/>
    </row>
    <row r="641">
      <c r="C641" s="7"/>
      <c r="G641" s="7"/>
    </row>
    <row r="642">
      <c r="C642" s="7"/>
      <c r="G642" s="7"/>
    </row>
    <row r="643">
      <c r="C643" s="7"/>
      <c r="G643" s="7"/>
    </row>
    <row r="644">
      <c r="C644" s="7"/>
      <c r="G644" s="7"/>
    </row>
    <row r="645">
      <c r="C645" s="7"/>
      <c r="G645" s="7"/>
    </row>
    <row r="646">
      <c r="C646" s="7"/>
      <c r="G646" s="7"/>
    </row>
    <row r="647">
      <c r="C647" s="7"/>
      <c r="G647" s="7"/>
    </row>
    <row r="648">
      <c r="C648" s="7"/>
      <c r="G648" s="7"/>
    </row>
    <row r="649">
      <c r="C649" s="7"/>
      <c r="G649" s="7"/>
    </row>
    <row r="650">
      <c r="C650" s="7"/>
      <c r="G650" s="7"/>
    </row>
    <row r="651">
      <c r="C651" s="7"/>
      <c r="G651" s="7"/>
    </row>
    <row r="652">
      <c r="C652" s="7"/>
      <c r="G652" s="7"/>
    </row>
    <row r="653">
      <c r="C653" s="7"/>
      <c r="G653" s="7"/>
    </row>
    <row r="654">
      <c r="C654" s="7"/>
      <c r="G654" s="7"/>
    </row>
    <row r="655">
      <c r="C655" s="7"/>
      <c r="G655" s="7"/>
    </row>
    <row r="656">
      <c r="C656" s="7"/>
      <c r="G656" s="7"/>
    </row>
    <row r="657">
      <c r="C657" s="7"/>
      <c r="G657" s="7"/>
    </row>
    <row r="658">
      <c r="C658" s="7"/>
      <c r="G658" s="7"/>
    </row>
    <row r="659">
      <c r="C659" s="7"/>
      <c r="G659" s="7"/>
    </row>
    <row r="660">
      <c r="C660" s="7"/>
      <c r="G660" s="7"/>
    </row>
    <row r="661">
      <c r="C661" s="7"/>
      <c r="G661" s="7"/>
    </row>
    <row r="662">
      <c r="C662" s="7"/>
      <c r="G662" s="7"/>
    </row>
    <row r="663">
      <c r="C663" s="7"/>
      <c r="G663" s="7"/>
    </row>
    <row r="664">
      <c r="C664" s="7"/>
      <c r="G664" s="7"/>
    </row>
    <row r="665">
      <c r="C665" s="7"/>
      <c r="G665" s="7"/>
    </row>
    <row r="666">
      <c r="C666" s="7"/>
      <c r="G666" s="7"/>
    </row>
    <row r="667">
      <c r="C667" s="7"/>
      <c r="G667" s="7"/>
    </row>
    <row r="668">
      <c r="C668" s="7"/>
      <c r="G668" s="7"/>
    </row>
    <row r="669">
      <c r="C669" s="7"/>
      <c r="G669" s="7"/>
    </row>
    <row r="670">
      <c r="C670" s="7"/>
      <c r="G670" s="7"/>
    </row>
    <row r="671">
      <c r="C671" s="7"/>
      <c r="G671" s="7"/>
    </row>
    <row r="672">
      <c r="C672" s="7"/>
      <c r="G672" s="7"/>
    </row>
    <row r="673">
      <c r="C673" s="7"/>
      <c r="G673" s="7"/>
    </row>
    <row r="674">
      <c r="C674" s="7"/>
      <c r="G674" s="7"/>
    </row>
    <row r="675">
      <c r="C675" s="7"/>
      <c r="G675" s="7"/>
    </row>
    <row r="676">
      <c r="C676" s="7"/>
      <c r="G676" s="7"/>
    </row>
    <row r="677">
      <c r="C677" s="7"/>
      <c r="G677" s="7"/>
    </row>
    <row r="678">
      <c r="C678" s="7"/>
      <c r="G678" s="7"/>
    </row>
    <row r="679">
      <c r="C679" s="7"/>
      <c r="G679" s="7"/>
    </row>
    <row r="680">
      <c r="C680" s="7"/>
      <c r="G680" s="7"/>
    </row>
    <row r="681">
      <c r="C681" s="7"/>
      <c r="G681" s="7"/>
    </row>
    <row r="682">
      <c r="C682" s="7"/>
      <c r="G682" s="7"/>
    </row>
    <row r="683">
      <c r="C683" s="7"/>
      <c r="G683" s="7"/>
    </row>
    <row r="684">
      <c r="C684" s="7"/>
      <c r="G684" s="7"/>
    </row>
    <row r="685">
      <c r="C685" s="7"/>
      <c r="G685" s="7"/>
    </row>
    <row r="686">
      <c r="C686" s="7"/>
      <c r="G686" s="7"/>
    </row>
    <row r="687">
      <c r="C687" s="7"/>
      <c r="G687" s="7"/>
    </row>
    <row r="688">
      <c r="C688" s="7"/>
      <c r="G688" s="7"/>
    </row>
    <row r="689">
      <c r="C689" s="7"/>
      <c r="G689" s="7"/>
    </row>
    <row r="690">
      <c r="C690" s="7"/>
      <c r="G690" s="7"/>
    </row>
    <row r="691">
      <c r="C691" s="7"/>
      <c r="G691" s="7"/>
    </row>
    <row r="692">
      <c r="C692" s="7"/>
      <c r="G692" s="7"/>
    </row>
    <row r="693">
      <c r="C693" s="7"/>
      <c r="G693" s="7"/>
    </row>
    <row r="694">
      <c r="C694" s="7"/>
      <c r="G694" s="7"/>
    </row>
    <row r="695">
      <c r="C695" s="7"/>
      <c r="G695" s="7"/>
    </row>
    <row r="696">
      <c r="C696" s="7"/>
      <c r="G696" s="7"/>
    </row>
    <row r="697">
      <c r="C697" s="7"/>
      <c r="G697" s="7"/>
    </row>
    <row r="698">
      <c r="C698" s="7"/>
      <c r="G698" s="7"/>
    </row>
    <row r="699">
      <c r="C699" s="7"/>
      <c r="G699" s="7"/>
    </row>
    <row r="700">
      <c r="C700" s="7"/>
      <c r="G700" s="7"/>
    </row>
    <row r="701">
      <c r="C701" s="7"/>
      <c r="G701" s="7"/>
    </row>
    <row r="702">
      <c r="C702" s="7"/>
      <c r="G702" s="7"/>
    </row>
    <row r="703">
      <c r="C703" s="7"/>
      <c r="G703" s="7"/>
    </row>
    <row r="704">
      <c r="C704" s="7"/>
      <c r="G704" s="7"/>
    </row>
    <row r="705">
      <c r="C705" s="7"/>
      <c r="G705" s="7"/>
    </row>
    <row r="706">
      <c r="C706" s="7"/>
      <c r="G706" s="7"/>
    </row>
    <row r="707">
      <c r="C707" s="7"/>
      <c r="G707" s="7"/>
    </row>
    <row r="708">
      <c r="C708" s="7"/>
      <c r="G708" s="7"/>
    </row>
    <row r="709">
      <c r="C709" s="7"/>
      <c r="G709" s="7"/>
    </row>
    <row r="710">
      <c r="C710" s="7"/>
      <c r="G710" s="7"/>
    </row>
    <row r="711">
      <c r="C711" s="7"/>
      <c r="G711" s="7"/>
    </row>
    <row r="712">
      <c r="C712" s="7"/>
      <c r="G712" s="7"/>
    </row>
    <row r="713">
      <c r="C713" s="7"/>
      <c r="G713" s="7"/>
    </row>
    <row r="714">
      <c r="C714" s="7"/>
      <c r="G714" s="7"/>
    </row>
    <row r="715">
      <c r="C715" s="7"/>
      <c r="G715" s="7"/>
    </row>
    <row r="716">
      <c r="C716" s="7"/>
      <c r="G716" s="7"/>
    </row>
    <row r="717">
      <c r="C717" s="7"/>
      <c r="G717" s="7"/>
    </row>
    <row r="718">
      <c r="C718" s="7"/>
      <c r="G718" s="7"/>
    </row>
    <row r="719">
      <c r="C719" s="7"/>
      <c r="G719" s="7"/>
    </row>
    <row r="720">
      <c r="C720" s="7"/>
      <c r="G720" s="7"/>
    </row>
    <row r="721">
      <c r="C721" s="7"/>
      <c r="G721" s="7"/>
    </row>
    <row r="722">
      <c r="C722" s="7"/>
      <c r="G722" s="7"/>
    </row>
    <row r="723">
      <c r="C723" s="7"/>
      <c r="G723" s="7"/>
    </row>
    <row r="724">
      <c r="C724" s="7"/>
      <c r="G724" s="7"/>
    </row>
    <row r="725">
      <c r="C725" s="7"/>
      <c r="G725" s="7"/>
    </row>
    <row r="726">
      <c r="C726" s="7"/>
      <c r="G726" s="7"/>
    </row>
    <row r="727">
      <c r="C727" s="7"/>
      <c r="G727" s="7"/>
    </row>
    <row r="728">
      <c r="C728" s="7"/>
      <c r="G728" s="7"/>
    </row>
    <row r="729">
      <c r="C729" s="7"/>
      <c r="G729" s="7"/>
    </row>
    <row r="730">
      <c r="C730" s="7"/>
      <c r="G730" s="7"/>
    </row>
    <row r="731">
      <c r="C731" s="7"/>
      <c r="G731" s="7"/>
    </row>
    <row r="732">
      <c r="C732" s="7"/>
      <c r="G732" s="7"/>
    </row>
    <row r="733">
      <c r="C733" s="7"/>
      <c r="G733" s="7"/>
    </row>
    <row r="734">
      <c r="C734" s="7"/>
      <c r="G734" s="7"/>
    </row>
    <row r="735">
      <c r="C735" s="7"/>
      <c r="G735" s="7"/>
    </row>
    <row r="736">
      <c r="C736" s="7"/>
      <c r="G736" s="7"/>
    </row>
    <row r="737">
      <c r="C737" s="7"/>
      <c r="G737" s="7"/>
    </row>
    <row r="738">
      <c r="C738" s="7"/>
      <c r="G738" s="7"/>
    </row>
    <row r="739">
      <c r="C739" s="7"/>
      <c r="G739" s="7"/>
    </row>
    <row r="740">
      <c r="C740" s="7"/>
      <c r="G740" s="7"/>
    </row>
    <row r="741">
      <c r="C741" s="7"/>
      <c r="G741" s="7"/>
    </row>
    <row r="742">
      <c r="C742" s="7"/>
      <c r="G742" s="7"/>
    </row>
    <row r="743">
      <c r="C743" s="7"/>
      <c r="G743" s="7"/>
    </row>
    <row r="744">
      <c r="C744" s="7"/>
      <c r="G744" s="7"/>
    </row>
    <row r="745">
      <c r="C745" s="7"/>
      <c r="G745" s="7"/>
    </row>
    <row r="746">
      <c r="C746" s="7"/>
      <c r="G746" s="7"/>
    </row>
    <row r="747">
      <c r="C747" s="7"/>
      <c r="G747" s="7"/>
    </row>
    <row r="748">
      <c r="C748" s="7"/>
      <c r="G748" s="7"/>
    </row>
    <row r="749">
      <c r="C749" s="7"/>
      <c r="G749" s="7"/>
    </row>
    <row r="750">
      <c r="C750" s="7"/>
      <c r="G750" s="7"/>
    </row>
    <row r="751">
      <c r="C751" s="7"/>
      <c r="G751" s="7"/>
    </row>
    <row r="752">
      <c r="C752" s="7"/>
      <c r="G752" s="7"/>
    </row>
    <row r="753">
      <c r="C753" s="7"/>
      <c r="G753" s="7"/>
    </row>
    <row r="754">
      <c r="C754" s="7"/>
      <c r="G754" s="7"/>
    </row>
    <row r="755">
      <c r="C755" s="7"/>
      <c r="G755" s="7"/>
    </row>
    <row r="756">
      <c r="C756" s="7"/>
      <c r="G756" s="7"/>
    </row>
    <row r="757">
      <c r="C757" s="7"/>
      <c r="G757" s="7"/>
    </row>
    <row r="758">
      <c r="C758" s="7"/>
      <c r="G758" s="7"/>
    </row>
    <row r="759">
      <c r="C759" s="7"/>
      <c r="G759" s="7"/>
    </row>
    <row r="760">
      <c r="C760" s="7"/>
      <c r="G760" s="7"/>
    </row>
    <row r="761">
      <c r="C761" s="7"/>
      <c r="G761" s="7"/>
    </row>
    <row r="762">
      <c r="C762" s="7"/>
      <c r="G762" s="7"/>
    </row>
    <row r="763">
      <c r="C763" s="7"/>
      <c r="G763" s="7"/>
    </row>
    <row r="764">
      <c r="C764" s="7"/>
      <c r="G764" s="7"/>
    </row>
    <row r="765">
      <c r="C765" s="7"/>
      <c r="G765" s="7"/>
    </row>
    <row r="766">
      <c r="C766" s="7"/>
      <c r="G766" s="7"/>
    </row>
    <row r="767">
      <c r="C767" s="7"/>
      <c r="G767" s="7"/>
    </row>
    <row r="768">
      <c r="C768" s="7"/>
      <c r="G768" s="7"/>
    </row>
    <row r="769">
      <c r="C769" s="7"/>
      <c r="G769" s="7"/>
    </row>
    <row r="770">
      <c r="C770" s="7"/>
      <c r="G770" s="7"/>
    </row>
    <row r="771">
      <c r="C771" s="7"/>
      <c r="G771" s="7"/>
    </row>
    <row r="772">
      <c r="C772" s="7"/>
      <c r="G772" s="7"/>
    </row>
    <row r="773">
      <c r="C773" s="7"/>
      <c r="G773" s="7"/>
    </row>
    <row r="774">
      <c r="C774" s="7"/>
      <c r="G774" s="7"/>
    </row>
    <row r="775">
      <c r="C775" s="7"/>
      <c r="G775" s="7"/>
    </row>
    <row r="776">
      <c r="C776" s="7"/>
      <c r="G776" s="7"/>
    </row>
    <row r="777">
      <c r="C777" s="7"/>
      <c r="G777" s="7"/>
    </row>
    <row r="778">
      <c r="C778" s="7"/>
      <c r="G778" s="7"/>
    </row>
    <row r="779">
      <c r="C779" s="7"/>
      <c r="G779" s="7"/>
    </row>
    <row r="780">
      <c r="C780" s="7"/>
      <c r="G780" s="7"/>
    </row>
    <row r="781">
      <c r="C781" s="7"/>
      <c r="G781" s="7"/>
    </row>
    <row r="782">
      <c r="C782" s="7"/>
      <c r="G782" s="7"/>
    </row>
    <row r="783">
      <c r="C783" s="7"/>
      <c r="G783" s="7"/>
    </row>
    <row r="784">
      <c r="C784" s="7"/>
      <c r="G784" s="7"/>
    </row>
    <row r="785">
      <c r="C785" s="7"/>
      <c r="G785" s="7"/>
    </row>
    <row r="786">
      <c r="C786" s="7"/>
      <c r="G786" s="7"/>
    </row>
    <row r="787">
      <c r="C787" s="7"/>
      <c r="G787" s="7"/>
    </row>
    <row r="788">
      <c r="C788" s="7"/>
      <c r="G788" s="7"/>
    </row>
    <row r="789">
      <c r="C789" s="7"/>
      <c r="G789" s="7"/>
    </row>
    <row r="790">
      <c r="C790" s="7"/>
      <c r="G790" s="7"/>
    </row>
    <row r="791">
      <c r="C791" s="7"/>
      <c r="G791" s="7"/>
    </row>
    <row r="792">
      <c r="C792" s="7"/>
      <c r="G792" s="7"/>
    </row>
    <row r="793">
      <c r="C793" s="7"/>
      <c r="G793" s="7"/>
    </row>
    <row r="794">
      <c r="C794" s="7"/>
      <c r="G794" s="7"/>
    </row>
    <row r="795">
      <c r="C795" s="7"/>
      <c r="G795" s="7"/>
    </row>
    <row r="796">
      <c r="C796" s="7"/>
      <c r="G796" s="7"/>
    </row>
    <row r="797">
      <c r="C797" s="7"/>
      <c r="G797" s="7"/>
    </row>
    <row r="798">
      <c r="C798" s="7"/>
      <c r="G798" s="7"/>
    </row>
    <row r="799">
      <c r="C799" s="7"/>
      <c r="G799" s="7"/>
    </row>
    <row r="800">
      <c r="C800" s="7"/>
      <c r="G800" s="7"/>
    </row>
    <row r="801">
      <c r="C801" s="7"/>
      <c r="G801" s="7"/>
    </row>
    <row r="802">
      <c r="C802" s="7"/>
      <c r="G802" s="7"/>
    </row>
    <row r="803">
      <c r="C803" s="7"/>
      <c r="G803" s="7"/>
    </row>
    <row r="804">
      <c r="C804" s="7"/>
      <c r="G804" s="7"/>
    </row>
    <row r="805">
      <c r="C805" s="7"/>
      <c r="G805" s="7"/>
    </row>
    <row r="806">
      <c r="C806" s="7"/>
      <c r="G806" s="7"/>
    </row>
    <row r="807">
      <c r="C807" s="7"/>
      <c r="G807" s="7"/>
    </row>
    <row r="808">
      <c r="C808" s="7"/>
      <c r="G808" s="7"/>
    </row>
    <row r="809">
      <c r="C809" s="7"/>
      <c r="G809" s="7"/>
    </row>
    <row r="810">
      <c r="C810" s="7"/>
      <c r="G810" s="7"/>
    </row>
    <row r="811">
      <c r="C811" s="7"/>
      <c r="G811" s="7"/>
    </row>
    <row r="812">
      <c r="C812" s="7"/>
      <c r="G812" s="7"/>
    </row>
    <row r="813">
      <c r="C813" s="7"/>
      <c r="G813" s="7"/>
    </row>
    <row r="814">
      <c r="C814" s="7"/>
      <c r="G814" s="7"/>
    </row>
    <row r="815">
      <c r="C815" s="7"/>
      <c r="G815" s="7"/>
    </row>
    <row r="816">
      <c r="C816" s="7"/>
      <c r="G816" s="7"/>
    </row>
    <row r="817">
      <c r="C817" s="7"/>
      <c r="G817" s="7"/>
    </row>
    <row r="818">
      <c r="C818" s="7"/>
      <c r="G818" s="7"/>
    </row>
    <row r="819">
      <c r="C819" s="7"/>
      <c r="G819" s="7"/>
    </row>
    <row r="820">
      <c r="C820" s="7"/>
      <c r="G820" s="7"/>
    </row>
    <row r="821">
      <c r="C821" s="7"/>
      <c r="G821" s="7"/>
    </row>
    <row r="822">
      <c r="C822" s="7"/>
      <c r="G822" s="7"/>
    </row>
    <row r="823">
      <c r="C823" s="7"/>
      <c r="G823" s="7"/>
    </row>
    <row r="824">
      <c r="C824" s="7"/>
      <c r="G824" s="7"/>
    </row>
    <row r="825">
      <c r="C825" s="7"/>
      <c r="G825" s="7"/>
    </row>
    <row r="826">
      <c r="C826" s="7"/>
      <c r="G826" s="7"/>
    </row>
    <row r="827">
      <c r="C827" s="7"/>
      <c r="G827" s="7"/>
    </row>
    <row r="828">
      <c r="C828" s="7"/>
      <c r="G828" s="7"/>
    </row>
    <row r="829">
      <c r="C829" s="7"/>
      <c r="G829" s="7"/>
    </row>
    <row r="830">
      <c r="C830" s="7"/>
      <c r="G830" s="7"/>
    </row>
    <row r="831">
      <c r="C831" s="7"/>
      <c r="G831" s="7"/>
    </row>
    <row r="832">
      <c r="C832" s="7"/>
      <c r="G832" s="7"/>
    </row>
    <row r="833">
      <c r="C833" s="7"/>
      <c r="G833" s="7"/>
    </row>
    <row r="834">
      <c r="C834" s="7"/>
      <c r="G834" s="7"/>
    </row>
    <row r="835">
      <c r="C835" s="7"/>
      <c r="G835" s="7"/>
    </row>
    <row r="836">
      <c r="C836" s="7"/>
      <c r="G836" s="7"/>
    </row>
    <row r="837">
      <c r="C837" s="7"/>
      <c r="G837" s="7"/>
    </row>
    <row r="838">
      <c r="C838" s="7"/>
      <c r="G838" s="7"/>
    </row>
    <row r="839">
      <c r="C839" s="7"/>
      <c r="G839" s="7"/>
    </row>
    <row r="840">
      <c r="C840" s="7"/>
      <c r="G840" s="7"/>
    </row>
    <row r="841">
      <c r="C841" s="7"/>
      <c r="G841" s="7"/>
    </row>
    <row r="842">
      <c r="C842" s="7"/>
      <c r="G842" s="7"/>
    </row>
    <row r="843">
      <c r="C843" s="7"/>
      <c r="G843" s="7"/>
    </row>
    <row r="844">
      <c r="C844" s="7"/>
      <c r="G844" s="7"/>
    </row>
    <row r="845">
      <c r="C845" s="7"/>
      <c r="G845" s="7"/>
    </row>
    <row r="846">
      <c r="C846" s="7"/>
      <c r="G846" s="7"/>
    </row>
    <row r="847">
      <c r="C847" s="7"/>
      <c r="G847" s="7"/>
    </row>
    <row r="848">
      <c r="C848" s="7"/>
      <c r="G848" s="7"/>
    </row>
    <row r="849">
      <c r="C849" s="7"/>
      <c r="G849" s="7"/>
    </row>
    <row r="850">
      <c r="C850" s="7"/>
      <c r="G850" s="7"/>
    </row>
    <row r="851">
      <c r="C851" s="7"/>
      <c r="G851" s="7"/>
    </row>
    <row r="852">
      <c r="C852" s="7"/>
      <c r="G852" s="7"/>
    </row>
    <row r="853">
      <c r="C853" s="7"/>
      <c r="G853" s="7"/>
    </row>
    <row r="854">
      <c r="C854" s="7"/>
      <c r="G854" s="7"/>
    </row>
    <row r="855">
      <c r="C855" s="7"/>
      <c r="G855" s="7"/>
    </row>
    <row r="856">
      <c r="C856" s="7"/>
      <c r="G856" s="7"/>
    </row>
    <row r="857">
      <c r="C857" s="7"/>
      <c r="G857" s="7"/>
    </row>
    <row r="858">
      <c r="C858" s="7"/>
      <c r="G858" s="7"/>
    </row>
    <row r="859">
      <c r="C859" s="7"/>
      <c r="G859" s="7"/>
    </row>
    <row r="860">
      <c r="C860" s="7"/>
      <c r="G860" s="7"/>
    </row>
    <row r="861">
      <c r="C861" s="7"/>
      <c r="G861" s="7"/>
    </row>
    <row r="862">
      <c r="C862" s="7"/>
      <c r="G862" s="7"/>
    </row>
    <row r="863">
      <c r="C863" s="7"/>
      <c r="G863" s="7"/>
    </row>
    <row r="864">
      <c r="C864" s="7"/>
      <c r="G864" s="7"/>
    </row>
    <row r="865">
      <c r="C865" s="7"/>
      <c r="G865" s="7"/>
    </row>
    <row r="866">
      <c r="C866" s="7"/>
      <c r="G866" s="7"/>
    </row>
    <row r="867">
      <c r="C867" s="7"/>
      <c r="G867" s="7"/>
    </row>
    <row r="868">
      <c r="C868" s="7"/>
      <c r="G868" s="7"/>
    </row>
    <row r="869">
      <c r="C869" s="7"/>
      <c r="G869" s="7"/>
    </row>
    <row r="870">
      <c r="C870" s="7"/>
      <c r="G870" s="7"/>
    </row>
    <row r="871">
      <c r="C871" s="7"/>
      <c r="G871" s="7"/>
    </row>
    <row r="872">
      <c r="C872" s="7"/>
      <c r="G872" s="7"/>
    </row>
    <row r="873">
      <c r="C873" s="7"/>
      <c r="G873" s="7"/>
    </row>
    <row r="874">
      <c r="C874" s="7"/>
      <c r="G874" s="7"/>
    </row>
    <row r="875">
      <c r="C875" s="7"/>
      <c r="G875" s="7"/>
    </row>
    <row r="876">
      <c r="C876" s="7"/>
      <c r="G876" s="7"/>
    </row>
    <row r="877">
      <c r="C877" s="7"/>
      <c r="G877" s="7"/>
    </row>
    <row r="878">
      <c r="C878" s="7"/>
      <c r="G878" s="7"/>
    </row>
    <row r="879">
      <c r="C879" s="7"/>
      <c r="G879" s="7"/>
    </row>
    <row r="880">
      <c r="C880" s="7"/>
      <c r="G880" s="7"/>
    </row>
    <row r="881">
      <c r="C881" s="7"/>
      <c r="G881" s="7"/>
    </row>
    <row r="882">
      <c r="C882" s="7"/>
      <c r="G882" s="7"/>
    </row>
    <row r="883">
      <c r="C883" s="7"/>
      <c r="G883" s="7"/>
    </row>
    <row r="884">
      <c r="C884" s="7"/>
      <c r="G884" s="7"/>
    </row>
    <row r="885">
      <c r="C885" s="7"/>
      <c r="G885" s="7"/>
    </row>
    <row r="886">
      <c r="C886" s="7"/>
      <c r="G886" s="7"/>
    </row>
    <row r="887">
      <c r="C887" s="7"/>
      <c r="G887" s="7"/>
    </row>
    <row r="888">
      <c r="C888" s="7"/>
      <c r="G888" s="7"/>
    </row>
    <row r="889">
      <c r="C889" s="7"/>
      <c r="G889" s="7"/>
    </row>
    <row r="890">
      <c r="C890" s="7"/>
      <c r="G890" s="7"/>
    </row>
    <row r="891">
      <c r="C891" s="7"/>
      <c r="G891" s="7"/>
    </row>
    <row r="892">
      <c r="C892" s="7"/>
      <c r="G892" s="7"/>
    </row>
    <row r="893">
      <c r="C893" s="7"/>
      <c r="G893" s="7"/>
    </row>
    <row r="894">
      <c r="C894" s="7"/>
      <c r="G894" s="7"/>
    </row>
    <row r="895">
      <c r="C895" s="7"/>
      <c r="G895" s="7"/>
    </row>
    <row r="896">
      <c r="C896" s="7"/>
      <c r="G896" s="7"/>
    </row>
    <row r="897">
      <c r="C897" s="7"/>
      <c r="G897" s="7"/>
    </row>
    <row r="898">
      <c r="C898" s="7"/>
      <c r="G898" s="7"/>
    </row>
    <row r="899">
      <c r="C899" s="7"/>
      <c r="G899" s="7"/>
    </row>
    <row r="900">
      <c r="C900" s="7"/>
      <c r="G900" s="7"/>
    </row>
    <row r="901">
      <c r="C901" s="7"/>
      <c r="G901" s="7"/>
    </row>
    <row r="902">
      <c r="C902" s="7"/>
      <c r="G902" s="7"/>
    </row>
    <row r="903">
      <c r="C903" s="7"/>
      <c r="G903" s="7"/>
    </row>
    <row r="904">
      <c r="C904" s="7"/>
      <c r="G904" s="7"/>
    </row>
    <row r="905">
      <c r="C905" s="7"/>
      <c r="G905" s="7"/>
    </row>
    <row r="906">
      <c r="C906" s="7"/>
      <c r="G906" s="7"/>
    </row>
    <row r="907">
      <c r="C907" s="7"/>
      <c r="G907" s="7"/>
    </row>
    <row r="908">
      <c r="C908" s="7"/>
      <c r="G908" s="7"/>
    </row>
    <row r="909">
      <c r="C909" s="7"/>
      <c r="G909" s="7"/>
    </row>
    <row r="910">
      <c r="C910" s="7"/>
      <c r="G910" s="7"/>
    </row>
    <row r="911">
      <c r="C911" s="7"/>
      <c r="G911" s="7"/>
    </row>
    <row r="912">
      <c r="C912" s="7"/>
      <c r="G912" s="7"/>
    </row>
    <row r="913">
      <c r="C913" s="7"/>
      <c r="G913" s="7"/>
    </row>
    <row r="914">
      <c r="C914" s="7"/>
      <c r="G914" s="7"/>
    </row>
    <row r="915">
      <c r="C915" s="7"/>
      <c r="G915" s="7"/>
    </row>
    <row r="916">
      <c r="C916" s="7"/>
      <c r="G916" s="7"/>
    </row>
    <row r="917">
      <c r="C917" s="7"/>
      <c r="G917" s="7"/>
    </row>
    <row r="918">
      <c r="C918" s="7"/>
      <c r="G918" s="7"/>
    </row>
    <row r="919">
      <c r="C919" s="7"/>
      <c r="G919" s="7"/>
    </row>
    <row r="920">
      <c r="C920" s="7"/>
      <c r="G920" s="7"/>
    </row>
    <row r="921">
      <c r="C921" s="7"/>
      <c r="G921" s="7"/>
    </row>
    <row r="922">
      <c r="C922" s="7"/>
      <c r="G922" s="7"/>
    </row>
    <row r="923">
      <c r="C923" s="7"/>
      <c r="G923" s="7"/>
    </row>
    <row r="924">
      <c r="C924" s="7"/>
      <c r="G924" s="7"/>
    </row>
    <row r="925">
      <c r="C925" s="7"/>
      <c r="G925" s="7"/>
    </row>
    <row r="926">
      <c r="C926" s="7"/>
      <c r="G926" s="7"/>
    </row>
    <row r="927">
      <c r="C927" s="7"/>
      <c r="G927" s="7"/>
    </row>
    <row r="928">
      <c r="C928" s="7"/>
      <c r="G928" s="7"/>
    </row>
    <row r="929">
      <c r="C929" s="7"/>
      <c r="G929" s="7"/>
    </row>
    <row r="930">
      <c r="C930" s="7"/>
      <c r="G930" s="7"/>
    </row>
    <row r="931">
      <c r="C931" s="7"/>
      <c r="G931" s="7"/>
    </row>
    <row r="932">
      <c r="C932" s="7"/>
      <c r="G932" s="7"/>
    </row>
    <row r="933">
      <c r="C933" s="7"/>
      <c r="G933" s="7"/>
    </row>
    <row r="934">
      <c r="C934" s="7"/>
      <c r="G934" s="7"/>
    </row>
    <row r="935">
      <c r="C935" s="7"/>
      <c r="G935" s="7"/>
    </row>
    <row r="936">
      <c r="C936" s="7"/>
      <c r="G936" s="7"/>
    </row>
    <row r="937">
      <c r="C937" s="7"/>
      <c r="G937" s="7"/>
    </row>
    <row r="938">
      <c r="C938" s="7"/>
      <c r="G938" s="7"/>
    </row>
    <row r="939">
      <c r="C939" s="7"/>
      <c r="G939" s="7"/>
    </row>
    <row r="940">
      <c r="C940" s="7"/>
      <c r="G940" s="7"/>
    </row>
    <row r="941">
      <c r="C941" s="7"/>
      <c r="G941" s="7"/>
    </row>
    <row r="942">
      <c r="C942" s="7"/>
      <c r="G942" s="7"/>
    </row>
    <row r="943">
      <c r="C943" s="7"/>
      <c r="G943" s="7"/>
    </row>
    <row r="944">
      <c r="C944" s="7"/>
      <c r="G944" s="7"/>
    </row>
    <row r="945">
      <c r="C945" s="7"/>
      <c r="G945" s="7"/>
    </row>
    <row r="946">
      <c r="C946" s="7"/>
      <c r="G946" s="7"/>
    </row>
    <row r="947">
      <c r="C947" s="7"/>
      <c r="G947" s="7"/>
    </row>
    <row r="948">
      <c r="C948" s="7"/>
      <c r="G948" s="7"/>
    </row>
    <row r="949">
      <c r="C949" s="7"/>
      <c r="G949" s="7"/>
    </row>
    <row r="950">
      <c r="C950" s="7"/>
      <c r="G950" s="7"/>
    </row>
    <row r="951">
      <c r="C951" s="7"/>
      <c r="G951" s="7"/>
    </row>
    <row r="952">
      <c r="C952" s="7"/>
      <c r="G952" s="7"/>
    </row>
    <row r="953">
      <c r="C953" s="7"/>
      <c r="G953" s="7"/>
    </row>
    <row r="954">
      <c r="C954" s="7"/>
      <c r="G954" s="7"/>
    </row>
    <row r="955">
      <c r="C955" s="7"/>
      <c r="G955" s="7"/>
    </row>
    <row r="956">
      <c r="C956" s="7"/>
      <c r="G956" s="7"/>
    </row>
    <row r="957">
      <c r="C957" s="7"/>
      <c r="G957" s="7"/>
    </row>
    <row r="958">
      <c r="C958" s="7"/>
      <c r="G958" s="7"/>
    </row>
    <row r="959">
      <c r="C959" s="7"/>
      <c r="G959" s="7"/>
    </row>
    <row r="960">
      <c r="C960" s="7"/>
      <c r="G960" s="7"/>
    </row>
    <row r="961">
      <c r="C961" s="7"/>
      <c r="G961" s="7"/>
    </row>
  </sheetData>
  <autoFilter ref="$A$2:$I$211">
    <sortState ref="A2:I211">
      <sortCondition ref="A2:A211"/>
    </sortState>
  </autoFilter>
  <customSheetViews>
    <customSheetView guid="{EA02C0C0-5ADB-422B-8B22-D697733516A8}" filter="1" showAutoFilter="1">
      <autoFilter ref="$T$118"/>
    </customSheetView>
    <customSheetView guid="{013AA9FF-1BD7-475C-A847-B40E8D4C7A26}" filter="1" showAutoFilter="1">
      <autoFilter ref="$A$1:$A$961">
        <filterColumn colId="0">
          <filters>
            <filter val="IDS2405_C2_57"/>
            <filter val="IDS 1475_C2_1"/>
            <filter val="IZ281_C1_54"/>
            <filter val="RB3026_00368_62"/>
            <filter val="RB3383"/>
            <filter val="VO5008SI_W4411_57"/>
            <filter val="TH2546_C1_62"/>
            <filter val="EA4078_5063/87_62"/>
            <filter val="OO9402_0764_64"/>
            <filter val="VO5132S_25677B_52"/>
            <filter val="IDS2553_C4_53"/>
            <filter val="IDS1745_C2_58"/>
            <filter val="VO2685_W9158E_55"/>
            <filter val="RJ950S_22011_50"/>
            <filter val="RB3025_0145_55"/>
            <filter val="FT_P410BK2_M"/>
            <filter val="FT_C071GR3P_M"/>
            <filter val="IDS2470_C3P_52"/>
            <filter val="RB3025_0024W_58"/>
            <filter val="DJ_C3"/>
            <filter val="VO3991SI_28013_58"/>
            <filter val="TH7910_C4_55"/>
            <filter val="IDS2404_C4P_57"/>
            <filter val="FASTRACK"/>
            <filter val="VO2855SM_W4411_56"/>
            <filter val="IS6285_C2_49"/>
            <filter val="IDS1745_C1_58"/>
            <filter val="FT_M101BR3P_M"/>
            <filter val="IDS2500_C20_58"/>
            <filter val="FT_PC001RD13_M"/>
            <filter val="VO5147B_25395A_55"/>
            <filter val="IDSO203_C3_55"/>
            <filter val="IDO208_C1_53"/>
            <filter val="FT_P357BK1V_M"/>
            <filter val="VO2729S_W65613_57"/>
            <filter val="IDS2607_C1_58"/>
            <filter val="IDS2942_C1_56"/>
            <filter val="IDS_C2_56"/>
          </filters>
        </filterColumn>
      </autoFilter>
    </customSheetView>
  </customSheetViews>
  <conditionalFormatting sqref="A211">
    <cfRule type="expression" dxfId="5" priority="1">
      <formula>COUNTIF(#REF!,A211)&gt;1</formula>
    </cfRule>
  </conditionalFormatting>
  <conditionalFormatting sqref="A82 A166">
    <cfRule type="expression" dxfId="5" priority="2">
      <formula>COUNTIF(A82:A961,A82)&gt;1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85" t="s">
        <v>4496</v>
      </c>
      <c r="B1" s="285" t="s">
        <v>747</v>
      </c>
      <c r="C1" s="285" t="s">
        <v>11446</v>
      </c>
      <c r="D1" s="286" t="str">
        <f>VLOOKUP(A1,PIVOT!$A$4:$F$1900,6,0)</f>
        <v>#REF!</v>
      </c>
      <c r="E1" s="285" t="s">
        <v>11447</v>
      </c>
    </row>
    <row r="2">
      <c r="A2">
        <v>1.0</v>
      </c>
      <c r="B2" s="254">
        <v>5290.0</v>
      </c>
      <c r="C2" s="256">
        <v>0.0</v>
      </c>
      <c r="D2" s="3">
        <v>0.0</v>
      </c>
      <c r="E2" t="b">
        <f t="shared" ref="E2:E1797" si="1">IF(C2=D2,TRUE)</f>
        <v>1</v>
      </c>
    </row>
    <row r="3">
      <c r="A3" t="s">
        <v>11448</v>
      </c>
      <c r="B3" s="254">
        <v>1150.0</v>
      </c>
      <c r="C3" s="256">
        <v>0.0</v>
      </c>
      <c r="D3" s="3">
        <v>0.0</v>
      </c>
      <c r="E3" t="b">
        <f t="shared" si="1"/>
        <v>1</v>
      </c>
    </row>
    <row r="4">
      <c r="A4" t="s">
        <v>11449</v>
      </c>
      <c r="B4" s="254">
        <v>1150.0</v>
      </c>
      <c r="C4" s="256">
        <v>0.0</v>
      </c>
      <c r="D4" s="3">
        <v>0.0</v>
      </c>
      <c r="E4" t="b">
        <f t="shared" si="1"/>
        <v>1</v>
      </c>
    </row>
    <row r="5">
      <c r="A5" t="s">
        <v>11450</v>
      </c>
      <c r="B5" s="254">
        <v>1150.0</v>
      </c>
      <c r="C5" s="256">
        <v>0.0</v>
      </c>
      <c r="D5" s="3">
        <v>0.0</v>
      </c>
      <c r="E5" t="b">
        <f t="shared" si="1"/>
        <v>1</v>
      </c>
    </row>
    <row r="6">
      <c r="A6" t="s">
        <v>11451</v>
      </c>
      <c r="B6" s="254">
        <v>1150.0</v>
      </c>
      <c r="C6" s="256">
        <v>1.0</v>
      </c>
      <c r="D6" t="str">
        <f t="shared" ref="D6:D9" si="2">VLOOKUP(A6,PIVOT!$A$4:$F$1900,6,0)</f>
        <v>#REF!</v>
      </c>
      <c r="E6" t="str">
        <f t="shared" si="1"/>
        <v>#REF!</v>
      </c>
    </row>
    <row r="7">
      <c r="A7" s="3" t="s">
        <v>6100</v>
      </c>
      <c r="B7" s="254">
        <v>14820.0</v>
      </c>
      <c r="C7" s="256">
        <v>1.0</v>
      </c>
      <c r="D7" t="str">
        <f t="shared" si="2"/>
        <v>#REF!</v>
      </c>
      <c r="E7" t="str">
        <f t="shared" si="1"/>
        <v>#REF!</v>
      </c>
    </row>
    <row r="8">
      <c r="A8" t="s">
        <v>6121</v>
      </c>
      <c r="B8" s="254">
        <v>1200.0</v>
      </c>
      <c r="C8" s="287">
        <v>13.0</v>
      </c>
      <c r="D8" t="str">
        <f t="shared" si="2"/>
        <v>#REF!</v>
      </c>
      <c r="E8" t="str">
        <f t="shared" si="1"/>
        <v>#REF!</v>
      </c>
    </row>
    <row r="9">
      <c r="A9" t="s">
        <v>5804</v>
      </c>
      <c r="B9" s="254">
        <v>300.0</v>
      </c>
      <c r="C9" s="256">
        <v>44.0</v>
      </c>
      <c r="D9" t="str">
        <f t="shared" si="2"/>
        <v>#REF!</v>
      </c>
      <c r="E9" t="str">
        <f t="shared" si="1"/>
        <v>#REF!</v>
      </c>
    </row>
    <row r="10">
      <c r="A10" t="s">
        <v>11452</v>
      </c>
      <c r="B10" s="254">
        <v>12710.0</v>
      </c>
      <c r="C10" s="256">
        <v>0.0</v>
      </c>
      <c r="D10" s="3">
        <v>0.0</v>
      </c>
      <c r="E10" t="b">
        <f t="shared" si="1"/>
        <v>1</v>
      </c>
    </row>
    <row r="11">
      <c r="A11" t="s">
        <v>11453</v>
      </c>
      <c r="B11" s="254">
        <v>16500.0</v>
      </c>
      <c r="C11" s="256">
        <v>0.0</v>
      </c>
      <c r="D11" s="3">
        <v>0.0</v>
      </c>
      <c r="E11" t="b">
        <f t="shared" si="1"/>
        <v>1</v>
      </c>
    </row>
    <row r="12">
      <c r="A12" t="s">
        <v>11454</v>
      </c>
      <c r="B12" s="254"/>
      <c r="C12" s="256">
        <v>0.0</v>
      </c>
      <c r="D12" s="3">
        <v>0.0</v>
      </c>
      <c r="E12" t="b">
        <f t="shared" si="1"/>
        <v>1</v>
      </c>
    </row>
    <row r="13">
      <c r="A13" t="s">
        <v>11455</v>
      </c>
      <c r="B13" s="254">
        <v>17000.0</v>
      </c>
      <c r="C13" s="256">
        <v>0.0</v>
      </c>
      <c r="D13" s="3">
        <v>0.0</v>
      </c>
      <c r="E13" t="b">
        <f t="shared" si="1"/>
        <v>1</v>
      </c>
    </row>
    <row r="14">
      <c r="A14" t="s">
        <v>11456</v>
      </c>
      <c r="B14" s="254">
        <v>15500.0</v>
      </c>
      <c r="C14" s="256">
        <v>0.0</v>
      </c>
      <c r="D14" s="3">
        <v>0.0</v>
      </c>
      <c r="E14" t="b">
        <f t="shared" si="1"/>
        <v>1</v>
      </c>
    </row>
    <row r="15">
      <c r="A15" t="s">
        <v>11457</v>
      </c>
      <c r="B15" s="254">
        <v>11000.0</v>
      </c>
      <c r="C15" s="256">
        <v>0.0</v>
      </c>
      <c r="D15" s="3">
        <v>0.0</v>
      </c>
      <c r="E15" t="b">
        <f t="shared" si="1"/>
        <v>1</v>
      </c>
    </row>
    <row r="16">
      <c r="A16" t="s">
        <v>11458</v>
      </c>
      <c r="B16" s="254">
        <v>12790.0</v>
      </c>
      <c r="C16" s="256">
        <v>0.0</v>
      </c>
      <c r="D16" s="3">
        <v>0.0</v>
      </c>
      <c r="E16" t="b">
        <f t="shared" si="1"/>
        <v>1</v>
      </c>
    </row>
    <row r="17">
      <c r="A17" t="s">
        <v>11459</v>
      </c>
      <c r="B17" s="254">
        <v>15000.0</v>
      </c>
      <c r="C17" s="256">
        <v>0.0</v>
      </c>
      <c r="D17" s="3">
        <v>0.0</v>
      </c>
      <c r="E17" t="b">
        <f t="shared" si="1"/>
        <v>1</v>
      </c>
    </row>
    <row r="18">
      <c r="A18" t="s">
        <v>11460</v>
      </c>
      <c r="B18" s="254">
        <v>14500.0</v>
      </c>
      <c r="C18" s="256">
        <v>0.0</v>
      </c>
      <c r="D18" s="3">
        <v>0.0</v>
      </c>
      <c r="E18" t="b">
        <f t="shared" si="1"/>
        <v>1</v>
      </c>
    </row>
    <row r="19">
      <c r="A19" t="s">
        <v>11461</v>
      </c>
      <c r="B19" s="254">
        <v>16500.0</v>
      </c>
      <c r="C19" s="256">
        <v>0.0</v>
      </c>
      <c r="D19" s="3">
        <v>0.0</v>
      </c>
      <c r="E19" t="b">
        <f t="shared" si="1"/>
        <v>1</v>
      </c>
    </row>
    <row r="20">
      <c r="A20" t="s">
        <v>11462</v>
      </c>
      <c r="B20" s="254">
        <v>13000.0</v>
      </c>
      <c r="C20" s="256">
        <v>0.0</v>
      </c>
      <c r="D20" s="3">
        <v>0.0</v>
      </c>
      <c r="E20" t="b">
        <f t="shared" si="1"/>
        <v>1</v>
      </c>
    </row>
    <row r="21">
      <c r="A21" t="s">
        <v>11463</v>
      </c>
      <c r="B21" s="254">
        <v>13000.0</v>
      </c>
      <c r="C21" s="256">
        <v>0.0</v>
      </c>
      <c r="D21" s="3">
        <v>0.0</v>
      </c>
      <c r="E21" t="b">
        <f t="shared" si="1"/>
        <v>1</v>
      </c>
    </row>
    <row r="22">
      <c r="A22" t="s">
        <v>11464</v>
      </c>
      <c r="B22" s="254">
        <v>15000.0</v>
      </c>
      <c r="C22" s="256">
        <v>0.0</v>
      </c>
      <c r="D22" s="3">
        <v>0.0</v>
      </c>
      <c r="E22" t="b">
        <f t="shared" si="1"/>
        <v>1</v>
      </c>
    </row>
    <row r="23">
      <c r="A23" t="s">
        <v>997</v>
      </c>
      <c r="B23" s="254">
        <v>15000.0</v>
      </c>
      <c r="C23" s="256">
        <v>0.0</v>
      </c>
      <c r="D23" s="3">
        <v>0.0</v>
      </c>
      <c r="E23" t="b">
        <f t="shared" si="1"/>
        <v>1</v>
      </c>
    </row>
    <row r="24">
      <c r="A24" t="s">
        <v>11465</v>
      </c>
      <c r="B24" s="254">
        <v>10000.0</v>
      </c>
      <c r="C24" s="256">
        <v>0.0</v>
      </c>
      <c r="D24" s="3">
        <v>0.0</v>
      </c>
      <c r="E24" t="b">
        <f t="shared" si="1"/>
        <v>1</v>
      </c>
    </row>
    <row r="25">
      <c r="A25" t="s">
        <v>11466</v>
      </c>
      <c r="B25" s="254">
        <v>13000.0</v>
      </c>
      <c r="C25" s="256">
        <v>0.0</v>
      </c>
      <c r="D25" s="3">
        <v>0.0</v>
      </c>
      <c r="E25" t="b">
        <f t="shared" si="1"/>
        <v>1</v>
      </c>
    </row>
    <row r="26">
      <c r="A26" t="s">
        <v>1000</v>
      </c>
      <c r="B26" s="254">
        <v>13000.0</v>
      </c>
      <c r="C26" s="256">
        <v>0.0</v>
      </c>
      <c r="D26" s="3">
        <v>0.0</v>
      </c>
      <c r="E26" t="b">
        <f t="shared" si="1"/>
        <v>1</v>
      </c>
    </row>
    <row r="27">
      <c r="A27" t="s">
        <v>11467</v>
      </c>
      <c r="B27" s="254">
        <v>19500.0</v>
      </c>
      <c r="C27" s="256">
        <v>0.0</v>
      </c>
      <c r="D27" s="3">
        <v>0.0</v>
      </c>
      <c r="E27" t="b">
        <f t="shared" si="1"/>
        <v>1</v>
      </c>
    </row>
    <row r="28">
      <c r="A28" t="s">
        <v>11468</v>
      </c>
      <c r="B28" s="254">
        <v>10500.0</v>
      </c>
      <c r="C28" s="256">
        <v>0.0</v>
      </c>
      <c r="D28" s="3">
        <v>0.0</v>
      </c>
      <c r="E28" t="b">
        <f t="shared" si="1"/>
        <v>1</v>
      </c>
    </row>
    <row r="29">
      <c r="A29" t="s">
        <v>5848</v>
      </c>
      <c r="B29" s="254">
        <v>1000.0</v>
      </c>
      <c r="C29" s="256">
        <v>51.0</v>
      </c>
      <c r="D29" t="str">
        <f t="shared" ref="D29:D30" si="3">VLOOKUP(A29,PIVOT!$A$4:$F$1900,6,0)</f>
        <v>#REF!</v>
      </c>
      <c r="E29" t="str">
        <f t="shared" si="1"/>
        <v>#REF!</v>
      </c>
    </row>
    <row r="30">
      <c r="A30" t="s">
        <v>1022</v>
      </c>
      <c r="B30" s="254">
        <v>1000.0</v>
      </c>
      <c r="C30" s="287">
        <v>34.0</v>
      </c>
      <c r="D30" t="str">
        <f t="shared" si="3"/>
        <v>#REF!</v>
      </c>
      <c r="E30" t="str">
        <f t="shared" si="1"/>
        <v>#REF!</v>
      </c>
    </row>
    <row r="31">
      <c r="A31" t="s">
        <v>1026</v>
      </c>
      <c r="B31" s="254">
        <v>24990.0</v>
      </c>
      <c r="C31" s="256">
        <v>0.0</v>
      </c>
      <c r="D31" s="3">
        <v>0.0</v>
      </c>
      <c r="E31" t="b">
        <f t="shared" si="1"/>
        <v>1</v>
      </c>
    </row>
    <row r="32">
      <c r="A32" t="s">
        <v>11469</v>
      </c>
      <c r="B32" s="254">
        <v>600.0</v>
      </c>
      <c r="C32" s="256">
        <v>2.0</v>
      </c>
      <c r="D32" t="str">
        <f t="shared" ref="D32:D89" si="4">VLOOKUP(A32,PIVOT!$A$4:$F$1900,6,0)</f>
        <v>#REF!</v>
      </c>
      <c r="E32" t="str">
        <f t="shared" si="1"/>
        <v>#REF!</v>
      </c>
    </row>
    <row r="33">
      <c r="A33" t="s">
        <v>5373</v>
      </c>
      <c r="B33" s="254">
        <v>8750.0</v>
      </c>
      <c r="C33" s="256">
        <v>1.0</v>
      </c>
      <c r="D33" t="str">
        <f t="shared" si="4"/>
        <v>#REF!</v>
      </c>
      <c r="E33" t="str">
        <f t="shared" si="1"/>
        <v>#REF!</v>
      </c>
    </row>
    <row r="34">
      <c r="A34" t="s">
        <v>5372</v>
      </c>
      <c r="B34" s="254">
        <v>8750.0</v>
      </c>
      <c r="C34" s="256">
        <v>1.0</v>
      </c>
      <c r="D34" t="str">
        <f t="shared" si="4"/>
        <v>#REF!</v>
      </c>
      <c r="E34" t="str">
        <f t="shared" si="1"/>
        <v>#REF!</v>
      </c>
    </row>
    <row r="35">
      <c r="A35" t="s">
        <v>5366</v>
      </c>
      <c r="B35" s="254">
        <v>8750.0</v>
      </c>
      <c r="C35" s="256">
        <v>1.0</v>
      </c>
      <c r="D35" t="str">
        <f t="shared" si="4"/>
        <v>#REF!</v>
      </c>
      <c r="E35" t="str">
        <f t="shared" si="1"/>
        <v>#REF!</v>
      </c>
    </row>
    <row r="36">
      <c r="A36" t="s">
        <v>5368</v>
      </c>
      <c r="B36" s="254">
        <v>8750.0</v>
      </c>
      <c r="C36" s="256">
        <v>2.0</v>
      </c>
      <c r="D36" t="str">
        <f t="shared" si="4"/>
        <v>#REF!</v>
      </c>
      <c r="E36" t="str">
        <f t="shared" si="1"/>
        <v>#REF!</v>
      </c>
    </row>
    <row r="37">
      <c r="A37" t="s">
        <v>5392</v>
      </c>
      <c r="B37" s="254">
        <v>9000.0</v>
      </c>
      <c r="C37" s="256">
        <v>1.0</v>
      </c>
      <c r="D37" t="str">
        <f t="shared" si="4"/>
        <v>#REF!</v>
      </c>
      <c r="E37" t="str">
        <f t="shared" si="1"/>
        <v>#REF!</v>
      </c>
    </row>
    <row r="38">
      <c r="A38" t="s">
        <v>5393</v>
      </c>
      <c r="B38" s="254">
        <v>9000.0</v>
      </c>
      <c r="C38" s="256">
        <v>1.0</v>
      </c>
      <c r="D38" t="str">
        <f t="shared" si="4"/>
        <v>#REF!</v>
      </c>
      <c r="E38" t="str">
        <f t="shared" si="1"/>
        <v>#REF!</v>
      </c>
    </row>
    <row r="39">
      <c r="A39" t="s">
        <v>5395</v>
      </c>
      <c r="B39" s="254">
        <v>9000.0</v>
      </c>
      <c r="C39" s="256">
        <v>1.0</v>
      </c>
      <c r="D39" t="str">
        <f t="shared" si="4"/>
        <v>#REF!</v>
      </c>
      <c r="E39" t="str">
        <f t="shared" si="1"/>
        <v>#REF!</v>
      </c>
    </row>
    <row r="40">
      <c r="A40" t="s">
        <v>5389</v>
      </c>
      <c r="B40" s="254">
        <v>9000.0</v>
      </c>
      <c r="C40" s="256">
        <v>1.0</v>
      </c>
      <c r="D40" t="str">
        <f t="shared" si="4"/>
        <v>#REF!</v>
      </c>
      <c r="E40" t="str">
        <f t="shared" si="1"/>
        <v>#REF!</v>
      </c>
    </row>
    <row r="41">
      <c r="A41" t="s">
        <v>11470</v>
      </c>
      <c r="B41" s="254">
        <v>9000.0</v>
      </c>
      <c r="C41" s="256">
        <v>0.0</v>
      </c>
      <c r="D41" t="str">
        <f t="shared" si="4"/>
        <v>#REF!</v>
      </c>
      <c r="E41" t="str">
        <f t="shared" si="1"/>
        <v>#REF!</v>
      </c>
    </row>
    <row r="42">
      <c r="A42" t="s">
        <v>5365</v>
      </c>
      <c r="B42" s="254">
        <v>9000.0</v>
      </c>
      <c r="C42" s="254">
        <v>0.0</v>
      </c>
      <c r="D42" t="str">
        <f t="shared" si="4"/>
        <v>#REF!</v>
      </c>
      <c r="E42" t="str">
        <f t="shared" si="1"/>
        <v>#REF!</v>
      </c>
    </row>
    <row r="43">
      <c r="A43" s="3" t="s">
        <v>2754</v>
      </c>
      <c r="B43" s="254">
        <v>9000.0</v>
      </c>
      <c r="C43" s="256">
        <v>1.0</v>
      </c>
      <c r="D43" t="str">
        <f t="shared" si="4"/>
        <v>#REF!</v>
      </c>
      <c r="E43" t="str">
        <f t="shared" si="1"/>
        <v>#REF!</v>
      </c>
    </row>
    <row r="44">
      <c r="A44" t="s">
        <v>11471</v>
      </c>
      <c r="B44" s="254">
        <v>9000.0</v>
      </c>
      <c r="C44" s="256">
        <v>0.0</v>
      </c>
      <c r="D44" t="str">
        <f t="shared" si="4"/>
        <v>#REF!</v>
      </c>
      <c r="E44" t="str">
        <f t="shared" si="1"/>
        <v>#REF!</v>
      </c>
    </row>
    <row r="45">
      <c r="A45" s="3" t="s">
        <v>2755</v>
      </c>
      <c r="B45" s="254">
        <v>9000.0</v>
      </c>
      <c r="C45" s="256">
        <v>1.0</v>
      </c>
      <c r="D45" t="str">
        <f t="shared" si="4"/>
        <v>#REF!</v>
      </c>
      <c r="E45" t="str">
        <f t="shared" si="1"/>
        <v>#REF!</v>
      </c>
    </row>
    <row r="46">
      <c r="A46" t="s">
        <v>1037</v>
      </c>
      <c r="B46" s="254">
        <v>9000.0</v>
      </c>
      <c r="C46" s="256">
        <v>0.0</v>
      </c>
      <c r="D46" t="str">
        <f t="shared" si="4"/>
        <v>#REF!</v>
      </c>
      <c r="E46" t="str">
        <f t="shared" si="1"/>
        <v>#REF!</v>
      </c>
    </row>
    <row r="47">
      <c r="A47" t="s">
        <v>6840</v>
      </c>
      <c r="B47" s="254">
        <v>9000.0</v>
      </c>
      <c r="C47" s="256">
        <v>0.0</v>
      </c>
      <c r="D47" t="str">
        <f t="shared" si="4"/>
        <v>#REF!</v>
      </c>
      <c r="E47" t="str">
        <f t="shared" si="1"/>
        <v>#REF!</v>
      </c>
    </row>
    <row r="48">
      <c r="A48" t="s">
        <v>5369</v>
      </c>
      <c r="B48" s="254">
        <v>9000.0</v>
      </c>
      <c r="C48" s="256">
        <v>0.0</v>
      </c>
      <c r="D48" t="str">
        <f t="shared" si="4"/>
        <v>#REF!</v>
      </c>
      <c r="E48" t="str">
        <f t="shared" si="1"/>
        <v>#REF!</v>
      </c>
    </row>
    <row r="49">
      <c r="A49" t="s">
        <v>11472</v>
      </c>
      <c r="B49" s="254">
        <v>9000.0</v>
      </c>
      <c r="C49" s="256">
        <v>0.0</v>
      </c>
      <c r="D49" t="str">
        <f t="shared" si="4"/>
        <v>#REF!</v>
      </c>
      <c r="E49" t="str">
        <f t="shared" si="1"/>
        <v>#REF!</v>
      </c>
    </row>
    <row r="50">
      <c r="A50" t="s">
        <v>5391</v>
      </c>
      <c r="B50" s="254">
        <v>9000.0</v>
      </c>
      <c r="C50" s="256">
        <v>3.0</v>
      </c>
      <c r="D50" t="str">
        <f t="shared" si="4"/>
        <v>#REF!</v>
      </c>
      <c r="E50" t="str">
        <f t="shared" si="1"/>
        <v>#REF!</v>
      </c>
    </row>
    <row r="51">
      <c r="A51" t="s">
        <v>11473</v>
      </c>
      <c r="B51" s="254">
        <v>9000.0</v>
      </c>
      <c r="C51" s="256">
        <v>0.0</v>
      </c>
      <c r="D51" t="str">
        <f t="shared" si="4"/>
        <v>#REF!</v>
      </c>
      <c r="E51" t="str">
        <f t="shared" si="1"/>
        <v>#REF!</v>
      </c>
    </row>
    <row r="52">
      <c r="A52" t="s">
        <v>11474</v>
      </c>
      <c r="B52" s="254">
        <v>9000.0</v>
      </c>
      <c r="C52" s="256">
        <v>1.0</v>
      </c>
      <c r="D52" t="str">
        <f t="shared" si="4"/>
        <v>#REF!</v>
      </c>
      <c r="E52" t="str">
        <f t="shared" si="1"/>
        <v>#REF!</v>
      </c>
    </row>
    <row r="53">
      <c r="A53" t="s">
        <v>11475</v>
      </c>
      <c r="B53" s="254">
        <v>9000.0</v>
      </c>
      <c r="C53" s="256">
        <v>0.0</v>
      </c>
      <c r="D53" t="str">
        <f t="shared" si="4"/>
        <v>#REF!</v>
      </c>
      <c r="E53" t="str">
        <f t="shared" si="1"/>
        <v>#REF!</v>
      </c>
    </row>
    <row r="54">
      <c r="A54" t="s">
        <v>1041</v>
      </c>
      <c r="B54" s="254">
        <v>9000.0</v>
      </c>
      <c r="C54" s="256">
        <v>1.0</v>
      </c>
      <c r="D54" t="str">
        <f t="shared" si="4"/>
        <v>#REF!</v>
      </c>
      <c r="E54" t="str">
        <f t="shared" si="1"/>
        <v>#REF!</v>
      </c>
    </row>
    <row r="55">
      <c r="A55" t="s">
        <v>11476</v>
      </c>
      <c r="B55" s="254">
        <v>9000.0</v>
      </c>
      <c r="C55" s="256">
        <v>0.0</v>
      </c>
      <c r="D55" t="str">
        <f t="shared" si="4"/>
        <v>#REF!</v>
      </c>
      <c r="E55" t="str">
        <f t="shared" si="1"/>
        <v>#REF!</v>
      </c>
    </row>
    <row r="56">
      <c r="A56" t="s">
        <v>5364</v>
      </c>
      <c r="B56" s="254">
        <v>9000.0</v>
      </c>
      <c r="C56" s="256">
        <v>2.0</v>
      </c>
      <c r="D56" t="str">
        <f t="shared" si="4"/>
        <v>#REF!</v>
      </c>
      <c r="E56" t="str">
        <f t="shared" si="1"/>
        <v>#REF!</v>
      </c>
    </row>
    <row r="57">
      <c r="A57" t="s">
        <v>6842</v>
      </c>
      <c r="B57" s="254">
        <v>9000.0</v>
      </c>
      <c r="C57" s="256">
        <v>0.0</v>
      </c>
      <c r="D57" t="str">
        <f t="shared" si="4"/>
        <v>#REF!</v>
      </c>
      <c r="E57" t="str">
        <f t="shared" si="1"/>
        <v>#REF!</v>
      </c>
    </row>
    <row r="58">
      <c r="A58" t="s">
        <v>11477</v>
      </c>
      <c r="B58" s="254">
        <v>9000.0</v>
      </c>
      <c r="C58" s="256">
        <v>0.0</v>
      </c>
      <c r="D58" t="str">
        <f t="shared" si="4"/>
        <v>#REF!</v>
      </c>
      <c r="E58" t="str">
        <f t="shared" si="1"/>
        <v>#REF!</v>
      </c>
    </row>
    <row r="59">
      <c r="A59" s="3" t="s">
        <v>5375</v>
      </c>
      <c r="B59" s="254">
        <v>9000.0</v>
      </c>
      <c r="C59" s="256">
        <v>1.0</v>
      </c>
      <c r="D59" t="str">
        <f t="shared" si="4"/>
        <v>#REF!</v>
      </c>
      <c r="E59" t="str">
        <f t="shared" si="1"/>
        <v>#REF!</v>
      </c>
    </row>
    <row r="60">
      <c r="A60" s="3" t="s">
        <v>5879</v>
      </c>
      <c r="B60" s="254" t="e">
        <v>#N/A</v>
      </c>
      <c r="C60" s="256">
        <v>0.0</v>
      </c>
      <c r="D60" t="str">
        <f t="shared" si="4"/>
        <v>#REF!</v>
      </c>
      <c r="E60" t="str">
        <f t="shared" si="1"/>
        <v>#REF!</v>
      </c>
    </row>
    <row r="61">
      <c r="A61" t="s">
        <v>1039</v>
      </c>
      <c r="B61" s="254">
        <v>8750.0</v>
      </c>
      <c r="C61" s="256">
        <v>1.0</v>
      </c>
      <c r="D61" t="str">
        <f t="shared" si="4"/>
        <v>#REF!</v>
      </c>
      <c r="E61" t="str">
        <f t="shared" si="1"/>
        <v>#REF!</v>
      </c>
    </row>
    <row r="62">
      <c r="A62" t="s">
        <v>1043</v>
      </c>
      <c r="B62" s="254">
        <v>9000.0</v>
      </c>
      <c r="C62" s="256">
        <v>2.0</v>
      </c>
      <c r="D62" t="str">
        <f t="shared" si="4"/>
        <v>#REF!</v>
      </c>
      <c r="E62" t="str">
        <f t="shared" si="1"/>
        <v>#REF!</v>
      </c>
    </row>
    <row r="63">
      <c r="A63" t="s">
        <v>6843</v>
      </c>
      <c r="B63" s="254">
        <v>9000.0</v>
      </c>
      <c r="C63" s="256">
        <v>1.0</v>
      </c>
      <c r="D63" t="str">
        <f t="shared" si="4"/>
        <v>#REF!</v>
      </c>
      <c r="E63" t="str">
        <f t="shared" si="1"/>
        <v>#REF!</v>
      </c>
    </row>
    <row r="64">
      <c r="A64" t="s">
        <v>10034</v>
      </c>
      <c r="B64" s="254">
        <v>9000.0</v>
      </c>
      <c r="C64" s="256">
        <v>0.0</v>
      </c>
      <c r="D64" t="str">
        <f t="shared" si="4"/>
        <v>#REF!</v>
      </c>
      <c r="E64" t="str">
        <f t="shared" si="1"/>
        <v>#REF!</v>
      </c>
    </row>
    <row r="65">
      <c r="A65" t="s">
        <v>11478</v>
      </c>
      <c r="B65" s="254">
        <v>9000.0</v>
      </c>
      <c r="C65" s="256">
        <v>0.0</v>
      </c>
      <c r="D65" t="str">
        <f t="shared" si="4"/>
        <v>#REF!</v>
      </c>
      <c r="E65" t="str">
        <f t="shared" si="1"/>
        <v>#REF!</v>
      </c>
    </row>
    <row r="66">
      <c r="A66" t="s">
        <v>5371</v>
      </c>
      <c r="B66" s="254">
        <v>9000.0</v>
      </c>
      <c r="C66" s="256">
        <v>0.0</v>
      </c>
      <c r="D66" t="str">
        <f t="shared" si="4"/>
        <v>#REF!</v>
      </c>
      <c r="E66" t="str">
        <f t="shared" si="1"/>
        <v>#REF!</v>
      </c>
    </row>
    <row r="67">
      <c r="A67" t="s">
        <v>5387</v>
      </c>
      <c r="B67" s="254">
        <v>9000.0</v>
      </c>
      <c r="C67" s="256">
        <v>1.0</v>
      </c>
      <c r="D67" t="str">
        <f t="shared" si="4"/>
        <v>#REF!</v>
      </c>
      <c r="E67" t="str">
        <f t="shared" si="1"/>
        <v>#REF!</v>
      </c>
    </row>
    <row r="68">
      <c r="A68" t="s">
        <v>5390</v>
      </c>
      <c r="B68" s="254">
        <v>9000.0</v>
      </c>
      <c r="C68" s="256">
        <v>1.0</v>
      </c>
      <c r="D68" t="str">
        <f t="shared" si="4"/>
        <v>#REF!</v>
      </c>
      <c r="E68" t="str">
        <f t="shared" si="1"/>
        <v>#REF!</v>
      </c>
    </row>
    <row r="69">
      <c r="A69" t="s">
        <v>5380</v>
      </c>
      <c r="B69" s="254"/>
      <c r="C69" s="256">
        <v>1.0</v>
      </c>
      <c r="D69" t="str">
        <f t="shared" si="4"/>
        <v>#REF!</v>
      </c>
      <c r="E69" t="str">
        <f t="shared" si="1"/>
        <v>#REF!</v>
      </c>
    </row>
    <row r="70">
      <c r="A70" t="s">
        <v>5383</v>
      </c>
      <c r="B70" s="254">
        <v>8200.0</v>
      </c>
      <c r="C70" s="256">
        <v>1.0</v>
      </c>
      <c r="D70" t="str">
        <f t="shared" si="4"/>
        <v>#REF!</v>
      </c>
      <c r="E70" t="str">
        <f t="shared" si="1"/>
        <v>#REF!</v>
      </c>
    </row>
    <row r="71">
      <c r="A71" t="s">
        <v>5383</v>
      </c>
      <c r="B71" s="254">
        <v>8200.0</v>
      </c>
      <c r="C71" s="288">
        <v>1.0</v>
      </c>
      <c r="D71" t="str">
        <f t="shared" si="4"/>
        <v>#REF!</v>
      </c>
      <c r="E71" t="str">
        <f t="shared" si="1"/>
        <v>#REF!</v>
      </c>
    </row>
    <row r="72">
      <c r="A72" t="s">
        <v>2763</v>
      </c>
      <c r="B72" s="254"/>
      <c r="C72" s="256">
        <v>1.0</v>
      </c>
      <c r="D72" t="str">
        <f t="shared" si="4"/>
        <v>#REF!</v>
      </c>
      <c r="E72" t="str">
        <f t="shared" si="1"/>
        <v>#REF!</v>
      </c>
    </row>
    <row r="73">
      <c r="A73" t="s">
        <v>2762</v>
      </c>
      <c r="B73" s="254"/>
      <c r="C73" s="256">
        <v>1.0</v>
      </c>
      <c r="D73" t="str">
        <f t="shared" si="4"/>
        <v>#REF!</v>
      </c>
      <c r="E73" t="str">
        <f t="shared" si="1"/>
        <v>#REF!</v>
      </c>
    </row>
    <row r="74">
      <c r="A74" t="s">
        <v>5379</v>
      </c>
      <c r="B74" s="254"/>
      <c r="C74" s="256">
        <v>1.0</v>
      </c>
      <c r="D74" t="str">
        <f t="shared" si="4"/>
        <v>#REF!</v>
      </c>
      <c r="E74" t="str">
        <f t="shared" si="1"/>
        <v>#REF!</v>
      </c>
    </row>
    <row r="75">
      <c r="A75" t="s">
        <v>5384</v>
      </c>
      <c r="B75" s="254"/>
      <c r="C75" s="256">
        <v>1.0</v>
      </c>
      <c r="D75" t="str">
        <f t="shared" si="4"/>
        <v>#REF!</v>
      </c>
      <c r="E75" t="str">
        <f t="shared" si="1"/>
        <v>#REF!</v>
      </c>
    </row>
    <row r="76">
      <c r="A76" t="s">
        <v>5378</v>
      </c>
      <c r="B76" s="254"/>
      <c r="C76" s="256">
        <v>1.0</v>
      </c>
      <c r="D76" t="str">
        <f t="shared" si="4"/>
        <v>#REF!</v>
      </c>
      <c r="E76" t="str">
        <f t="shared" si="1"/>
        <v>#REF!</v>
      </c>
    </row>
    <row r="77">
      <c r="A77" t="s">
        <v>5382</v>
      </c>
      <c r="B77" s="254"/>
      <c r="C77" s="256">
        <v>1.0</v>
      </c>
      <c r="D77" t="str">
        <f t="shared" si="4"/>
        <v>#REF!</v>
      </c>
      <c r="E77" t="str">
        <f t="shared" si="1"/>
        <v>#REF!</v>
      </c>
    </row>
    <row r="78">
      <c r="A78" t="s">
        <v>6142</v>
      </c>
      <c r="B78" s="254"/>
      <c r="C78" s="256">
        <v>1.0</v>
      </c>
      <c r="D78" t="str">
        <f t="shared" si="4"/>
        <v>#REF!</v>
      </c>
      <c r="E78" t="str">
        <f t="shared" si="1"/>
        <v>#REF!</v>
      </c>
    </row>
    <row r="79">
      <c r="A79" t="s">
        <v>5381</v>
      </c>
      <c r="B79" s="254"/>
      <c r="C79" s="256">
        <v>1.0</v>
      </c>
      <c r="D79" t="str">
        <f t="shared" si="4"/>
        <v>#REF!</v>
      </c>
      <c r="E79" t="str">
        <f t="shared" si="1"/>
        <v>#REF!</v>
      </c>
    </row>
    <row r="80">
      <c r="A80" t="s">
        <v>2764</v>
      </c>
      <c r="B80" s="254"/>
      <c r="C80" s="256">
        <v>1.0</v>
      </c>
      <c r="D80" t="str">
        <f t="shared" si="4"/>
        <v>#REF!</v>
      </c>
      <c r="E80" t="str">
        <f t="shared" si="1"/>
        <v>#REF!</v>
      </c>
    </row>
    <row r="81">
      <c r="A81" t="s">
        <v>5386</v>
      </c>
      <c r="B81" s="254"/>
      <c r="C81" s="256">
        <v>1.0</v>
      </c>
      <c r="D81" t="str">
        <f t="shared" si="4"/>
        <v>#REF!</v>
      </c>
      <c r="E81" t="str">
        <f t="shared" si="1"/>
        <v>#REF!</v>
      </c>
    </row>
    <row r="82">
      <c r="A82" t="s">
        <v>5377</v>
      </c>
      <c r="B82" s="254"/>
      <c r="C82" s="256">
        <v>1.0</v>
      </c>
      <c r="D82" t="str">
        <f t="shared" si="4"/>
        <v>#REF!</v>
      </c>
      <c r="E82" t="str">
        <f t="shared" si="1"/>
        <v>#REF!</v>
      </c>
    </row>
    <row r="83">
      <c r="A83" t="s">
        <v>5234</v>
      </c>
      <c r="B83" s="254">
        <v>14700.0</v>
      </c>
      <c r="C83" s="256">
        <v>1.0</v>
      </c>
      <c r="D83" t="str">
        <f t="shared" si="4"/>
        <v>#REF!</v>
      </c>
      <c r="E83" t="str">
        <f t="shared" si="1"/>
        <v>#REF!</v>
      </c>
    </row>
    <row r="84">
      <c r="A84" t="s">
        <v>5240</v>
      </c>
      <c r="B84" s="254">
        <v>9210.0</v>
      </c>
      <c r="C84" s="256">
        <v>1.0</v>
      </c>
      <c r="D84" t="str">
        <f t="shared" si="4"/>
        <v>#REF!</v>
      </c>
      <c r="E84" t="str">
        <f t="shared" si="1"/>
        <v>#REF!</v>
      </c>
    </row>
    <row r="85">
      <c r="A85" t="s">
        <v>11479</v>
      </c>
      <c r="B85" s="254">
        <v>16500.0</v>
      </c>
      <c r="C85" s="256">
        <v>0.0</v>
      </c>
      <c r="D85" t="str">
        <f t="shared" si="4"/>
        <v>#REF!</v>
      </c>
      <c r="E85" t="str">
        <f t="shared" si="1"/>
        <v>#REF!</v>
      </c>
    </row>
    <row r="86">
      <c r="A86" t="s">
        <v>11480</v>
      </c>
      <c r="B86" s="254">
        <v>13500.0</v>
      </c>
      <c r="C86" s="256">
        <v>0.0</v>
      </c>
      <c r="D86" t="str">
        <f t="shared" si="4"/>
        <v>#REF!</v>
      </c>
      <c r="E86" t="str">
        <f t="shared" si="1"/>
        <v>#REF!</v>
      </c>
    </row>
    <row r="87">
      <c r="A87" t="s">
        <v>11481</v>
      </c>
      <c r="B87" s="254">
        <v>16500.0</v>
      </c>
      <c r="C87" s="256">
        <v>0.0</v>
      </c>
      <c r="D87" t="str">
        <f t="shared" si="4"/>
        <v>#REF!</v>
      </c>
      <c r="E87" t="str">
        <f t="shared" si="1"/>
        <v>#REF!</v>
      </c>
    </row>
    <row r="88">
      <c r="A88" t="s">
        <v>11482</v>
      </c>
      <c r="B88" s="254">
        <v>15500.0</v>
      </c>
      <c r="C88" s="256">
        <v>0.0</v>
      </c>
      <c r="D88" t="str">
        <f t="shared" si="4"/>
        <v>#REF!</v>
      </c>
      <c r="E88" t="str">
        <f t="shared" si="1"/>
        <v>#REF!</v>
      </c>
    </row>
    <row r="89">
      <c r="A89" t="s">
        <v>11483</v>
      </c>
      <c r="B89" s="254">
        <v>19000.0</v>
      </c>
      <c r="C89" s="256">
        <v>0.0</v>
      </c>
      <c r="D89" t="str">
        <f t="shared" si="4"/>
        <v>#REF!</v>
      </c>
      <c r="E89" t="str">
        <f t="shared" si="1"/>
        <v>#REF!</v>
      </c>
    </row>
    <row r="90">
      <c r="A90" t="s">
        <v>5235</v>
      </c>
      <c r="B90" s="254">
        <v>14500.0</v>
      </c>
      <c r="C90" s="256">
        <v>1.0</v>
      </c>
      <c r="D90" s="3">
        <v>0.0</v>
      </c>
      <c r="E90" t="b">
        <f t="shared" si="1"/>
        <v>0</v>
      </c>
    </row>
    <row r="91">
      <c r="A91" t="s">
        <v>11484</v>
      </c>
      <c r="B91" s="254">
        <v>11500.0</v>
      </c>
      <c r="C91" s="256">
        <v>0.0</v>
      </c>
      <c r="D91" t="str">
        <f t="shared" ref="D91:D520" si="5">VLOOKUP(A91,PIVOT!$A$4:$F$1900,6,0)</f>
        <v>#REF!</v>
      </c>
      <c r="E91" t="str">
        <f t="shared" si="1"/>
        <v>#REF!</v>
      </c>
    </row>
    <row r="92">
      <c r="A92" t="s">
        <v>11485</v>
      </c>
      <c r="B92" s="254">
        <v>14820.0</v>
      </c>
      <c r="C92" s="256">
        <v>0.0</v>
      </c>
      <c r="D92" t="str">
        <f t="shared" si="5"/>
        <v>#REF!</v>
      </c>
      <c r="E92" t="str">
        <f t="shared" si="1"/>
        <v>#REF!</v>
      </c>
    </row>
    <row r="93">
      <c r="A93" t="s">
        <v>11486</v>
      </c>
      <c r="B93" s="254">
        <v>15500.0</v>
      </c>
      <c r="C93" s="256">
        <v>0.0</v>
      </c>
      <c r="D93" t="str">
        <f t="shared" si="5"/>
        <v>#REF!</v>
      </c>
      <c r="E93" t="str">
        <f t="shared" si="1"/>
        <v>#REF!</v>
      </c>
    </row>
    <row r="94">
      <c r="A94" t="s">
        <v>5239</v>
      </c>
      <c r="B94" s="254">
        <v>9100.0</v>
      </c>
      <c r="C94" s="256">
        <v>1.0</v>
      </c>
      <c r="D94" t="str">
        <f t="shared" si="5"/>
        <v>#REF!</v>
      </c>
      <c r="E94" t="str">
        <f t="shared" si="1"/>
        <v>#REF!</v>
      </c>
    </row>
    <row r="95">
      <c r="A95" t="s">
        <v>11487</v>
      </c>
      <c r="B95" s="254">
        <v>9180.0</v>
      </c>
      <c r="C95" s="256">
        <v>0.0</v>
      </c>
      <c r="D95" t="str">
        <f t="shared" si="5"/>
        <v>#REF!</v>
      </c>
      <c r="E95" t="str">
        <f t="shared" si="1"/>
        <v>#REF!</v>
      </c>
    </row>
    <row r="96">
      <c r="A96" t="s">
        <v>11488</v>
      </c>
      <c r="B96" s="254">
        <v>13710.0</v>
      </c>
      <c r="C96" s="256">
        <v>0.0</v>
      </c>
      <c r="D96" t="str">
        <f t="shared" si="5"/>
        <v>#REF!</v>
      </c>
      <c r="E96" t="str">
        <f t="shared" si="1"/>
        <v>#REF!</v>
      </c>
    </row>
    <row r="97">
      <c r="A97" t="s">
        <v>11489</v>
      </c>
      <c r="B97" s="254">
        <v>13710.0</v>
      </c>
      <c r="C97" s="256">
        <v>0.0</v>
      </c>
      <c r="D97" t="str">
        <f t="shared" si="5"/>
        <v>#REF!</v>
      </c>
      <c r="E97" t="str">
        <f t="shared" si="1"/>
        <v>#REF!</v>
      </c>
    </row>
    <row r="98">
      <c r="A98" t="s">
        <v>5237</v>
      </c>
      <c r="B98" s="254">
        <v>15500.0</v>
      </c>
      <c r="C98" s="256">
        <v>1.0</v>
      </c>
      <c r="D98" t="str">
        <f t="shared" si="5"/>
        <v>#REF!</v>
      </c>
      <c r="E98" t="str">
        <f t="shared" si="1"/>
        <v>#REF!</v>
      </c>
    </row>
    <row r="99">
      <c r="A99" t="s">
        <v>11490</v>
      </c>
      <c r="B99" s="254">
        <v>12500.0</v>
      </c>
      <c r="C99" s="256">
        <v>0.0</v>
      </c>
      <c r="D99" t="str">
        <f t="shared" si="5"/>
        <v>#REF!</v>
      </c>
      <c r="E99" t="str">
        <f t="shared" si="1"/>
        <v>#REF!</v>
      </c>
    </row>
    <row r="100">
      <c r="A100" t="s">
        <v>1058</v>
      </c>
      <c r="B100" s="254">
        <v>1800.0</v>
      </c>
      <c r="C100" s="256">
        <v>1.0</v>
      </c>
      <c r="D100" t="str">
        <f t="shared" si="5"/>
        <v>#REF!</v>
      </c>
      <c r="E100" t="str">
        <f t="shared" si="1"/>
        <v>#REF!</v>
      </c>
    </row>
    <row r="101">
      <c r="A101" t="s">
        <v>5731</v>
      </c>
      <c r="B101" s="254">
        <v>1600.0</v>
      </c>
      <c r="C101" s="287">
        <v>1.0</v>
      </c>
      <c r="D101" t="str">
        <f t="shared" si="5"/>
        <v>#REF!</v>
      </c>
      <c r="E101" t="str">
        <f t="shared" si="1"/>
        <v>#REF!</v>
      </c>
    </row>
    <row r="102">
      <c r="A102" s="3" t="s">
        <v>6101</v>
      </c>
      <c r="B102" s="254" t="e">
        <v>#N/A</v>
      </c>
      <c r="C102" s="256">
        <v>1.0</v>
      </c>
      <c r="D102" t="str">
        <f t="shared" si="5"/>
        <v>#REF!</v>
      </c>
      <c r="E102" t="str">
        <f t="shared" si="1"/>
        <v>#REF!</v>
      </c>
    </row>
    <row r="103">
      <c r="A103" t="s">
        <v>6131</v>
      </c>
      <c r="B103" s="254">
        <v>1600.0</v>
      </c>
      <c r="C103" s="287">
        <v>1.0</v>
      </c>
      <c r="D103" t="str">
        <f t="shared" si="5"/>
        <v>#REF!</v>
      </c>
      <c r="E103" t="str">
        <f t="shared" si="1"/>
        <v>#REF!</v>
      </c>
    </row>
    <row r="104">
      <c r="A104" t="s">
        <v>6066</v>
      </c>
      <c r="B104" s="254">
        <v>1600.0</v>
      </c>
      <c r="C104" s="289">
        <v>0.0</v>
      </c>
      <c r="D104" t="str">
        <f t="shared" si="5"/>
        <v>#REF!</v>
      </c>
      <c r="E104" t="str">
        <f t="shared" si="1"/>
        <v>#REF!</v>
      </c>
    </row>
    <row r="105">
      <c r="A105" t="s">
        <v>5734</v>
      </c>
      <c r="B105" s="254">
        <v>1600.0</v>
      </c>
      <c r="C105" s="287">
        <v>1.0</v>
      </c>
      <c r="D105" t="str">
        <f t="shared" si="5"/>
        <v>#REF!</v>
      </c>
      <c r="E105" t="str">
        <f t="shared" si="1"/>
        <v>#REF!</v>
      </c>
    </row>
    <row r="106">
      <c r="A106" t="s">
        <v>6138</v>
      </c>
      <c r="B106" s="254">
        <v>1600.0</v>
      </c>
      <c r="C106" s="287">
        <v>1.0</v>
      </c>
      <c r="D106" t="str">
        <f t="shared" si="5"/>
        <v>#REF!</v>
      </c>
      <c r="E106" t="str">
        <f t="shared" si="1"/>
        <v>#REF!</v>
      </c>
    </row>
    <row r="107">
      <c r="A107" s="3" t="s">
        <v>6130</v>
      </c>
      <c r="B107" s="254" t="e">
        <v>#N/A</v>
      </c>
      <c r="C107" s="287">
        <v>1.0</v>
      </c>
      <c r="D107" t="str">
        <f t="shared" si="5"/>
        <v>#REF!</v>
      </c>
      <c r="E107" t="str">
        <f t="shared" si="1"/>
        <v>#REF!</v>
      </c>
    </row>
    <row r="108">
      <c r="A108" t="s">
        <v>6102</v>
      </c>
      <c r="B108" s="254">
        <v>1800.0</v>
      </c>
      <c r="C108" s="256">
        <v>1.0</v>
      </c>
      <c r="D108" t="str">
        <f t="shared" si="5"/>
        <v>#REF!</v>
      </c>
      <c r="E108" t="str">
        <f t="shared" si="1"/>
        <v>#REF!</v>
      </c>
    </row>
    <row r="109">
      <c r="A109" t="s">
        <v>6103</v>
      </c>
      <c r="B109" s="254">
        <v>1800.0</v>
      </c>
      <c r="C109" s="256">
        <v>1.0</v>
      </c>
      <c r="D109" t="str">
        <f t="shared" si="5"/>
        <v>#REF!</v>
      </c>
      <c r="E109" t="str">
        <f t="shared" si="1"/>
        <v>#REF!</v>
      </c>
    </row>
    <row r="110">
      <c r="A110" t="s">
        <v>683</v>
      </c>
      <c r="B110" s="254">
        <v>1800.0</v>
      </c>
      <c r="C110" s="256">
        <v>1.0</v>
      </c>
      <c r="D110" t="str">
        <f t="shared" si="5"/>
        <v>#REF!</v>
      </c>
      <c r="E110" t="str">
        <f t="shared" si="1"/>
        <v>#REF!</v>
      </c>
    </row>
    <row r="111">
      <c r="A111" t="s">
        <v>11491</v>
      </c>
      <c r="B111" s="254">
        <v>1800.0</v>
      </c>
      <c r="C111" s="256">
        <v>0.0</v>
      </c>
      <c r="D111" t="str">
        <f t="shared" si="5"/>
        <v>#REF!</v>
      </c>
      <c r="E111" t="str">
        <f t="shared" si="1"/>
        <v>#REF!</v>
      </c>
    </row>
    <row r="112">
      <c r="A112" t="s">
        <v>1059</v>
      </c>
      <c r="B112" s="254">
        <v>1800.0</v>
      </c>
      <c r="C112" s="256">
        <v>1.0</v>
      </c>
      <c r="D112" t="str">
        <f t="shared" si="5"/>
        <v>#REF!</v>
      </c>
      <c r="E112" t="str">
        <f t="shared" si="1"/>
        <v>#REF!</v>
      </c>
    </row>
    <row r="113">
      <c r="A113" t="s">
        <v>684</v>
      </c>
      <c r="B113" s="254">
        <v>1800.0</v>
      </c>
      <c r="C113" s="256">
        <v>1.0</v>
      </c>
      <c r="D113" t="str">
        <f t="shared" si="5"/>
        <v>#REF!</v>
      </c>
      <c r="E113" t="str">
        <f t="shared" si="1"/>
        <v>#REF!</v>
      </c>
    </row>
    <row r="114">
      <c r="A114" t="s">
        <v>1061</v>
      </c>
      <c r="B114" s="254">
        <v>1600.0</v>
      </c>
      <c r="C114" s="287">
        <v>1.0</v>
      </c>
      <c r="D114" t="str">
        <f t="shared" si="5"/>
        <v>#REF!</v>
      </c>
      <c r="E114" t="str">
        <f t="shared" si="1"/>
        <v>#REF!</v>
      </c>
    </row>
    <row r="115">
      <c r="A115" t="s">
        <v>5726</v>
      </c>
      <c r="B115" s="254">
        <v>1600.0</v>
      </c>
      <c r="C115" s="287">
        <v>1.0</v>
      </c>
      <c r="D115" t="str">
        <f t="shared" si="5"/>
        <v>#REF!</v>
      </c>
      <c r="E115" t="str">
        <f t="shared" si="1"/>
        <v>#REF!</v>
      </c>
    </row>
    <row r="116">
      <c r="A116" t="s">
        <v>1063</v>
      </c>
      <c r="B116" s="254">
        <v>1600.0</v>
      </c>
      <c r="C116" s="287">
        <v>1.0</v>
      </c>
      <c r="D116" t="str">
        <f t="shared" si="5"/>
        <v>#REF!</v>
      </c>
      <c r="E116" t="str">
        <f t="shared" si="1"/>
        <v>#REF!</v>
      </c>
    </row>
    <row r="117">
      <c r="A117" t="s">
        <v>6122</v>
      </c>
      <c r="B117" s="254">
        <v>1600.0</v>
      </c>
      <c r="C117" s="287">
        <v>1.0</v>
      </c>
      <c r="D117" t="str">
        <f t="shared" si="5"/>
        <v>#REF!</v>
      </c>
      <c r="E117" t="str">
        <f t="shared" si="1"/>
        <v>#REF!</v>
      </c>
    </row>
    <row r="118">
      <c r="A118" t="s">
        <v>1065</v>
      </c>
      <c r="B118" s="254">
        <v>1800.0</v>
      </c>
      <c r="C118" s="256">
        <v>1.0</v>
      </c>
      <c r="D118" t="str">
        <f t="shared" si="5"/>
        <v>#REF!</v>
      </c>
      <c r="E118" t="str">
        <f t="shared" si="1"/>
        <v>#REF!</v>
      </c>
    </row>
    <row r="119">
      <c r="A119" t="s">
        <v>685</v>
      </c>
      <c r="B119" s="254">
        <v>1800.0</v>
      </c>
      <c r="C119" s="256">
        <v>2.0</v>
      </c>
      <c r="D119" t="str">
        <f t="shared" si="5"/>
        <v>#REF!</v>
      </c>
      <c r="E119" t="str">
        <f t="shared" si="1"/>
        <v>#REF!</v>
      </c>
    </row>
    <row r="120">
      <c r="A120" s="3" t="s">
        <v>686</v>
      </c>
      <c r="B120" s="254" t="e">
        <v>#N/A</v>
      </c>
      <c r="C120" s="256">
        <v>1.0</v>
      </c>
      <c r="D120" t="str">
        <f t="shared" si="5"/>
        <v>#REF!</v>
      </c>
      <c r="E120" t="str">
        <f t="shared" si="1"/>
        <v>#REF!</v>
      </c>
    </row>
    <row r="121">
      <c r="A121" t="s">
        <v>5762</v>
      </c>
      <c r="B121" s="254">
        <v>1600.0</v>
      </c>
      <c r="C121" s="287">
        <v>1.0</v>
      </c>
      <c r="D121" t="str">
        <f t="shared" si="5"/>
        <v>#REF!</v>
      </c>
      <c r="E121" t="str">
        <f t="shared" si="1"/>
        <v>#REF!</v>
      </c>
    </row>
    <row r="122">
      <c r="A122" t="s">
        <v>11492</v>
      </c>
      <c r="B122" s="254">
        <v>1800.0</v>
      </c>
      <c r="C122" s="256">
        <v>1.0</v>
      </c>
      <c r="D122" t="str">
        <f t="shared" si="5"/>
        <v>#REF!</v>
      </c>
      <c r="E122" t="str">
        <f t="shared" si="1"/>
        <v>#REF!</v>
      </c>
    </row>
    <row r="123">
      <c r="A123" s="3" t="s">
        <v>1067</v>
      </c>
      <c r="B123" s="254" t="e">
        <v>#N/A</v>
      </c>
      <c r="C123" s="256">
        <v>1.0</v>
      </c>
      <c r="D123" t="str">
        <f t="shared" si="5"/>
        <v>#REF!</v>
      </c>
      <c r="E123" t="str">
        <f t="shared" si="1"/>
        <v>#REF!</v>
      </c>
    </row>
    <row r="124">
      <c r="A124" t="s">
        <v>1068</v>
      </c>
      <c r="B124" s="254">
        <v>1800.0</v>
      </c>
      <c r="C124" s="256">
        <v>1.0</v>
      </c>
      <c r="D124" t="str">
        <f t="shared" si="5"/>
        <v>#REF!</v>
      </c>
      <c r="E124" t="str">
        <f t="shared" si="1"/>
        <v>#REF!</v>
      </c>
    </row>
    <row r="125">
      <c r="A125" t="s">
        <v>5765</v>
      </c>
      <c r="B125" s="254">
        <v>1600.0</v>
      </c>
      <c r="C125" s="287">
        <v>1.0</v>
      </c>
      <c r="D125" t="str">
        <f t="shared" si="5"/>
        <v>#REF!</v>
      </c>
      <c r="E125" t="str">
        <f t="shared" si="1"/>
        <v>#REF!</v>
      </c>
    </row>
    <row r="126">
      <c r="A126" s="3" t="s">
        <v>6104</v>
      </c>
      <c r="B126" s="254" t="e">
        <v>#N/A</v>
      </c>
      <c r="C126" s="256">
        <v>1.0</v>
      </c>
      <c r="D126" t="str">
        <f t="shared" si="5"/>
        <v>#REF!</v>
      </c>
      <c r="E126" t="str">
        <f t="shared" si="1"/>
        <v>#REF!</v>
      </c>
    </row>
    <row r="127">
      <c r="A127" t="s">
        <v>6123</v>
      </c>
      <c r="B127" s="254">
        <v>1600.0</v>
      </c>
      <c r="C127" s="287">
        <v>1.0</v>
      </c>
      <c r="D127" t="str">
        <f t="shared" si="5"/>
        <v>#REF!</v>
      </c>
      <c r="E127" t="str">
        <f t="shared" si="1"/>
        <v>#REF!</v>
      </c>
    </row>
    <row r="128">
      <c r="A128" t="s">
        <v>1070</v>
      </c>
      <c r="B128" s="254">
        <v>1600.0</v>
      </c>
      <c r="C128" s="287">
        <v>1.0</v>
      </c>
      <c r="D128" t="str">
        <f t="shared" si="5"/>
        <v>#REF!</v>
      </c>
      <c r="E128" t="str">
        <f t="shared" si="1"/>
        <v>#REF!</v>
      </c>
    </row>
    <row r="129">
      <c r="A129" t="s">
        <v>6105</v>
      </c>
      <c r="B129" s="254">
        <v>1800.0</v>
      </c>
      <c r="C129" s="256">
        <v>1.0</v>
      </c>
      <c r="D129" t="str">
        <f t="shared" si="5"/>
        <v>#REF!</v>
      </c>
      <c r="E129" t="str">
        <f t="shared" si="1"/>
        <v>#REF!</v>
      </c>
    </row>
    <row r="130">
      <c r="A130" t="s">
        <v>11493</v>
      </c>
      <c r="B130" s="254">
        <v>1800.0</v>
      </c>
      <c r="C130" s="256">
        <v>0.0</v>
      </c>
      <c r="D130" t="str">
        <f t="shared" si="5"/>
        <v>#REF!</v>
      </c>
      <c r="E130" t="str">
        <f t="shared" si="1"/>
        <v>#REF!</v>
      </c>
    </row>
    <row r="131">
      <c r="A131" t="s">
        <v>1073</v>
      </c>
      <c r="B131" s="254">
        <v>1600.0</v>
      </c>
      <c r="C131" s="287">
        <v>1.0</v>
      </c>
      <c r="D131" t="str">
        <f t="shared" si="5"/>
        <v>#REF!</v>
      </c>
      <c r="E131" t="str">
        <f t="shared" si="1"/>
        <v>#REF!</v>
      </c>
    </row>
    <row r="132">
      <c r="A132" t="s">
        <v>5767</v>
      </c>
      <c r="B132" s="254">
        <v>1800.0</v>
      </c>
      <c r="C132" s="256">
        <v>1.0</v>
      </c>
      <c r="D132" t="str">
        <f t="shared" si="5"/>
        <v>#REF!</v>
      </c>
      <c r="E132" t="str">
        <f t="shared" si="1"/>
        <v>#REF!</v>
      </c>
    </row>
    <row r="133">
      <c r="A133" t="s">
        <v>6106</v>
      </c>
      <c r="B133" s="254">
        <v>1800.0</v>
      </c>
      <c r="C133" s="256">
        <v>1.0</v>
      </c>
      <c r="D133" t="str">
        <f t="shared" si="5"/>
        <v>#REF!</v>
      </c>
      <c r="E133" t="str">
        <f t="shared" si="1"/>
        <v>#REF!</v>
      </c>
    </row>
    <row r="134">
      <c r="A134" t="s">
        <v>5744</v>
      </c>
      <c r="B134" s="254">
        <v>1600.0</v>
      </c>
      <c r="C134" s="287">
        <v>1.0</v>
      </c>
      <c r="D134" t="str">
        <f t="shared" si="5"/>
        <v>#REF!</v>
      </c>
      <c r="E134" t="str">
        <f t="shared" si="1"/>
        <v>#REF!</v>
      </c>
    </row>
    <row r="135">
      <c r="A135" t="s">
        <v>6126</v>
      </c>
      <c r="B135" s="254">
        <v>1600.0</v>
      </c>
      <c r="C135" s="287">
        <v>1.0</v>
      </c>
      <c r="D135" t="str">
        <f t="shared" si="5"/>
        <v>#REF!</v>
      </c>
      <c r="E135" t="str">
        <f t="shared" si="1"/>
        <v>#REF!</v>
      </c>
    </row>
    <row r="136">
      <c r="A136" s="3" t="s">
        <v>5727</v>
      </c>
      <c r="B136" s="254" t="e">
        <v>#N/A</v>
      </c>
      <c r="C136" s="256">
        <v>1.0</v>
      </c>
      <c r="D136" t="str">
        <f t="shared" si="5"/>
        <v>#REF!</v>
      </c>
      <c r="E136" t="str">
        <f t="shared" si="1"/>
        <v>#REF!</v>
      </c>
    </row>
    <row r="137">
      <c r="A137" t="s">
        <v>11494</v>
      </c>
      <c r="B137" s="254">
        <v>1800.0</v>
      </c>
      <c r="C137" s="256">
        <v>0.0</v>
      </c>
      <c r="D137" t="str">
        <f t="shared" si="5"/>
        <v>#REF!</v>
      </c>
      <c r="E137" t="str">
        <f t="shared" si="1"/>
        <v>#REF!</v>
      </c>
    </row>
    <row r="138">
      <c r="A138" t="s">
        <v>11495</v>
      </c>
      <c r="B138" s="254">
        <v>1800.0</v>
      </c>
      <c r="C138" s="256">
        <v>0.0</v>
      </c>
      <c r="D138" t="str">
        <f t="shared" si="5"/>
        <v>#REF!</v>
      </c>
      <c r="E138" t="str">
        <f t="shared" si="1"/>
        <v>#REF!</v>
      </c>
    </row>
    <row r="139">
      <c r="A139" t="s">
        <v>11496</v>
      </c>
      <c r="B139" s="254">
        <v>1800.0</v>
      </c>
      <c r="C139" s="256">
        <v>0.0</v>
      </c>
      <c r="D139" t="str">
        <f t="shared" si="5"/>
        <v>#REF!</v>
      </c>
      <c r="E139" t="str">
        <f t="shared" si="1"/>
        <v>#REF!</v>
      </c>
    </row>
    <row r="140">
      <c r="A140" t="s">
        <v>1077</v>
      </c>
      <c r="B140" s="254">
        <v>1800.0</v>
      </c>
      <c r="C140" s="256">
        <v>1.0</v>
      </c>
      <c r="D140" t="str">
        <f t="shared" si="5"/>
        <v>#REF!</v>
      </c>
      <c r="E140" t="str">
        <f t="shared" si="1"/>
        <v>#REF!</v>
      </c>
    </row>
    <row r="141">
      <c r="A141" t="s">
        <v>11497</v>
      </c>
      <c r="B141" s="254">
        <v>1800.0</v>
      </c>
      <c r="C141" s="256">
        <v>0.0</v>
      </c>
      <c r="D141" t="str">
        <f t="shared" si="5"/>
        <v>#REF!</v>
      </c>
      <c r="E141" t="str">
        <f t="shared" si="1"/>
        <v>#REF!</v>
      </c>
    </row>
    <row r="142">
      <c r="A142" t="s">
        <v>6107</v>
      </c>
      <c r="B142" s="254">
        <v>1800.0</v>
      </c>
      <c r="C142" s="256">
        <v>1.0</v>
      </c>
      <c r="D142" t="str">
        <f t="shared" si="5"/>
        <v>#REF!</v>
      </c>
      <c r="E142" t="str">
        <f t="shared" si="1"/>
        <v>#REF!</v>
      </c>
    </row>
    <row r="143">
      <c r="A143" t="s">
        <v>1078</v>
      </c>
      <c r="B143" s="254">
        <v>1800.0</v>
      </c>
      <c r="C143" s="256">
        <v>1.0</v>
      </c>
      <c r="D143" t="str">
        <f t="shared" si="5"/>
        <v>#REF!</v>
      </c>
      <c r="E143" t="str">
        <f t="shared" si="1"/>
        <v>#REF!</v>
      </c>
    </row>
    <row r="144">
      <c r="A144" t="s">
        <v>5761</v>
      </c>
      <c r="B144" s="254">
        <v>1800.0</v>
      </c>
      <c r="C144" s="256">
        <v>1.0</v>
      </c>
      <c r="D144" t="str">
        <f t="shared" si="5"/>
        <v>#REF!</v>
      </c>
      <c r="E144" t="str">
        <f t="shared" si="1"/>
        <v>#REF!</v>
      </c>
    </row>
    <row r="145">
      <c r="A145" t="s">
        <v>11498</v>
      </c>
      <c r="B145" s="254">
        <v>1800.0</v>
      </c>
      <c r="C145" s="256">
        <v>0.0</v>
      </c>
      <c r="D145" t="str">
        <f t="shared" si="5"/>
        <v>#REF!</v>
      </c>
      <c r="E145" t="str">
        <f t="shared" si="1"/>
        <v>#REF!</v>
      </c>
    </row>
    <row r="146">
      <c r="A146" t="s">
        <v>5745</v>
      </c>
      <c r="B146" s="254">
        <v>1800.0</v>
      </c>
      <c r="C146" s="256">
        <v>1.0</v>
      </c>
      <c r="D146" t="str">
        <f t="shared" si="5"/>
        <v>#REF!</v>
      </c>
      <c r="E146" t="str">
        <f t="shared" si="1"/>
        <v>#REF!</v>
      </c>
    </row>
    <row r="147">
      <c r="A147" t="s">
        <v>5738</v>
      </c>
      <c r="B147" s="254">
        <v>1800.0</v>
      </c>
      <c r="C147" s="256">
        <v>1.0</v>
      </c>
      <c r="D147" t="str">
        <f t="shared" si="5"/>
        <v>#REF!</v>
      </c>
      <c r="E147" t="str">
        <f t="shared" si="1"/>
        <v>#REF!</v>
      </c>
    </row>
    <row r="148">
      <c r="A148" t="s">
        <v>6137</v>
      </c>
      <c r="B148" s="254">
        <v>1600.0</v>
      </c>
      <c r="C148" s="287">
        <v>1.0</v>
      </c>
      <c r="D148" t="str">
        <f t="shared" si="5"/>
        <v>#REF!</v>
      </c>
      <c r="E148" t="str">
        <f t="shared" si="1"/>
        <v>#REF!</v>
      </c>
    </row>
    <row r="149">
      <c r="A149" s="3" t="s">
        <v>6108</v>
      </c>
      <c r="B149" s="254" t="e">
        <v>#N/A</v>
      </c>
      <c r="C149" s="256">
        <v>1.0</v>
      </c>
      <c r="D149" t="str">
        <f t="shared" si="5"/>
        <v>#REF!</v>
      </c>
      <c r="E149" t="str">
        <f t="shared" si="1"/>
        <v>#REF!</v>
      </c>
    </row>
    <row r="150">
      <c r="A150" t="s">
        <v>5766</v>
      </c>
      <c r="B150" s="254">
        <v>1800.0</v>
      </c>
      <c r="C150" s="256">
        <v>1.0</v>
      </c>
      <c r="D150" t="str">
        <f t="shared" si="5"/>
        <v>#REF!</v>
      </c>
      <c r="E150" t="str">
        <f t="shared" si="1"/>
        <v>#REF!</v>
      </c>
    </row>
    <row r="151">
      <c r="A151" t="s">
        <v>5766</v>
      </c>
      <c r="B151" s="254">
        <v>1800.0</v>
      </c>
      <c r="C151" s="287">
        <v>1.0</v>
      </c>
      <c r="D151" t="str">
        <f t="shared" si="5"/>
        <v>#REF!</v>
      </c>
      <c r="E151" t="str">
        <f t="shared" si="1"/>
        <v>#REF!</v>
      </c>
    </row>
    <row r="152">
      <c r="A152" t="s">
        <v>11499</v>
      </c>
      <c r="B152" s="254">
        <v>1800.0</v>
      </c>
      <c r="C152" s="256">
        <v>0.0</v>
      </c>
      <c r="D152" t="str">
        <f t="shared" si="5"/>
        <v>#REF!</v>
      </c>
      <c r="E152" t="str">
        <f t="shared" si="1"/>
        <v>#REF!</v>
      </c>
    </row>
    <row r="153">
      <c r="A153" t="s">
        <v>6124</v>
      </c>
      <c r="B153" s="254">
        <v>1600.0</v>
      </c>
      <c r="C153" s="287">
        <v>1.0</v>
      </c>
      <c r="D153" t="str">
        <f t="shared" si="5"/>
        <v>#REF!</v>
      </c>
      <c r="E153" t="str">
        <f t="shared" si="1"/>
        <v>#REF!</v>
      </c>
    </row>
    <row r="154">
      <c r="A154" t="s">
        <v>6125</v>
      </c>
      <c r="B154" s="254">
        <v>1600.0</v>
      </c>
      <c r="C154" s="287">
        <v>1.0</v>
      </c>
      <c r="D154" t="str">
        <f t="shared" si="5"/>
        <v>#REF!</v>
      </c>
      <c r="E154" t="str">
        <f t="shared" si="1"/>
        <v>#REF!</v>
      </c>
    </row>
    <row r="155">
      <c r="A155" t="s">
        <v>6134</v>
      </c>
      <c r="B155" s="254">
        <v>1600.0</v>
      </c>
      <c r="C155" s="287">
        <v>1.0</v>
      </c>
      <c r="D155" t="str">
        <f t="shared" si="5"/>
        <v>#REF!</v>
      </c>
      <c r="E155" t="str">
        <f t="shared" si="1"/>
        <v>#REF!</v>
      </c>
    </row>
    <row r="156">
      <c r="A156" t="s">
        <v>11500</v>
      </c>
      <c r="B156" s="254">
        <v>1800.0</v>
      </c>
      <c r="C156" s="256">
        <v>0.0</v>
      </c>
      <c r="D156" t="str">
        <f t="shared" si="5"/>
        <v>#REF!</v>
      </c>
      <c r="E156" t="str">
        <f t="shared" si="1"/>
        <v>#REF!</v>
      </c>
    </row>
    <row r="157">
      <c r="A157" t="s">
        <v>6109</v>
      </c>
      <c r="B157" s="254">
        <v>1800.0</v>
      </c>
      <c r="C157" s="256">
        <v>1.0</v>
      </c>
      <c r="D157" t="str">
        <f t="shared" si="5"/>
        <v>#REF!</v>
      </c>
      <c r="E157" t="str">
        <f t="shared" si="1"/>
        <v>#REF!</v>
      </c>
    </row>
    <row r="158">
      <c r="A158" t="s">
        <v>1072</v>
      </c>
      <c r="B158" s="254">
        <v>1600.0</v>
      </c>
      <c r="C158" s="287">
        <v>1.0</v>
      </c>
      <c r="D158" t="str">
        <f t="shared" si="5"/>
        <v>#REF!</v>
      </c>
      <c r="E158" t="str">
        <f t="shared" si="1"/>
        <v>#REF!</v>
      </c>
    </row>
    <row r="159">
      <c r="A159" t="s">
        <v>1080</v>
      </c>
      <c r="B159" s="254">
        <v>1800.0</v>
      </c>
      <c r="C159" s="256">
        <v>1.0</v>
      </c>
      <c r="D159" t="str">
        <f t="shared" si="5"/>
        <v>#REF!</v>
      </c>
      <c r="E159" t="str">
        <f t="shared" si="1"/>
        <v>#REF!</v>
      </c>
    </row>
    <row r="160">
      <c r="A160" t="s">
        <v>11501</v>
      </c>
      <c r="B160" s="254">
        <v>1800.0</v>
      </c>
      <c r="C160" s="256">
        <v>0.0</v>
      </c>
      <c r="D160" t="str">
        <f t="shared" si="5"/>
        <v>#REF!</v>
      </c>
      <c r="E160" t="str">
        <f t="shared" si="1"/>
        <v>#REF!</v>
      </c>
    </row>
    <row r="161">
      <c r="A161" t="s">
        <v>6032</v>
      </c>
      <c r="B161" s="254">
        <v>1800.0</v>
      </c>
      <c r="C161" s="256">
        <v>0.0</v>
      </c>
      <c r="D161" t="str">
        <f t="shared" si="5"/>
        <v>#REF!</v>
      </c>
      <c r="E161" t="str">
        <f t="shared" si="1"/>
        <v>#REF!</v>
      </c>
    </row>
    <row r="162">
      <c r="A162" t="s">
        <v>1083</v>
      </c>
      <c r="B162" s="254">
        <v>1800.0</v>
      </c>
      <c r="C162" s="256">
        <v>1.0</v>
      </c>
      <c r="D162" t="str">
        <f t="shared" si="5"/>
        <v>#REF!</v>
      </c>
      <c r="E162" t="str">
        <f t="shared" si="1"/>
        <v>#REF!</v>
      </c>
    </row>
    <row r="163">
      <c r="A163" t="s">
        <v>1085</v>
      </c>
      <c r="B163" s="254">
        <v>1800.0</v>
      </c>
      <c r="C163" s="256">
        <v>2.0</v>
      </c>
      <c r="D163" t="str">
        <f t="shared" si="5"/>
        <v>#REF!</v>
      </c>
      <c r="E163" t="str">
        <f t="shared" si="1"/>
        <v>#REF!</v>
      </c>
    </row>
    <row r="164">
      <c r="A164" t="s">
        <v>11502</v>
      </c>
      <c r="B164" s="254">
        <v>1800.0</v>
      </c>
      <c r="C164" s="256">
        <v>0.0</v>
      </c>
      <c r="D164" t="str">
        <f t="shared" si="5"/>
        <v>#REF!</v>
      </c>
      <c r="E164" t="str">
        <f t="shared" si="1"/>
        <v>#REF!</v>
      </c>
    </row>
    <row r="165">
      <c r="A165" t="s">
        <v>5739</v>
      </c>
      <c r="B165" s="254">
        <v>1600.0</v>
      </c>
      <c r="C165" s="287">
        <v>0.0</v>
      </c>
      <c r="D165" t="str">
        <f t="shared" si="5"/>
        <v>#REF!</v>
      </c>
      <c r="E165" t="str">
        <f t="shared" si="1"/>
        <v>#REF!</v>
      </c>
    </row>
    <row r="166">
      <c r="A166" t="s">
        <v>6136</v>
      </c>
      <c r="B166" s="254">
        <v>1800.0</v>
      </c>
      <c r="C166" s="256">
        <v>0.0</v>
      </c>
      <c r="D166" t="str">
        <f t="shared" si="5"/>
        <v>#REF!</v>
      </c>
      <c r="E166" t="str">
        <f t="shared" si="1"/>
        <v>#REF!</v>
      </c>
    </row>
    <row r="167">
      <c r="A167" t="s">
        <v>6136</v>
      </c>
      <c r="B167" s="254">
        <v>1800.0</v>
      </c>
      <c r="C167" s="287">
        <v>1.0</v>
      </c>
      <c r="D167" t="str">
        <f t="shared" si="5"/>
        <v>#REF!</v>
      </c>
      <c r="E167" t="str">
        <f t="shared" si="1"/>
        <v>#REF!</v>
      </c>
    </row>
    <row r="168">
      <c r="A168" t="s">
        <v>6135</v>
      </c>
      <c r="B168" s="254">
        <v>1600.0</v>
      </c>
      <c r="C168" s="287">
        <v>1.0</v>
      </c>
      <c r="D168" t="str">
        <f t="shared" si="5"/>
        <v>#REF!</v>
      </c>
      <c r="E168" t="str">
        <f t="shared" si="1"/>
        <v>#REF!</v>
      </c>
    </row>
    <row r="169">
      <c r="A169" t="s">
        <v>6110</v>
      </c>
      <c r="B169" s="254">
        <v>1800.0</v>
      </c>
      <c r="C169" s="256">
        <v>1.0</v>
      </c>
      <c r="D169" t="str">
        <f t="shared" si="5"/>
        <v>#REF!</v>
      </c>
      <c r="E169" t="str">
        <f t="shared" si="1"/>
        <v>#REF!</v>
      </c>
    </row>
    <row r="170">
      <c r="A170" t="s">
        <v>6111</v>
      </c>
      <c r="B170" s="254">
        <v>1800.0</v>
      </c>
      <c r="C170" s="256">
        <v>2.0</v>
      </c>
      <c r="D170" t="str">
        <f t="shared" si="5"/>
        <v>#REF!</v>
      </c>
      <c r="E170" t="str">
        <f t="shared" si="1"/>
        <v>#REF!</v>
      </c>
    </row>
    <row r="171">
      <c r="A171" t="s">
        <v>1091</v>
      </c>
      <c r="B171" s="254">
        <v>1800.0</v>
      </c>
      <c r="C171" s="256">
        <v>1.0</v>
      </c>
      <c r="D171" t="str">
        <f t="shared" si="5"/>
        <v>#REF!</v>
      </c>
      <c r="E171" t="str">
        <f t="shared" si="1"/>
        <v>#REF!</v>
      </c>
    </row>
    <row r="172">
      <c r="A172" t="s">
        <v>6133</v>
      </c>
      <c r="B172" s="254">
        <v>1600.0</v>
      </c>
      <c r="C172" s="287">
        <v>1.0</v>
      </c>
      <c r="D172" t="str">
        <f t="shared" si="5"/>
        <v>#REF!</v>
      </c>
      <c r="E172" t="str">
        <f t="shared" si="1"/>
        <v>#REF!</v>
      </c>
    </row>
    <row r="173">
      <c r="A173" t="s">
        <v>6128</v>
      </c>
      <c r="B173" s="254">
        <v>1600.0</v>
      </c>
      <c r="C173" s="287">
        <v>1.0</v>
      </c>
      <c r="D173" t="str">
        <f t="shared" si="5"/>
        <v>#REF!</v>
      </c>
      <c r="E173" t="str">
        <f t="shared" si="1"/>
        <v>#REF!</v>
      </c>
    </row>
    <row r="174">
      <c r="A174" t="s">
        <v>6132</v>
      </c>
      <c r="B174" s="254">
        <v>1600.0</v>
      </c>
      <c r="C174" s="287">
        <v>1.0</v>
      </c>
      <c r="D174" t="str">
        <f t="shared" si="5"/>
        <v>#REF!</v>
      </c>
      <c r="E174" t="str">
        <f t="shared" si="1"/>
        <v>#REF!</v>
      </c>
    </row>
    <row r="175">
      <c r="A175" t="s">
        <v>6112</v>
      </c>
      <c r="B175" s="254">
        <v>1800.0</v>
      </c>
      <c r="C175" s="256">
        <v>2.0</v>
      </c>
      <c r="D175" t="str">
        <f t="shared" si="5"/>
        <v>#REF!</v>
      </c>
      <c r="E175" t="str">
        <f t="shared" si="1"/>
        <v>#REF!</v>
      </c>
    </row>
    <row r="176">
      <c r="A176" s="3" t="s">
        <v>6113</v>
      </c>
      <c r="B176" s="254" t="e">
        <v>#N/A</v>
      </c>
      <c r="C176" s="256">
        <v>2.0</v>
      </c>
      <c r="D176" t="str">
        <f t="shared" si="5"/>
        <v>#REF!</v>
      </c>
      <c r="E176" t="str">
        <f t="shared" si="1"/>
        <v>#REF!</v>
      </c>
    </row>
    <row r="177">
      <c r="A177" t="s">
        <v>6114</v>
      </c>
      <c r="B177" s="254">
        <v>1800.0</v>
      </c>
      <c r="C177" s="256">
        <v>1.0</v>
      </c>
      <c r="D177" t="str">
        <f t="shared" si="5"/>
        <v>#REF!</v>
      </c>
      <c r="E177" t="str">
        <f t="shared" si="1"/>
        <v>#REF!</v>
      </c>
    </row>
    <row r="178">
      <c r="A178" t="s">
        <v>11503</v>
      </c>
      <c r="B178" s="254">
        <v>1800.0</v>
      </c>
      <c r="C178" s="256">
        <v>0.0</v>
      </c>
      <c r="D178" t="str">
        <f t="shared" si="5"/>
        <v>#REF!</v>
      </c>
      <c r="E178" t="str">
        <f t="shared" si="1"/>
        <v>#REF!</v>
      </c>
    </row>
    <row r="179">
      <c r="A179" t="s">
        <v>6129</v>
      </c>
      <c r="B179" s="254">
        <v>1600.0</v>
      </c>
      <c r="C179" s="287">
        <v>1.0</v>
      </c>
      <c r="D179" t="str">
        <f t="shared" si="5"/>
        <v>#REF!</v>
      </c>
      <c r="E179" t="str">
        <f t="shared" si="1"/>
        <v>#REF!</v>
      </c>
    </row>
    <row r="180">
      <c r="A180" t="s">
        <v>11504</v>
      </c>
      <c r="B180" s="254">
        <v>1800.0</v>
      </c>
      <c r="C180" s="256">
        <v>0.0</v>
      </c>
      <c r="D180" t="str">
        <f t="shared" si="5"/>
        <v>#REF!</v>
      </c>
      <c r="E180" t="str">
        <f t="shared" si="1"/>
        <v>#REF!</v>
      </c>
    </row>
    <row r="181">
      <c r="A181" t="s">
        <v>11504</v>
      </c>
      <c r="B181" s="254">
        <v>1800.0</v>
      </c>
      <c r="C181" s="256">
        <v>0.0</v>
      </c>
      <c r="D181" t="str">
        <f t="shared" si="5"/>
        <v>#REF!</v>
      </c>
      <c r="E181" t="str">
        <f t="shared" si="1"/>
        <v>#REF!</v>
      </c>
    </row>
    <row r="182">
      <c r="A182" t="s">
        <v>11505</v>
      </c>
      <c r="B182" s="254">
        <v>1800.0</v>
      </c>
      <c r="C182" s="256">
        <v>0.0</v>
      </c>
      <c r="D182" t="str">
        <f t="shared" si="5"/>
        <v>#REF!</v>
      </c>
      <c r="E182" t="str">
        <f t="shared" si="1"/>
        <v>#REF!</v>
      </c>
    </row>
    <row r="183">
      <c r="A183" t="s">
        <v>6115</v>
      </c>
      <c r="B183" s="254">
        <v>1800.0</v>
      </c>
      <c r="C183" s="256">
        <v>1.0</v>
      </c>
      <c r="D183" t="str">
        <f t="shared" si="5"/>
        <v>#REF!</v>
      </c>
      <c r="E183" t="str">
        <f t="shared" si="1"/>
        <v>#REF!</v>
      </c>
    </row>
    <row r="184">
      <c r="A184" t="s">
        <v>1119</v>
      </c>
      <c r="B184" s="254">
        <v>1800.0</v>
      </c>
      <c r="C184" s="256">
        <v>1.0</v>
      </c>
      <c r="D184" t="str">
        <f t="shared" si="5"/>
        <v>#REF!</v>
      </c>
      <c r="E184" t="str">
        <f t="shared" si="1"/>
        <v>#REF!</v>
      </c>
    </row>
    <row r="185">
      <c r="A185" t="s">
        <v>1165</v>
      </c>
      <c r="B185" s="254">
        <v>1800.0</v>
      </c>
      <c r="C185" s="256">
        <v>1.0</v>
      </c>
      <c r="D185" t="str">
        <f t="shared" si="5"/>
        <v>#REF!</v>
      </c>
      <c r="E185" t="str">
        <f t="shared" si="1"/>
        <v>#REF!</v>
      </c>
    </row>
    <row r="186">
      <c r="A186" t="s">
        <v>1177</v>
      </c>
      <c r="B186" s="254">
        <v>1600.0</v>
      </c>
      <c r="C186" s="287">
        <v>1.0</v>
      </c>
      <c r="D186" t="str">
        <f t="shared" si="5"/>
        <v>#REF!</v>
      </c>
      <c r="E186" t="str">
        <f t="shared" si="1"/>
        <v>#REF!</v>
      </c>
    </row>
    <row r="187">
      <c r="A187" t="s">
        <v>6127</v>
      </c>
      <c r="B187" s="254">
        <v>1600.0</v>
      </c>
      <c r="C187" s="287">
        <v>1.0</v>
      </c>
      <c r="D187" t="str">
        <f t="shared" si="5"/>
        <v>#REF!</v>
      </c>
      <c r="E187" t="str">
        <f t="shared" si="1"/>
        <v>#REF!</v>
      </c>
    </row>
    <row r="188">
      <c r="A188" t="s">
        <v>5728</v>
      </c>
      <c r="B188" s="254">
        <v>1600.0</v>
      </c>
      <c r="C188" s="287">
        <v>1.0</v>
      </c>
      <c r="D188" t="str">
        <f t="shared" si="5"/>
        <v>#REF!</v>
      </c>
      <c r="E188" t="str">
        <f t="shared" si="1"/>
        <v>#REF!</v>
      </c>
    </row>
    <row r="189">
      <c r="A189" t="s">
        <v>5732</v>
      </c>
      <c r="B189" s="254">
        <v>1600.0</v>
      </c>
      <c r="C189" s="287">
        <v>1.0</v>
      </c>
      <c r="D189" t="str">
        <f t="shared" si="5"/>
        <v>#REF!</v>
      </c>
      <c r="E189" t="str">
        <f t="shared" si="1"/>
        <v>#REF!</v>
      </c>
    </row>
    <row r="190">
      <c r="A190" t="s">
        <v>5255</v>
      </c>
      <c r="B190" s="254">
        <v>11000.0</v>
      </c>
      <c r="C190" s="256">
        <v>1.0</v>
      </c>
      <c r="D190" t="str">
        <f t="shared" si="5"/>
        <v>#REF!</v>
      </c>
      <c r="E190" t="str">
        <f t="shared" si="1"/>
        <v>#REF!</v>
      </c>
    </row>
    <row r="191">
      <c r="A191" t="s">
        <v>5261</v>
      </c>
      <c r="B191" s="254">
        <v>10500.0</v>
      </c>
      <c r="C191" s="254">
        <v>0.0</v>
      </c>
      <c r="D191" t="str">
        <f t="shared" si="5"/>
        <v>#REF!</v>
      </c>
      <c r="E191" t="str">
        <f t="shared" si="1"/>
        <v>#REF!</v>
      </c>
    </row>
    <row r="192">
      <c r="A192" t="s">
        <v>5266</v>
      </c>
      <c r="B192" s="254">
        <v>7500.0</v>
      </c>
      <c r="C192" s="256">
        <v>1.0</v>
      </c>
      <c r="D192" t="str">
        <f t="shared" si="5"/>
        <v>#REF!</v>
      </c>
      <c r="E192" t="str">
        <f t="shared" si="1"/>
        <v>#REF!</v>
      </c>
    </row>
    <row r="193">
      <c r="A193" t="s">
        <v>5269</v>
      </c>
      <c r="B193" s="254">
        <v>9000.0</v>
      </c>
      <c r="C193" s="256">
        <v>1.0</v>
      </c>
      <c r="D193" t="str">
        <f t="shared" si="5"/>
        <v>#REF!</v>
      </c>
      <c r="E193" t="str">
        <f t="shared" si="1"/>
        <v>#REF!</v>
      </c>
    </row>
    <row r="194">
      <c r="A194" t="s">
        <v>11506</v>
      </c>
      <c r="B194" s="254">
        <v>8500.0</v>
      </c>
      <c r="C194" s="256">
        <v>0.0</v>
      </c>
      <c r="D194" t="str">
        <f t="shared" si="5"/>
        <v>#REF!</v>
      </c>
      <c r="E194" t="str">
        <f t="shared" si="1"/>
        <v>#REF!</v>
      </c>
    </row>
    <row r="195">
      <c r="A195" t="s">
        <v>5249</v>
      </c>
      <c r="B195" s="254">
        <v>10000.0</v>
      </c>
      <c r="C195" s="254">
        <v>0.0</v>
      </c>
      <c r="D195" t="str">
        <f t="shared" si="5"/>
        <v>#REF!</v>
      </c>
      <c r="E195" t="str">
        <f t="shared" si="1"/>
        <v>#REF!</v>
      </c>
    </row>
    <row r="196">
      <c r="A196" t="s">
        <v>11507</v>
      </c>
      <c r="B196" s="254">
        <v>13000.0</v>
      </c>
      <c r="C196" s="256">
        <v>0.0</v>
      </c>
      <c r="D196" t="str">
        <f t="shared" si="5"/>
        <v>#REF!</v>
      </c>
      <c r="E196" t="str">
        <f t="shared" si="1"/>
        <v>#REF!</v>
      </c>
    </row>
    <row r="197">
      <c r="A197" t="s">
        <v>5264</v>
      </c>
      <c r="B197" s="254">
        <v>12000.0</v>
      </c>
      <c r="C197" s="256">
        <v>0.0</v>
      </c>
      <c r="D197" t="str">
        <f t="shared" si="5"/>
        <v>#REF!</v>
      </c>
      <c r="E197" t="str">
        <f t="shared" si="1"/>
        <v>#REF!</v>
      </c>
    </row>
    <row r="198">
      <c r="A198" t="s">
        <v>11508</v>
      </c>
      <c r="B198" s="254">
        <v>10000.0</v>
      </c>
      <c r="C198" s="256">
        <v>0.0</v>
      </c>
      <c r="D198" t="str">
        <f t="shared" si="5"/>
        <v>#REF!</v>
      </c>
      <c r="E198" t="str">
        <f t="shared" si="1"/>
        <v>#REF!</v>
      </c>
    </row>
    <row r="199">
      <c r="A199" t="s">
        <v>11509</v>
      </c>
      <c r="B199" s="254">
        <v>10000.0</v>
      </c>
      <c r="C199" s="256">
        <v>0.0</v>
      </c>
      <c r="D199" t="str">
        <f t="shared" si="5"/>
        <v>#REF!</v>
      </c>
      <c r="E199" t="str">
        <f t="shared" si="1"/>
        <v>#REF!</v>
      </c>
    </row>
    <row r="200">
      <c r="A200" t="s">
        <v>11510</v>
      </c>
      <c r="B200" s="254">
        <v>7500.0</v>
      </c>
      <c r="C200" s="256">
        <v>0.0</v>
      </c>
      <c r="D200" t="str">
        <f t="shared" si="5"/>
        <v>#REF!</v>
      </c>
      <c r="E200" t="str">
        <f t="shared" si="1"/>
        <v>#REF!</v>
      </c>
    </row>
    <row r="201">
      <c r="A201" t="s">
        <v>11511</v>
      </c>
      <c r="B201" s="254">
        <v>7500.0</v>
      </c>
      <c r="C201" s="256">
        <v>0.0</v>
      </c>
      <c r="D201" t="str">
        <f t="shared" si="5"/>
        <v>#REF!</v>
      </c>
      <c r="E201" t="str">
        <f t="shared" si="1"/>
        <v>#REF!</v>
      </c>
    </row>
    <row r="202">
      <c r="A202" t="s">
        <v>11512</v>
      </c>
      <c r="B202" s="254">
        <v>11500.0</v>
      </c>
      <c r="C202" s="256">
        <v>0.0</v>
      </c>
      <c r="D202" t="str">
        <f t="shared" si="5"/>
        <v>#REF!</v>
      </c>
      <c r="E202" t="str">
        <f t="shared" si="1"/>
        <v>#REF!</v>
      </c>
    </row>
    <row r="203">
      <c r="A203" t="s">
        <v>5257</v>
      </c>
      <c r="B203" s="254">
        <v>8500.0</v>
      </c>
      <c r="C203" s="256">
        <v>0.0</v>
      </c>
      <c r="D203" t="str">
        <f t="shared" si="5"/>
        <v>#REF!</v>
      </c>
      <c r="E203" t="str">
        <f t="shared" si="1"/>
        <v>#REF!</v>
      </c>
    </row>
    <row r="204">
      <c r="A204" t="s">
        <v>11513</v>
      </c>
      <c r="B204" s="254">
        <v>11000.0</v>
      </c>
      <c r="C204" s="256">
        <v>0.0</v>
      </c>
      <c r="D204" t="str">
        <f t="shared" si="5"/>
        <v>#REF!</v>
      </c>
      <c r="E204" t="str">
        <f t="shared" si="1"/>
        <v>#REF!</v>
      </c>
    </row>
    <row r="205">
      <c r="A205" t="s">
        <v>5256</v>
      </c>
      <c r="B205" s="254">
        <v>9500.0</v>
      </c>
      <c r="C205" s="256">
        <v>1.0</v>
      </c>
      <c r="D205" t="str">
        <f t="shared" si="5"/>
        <v>#REF!</v>
      </c>
      <c r="E205" t="str">
        <f t="shared" si="1"/>
        <v>#REF!</v>
      </c>
    </row>
    <row r="206">
      <c r="A206" t="s">
        <v>5251</v>
      </c>
      <c r="B206" s="254">
        <v>11900.0</v>
      </c>
      <c r="C206" s="256">
        <v>0.0</v>
      </c>
      <c r="D206" t="str">
        <f t="shared" si="5"/>
        <v>#REF!</v>
      </c>
      <c r="E206" t="str">
        <f t="shared" si="1"/>
        <v>#REF!</v>
      </c>
    </row>
    <row r="207">
      <c r="A207" t="s">
        <v>11514</v>
      </c>
      <c r="B207" s="254">
        <v>10500.0</v>
      </c>
      <c r="C207" s="256">
        <v>0.0</v>
      </c>
      <c r="D207" t="str">
        <f t="shared" si="5"/>
        <v>#REF!</v>
      </c>
      <c r="E207" t="str">
        <f t="shared" si="1"/>
        <v>#REF!</v>
      </c>
    </row>
    <row r="208">
      <c r="A208" t="s">
        <v>5259</v>
      </c>
      <c r="B208" s="254">
        <v>11000.0</v>
      </c>
      <c r="C208" s="256">
        <v>1.0</v>
      </c>
      <c r="D208" t="str">
        <f t="shared" si="5"/>
        <v>#REF!</v>
      </c>
      <c r="E208" t="str">
        <f t="shared" si="1"/>
        <v>#REF!</v>
      </c>
    </row>
    <row r="209">
      <c r="A209" t="s">
        <v>5275</v>
      </c>
      <c r="B209" s="254">
        <v>10500.0</v>
      </c>
      <c r="C209" s="254">
        <v>0.0</v>
      </c>
      <c r="D209" t="str">
        <f t="shared" si="5"/>
        <v>#REF!</v>
      </c>
      <c r="E209" t="str">
        <f t="shared" si="1"/>
        <v>#REF!</v>
      </c>
    </row>
    <row r="210">
      <c r="A210" t="s">
        <v>5247</v>
      </c>
      <c r="B210" s="254">
        <v>10500.0</v>
      </c>
      <c r="C210" s="254">
        <v>0.0</v>
      </c>
      <c r="D210" t="str">
        <f t="shared" si="5"/>
        <v>#REF!</v>
      </c>
      <c r="E210" t="str">
        <f t="shared" si="1"/>
        <v>#REF!</v>
      </c>
    </row>
    <row r="211">
      <c r="A211" t="s">
        <v>5248</v>
      </c>
      <c r="B211" s="254">
        <v>7500.0</v>
      </c>
      <c r="C211" s="256">
        <v>0.0</v>
      </c>
      <c r="D211" t="str">
        <f t="shared" si="5"/>
        <v>#REF!</v>
      </c>
      <c r="E211" t="str">
        <f t="shared" si="1"/>
        <v>#REF!</v>
      </c>
    </row>
    <row r="212">
      <c r="A212" t="s">
        <v>5254</v>
      </c>
      <c r="B212" s="254">
        <v>11500.0</v>
      </c>
      <c r="C212" s="256">
        <v>1.0</v>
      </c>
      <c r="D212" t="str">
        <f t="shared" si="5"/>
        <v>#REF!</v>
      </c>
      <c r="E212" t="str">
        <f t="shared" si="1"/>
        <v>#REF!</v>
      </c>
    </row>
    <row r="213">
      <c r="A213" t="s">
        <v>5272</v>
      </c>
      <c r="B213" s="254">
        <v>8500.0</v>
      </c>
      <c r="C213" s="254">
        <v>0.0</v>
      </c>
      <c r="D213" t="str">
        <f t="shared" si="5"/>
        <v>#REF!</v>
      </c>
      <c r="E213" t="str">
        <f t="shared" si="1"/>
        <v>#REF!</v>
      </c>
    </row>
    <row r="214">
      <c r="A214" t="s">
        <v>11515</v>
      </c>
      <c r="B214" s="254">
        <v>10500.0</v>
      </c>
      <c r="C214" s="256">
        <v>0.0</v>
      </c>
      <c r="D214" t="str">
        <f t="shared" si="5"/>
        <v>#REF!</v>
      </c>
      <c r="E214" t="str">
        <f t="shared" si="1"/>
        <v>#REF!</v>
      </c>
    </row>
    <row r="215">
      <c r="A215" t="s">
        <v>11516</v>
      </c>
      <c r="B215" s="254">
        <v>9000.0</v>
      </c>
      <c r="C215" s="256">
        <v>0.0</v>
      </c>
      <c r="D215" t="str">
        <f t="shared" si="5"/>
        <v>#REF!</v>
      </c>
      <c r="E215" t="str">
        <f t="shared" si="1"/>
        <v>#REF!</v>
      </c>
    </row>
    <row r="216">
      <c r="A216" t="s">
        <v>5265</v>
      </c>
      <c r="B216" s="254">
        <v>9000.0</v>
      </c>
      <c r="C216" s="254">
        <v>0.0</v>
      </c>
      <c r="D216" t="str">
        <f t="shared" si="5"/>
        <v>#REF!</v>
      </c>
      <c r="E216" t="str">
        <f t="shared" si="1"/>
        <v>#REF!</v>
      </c>
    </row>
    <row r="217">
      <c r="A217" t="s">
        <v>5250</v>
      </c>
      <c r="B217" s="254">
        <v>8500.0</v>
      </c>
      <c r="C217" s="256">
        <v>0.0</v>
      </c>
      <c r="D217" t="str">
        <f t="shared" si="5"/>
        <v>#REF!</v>
      </c>
      <c r="E217" t="str">
        <f t="shared" si="1"/>
        <v>#REF!</v>
      </c>
    </row>
    <row r="218">
      <c r="A218" t="s">
        <v>5253</v>
      </c>
      <c r="B218" s="254">
        <v>8500.0</v>
      </c>
      <c r="C218" s="256">
        <v>0.0</v>
      </c>
      <c r="D218" t="str">
        <f t="shared" si="5"/>
        <v>#REF!</v>
      </c>
      <c r="E218" t="str">
        <f t="shared" si="1"/>
        <v>#REF!</v>
      </c>
    </row>
    <row r="219">
      <c r="A219" t="s">
        <v>11517</v>
      </c>
      <c r="B219" s="254">
        <v>10500.0</v>
      </c>
      <c r="C219" s="256">
        <v>0.0</v>
      </c>
      <c r="D219" t="str">
        <f t="shared" si="5"/>
        <v>#REF!</v>
      </c>
      <c r="E219" t="str">
        <f t="shared" si="1"/>
        <v>#REF!</v>
      </c>
    </row>
    <row r="220">
      <c r="A220" t="s">
        <v>11518</v>
      </c>
      <c r="B220" s="254">
        <v>11290.0</v>
      </c>
      <c r="C220" s="256">
        <v>0.0</v>
      </c>
      <c r="D220" t="str">
        <f t="shared" si="5"/>
        <v>#REF!</v>
      </c>
      <c r="E220" t="str">
        <f t="shared" si="1"/>
        <v>#REF!</v>
      </c>
    </row>
    <row r="221">
      <c r="A221" t="s">
        <v>11519</v>
      </c>
      <c r="B221" s="254">
        <v>10500.0</v>
      </c>
      <c r="C221" s="256">
        <v>0.0</v>
      </c>
      <c r="D221" t="str">
        <f t="shared" si="5"/>
        <v>#REF!</v>
      </c>
      <c r="E221" t="str">
        <f t="shared" si="1"/>
        <v>#REF!</v>
      </c>
    </row>
    <row r="222">
      <c r="A222" t="s">
        <v>11520</v>
      </c>
      <c r="B222" s="254">
        <v>10500.0</v>
      </c>
      <c r="C222" s="256">
        <v>0.0</v>
      </c>
      <c r="D222" t="str">
        <f t="shared" si="5"/>
        <v>#REF!</v>
      </c>
      <c r="E222" t="str">
        <f t="shared" si="1"/>
        <v>#REF!</v>
      </c>
    </row>
    <row r="223">
      <c r="A223" t="s">
        <v>11521</v>
      </c>
      <c r="B223" s="254">
        <v>10290.0</v>
      </c>
      <c r="C223" s="256">
        <v>0.0</v>
      </c>
      <c r="D223" t="str">
        <f t="shared" si="5"/>
        <v>#REF!</v>
      </c>
      <c r="E223" t="str">
        <f t="shared" si="1"/>
        <v>#REF!</v>
      </c>
    </row>
    <row r="224">
      <c r="A224" t="s">
        <v>11522</v>
      </c>
      <c r="B224" s="254">
        <v>14000.0</v>
      </c>
      <c r="C224" s="256">
        <v>0.0</v>
      </c>
      <c r="D224" t="str">
        <f t="shared" si="5"/>
        <v>#REF!</v>
      </c>
      <c r="E224" t="str">
        <f t="shared" si="1"/>
        <v>#REF!</v>
      </c>
    </row>
    <row r="225">
      <c r="A225" t="s">
        <v>5267</v>
      </c>
      <c r="B225" s="254">
        <v>13000.0</v>
      </c>
      <c r="C225" s="256">
        <v>0.0</v>
      </c>
      <c r="D225" t="str">
        <f t="shared" si="5"/>
        <v>#REF!</v>
      </c>
      <c r="E225" t="str">
        <f t="shared" si="1"/>
        <v>#REF!</v>
      </c>
    </row>
    <row r="226">
      <c r="A226" t="s">
        <v>11523</v>
      </c>
      <c r="B226" s="254">
        <v>13000.0</v>
      </c>
      <c r="C226" s="256">
        <v>0.0</v>
      </c>
      <c r="D226" t="str">
        <f t="shared" si="5"/>
        <v>#REF!</v>
      </c>
      <c r="E226" t="str">
        <f t="shared" si="1"/>
        <v>#REF!</v>
      </c>
    </row>
    <row r="227">
      <c r="A227" t="s">
        <v>5258</v>
      </c>
      <c r="B227" s="254">
        <v>11500.0</v>
      </c>
      <c r="C227" s="256">
        <v>0.0</v>
      </c>
      <c r="D227" t="str">
        <f t="shared" si="5"/>
        <v>#REF!</v>
      </c>
      <c r="E227" t="str">
        <f t="shared" si="1"/>
        <v>#REF!</v>
      </c>
    </row>
    <row r="228">
      <c r="A228" t="s">
        <v>11524</v>
      </c>
      <c r="B228" s="254">
        <v>13000.0</v>
      </c>
      <c r="C228" s="256">
        <v>0.0</v>
      </c>
      <c r="D228" t="str">
        <f t="shared" si="5"/>
        <v>#REF!</v>
      </c>
      <c r="E228" t="str">
        <f t="shared" si="1"/>
        <v>#REF!</v>
      </c>
    </row>
    <row r="229">
      <c r="A229" t="s">
        <v>11525</v>
      </c>
      <c r="B229" s="254">
        <v>9000.0</v>
      </c>
      <c r="C229" s="256">
        <v>0.0</v>
      </c>
      <c r="D229" t="str">
        <f t="shared" si="5"/>
        <v>#REF!</v>
      </c>
      <c r="E229" t="str">
        <f t="shared" si="1"/>
        <v>#REF!</v>
      </c>
    </row>
    <row r="230">
      <c r="A230" t="s">
        <v>11526</v>
      </c>
      <c r="B230" s="254">
        <v>9000.0</v>
      </c>
      <c r="C230" s="256">
        <v>0.0</v>
      </c>
      <c r="D230" t="str">
        <f t="shared" si="5"/>
        <v>#REF!</v>
      </c>
      <c r="E230" t="str">
        <f t="shared" si="1"/>
        <v>#REF!</v>
      </c>
    </row>
    <row r="231">
      <c r="A231" t="s">
        <v>5270</v>
      </c>
      <c r="B231" s="254">
        <v>12500.0</v>
      </c>
      <c r="C231" s="256">
        <v>0.0</v>
      </c>
      <c r="D231" t="str">
        <f t="shared" si="5"/>
        <v>#REF!</v>
      </c>
      <c r="E231" t="str">
        <f t="shared" si="1"/>
        <v>#REF!</v>
      </c>
    </row>
    <row r="232">
      <c r="A232" t="s">
        <v>5245</v>
      </c>
      <c r="B232" s="254">
        <v>10500.0</v>
      </c>
      <c r="C232" s="256">
        <v>0.0</v>
      </c>
      <c r="D232" t="str">
        <f t="shared" si="5"/>
        <v>#REF!</v>
      </c>
      <c r="E232" t="str">
        <f t="shared" si="1"/>
        <v>#REF!</v>
      </c>
    </row>
    <row r="233">
      <c r="A233" t="s">
        <v>5276</v>
      </c>
      <c r="B233" s="254">
        <v>8500.0</v>
      </c>
      <c r="C233" s="256">
        <v>0.0</v>
      </c>
      <c r="D233" t="str">
        <f t="shared" si="5"/>
        <v>#REF!</v>
      </c>
      <c r="E233" t="str">
        <f t="shared" si="1"/>
        <v>#REF!</v>
      </c>
    </row>
    <row r="234">
      <c r="A234" t="s">
        <v>5273</v>
      </c>
      <c r="B234" s="254">
        <v>8500.0</v>
      </c>
      <c r="C234" s="256">
        <v>0.0</v>
      </c>
      <c r="D234" t="str">
        <f t="shared" si="5"/>
        <v>#REF!</v>
      </c>
      <c r="E234" t="str">
        <f t="shared" si="1"/>
        <v>#REF!</v>
      </c>
    </row>
    <row r="235">
      <c r="A235" t="s">
        <v>5271</v>
      </c>
      <c r="B235" s="254">
        <v>10000.0</v>
      </c>
      <c r="C235" s="256">
        <v>0.0</v>
      </c>
      <c r="D235" t="str">
        <f t="shared" si="5"/>
        <v>#REF!</v>
      </c>
      <c r="E235" t="str">
        <f t="shared" si="1"/>
        <v>#REF!</v>
      </c>
    </row>
    <row r="236">
      <c r="A236" t="s">
        <v>5263</v>
      </c>
      <c r="B236" s="254">
        <v>10000.0</v>
      </c>
      <c r="C236" s="256">
        <v>0.0</v>
      </c>
      <c r="D236" t="str">
        <f t="shared" si="5"/>
        <v>#REF!</v>
      </c>
      <c r="E236" t="str">
        <f t="shared" si="1"/>
        <v>#REF!</v>
      </c>
    </row>
    <row r="237">
      <c r="A237" t="s">
        <v>11527</v>
      </c>
      <c r="B237" s="254">
        <v>10000.0</v>
      </c>
      <c r="C237" s="256">
        <v>0.0</v>
      </c>
      <c r="D237" t="str">
        <f t="shared" si="5"/>
        <v>#REF!</v>
      </c>
      <c r="E237" t="str">
        <f t="shared" si="1"/>
        <v>#REF!</v>
      </c>
    </row>
    <row r="238">
      <c r="A238" t="s">
        <v>5262</v>
      </c>
      <c r="B238" s="254">
        <v>10500.0</v>
      </c>
      <c r="C238" s="256">
        <v>0.0</v>
      </c>
      <c r="D238" t="str">
        <f t="shared" si="5"/>
        <v>#REF!</v>
      </c>
      <c r="E238" t="str">
        <f t="shared" si="1"/>
        <v>#REF!</v>
      </c>
    </row>
    <row r="239">
      <c r="A239" t="s">
        <v>5241</v>
      </c>
      <c r="B239" s="254">
        <v>4600.0</v>
      </c>
      <c r="C239" s="256">
        <v>1.0</v>
      </c>
      <c r="D239" t="str">
        <f t="shared" si="5"/>
        <v>#REF!</v>
      </c>
      <c r="E239" t="str">
        <f t="shared" si="1"/>
        <v>#REF!</v>
      </c>
    </row>
    <row r="240">
      <c r="A240" s="3" t="s">
        <v>1234</v>
      </c>
      <c r="B240" s="254" t="e">
        <v>#N/A</v>
      </c>
      <c r="C240" s="256">
        <v>1.0</v>
      </c>
      <c r="D240" t="str">
        <f t="shared" si="5"/>
        <v>#REF!</v>
      </c>
      <c r="E240" t="str">
        <f t="shared" si="1"/>
        <v>#REF!</v>
      </c>
    </row>
    <row r="241">
      <c r="A241" t="s">
        <v>5244</v>
      </c>
      <c r="B241" s="254">
        <v>4600.0</v>
      </c>
      <c r="C241" s="256">
        <v>1.0</v>
      </c>
      <c r="D241" t="str">
        <f t="shared" si="5"/>
        <v>#REF!</v>
      </c>
      <c r="E241" t="str">
        <f t="shared" si="1"/>
        <v>#REF!</v>
      </c>
    </row>
    <row r="242">
      <c r="A242" t="s">
        <v>1235</v>
      </c>
      <c r="B242" s="254">
        <v>650.0</v>
      </c>
      <c r="C242" s="256">
        <v>22.0</v>
      </c>
      <c r="D242" t="str">
        <f t="shared" si="5"/>
        <v>#REF!</v>
      </c>
      <c r="E242" t="str">
        <f t="shared" si="1"/>
        <v>#REF!</v>
      </c>
    </row>
    <row r="243">
      <c r="A243" t="s">
        <v>4500</v>
      </c>
      <c r="B243" s="254">
        <v>1850.0</v>
      </c>
      <c r="C243" s="256">
        <v>0.0</v>
      </c>
      <c r="D243" t="str">
        <f t="shared" si="5"/>
        <v>#REF!</v>
      </c>
      <c r="E243" t="str">
        <f t="shared" si="1"/>
        <v>#REF!</v>
      </c>
    </row>
    <row r="244">
      <c r="A244" t="s">
        <v>5059</v>
      </c>
      <c r="B244" s="254"/>
      <c r="C244" s="256">
        <v>0.0</v>
      </c>
      <c r="D244" t="str">
        <f t="shared" si="5"/>
        <v>#REF!</v>
      </c>
      <c r="E244" t="str">
        <f t="shared" si="1"/>
        <v>#REF!</v>
      </c>
    </row>
    <row r="245">
      <c r="A245" t="s">
        <v>4502</v>
      </c>
      <c r="B245" s="254">
        <v>1850.0</v>
      </c>
      <c r="C245" s="256">
        <v>2.0</v>
      </c>
      <c r="D245" t="str">
        <f t="shared" si="5"/>
        <v>#REF!</v>
      </c>
      <c r="E245" t="str">
        <f t="shared" si="1"/>
        <v>#REF!</v>
      </c>
    </row>
    <row r="246">
      <c r="A246" t="s">
        <v>4505</v>
      </c>
      <c r="B246" s="254">
        <v>1850.0</v>
      </c>
      <c r="C246" s="256">
        <v>2.0</v>
      </c>
      <c r="D246" t="str">
        <f t="shared" si="5"/>
        <v>#REF!</v>
      </c>
      <c r="E246" t="str">
        <f t="shared" si="1"/>
        <v>#REF!</v>
      </c>
    </row>
    <row r="247">
      <c r="A247" t="s">
        <v>5061</v>
      </c>
      <c r="B247" s="254">
        <v>1550.0</v>
      </c>
      <c r="C247" s="256">
        <v>0.0</v>
      </c>
      <c r="D247" t="str">
        <f t="shared" si="5"/>
        <v>#REF!</v>
      </c>
      <c r="E247" t="str">
        <f t="shared" si="1"/>
        <v>#REF!</v>
      </c>
    </row>
    <row r="248">
      <c r="A248" t="s">
        <v>5063</v>
      </c>
      <c r="B248" s="254">
        <v>1550.0</v>
      </c>
      <c r="C248" s="256">
        <v>0.0</v>
      </c>
      <c r="D248" t="str">
        <f t="shared" si="5"/>
        <v>#REF!</v>
      </c>
      <c r="E248" t="str">
        <f t="shared" si="1"/>
        <v>#REF!</v>
      </c>
    </row>
    <row r="249">
      <c r="A249" t="s">
        <v>4508</v>
      </c>
      <c r="B249" s="254">
        <v>1995.0</v>
      </c>
      <c r="C249" s="256">
        <v>0.0</v>
      </c>
      <c r="D249" t="str">
        <f t="shared" si="5"/>
        <v>#REF!</v>
      </c>
      <c r="E249" t="str">
        <f t="shared" si="1"/>
        <v>#REF!</v>
      </c>
    </row>
    <row r="250">
      <c r="A250" t="s">
        <v>4511</v>
      </c>
      <c r="B250" s="254">
        <v>2450.0</v>
      </c>
      <c r="C250" s="256">
        <v>1.0</v>
      </c>
      <c r="D250" t="str">
        <f t="shared" si="5"/>
        <v>#REF!</v>
      </c>
      <c r="E250" t="str">
        <f t="shared" si="1"/>
        <v>#REF!</v>
      </c>
    </row>
    <row r="251">
      <c r="A251" t="s">
        <v>4504</v>
      </c>
      <c r="B251" s="254">
        <v>2150.0</v>
      </c>
      <c r="C251" s="256">
        <v>1.0</v>
      </c>
      <c r="D251" t="str">
        <f t="shared" si="5"/>
        <v>#REF!</v>
      </c>
      <c r="E251" t="str">
        <f t="shared" si="1"/>
        <v>#REF!</v>
      </c>
    </row>
    <row r="252">
      <c r="A252" t="s">
        <v>4672</v>
      </c>
      <c r="B252" s="254">
        <v>2150.0</v>
      </c>
      <c r="C252" s="256">
        <v>0.0</v>
      </c>
      <c r="D252" t="str">
        <f t="shared" si="5"/>
        <v>#REF!</v>
      </c>
      <c r="E252" t="str">
        <f t="shared" si="1"/>
        <v>#REF!</v>
      </c>
    </row>
    <row r="253">
      <c r="A253" t="s">
        <v>4516</v>
      </c>
      <c r="B253" s="254">
        <v>1895.0</v>
      </c>
      <c r="C253" s="256">
        <v>0.0</v>
      </c>
      <c r="D253" t="str">
        <f t="shared" si="5"/>
        <v>#REF!</v>
      </c>
      <c r="E253" t="str">
        <f t="shared" si="1"/>
        <v>#REF!</v>
      </c>
    </row>
    <row r="254">
      <c r="A254" t="s">
        <v>4673</v>
      </c>
      <c r="B254" s="254">
        <v>1195.0</v>
      </c>
      <c r="C254" s="256">
        <v>0.0</v>
      </c>
      <c r="D254" t="str">
        <f t="shared" si="5"/>
        <v>#REF!</v>
      </c>
      <c r="E254" t="str">
        <f t="shared" si="1"/>
        <v>#REF!</v>
      </c>
    </row>
    <row r="255">
      <c r="A255" t="s">
        <v>4675</v>
      </c>
      <c r="B255" s="254">
        <v>1195.0</v>
      </c>
      <c r="C255" s="256">
        <v>0.0</v>
      </c>
      <c r="D255" t="str">
        <f t="shared" si="5"/>
        <v>#REF!</v>
      </c>
      <c r="E255" t="str">
        <f t="shared" si="1"/>
        <v>#REF!</v>
      </c>
    </row>
    <row r="256">
      <c r="A256" t="s">
        <v>4677</v>
      </c>
      <c r="B256" s="254">
        <v>1195.0</v>
      </c>
      <c r="C256" s="256">
        <v>0.0</v>
      </c>
      <c r="D256" t="str">
        <f t="shared" si="5"/>
        <v>#REF!</v>
      </c>
      <c r="E256" t="str">
        <f t="shared" si="1"/>
        <v>#REF!</v>
      </c>
    </row>
    <row r="257">
      <c r="A257" t="s">
        <v>4521</v>
      </c>
      <c r="B257" s="254">
        <v>1195.0</v>
      </c>
      <c r="C257" s="256">
        <v>0.0</v>
      </c>
      <c r="D257" t="str">
        <f t="shared" si="5"/>
        <v>#REF!</v>
      </c>
      <c r="E257" t="str">
        <f t="shared" si="1"/>
        <v>#REF!</v>
      </c>
    </row>
    <row r="258">
      <c r="A258" t="s">
        <v>4507</v>
      </c>
      <c r="B258" s="254"/>
      <c r="C258" s="256">
        <v>2.0</v>
      </c>
      <c r="D258" t="str">
        <f t="shared" si="5"/>
        <v>#REF!</v>
      </c>
      <c r="E258" t="str">
        <f t="shared" si="1"/>
        <v>#REF!</v>
      </c>
    </row>
    <row r="259">
      <c r="A259" t="s">
        <v>4679</v>
      </c>
      <c r="B259" s="254">
        <v>1250.0</v>
      </c>
      <c r="C259" s="256">
        <v>0.0</v>
      </c>
      <c r="D259" t="str">
        <f t="shared" si="5"/>
        <v>#REF!</v>
      </c>
      <c r="E259" t="str">
        <f t="shared" si="1"/>
        <v>#REF!</v>
      </c>
    </row>
    <row r="260">
      <c r="A260" t="s">
        <v>4681</v>
      </c>
      <c r="B260" s="254">
        <v>1495.0</v>
      </c>
      <c r="C260" s="256">
        <v>0.0</v>
      </c>
      <c r="D260" t="str">
        <f t="shared" si="5"/>
        <v>#REF!</v>
      </c>
      <c r="E260" t="str">
        <f t="shared" si="1"/>
        <v>#REF!</v>
      </c>
    </row>
    <row r="261">
      <c r="A261" t="s">
        <v>4524</v>
      </c>
      <c r="B261" s="254">
        <v>1895.0</v>
      </c>
      <c r="C261" s="256">
        <v>0.0</v>
      </c>
      <c r="D261" t="str">
        <f t="shared" si="5"/>
        <v>#REF!</v>
      </c>
      <c r="E261" t="str">
        <f t="shared" si="1"/>
        <v>#REF!</v>
      </c>
    </row>
    <row r="262">
      <c r="A262" t="s">
        <v>4527</v>
      </c>
      <c r="B262" s="254">
        <v>1795.0</v>
      </c>
      <c r="C262" s="256">
        <v>0.0</v>
      </c>
      <c r="D262" t="str">
        <f t="shared" si="5"/>
        <v>#REF!</v>
      </c>
      <c r="E262" t="str">
        <f t="shared" si="1"/>
        <v>#REF!</v>
      </c>
    </row>
    <row r="263">
      <c r="A263" t="s">
        <v>4530</v>
      </c>
      <c r="B263" s="254">
        <v>1795.0</v>
      </c>
      <c r="C263" s="256">
        <v>0.0</v>
      </c>
      <c r="D263" t="str">
        <f t="shared" si="5"/>
        <v>#REF!</v>
      </c>
      <c r="E263" t="str">
        <f t="shared" si="1"/>
        <v>#REF!</v>
      </c>
    </row>
    <row r="264">
      <c r="A264" t="s">
        <v>4685</v>
      </c>
      <c r="B264" s="254">
        <v>1895.0</v>
      </c>
      <c r="C264" s="256">
        <v>0.0</v>
      </c>
      <c r="D264" t="str">
        <f t="shared" si="5"/>
        <v>#REF!</v>
      </c>
      <c r="E264" t="str">
        <f t="shared" si="1"/>
        <v>#REF!</v>
      </c>
    </row>
    <row r="265">
      <c r="A265" t="s">
        <v>4688</v>
      </c>
      <c r="B265" s="254"/>
      <c r="C265" s="256">
        <v>0.0</v>
      </c>
      <c r="D265" t="str">
        <f t="shared" si="5"/>
        <v>#REF!</v>
      </c>
      <c r="E265" t="str">
        <f t="shared" si="1"/>
        <v>#REF!</v>
      </c>
    </row>
    <row r="266">
      <c r="A266" t="s">
        <v>4690</v>
      </c>
      <c r="B266" s="254"/>
      <c r="C266" s="256">
        <v>0.0</v>
      </c>
      <c r="D266" t="str">
        <f t="shared" si="5"/>
        <v>#REF!</v>
      </c>
      <c r="E266" t="str">
        <f t="shared" si="1"/>
        <v>#REF!</v>
      </c>
    </row>
    <row r="267">
      <c r="A267" t="s">
        <v>4510</v>
      </c>
      <c r="B267" s="254">
        <v>1995.0</v>
      </c>
      <c r="C267" s="256">
        <v>1.0</v>
      </c>
      <c r="D267" t="str">
        <f t="shared" si="5"/>
        <v>#REF!</v>
      </c>
      <c r="E267" t="str">
        <f t="shared" si="1"/>
        <v>#REF!</v>
      </c>
    </row>
    <row r="268">
      <c r="A268" t="s">
        <v>4693</v>
      </c>
      <c r="B268" s="254">
        <v>1995.0</v>
      </c>
      <c r="C268" s="256">
        <v>0.0</v>
      </c>
      <c r="D268" t="str">
        <f t="shared" si="5"/>
        <v>#REF!</v>
      </c>
      <c r="E268" t="str">
        <f t="shared" si="1"/>
        <v>#REF!</v>
      </c>
    </row>
    <row r="269">
      <c r="A269" t="s">
        <v>4535</v>
      </c>
      <c r="B269" s="254">
        <v>2495.0</v>
      </c>
      <c r="C269" s="256">
        <v>0.0</v>
      </c>
      <c r="D269" t="str">
        <f t="shared" si="5"/>
        <v>#REF!</v>
      </c>
      <c r="E269" t="str">
        <f t="shared" si="1"/>
        <v>#REF!</v>
      </c>
    </row>
    <row r="270">
      <c r="A270" t="s">
        <v>4538</v>
      </c>
      <c r="B270" s="254">
        <v>2150.0</v>
      </c>
      <c r="C270" s="256">
        <v>0.0</v>
      </c>
      <c r="D270" t="str">
        <f t="shared" si="5"/>
        <v>#REF!</v>
      </c>
      <c r="E270" t="str">
        <f t="shared" si="1"/>
        <v>#REF!</v>
      </c>
    </row>
    <row r="271">
      <c r="A271" t="s">
        <v>4695</v>
      </c>
      <c r="B271" s="254">
        <v>1950.0</v>
      </c>
      <c r="C271" s="256">
        <v>0.0</v>
      </c>
      <c r="D271" t="str">
        <f t="shared" si="5"/>
        <v>#REF!</v>
      </c>
      <c r="E271" t="str">
        <f t="shared" si="1"/>
        <v>#REF!</v>
      </c>
    </row>
    <row r="272">
      <c r="A272" t="s">
        <v>4699</v>
      </c>
      <c r="B272" s="254">
        <v>2150.0</v>
      </c>
      <c r="C272" s="256">
        <v>0.0</v>
      </c>
      <c r="D272" t="str">
        <f t="shared" si="5"/>
        <v>#REF!</v>
      </c>
      <c r="E272" t="str">
        <f t="shared" si="1"/>
        <v>#REF!</v>
      </c>
    </row>
    <row r="273">
      <c r="A273" t="s">
        <v>4701</v>
      </c>
      <c r="B273" s="254">
        <v>1995.0</v>
      </c>
      <c r="C273" s="256">
        <v>0.0</v>
      </c>
      <c r="D273" t="str">
        <f t="shared" si="5"/>
        <v>#REF!</v>
      </c>
      <c r="E273" t="str">
        <f t="shared" si="1"/>
        <v>#REF!</v>
      </c>
    </row>
    <row r="274">
      <c r="A274" t="s">
        <v>4703</v>
      </c>
      <c r="B274" s="254">
        <v>2150.0</v>
      </c>
      <c r="C274" s="256">
        <v>0.0</v>
      </c>
      <c r="D274" t="str">
        <f t="shared" si="5"/>
        <v>#REF!</v>
      </c>
      <c r="E274" t="str">
        <f t="shared" si="1"/>
        <v>#REF!</v>
      </c>
    </row>
    <row r="275">
      <c r="A275" t="s">
        <v>4543</v>
      </c>
      <c r="B275" s="254">
        <v>2150.0</v>
      </c>
      <c r="C275" s="254">
        <v>0.0</v>
      </c>
      <c r="D275" t="str">
        <f t="shared" si="5"/>
        <v>#REF!</v>
      </c>
      <c r="E275" t="str">
        <f t="shared" si="1"/>
        <v>#REF!</v>
      </c>
    </row>
    <row r="276">
      <c r="A276" t="s">
        <v>4540</v>
      </c>
      <c r="B276" s="254">
        <v>2495.0</v>
      </c>
      <c r="C276" s="256">
        <v>0.0</v>
      </c>
      <c r="D276" t="str">
        <f t="shared" si="5"/>
        <v>#REF!</v>
      </c>
      <c r="E276" t="str">
        <f t="shared" si="1"/>
        <v>#REF!</v>
      </c>
    </row>
    <row r="277">
      <c r="A277" t="s">
        <v>4513</v>
      </c>
      <c r="B277" s="254">
        <v>1995.0</v>
      </c>
      <c r="C277" s="256">
        <v>1.0</v>
      </c>
      <c r="D277" t="str">
        <f t="shared" si="5"/>
        <v>#REF!</v>
      </c>
      <c r="E277" t="str">
        <f t="shared" si="1"/>
        <v>#REF!</v>
      </c>
    </row>
    <row r="278">
      <c r="A278" t="s">
        <v>4706</v>
      </c>
      <c r="B278" s="254">
        <v>2150.0</v>
      </c>
      <c r="C278" s="256">
        <v>0.0</v>
      </c>
      <c r="D278" t="str">
        <f t="shared" si="5"/>
        <v>#REF!</v>
      </c>
      <c r="E278" t="str">
        <f t="shared" si="1"/>
        <v>#REF!</v>
      </c>
    </row>
    <row r="279">
      <c r="A279" t="s">
        <v>4547</v>
      </c>
      <c r="B279" s="254">
        <v>2150.0</v>
      </c>
      <c r="C279" s="256">
        <v>0.0</v>
      </c>
      <c r="D279" t="str">
        <f t="shared" si="5"/>
        <v>#REF!</v>
      </c>
      <c r="E279" t="str">
        <f t="shared" si="1"/>
        <v>#REF!</v>
      </c>
    </row>
    <row r="280">
      <c r="A280" t="s">
        <v>4515</v>
      </c>
      <c r="B280" s="254">
        <v>2150.0</v>
      </c>
      <c r="C280" s="256">
        <v>1.0</v>
      </c>
      <c r="D280" t="str">
        <f t="shared" si="5"/>
        <v>#REF!</v>
      </c>
      <c r="E280" t="str">
        <f t="shared" si="1"/>
        <v>#REF!</v>
      </c>
    </row>
    <row r="281">
      <c r="A281" t="s">
        <v>5065</v>
      </c>
      <c r="B281" s="254">
        <v>2150.0</v>
      </c>
      <c r="C281" s="256">
        <v>0.0</v>
      </c>
      <c r="D281" t="str">
        <f t="shared" si="5"/>
        <v>#REF!</v>
      </c>
      <c r="E281" t="str">
        <f t="shared" si="1"/>
        <v>#REF!</v>
      </c>
    </row>
    <row r="282">
      <c r="A282" t="s">
        <v>4551</v>
      </c>
      <c r="B282" s="254">
        <v>2150.0</v>
      </c>
      <c r="C282" s="256">
        <v>0.0</v>
      </c>
      <c r="D282" t="str">
        <f t="shared" si="5"/>
        <v>#REF!</v>
      </c>
      <c r="E282" t="str">
        <f t="shared" si="1"/>
        <v>#REF!</v>
      </c>
    </row>
    <row r="283">
      <c r="A283" t="s">
        <v>4554</v>
      </c>
      <c r="B283" s="254">
        <v>2095.0</v>
      </c>
      <c r="C283" s="256">
        <v>0.0</v>
      </c>
      <c r="D283" t="str">
        <f t="shared" si="5"/>
        <v>#REF!</v>
      </c>
      <c r="E283" t="str">
        <f t="shared" si="1"/>
        <v>#REF!</v>
      </c>
    </row>
    <row r="284">
      <c r="A284" t="s">
        <v>4710</v>
      </c>
      <c r="B284" s="254">
        <v>2295.0</v>
      </c>
      <c r="C284" s="256">
        <v>0.0</v>
      </c>
      <c r="D284" t="str">
        <f t="shared" si="5"/>
        <v>#REF!</v>
      </c>
      <c r="E284" t="str">
        <f t="shared" si="1"/>
        <v>#REF!</v>
      </c>
    </row>
    <row r="285">
      <c r="A285" t="s">
        <v>4518</v>
      </c>
      <c r="B285" s="254">
        <v>2295.0</v>
      </c>
      <c r="C285" s="256">
        <v>3.0</v>
      </c>
      <c r="D285" t="str">
        <f t="shared" si="5"/>
        <v>#REF!</v>
      </c>
      <c r="E285" t="str">
        <f t="shared" si="1"/>
        <v>#REF!</v>
      </c>
    </row>
    <row r="286">
      <c r="A286" t="s">
        <v>4559</v>
      </c>
      <c r="B286" s="254">
        <v>2150.0</v>
      </c>
      <c r="C286" s="256">
        <v>0.0</v>
      </c>
      <c r="D286" t="str">
        <f t="shared" si="5"/>
        <v>#REF!</v>
      </c>
      <c r="E286" t="str">
        <f t="shared" si="1"/>
        <v>#REF!</v>
      </c>
    </row>
    <row r="287">
      <c r="A287" t="s">
        <v>4713</v>
      </c>
      <c r="B287" s="254">
        <v>2150.0</v>
      </c>
      <c r="C287" s="256">
        <v>0.0</v>
      </c>
      <c r="D287" t="str">
        <f t="shared" si="5"/>
        <v>#REF!</v>
      </c>
      <c r="E287" t="str">
        <f t="shared" si="1"/>
        <v>#REF!</v>
      </c>
    </row>
    <row r="288">
      <c r="A288" t="s">
        <v>4715</v>
      </c>
      <c r="B288" s="254">
        <v>1995.0</v>
      </c>
      <c r="C288" s="256">
        <v>0.0</v>
      </c>
      <c r="D288" t="str">
        <f t="shared" si="5"/>
        <v>#REF!</v>
      </c>
      <c r="E288" t="str">
        <f t="shared" si="1"/>
        <v>#REF!</v>
      </c>
    </row>
    <row r="289">
      <c r="A289" t="s">
        <v>4717</v>
      </c>
      <c r="B289" s="254">
        <v>2095.0</v>
      </c>
      <c r="C289" s="256">
        <v>0.0</v>
      </c>
      <c r="D289" t="str">
        <f t="shared" si="5"/>
        <v>#REF!</v>
      </c>
      <c r="E289" t="str">
        <f t="shared" si="1"/>
        <v>#REF!</v>
      </c>
      <c r="F289" s="3"/>
    </row>
    <row r="290">
      <c r="A290" t="s">
        <v>4719</v>
      </c>
      <c r="B290" s="254">
        <v>1995.0</v>
      </c>
      <c r="C290" s="256">
        <v>0.0</v>
      </c>
      <c r="D290" t="str">
        <f t="shared" si="5"/>
        <v>#REF!</v>
      </c>
      <c r="E290" t="str">
        <f t="shared" si="1"/>
        <v>#REF!</v>
      </c>
    </row>
    <row r="291">
      <c r="A291" t="s">
        <v>4721</v>
      </c>
      <c r="B291" s="254">
        <v>1995.0</v>
      </c>
      <c r="C291" s="256">
        <v>0.0</v>
      </c>
      <c r="D291" t="str">
        <f t="shared" si="5"/>
        <v>#REF!</v>
      </c>
      <c r="E291" t="str">
        <f t="shared" si="1"/>
        <v>#REF!</v>
      </c>
    </row>
    <row r="292">
      <c r="A292" t="s">
        <v>4725</v>
      </c>
      <c r="B292" s="254">
        <v>2250.0</v>
      </c>
      <c r="C292" s="256">
        <v>0.0</v>
      </c>
      <c r="D292" t="str">
        <f t="shared" si="5"/>
        <v>#REF!</v>
      </c>
      <c r="E292" t="str">
        <f t="shared" si="1"/>
        <v>#REF!</v>
      </c>
    </row>
    <row r="293">
      <c r="A293" t="s">
        <v>4727</v>
      </c>
      <c r="B293" s="254">
        <v>2095.0</v>
      </c>
      <c r="C293" s="256">
        <v>0.0</v>
      </c>
      <c r="D293" t="str">
        <f t="shared" si="5"/>
        <v>#REF!</v>
      </c>
      <c r="E293" t="str">
        <f t="shared" si="1"/>
        <v>#REF!</v>
      </c>
    </row>
    <row r="294">
      <c r="A294" t="s">
        <v>4729</v>
      </c>
      <c r="B294" s="254">
        <v>2095.0</v>
      </c>
      <c r="C294" s="256">
        <v>0.0</v>
      </c>
      <c r="D294" t="str">
        <f t="shared" si="5"/>
        <v>#REF!</v>
      </c>
      <c r="E294" t="str">
        <f t="shared" si="1"/>
        <v>#REF!</v>
      </c>
    </row>
    <row r="295">
      <c r="A295" t="s">
        <v>4733</v>
      </c>
      <c r="B295" s="254">
        <v>1495.0</v>
      </c>
      <c r="C295" s="256">
        <v>0.0</v>
      </c>
      <c r="D295" t="str">
        <f t="shared" si="5"/>
        <v>#REF!</v>
      </c>
      <c r="E295" t="str">
        <f t="shared" si="1"/>
        <v>#REF!</v>
      </c>
    </row>
    <row r="296">
      <c r="A296" t="s">
        <v>4735</v>
      </c>
      <c r="B296" s="254">
        <v>1895.0</v>
      </c>
      <c r="C296" s="256">
        <v>0.0</v>
      </c>
      <c r="D296" t="str">
        <f t="shared" si="5"/>
        <v>#REF!</v>
      </c>
      <c r="E296" t="str">
        <f t="shared" si="1"/>
        <v>#REF!</v>
      </c>
    </row>
    <row r="297">
      <c r="A297" t="s">
        <v>4739</v>
      </c>
      <c r="B297" s="254">
        <v>1495.0</v>
      </c>
      <c r="C297" s="256">
        <v>0.0</v>
      </c>
      <c r="D297" t="str">
        <f t="shared" si="5"/>
        <v>#REF!</v>
      </c>
      <c r="E297" t="str">
        <f t="shared" si="1"/>
        <v>#REF!</v>
      </c>
    </row>
    <row r="298">
      <c r="A298" t="s">
        <v>4745</v>
      </c>
      <c r="B298" s="254">
        <v>1495.0</v>
      </c>
      <c r="C298" s="256">
        <v>0.0</v>
      </c>
      <c r="D298" t="str">
        <f t="shared" si="5"/>
        <v>#REF!</v>
      </c>
      <c r="E298" t="str">
        <f t="shared" si="1"/>
        <v>#REF!</v>
      </c>
    </row>
    <row r="299">
      <c r="A299" t="s">
        <v>11528</v>
      </c>
      <c r="B299" s="254">
        <v>1995.0</v>
      </c>
      <c r="C299" s="256">
        <v>1.0</v>
      </c>
      <c r="D299" t="str">
        <f t="shared" si="5"/>
        <v>#REF!</v>
      </c>
      <c r="E299" t="str">
        <f t="shared" si="1"/>
        <v>#REF!</v>
      </c>
    </row>
    <row r="300">
      <c r="A300" t="s">
        <v>4755</v>
      </c>
      <c r="B300" s="254">
        <v>1895.0</v>
      </c>
      <c r="C300" s="256">
        <v>0.0</v>
      </c>
      <c r="D300" t="str">
        <f t="shared" si="5"/>
        <v>#REF!</v>
      </c>
      <c r="E300" t="str">
        <f t="shared" si="1"/>
        <v>#REF!</v>
      </c>
    </row>
    <row r="301">
      <c r="A301" t="s">
        <v>4520</v>
      </c>
      <c r="B301" s="254">
        <v>2350.0</v>
      </c>
      <c r="C301" s="256">
        <v>2.0</v>
      </c>
      <c r="D301" t="str">
        <f t="shared" si="5"/>
        <v>#REF!</v>
      </c>
      <c r="E301" t="str">
        <f t="shared" si="1"/>
        <v>#REF!</v>
      </c>
    </row>
    <row r="302">
      <c r="A302" t="s">
        <v>4562</v>
      </c>
      <c r="B302" s="254">
        <v>2350.0</v>
      </c>
      <c r="C302" s="256">
        <v>0.0</v>
      </c>
      <c r="D302" t="str">
        <f t="shared" si="5"/>
        <v>#REF!</v>
      </c>
      <c r="E302" t="str">
        <f t="shared" si="1"/>
        <v>#REF!</v>
      </c>
    </row>
    <row r="303">
      <c r="A303" t="s">
        <v>4765</v>
      </c>
      <c r="B303" s="254">
        <v>1895.0</v>
      </c>
      <c r="C303" s="256">
        <v>0.0</v>
      </c>
      <c r="D303" t="str">
        <f t="shared" si="5"/>
        <v>#REF!</v>
      </c>
      <c r="E303" t="str">
        <f t="shared" si="1"/>
        <v>#REF!</v>
      </c>
    </row>
    <row r="304">
      <c r="A304" t="s">
        <v>4564</v>
      </c>
      <c r="B304" s="254">
        <v>1995.0</v>
      </c>
      <c r="C304" s="256">
        <v>0.0</v>
      </c>
      <c r="D304" t="str">
        <f t="shared" si="5"/>
        <v>#REF!</v>
      </c>
      <c r="E304" t="str">
        <f t="shared" si="1"/>
        <v>#REF!</v>
      </c>
    </row>
    <row r="305">
      <c r="A305" t="s">
        <v>4767</v>
      </c>
      <c r="B305" s="254">
        <v>2195.0</v>
      </c>
      <c r="C305" s="256">
        <v>0.0</v>
      </c>
      <c r="D305" t="str">
        <f t="shared" si="5"/>
        <v>#REF!</v>
      </c>
      <c r="E305" t="str">
        <f t="shared" si="1"/>
        <v>#REF!</v>
      </c>
    </row>
    <row r="306">
      <c r="A306" t="s">
        <v>4769</v>
      </c>
      <c r="B306" s="254">
        <v>1495.0</v>
      </c>
      <c r="C306" s="256">
        <v>0.0</v>
      </c>
      <c r="D306" t="str">
        <f t="shared" si="5"/>
        <v>#REF!</v>
      </c>
      <c r="E306" t="str">
        <f t="shared" si="1"/>
        <v>#REF!</v>
      </c>
    </row>
    <row r="307">
      <c r="A307" t="s">
        <v>4565</v>
      </c>
      <c r="B307" s="254">
        <v>2195.0</v>
      </c>
      <c r="C307" s="256">
        <v>0.0</v>
      </c>
      <c r="D307" t="str">
        <f t="shared" si="5"/>
        <v>#REF!</v>
      </c>
      <c r="E307" t="str">
        <f t="shared" si="1"/>
        <v>#REF!</v>
      </c>
    </row>
    <row r="308">
      <c r="A308" t="s">
        <v>4781</v>
      </c>
      <c r="B308" s="254">
        <v>2196.0</v>
      </c>
      <c r="C308" s="256">
        <v>0.0</v>
      </c>
      <c r="D308" t="str">
        <f t="shared" si="5"/>
        <v>#REF!</v>
      </c>
      <c r="E308" t="str">
        <f t="shared" si="1"/>
        <v>#REF!</v>
      </c>
    </row>
    <row r="309">
      <c r="A309" t="s">
        <v>4567</v>
      </c>
      <c r="B309" s="254">
        <v>2195.0</v>
      </c>
      <c r="C309" s="256">
        <v>0.0</v>
      </c>
      <c r="D309" t="str">
        <f t="shared" si="5"/>
        <v>#REF!</v>
      </c>
      <c r="E309" t="str">
        <f t="shared" si="1"/>
        <v>#REF!</v>
      </c>
    </row>
    <row r="310">
      <c r="A310" t="s">
        <v>4523</v>
      </c>
      <c r="B310" s="254">
        <v>2295.0</v>
      </c>
      <c r="C310" s="256">
        <v>1.0</v>
      </c>
      <c r="D310" t="str">
        <f t="shared" si="5"/>
        <v>#REF!</v>
      </c>
      <c r="E310" t="str">
        <f t="shared" si="1"/>
        <v>#REF!</v>
      </c>
    </row>
    <row r="311">
      <c r="A311" t="s">
        <v>4783</v>
      </c>
      <c r="B311" s="254">
        <v>2295.0</v>
      </c>
      <c r="C311" s="256">
        <v>0.0</v>
      </c>
      <c r="D311" t="str">
        <f t="shared" si="5"/>
        <v>#REF!</v>
      </c>
      <c r="E311" t="str">
        <f t="shared" si="1"/>
        <v>#REF!</v>
      </c>
    </row>
    <row r="312">
      <c r="A312" t="s">
        <v>4570</v>
      </c>
      <c r="B312" s="254">
        <v>2495.0</v>
      </c>
      <c r="C312" s="256">
        <v>0.0</v>
      </c>
      <c r="D312" t="str">
        <f t="shared" si="5"/>
        <v>#REF!</v>
      </c>
      <c r="E312" t="str">
        <f t="shared" si="1"/>
        <v>#REF!</v>
      </c>
    </row>
    <row r="313">
      <c r="A313" t="s">
        <v>4785</v>
      </c>
      <c r="B313" s="254">
        <v>2295.0</v>
      </c>
      <c r="C313" s="256">
        <v>0.0</v>
      </c>
      <c r="D313" t="str">
        <f t="shared" si="5"/>
        <v>#REF!</v>
      </c>
      <c r="E313" t="str">
        <f t="shared" si="1"/>
        <v>#REF!</v>
      </c>
    </row>
    <row r="314">
      <c r="A314" t="s">
        <v>4572</v>
      </c>
      <c r="B314" s="254">
        <v>1295.0</v>
      </c>
      <c r="C314" s="256">
        <v>0.0</v>
      </c>
      <c r="D314" t="str">
        <f t="shared" si="5"/>
        <v>#REF!</v>
      </c>
      <c r="E314" t="str">
        <f t="shared" si="1"/>
        <v>#REF!</v>
      </c>
    </row>
    <row r="315">
      <c r="A315" t="s">
        <v>4574</v>
      </c>
      <c r="B315" s="254">
        <v>1295.0</v>
      </c>
      <c r="C315" s="256">
        <v>2.0</v>
      </c>
      <c r="D315" t="str">
        <f t="shared" si="5"/>
        <v>#REF!</v>
      </c>
      <c r="E315" t="str">
        <f t="shared" si="1"/>
        <v>#REF!</v>
      </c>
    </row>
    <row r="316">
      <c r="A316" t="s">
        <v>4575</v>
      </c>
      <c r="B316" s="254">
        <v>950.0</v>
      </c>
      <c r="C316" s="256">
        <v>0.0</v>
      </c>
      <c r="D316" t="str">
        <f t="shared" si="5"/>
        <v>#REF!</v>
      </c>
      <c r="E316" t="str">
        <f t="shared" si="1"/>
        <v>#REF!</v>
      </c>
    </row>
    <row r="317">
      <c r="A317" t="s">
        <v>4577</v>
      </c>
      <c r="B317" s="254">
        <v>950.0</v>
      </c>
      <c r="C317" s="256">
        <v>0.0</v>
      </c>
      <c r="D317" t="str">
        <f t="shared" si="5"/>
        <v>#REF!</v>
      </c>
      <c r="E317" t="str">
        <f t="shared" si="1"/>
        <v>#REF!</v>
      </c>
    </row>
    <row r="318">
      <c r="A318" t="s">
        <v>4793</v>
      </c>
      <c r="B318" s="254">
        <v>950.0</v>
      </c>
      <c r="C318" s="256">
        <v>0.0</v>
      </c>
      <c r="D318" t="str">
        <f t="shared" si="5"/>
        <v>#REF!</v>
      </c>
      <c r="E318" t="str">
        <f t="shared" si="1"/>
        <v>#REF!</v>
      </c>
    </row>
    <row r="319">
      <c r="A319" t="s">
        <v>4579</v>
      </c>
      <c r="B319" s="254">
        <v>995.0</v>
      </c>
      <c r="C319" s="256">
        <v>0.0</v>
      </c>
      <c r="D319" t="str">
        <f t="shared" si="5"/>
        <v>#REF!</v>
      </c>
      <c r="E319" t="str">
        <f t="shared" si="1"/>
        <v>#REF!</v>
      </c>
    </row>
    <row r="320">
      <c r="A320" t="s">
        <v>4799</v>
      </c>
      <c r="B320" s="254">
        <v>950.0</v>
      </c>
      <c r="C320" s="256">
        <v>0.0</v>
      </c>
      <c r="D320" t="str">
        <f t="shared" si="5"/>
        <v>#REF!</v>
      </c>
      <c r="E320" t="str">
        <f t="shared" si="1"/>
        <v>#REF!</v>
      </c>
    </row>
    <row r="321">
      <c r="A321" t="s">
        <v>4801</v>
      </c>
      <c r="B321" s="254">
        <v>995.0</v>
      </c>
      <c r="C321" s="256">
        <v>0.0</v>
      </c>
      <c r="D321" t="str">
        <f t="shared" si="5"/>
        <v>#REF!</v>
      </c>
      <c r="E321" t="str">
        <f t="shared" si="1"/>
        <v>#REF!</v>
      </c>
    </row>
    <row r="322">
      <c r="A322" t="s">
        <v>4803</v>
      </c>
      <c r="B322" s="254">
        <v>995.0</v>
      </c>
      <c r="C322" s="256">
        <v>0.0</v>
      </c>
      <c r="D322" t="str">
        <f t="shared" si="5"/>
        <v>#REF!</v>
      </c>
      <c r="E322" t="str">
        <f t="shared" si="1"/>
        <v>#REF!</v>
      </c>
    </row>
    <row r="323">
      <c r="A323" t="s">
        <v>4583</v>
      </c>
      <c r="B323" s="254">
        <v>1795.0</v>
      </c>
      <c r="C323" s="256">
        <v>0.0</v>
      </c>
      <c r="D323" t="str">
        <f t="shared" si="5"/>
        <v>#REF!</v>
      </c>
      <c r="E323" t="str">
        <f t="shared" si="1"/>
        <v>#REF!</v>
      </c>
    </row>
    <row r="324">
      <c r="A324" t="s">
        <v>4585</v>
      </c>
      <c r="B324" s="254">
        <v>1795.0</v>
      </c>
      <c r="C324" s="256">
        <v>0.0</v>
      </c>
      <c r="D324" t="str">
        <f t="shared" si="5"/>
        <v>#REF!</v>
      </c>
      <c r="E324" t="str">
        <f t="shared" si="1"/>
        <v>#REF!</v>
      </c>
    </row>
    <row r="325">
      <c r="A325" t="s">
        <v>5067</v>
      </c>
      <c r="B325" s="254">
        <v>1595.0</v>
      </c>
      <c r="C325" s="256">
        <v>0.0</v>
      </c>
      <c r="D325" t="str">
        <f t="shared" si="5"/>
        <v>#REF!</v>
      </c>
      <c r="E325" t="str">
        <f t="shared" si="1"/>
        <v>#REF!</v>
      </c>
    </row>
    <row r="326">
      <c r="A326" t="s">
        <v>4587</v>
      </c>
      <c r="B326" s="254">
        <v>1695.0</v>
      </c>
      <c r="C326" s="256">
        <v>0.0</v>
      </c>
      <c r="D326" t="str">
        <f t="shared" si="5"/>
        <v>#REF!</v>
      </c>
      <c r="E326" t="str">
        <f t="shared" si="1"/>
        <v>#REF!</v>
      </c>
    </row>
    <row r="327">
      <c r="A327" t="s">
        <v>4526</v>
      </c>
      <c r="B327" s="254">
        <v>1695.0</v>
      </c>
      <c r="C327" s="256">
        <v>0.0</v>
      </c>
      <c r="D327" t="str">
        <f t="shared" si="5"/>
        <v>#REF!</v>
      </c>
      <c r="E327" t="str">
        <f t="shared" si="1"/>
        <v>#REF!</v>
      </c>
    </row>
    <row r="328">
      <c r="A328" t="s">
        <v>4813</v>
      </c>
      <c r="B328" s="254">
        <v>1995.0</v>
      </c>
      <c r="C328" s="256">
        <v>0.0</v>
      </c>
      <c r="D328" t="str">
        <f t="shared" si="5"/>
        <v>#REF!</v>
      </c>
      <c r="E328" t="str">
        <f t="shared" si="1"/>
        <v>#REF!</v>
      </c>
    </row>
    <row r="329">
      <c r="A329" t="s">
        <v>4815</v>
      </c>
      <c r="B329" s="254">
        <v>1995.0</v>
      </c>
      <c r="C329" s="256">
        <v>0.0</v>
      </c>
      <c r="D329" t="str">
        <f t="shared" si="5"/>
        <v>#REF!</v>
      </c>
      <c r="E329" t="str">
        <f t="shared" si="1"/>
        <v>#REF!</v>
      </c>
    </row>
    <row r="330">
      <c r="A330" t="s">
        <v>4529</v>
      </c>
      <c r="B330" s="254">
        <v>1595.0</v>
      </c>
      <c r="C330" s="256">
        <v>1.0</v>
      </c>
      <c r="D330" t="str">
        <f t="shared" si="5"/>
        <v>#REF!</v>
      </c>
      <c r="E330" t="str">
        <f t="shared" si="1"/>
        <v>#REF!</v>
      </c>
    </row>
    <row r="331">
      <c r="A331" t="s">
        <v>4591</v>
      </c>
      <c r="B331" s="254">
        <v>1750.0</v>
      </c>
      <c r="C331" s="256">
        <v>0.0</v>
      </c>
      <c r="D331" t="str">
        <f t="shared" si="5"/>
        <v>#REF!</v>
      </c>
      <c r="E331" t="str">
        <f t="shared" si="1"/>
        <v>#REF!</v>
      </c>
    </row>
    <row r="332">
      <c r="A332" t="s">
        <v>4592</v>
      </c>
      <c r="B332" s="254">
        <v>995.0</v>
      </c>
      <c r="C332" s="256">
        <v>0.0</v>
      </c>
      <c r="D332" t="str">
        <f t="shared" si="5"/>
        <v>#REF!</v>
      </c>
      <c r="E332" t="str">
        <f t="shared" si="1"/>
        <v>#REF!</v>
      </c>
    </row>
    <row r="333">
      <c r="A333" t="s">
        <v>4594</v>
      </c>
      <c r="B333" s="254">
        <v>995.0</v>
      </c>
      <c r="C333" s="256">
        <v>0.0</v>
      </c>
      <c r="D333" t="str">
        <f t="shared" si="5"/>
        <v>#REF!</v>
      </c>
      <c r="E333" t="str">
        <f t="shared" si="1"/>
        <v>#REF!</v>
      </c>
    </row>
    <row r="334">
      <c r="A334" t="s">
        <v>5069</v>
      </c>
      <c r="B334" s="254">
        <v>1295.0</v>
      </c>
      <c r="C334" s="256">
        <v>0.0</v>
      </c>
      <c r="D334" t="str">
        <f t="shared" si="5"/>
        <v>#REF!</v>
      </c>
      <c r="E334" t="str">
        <f t="shared" si="1"/>
        <v>#REF!</v>
      </c>
    </row>
    <row r="335">
      <c r="A335" t="s">
        <v>4532</v>
      </c>
      <c r="B335" s="254">
        <v>1295.0</v>
      </c>
      <c r="C335" s="256">
        <v>2.0</v>
      </c>
      <c r="D335" t="str">
        <f t="shared" si="5"/>
        <v>#REF!</v>
      </c>
      <c r="E335" t="str">
        <f t="shared" si="1"/>
        <v>#REF!</v>
      </c>
    </row>
    <row r="336">
      <c r="A336" t="s">
        <v>4817</v>
      </c>
      <c r="B336" s="254">
        <v>1695.0</v>
      </c>
      <c r="C336" s="256">
        <v>0.0</v>
      </c>
      <c r="D336" t="str">
        <f t="shared" si="5"/>
        <v>#REF!</v>
      </c>
      <c r="E336" t="str">
        <f t="shared" si="1"/>
        <v>#REF!</v>
      </c>
    </row>
    <row r="337">
      <c r="A337" t="s">
        <v>4596</v>
      </c>
      <c r="B337" s="254">
        <v>1195.0</v>
      </c>
      <c r="C337" s="256">
        <v>0.0</v>
      </c>
      <c r="D337" t="str">
        <f t="shared" si="5"/>
        <v>#REF!</v>
      </c>
      <c r="E337" t="str">
        <f t="shared" si="1"/>
        <v>#REF!</v>
      </c>
    </row>
    <row r="338">
      <c r="A338" t="s">
        <v>4598</v>
      </c>
      <c r="B338" s="254">
        <v>1395.0</v>
      </c>
      <c r="C338" s="256">
        <v>0.0</v>
      </c>
      <c r="D338" t="str">
        <f t="shared" si="5"/>
        <v>#REF!</v>
      </c>
      <c r="E338" t="str">
        <f t="shared" si="1"/>
        <v>#REF!</v>
      </c>
    </row>
    <row r="339">
      <c r="A339" t="s">
        <v>4600</v>
      </c>
      <c r="B339" s="254">
        <v>1395.0</v>
      </c>
      <c r="C339" s="256">
        <v>0.0</v>
      </c>
      <c r="D339" t="str">
        <f t="shared" si="5"/>
        <v>#REF!</v>
      </c>
      <c r="E339" t="str">
        <f t="shared" si="1"/>
        <v>#REF!</v>
      </c>
    </row>
    <row r="340">
      <c r="A340" t="s">
        <v>4821</v>
      </c>
      <c r="B340" s="254">
        <v>995.0</v>
      </c>
      <c r="C340" s="256">
        <v>0.0</v>
      </c>
      <c r="D340" t="str">
        <f t="shared" si="5"/>
        <v>#REF!</v>
      </c>
      <c r="E340" t="str">
        <f t="shared" si="1"/>
        <v>#REF!</v>
      </c>
    </row>
    <row r="341">
      <c r="A341" t="s">
        <v>4602</v>
      </c>
      <c r="B341" s="254">
        <v>995.0</v>
      </c>
      <c r="C341" s="256">
        <v>0.0</v>
      </c>
      <c r="D341" t="str">
        <f t="shared" si="5"/>
        <v>#REF!</v>
      </c>
      <c r="E341" t="str">
        <f t="shared" si="1"/>
        <v>#REF!</v>
      </c>
    </row>
    <row r="342">
      <c r="A342" t="s">
        <v>4534</v>
      </c>
      <c r="B342" s="254">
        <v>1295.0</v>
      </c>
      <c r="C342" s="256">
        <v>1.0</v>
      </c>
      <c r="D342" t="str">
        <f t="shared" si="5"/>
        <v>#REF!</v>
      </c>
      <c r="E342" t="str">
        <f t="shared" si="1"/>
        <v>#REF!</v>
      </c>
    </row>
    <row r="343">
      <c r="A343" t="s">
        <v>4605</v>
      </c>
      <c r="B343" s="254">
        <v>995.0</v>
      </c>
      <c r="C343" s="256">
        <v>0.0</v>
      </c>
      <c r="D343" t="str">
        <f t="shared" si="5"/>
        <v>#REF!</v>
      </c>
      <c r="E343" t="str">
        <f t="shared" si="1"/>
        <v>#REF!</v>
      </c>
    </row>
    <row r="344">
      <c r="A344" t="s">
        <v>4829</v>
      </c>
      <c r="B344" s="254">
        <v>995.0</v>
      </c>
      <c r="C344" s="256">
        <v>0.0</v>
      </c>
      <c r="D344" t="str">
        <f t="shared" si="5"/>
        <v>#REF!</v>
      </c>
      <c r="E344" t="str">
        <f t="shared" si="1"/>
        <v>#REF!</v>
      </c>
    </row>
    <row r="345">
      <c r="A345" t="s">
        <v>4832</v>
      </c>
      <c r="B345" s="254">
        <v>1495.0</v>
      </c>
      <c r="C345" s="256">
        <v>0.0</v>
      </c>
      <c r="D345" t="str">
        <f t="shared" si="5"/>
        <v>#REF!</v>
      </c>
      <c r="E345" t="str">
        <f t="shared" si="1"/>
        <v>#REF!</v>
      </c>
    </row>
    <row r="346">
      <c r="A346" t="s">
        <v>4834</v>
      </c>
      <c r="B346" s="254">
        <v>1795.0</v>
      </c>
      <c r="C346" s="256">
        <v>0.0</v>
      </c>
      <c r="D346" t="str">
        <f t="shared" si="5"/>
        <v>#REF!</v>
      </c>
      <c r="E346" t="str">
        <f t="shared" si="1"/>
        <v>#REF!</v>
      </c>
    </row>
    <row r="347">
      <c r="A347" t="s">
        <v>4537</v>
      </c>
      <c r="B347" s="254">
        <v>1495.0</v>
      </c>
      <c r="C347" s="256">
        <v>1.0</v>
      </c>
      <c r="D347" t="str">
        <f t="shared" si="5"/>
        <v>#REF!</v>
      </c>
      <c r="E347" t="str">
        <f t="shared" si="1"/>
        <v>#REF!</v>
      </c>
    </row>
    <row r="348">
      <c r="A348" t="s">
        <v>4607</v>
      </c>
      <c r="B348" s="254">
        <v>1595.0</v>
      </c>
      <c r="C348" s="256">
        <v>0.0</v>
      </c>
      <c r="D348" t="str">
        <f t="shared" si="5"/>
        <v>#REF!</v>
      </c>
      <c r="E348" t="str">
        <f t="shared" si="1"/>
        <v>#REF!</v>
      </c>
    </row>
    <row r="349">
      <c r="A349" t="s">
        <v>4838</v>
      </c>
      <c r="B349" s="254">
        <v>1495.0</v>
      </c>
      <c r="C349" s="256">
        <v>0.0</v>
      </c>
      <c r="D349" t="str">
        <f t="shared" si="5"/>
        <v>#REF!</v>
      </c>
      <c r="E349" t="str">
        <f t="shared" si="1"/>
        <v>#REF!</v>
      </c>
    </row>
    <row r="350">
      <c r="A350" t="s">
        <v>4539</v>
      </c>
      <c r="B350" s="254">
        <v>2395.0</v>
      </c>
      <c r="C350" s="256">
        <v>0.0</v>
      </c>
      <c r="D350" t="str">
        <f t="shared" si="5"/>
        <v>#REF!</v>
      </c>
      <c r="E350" t="str">
        <f t="shared" si="1"/>
        <v>#REF!</v>
      </c>
    </row>
    <row r="351">
      <c r="A351" t="s">
        <v>4539</v>
      </c>
      <c r="B351" s="254">
        <v>2395.0</v>
      </c>
      <c r="C351" s="256">
        <v>1.0</v>
      </c>
      <c r="D351" t="str">
        <f t="shared" si="5"/>
        <v>#REF!</v>
      </c>
      <c r="E351" t="str">
        <f t="shared" si="1"/>
        <v>#REF!</v>
      </c>
    </row>
    <row r="352">
      <c r="A352" t="s">
        <v>4542</v>
      </c>
      <c r="B352" s="254">
        <v>2395.0</v>
      </c>
      <c r="C352" s="256">
        <v>0.0</v>
      </c>
      <c r="D352" t="str">
        <f t="shared" si="5"/>
        <v>#REF!</v>
      </c>
      <c r="E352" t="str">
        <f t="shared" si="1"/>
        <v>#REF!</v>
      </c>
    </row>
    <row r="353">
      <c r="A353" t="s">
        <v>4542</v>
      </c>
      <c r="B353" s="254">
        <v>2395.0</v>
      </c>
      <c r="C353" s="256">
        <v>1.0</v>
      </c>
      <c r="D353" t="str">
        <f t="shared" si="5"/>
        <v>#REF!</v>
      </c>
      <c r="E353" t="str">
        <f t="shared" si="1"/>
        <v>#REF!</v>
      </c>
    </row>
    <row r="354">
      <c r="A354" t="s">
        <v>4610</v>
      </c>
      <c r="B354" s="254">
        <v>850.0</v>
      </c>
      <c r="C354" s="256">
        <v>0.0</v>
      </c>
      <c r="D354" t="str">
        <f t="shared" si="5"/>
        <v>#REF!</v>
      </c>
      <c r="E354" t="str">
        <f t="shared" si="1"/>
        <v>#REF!</v>
      </c>
    </row>
    <row r="355">
      <c r="A355" t="s">
        <v>4610</v>
      </c>
      <c r="B355" s="254">
        <v>850.0</v>
      </c>
      <c r="C355" s="256">
        <v>0.0</v>
      </c>
      <c r="D355" t="str">
        <f t="shared" si="5"/>
        <v>#REF!</v>
      </c>
      <c r="E355" t="str">
        <f t="shared" si="1"/>
        <v>#REF!</v>
      </c>
    </row>
    <row r="356">
      <c r="A356" t="s">
        <v>4612</v>
      </c>
      <c r="B356" s="254">
        <v>895.0</v>
      </c>
      <c r="C356" s="287">
        <v>0.0</v>
      </c>
      <c r="D356" t="str">
        <f t="shared" si="5"/>
        <v>#REF!</v>
      </c>
      <c r="E356" t="str">
        <f t="shared" si="1"/>
        <v>#REF!</v>
      </c>
    </row>
    <row r="357">
      <c r="A357" t="s">
        <v>4843</v>
      </c>
      <c r="B357" s="254">
        <v>850.0</v>
      </c>
      <c r="C357" s="256">
        <v>0.0</v>
      </c>
      <c r="D357" t="str">
        <f t="shared" si="5"/>
        <v>#REF!</v>
      </c>
      <c r="E357" t="str">
        <f t="shared" si="1"/>
        <v>#REF!</v>
      </c>
    </row>
    <row r="358">
      <c r="A358" t="s">
        <v>4843</v>
      </c>
      <c r="B358" s="254">
        <v>850.0</v>
      </c>
      <c r="C358" s="256">
        <v>0.0</v>
      </c>
      <c r="D358" t="str">
        <f t="shared" si="5"/>
        <v>#REF!</v>
      </c>
      <c r="E358" t="str">
        <f t="shared" si="1"/>
        <v>#REF!</v>
      </c>
    </row>
    <row r="359">
      <c r="A359" t="s">
        <v>4845</v>
      </c>
      <c r="B359" s="254">
        <v>895.0</v>
      </c>
      <c r="C359" s="256">
        <v>0.0</v>
      </c>
      <c r="D359" t="str">
        <f t="shared" si="5"/>
        <v>#REF!</v>
      </c>
      <c r="E359" t="str">
        <f t="shared" si="1"/>
        <v>#REF!</v>
      </c>
    </row>
    <row r="360">
      <c r="A360" t="s">
        <v>4614</v>
      </c>
      <c r="B360" s="254">
        <v>1195.0</v>
      </c>
      <c r="C360" s="256">
        <v>0.0</v>
      </c>
      <c r="D360" t="str">
        <f t="shared" si="5"/>
        <v>#REF!</v>
      </c>
      <c r="E360" t="str">
        <f t="shared" si="1"/>
        <v>#REF!</v>
      </c>
    </row>
    <row r="361">
      <c r="A361" t="s">
        <v>4544</v>
      </c>
      <c r="B361" s="254">
        <v>2295.0</v>
      </c>
      <c r="C361" s="256">
        <v>1.0</v>
      </c>
      <c r="D361" t="str">
        <f t="shared" si="5"/>
        <v>#REF!</v>
      </c>
      <c r="E361" t="str">
        <f t="shared" si="1"/>
        <v>#REF!</v>
      </c>
    </row>
    <row r="362">
      <c r="A362" t="s">
        <v>4616</v>
      </c>
      <c r="B362" s="254">
        <v>1550.0</v>
      </c>
      <c r="C362" s="256">
        <v>1.0</v>
      </c>
      <c r="D362" t="str">
        <f t="shared" si="5"/>
        <v>#REF!</v>
      </c>
      <c r="E362" t="str">
        <f t="shared" si="1"/>
        <v>#REF!</v>
      </c>
    </row>
    <row r="363">
      <c r="A363" t="s">
        <v>4618</v>
      </c>
      <c r="B363" s="254">
        <v>1195.0</v>
      </c>
      <c r="C363" s="256">
        <v>0.0</v>
      </c>
      <c r="D363" t="str">
        <f t="shared" si="5"/>
        <v>#REF!</v>
      </c>
      <c r="E363" t="str">
        <f t="shared" si="1"/>
        <v>#REF!</v>
      </c>
    </row>
    <row r="364">
      <c r="A364" t="s">
        <v>4861</v>
      </c>
      <c r="B364" s="254">
        <v>1195.0</v>
      </c>
      <c r="C364" s="256">
        <v>0.0</v>
      </c>
      <c r="D364" t="str">
        <f t="shared" si="5"/>
        <v>#REF!</v>
      </c>
      <c r="E364" t="str">
        <f t="shared" si="1"/>
        <v>#REF!</v>
      </c>
    </row>
    <row r="365">
      <c r="A365" t="s">
        <v>4863</v>
      </c>
      <c r="B365" s="254">
        <v>995.0</v>
      </c>
      <c r="C365" s="256">
        <v>0.0</v>
      </c>
      <c r="D365" t="str">
        <f t="shared" si="5"/>
        <v>#REF!</v>
      </c>
      <c r="E365" t="str">
        <f t="shared" si="1"/>
        <v>#REF!</v>
      </c>
    </row>
    <row r="366">
      <c r="A366" t="s">
        <v>4619</v>
      </c>
      <c r="B366" s="254">
        <v>1450.0</v>
      </c>
      <c r="C366" s="256">
        <v>0.0</v>
      </c>
      <c r="D366" t="str">
        <f t="shared" si="5"/>
        <v>#REF!</v>
      </c>
      <c r="E366" t="str">
        <f t="shared" si="1"/>
        <v>#REF!</v>
      </c>
    </row>
    <row r="367">
      <c r="A367" t="s">
        <v>4621</v>
      </c>
      <c r="B367" s="254">
        <v>1495.0</v>
      </c>
      <c r="C367" s="256">
        <v>0.0</v>
      </c>
      <c r="D367" t="str">
        <f t="shared" si="5"/>
        <v>#REF!</v>
      </c>
      <c r="E367" t="str">
        <f t="shared" si="1"/>
        <v>#REF!</v>
      </c>
    </row>
    <row r="368">
      <c r="A368" t="s">
        <v>4623</v>
      </c>
      <c r="B368" s="254">
        <v>1495.0</v>
      </c>
      <c r="C368" s="256">
        <v>0.0</v>
      </c>
      <c r="D368" t="str">
        <f t="shared" si="5"/>
        <v>#REF!</v>
      </c>
      <c r="E368" t="str">
        <f t="shared" si="1"/>
        <v>#REF!</v>
      </c>
    </row>
    <row r="369">
      <c r="A369" t="s">
        <v>4874</v>
      </c>
      <c r="B369" s="254">
        <v>1495.0</v>
      </c>
      <c r="C369" s="256">
        <v>0.0</v>
      </c>
      <c r="D369" t="str">
        <f t="shared" si="5"/>
        <v>#REF!</v>
      </c>
      <c r="E369" t="str">
        <f t="shared" si="1"/>
        <v>#REF!</v>
      </c>
    </row>
    <row r="370">
      <c r="A370" t="s">
        <v>4878</v>
      </c>
      <c r="B370" s="254">
        <v>1495.0</v>
      </c>
      <c r="C370" s="256">
        <v>0.0</v>
      </c>
      <c r="D370" t="str">
        <f t="shared" si="5"/>
        <v>#REF!</v>
      </c>
      <c r="E370" t="str">
        <f t="shared" si="1"/>
        <v>#REF!</v>
      </c>
    </row>
    <row r="371">
      <c r="A371" t="s">
        <v>4546</v>
      </c>
      <c r="B371" s="254">
        <v>1950.0</v>
      </c>
      <c r="C371" s="256">
        <v>2.0</v>
      </c>
      <c r="D371" t="str">
        <f t="shared" si="5"/>
        <v>#REF!</v>
      </c>
      <c r="E371" t="str">
        <f t="shared" si="1"/>
        <v>#REF!</v>
      </c>
    </row>
    <row r="372">
      <c r="A372" t="s">
        <v>4549</v>
      </c>
      <c r="B372" s="254">
        <v>1395.0</v>
      </c>
      <c r="C372" s="256">
        <v>1.0</v>
      </c>
      <c r="D372" t="str">
        <f t="shared" si="5"/>
        <v>#REF!</v>
      </c>
      <c r="E372" t="str">
        <f t="shared" si="1"/>
        <v>#REF!</v>
      </c>
    </row>
    <row r="373">
      <c r="A373" t="s">
        <v>4627</v>
      </c>
      <c r="B373" s="254">
        <v>1650.0</v>
      </c>
      <c r="C373" s="256">
        <v>0.0</v>
      </c>
      <c r="D373" t="str">
        <f t="shared" si="5"/>
        <v>#REF!</v>
      </c>
      <c r="E373" t="str">
        <f t="shared" si="1"/>
        <v>#REF!</v>
      </c>
    </row>
    <row r="374">
      <c r="A374" t="s">
        <v>4629</v>
      </c>
      <c r="B374" s="254">
        <v>1295.0</v>
      </c>
      <c r="C374" s="256">
        <v>0.0</v>
      </c>
      <c r="D374" t="str">
        <f t="shared" si="5"/>
        <v>#REF!</v>
      </c>
      <c r="E374" t="str">
        <f t="shared" si="1"/>
        <v>#REF!</v>
      </c>
    </row>
    <row r="375">
      <c r="A375" t="s">
        <v>4631</v>
      </c>
      <c r="B375" s="254">
        <v>1295.0</v>
      </c>
      <c r="C375" s="256">
        <v>1.0</v>
      </c>
      <c r="D375" t="str">
        <f t="shared" si="5"/>
        <v>#REF!</v>
      </c>
      <c r="E375" t="str">
        <f t="shared" si="1"/>
        <v>#REF!</v>
      </c>
    </row>
    <row r="376">
      <c r="A376" t="s">
        <v>4882</v>
      </c>
      <c r="B376" s="254">
        <v>1295.0</v>
      </c>
      <c r="C376" s="256">
        <v>0.0</v>
      </c>
      <c r="D376" t="str">
        <f t="shared" si="5"/>
        <v>#REF!</v>
      </c>
      <c r="E376" t="str">
        <f t="shared" si="1"/>
        <v>#REF!</v>
      </c>
    </row>
    <row r="377">
      <c r="A377" t="s">
        <v>4884</v>
      </c>
      <c r="B377" s="254">
        <v>1295.0</v>
      </c>
      <c r="C377" s="256">
        <v>0.0</v>
      </c>
      <c r="D377" t="str">
        <f t="shared" si="5"/>
        <v>#REF!</v>
      </c>
      <c r="E377" t="str">
        <f t="shared" si="1"/>
        <v>#REF!</v>
      </c>
    </row>
    <row r="378">
      <c r="A378" t="s">
        <v>4886</v>
      </c>
      <c r="B378" s="254">
        <v>1495.0</v>
      </c>
      <c r="C378" s="256">
        <v>0.0</v>
      </c>
      <c r="D378" t="str">
        <f t="shared" si="5"/>
        <v>#REF!</v>
      </c>
      <c r="E378" t="str">
        <f t="shared" si="1"/>
        <v>#REF!</v>
      </c>
    </row>
    <row r="379">
      <c r="A379" t="s">
        <v>4888</v>
      </c>
      <c r="B379" s="254">
        <v>1295.0</v>
      </c>
      <c r="C379" s="256">
        <v>0.0</v>
      </c>
      <c r="D379" t="str">
        <f t="shared" si="5"/>
        <v>#REF!</v>
      </c>
      <c r="E379" t="str">
        <f t="shared" si="1"/>
        <v>#REF!</v>
      </c>
    </row>
    <row r="380">
      <c r="A380" t="s">
        <v>4892</v>
      </c>
      <c r="B380" s="254">
        <v>1495.0</v>
      </c>
      <c r="C380" s="256">
        <v>0.0</v>
      </c>
      <c r="D380" t="str">
        <f t="shared" si="5"/>
        <v>#REF!</v>
      </c>
      <c r="E380" t="str">
        <f t="shared" si="1"/>
        <v>#REF!</v>
      </c>
    </row>
    <row r="381">
      <c r="A381" t="s">
        <v>4633</v>
      </c>
      <c r="B381" s="254">
        <v>1595.0</v>
      </c>
      <c r="C381" s="256">
        <v>1.0</v>
      </c>
      <c r="D381" t="str">
        <f t="shared" si="5"/>
        <v>#REF!</v>
      </c>
      <c r="E381" t="str">
        <f t="shared" si="1"/>
        <v>#REF!</v>
      </c>
    </row>
    <row r="382">
      <c r="A382" t="s">
        <v>4894</v>
      </c>
      <c r="B382" s="254">
        <v>1495.0</v>
      </c>
      <c r="C382" s="256">
        <v>0.0</v>
      </c>
      <c r="D382" t="str">
        <f t="shared" si="5"/>
        <v>#REF!</v>
      </c>
      <c r="E382" t="str">
        <f t="shared" si="1"/>
        <v>#REF!</v>
      </c>
    </row>
    <row r="383">
      <c r="A383" t="s">
        <v>4635</v>
      </c>
      <c r="B383" s="254">
        <v>1395.0</v>
      </c>
      <c r="C383" s="256">
        <v>0.0</v>
      </c>
      <c r="D383" t="str">
        <f t="shared" si="5"/>
        <v>#REF!</v>
      </c>
      <c r="E383" t="str">
        <f t="shared" si="1"/>
        <v>#REF!</v>
      </c>
    </row>
    <row r="384">
      <c r="A384" t="s">
        <v>4898</v>
      </c>
      <c r="B384" s="254">
        <v>1395.0</v>
      </c>
      <c r="C384" s="256">
        <v>0.0</v>
      </c>
      <c r="D384" t="str">
        <f t="shared" si="5"/>
        <v>#REF!</v>
      </c>
      <c r="E384" t="str">
        <f t="shared" si="1"/>
        <v>#REF!</v>
      </c>
    </row>
    <row r="385">
      <c r="A385" t="s">
        <v>4637</v>
      </c>
      <c r="B385" s="254">
        <v>1750.0</v>
      </c>
      <c r="C385" s="256">
        <v>0.0</v>
      </c>
      <c r="D385" t="str">
        <f t="shared" si="5"/>
        <v>#REF!</v>
      </c>
      <c r="E385" t="str">
        <f t="shared" si="1"/>
        <v>#REF!</v>
      </c>
    </row>
    <row r="386">
      <c r="A386" t="s">
        <v>4638</v>
      </c>
      <c r="B386" s="254">
        <v>1495.0</v>
      </c>
      <c r="C386" s="256">
        <v>0.0</v>
      </c>
      <c r="D386" t="str">
        <f t="shared" si="5"/>
        <v>#REF!</v>
      </c>
      <c r="E386" t="str">
        <f t="shared" si="1"/>
        <v>#REF!</v>
      </c>
    </row>
    <row r="387">
      <c r="A387" t="s">
        <v>4902</v>
      </c>
      <c r="B387" s="254">
        <v>1695.0</v>
      </c>
      <c r="C387" s="256">
        <v>0.0</v>
      </c>
      <c r="D387" t="str">
        <f t="shared" si="5"/>
        <v>#REF!</v>
      </c>
      <c r="E387" t="str">
        <f t="shared" si="1"/>
        <v>#REF!</v>
      </c>
    </row>
    <row r="388">
      <c r="A388" t="s">
        <v>4904</v>
      </c>
      <c r="B388" s="254">
        <v>1595.0</v>
      </c>
      <c r="C388" s="256">
        <v>0.0</v>
      </c>
      <c r="D388" t="str">
        <f t="shared" si="5"/>
        <v>#REF!</v>
      </c>
      <c r="E388" t="str">
        <f t="shared" si="1"/>
        <v>#REF!</v>
      </c>
    </row>
    <row r="389">
      <c r="A389" t="s">
        <v>4640</v>
      </c>
      <c r="B389" s="254">
        <v>1695.0</v>
      </c>
      <c r="C389" s="256">
        <v>0.0</v>
      </c>
      <c r="D389" t="str">
        <f t="shared" si="5"/>
        <v>#REF!</v>
      </c>
      <c r="E389" t="str">
        <f t="shared" si="1"/>
        <v>#REF!</v>
      </c>
    </row>
    <row r="390">
      <c r="A390" t="s">
        <v>4913</v>
      </c>
      <c r="B390" s="254">
        <v>1795.0</v>
      </c>
      <c r="C390" s="256">
        <v>0.0</v>
      </c>
      <c r="D390" t="str">
        <f t="shared" si="5"/>
        <v>#REF!</v>
      </c>
      <c r="E390" t="str">
        <f t="shared" si="1"/>
        <v>#REF!</v>
      </c>
    </row>
    <row r="391">
      <c r="A391" t="s">
        <v>4642</v>
      </c>
      <c r="B391" s="254">
        <v>1495.0</v>
      </c>
      <c r="C391" s="256">
        <v>0.0</v>
      </c>
      <c r="D391" t="str">
        <f t="shared" si="5"/>
        <v>#REF!</v>
      </c>
      <c r="E391" t="str">
        <f t="shared" si="1"/>
        <v>#REF!</v>
      </c>
    </row>
    <row r="392">
      <c r="A392" t="s">
        <v>4550</v>
      </c>
      <c r="B392" s="254">
        <v>2450.0</v>
      </c>
      <c r="C392" s="256">
        <v>1.0</v>
      </c>
      <c r="D392" t="str">
        <f t="shared" si="5"/>
        <v>#REF!</v>
      </c>
      <c r="E392" t="str">
        <f t="shared" si="1"/>
        <v>#REF!</v>
      </c>
    </row>
    <row r="393">
      <c r="A393" t="s">
        <v>4935</v>
      </c>
      <c r="B393" s="254">
        <v>895.0</v>
      </c>
      <c r="C393" s="256">
        <v>0.0</v>
      </c>
      <c r="D393" t="str">
        <f t="shared" si="5"/>
        <v>#REF!</v>
      </c>
      <c r="E393" t="str">
        <f t="shared" si="1"/>
        <v>#REF!</v>
      </c>
    </row>
    <row r="394">
      <c r="A394" t="s">
        <v>4941</v>
      </c>
      <c r="B394" s="254">
        <v>995.0</v>
      </c>
      <c r="C394" s="256">
        <v>0.0</v>
      </c>
      <c r="D394" t="str">
        <f t="shared" si="5"/>
        <v>#REF!</v>
      </c>
      <c r="E394" t="str">
        <f t="shared" si="1"/>
        <v>#REF!</v>
      </c>
    </row>
    <row r="395">
      <c r="A395" t="s">
        <v>4943</v>
      </c>
      <c r="B395" s="254">
        <v>1250.0</v>
      </c>
      <c r="C395" s="256">
        <v>0.0</v>
      </c>
      <c r="D395" t="str">
        <f t="shared" si="5"/>
        <v>#REF!</v>
      </c>
      <c r="E395" t="str">
        <f t="shared" si="1"/>
        <v>#REF!</v>
      </c>
    </row>
    <row r="396">
      <c r="A396" t="s">
        <v>4957</v>
      </c>
      <c r="B396" s="254">
        <v>950.0</v>
      </c>
      <c r="C396" s="256">
        <v>0.0</v>
      </c>
      <c r="D396" t="str">
        <f t="shared" si="5"/>
        <v>#REF!</v>
      </c>
      <c r="E396" t="str">
        <f t="shared" si="1"/>
        <v>#REF!</v>
      </c>
    </row>
    <row r="397">
      <c r="A397" t="s">
        <v>4645</v>
      </c>
      <c r="B397" s="254">
        <v>950.0</v>
      </c>
      <c r="C397" s="256">
        <v>0.0</v>
      </c>
      <c r="D397" t="str">
        <f t="shared" si="5"/>
        <v>#REF!</v>
      </c>
      <c r="E397" t="str">
        <f t="shared" si="1"/>
        <v>#REF!</v>
      </c>
    </row>
    <row r="398">
      <c r="A398" t="s">
        <v>4647</v>
      </c>
      <c r="B398" s="254">
        <v>695.0</v>
      </c>
      <c r="C398" s="256">
        <v>0.0</v>
      </c>
      <c r="D398" t="str">
        <f t="shared" si="5"/>
        <v>#REF!</v>
      </c>
      <c r="E398" t="str">
        <f t="shared" si="1"/>
        <v>#REF!</v>
      </c>
    </row>
    <row r="399">
      <c r="A399" t="s">
        <v>4965</v>
      </c>
      <c r="B399" s="254">
        <v>695.0</v>
      </c>
      <c r="C399" s="256">
        <v>0.0</v>
      </c>
      <c r="D399" t="str">
        <f t="shared" si="5"/>
        <v>#REF!</v>
      </c>
      <c r="E399" t="str">
        <f t="shared" si="1"/>
        <v>#REF!</v>
      </c>
    </row>
    <row r="400">
      <c r="A400" t="s">
        <v>4649</v>
      </c>
      <c r="B400" s="254">
        <v>950.0</v>
      </c>
      <c r="C400" s="256">
        <v>1.0</v>
      </c>
      <c r="D400" t="str">
        <f t="shared" si="5"/>
        <v>#REF!</v>
      </c>
      <c r="E400" t="str">
        <f t="shared" si="1"/>
        <v>#REF!</v>
      </c>
    </row>
    <row r="401">
      <c r="A401" t="s">
        <v>4651</v>
      </c>
      <c r="B401" s="254">
        <v>850.0</v>
      </c>
      <c r="C401" s="256">
        <v>0.0</v>
      </c>
      <c r="D401" t="str">
        <f t="shared" si="5"/>
        <v>#REF!</v>
      </c>
      <c r="E401" t="str">
        <f t="shared" si="1"/>
        <v>#REF!</v>
      </c>
    </row>
    <row r="402">
      <c r="A402" t="s">
        <v>4996</v>
      </c>
      <c r="B402" s="254">
        <v>1050.0</v>
      </c>
      <c r="C402" s="256">
        <v>0.0</v>
      </c>
      <c r="D402" t="str">
        <f t="shared" si="5"/>
        <v>#REF!</v>
      </c>
      <c r="E402" t="str">
        <f t="shared" si="1"/>
        <v>#REF!</v>
      </c>
    </row>
    <row r="403">
      <c r="A403" t="s">
        <v>4653</v>
      </c>
      <c r="B403" s="254">
        <v>850.0</v>
      </c>
      <c r="C403" s="256">
        <v>0.0</v>
      </c>
      <c r="D403" t="str">
        <f t="shared" si="5"/>
        <v>#REF!</v>
      </c>
      <c r="E403" t="str">
        <f t="shared" si="1"/>
        <v>#REF!</v>
      </c>
    </row>
    <row r="404">
      <c r="A404" t="s">
        <v>4655</v>
      </c>
      <c r="B404" s="254">
        <v>950.0</v>
      </c>
      <c r="C404" s="256">
        <v>0.0</v>
      </c>
      <c r="D404" t="str">
        <f t="shared" si="5"/>
        <v>#REF!</v>
      </c>
      <c r="E404" t="str">
        <f t="shared" si="1"/>
        <v>#REF!</v>
      </c>
    </row>
    <row r="405">
      <c r="A405" t="s">
        <v>4657</v>
      </c>
      <c r="B405" s="254">
        <v>950.0</v>
      </c>
      <c r="C405" s="256">
        <v>0.0</v>
      </c>
      <c r="D405" t="str">
        <f t="shared" si="5"/>
        <v>#REF!</v>
      </c>
      <c r="E405" t="str">
        <f t="shared" si="1"/>
        <v>#REF!</v>
      </c>
    </row>
    <row r="406">
      <c r="A406" t="s">
        <v>4553</v>
      </c>
      <c r="B406" s="254">
        <v>995.0</v>
      </c>
      <c r="C406" s="256">
        <v>1.0</v>
      </c>
      <c r="D406" t="str">
        <f t="shared" si="5"/>
        <v>#REF!</v>
      </c>
      <c r="E406" t="str">
        <f t="shared" si="1"/>
        <v>#REF!</v>
      </c>
    </row>
    <row r="407">
      <c r="A407" t="s">
        <v>5008</v>
      </c>
      <c r="B407" s="254">
        <v>850.0</v>
      </c>
      <c r="C407" s="256">
        <v>0.0</v>
      </c>
      <c r="D407" t="str">
        <f t="shared" si="5"/>
        <v>#REF!</v>
      </c>
      <c r="E407" t="str">
        <f t="shared" si="1"/>
        <v>#REF!</v>
      </c>
    </row>
    <row r="408">
      <c r="A408" t="s">
        <v>4660</v>
      </c>
      <c r="B408" s="254">
        <v>850.0</v>
      </c>
      <c r="C408" s="256">
        <v>0.0</v>
      </c>
      <c r="D408" t="str">
        <f t="shared" si="5"/>
        <v>#REF!</v>
      </c>
      <c r="E408" t="str">
        <f t="shared" si="1"/>
        <v>#REF!</v>
      </c>
    </row>
    <row r="409">
      <c r="A409" t="s">
        <v>4663</v>
      </c>
      <c r="B409" s="254">
        <v>1050.0</v>
      </c>
      <c r="C409" s="256">
        <v>0.0</v>
      </c>
      <c r="D409" t="str">
        <f t="shared" si="5"/>
        <v>#REF!</v>
      </c>
      <c r="E409" t="str">
        <f t="shared" si="1"/>
        <v>#REF!</v>
      </c>
    </row>
    <row r="410">
      <c r="A410" t="s">
        <v>4661</v>
      </c>
      <c r="B410" s="254">
        <v>995.0</v>
      </c>
      <c r="C410" s="256">
        <v>0.0</v>
      </c>
      <c r="D410" t="str">
        <f t="shared" si="5"/>
        <v>#REF!</v>
      </c>
      <c r="E410" t="str">
        <f t="shared" si="1"/>
        <v>#REF!</v>
      </c>
    </row>
    <row r="411">
      <c r="A411" t="s">
        <v>5016</v>
      </c>
      <c r="B411" s="254">
        <v>850.0</v>
      </c>
      <c r="C411" s="256">
        <v>0.0</v>
      </c>
      <c r="D411" t="str">
        <f t="shared" si="5"/>
        <v>#REF!</v>
      </c>
      <c r="E411" t="str">
        <f t="shared" si="1"/>
        <v>#REF!</v>
      </c>
    </row>
    <row r="412">
      <c r="A412" t="s">
        <v>4556</v>
      </c>
      <c r="B412" s="254">
        <v>895.0</v>
      </c>
      <c r="C412" s="256">
        <v>1.0</v>
      </c>
      <c r="D412" t="str">
        <f t="shared" si="5"/>
        <v>#REF!</v>
      </c>
      <c r="E412" t="str">
        <f t="shared" si="1"/>
        <v>#REF!</v>
      </c>
    </row>
    <row r="413">
      <c r="A413" t="s">
        <v>4666</v>
      </c>
      <c r="B413" s="254">
        <v>895.0</v>
      </c>
      <c r="C413" s="254">
        <v>0.0</v>
      </c>
      <c r="D413" t="str">
        <f t="shared" si="5"/>
        <v>#REF!</v>
      </c>
      <c r="E413" t="str">
        <f t="shared" si="1"/>
        <v>#REF!</v>
      </c>
    </row>
    <row r="414">
      <c r="A414" t="s">
        <v>5071</v>
      </c>
      <c r="B414" s="254">
        <v>1495.0</v>
      </c>
      <c r="C414" s="256">
        <v>0.0</v>
      </c>
      <c r="D414" t="str">
        <f t="shared" si="5"/>
        <v>#REF!</v>
      </c>
      <c r="E414" t="str">
        <f t="shared" si="1"/>
        <v>#REF!</v>
      </c>
    </row>
    <row r="415">
      <c r="A415" t="s">
        <v>4668</v>
      </c>
      <c r="B415" s="254">
        <v>1895.0</v>
      </c>
      <c r="C415" s="256">
        <v>0.0</v>
      </c>
      <c r="D415" t="str">
        <f t="shared" si="5"/>
        <v>#REF!</v>
      </c>
      <c r="E415" t="str">
        <f t="shared" si="1"/>
        <v>#REF!</v>
      </c>
    </row>
    <row r="416">
      <c r="A416" t="s">
        <v>5055</v>
      </c>
      <c r="B416" s="254">
        <v>1895.0</v>
      </c>
      <c r="C416" s="256">
        <v>0.0</v>
      </c>
      <c r="D416" t="str">
        <f t="shared" si="5"/>
        <v>#REF!</v>
      </c>
      <c r="E416" t="str">
        <f t="shared" si="1"/>
        <v>#REF!</v>
      </c>
    </row>
    <row r="417">
      <c r="A417" t="s">
        <v>11529</v>
      </c>
      <c r="B417" s="254"/>
      <c r="C417" s="256">
        <v>0.0</v>
      </c>
      <c r="D417" t="str">
        <f t="shared" si="5"/>
        <v>#REF!</v>
      </c>
      <c r="E417" t="str">
        <f t="shared" si="1"/>
        <v>#REF!</v>
      </c>
    </row>
    <row r="418">
      <c r="A418" t="s">
        <v>6281</v>
      </c>
      <c r="B418" s="254"/>
      <c r="C418" s="290">
        <v>1.0</v>
      </c>
      <c r="D418" t="str">
        <f t="shared" si="5"/>
        <v>#REF!</v>
      </c>
      <c r="E418" t="str">
        <f t="shared" si="1"/>
        <v>#REF!</v>
      </c>
    </row>
    <row r="419">
      <c r="A419" t="s">
        <v>11530</v>
      </c>
      <c r="B419" s="254"/>
      <c r="C419" s="290">
        <v>0.0</v>
      </c>
      <c r="D419" t="str">
        <f t="shared" si="5"/>
        <v>#REF!</v>
      </c>
      <c r="E419" t="str">
        <f t="shared" si="1"/>
        <v>#REF!</v>
      </c>
    </row>
    <row r="420">
      <c r="A420" t="s">
        <v>11531</v>
      </c>
      <c r="B420" s="254"/>
      <c r="C420" s="290">
        <v>0.0</v>
      </c>
      <c r="D420" t="str">
        <f t="shared" si="5"/>
        <v>#REF!</v>
      </c>
      <c r="E420" t="str">
        <f t="shared" si="1"/>
        <v>#REF!</v>
      </c>
    </row>
    <row r="421">
      <c r="A421" t="s">
        <v>11532</v>
      </c>
      <c r="B421" s="254"/>
      <c r="C421" s="290">
        <v>0.0</v>
      </c>
      <c r="D421" t="str">
        <f t="shared" si="5"/>
        <v>#REF!</v>
      </c>
      <c r="E421" t="str">
        <f t="shared" si="1"/>
        <v>#REF!</v>
      </c>
    </row>
    <row r="422">
      <c r="A422" t="s">
        <v>11533</v>
      </c>
      <c r="B422" s="254"/>
      <c r="C422" s="290">
        <v>0.0</v>
      </c>
      <c r="D422" t="str">
        <f t="shared" si="5"/>
        <v>#REF!</v>
      </c>
      <c r="E422" t="str">
        <f t="shared" si="1"/>
        <v>#REF!</v>
      </c>
    </row>
    <row r="423">
      <c r="A423" t="s">
        <v>11534</v>
      </c>
      <c r="B423" s="254"/>
      <c r="C423" s="290">
        <v>0.0</v>
      </c>
      <c r="D423" t="str">
        <f t="shared" si="5"/>
        <v>#REF!</v>
      </c>
      <c r="E423" t="str">
        <f t="shared" si="1"/>
        <v>#REF!</v>
      </c>
    </row>
    <row r="424">
      <c r="A424" t="s">
        <v>11535</v>
      </c>
      <c r="B424" s="254"/>
      <c r="C424" s="290">
        <v>0.0</v>
      </c>
      <c r="D424" t="str">
        <f t="shared" si="5"/>
        <v>#REF!</v>
      </c>
      <c r="E424" t="str">
        <f t="shared" si="1"/>
        <v>#REF!</v>
      </c>
    </row>
    <row r="425">
      <c r="A425" t="s">
        <v>11536</v>
      </c>
      <c r="B425" s="254"/>
      <c r="C425" s="290">
        <v>0.0</v>
      </c>
      <c r="D425" t="str">
        <f t="shared" si="5"/>
        <v>#REF!</v>
      </c>
      <c r="E425" t="str">
        <f t="shared" si="1"/>
        <v>#REF!</v>
      </c>
    </row>
    <row r="426">
      <c r="A426" t="s">
        <v>11537</v>
      </c>
      <c r="B426" s="254"/>
      <c r="C426" s="290">
        <v>0.0</v>
      </c>
      <c r="D426" t="str">
        <f t="shared" si="5"/>
        <v>#REF!</v>
      </c>
      <c r="E426" t="str">
        <f t="shared" si="1"/>
        <v>#REF!</v>
      </c>
    </row>
    <row r="427">
      <c r="A427" t="s">
        <v>11538</v>
      </c>
      <c r="B427" s="254"/>
      <c r="C427" s="290">
        <v>0.0</v>
      </c>
      <c r="D427" t="str">
        <f t="shared" si="5"/>
        <v>#REF!</v>
      </c>
      <c r="E427" t="str">
        <f t="shared" si="1"/>
        <v>#REF!</v>
      </c>
    </row>
    <row r="428">
      <c r="A428" t="s">
        <v>11539</v>
      </c>
      <c r="B428" s="254"/>
      <c r="C428" s="290">
        <v>0.0</v>
      </c>
      <c r="D428" t="str">
        <f t="shared" si="5"/>
        <v>#REF!</v>
      </c>
      <c r="E428" t="str">
        <f t="shared" si="1"/>
        <v>#REF!</v>
      </c>
    </row>
    <row r="429">
      <c r="A429" t="s">
        <v>11540</v>
      </c>
      <c r="B429" s="254"/>
      <c r="C429" s="290">
        <v>0.0</v>
      </c>
      <c r="D429" t="str">
        <f t="shared" si="5"/>
        <v>#REF!</v>
      </c>
      <c r="E429" t="str">
        <f t="shared" si="1"/>
        <v>#REF!</v>
      </c>
    </row>
    <row r="430">
      <c r="A430" t="s">
        <v>11541</v>
      </c>
      <c r="B430" s="254"/>
      <c r="C430" s="290">
        <v>0.0</v>
      </c>
      <c r="D430" t="str">
        <f t="shared" si="5"/>
        <v>#REF!</v>
      </c>
      <c r="E430" t="str">
        <f t="shared" si="1"/>
        <v>#REF!</v>
      </c>
    </row>
    <row r="431">
      <c r="A431" t="s">
        <v>11542</v>
      </c>
      <c r="B431" s="254"/>
      <c r="C431" s="290">
        <v>0.0</v>
      </c>
      <c r="D431" t="str">
        <f t="shared" si="5"/>
        <v>#REF!</v>
      </c>
      <c r="E431" t="str">
        <f t="shared" si="1"/>
        <v>#REF!</v>
      </c>
    </row>
    <row r="432">
      <c r="A432" t="s">
        <v>11543</v>
      </c>
      <c r="B432" s="254"/>
      <c r="C432" s="290">
        <v>0.0</v>
      </c>
      <c r="D432" t="str">
        <f t="shared" si="5"/>
        <v>#REF!</v>
      </c>
      <c r="E432" t="str">
        <f t="shared" si="1"/>
        <v>#REF!</v>
      </c>
    </row>
    <row r="433">
      <c r="A433" t="s">
        <v>11544</v>
      </c>
      <c r="B433" s="254"/>
      <c r="C433" s="290">
        <v>0.0</v>
      </c>
      <c r="D433" t="str">
        <f t="shared" si="5"/>
        <v>#REF!</v>
      </c>
      <c r="E433" t="str">
        <f t="shared" si="1"/>
        <v>#REF!</v>
      </c>
    </row>
    <row r="434">
      <c r="A434" t="s">
        <v>11545</v>
      </c>
      <c r="B434" s="254"/>
      <c r="C434" s="290">
        <v>0.0</v>
      </c>
      <c r="D434" t="str">
        <f t="shared" si="5"/>
        <v>#REF!</v>
      </c>
      <c r="E434" t="str">
        <f t="shared" si="1"/>
        <v>#REF!</v>
      </c>
    </row>
    <row r="435">
      <c r="A435" t="s">
        <v>5555</v>
      </c>
      <c r="B435" s="254">
        <v>1800.0</v>
      </c>
      <c r="C435" s="256">
        <v>0.0</v>
      </c>
      <c r="D435" t="str">
        <f t="shared" si="5"/>
        <v>#REF!</v>
      </c>
      <c r="E435" t="str">
        <f t="shared" si="1"/>
        <v>#REF!</v>
      </c>
    </row>
    <row r="436">
      <c r="A436" t="s">
        <v>11546</v>
      </c>
      <c r="B436" s="254">
        <v>1800.0</v>
      </c>
      <c r="C436" s="256">
        <v>0.0</v>
      </c>
      <c r="D436" t="str">
        <f t="shared" si="5"/>
        <v>#REF!</v>
      </c>
      <c r="E436" t="str">
        <f t="shared" si="1"/>
        <v>#REF!</v>
      </c>
    </row>
    <row r="437">
      <c r="A437" t="s">
        <v>5565</v>
      </c>
      <c r="B437" s="254">
        <v>1800.0</v>
      </c>
      <c r="C437" s="256">
        <v>0.0</v>
      </c>
      <c r="D437" t="str">
        <f t="shared" si="5"/>
        <v>#REF!</v>
      </c>
      <c r="E437" t="str">
        <f t="shared" si="1"/>
        <v>#REF!</v>
      </c>
    </row>
    <row r="438">
      <c r="A438" t="s">
        <v>5597</v>
      </c>
      <c r="B438" s="254">
        <v>1800.0</v>
      </c>
      <c r="C438" s="256">
        <v>1.0</v>
      </c>
      <c r="D438" t="str">
        <f t="shared" si="5"/>
        <v>#REF!</v>
      </c>
      <c r="E438" t="str">
        <f t="shared" si="1"/>
        <v>#REF!</v>
      </c>
    </row>
    <row r="439">
      <c r="A439" t="s">
        <v>1302</v>
      </c>
      <c r="B439" s="254">
        <v>1800.0</v>
      </c>
      <c r="C439" s="256">
        <v>1.0</v>
      </c>
      <c r="D439" t="str">
        <f t="shared" si="5"/>
        <v>#REF!</v>
      </c>
      <c r="E439" t="str">
        <f t="shared" si="1"/>
        <v>#REF!</v>
      </c>
    </row>
    <row r="440">
      <c r="A440" t="s">
        <v>5588</v>
      </c>
      <c r="B440" s="254">
        <v>1800.0</v>
      </c>
      <c r="C440" s="256">
        <v>1.0</v>
      </c>
      <c r="D440" t="str">
        <f t="shared" si="5"/>
        <v>#REF!</v>
      </c>
      <c r="E440" t="str">
        <f t="shared" si="1"/>
        <v>#REF!</v>
      </c>
    </row>
    <row r="441">
      <c r="A441" t="s">
        <v>1303</v>
      </c>
      <c r="B441" s="254">
        <v>1800.0</v>
      </c>
      <c r="C441" s="256">
        <v>1.0</v>
      </c>
      <c r="D441" t="str">
        <f t="shared" si="5"/>
        <v>#REF!</v>
      </c>
      <c r="E441" t="str">
        <f t="shared" si="1"/>
        <v>#REF!</v>
      </c>
    </row>
    <row r="442">
      <c r="A442" t="s">
        <v>705</v>
      </c>
      <c r="B442" s="254">
        <v>1800.0</v>
      </c>
      <c r="C442" s="256">
        <v>1.0</v>
      </c>
      <c r="D442" t="str">
        <f t="shared" si="5"/>
        <v>#REF!</v>
      </c>
      <c r="E442" t="str">
        <f t="shared" si="1"/>
        <v>#REF!</v>
      </c>
    </row>
    <row r="443">
      <c r="A443" t="s">
        <v>706</v>
      </c>
      <c r="B443" s="254">
        <v>1800.0</v>
      </c>
      <c r="C443" s="287">
        <v>1.0</v>
      </c>
      <c r="D443" t="str">
        <f t="shared" si="5"/>
        <v>#REF!</v>
      </c>
      <c r="E443" t="str">
        <f t="shared" si="1"/>
        <v>#REF!</v>
      </c>
    </row>
    <row r="444">
      <c r="A444" t="s">
        <v>5598</v>
      </c>
      <c r="B444" s="254">
        <v>1800.0</v>
      </c>
      <c r="C444" s="256">
        <v>1.0</v>
      </c>
      <c r="D444" t="str">
        <f t="shared" si="5"/>
        <v>#REF!</v>
      </c>
      <c r="E444" t="str">
        <f t="shared" si="1"/>
        <v>#REF!</v>
      </c>
    </row>
    <row r="445">
      <c r="A445" t="s">
        <v>708</v>
      </c>
      <c r="B445" s="254">
        <v>1800.0</v>
      </c>
      <c r="C445" s="256">
        <v>1.0</v>
      </c>
      <c r="D445" t="str">
        <f t="shared" si="5"/>
        <v>#REF!</v>
      </c>
      <c r="E445" t="str">
        <f t="shared" si="1"/>
        <v>#REF!</v>
      </c>
    </row>
    <row r="446">
      <c r="A446" t="s">
        <v>709</v>
      </c>
      <c r="B446" s="254">
        <v>1800.0</v>
      </c>
      <c r="C446" s="256">
        <v>1.0</v>
      </c>
      <c r="D446" t="str">
        <f t="shared" si="5"/>
        <v>#REF!</v>
      </c>
      <c r="E446" t="str">
        <f t="shared" si="1"/>
        <v>#REF!</v>
      </c>
    </row>
    <row r="447">
      <c r="A447" t="s">
        <v>1304</v>
      </c>
      <c r="B447" s="254">
        <v>1800.0</v>
      </c>
      <c r="C447" s="256">
        <v>1.0</v>
      </c>
      <c r="D447" t="str">
        <f t="shared" si="5"/>
        <v>#REF!</v>
      </c>
      <c r="E447" t="str">
        <f t="shared" si="1"/>
        <v>#REF!</v>
      </c>
    </row>
    <row r="448">
      <c r="A448" t="s">
        <v>1306</v>
      </c>
      <c r="B448" s="254">
        <v>1800.0</v>
      </c>
      <c r="C448" s="256">
        <v>1.0</v>
      </c>
      <c r="D448" t="str">
        <f t="shared" si="5"/>
        <v>#REF!</v>
      </c>
      <c r="E448" t="str">
        <f t="shared" si="1"/>
        <v>#REF!</v>
      </c>
    </row>
    <row r="449">
      <c r="A449" t="s">
        <v>5567</v>
      </c>
      <c r="B449" s="254">
        <v>1800.0</v>
      </c>
      <c r="C449" s="256">
        <v>1.0</v>
      </c>
      <c r="D449" t="str">
        <f t="shared" si="5"/>
        <v>#REF!</v>
      </c>
      <c r="E449" t="str">
        <f t="shared" si="1"/>
        <v>#REF!</v>
      </c>
    </row>
    <row r="450">
      <c r="A450" t="s">
        <v>5574</v>
      </c>
      <c r="B450" s="254">
        <v>1800.0</v>
      </c>
      <c r="C450" s="287">
        <v>1.0</v>
      </c>
      <c r="D450" t="str">
        <f t="shared" si="5"/>
        <v>#REF!</v>
      </c>
      <c r="E450" t="str">
        <f t="shared" si="1"/>
        <v>#REF!</v>
      </c>
    </row>
    <row r="451">
      <c r="A451" t="s">
        <v>6176</v>
      </c>
      <c r="B451" s="254">
        <v>1800.0</v>
      </c>
      <c r="C451" s="287">
        <v>1.0</v>
      </c>
      <c r="D451" t="str">
        <f t="shared" si="5"/>
        <v>#REF!</v>
      </c>
      <c r="E451" t="str">
        <f t="shared" si="1"/>
        <v>#REF!</v>
      </c>
    </row>
    <row r="452">
      <c r="A452" t="s">
        <v>5578</v>
      </c>
      <c r="B452" s="254">
        <v>1800.0</v>
      </c>
      <c r="C452" s="256">
        <v>1.0</v>
      </c>
      <c r="D452" t="str">
        <f t="shared" si="5"/>
        <v>#REF!</v>
      </c>
      <c r="E452" t="str">
        <f t="shared" si="1"/>
        <v>#REF!</v>
      </c>
    </row>
    <row r="453">
      <c r="A453" t="s">
        <v>5583</v>
      </c>
      <c r="B453" s="254">
        <v>1800.0</v>
      </c>
      <c r="C453" s="256">
        <v>1.0</v>
      </c>
      <c r="D453" t="str">
        <f t="shared" si="5"/>
        <v>#REF!</v>
      </c>
      <c r="E453" t="str">
        <f t="shared" si="1"/>
        <v>#REF!</v>
      </c>
    </row>
    <row r="454">
      <c r="A454" t="s">
        <v>707</v>
      </c>
      <c r="B454" s="254">
        <v>1800.0</v>
      </c>
      <c r="C454" s="256">
        <v>1.0</v>
      </c>
      <c r="D454" t="str">
        <f t="shared" si="5"/>
        <v>#REF!</v>
      </c>
      <c r="E454" t="str">
        <f t="shared" si="1"/>
        <v>#REF!</v>
      </c>
    </row>
    <row r="455">
      <c r="A455" t="s">
        <v>11547</v>
      </c>
      <c r="B455" s="254">
        <v>1800.0</v>
      </c>
      <c r="C455" s="256">
        <v>0.0</v>
      </c>
      <c r="D455" t="str">
        <f t="shared" si="5"/>
        <v>#REF!</v>
      </c>
      <c r="E455" t="str">
        <f t="shared" si="1"/>
        <v>#REF!</v>
      </c>
    </row>
    <row r="456">
      <c r="A456" t="s">
        <v>6143</v>
      </c>
      <c r="B456" s="254">
        <v>1800.0</v>
      </c>
      <c r="C456" s="256">
        <v>1.0</v>
      </c>
      <c r="D456" t="str">
        <f t="shared" si="5"/>
        <v>#REF!</v>
      </c>
      <c r="E456" t="str">
        <f t="shared" si="1"/>
        <v>#REF!</v>
      </c>
    </row>
    <row r="457">
      <c r="A457" t="s">
        <v>710</v>
      </c>
      <c r="B457" s="254">
        <v>1800.0</v>
      </c>
      <c r="C457" s="256">
        <v>1.0</v>
      </c>
      <c r="D457" t="str">
        <f t="shared" si="5"/>
        <v>#REF!</v>
      </c>
      <c r="E457" t="str">
        <f t="shared" si="1"/>
        <v>#REF!</v>
      </c>
    </row>
    <row r="458">
      <c r="A458" t="s">
        <v>711</v>
      </c>
      <c r="B458" s="254">
        <v>1800.0</v>
      </c>
      <c r="C458" s="256">
        <v>1.0</v>
      </c>
      <c r="D458" t="str">
        <f t="shared" si="5"/>
        <v>#REF!</v>
      </c>
      <c r="E458" t="str">
        <f t="shared" si="1"/>
        <v>#REF!</v>
      </c>
    </row>
    <row r="459">
      <c r="A459" t="s">
        <v>6144</v>
      </c>
      <c r="B459" s="254">
        <v>1800.0</v>
      </c>
      <c r="C459" s="256">
        <v>1.0</v>
      </c>
      <c r="D459" t="str">
        <f t="shared" si="5"/>
        <v>#REF!</v>
      </c>
      <c r="E459" t="str">
        <f t="shared" si="1"/>
        <v>#REF!</v>
      </c>
    </row>
    <row r="460">
      <c r="A460" t="s">
        <v>5595</v>
      </c>
      <c r="B460" s="254">
        <v>1800.0</v>
      </c>
      <c r="C460" s="256">
        <v>1.0</v>
      </c>
      <c r="D460" t="str">
        <f t="shared" si="5"/>
        <v>#REF!</v>
      </c>
      <c r="E460" t="str">
        <f t="shared" si="1"/>
        <v>#REF!</v>
      </c>
    </row>
    <row r="461">
      <c r="A461" t="s">
        <v>5602</v>
      </c>
      <c r="B461" s="254">
        <v>1800.0</v>
      </c>
      <c r="C461" s="256">
        <v>1.0</v>
      </c>
      <c r="D461" t="str">
        <f t="shared" si="5"/>
        <v>#REF!</v>
      </c>
      <c r="E461" t="str">
        <f t="shared" si="1"/>
        <v>#REF!</v>
      </c>
    </row>
    <row r="462">
      <c r="A462" t="s">
        <v>11548</v>
      </c>
      <c r="B462" s="254">
        <v>1800.0</v>
      </c>
      <c r="C462" s="290">
        <v>0.0</v>
      </c>
      <c r="D462" t="str">
        <f t="shared" si="5"/>
        <v>#REF!</v>
      </c>
      <c r="E462" t="str">
        <f t="shared" si="1"/>
        <v>#REF!</v>
      </c>
    </row>
    <row r="463">
      <c r="A463" t="s">
        <v>5616</v>
      </c>
      <c r="B463" s="254">
        <v>1800.0</v>
      </c>
      <c r="C463" s="256">
        <v>1.0</v>
      </c>
      <c r="D463" t="str">
        <f t="shared" si="5"/>
        <v>#REF!</v>
      </c>
      <c r="E463" t="str">
        <f t="shared" si="1"/>
        <v>#REF!</v>
      </c>
    </row>
    <row r="464">
      <c r="A464" t="s">
        <v>6282</v>
      </c>
      <c r="B464" s="254">
        <v>1800.0</v>
      </c>
      <c r="C464" s="256">
        <v>1.0</v>
      </c>
      <c r="D464" t="str">
        <f t="shared" si="5"/>
        <v>#REF!</v>
      </c>
      <c r="E464" t="str">
        <f t="shared" si="1"/>
        <v>#REF!</v>
      </c>
    </row>
    <row r="465">
      <c r="A465" t="s">
        <v>5576</v>
      </c>
      <c r="B465" s="254">
        <v>1800.0</v>
      </c>
      <c r="C465" s="287">
        <v>1.0</v>
      </c>
      <c r="D465" t="str">
        <f t="shared" si="5"/>
        <v>#REF!</v>
      </c>
      <c r="E465" t="str">
        <f t="shared" si="1"/>
        <v>#REF!</v>
      </c>
    </row>
    <row r="466">
      <c r="A466" t="s">
        <v>6145</v>
      </c>
      <c r="B466" s="254">
        <v>1800.0</v>
      </c>
      <c r="C466" s="256">
        <v>1.0</v>
      </c>
      <c r="D466" t="str">
        <f t="shared" si="5"/>
        <v>#REF!</v>
      </c>
      <c r="E466" t="str">
        <f t="shared" si="1"/>
        <v>#REF!</v>
      </c>
    </row>
    <row r="467">
      <c r="A467" t="s">
        <v>5569</v>
      </c>
      <c r="B467" s="254">
        <v>1800.0</v>
      </c>
      <c r="C467" s="256">
        <v>1.0</v>
      </c>
      <c r="D467" t="str">
        <f t="shared" si="5"/>
        <v>#REF!</v>
      </c>
      <c r="E467" t="str">
        <f t="shared" si="1"/>
        <v>#REF!</v>
      </c>
    </row>
    <row r="468">
      <c r="A468" t="s">
        <v>11549</v>
      </c>
      <c r="B468" s="254">
        <v>1800.0</v>
      </c>
      <c r="C468" s="256">
        <v>0.0</v>
      </c>
      <c r="D468" t="str">
        <f t="shared" si="5"/>
        <v>#REF!</v>
      </c>
      <c r="E468" t="str">
        <f t="shared" si="1"/>
        <v>#REF!</v>
      </c>
    </row>
    <row r="469">
      <c r="A469" t="s">
        <v>1307</v>
      </c>
      <c r="B469" s="254">
        <v>1800.0</v>
      </c>
      <c r="C469" s="256">
        <v>1.0</v>
      </c>
      <c r="D469" t="str">
        <f t="shared" si="5"/>
        <v>#REF!</v>
      </c>
      <c r="E469" t="str">
        <f t="shared" si="1"/>
        <v>#REF!</v>
      </c>
    </row>
    <row r="470">
      <c r="A470" t="s">
        <v>6146</v>
      </c>
      <c r="B470" s="254">
        <v>1800.0</v>
      </c>
      <c r="C470" s="256">
        <v>1.0</v>
      </c>
      <c r="D470" t="str">
        <f t="shared" si="5"/>
        <v>#REF!</v>
      </c>
      <c r="E470" t="str">
        <f t="shared" si="1"/>
        <v>#REF!</v>
      </c>
    </row>
    <row r="471">
      <c r="A471" t="s">
        <v>1309</v>
      </c>
      <c r="B471" s="254">
        <v>1800.0</v>
      </c>
      <c r="C471" s="256">
        <v>1.0</v>
      </c>
      <c r="D471" t="str">
        <f t="shared" si="5"/>
        <v>#REF!</v>
      </c>
      <c r="E471" t="str">
        <f t="shared" si="1"/>
        <v>#REF!</v>
      </c>
    </row>
    <row r="472">
      <c r="A472" t="s">
        <v>5584</v>
      </c>
      <c r="B472" s="254">
        <v>1800.0</v>
      </c>
      <c r="C472" s="256">
        <v>1.0</v>
      </c>
      <c r="D472" t="str">
        <f t="shared" si="5"/>
        <v>#REF!</v>
      </c>
      <c r="E472" t="str">
        <f t="shared" si="1"/>
        <v>#REF!</v>
      </c>
    </row>
    <row r="473">
      <c r="A473" t="s">
        <v>6174</v>
      </c>
      <c r="B473" s="254">
        <v>2000.0</v>
      </c>
      <c r="C473" s="287">
        <v>1.0</v>
      </c>
      <c r="D473" t="str">
        <f t="shared" si="5"/>
        <v>#REF!</v>
      </c>
      <c r="E473" t="str">
        <f t="shared" si="1"/>
        <v>#REF!</v>
      </c>
    </row>
    <row r="474">
      <c r="A474" t="s">
        <v>5661</v>
      </c>
      <c r="B474" s="254">
        <v>2000.0</v>
      </c>
      <c r="C474" s="287">
        <v>0.0</v>
      </c>
      <c r="D474" t="str">
        <f t="shared" si="5"/>
        <v>#REF!</v>
      </c>
      <c r="E474" t="str">
        <f t="shared" si="1"/>
        <v>#REF!</v>
      </c>
    </row>
    <row r="475">
      <c r="A475" t="s">
        <v>1334</v>
      </c>
      <c r="B475" s="254">
        <v>2000.0</v>
      </c>
      <c r="C475" s="287">
        <v>1.0</v>
      </c>
      <c r="D475" t="str">
        <f t="shared" si="5"/>
        <v>#REF!</v>
      </c>
      <c r="E475" t="str">
        <f t="shared" si="1"/>
        <v>#REF!</v>
      </c>
    </row>
    <row r="476">
      <c r="A476" t="s">
        <v>5675</v>
      </c>
      <c r="B476" s="254">
        <v>2000.0</v>
      </c>
      <c r="C476" s="287">
        <v>1.0</v>
      </c>
      <c r="D476" t="str">
        <f t="shared" si="5"/>
        <v>#REF!</v>
      </c>
      <c r="E476" t="str">
        <f t="shared" si="1"/>
        <v>#REF!</v>
      </c>
    </row>
    <row r="477">
      <c r="A477" t="s">
        <v>5673</v>
      </c>
      <c r="B477" s="254">
        <v>2000.0</v>
      </c>
      <c r="C477" s="287">
        <v>1.0</v>
      </c>
      <c r="D477" t="str">
        <f t="shared" si="5"/>
        <v>#REF!</v>
      </c>
      <c r="E477" t="str">
        <f t="shared" si="1"/>
        <v>#REF!</v>
      </c>
    </row>
    <row r="478">
      <c r="A478" t="s">
        <v>5658</v>
      </c>
      <c r="B478" s="254">
        <v>2000.0</v>
      </c>
      <c r="C478" s="287">
        <v>1.0</v>
      </c>
      <c r="D478" t="str">
        <f t="shared" si="5"/>
        <v>#REF!</v>
      </c>
      <c r="E478" t="str">
        <f t="shared" si="1"/>
        <v>#REF!</v>
      </c>
    </row>
    <row r="479">
      <c r="A479" t="s">
        <v>5674</v>
      </c>
      <c r="B479" s="254">
        <v>2000.0</v>
      </c>
      <c r="C479" s="287">
        <v>1.0</v>
      </c>
      <c r="D479" t="str">
        <f t="shared" si="5"/>
        <v>#REF!</v>
      </c>
      <c r="E479" t="str">
        <f t="shared" si="1"/>
        <v>#REF!</v>
      </c>
    </row>
    <row r="480">
      <c r="A480" t="s">
        <v>5657</v>
      </c>
      <c r="B480" s="254">
        <v>2000.0</v>
      </c>
      <c r="C480" s="287">
        <v>1.0</v>
      </c>
      <c r="D480" t="str">
        <f t="shared" si="5"/>
        <v>#REF!</v>
      </c>
      <c r="E480" t="str">
        <f t="shared" si="1"/>
        <v>#REF!</v>
      </c>
    </row>
    <row r="481">
      <c r="A481" t="s">
        <v>5653</v>
      </c>
      <c r="B481" s="254">
        <v>2000.0</v>
      </c>
      <c r="C481" s="287">
        <v>1.0</v>
      </c>
      <c r="D481" t="str">
        <f t="shared" si="5"/>
        <v>#REF!</v>
      </c>
      <c r="E481" t="str">
        <f t="shared" si="1"/>
        <v>#REF!</v>
      </c>
    </row>
    <row r="482">
      <c r="A482" t="s">
        <v>5659</v>
      </c>
      <c r="B482" s="254">
        <v>2000.0</v>
      </c>
      <c r="C482" s="287">
        <v>1.0</v>
      </c>
      <c r="D482" t="str">
        <f t="shared" si="5"/>
        <v>#REF!</v>
      </c>
      <c r="E482" t="str">
        <f t="shared" si="1"/>
        <v>#REF!</v>
      </c>
    </row>
    <row r="483">
      <c r="A483" t="s">
        <v>6173</v>
      </c>
      <c r="B483" s="254">
        <v>2000.0</v>
      </c>
      <c r="C483" s="287">
        <v>1.0</v>
      </c>
      <c r="D483" t="str">
        <f t="shared" si="5"/>
        <v>#REF!</v>
      </c>
      <c r="E483" t="str">
        <f t="shared" si="1"/>
        <v>#REF!</v>
      </c>
    </row>
    <row r="484">
      <c r="A484" t="s">
        <v>5672</v>
      </c>
      <c r="B484" s="254">
        <v>2000.0</v>
      </c>
      <c r="C484" s="287">
        <v>1.0</v>
      </c>
      <c r="D484" t="str">
        <f t="shared" si="5"/>
        <v>#REF!</v>
      </c>
      <c r="E484" t="str">
        <f t="shared" si="1"/>
        <v>#REF!</v>
      </c>
    </row>
    <row r="485">
      <c r="A485" t="s">
        <v>5669</v>
      </c>
      <c r="B485" s="254">
        <v>2000.0</v>
      </c>
      <c r="C485" s="287">
        <v>1.0</v>
      </c>
      <c r="D485" t="str">
        <f t="shared" si="5"/>
        <v>#REF!</v>
      </c>
      <c r="E485" t="str">
        <f t="shared" si="1"/>
        <v>#REF!</v>
      </c>
    </row>
    <row r="486">
      <c r="A486" t="s">
        <v>11550</v>
      </c>
      <c r="B486" s="254">
        <v>2000.0</v>
      </c>
      <c r="C486" s="287">
        <v>1.0</v>
      </c>
      <c r="D486" t="str">
        <f t="shared" si="5"/>
        <v>#REF!</v>
      </c>
      <c r="E486" t="str">
        <f t="shared" si="1"/>
        <v>#REF!</v>
      </c>
    </row>
    <row r="487">
      <c r="A487" t="s">
        <v>5665</v>
      </c>
      <c r="B487" s="254">
        <v>2000.0</v>
      </c>
      <c r="C487" s="287">
        <v>1.0</v>
      </c>
      <c r="D487" t="str">
        <f t="shared" si="5"/>
        <v>#REF!</v>
      </c>
      <c r="E487" t="str">
        <f t="shared" si="1"/>
        <v>#REF!</v>
      </c>
    </row>
    <row r="488">
      <c r="A488" t="s">
        <v>6139</v>
      </c>
      <c r="B488" s="254">
        <v>2000.0</v>
      </c>
      <c r="C488" s="287">
        <v>1.0</v>
      </c>
      <c r="D488" t="str">
        <f t="shared" si="5"/>
        <v>#REF!</v>
      </c>
      <c r="E488" t="str">
        <f t="shared" si="1"/>
        <v>#REF!</v>
      </c>
    </row>
    <row r="489">
      <c r="A489" t="s">
        <v>5666</v>
      </c>
      <c r="B489" s="254">
        <v>2000.0</v>
      </c>
      <c r="C489" s="287">
        <v>1.0</v>
      </c>
      <c r="D489" t="str">
        <f t="shared" si="5"/>
        <v>#REF!</v>
      </c>
      <c r="E489" t="str">
        <f t="shared" si="1"/>
        <v>#REF!</v>
      </c>
    </row>
    <row r="490">
      <c r="A490" t="s">
        <v>5664</v>
      </c>
      <c r="B490" s="254">
        <v>2000.0</v>
      </c>
      <c r="C490" s="287">
        <v>0.0</v>
      </c>
      <c r="D490" t="str">
        <f t="shared" si="5"/>
        <v>#REF!</v>
      </c>
      <c r="E490" t="str">
        <f t="shared" si="1"/>
        <v>#REF!</v>
      </c>
    </row>
    <row r="491">
      <c r="A491" t="s">
        <v>730</v>
      </c>
      <c r="B491" s="254">
        <v>2000.0</v>
      </c>
      <c r="C491" s="287">
        <v>1.0</v>
      </c>
      <c r="D491" t="str">
        <f t="shared" si="5"/>
        <v>#REF!</v>
      </c>
      <c r="E491" t="str">
        <f t="shared" si="1"/>
        <v>#REF!</v>
      </c>
    </row>
    <row r="492">
      <c r="A492" t="s">
        <v>5655</v>
      </c>
      <c r="B492" s="254">
        <v>2000.0</v>
      </c>
      <c r="C492" s="287">
        <v>1.0</v>
      </c>
      <c r="D492" t="str">
        <f t="shared" si="5"/>
        <v>#REF!</v>
      </c>
      <c r="E492" t="str">
        <f t="shared" si="1"/>
        <v>#REF!</v>
      </c>
    </row>
    <row r="493">
      <c r="A493" t="s">
        <v>5662</v>
      </c>
      <c r="B493" s="254">
        <v>2000.0</v>
      </c>
      <c r="C493" s="287">
        <v>1.0</v>
      </c>
      <c r="D493" t="str">
        <f t="shared" si="5"/>
        <v>#REF!</v>
      </c>
      <c r="E493" t="str">
        <f t="shared" si="1"/>
        <v>#REF!</v>
      </c>
    </row>
    <row r="494">
      <c r="A494" t="s">
        <v>722</v>
      </c>
      <c r="B494" s="254">
        <v>2000.0</v>
      </c>
      <c r="C494" s="287">
        <v>1.0</v>
      </c>
      <c r="D494" t="str">
        <f t="shared" si="5"/>
        <v>#REF!</v>
      </c>
      <c r="E494" t="str">
        <f t="shared" si="1"/>
        <v>#REF!</v>
      </c>
    </row>
    <row r="495">
      <c r="A495" t="s">
        <v>6070</v>
      </c>
      <c r="B495" s="254">
        <v>2000.0</v>
      </c>
      <c r="C495" s="287">
        <v>0.0</v>
      </c>
      <c r="D495" t="str">
        <f t="shared" si="5"/>
        <v>#REF!</v>
      </c>
      <c r="E495" t="str">
        <f t="shared" si="1"/>
        <v>#REF!</v>
      </c>
    </row>
    <row r="496">
      <c r="A496" t="s">
        <v>11551</v>
      </c>
      <c r="B496" s="254">
        <v>2250.0</v>
      </c>
      <c r="C496" s="256">
        <v>0.0</v>
      </c>
      <c r="D496" t="str">
        <f t="shared" si="5"/>
        <v>#REF!</v>
      </c>
      <c r="E496" t="str">
        <f t="shared" si="1"/>
        <v>#REF!</v>
      </c>
    </row>
    <row r="497">
      <c r="A497" t="s">
        <v>11552</v>
      </c>
      <c r="B497" s="254">
        <v>2250.0</v>
      </c>
      <c r="C497" s="256">
        <v>0.0</v>
      </c>
      <c r="D497" t="str">
        <f t="shared" si="5"/>
        <v>#REF!</v>
      </c>
      <c r="E497" t="str">
        <f t="shared" si="1"/>
        <v>#REF!</v>
      </c>
    </row>
    <row r="498">
      <c r="A498" t="s">
        <v>11553</v>
      </c>
      <c r="B498" s="254">
        <v>2250.0</v>
      </c>
      <c r="C498" s="256">
        <v>0.0</v>
      </c>
      <c r="D498" t="str">
        <f t="shared" si="5"/>
        <v>#REF!</v>
      </c>
      <c r="E498" t="str">
        <f t="shared" si="1"/>
        <v>#REF!</v>
      </c>
    </row>
    <row r="499">
      <c r="A499" t="s">
        <v>11554</v>
      </c>
      <c r="B499" s="254">
        <v>2250.0</v>
      </c>
      <c r="C499" s="256">
        <v>0.0</v>
      </c>
      <c r="D499" t="str">
        <f t="shared" si="5"/>
        <v>#REF!</v>
      </c>
      <c r="E499" t="str">
        <f t="shared" si="1"/>
        <v>#REF!</v>
      </c>
    </row>
    <row r="500">
      <c r="A500" t="s">
        <v>11555</v>
      </c>
      <c r="B500" s="254">
        <v>2250.0</v>
      </c>
      <c r="C500" s="256">
        <v>0.0</v>
      </c>
      <c r="D500" t="str">
        <f t="shared" si="5"/>
        <v>#REF!</v>
      </c>
      <c r="E500" t="str">
        <f t="shared" si="1"/>
        <v>#REF!</v>
      </c>
    </row>
    <row r="501">
      <c r="A501" t="s">
        <v>11556</v>
      </c>
      <c r="B501" s="254">
        <v>2250.0</v>
      </c>
      <c r="C501" s="256">
        <v>0.0</v>
      </c>
      <c r="D501" t="str">
        <f t="shared" si="5"/>
        <v>#REF!</v>
      </c>
      <c r="E501" t="str">
        <f t="shared" si="1"/>
        <v>#REF!</v>
      </c>
    </row>
    <row r="502">
      <c r="A502" t="s">
        <v>11557</v>
      </c>
      <c r="B502" s="254">
        <v>2250.0</v>
      </c>
      <c r="C502" s="256">
        <v>0.0</v>
      </c>
      <c r="D502" t="str">
        <f t="shared" si="5"/>
        <v>#REF!</v>
      </c>
      <c r="E502" t="str">
        <f t="shared" si="1"/>
        <v>#REF!</v>
      </c>
    </row>
    <row r="503">
      <c r="A503" t="s">
        <v>6140</v>
      </c>
      <c r="B503" s="254">
        <v>2000.0</v>
      </c>
      <c r="C503" s="287">
        <v>1.0</v>
      </c>
      <c r="D503" t="str">
        <f t="shared" si="5"/>
        <v>#REF!</v>
      </c>
      <c r="E503" t="str">
        <f t="shared" si="1"/>
        <v>#REF!</v>
      </c>
    </row>
    <row r="504">
      <c r="A504" t="s">
        <v>11558</v>
      </c>
      <c r="B504" s="254">
        <v>2250.0</v>
      </c>
      <c r="C504" s="256">
        <v>0.0</v>
      </c>
      <c r="D504" t="str">
        <f t="shared" si="5"/>
        <v>#REF!</v>
      </c>
      <c r="E504" t="str">
        <f t="shared" si="1"/>
        <v>#REF!</v>
      </c>
    </row>
    <row r="505">
      <c r="A505" t="s">
        <v>6147</v>
      </c>
      <c r="B505" s="254">
        <v>1800.0</v>
      </c>
      <c r="C505" s="256">
        <v>1.0</v>
      </c>
      <c r="D505" t="str">
        <f t="shared" si="5"/>
        <v>#REF!</v>
      </c>
      <c r="E505" t="str">
        <f t="shared" si="1"/>
        <v>#REF!</v>
      </c>
    </row>
    <row r="506">
      <c r="A506" t="s">
        <v>1290</v>
      </c>
      <c r="B506" s="254">
        <v>1800.0</v>
      </c>
      <c r="C506" s="256">
        <v>1.0</v>
      </c>
      <c r="D506" t="str">
        <f t="shared" si="5"/>
        <v>#REF!</v>
      </c>
      <c r="E506" t="str">
        <f t="shared" si="1"/>
        <v>#REF!</v>
      </c>
    </row>
    <row r="507">
      <c r="A507" t="s">
        <v>5596</v>
      </c>
      <c r="B507" s="254">
        <v>1800.0</v>
      </c>
      <c r="C507" s="254">
        <v>1.0</v>
      </c>
      <c r="D507" t="str">
        <f t="shared" si="5"/>
        <v>#REF!</v>
      </c>
      <c r="E507" t="str">
        <f t="shared" si="1"/>
        <v>#REF!</v>
      </c>
    </row>
    <row r="508">
      <c r="A508" t="s">
        <v>5554</v>
      </c>
      <c r="B508" s="254">
        <v>1800.0</v>
      </c>
      <c r="C508" s="256">
        <v>1.0</v>
      </c>
      <c r="D508" t="str">
        <f t="shared" si="5"/>
        <v>#REF!</v>
      </c>
      <c r="E508" t="str">
        <f t="shared" si="1"/>
        <v>#REF!</v>
      </c>
    </row>
    <row r="509">
      <c r="A509" t="s">
        <v>5689</v>
      </c>
      <c r="B509" s="254">
        <v>1800.0</v>
      </c>
      <c r="C509" s="256">
        <v>1.0</v>
      </c>
      <c r="D509" t="str">
        <f t="shared" si="5"/>
        <v>#REF!</v>
      </c>
      <c r="E509" t="str">
        <f t="shared" si="1"/>
        <v>#REF!</v>
      </c>
    </row>
    <row r="510">
      <c r="A510" t="s">
        <v>11559</v>
      </c>
      <c r="B510" s="254">
        <v>1800.0</v>
      </c>
      <c r="C510" s="145"/>
      <c r="D510" t="str">
        <f t="shared" si="5"/>
        <v>#REF!</v>
      </c>
      <c r="E510" t="str">
        <f t="shared" si="1"/>
        <v>#REF!</v>
      </c>
    </row>
    <row r="511">
      <c r="A511" t="s">
        <v>11560</v>
      </c>
      <c r="B511" s="254">
        <v>1800.0</v>
      </c>
      <c r="C511" s="256">
        <v>0.0</v>
      </c>
      <c r="D511" t="str">
        <f t="shared" si="5"/>
        <v>#REF!</v>
      </c>
      <c r="E511" t="str">
        <f t="shared" si="1"/>
        <v>#REF!</v>
      </c>
    </row>
    <row r="512">
      <c r="A512" t="s">
        <v>5563</v>
      </c>
      <c r="B512" s="254">
        <v>1800.0</v>
      </c>
      <c r="C512" s="256">
        <v>1.0</v>
      </c>
      <c r="D512" t="str">
        <f t="shared" si="5"/>
        <v>#REF!</v>
      </c>
      <c r="E512" t="str">
        <f t="shared" si="1"/>
        <v>#REF!</v>
      </c>
    </row>
    <row r="513">
      <c r="A513" t="s">
        <v>1461</v>
      </c>
      <c r="B513" s="254">
        <v>1800.0</v>
      </c>
      <c r="C513" s="256">
        <v>0.0</v>
      </c>
      <c r="D513" t="str">
        <f t="shared" si="5"/>
        <v>#REF!</v>
      </c>
      <c r="E513" t="str">
        <f t="shared" si="1"/>
        <v>#REF!</v>
      </c>
    </row>
    <row r="514">
      <c r="A514" t="s">
        <v>11561</v>
      </c>
      <c r="B514" s="254">
        <v>1800.0</v>
      </c>
      <c r="C514" s="256">
        <v>1.0</v>
      </c>
      <c r="D514" t="str">
        <f t="shared" si="5"/>
        <v>#REF!</v>
      </c>
      <c r="E514" t="str">
        <f t="shared" si="1"/>
        <v>#REF!</v>
      </c>
    </row>
    <row r="515">
      <c r="A515" t="s">
        <v>5579</v>
      </c>
      <c r="B515" s="254">
        <v>1800.0</v>
      </c>
      <c r="C515" s="256">
        <v>1.0</v>
      </c>
      <c r="D515" t="str">
        <f t="shared" si="5"/>
        <v>#REF!</v>
      </c>
      <c r="E515" t="str">
        <f t="shared" si="1"/>
        <v>#REF!</v>
      </c>
    </row>
    <row r="516">
      <c r="A516" t="s">
        <v>5566</v>
      </c>
      <c r="B516" s="254">
        <v>1800.0</v>
      </c>
      <c r="C516" s="256">
        <v>1.0</v>
      </c>
      <c r="D516" t="str">
        <f t="shared" si="5"/>
        <v>#REF!</v>
      </c>
      <c r="E516" t="str">
        <f t="shared" si="1"/>
        <v>#REF!</v>
      </c>
    </row>
    <row r="517">
      <c r="A517" t="s">
        <v>5550</v>
      </c>
      <c r="B517" s="254">
        <v>1800.0</v>
      </c>
      <c r="C517" s="256">
        <v>1.0</v>
      </c>
      <c r="D517" t="str">
        <f t="shared" si="5"/>
        <v>#REF!</v>
      </c>
      <c r="E517" t="str">
        <f t="shared" si="1"/>
        <v>#REF!</v>
      </c>
    </row>
    <row r="518">
      <c r="A518" t="s">
        <v>11562</v>
      </c>
      <c r="B518" s="254">
        <v>1800.0</v>
      </c>
      <c r="C518" s="256">
        <v>0.0</v>
      </c>
      <c r="D518" t="str">
        <f t="shared" si="5"/>
        <v>#REF!</v>
      </c>
      <c r="E518" t="str">
        <f t="shared" si="1"/>
        <v>#REF!</v>
      </c>
    </row>
    <row r="519">
      <c r="A519" t="s">
        <v>5612</v>
      </c>
      <c r="B519" s="254">
        <v>1800.0</v>
      </c>
      <c r="C519" s="256">
        <v>1.0</v>
      </c>
      <c r="D519" t="str">
        <f t="shared" si="5"/>
        <v>#REF!</v>
      </c>
      <c r="E519" t="str">
        <f t="shared" si="1"/>
        <v>#REF!</v>
      </c>
    </row>
    <row r="520">
      <c r="A520" t="s">
        <v>5594</v>
      </c>
      <c r="B520" s="254">
        <v>1800.0</v>
      </c>
      <c r="C520" s="256">
        <v>1.0</v>
      </c>
      <c r="D520" t="str">
        <f t="shared" si="5"/>
        <v>#REF!</v>
      </c>
      <c r="E520" t="str">
        <f t="shared" si="1"/>
        <v>#REF!</v>
      </c>
    </row>
    <row r="521">
      <c r="A521" t="s">
        <v>6148</v>
      </c>
      <c r="B521" s="254">
        <v>1800.0</v>
      </c>
      <c r="C521" s="256">
        <v>1.0</v>
      </c>
      <c r="D521" s="3">
        <v>0.0</v>
      </c>
      <c r="E521" t="b">
        <f t="shared" si="1"/>
        <v>0</v>
      </c>
    </row>
    <row r="522">
      <c r="A522" t="s">
        <v>1463</v>
      </c>
      <c r="B522" s="254">
        <v>1800.0</v>
      </c>
      <c r="C522" s="256">
        <v>1.0</v>
      </c>
      <c r="D522" t="str">
        <f t="shared" ref="D522:D1079" si="6">VLOOKUP(A522,PIVOT!$A$4:$F$1900,6,0)</f>
        <v>#REF!</v>
      </c>
      <c r="E522" t="str">
        <f t="shared" si="1"/>
        <v>#REF!</v>
      </c>
    </row>
    <row r="523">
      <c r="A523" t="s">
        <v>5549</v>
      </c>
      <c r="B523" s="254">
        <v>1800.0</v>
      </c>
      <c r="C523" s="256">
        <v>1.0</v>
      </c>
      <c r="D523" t="str">
        <f t="shared" si="6"/>
        <v>#REF!</v>
      </c>
      <c r="E523" t="str">
        <f t="shared" si="1"/>
        <v>#REF!</v>
      </c>
    </row>
    <row r="524">
      <c r="A524" t="s">
        <v>5548</v>
      </c>
      <c r="B524" s="254">
        <v>1800.0</v>
      </c>
      <c r="C524" s="256">
        <v>1.0</v>
      </c>
      <c r="D524" t="str">
        <f t="shared" si="6"/>
        <v>#REF!</v>
      </c>
      <c r="E524" t="str">
        <f t="shared" si="1"/>
        <v>#REF!</v>
      </c>
    </row>
    <row r="525">
      <c r="A525" t="s">
        <v>5615</v>
      </c>
      <c r="B525" s="254">
        <v>1800.0</v>
      </c>
      <c r="C525" s="256">
        <v>2.0</v>
      </c>
      <c r="D525" t="str">
        <f t="shared" si="6"/>
        <v>#REF!</v>
      </c>
      <c r="E525" t="str">
        <f t="shared" si="1"/>
        <v>#REF!</v>
      </c>
    </row>
    <row r="526">
      <c r="A526" t="s">
        <v>5561</v>
      </c>
      <c r="B526" s="254">
        <v>1800.0</v>
      </c>
      <c r="C526" s="256">
        <v>0.0</v>
      </c>
      <c r="D526" t="str">
        <f t="shared" si="6"/>
        <v>#REF!</v>
      </c>
      <c r="E526" t="str">
        <f t="shared" si="1"/>
        <v>#REF!</v>
      </c>
    </row>
    <row r="527">
      <c r="A527" t="s">
        <v>5599</v>
      </c>
      <c r="B527" s="254">
        <v>1800.0</v>
      </c>
      <c r="C527" s="256">
        <v>1.0</v>
      </c>
      <c r="D527" t="str">
        <f t="shared" si="6"/>
        <v>#REF!</v>
      </c>
      <c r="E527" t="str">
        <f t="shared" si="1"/>
        <v>#REF!</v>
      </c>
    </row>
    <row r="528">
      <c r="A528" t="s">
        <v>5692</v>
      </c>
      <c r="B528" s="254">
        <v>1800.0</v>
      </c>
      <c r="C528" s="256">
        <v>1.0</v>
      </c>
      <c r="D528" t="str">
        <f t="shared" si="6"/>
        <v>#REF!</v>
      </c>
      <c r="E528" t="str">
        <f t="shared" si="1"/>
        <v>#REF!</v>
      </c>
    </row>
    <row r="529">
      <c r="A529" t="s">
        <v>5570</v>
      </c>
      <c r="B529" s="254">
        <v>1800.0</v>
      </c>
      <c r="C529" s="256">
        <v>1.0</v>
      </c>
      <c r="D529" t="str">
        <f t="shared" si="6"/>
        <v>#REF!</v>
      </c>
      <c r="E529" t="str">
        <f t="shared" si="1"/>
        <v>#REF!</v>
      </c>
    </row>
    <row r="530">
      <c r="A530" t="s">
        <v>5573</v>
      </c>
      <c r="B530" s="254">
        <v>1800.0</v>
      </c>
      <c r="C530" s="256">
        <v>1.0</v>
      </c>
      <c r="D530" t="str">
        <f t="shared" si="6"/>
        <v>#REF!</v>
      </c>
      <c r="E530" t="str">
        <f t="shared" si="1"/>
        <v>#REF!</v>
      </c>
    </row>
    <row r="531">
      <c r="A531" t="s">
        <v>5552</v>
      </c>
      <c r="B531" s="254">
        <v>1800.0</v>
      </c>
      <c r="C531" s="256">
        <v>1.0</v>
      </c>
      <c r="D531" t="str">
        <f t="shared" si="6"/>
        <v>#REF!</v>
      </c>
      <c r="E531" t="str">
        <f t="shared" si="1"/>
        <v>#REF!</v>
      </c>
    </row>
    <row r="532">
      <c r="A532" t="s">
        <v>5585</v>
      </c>
      <c r="B532" s="254">
        <v>1800.0</v>
      </c>
      <c r="C532" s="256">
        <v>1.0</v>
      </c>
      <c r="D532" t="str">
        <f t="shared" si="6"/>
        <v>#REF!</v>
      </c>
      <c r="E532" t="str">
        <f t="shared" si="1"/>
        <v>#REF!</v>
      </c>
    </row>
    <row r="533">
      <c r="A533" t="s">
        <v>5575</v>
      </c>
      <c r="B533" s="254">
        <v>1800.0</v>
      </c>
      <c r="C533" s="256">
        <v>1.0</v>
      </c>
      <c r="D533" t="str">
        <f t="shared" si="6"/>
        <v>#REF!</v>
      </c>
      <c r="E533" t="str">
        <f t="shared" si="1"/>
        <v>#REF!</v>
      </c>
    </row>
    <row r="534">
      <c r="A534" t="s">
        <v>5586</v>
      </c>
      <c r="B534" s="254">
        <v>1800.0</v>
      </c>
      <c r="C534" s="256">
        <v>1.0</v>
      </c>
      <c r="D534" t="str">
        <f t="shared" si="6"/>
        <v>#REF!</v>
      </c>
      <c r="E534" t="str">
        <f t="shared" si="1"/>
        <v>#REF!</v>
      </c>
    </row>
    <row r="535">
      <c r="A535" t="s">
        <v>5586</v>
      </c>
      <c r="B535" s="254">
        <v>1800.0</v>
      </c>
      <c r="C535" s="256">
        <v>1.0</v>
      </c>
      <c r="D535" t="str">
        <f t="shared" si="6"/>
        <v>#REF!</v>
      </c>
      <c r="E535" t="str">
        <f t="shared" si="1"/>
        <v>#REF!</v>
      </c>
    </row>
    <row r="536">
      <c r="A536" t="s">
        <v>5601</v>
      </c>
      <c r="B536" s="254">
        <v>1800.0</v>
      </c>
      <c r="C536" s="256">
        <v>1.0</v>
      </c>
      <c r="D536" t="str">
        <f t="shared" si="6"/>
        <v>#REF!</v>
      </c>
      <c r="E536" t="str">
        <f t="shared" si="1"/>
        <v>#REF!</v>
      </c>
    </row>
    <row r="537">
      <c r="A537" t="s">
        <v>5687</v>
      </c>
      <c r="B537" s="254">
        <v>1800.0</v>
      </c>
      <c r="C537" s="287">
        <v>1.0</v>
      </c>
      <c r="D537" t="str">
        <f t="shared" si="6"/>
        <v>#REF!</v>
      </c>
      <c r="E537" t="str">
        <f t="shared" si="1"/>
        <v>#REF!</v>
      </c>
    </row>
    <row r="538">
      <c r="A538" t="s">
        <v>11563</v>
      </c>
      <c r="B538" s="254">
        <v>1800.0</v>
      </c>
      <c r="C538" s="290">
        <v>0.0</v>
      </c>
      <c r="D538" t="str">
        <f t="shared" si="6"/>
        <v>#REF!</v>
      </c>
      <c r="E538" t="str">
        <f t="shared" si="1"/>
        <v>#REF!</v>
      </c>
    </row>
    <row r="539">
      <c r="A539" t="s">
        <v>703</v>
      </c>
      <c r="B539" s="254">
        <v>1800.0</v>
      </c>
      <c r="C539" s="256">
        <v>1.0</v>
      </c>
      <c r="D539" t="str">
        <f t="shared" si="6"/>
        <v>#REF!</v>
      </c>
      <c r="E539" t="str">
        <f t="shared" si="1"/>
        <v>#REF!</v>
      </c>
    </row>
    <row r="540">
      <c r="A540" t="s">
        <v>5590</v>
      </c>
      <c r="B540" s="254">
        <v>1800.0</v>
      </c>
      <c r="C540" s="256">
        <v>1.0</v>
      </c>
      <c r="D540" t="str">
        <f t="shared" si="6"/>
        <v>#REF!</v>
      </c>
      <c r="E540" t="str">
        <f t="shared" si="1"/>
        <v>#REF!</v>
      </c>
    </row>
    <row r="541">
      <c r="A541" t="s">
        <v>11564</v>
      </c>
      <c r="B541" s="254">
        <v>1800.0</v>
      </c>
      <c r="C541" s="256">
        <v>0.0</v>
      </c>
      <c r="D541" t="str">
        <f t="shared" si="6"/>
        <v>#REF!</v>
      </c>
      <c r="E541" t="str">
        <f t="shared" si="1"/>
        <v>#REF!</v>
      </c>
    </row>
    <row r="542">
      <c r="A542" t="s">
        <v>1464</v>
      </c>
      <c r="B542" s="254">
        <v>1800.0</v>
      </c>
      <c r="C542" s="287">
        <v>1.0</v>
      </c>
      <c r="D542" t="str">
        <f t="shared" si="6"/>
        <v>#REF!</v>
      </c>
      <c r="E542" t="str">
        <f t="shared" si="1"/>
        <v>#REF!</v>
      </c>
    </row>
    <row r="543">
      <c r="A543" t="s">
        <v>5556</v>
      </c>
      <c r="B543" s="254">
        <v>1800.0</v>
      </c>
      <c r="C543" s="256">
        <v>1.0</v>
      </c>
      <c r="D543" t="str">
        <f t="shared" si="6"/>
        <v>#REF!</v>
      </c>
      <c r="E543" t="str">
        <f t="shared" si="1"/>
        <v>#REF!</v>
      </c>
    </row>
    <row r="544">
      <c r="A544" t="s">
        <v>11565</v>
      </c>
      <c r="B544" s="254">
        <v>1800.0</v>
      </c>
      <c r="C544" s="256">
        <v>1.0</v>
      </c>
      <c r="D544" t="str">
        <f t="shared" si="6"/>
        <v>#REF!</v>
      </c>
      <c r="E544" t="str">
        <f t="shared" si="1"/>
        <v>#REF!</v>
      </c>
    </row>
    <row r="545">
      <c r="A545" t="s">
        <v>5690</v>
      </c>
      <c r="B545" s="254">
        <v>1800.0</v>
      </c>
      <c r="C545" s="256">
        <v>1.0</v>
      </c>
      <c r="D545" t="str">
        <f t="shared" si="6"/>
        <v>#REF!</v>
      </c>
      <c r="E545" t="str">
        <f t="shared" si="1"/>
        <v>#REF!</v>
      </c>
    </row>
    <row r="546">
      <c r="A546" t="s">
        <v>5572</v>
      </c>
      <c r="B546" s="254">
        <v>1800.0</v>
      </c>
      <c r="C546" s="256">
        <v>1.0</v>
      </c>
      <c r="D546" t="str">
        <f t="shared" si="6"/>
        <v>#REF!</v>
      </c>
      <c r="E546" t="str">
        <f t="shared" si="1"/>
        <v>#REF!</v>
      </c>
    </row>
    <row r="547">
      <c r="A547" t="s">
        <v>5564</v>
      </c>
      <c r="B547" s="254">
        <v>1800.0</v>
      </c>
      <c r="C547" s="256">
        <v>1.0</v>
      </c>
      <c r="D547" t="str">
        <f t="shared" si="6"/>
        <v>#REF!</v>
      </c>
      <c r="E547" t="str">
        <f t="shared" si="1"/>
        <v>#REF!</v>
      </c>
    </row>
    <row r="548">
      <c r="A548" t="s">
        <v>5591</v>
      </c>
      <c r="B548" s="254">
        <v>1800.0</v>
      </c>
      <c r="C548" s="256">
        <v>1.0</v>
      </c>
      <c r="D548" t="str">
        <f t="shared" si="6"/>
        <v>#REF!</v>
      </c>
      <c r="E548" t="str">
        <f t="shared" si="1"/>
        <v>#REF!</v>
      </c>
    </row>
    <row r="549">
      <c r="A549" t="s">
        <v>1465</v>
      </c>
      <c r="B549" s="254">
        <v>1800.0</v>
      </c>
      <c r="C549" s="256">
        <v>1.0</v>
      </c>
      <c r="D549" t="str">
        <f t="shared" si="6"/>
        <v>#REF!</v>
      </c>
      <c r="E549" t="str">
        <f t="shared" si="1"/>
        <v>#REF!</v>
      </c>
    </row>
    <row r="550">
      <c r="A550" t="s">
        <v>5592</v>
      </c>
      <c r="B550" s="254">
        <v>1800.0</v>
      </c>
      <c r="C550" s="256">
        <v>1.0</v>
      </c>
      <c r="D550" t="str">
        <f t="shared" si="6"/>
        <v>#REF!</v>
      </c>
      <c r="E550" t="str">
        <f t="shared" si="1"/>
        <v>#REF!</v>
      </c>
    </row>
    <row r="551">
      <c r="A551" t="s">
        <v>1292</v>
      </c>
      <c r="B551" s="254">
        <v>1800.0</v>
      </c>
      <c r="C551" s="256">
        <v>1.0</v>
      </c>
      <c r="D551" t="str">
        <f t="shared" si="6"/>
        <v>#REF!</v>
      </c>
      <c r="E551" t="str">
        <f t="shared" si="1"/>
        <v>#REF!</v>
      </c>
    </row>
    <row r="552">
      <c r="A552" t="s">
        <v>5695</v>
      </c>
      <c r="B552" s="254">
        <v>1800.0</v>
      </c>
      <c r="C552" s="256">
        <v>1.0</v>
      </c>
      <c r="D552" t="str">
        <f t="shared" si="6"/>
        <v>#REF!</v>
      </c>
      <c r="E552" t="str">
        <f t="shared" si="1"/>
        <v>#REF!</v>
      </c>
    </row>
    <row r="553">
      <c r="A553" t="s">
        <v>5553</v>
      </c>
      <c r="B553" s="254">
        <v>1800.0</v>
      </c>
      <c r="C553" s="256">
        <v>1.0</v>
      </c>
      <c r="D553" t="str">
        <f t="shared" si="6"/>
        <v>#REF!</v>
      </c>
      <c r="E553" t="str">
        <f t="shared" si="1"/>
        <v>#REF!</v>
      </c>
    </row>
    <row r="554">
      <c r="A554" t="s">
        <v>5553</v>
      </c>
      <c r="B554" s="254">
        <v>1800.0</v>
      </c>
      <c r="C554" s="287">
        <v>1.0</v>
      </c>
      <c r="D554" t="str">
        <f t="shared" si="6"/>
        <v>#REF!</v>
      </c>
      <c r="E554" t="str">
        <f t="shared" si="1"/>
        <v>#REF!</v>
      </c>
    </row>
    <row r="555">
      <c r="A555" t="s">
        <v>5600</v>
      </c>
      <c r="B555" s="254">
        <v>1800.0</v>
      </c>
      <c r="C555" s="256">
        <v>1.0</v>
      </c>
      <c r="D555" t="str">
        <f t="shared" si="6"/>
        <v>#REF!</v>
      </c>
      <c r="E555" t="str">
        <f t="shared" si="1"/>
        <v>#REF!</v>
      </c>
    </row>
    <row r="556">
      <c r="A556" t="s">
        <v>5558</v>
      </c>
      <c r="B556" s="254">
        <v>1800.0</v>
      </c>
      <c r="C556" s="256">
        <v>1.0</v>
      </c>
      <c r="D556" t="str">
        <f t="shared" si="6"/>
        <v>#REF!</v>
      </c>
      <c r="E556" t="str">
        <f t="shared" si="1"/>
        <v>#REF!</v>
      </c>
    </row>
    <row r="557">
      <c r="A557" t="s">
        <v>5614</v>
      </c>
      <c r="B557" s="254">
        <v>1800.0</v>
      </c>
      <c r="C557" s="256">
        <v>1.0</v>
      </c>
      <c r="D557" t="str">
        <f t="shared" si="6"/>
        <v>#REF!</v>
      </c>
      <c r="E557" t="str">
        <f t="shared" si="1"/>
        <v>#REF!</v>
      </c>
    </row>
    <row r="558">
      <c r="A558" t="s">
        <v>5560</v>
      </c>
      <c r="B558" s="254">
        <v>1800.0</v>
      </c>
      <c r="C558" s="256">
        <v>1.0</v>
      </c>
      <c r="D558" t="str">
        <f t="shared" si="6"/>
        <v>#REF!</v>
      </c>
      <c r="E558" t="str">
        <f t="shared" si="1"/>
        <v>#REF!</v>
      </c>
    </row>
    <row r="559">
      <c r="A559" t="s">
        <v>1294</v>
      </c>
      <c r="B559" s="254">
        <v>1800.0</v>
      </c>
      <c r="C559" s="256">
        <v>1.0</v>
      </c>
      <c r="D559" t="str">
        <f t="shared" si="6"/>
        <v>#REF!</v>
      </c>
      <c r="E559" t="str">
        <f t="shared" si="1"/>
        <v>#REF!</v>
      </c>
    </row>
    <row r="560">
      <c r="A560" t="s">
        <v>1466</v>
      </c>
      <c r="B560" s="254">
        <v>1800.0</v>
      </c>
      <c r="C560" s="256">
        <v>1.0</v>
      </c>
      <c r="D560" t="str">
        <f t="shared" si="6"/>
        <v>#REF!</v>
      </c>
      <c r="E560" t="str">
        <f t="shared" si="1"/>
        <v>#REF!</v>
      </c>
    </row>
    <row r="561">
      <c r="A561" t="s">
        <v>5568</v>
      </c>
      <c r="B561" s="254">
        <v>1800.0</v>
      </c>
      <c r="C561" s="256">
        <v>1.0</v>
      </c>
      <c r="D561" t="str">
        <f t="shared" si="6"/>
        <v>#REF!</v>
      </c>
      <c r="E561" t="str">
        <f t="shared" si="1"/>
        <v>#REF!</v>
      </c>
    </row>
    <row r="562">
      <c r="A562" t="s">
        <v>6149</v>
      </c>
      <c r="B562" s="254">
        <v>1800.0</v>
      </c>
      <c r="C562" s="256">
        <v>1.0</v>
      </c>
      <c r="D562" t="str">
        <f t="shared" si="6"/>
        <v>#REF!</v>
      </c>
      <c r="E562" t="str">
        <f t="shared" si="1"/>
        <v>#REF!</v>
      </c>
    </row>
    <row r="563">
      <c r="A563" t="s">
        <v>5589</v>
      </c>
      <c r="B563" s="254">
        <v>1800.0</v>
      </c>
      <c r="C563" s="287">
        <v>0.0</v>
      </c>
      <c r="D563" t="str">
        <f t="shared" si="6"/>
        <v>#REF!</v>
      </c>
      <c r="E563" t="str">
        <f t="shared" si="1"/>
        <v>#REF!</v>
      </c>
    </row>
    <row r="564">
      <c r="A564" t="s">
        <v>5699</v>
      </c>
      <c r="B564" s="254">
        <v>1800.0</v>
      </c>
      <c r="C564" s="256">
        <v>1.0</v>
      </c>
      <c r="D564" t="str">
        <f t="shared" si="6"/>
        <v>#REF!</v>
      </c>
      <c r="E564" t="str">
        <f t="shared" si="1"/>
        <v>#REF!</v>
      </c>
    </row>
    <row r="565">
      <c r="A565" t="s">
        <v>1467</v>
      </c>
      <c r="B565" s="254">
        <v>1800.0</v>
      </c>
      <c r="C565" s="256">
        <v>1.0</v>
      </c>
      <c r="D565" t="str">
        <f t="shared" si="6"/>
        <v>#REF!</v>
      </c>
      <c r="E565" t="str">
        <f t="shared" si="1"/>
        <v>#REF!</v>
      </c>
    </row>
    <row r="566">
      <c r="A566" t="s">
        <v>6150</v>
      </c>
      <c r="B566" s="254">
        <v>1800.0</v>
      </c>
      <c r="C566" s="256">
        <v>1.0</v>
      </c>
      <c r="D566" t="str">
        <f t="shared" si="6"/>
        <v>#REF!</v>
      </c>
      <c r="E566" t="str">
        <f t="shared" si="1"/>
        <v>#REF!</v>
      </c>
    </row>
    <row r="567">
      <c r="A567" t="s">
        <v>5571</v>
      </c>
      <c r="B567" s="254">
        <v>1800.0</v>
      </c>
      <c r="C567" s="256">
        <v>1.0</v>
      </c>
      <c r="D567" t="str">
        <f t="shared" si="6"/>
        <v>#REF!</v>
      </c>
      <c r="E567" t="str">
        <f t="shared" si="1"/>
        <v>#REF!</v>
      </c>
    </row>
    <row r="568">
      <c r="A568" t="s">
        <v>5688</v>
      </c>
      <c r="B568" s="254">
        <v>1800.0</v>
      </c>
      <c r="C568" s="287">
        <v>1.0</v>
      </c>
      <c r="D568" t="str">
        <f t="shared" si="6"/>
        <v>#REF!</v>
      </c>
      <c r="E568" t="str">
        <f t="shared" si="1"/>
        <v>#REF!</v>
      </c>
    </row>
    <row r="569">
      <c r="A569" t="s">
        <v>1468</v>
      </c>
      <c r="B569" s="254">
        <v>1800.0</v>
      </c>
      <c r="C569" s="256">
        <v>1.0</v>
      </c>
      <c r="D569" t="str">
        <f t="shared" si="6"/>
        <v>#REF!</v>
      </c>
      <c r="E569" t="str">
        <f t="shared" si="1"/>
        <v>#REF!</v>
      </c>
    </row>
    <row r="570">
      <c r="A570" t="s">
        <v>5544</v>
      </c>
      <c r="B570" s="254">
        <v>1800.0</v>
      </c>
      <c r="C570" s="256">
        <v>1.0</v>
      </c>
      <c r="D570" t="str">
        <f t="shared" si="6"/>
        <v>#REF!</v>
      </c>
      <c r="E570" t="str">
        <f t="shared" si="1"/>
        <v>#REF!</v>
      </c>
    </row>
    <row r="571">
      <c r="A571" t="s">
        <v>1296</v>
      </c>
      <c r="B571" s="254">
        <v>1800.0</v>
      </c>
      <c r="C571" s="256">
        <v>1.0</v>
      </c>
      <c r="D571" t="str">
        <f t="shared" si="6"/>
        <v>#REF!</v>
      </c>
      <c r="E571" t="str">
        <f t="shared" si="1"/>
        <v>#REF!</v>
      </c>
    </row>
    <row r="572">
      <c r="A572" t="s">
        <v>6175</v>
      </c>
      <c r="B572" s="254">
        <v>1800.0</v>
      </c>
      <c r="C572" s="287">
        <v>1.0</v>
      </c>
      <c r="D572" t="str">
        <f t="shared" si="6"/>
        <v>#REF!</v>
      </c>
      <c r="E572" t="str">
        <f t="shared" si="1"/>
        <v>#REF!</v>
      </c>
    </row>
    <row r="573">
      <c r="A573" t="s">
        <v>1298</v>
      </c>
      <c r="B573" s="254">
        <v>1800.0</v>
      </c>
      <c r="C573" s="256">
        <v>1.0</v>
      </c>
      <c r="D573" t="str">
        <f t="shared" si="6"/>
        <v>#REF!</v>
      </c>
      <c r="E573" t="str">
        <f t="shared" si="1"/>
        <v>#REF!</v>
      </c>
    </row>
    <row r="574">
      <c r="A574" t="s">
        <v>5557</v>
      </c>
      <c r="B574" s="254">
        <v>1800.0</v>
      </c>
      <c r="C574" s="256">
        <v>1.0</v>
      </c>
      <c r="D574" t="str">
        <f t="shared" si="6"/>
        <v>#REF!</v>
      </c>
      <c r="E574" t="str">
        <f t="shared" si="1"/>
        <v>#REF!</v>
      </c>
    </row>
    <row r="575">
      <c r="A575" t="s">
        <v>1300</v>
      </c>
      <c r="B575" s="254">
        <v>1800.0</v>
      </c>
      <c r="C575" s="256">
        <v>1.0</v>
      </c>
      <c r="D575" t="str">
        <f t="shared" si="6"/>
        <v>#REF!</v>
      </c>
      <c r="E575" t="str">
        <f t="shared" si="1"/>
        <v>#REF!</v>
      </c>
    </row>
    <row r="576">
      <c r="A576" t="s">
        <v>5643</v>
      </c>
      <c r="B576" s="254">
        <v>2800.0</v>
      </c>
      <c r="C576" s="256">
        <v>1.0</v>
      </c>
      <c r="D576" t="str">
        <f t="shared" si="6"/>
        <v>#REF!</v>
      </c>
      <c r="E576" t="str">
        <f t="shared" si="1"/>
        <v>#REF!</v>
      </c>
    </row>
    <row r="577">
      <c r="A577" t="s">
        <v>11566</v>
      </c>
      <c r="B577" s="254">
        <v>2800.0</v>
      </c>
      <c r="C577" s="256">
        <v>0.0</v>
      </c>
      <c r="D577" t="str">
        <f t="shared" si="6"/>
        <v>#REF!</v>
      </c>
      <c r="E577" t="str">
        <f t="shared" si="1"/>
        <v>#REF!</v>
      </c>
    </row>
    <row r="578">
      <c r="A578" t="s">
        <v>11567</v>
      </c>
      <c r="B578" s="254">
        <v>2150.0</v>
      </c>
      <c r="C578" s="256">
        <v>0.0</v>
      </c>
      <c r="D578" t="str">
        <f t="shared" si="6"/>
        <v>#REF!</v>
      </c>
      <c r="E578" t="str">
        <f t="shared" si="1"/>
        <v>#REF!</v>
      </c>
    </row>
    <row r="579">
      <c r="A579" t="s">
        <v>5640</v>
      </c>
      <c r="B579" s="254">
        <v>2800.0</v>
      </c>
      <c r="C579" s="256">
        <v>1.0</v>
      </c>
      <c r="D579" t="str">
        <f t="shared" si="6"/>
        <v>#REF!</v>
      </c>
      <c r="E579" t="str">
        <f t="shared" si="1"/>
        <v>#REF!</v>
      </c>
    </row>
    <row r="580">
      <c r="A580" t="s">
        <v>11568</v>
      </c>
      <c r="B580" s="254">
        <v>2250.0</v>
      </c>
      <c r="C580" s="256">
        <v>0.0</v>
      </c>
      <c r="D580" t="str">
        <f t="shared" si="6"/>
        <v>#REF!</v>
      </c>
      <c r="E580" t="str">
        <f t="shared" si="1"/>
        <v>#REF!</v>
      </c>
    </row>
    <row r="581">
      <c r="A581" t="s">
        <v>11569</v>
      </c>
      <c r="B581" s="254">
        <v>2250.0</v>
      </c>
      <c r="C581" s="256">
        <v>0.0</v>
      </c>
      <c r="D581" t="str">
        <f t="shared" si="6"/>
        <v>#REF!</v>
      </c>
      <c r="E581" t="str">
        <f t="shared" si="1"/>
        <v>#REF!</v>
      </c>
    </row>
    <row r="582">
      <c r="A582" t="s">
        <v>11570</v>
      </c>
      <c r="B582" s="254">
        <v>2250.0</v>
      </c>
      <c r="C582" s="256">
        <v>0.0</v>
      </c>
      <c r="D582" t="str">
        <f t="shared" si="6"/>
        <v>#REF!</v>
      </c>
      <c r="E582" t="str">
        <f t="shared" si="1"/>
        <v>#REF!</v>
      </c>
    </row>
    <row r="583">
      <c r="A583" t="s">
        <v>11571</v>
      </c>
      <c r="B583" s="254">
        <v>2250.0</v>
      </c>
      <c r="C583" s="256">
        <v>0.0</v>
      </c>
      <c r="D583" t="str">
        <f t="shared" si="6"/>
        <v>#REF!</v>
      </c>
      <c r="E583" t="str">
        <f t="shared" si="1"/>
        <v>#REF!</v>
      </c>
    </row>
    <row r="584">
      <c r="A584" t="s">
        <v>11572</v>
      </c>
      <c r="B584" s="254">
        <v>2250.0</v>
      </c>
      <c r="C584" s="256">
        <v>0.0</v>
      </c>
      <c r="D584" t="str">
        <f t="shared" si="6"/>
        <v>#REF!</v>
      </c>
      <c r="E584" t="str">
        <f t="shared" si="1"/>
        <v>#REF!</v>
      </c>
    </row>
    <row r="585">
      <c r="A585" t="s">
        <v>11573</v>
      </c>
      <c r="B585" s="254">
        <v>2250.0</v>
      </c>
      <c r="C585" s="256">
        <v>0.0</v>
      </c>
      <c r="D585" t="str">
        <f t="shared" si="6"/>
        <v>#REF!</v>
      </c>
      <c r="E585" t="str">
        <f t="shared" si="1"/>
        <v>#REF!</v>
      </c>
    </row>
    <row r="586">
      <c r="A586" t="s">
        <v>11574</v>
      </c>
      <c r="B586" s="254">
        <v>2250.0</v>
      </c>
      <c r="C586" s="256">
        <v>0.0</v>
      </c>
      <c r="D586" t="str">
        <f t="shared" si="6"/>
        <v>#REF!</v>
      </c>
      <c r="E586" t="str">
        <f t="shared" si="1"/>
        <v>#REF!</v>
      </c>
    </row>
    <row r="587">
      <c r="A587" t="s">
        <v>1473</v>
      </c>
      <c r="B587" s="254">
        <v>2800.0</v>
      </c>
      <c r="C587" s="256">
        <v>1.0</v>
      </c>
      <c r="D587" t="str">
        <f t="shared" si="6"/>
        <v>#REF!</v>
      </c>
      <c r="E587" t="str">
        <f t="shared" si="1"/>
        <v>#REF!</v>
      </c>
    </row>
    <row r="588">
      <c r="A588" t="s">
        <v>11575</v>
      </c>
      <c r="B588" s="254">
        <v>2250.0</v>
      </c>
      <c r="C588" s="256">
        <v>0.0</v>
      </c>
      <c r="D588" t="str">
        <f t="shared" si="6"/>
        <v>#REF!</v>
      </c>
      <c r="E588" t="str">
        <f t="shared" si="1"/>
        <v>#REF!</v>
      </c>
    </row>
    <row r="589">
      <c r="A589" t="s">
        <v>11576</v>
      </c>
      <c r="B589" s="254">
        <v>2250.0</v>
      </c>
      <c r="C589" s="256">
        <v>0.0</v>
      </c>
      <c r="D589" t="str">
        <f t="shared" si="6"/>
        <v>#REF!</v>
      </c>
      <c r="E589" t="str">
        <f t="shared" si="1"/>
        <v>#REF!</v>
      </c>
    </row>
    <row r="590">
      <c r="A590" t="s">
        <v>11577</v>
      </c>
      <c r="B590" s="254">
        <v>2800.0</v>
      </c>
      <c r="C590" s="256">
        <v>0.0</v>
      </c>
      <c r="D590" t="str">
        <f t="shared" si="6"/>
        <v>#REF!</v>
      </c>
      <c r="E590" t="str">
        <f t="shared" si="1"/>
        <v>#REF!</v>
      </c>
    </row>
    <row r="591">
      <c r="A591" t="s">
        <v>11578</v>
      </c>
      <c r="B591" s="254">
        <v>2250.0</v>
      </c>
      <c r="C591" s="256">
        <v>0.0</v>
      </c>
      <c r="D591" t="str">
        <f t="shared" si="6"/>
        <v>#REF!</v>
      </c>
      <c r="E591" t="str">
        <f t="shared" si="1"/>
        <v>#REF!</v>
      </c>
    </row>
    <row r="592">
      <c r="A592" t="s">
        <v>11579</v>
      </c>
      <c r="B592" s="254">
        <v>2250.0</v>
      </c>
      <c r="C592" s="256">
        <v>0.0</v>
      </c>
      <c r="D592" t="str">
        <f t="shared" si="6"/>
        <v>#REF!</v>
      </c>
      <c r="E592" t="str">
        <f t="shared" si="1"/>
        <v>#REF!</v>
      </c>
    </row>
    <row r="593">
      <c r="A593" t="s">
        <v>11580</v>
      </c>
      <c r="B593" s="254">
        <v>2250.0</v>
      </c>
      <c r="C593" s="256">
        <v>0.0</v>
      </c>
      <c r="D593" t="str">
        <f t="shared" si="6"/>
        <v>#REF!</v>
      </c>
      <c r="E593" t="str">
        <f t="shared" si="1"/>
        <v>#REF!</v>
      </c>
    </row>
    <row r="594">
      <c r="A594" t="s">
        <v>11581</v>
      </c>
      <c r="B594" s="254">
        <v>2800.0</v>
      </c>
      <c r="C594" s="256">
        <v>0.0</v>
      </c>
      <c r="D594" t="str">
        <f t="shared" si="6"/>
        <v>#REF!</v>
      </c>
      <c r="E594" t="str">
        <f t="shared" si="1"/>
        <v>#REF!</v>
      </c>
    </row>
    <row r="595">
      <c r="A595" t="s">
        <v>11582</v>
      </c>
      <c r="B595" s="254">
        <v>2250.0</v>
      </c>
      <c r="C595" s="256">
        <v>0.0</v>
      </c>
      <c r="D595" t="str">
        <f t="shared" si="6"/>
        <v>#REF!</v>
      </c>
      <c r="E595" t="str">
        <f t="shared" si="1"/>
        <v>#REF!</v>
      </c>
    </row>
    <row r="596">
      <c r="A596" t="s">
        <v>11583</v>
      </c>
      <c r="B596" s="254">
        <v>2250.0</v>
      </c>
      <c r="C596" s="256">
        <v>0.0</v>
      </c>
      <c r="D596" t="str">
        <f t="shared" si="6"/>
        <v>#REF!</v>
      </c>
      <c r="E596" t="str">
        <f t="shared" si="1"/>
        <v>#REF!</v>
      </c>
    </row>
    <row r="597">
      <c r="A597" t="s">
        <v>11584</v>
      </c>
      <c r="B597" s="254">
        <v>2250.0</v>
      </c>
      <c r="C597" s="256">
        <v>0.0</v>
      </c>
      <c r="D597" t="str">
        <f t="shared" si="6"/>
        <v>#REF!</v>
      </c>
      <c r="E597" t="str">
        <f t="shared" si="1"/>
        <v>#REF!</v>
      </c>
    </row>
    <row r="598">
      <c r="A598" t="s">
        <v>11585</v>
      </c>
      <c r="B598" s="254">
        <v>2250.0</v>
      </c>
      <c r="C598" s="256">
        <v>0.0</v>
      </c>
      <c r="D598" t="str">
        <f t="shared" si="6"/>
        <v>#REF!</v>
      </c>
      <c r="E598" t="str">
        <f t="shared" si="1"/>
        <v>#REF!</v>
      </c>
    </row>
    <row r="599">
      <c r="A599" t="s">
        <v>11586</v>
      </c>
      <c r="B599" s="254">
        <v>2250.0</v>
      </c>
      <c r="C599" s="256">
        <v>0.0</v>
      </c>
      <c r="D599" t="str">
        <f t="shared" si="6"/>
        <v>#REF!</v>
      </c>
      <c r="E599" t="str">
        <f t="shared" si="1"/>
        <v>#REF!</v>
      </c>
    </row>
    <row r="600">
      <c r="A600" t="s">
        <v>11587</v>
      </c>
      <c r="B600" s="254">
        <v>2250.0</v>
      </c>
      <c r="C600" s="256">
        <v>0.0</v>
      </c>
      <c r="D600" t="str">
        <f t="shared" si="6"/>
        <v>#REF!</v>
      </c>
      <c r="E600" t="str">
        <f t="shared" si="1"/>
        <v>#REF!</v>
      </c>
    </row>
    <row r="601">
      <c r="A601" t="s">
        <v>11333</v>
      </c>
      <c r="B601" s="254">
        <v>2250.0</v>
      </c>
      <c r="C601" s="256">
        <v>0.0</v>
      </c>
      <c r="D601" t="str">
        <f t="shared" si="6"/>
        <v>#REF!</v>
      </c>
      <c r="E601" t="str">
        <f t="shared" si="1"/>
        <v>#REF!</v>
      </c>
    </row>
    <row r="602">
      <c r="A602" t="s">
        <v>11588</v>
      </c>
      <c r="B602" s="254">
        <v>3590.0</v>
      </c>
      <c r="C602" s="256">
        <v>0.0</v>
      </c>
      <c r="D602" t="str">
        <f t="shared" si="6"/>
        <v>#REF!</v>
      </c>
      <c r="E602" t="str">
        <f t="shared" si="1"/>
        <v>#REF!</v>
      </c>
    </row>
    <row r="603">
      <c r="A603" t="s">
        <v>11589</v>
      </c>
      <c r="B603" s="254">
        <v>2250.0</v>
      </c>
      <c r="C603" s="256">
        <v>0.0</v>
      </c>
      <c r="D603" t="str">
        <f t="shared" si="6"/>
        <v>#REF!</v>
      </c>
      <c r="E603" t="str">
        <f t="shared" si="1"/>
        <v>#REF!</v>
      </c>
    </row>
    <row r="604">
      <c r="A604" t="s">
        <v>11590</v>
      </c>
      <c r="B604" s="254">
        <v>2250.0</v>
      </c>
      <c r="C604" s="256">
        <v>0.0</v>
      </c>
      <c r="D604" t="str">
        <f t="shared" si="6"/>
        <v>#REF!</v>
      </c>
      <c r="E604" t="str">
        <f t="shared" si="1"/>
        <v>#REF!</v>
      </c>
    </row>
    <row r="605">
      <c r="A605" t="s">
        <v>11591</v>
      </c>
      <c r="B605" s="254">
        <v>2250.0</v>
      </c>
      <c r="C605" s="256">
        <v>0.0</v>
      </c>
      <c r="D605" t="str">
        <f t="shared" si="6"/>
        <v>#REF!</v>
      </c>
      <c r="E605" t="str">
        <f t="shared" si="1"/>
        <v>#REF!</v>
      </c>
    </row>
    <row r="606">
      <c r="A606" t="s">
        <v>11592</v>
      </c>
      <c r="B606" s="254">
        <v>2250.0</v>
      </c>
      <c r="C606" s="256">
        <v>0.0</v>
      </c>
      <c r="D606" t="str">
        <f t="shared" si="6"/>
        <v>#REF!</v>
      </c>
      <c r="E606" t="str">
        <f t="shared" si="1"/>
        <v>#REF!</v>
      </c>
    </row>
    <row r="607">
      <c r="A607" t="s">
        <v>11593</v>
      </c>
      <c r="B607" s="254">
        <v>2250.0</v>
      </c>
      <c r="C607" s="256">
        <v>0.0</v>
      </c>
      <c r="D607" t="str">
        <f t="shared" si="6"/>
        <v>#REF!</v>
      </c>
      <c r="E607" t="str">
        <f t="shared" si="1"/>
        <v>#REF!</v>
      </c>
    </row>
    <row r="608">
      <c r="A608" t="s">
        <v>11594</v>
      </c>
      <c r="B608" s="254">
        <v>2250.0</v>
      </c>
      <c r="C608" s="256">
        <v>0.0</v>
      </c>
      <c r="D608" t="str">
        <f t="shared" si="6"/>
        <v>#REF!</v>
      </c>
      <c r="E608" t="str">
        <f t="shared" si="1"/>
        <v>#REF!</v>
      </c>
    </row>
    <row r="609">
      <c r="A609" t="s">
        <v>11595</v>
      </c>
      <c r="B609" s="254">
        <v>2800.0</v>
      </c>
      <c r="C609" s="256">
        <v>0.0</v>
      </c>
      <c r="D609" t="str">
        <f t="shared" si="6"/>
        <v>#REF!</v>
      </c>
      <c r="E609" t="str">
        <f t="shared" si="1"/>
        <v>#REF!</v>
      </c>
    </row>
    <row r="610">
      <c r="A610" t="s">
        <v>11596</v>
      </c>
      <c r="B610" s="254">
        <v>2800.0</v>
      </c>
      <c r="C610" s="256">
        <v>0.0</v>
      </c>
      <c r="D610" t="str">
        <f t="shared" si="6"/>
        <v>#REF!</v>
      </c>
      <c r="E610" t="str">
        <f t="shared" si="1"/>
        <v>#REF!</v>
      </c>
    </row>
    <row r="611">
      <c r="A611" t="s">
        <v>11597</v>
      </c>
      <c r="B611" s="254">
        <v>2800.0</v>
      </c>
      <c r="C611" s="256">
        <v>0.0</v>
      </c>
      <c r="D611" t="str">
        <f t="shared" si="6"/>
        <v>#REF!</v>
      </c>
      <c r="E611" t="str">
        <f t="shared" si="1"/>
        <v>#REF!</v>
      </c>
    </row>
    <row r="612">
      <c r="A612" t="s">
        <v>11598</v>
      </c>
      <c r="B612" s="254">
        <v>2250.0</v>
      </c>
      <c r="C612" s="256">
        <v>0.0</v>
      </c>
      <c r="D612" t="str">
        <f t="shared" si="6"/>
        <v>#REF!</v>
      </c>
      <c r="E612" t="str">
        <f t="shared" si="1"/>
        <v>#REF!</v>
      </c>
    </row>
    <row r="613">
      <c r="A613" t="s">
        <v>11599</v>
      </c>
      <c r="B613" s="254">
        <v>2250.0</v>
      </c>
      <c r="C613" s="256">
        <v>0.0</v>
      </c>
      <c r="D613" t="str">
        <f t="shared" si="6"/>
        <v>#REF!</v>
      </c>
      <c r="E613" t="str">
        <f t="shared" si="1"/>
        <v>#REF!</v>
      </c>
    </row>
    <row r="614">
      <c r="A614" t="s">
        <v>5638</v>
      </c>
      <c r="B614" s="254">
        <v>2800.0</v>
      </c>
      <c r="C614" s="256">
        <v>1.0</v>
      </c>
      <c r="D614" t="str">
        <f t="shared" si="6"/>
        <v>#REF!</v>
      </c>
      <c r="E614" t="str">
        <f t="shared" si="1"/>
        <v>#REF!</v>
      </c>
    </row>
    <row r="615">
      <c r="A615" t="s">
        <v>11600</v>
      </c>
      <c r="B615" s="254">
        <v>2800.0</v>
      </c>
      <c r="C615" s="256">
        <v>0.0</v>
      </c>
      <c r="D615" t="str">
        <f t="shared" si="6"/>
        <v>#REF!</v>
      </c>
      <c r="E615" t="str">
        <f t="shared" si="1"/>
        <v>#REF!</v>
      </c>
    </row>
    <row r="616">
      <c r="A616" t="s">
        <v>11601</v>
      </c>
      <c r="B616" s="254">
        <v>2250.0</v>
      </c>
      <c r="C616" s="256">
        <v>0.0</v>
      </c>
      <c r="D616" t="str">
        <f t="shared" si="6"/>
        <v>#REF!</v>
      </c>
      <c r="E616" t="str">
        <f t="shared" si="1"/>
        <v>#REF!</v>
      </c>
    </row>
    <row r="617">
      <c r="A617" t="s">
        <v>11602</v>
      </c>
      <c r="B617" s="254">
        <v>2250.0</v>
      </c>
      <c r="C617" s="256">
        <v>0.0</v>
      </c>
      <c r="D617" t="str">
        <f t="shared" si="6"/>
        <v>#REF!</v>
      </c>
      <c r="E617" t="str">
        <f t="shared" si="1"/>
        <v>#REF!</v>
      </c>
    </row>
    <row r="618">
      <c r="A618" t="s">
        <v>11603</v>
      </c>
      <c r="B618" s="254">
        <v>2250.0</v>
      </c>
      <c r="C618" s="256">
        <v>0.0</v>
      </c>
      <c r="D618" t="str">
        <f t="shared" si="6"/>
        <v>#REF!</v>
      </c>
      <c r="E618" t="str">
        <f t="shared" si="1"/>
        <v>#REF!</v>
      </c>
    </row>
    <row r="619">
      <c r="A619" t="s">
        <v>11604</v>
      </c>
      <c r="B619" s="254">
        <v>2250.0</v>
      </c>
      <c r="C619" s="256">
        <v>0.0</v>
      </c>
      <c r="D619" t="str">
        <f t="shared" si="6"/>
        <v>#REF!</v>
      </c>
      <c r="E619" t="str">
        <f t="shared" si="1"/>
        <v>#REF!</v>
      </c>
    </row>
    <row r="620">
      <c r="A620" t="s">
        <v>11605</v>
      </c>
      <c r="B620" s="254">
        <v>2250.0</v>
      </c>
      <c r="C620" s="256">
        <v>0.0</v>
      </c>
      <c r="D620" t="str">
        <f t="shared" si="6"/>
        <v>#REF!</v>
      </c>
      <c r="E620" t="str">
        <f t="shared" si="1"/>
        <v>#REF!</v>
      </c>
    </row>
    <row r="621">
      <c r="A621" t="s">
        <v>11606</v>
      </c>
      <c r="B621" s="254">
        <v>2800.0</v>
      </c>
      <c r="C621" s="256">
        <v>0.0</v>
      </c>
      <c r="D621" t="str">
        <f t="shared" si="6"/>
        <v>#REF!</v>
      </c>
      <c r="E621" t="str">
        <f t="shared" si="1"/>
        <v>#REF!</v>
      </c>
    </row>
    <row r="622">
      <c r="A622" t="s">
        <v>11607</v>
      </c>
      <c r="B622" s="254">
        <v>2250.0</v>
      </c>
      <c r="C622" s="256">
        <v>0.0</v>
      </c>
      <c r="D622" t="str">
        <f t="shared" si="6"/>
        <v>#REF!</v>
      </c>
      <c r="E622" t="str">
        <f t="shared" si="1"/>
        <v>#REF!</v>
      </c>
    </row>
    <row r="623">
      <c r="A623" t="s">
        <v>11608</v>
      </c>
      <c r="B623" s="254">
        <v>2250.0</v>
      </c>
      <c r="C623" s="256">
        <v>0.0</v>
      </c>
      <c r="D623" t="str">
        <f t="shared" si="6"/>
        <v>#REF!</v>
      </c>
      <c r="E623" t="str">
        <f t="shared" si="1"/>
        <v>#REF!</v>
      </c>
    </row>
    <row r="624">
      <c r="A624" t="s">
        <v>5639</v>
      </c>
      <c r="B624" s="254">
        <v>2800.0</v>
      </c>
      <c r="C624" s="256">
        <v>1.0</v>
      </c>
      <c r="D624" t="str">
        <f t="shared" si="6"/>
        <v>#REF!</v>
      </c>
      <c r="E624" t="str">
        <f t="shared" si="1"/>
        <v>#REF!</v>
      </c>
    </row>
    <row r="625">
      <c r="A625" t="s">
        <v>5635</v>
      </c>
      <c r="B625" s="254">
        <v>2800.0</v>
      </c>
      <c r="C625" s="256">
        <v>1.0</v>
      </c>
      <c r="D625" t="str">
        <f t="shared" si="6"/>
        <v>#REF!</v>
      </c>
      <c r="E625" t="str">
        <f t="shared" si="1"/>
        <v>#REF!</v>
      </c>
    </row>
    <row r="626">
      <c r="A626" t="s">
        <v>11609</v>
      </c>
      <c r="B626" s="254">
        <v>2800.0</v>
      </c>
      <c r="C626" s="256">
        <v>0.0</v>
      </c>
      <c r="D626" t="str">
        <f t="shared" si="6"/>
        <v>#REF!</v>
      </c>
      <c r="E626" t="str">
        <f t="shared" si="1"/>
        <v>#REF!</v>
      </c>
    </row>
    <row r="627">
      <c r="A627" t="s">
        <v>11610</v>
      </c>
      <c r="B627" s="254">
        <v>2250.0</v>
      </c>
      <c r="C627" s="256">
        <v>0.0</v>
      </c>
      <c r="D627" t="str">
        <f t="shared" si="6"/>
        <v>#REF!</v>
      </c>
      <c r="E627" t="str">
        <f t="shared" si="1"/>
        <v>#REF!</v>
      </c>
    </row>
    <row r="628">
      <c r="A628" t="s">
        <v>11338</v>
      </c>
      <c r="B628" s="254">
        <v>2800.0</v>
      </c>
      <c r="C628" s="256">
        <v>0.0</v>
      </c>
      <c r="D628" t="str">
        <f t="shared" si="6"/>
        <v>#REF!</v>
      </c>
      <c r="E628" t="str">
        <f t="shared" si="1"/>
        <v>#REF!</v>
      </c>
    </row>
    <row r="629">
      <c r="A629" t="s">
        <v>11611</v>
      </c>
      <c r="B629" s="254">
        <v>2800.0</v>
      </c>
      <c r="C629" s="256">
        <v>0.0</v>
      </c>
      <c r="D629" t="str">
        <f t="shared" si="6"/>
        <v>#REF!</v>
      </c>
      <c r="E629" t="str">
        <f t="shared" si="1"/>
        <v>#REF!</v>
      </c>
    </row>
    <row r="630">
      <c r="A630" t="s">
        <v>1618</v>
      </c>
      <c r="B630" s="254">
        <v>2150.0</v>
      </c>
      <c r="C630" s="256">
        <v>1.0</v>
      </c>
      <c r="D630" t="str">
        <f t="shared" si="6"/>
        <v>#REF!</v>
      </c>
      <c r="E630" t="str">
        <f t="shared" si="1"/>
        <v>#REF!</v>
      </c>
    </row>
    <row r="631">
      <c r="A631" t="s">
        <v>6283</v>
      </c>
      <c r="B631" s="254">
        <v>2150.0</v>
      </c>
      <c r="C631" s="256">
        <v>1.0</v>
      </c>
      <c r="D631" t="str">
        <f t="shared" si="6"/>
        <v>#REF!</v>
      </c>
      <c r="E631" t="str">
        <f t="shared" si="1"/>
        <v>#REF!</v>
      </c>
    </row>
    <row r="632">
      <c r="A632" t="s">
        <v>5603</v>
      </c>
      <c r="B632" s="254">
        <v>2150.0</v>
      </c>
      <c r="C632" s="256">
        <v>1.0</v>
      </c>
      <c r="D632" t="str">
        <f t="shared" si="6"/>
        <v>#REF!</v>
      </c>
      <c r="E632" t="str">
        <f t="shared" si="1"/>
        <v>#REF!</v>
      </c>
    </row>
    <row r="633">
      <c r="A633" t="s">
        <v>5606</v>
      </c>
      <c r="B633" s="254">
        <v>2150.0</v>
      </c>
      <c r="C633" s="256">
        <v>1.0</v>
      </c>
      <c r="D633" t="str">
        <f t="shared" si="6"/>
        <v>#REF!</v>
      </c>
      <c r="E633" t="str">
        <f t="shared" si="1"/>
        <v>#REF!</v>
      </c>
    </row>
    <row r="634">
      <c r="A634" t="s">
        <v>5609</v>
      </c>
      <c r="B634" s="254">
        <v>2150.0</v>
      </c>
      <c r="C634" s="256">
        <v>1.0</v>
      </c>
      <c r="D634" t="str">
        <f t="shared" si="6"/>
        <v>#REF!</v>
      </c>
      <c r="E634" t="str">
        <f t="shared" si="1"/>
        <v>#REF!</v>
      </c>
    </row>
    <row r="635">
      <c r="A635" t="s">
        <v>5610</v>
      </c>
      <c r="B635" s="254">
        <v>2150.0</v>
      </c>
      <c r="C635" s="256">
        <v>1.0</v>
      </c>
      <c r="D635" t="str">
        <f t="shared" si="6"/>
        <v>#REF!</v>
      </c>
      <c r="E635" t="str">
        <f t="shared" si="1"/>
        <v>#REF!</v>
      </c>
    </row>
    <row r="636">
      <c r="A636" t="s">
        <v>1622</v>
      </c>
      <c r="B636" s="254">
        <v>2150.0</v>
      </c>
      <c r="C636" s="256">
        <v>1.0</v>
      </c>
      <c r="D636" t="str">
        <f t="shared" si="6"/>
        <v>#REF!</v>
      </c>
      <c r="E636" t="str">
        <f t="shared" si="1"/>
        <v>#REF!</v>
      </c>
    </row>
    <row r="637">
      <c r="A637" t="s">
        <v>1624</v>
      </c>
      <c r="B637" s="254">
        <v>2150.0</v>
      </c>
      <c r="C637" s="256">
        <v>1.0</v>
      </c>
      <c r="D637" t="str">
        <f t="shared" si="6"/>
        <v>#REF!</v>
      </c>
      <c r="E637" t="str">
        <f t="shared" si="1"/>
        <v>#REF!</v>
      </c>
    </row>
    <row r="638">
      <c r="A638" t="s">
        <v>5611</v>
      </c>
      <c r="B638" s="254">
        <v>2150.0</v>
      </c>
      <c r="C638" s="256">
        <v>1.0</v>
      </c>
      <c r="D638" t="str">
        <f t="shared" si="6"/>
        <v>#REF!</v>
      </c>
      <c r="E638" t="str">
        <f t="shared" si="1"/>
        <v>#REF!</v>
      </c>
    </row>
    <row r="639">
      <c r="A639" t="s">
        <v>11612</v>
      </c>
      <c r="B639" s="254">
        <v>2150.0</v>
      </c>
      <c r="C639" s="256">
        <v>1.0</v>
      </c>
      <c r="D639" t="str">
        <f t="shared" si="6"/>
        <v>#REF!</v>
      </c>
      <c r="E639" t="str">
        <f t="shared" si="1"/>
        <v>#REF!</v>
      </c>
    </row>
    <row r="640">
      <c r="A640" t="s">
        <v>1628</v>
      </c>
      <c r="B640" s="254">
        <v>2150.0</v>
      </c>
      <c r="C640" s="256">
        <v>1.0</v>
      </c>
      <c r="D640" t="str">
        <f t="shared" si="6"/>
        <v>#REF!</v>
      </c>
      <c r="E640" t="str">
        <f t="shared" si="1"/>
        <v>#REF!</v>
      </c>
    </row>
    <row r="641">
      <c r="A641" t="s">
        <v>1629</v>
      </c>
      <c r="B641" s="254">
        <v>2150.0</v>
      </c>
      <c r="C641" s="256">
        <v>1.0</v>
      </c>
      <c r="D641" t="str">
        <f t="shared" si="6"/>
        <v>#REF!</v>
      </c>
      <c r="E641" t="str">
        <f t="shared" si="1"/>
        <v>#REF!</v>
      </c>
    </row>
    <row r="642">
      <c r="A642" t="s">
        <v>1631</v>
      </c>
      <c r="B642" s="254">
        <v>2150.0</v>
      </c>
      <c r="C642" s="256">
        <v>1.0</v>
      </c>
      <c r="D642" t="str">
        <f t="shared" si="6"/>
        <v>#REF!</v>
      </c>
      <c r="E642" t="str">
        <f t="shared" si="1"/>
        <v>#REF!</v>
      </c>
    </row>
    <row r="643">
      <c r="A643" t="s">
        <v>11205</v>
      </c>
      <c r="B643" s="254">
        <v>3200.0</v>
      </c>
      <c r="C643" s="256">
        <v>1.0</v>
      </c>
      <c r="D643" t="str">
        <f t="shared" si="6"/>
        <v>#REF!</v>
      </c>
      <c r="E643" t="str">
        <f t="shared" si="1"/>
        <v>#REF!</v>
      </c>
    </row>
    <row r="644">
      <c r="A644" t="s">
        <v>6285</v>
      </c>
      <c r="B644" s="254">
        <v>3000.0</v>
      </c>
      <c r="C644" s="256">
        <v>1.0</v>
      </c>
      <c r="D644" t="str">
        <f t="shared" si="6"/>
        <v>#REF!</v>
      </c>
      <c r="E644" t="str">
        <f t="shared" si="1"/>
        <v>#REF!</v>
      </c>
    </row>
    <row r="645">
      <c r="A645" t="s">
        <v>1635</v>
      </c>
      <c r="B645" s="254">
        <v>3200.0</v>
      </c>
      <c r="C645" s="256">
        <v>1.0</v>
      </c>
      <c r="D645" t="str">
        <f t="shared" si="6"/>
        <v>#REF!</v>
      </c>
      <c r="E645" t="str">
        <f t="shared" si="1"/>
        <v>#REF!</v>
      </c>
    </row>
    <row r="646">
      <c r="A646" t="s">
        <v>6151</v>
      </c>
      <c r="B646" s="254">
        <v>2500.0</v>
      </c>
      <c r="C646" s="256">
        <v>1.0</v>
      </c>
      <c r="D646" t="str">
        <f t="shared" si="6"/>
        <v>#REF!</v>
      </c>
      <c r="E646" t="str">
        <f t="shared" si="1"/>
        <v>#REF!</v>
      </c>
    </row>
    <row r="647">
      <c r="A647" t="s">
        <v>11613</v>
      </c>
      <c r="B647" s="254">
        <v>2225.0</v>
      </c>
      <c r="C647" s="256">
        <v>0.0</v>
      </c>
      <c r="D647" t="str">
        <f t="shared" si="6"/>
        <v>#REF!</v>
      </c>
      <c r="E647" t="str">
        <f t="shared" si="1"/>
        <v>#REF!</v>
      </c>
    </row>
    <row r="648">
      <c r="A648" t="s">
        <v>6153</v>
      </c>
      <c r="B648" s="254">
        <v>2500.0</v>
      </c>
      <c r="C648" s="256">
        <v>1.0</v>
      </c>
      <c r="D648" t="str">
        <f t="shared" si="6"/>
        <v>#REF!</v>
      </c>
      <c r="E648" t="str">
        <f t="shared" si="1"/>
        <v>#REF!</v>
      </c>
    </row>
    <row r="649">
      <c r="A649" t="s">
        <v>6154</v>
      </c>
      <c r="B649" s="254">
        <v>2500.0</v>
      </c>
      <c r="C649" s="256">
        <v>1.0</v>
      </c>
      <c r="D649" t="str">
        <f t="shared" si="6"/>
        <v>#REF!</v>
      </c>
      <c r="E649" t="str">
        <f t="shared" si="1"/>
        <v>#REF!</v>
      </c>
    </row>
    <row r="650">
      <c r="A650" t="s">
        <v>11614</v>
      </c>
      <c r="B650" s="254">
        <v>2500.0</v>
      </c>
      <c r="C650" s="256">
        <v>0.0</v>
      </c>
      <c r="D650" t="str">
        <f t="shared" si="6"/>
        <v>#REF!</v>
      </c>
      <c r="E650" t="str">
        <f t="shared" si="1"/>
        <v>#REF!</v>
      </c>
    </row>
    <row r="651">
      <c r="A651" t="s">
        <v>6155</v>
      </c>
      <c r="B651" s="254">
        <v>2500.0</v>
      </c>
      <c r="C651" s="256">
        <v>1.0</v>
      </c>
      <c r="D651" t="str">
        <f t="shared" si="6"/>
        <v>#REF!</v>
      </c>
      <c r="E651" t="str">
        <f t="shared" si="1"/>
        <v>#REF!</v>
      </c>
    </row>
    <row r="652">
      <c r="A652" t="s">
        <v>11615</v>
      </c>
      <c r="B652" s="254">
        <v>2500.0</v>
      </c>
      <c r="C652" s="256">
        <v>0.0</v>
      </c>
      <c r="D652" t="str">
        <f t="shared" si="6"/>
        <v>#REF!</v>
      </c>
      <c r="E652" t="str">
        <f t="shared" si="1"/>
        <v>#REF!</v>
      </c>
    </row>
    <row r="653">
      <c r="A653" t="s">
        <v>6156</v>
      </c>
      <c r="B653" s="254">
        <v>2500.0</v>
      </c>
      <c r="C653" s="256">
        <v>1.0</v>
      </c>
      <c r="D653" t="str">
        <f t="shared" si="6"/>
        <v>#REF!</v>
      </c>
      <c r="E653" t="str">
        <f t="shared" si="1"/>
        <v>#REF!</v>
      </c>
    </row>
    <row r="654">
      <c r="A654" t="s">
        <v>11616</v>
      </c>
      <c r="B654" s="254">
        <v>2225.0</v>
      </c>
      <c r="C654" s="256">
        <v>0.0</v>
      </c>
      <c r="D654" t="str">
        <f t="shared" si="6"/>
        <v>#REF!</v>
      </c>
      <c r="E654" t="str">
        <f t="shared" si="1"/>
        <v>#REF!</v>
      </c>
    </row>
    <row r="655">
      <c r="A655" t="s">
        <v>6157</v>
      </c>
      <c r="B655" s="254">
        <v>2500.0</v>
      </c>
      <c r="C655" s="256">
        <v>2.0</v>
      </c>
      <c r="D655" t="str">
        <f t="shared" si="6"/>
        <v>#REF!</v>
      </c>
      <c r="E655" t="str">
        <f t="shared" si="1"/>
        <v>#REF!</v>
      </c>
    </row>
    <row r="656">
      <c r="A656" t="s">
        <v>6158</v>
      </c>
      <c r="B656" s="254">
        <v>2225.0</v>
      </c>
      <c r="C656" s="256">
        <v>1.0</v>
      </c>
      <c r="D656" t="str">
        <f t="shared" si="6"/>
        <v>#REF!</v>
      </c>
      <c r="E656" t="str">
        <f t="shared" si="1"/>
        <v>#REF!</v>
      </c>
    </row>
    <row r="657">
      <c r="A657" t="s">
        <v>6159</v>
      </c>
      <c r="B657" s="254">
        <v>2225.0</v>
      </c>
      <c r="C657" s="256">
        <v>1.0</v>
      </c>
      <c r="D657" t="str">
        <f t="shared" si="6"/>
        <v>#REF!</v>
      </c>
      <c r="E657" t="str">
        <f t="shared" si="1"/>
        <v>#REF!</v>
      </c>
    </row>
    <row r="658">
      <c r="A658" t="s">
        <v>6160</v>
      </c>
      <c r="B658" s="254">
        <v>2225.0</v>
      </c>
      <c r="C658" s="256">
        <v>1.0</v>
      </c>
      <c r="D658" t="str">
        <f t="shared" si="6"/>
        <v>#REF!</v>
      </c>
      <c r="E658" t="str">
        <f t="shared" si="1"/>
        <v>#REF!</v>
      </c>
    </row>
    <row r="659">
      <c r="A659" t="s">
        <v>6161</v>
      </c>
      <c r="B659" s="254">
        <v>2225.0</v>
      </c>
      <c r="C659" s="256">
        <v>1.0</v>
      </c>
      <c r="D659" t="str">
        <f t="shared" si="6"/>
        <v>#REF!</v>
      </c>
      <c r="E659" t="str">
        <f t="shared" si="1"/>
        <v>#REF!</v>
      </c>
    </row>
    <row r="660">
      <c r="A660" t="s">
        <v>11617</v>
      </c>
      <c r="B660" s="254">
        <v>2500.0</v>
      </c>
      <c r="C660" s="256">
        <v>0.0</v>
      </c>
      <c r="D660" t="str">
        <f t="shared" si="6"/>
        <v>#REF!</v>
      </c>
      <c r="E660" t="str">
        <f t="shared" si="1"/>
        <v>#REF!</v>
      </c>
    </row>
    <row r="661">
      <c r="A661" t="s">
        <v>6162</v>
      </c>
      <c r="B661" s="254">
        <v>2500.0</v>
      </c>
      <c r="C661" s="256">
        <v>1.0</v>
      </c>
      <c r="D661" t="str">
        <f t="shared" si="6"/>
        <v>#REF!</v>
      </c>
      <c r="E661" t="str">
        <f t="shared" si="1"/>
        <v>#REF!</v>
      </c>
    </row>
    <row r="662">
      <c r="A662" t="s">
        <v>6163</v>
      </c>
      <c r="B662" s="254">
        <v>2500.0</v>
      </c>
      <c r="C662" s="256">
        <v>1.0</v>
      </c>
      <c r="D662" t="str">
        <f t="shared" si="6"/>
        <v>#REF!</v>
      </c>
      <c r="E662" t="str">
        <f t="shared" si="1"/>
        <v>#REF!</v>
      </c>
    </row>
    <row r="663">
      <c r="A663" t="s">
        <v>6164</v>
      </c>
      <c r="B663" s="254">
        <v>2500.0</v>
      </c>
      <c r="C663" s="256">
        <v>1.0</v>
      </c>
      <c r="D663" t="str">
        <f t="shared" si="6"/>
        <v>#REF!</v>
      </c>
      <c r="E663" t="str">
        <f t="shared" si="1"/>
        <v>#REF!</v>
      </c>
    </row>
    <row r="664">
      <c r="A664" t="s">
        <v>11618</v>
      </c>
      <c r="B664" s="254">
        <v>2225.0</v>
      </c>
      <c r="C664" s="256">
        <v>0.0</v>
      </c>
      <c r="D664" t="str">
        <f t="shared" si="6"/>
        <v>#REF!</v>
      </c>
      <c r="E664" t="str">
        <f t="shared" si="1"/>
        <v>#REF!</v>
      </c>
    </row>
    <row r="665">
      <c r="A665" t="s">
        <v>11619</v>
      </c>
      <c r="B665" s="254">
        <v>2225.0</v>
      </c>
      <c r="C665" s="256">
        <v>0.0</v>
      </c>
      <c r="D665" t="str">
        <f t="shared" si="6"/>
        <v>#REF!</v>
      </c>
      <c r="E665" t="str">
        <f t="shared" si="1"/>
        <v>#REF!</v>
      </c>
    </row>
    <row r="666">
      <c r="A666" t="s">
        <v>11620</v>
      </c>
      <c r="B666" s="254">
        <v>2225.0</v>
      </c>
      <c r="C666" s="256">
        <v>0.0</v>
      </c>
      <c r="D666" t="str">
        <f t="shared" si="6"/>
        <v>#REF!</v>
      </c>
      <c r="E666" t="str">
        <f t="shared" si="1"/>
        <v>#REF!</v>
      </c>
    </row>
    <row r="667">
      <c r="A667" t="s">
        <v>11621</v>
      </c>
      <c r="B667" s="254">
        <v>2225.0</v>
      </c>
      <c r="C667" s="256">
        <v>0.0</v>
      </c>
      <c r="D667" t="str">
        <f t="shared" si="6"/>
        <v>#REF!</v>
      </c>
      <c r="E667" t="str">
        <f t="shared" si="1"/>
        <v>#REF!</v>
      </c>
    </row>
    <row r="668">
      <c r="A668" t="s">
        <v>6165</v>
      </c>
      <c r="B668" s="254">
        <v>2225.0</v>
      </c>
      <c r="C668" s="256">
        <v>1.0</v>
      </c>
      <c r="D668" t="str">
        <f t="shared" si="6"/>
        <v>#REF!</v>
      </c>
      <c r="E668" t="str">
        <f t="shared" si="1"/>
        <v>#REF!</v>
      </c>
    </row>
    <row r="669">
      <c r="A669" t="s">
        <v>6166</v>
      </c>
      <c r="B669" s="254">
        <v>2500.0</v>
      </c>
      <c r="C669" s="256">
        <v>1.0</v>
      </c>
      <c r="D669" t="str">
        <f t="shared" si="6"/>
        <v>#REF!</v>
      </c>
      <c r="E669" t="str">
        <f t="shared" si="1"/>
        <v>#REF!</v>
      </c>
    </row>
    <row r="670">
      <c r="A670" t="s">
        <v>6167</v>
      </c>
      <c r="B670" s="254">
        <v>2500.0</v>
      </c>
      <c r="C670" s="256">
        <v>1.0</v>
      </c>
      <c r="D670" t="str">
        <f t="shared" si="6"/>
        <v>#REF!</v>
      </c>
      <c r="E670" t="str">
        <f t="shared" si="1"/>
        <v>#REF!</v>
      </c>
    </row>
    <row r="671">
      <c r="A671" t="s">
        <v>6168</v>
      </c>
      <c r="B671" s="254">
        <v>2500.0</v>
      </c>
      <c r="C671" s="256">
        <v>3.0</v>
      </c>
      <c r="D671" t="str">
        <f t="shared" si="6"/>
        <v>#REF!</v>
      </c>
      <c r="E671" t="str">
        <f t="shared" si="1"/>
        <v>#REF!</v>
      </c>
    </row>
    <row r="672">
      <c r="A672" t="s">
        <v>6169</v>
      </c>
      <c r="B672" s="254">
        <v>3625.0</v>
      </c>
      <c r="C672" s="256">
        <v>1.0</v>
      </c>
      <c r="D672" t="str">
        <f t="shared" si="6"/>
        <v>#REF!</v>
      </c>
      <c r="E672" t="str">
        <f t="shared" si="1"/>
        <v>#REF!</v>
      </c>
    </row>
    <row r="673">
      <c r="A673" t="s">
        <v>11622</v>
      </c>
      <c r="B673" s="254">
        <v>3625.0</v>
      </c>
      <c r="C673" s="256">
        <v>0.0</v>
      </c>
      <c r="D673" t="str">
        <f t="shared" si="6"/>
        <v>#REF!</v>
      </c>
      <c r="E673" t="str">
        <f t="shared" si="1"/>
        <v>#REF!</v>
      </c>
    </row>
    <row r="674">
      <c r="A674" t="s">
        <v>6170</v>
      </c>
      <c r="B674" s="254">
        <v>2500.0</v>
      </c>
      <c r="C674" s="256">
        <v>1.0</v>
      </c>
      <c r="D674" t="str">
        <f t="shared" si="6"/>
        <v>#REF!</v>
      </c>
      <c r="E674" t="str">
        <f t="shared" si="1"/>
        <v>#REF!</v>
      </c>
    </row>
    <row r="675">
      <c r="A675" t="s">
        <v>6171</v>
      </c>
      <c r="B675" s="254">
        <v>1950.0</v>
      </c>
      <c r="C675" s="256">
        <v>1.0</v>
      </c>
      <c r="D675" t="str">
        <f t="shared" si="6"/>
        <v>#REF!</v>
      </c>
      <c r="E675" t="str">
        <f t="shared" si="1"/>
        <v>#REF!</v>
      </c>
    </row>
    <row r="676">
      <c r="A676" t="s">
        <v>1672</v>
      </c>
      <c r="B676" s="254">
        <v>2590.0</v>
      </c>
      <c r="C676" s="256">
        <v>1.0</v>
      </c>
      <c r="D676" t="str">
        <f t="shared" si="6"/>
        <v>#REF!</v>
      </c>
      <c r="E676" t="str">
        <f t="shared" si="1"/>
        <v>#REF!</v>
      </c>
    </row>
    <row r="677">
      <c r="A677" t="s">
        <v>1675</v>
      </c>
      <c r="B677" s="254">
        <v>2590.0</v>
      </c>
      <c r="C677" s="256">
        <v>1.0</v>
      </c>
      <c r="D677" t="str">
        <f t="shared" si="6"/>
        <v>#REF!</v>
      </c>
      <c r="E677" t="str">
        <f t="shared" si="1"/>
        <v>#REF!</v>
      </c>
    </row>
    <row r="678">
      <c r="A678" t="s">
        <v>1677</v>
      </c>
      <c r="B678" s="254">
        <v>2700.0</v>
      </c>
      <c r="C678" s="256">
        <v>1.0</v>
      </c>
      <c r="D678" t="str">
        <f t="shared" si="6"/>
        <v>#REF!</v>
      </c>
      <c r="E678" t="str">
        <f t="shared" si="1"/>
        <v>#REF!</v>
      </c>
    </row>
    <row r="679">
      <c r="A679" t="s">
        <v>6172</v>
      </c>
      <c r="B679" s="254">
        <v>2930.0</v>
      </c>
      <c r="C679" s="256">
        <v>0.0</v>
      </c>
      <c r="D679" t="str">
        <f t="shared" si="6"/>
        <v>#REF!</v>
      </c>
      <c r="E679" t="str">
        <f t="shared" si="1"/>
        <v>#REF!</v>
      </c>
    </row>
    <row r="680">
      <c r="A680" t="s">
        <v>1679</v>
      </c>
      <c r="B680" s="254">
        <v>2930.0</v>
      </c>
      <c r="C680" s="256">
        <v>0.0</v>
      </c>
      <c r="D680" t="str">
        <f t="shared" si="6"/>
        <v>#REF!</v>
      </c>
      <c r="E680" t="str">
        <f t="shared" si="1"/>
        <v>#REF!</v>
      </c>
    </row>
    <row r="681">
      <c r="A681" t="s">
        <v>11623</v>
      </c>
      <c r="B681" s="254">
        <v>2930.0</v>
      </c>
      <c r="C681" s="256">
        <v>0.0</v>
      </c>
      <c r="D681" t="str">
        <f t="shared" si="6"/>
        <v>#REF!</v>
      </c>
      <c r="E681" t="str">
        <f t="shared" si="1"/>
        <v>#REF!</v>
      </c>
    </row>
    <row r="682">
      <c r="A682" t="s">
        <v>1681</v>
      </c>
      <c r="B682" s="254">
        <v>2450.0</v>
      </c>
      <c r="C682" s="256">
        <v>1.0</v>
      </c>
      <c r="D682" t="str">
        <f t="shared" si="6"/>
        <v>#REF!</v>
      </c>
      <c r="E682" t="str">
        <f t="shared" si="1"/>
        <v>#REF!</v>
      </c>
    </row>
    <row r="683">
      <c r="A683" t="s">
        <v>1682</v>
      </c>
      <c r="B683" s="254">
        <v>3050.0</v>
      </c>
      <c r="C683" s="256">
        <v>1.0</v>
      </c>
      <c r="D683" t="str">
        <f t="shared" si="6"/>
        <v>#REF!</v>
      </c>
      <c r="E683" t="str">
        <f t="shared" si="1"/>
        <v>#REF!</v>
      </c>
    </row>
    <row r="684">
      <c r="A684" t="s">
        <v>1683</v>
      </c>
      <c r="B684" s="254">
        <v>3050.0</v>
      </c>
      <c r="C684" s="256">
        <v>1.0</v>
      </c>
      <c r="D684" t="str">
        <f t="shared" si="6"/>
        <v>#REF!</v>
      </c>
      <c r="E684" t="str">
        <f t="shared" si="1"/>
        <v>#REF!</v>
      </c>
    </row>
    <row r="685">
      <c r="A685" t="s">
        <v>11624</v>
      </c>
      <c r="B685" s="254">
        <v>600.0</v>
      </c>
      <c r="C685" s="256">
        <v>4.0</v>
      </c>
      <c r="D685" t="str">
        <f t="shared" si="6"/>
        <v>#REF!</v>
      </c>
      <c r="E685" t="str">
        <f t="shared" si="1"/>
        <v>#REF!</v>
      </c>
    </row>
    <row r="686">
      <c r="A686" t="s">
        <v>11625</v>
      </c>
      <c r="B686" s="254">
        <v>1560.0</v>
      </c>
      <c r="C686" s="256">
        <v>1.0</v>
      </c>
      <c r="D686" t="str">
        <f t="shared" si="6"/>
        <v>#REF!</v>
      </c>
      <c r="E686" t="str">
        <f t="shared" si="1"/>
        <v>#REF!</v>
      </c>
    </row>
    <row r="687">
      <c r="A687" t="s">
        <v>1698</v>
      </c>
      <c r="B687" s="254">
        <v>1560.0</v>
      </c>
      <c r="C687" s="256">
        <v>1.0</v>
      </c>
      <c r="D687" t="str">
        <f t="shared" si="6"/>
        <v>#REF!</v>
      </c>
      <c r="E687" t="str">
        <f t="shared" si="1"/>
        <v>#REF!</v>
      </c>
    </row>
    <row r="688">
      <c r="A688" t="s">
        <v>11626</v>
      </c>
      <c r="B688" s="254">
        <v>1560.0</v>
      </c>
      <c r="C688" s="256">
        <v>1.0</v>
      </c>
      <c r="D688" t="str">
        <f t="shared" si="6"/>
        <v>#REF!</v>
      </c>
      <c r="E688" t="str">
        <f t="shared" si="1"/>
        <v>#REF!</v>
      </c>
    </row>
    <row r="689">
      <c r="A689" t="s">
        <v>1702</v>
      </c>
      <c r="B689" s="254">
        <v>1560.0</v>
      </c>
      <c r="C689" s="256">
        <v>1.0</v>
      </c>
      <c r="D689" t="str">
        <f t="shared" si="6"/>
        <v>#REF!</v>
      </c>
      <c r="E689" t="str">
        <f t="shared" si="1"/>
        <v>#REF!</v>
      </c>
    </row>
    <row r="690">
      <c r="A690" t="s">
        <v>1703</v>
      </c>
      <c r="B690" s="254">
        <v>1560.0</v>
      </c>
      <c r="C690" s="256">
        <v>1.0</v>
      </c>
      <c r="D690" t="str">
        <f t="shared" si="6"/>
        <v>#REF!</v>
      </c>
      <c r="E690" t="str">
        <f t="shared" si="1"/>
        <v>#REF!</v>
      </c>
    </row>
    <row r="691">
      <c r="A691" t="s">
        <v>1704</v>
      </c>
      <c r="B691" s="254">
        <v>1560.0</v>
      </c>
      <c r="C691" s="256">
        <v>1.0</v>
      </c>
      <c r="D691" t="str">
        <f t="shared" si="6"/>
        <v>#REF!</v>
      </c>
      <c r="E691" t="str">
        <f t="shared" si="1"/>
        <v>#REF!</v>
      </c>
    </row>
    <row r="692">
      <c r="A692" t="s">
        <v>11627</v>
      </c>
      <c r="B692" s="254">
        <v>1560.0</v>
      </c>
      <c r="C692" s="256">
        <v>1.0</v>
      </c>
      <c r="D692" t="str">
        <f t="shared" si="6"/>
        <v>#REF!</v>
      </c>
      <c r="E692" t="str">
        <f t="shared" si="1"/>
        <v>#REF!</v>
      </c>
    </row>
    <row r="693">
      <c r="A693" t="s">
        <v>11628</v>
      </c>
      <c r="B693" s="254">
        <v>1560.0</v>
      </c>
      <c r="C693" s="256">
        <v>1.0</v>
      </c>
      <c r="D693" t="str">
        <f t="shared" si="6"/>
        <v>#REF!</v>
      </c>
      <c r="E693" t="str">
        <f t="shared" si="1"/>
        <v>#REF!</v>
      </c>
    </row>
    <row r="694">
      <c r="A694" t="s">
        <v>11629</v>
      </c>
      <c r="B694" s="254">
        <v>1560.0</v>
      </c>
      <c r="C694" s="256">
        <v>1.0</v>
      </c>
      <c r="D694" t="str">
        <f t="shared" si="6"/>
        <v>#REF!</v>
      </c>
      <c r="E694" t="str">
        <f t="shared" si="1"/>
        <v>#REF!</v>
      </c>
    </row>
    <row r="695">
      <c r="A695" t="s">
        <v>1705</v>
      </c>
      <c r="B695" s="254">
        <v>1560.0</v>
      </c>
      <c r="C695" s="256">
        <v>0.0</v>
      </c>
      <c r="D695" t="str">
        <f t="shared" si="6"/>
        <v>#REF!</v>
      </c>
      <c r="E695" t="str">
        <f t="shared" si="1"/>
        <v>#REF!</v>
      </c>
    </row>
    <row r="696">
      <c r="A696" t="s">
        <v>11630</v>
      </c>
      <c r="B696" s="254">
        <v>1560.0</v>
      </c>
      <c r="C696" s="256">
        <v>0.0</v>
      </c>
      <c r="D696" t="str">
        <f t="shared" si="6"/>
        <v>#REF!</v>
      </c>
      <c r="E696" t="str">
        <f t="shared" si="1"/>
        <v>#REF!</v>
      </c>
    </row>
    <row r="697">
      <c r="A697" t="s">
        <v>6119</v>
      </c>
      <c r="B697" s="254">
        <v>1500.0</v>
      </c>
      <c r="C697" s="287">
        <v>8.0</v>
      </c>
      <c r="D697" t="str">
        <f t="shared" si="6"/>
        <v>#REF!</v>
      </c>
      <c r="E697" t="str">
        <f t="shared" si="1"/>
        <v>#REF!</v>
      </c>
    </row>
    <row r="698">
      <c r="A698" t="s">
        <v>5786</v>
      </c>
      <c r="B698" s="254">
        <v>300.0</v>
      </c>
      <c r="C698" s="256">
        <v>86.0</v>
      </c>
      <c r="D698" t="str">
        <f t="shared" si="6"/>
        <v>#REF!</v>
      </c>
      <c r="E698" t="str">
        <f t="shared" si="1"/>
        <v>#REF!</v>
      </c>
    </row>
    <row r="699">
      <c r="A699" t="s">
        <v>5789</v>
      </c>
      <c r="B699" s="254">
        <v>400.0</v>
      </c>
      <c r="C699" s="287">
        <v>60.0</v>
      </c>
      <c r="D699" t="str">
        <f t="shared" si="6"/>
        <v>#REF!</v>
      </c>
      <c r="E699" t="str">
        <f t="shared" si="1"/>
        <v>#REF!</v>
      </c>
    </row>
    <row r="700">
      <c r="A700" t="s">
        <v>6001</v>
      </c>
      <c r="B700" s="254">
        <v>500.0</v>
      </c>
      <c r="C700" s="287">
        <v>62.0</v>
      </c>
      <c r="D700" t="str">
        <f t="shared" si="6"/>
        <v>#REF!</v>
      </c>
      <c r="E700" t="str">
        <f t="shared" si="1"/>
        <v>#REF!</v>
      </c>
    </row>
    <row r="701">
      <c r="A701" s="3" t="s">
        <v>5893</v>
      </c>
      <c r="B701" s="254">
        <v>250.0</v>
      </c>
      <c r="C701" s="287">
        <v>17.0</v>
      </c>
      <c r="D701" t="str">
        <f t="shared" si="6"/>
        <v>#REF!</v>
      </c>
      <c r="E701" t="str">
        <f t="shared" si="1"/>
        <v>#REF!</v>
      </c>
    </row>
    <row r="702">
      <c r="A702" t="s">
        <v>11631</v>
      </c>
      <c r="B702" s="254">
        <v>6790.0</v>
      </c>
      <c r="C702" s="256">
        <v>0.0</v>
      </c>
      <c r="D702" t="str">
        <f t="shared" si="6"/>
        <v>#REF!</v>
      </c>
      <c r="E702" t="str">
        <f t="shared" si="1"/>
        <v>#REF!</v>
      </c>
    </row>
    <row r="703">
      <c r="A703" t="s">
        <v>5287</v>
      </c>
      <c r="B703" s="254">
        <v>8490.0</v>
      </c>
      <c r="C703" s="256">
        <v>0.0</v>
      </c>
      <c r="D703" t="str">
        <f t="shared" si="6"/>
        <v>#REF!</v>
      </c>
      <c r="E703" t="str">
        <f t="shared" si="1"/>
        <v>#REF!</v>
      </c>
    </row>
    <row r="704">
      <c r="A704" t="s">
        <v>5287</v>
      </c>
      <c r="B704" s="254">
        <v>8490.0</v>
      </c>
      <c r="C704" s="254">
        <v>0.0</v>
      </c>
      <c r="D704" t="str">
        <f t="shared" si="6"/>
        <v>#REF!</v>
      </c>
      <c r="E704" t="str">
        <f t="shared" si="1"/>
        <v>#REF!</v>
      </c>
    </row>
    <row r="705">
      <c r="A705" t="s">
        <v>11632</v>
      </c>
      <c r="B705" s="254">
        <v>8490.0</v>
      </c>
      <c r="C705" s="256">
        <v>0.0</v>
      </c>
      <c r="D705" t="str">
        <f t="shared" si="6"/>
        <v>#REF!</v>
      </c>
      <c r="E705" t="str">
        <f t="shared" si="1"/>
        <v>#REF!</v>
      </c>
    </row>
    <row r="706">
      <c r="A706" t="s">
        <v>11633</v>
      </c>
      <c r="B706" s="254">
        <v>8190.0</v>
      </c>
      <c r="C706" s="256">
        <v>0.0</v>
      </c>
      <c r="D706" t="str">
        <f t="shared" si="6"/>
        <v>#REF!</v>
      </c>
      <c r="E706" t="str">
        <f t="shared" si="1"/>
        <v>#REF!</v>
      </c>
    </row>
    <row r="707">
      <c r="A707" t="s">
        <v>9690</v>
      </c>
      <c r="B707" s="254">
        <v>7690.0</v>
      </c>
      <c r="C707" s="256">
        <v>0.0</v>
      </c>
      <c r="D707" t="str">
        <f t="shared" si="6"/>
        <v>#REF!</v>
      </c>
      <c r="E707" t="str">
        <f t="shared" si="1"/>
        <v>#REF!</v>
      </c>
    </row>
    <row r="708">
      <c r="A708" t="s">
        <v>11634</v>
      </c>
      <c r="B708" s="254">
        <v>7690.0</v>
      </c>
      <c r="C708" s="256">
        <v>0.0</v>
      </c>
      <c r="D708" t="str">
        <f t="shared" si="6"/>
        <v>#REF!</v>
      </c>
      <c r="E708" t="str">
        <f t="shared" si="1"/>
        <v>#REF!</v>
      </c>
    </row>
    <row r="709">
      <c r="A709" t="s">
        <v>11635</v>
      </c>
      <c r="B709" s="254">
        <v>8790.0</v>
      </c>
      <c r="C709" s="256">
        <v>0.0</v>
      </c>
      <c r="D709" t="str">
        <f t="shared" si="6"/>
        <v>#REF!</v>
      </c>
      <c r="E709" t="str">
        <f t="shared" si="1"/>
        <v>#REF!</v>
      </c>
    </row>
    <row r="710">
      <c r="A710" t="s">
        <v>9691</v>
      </c>
      <c r="B710" s="254">
        <v>9690.0</v>
      </c>
      <c r="C710" s="256">
        <v>0.0</v>
      </c>
      <c r="D710" t="str">
        <f t="shared" si="6"/>
        <v>#REF!</v>
      </c>
      <c r="E710" t="str">
        <f t="shared" si="1"/>
        <v>#REF!</v>
      </c>
    </row>
    <row r="711">
      <c r="A711" t="s">
        <v>11636</v>
      </c>
      <c r="B711" s="254">
        <v>8490.0</v>
      </c>
      <c r="C711" s="256">
        <v>0.0</v>
      </c>
      <c r="D711" t="str">
        <f t="shared" si="6"/>
        <v>#REF!</v>
      </c>
      <c r="E711" t="str">
        <f t="shared" si="1"/>
        <v>#REF!</v>
      </c>
    </row>
    <row r="712">
      <c r="A712" t="s">
        <v>6286</v>
      </c>
      <c r="B712" s="254">
        <v>11490.0</v>
      </c>
      <c r="C712" s="256">
        <v>1.0</v>
      </c>
      <c r="D712" t="str">
        <f t="shared" si="6"/>
        <v>#REF!</v>
      </c>
      <c r="E712" t="str">
        <f t="shared" si="1"/>
        <v>#REF!</v>
      </c>
    </row>
    <row r="713">
      <c r="A713" t="s">
        <v>11637</v>
      </c>
      <c r="B713" s="254">
        <v>8990.0</v>
      </c>
      <c r="C713" s="256">
        <v>0.0</v>
      </c>
      <c r="D713" t="str">
        <f t="shared" si="6"/>
        <v>#REF!</v>
      </c>
      <c r="E713" t="str">
        <f t="shared" si="1"/>
        <v>#REF!</v>
      </c>
    </row>
    <row r="714">
      <c r="A714" t="s">
        <v>11638</v>
      </c>
      <c r="B714" s="254">
        <v>11990.0</v>
      </c>
      <c r="C714" s="256">
        <v>0.0</v>
      </c>
      <c r="D714" t="str">
        <f t="shared" si="6"/>
        <v>#REF!</v>
      </c>
      <c r="E714" t="str">
        <f t="shared" si="1"/>
        <v>#REF!</v>
      </c>
    </row>
    <row r="715">
      <c r="A715" t="s">
        <v>11638</v>
      </c>
      <c r="B715" s="254">
        <v>11990.0</v>
      </c>
      <c r="C715" s="287">
        <v>0.0</v>
      </c>
      <c r="D715" t="str">
        <f t="shared" si="6"/>
        <v>#REF!</v>
      </c>
      <c r="E715" t="str">
        <f t="shared" si="1"/>
        <v>#REF!</v>
      </c>
    </row>
    <row r="716">
      <c r="A716" t="s">
        <v>11639</v>
      </c>
      <c r="B716" s="254">
        <v>8990.0</v>
      </c>
      <c r="C716" s="256">
        <v>0.0</v>
      </c>
      <c r="D716" t="str">
        <f t="shared" si="6"/>
        <v>#REF!</v>
      </c>
      <c r="E716" t="str">
        <f t="shared" si="1"/>
        <v>#REF!</v>
      </c>
    </row>
    <row r="717">
      <c r="A717" t="s">
        <v>11640</v>
      </c>
      <c r="B717" s="254">
        <v>8190.0</v>
      </c>
      <c r="C717" s="256">
        <v>0.0</v>
      </c>
      <c r="D717" t="str">
        <f t="shared" si="6"/>
        <v>#REF!</v>
      </c>
      <c r="E717" t="str">
        <f t="shared" si="1"/>
        <v>#REF!</v>
      </c>
    </row>
    <row r="718">
      <c r="A718" t="s">
        <v>11641</v>
      </c>
      <c r="B718" s="254">
        <v>9690.0</v>
      </c>
      <c r="C718" s="256">
        <v>0.0</v>
      </c>
      <c r="D718" t="str">
        <f t="shared" si="6"/>
        <v>#REF!</v>
      </c>
      <c r="E718" t="str">
        <f t="shared" si="1"/>
        <v>#REF!</v>
      </c>
    </row>
    <row r="719">
      <c r="A719" t="s">
        <v>11642</v>
      </c>
      <c r="B719" s="254">
        <v>8190.0</v>
      </c>
      <c r="C719" s="256">
        <v>0.0</v>
      </c>
      <c r="D719" t="str">
        <f t="shared" si="6"/>
        <v>#REF!</v>
      </c>
      <c r="E719" t="str">
        <f t="shared" si="1"/>
        <v>#REF!</v>
      </c>
    </row>
    <row r="720">
      <c r="A720" t="s">
        <v>11643</v>
      </c>
      <c r="B720" s="254">
        <v>5790.0</v>
      </c>
      <c r="C720" s="256">
        <v>0.0</v>
      </c>
      <c r="D720" t="str">
        <f t="shared" si="6"/>
        <v>#REF!</v>
      </c>
      <c r="E720" t="str">
        <f t="shared" si="1"/>
        <v>#REF!</v>
      </c>
    </row>
    <row r="721">
      <c r="A721" t="s">
        <v>6287</v>
      </c>
      <c r="B721" s="254">
        <v>6290.0</v>
      </c>
      <c r="C721" s="256">
        <v>1.0</v>
      </c>
      <c r="D721" t="str">
        <f t="shared" si="6"/>
        <v>#REF!</v>
      </c>
      <c r="E721" t="str">
        <f t="shared" si="1"/>
        <v>#REF!</v>
      </c>
    </row>
    <row r="722">
      <c r="A722" t="s">
        <v>6288</v>
      </c>
      <c r="B722" s="254">
        <v>6290.0</v>
      </c>
      <c r="C722" s="256">
        <v>1.0</v>
      </c>
      <c r="D722" t="str">
        <f t="shared" si="6"/>
        <v>#REF!</v>
      </c>
      <c r="E722" t="str">
        <f t="shared" si="1"/>
        <v>#REF!</v>
      </c>
    </row>
    <row r="723">
      <c r="A723" t="s">
        <v>11644</v>
      </c>
      <c r="B723" s="254">
        <v>5590.0</v>
      </c>
      <c r="C723" s="256">
        <v>0.0</v>
      </c>
      <c r="D723" t="str">
        <f t="shared" si="6"/>
        <v>#REF!</v>
      </c>
      <c r="E723" t="str">
        <f t="shared" si="1"/>
        <v>#REF!</v>
      </c>
    </row>
    <row r="724">
      <c r="A724" t="s">
        <v>5280</v>
      </c>
      <c r="B724" s="254">
        <v>7090.0</v>
      </c>
      <c r="C724" s="291">
        <v>0.0</v>
      </c>
      <c r="D724" t="str">
        <f t="shared" si="6"/>
        <v>#REF!</v>
      </c>
      <c r="E724" t="str">
        <f t="shared" si="1"/>
        <v>#REF!</v>
      </c>
    </row>
    <row r="725">
      <c r="A725" t="s">
        <v>11645</v>
      </c>
      <c r="B725" s="254">
        <v>8690.0</v>
      </c>
      <c r="C725" s="256">
        <v>0.0</v>
      </c>
      <c r="D725" t="str">
        <f t="shared" si="6"/>
        <v>#REF!</v>
      </c>
      <c r="E725" t="str">
        <f t="shared" si="1"/>
        <v>#REF!</v>
      </c>
    </row>
    <row r="726">
      <c r="A726" t="s">
        <v>1715</v>
      </c>
      <c r="B726" s="254">
        <v>6190.0</v>
      </c>
      <c r="C726" s="256">
        <v>0.0</v>
      </c>
      <c r="D726" t="str">
        <f t="shared" si="6"/>
        <v>#REF!</v>
      </c>
      <c r="E726" t="str">
        <f t="shared" si="1"/>
        <v>#REF!</v>
      </c>
    </row>
    <row r="727">
      <c r="A727" t="s">
        <v>9979</v>
      </c>
      <c r="B727" s="254">
        <v>7290.0</v>
      </c>
      <c r="C727" s="256">
        <v>0.0</v>
      </c>
      <c r="D727" t="str">
        <f t="shared" si="6"/>
        <v>#REF!</v>
      </c>
      <c r="E727" t="str">
        <f t="shared" si="1"/>
        <v>#REF!</v>
      </c>
    </row>
    <row r="728">
      <c r="A728" t="s">
        <v>11646</v>
      </c>
      <c r="B728" s="254"/>
      <c r="C728" s="256">
        <v>0.0</v>
      </c>
      <c r="D728" t="str">
        <f t="shared" si="6"/>
        <v>#REF!</v>
      </c>
      <c r="E728" t="str">
        <f t="shared" si="1"/>
        <v>#REF!</v>
      </c>
    </row>
    <row r="729">
      <c r="A729" t="s">
        <v>11647</v>
      </c>
      <c r="B729" s="254">
        <v>5990.0</v>
      </c>
      <c r="C729" s="256">
        <v>0.0</v>
      </c>
      <c r="D729" t="str">
        <f t="shared" si="6"/>
        <v>#REF!</v>
      </c>
      <c r="E729" t="str">
        <f t="shared" si="1"/>
        <v>#REF!</v>
      </c>
    </row>
    <row r="730">
      <c r="A730" t="s">
        <v>11648</v>
      </c>
      <c r="B730" s="254">
        <v>7490.0</v>
      </c>
      <c r="C730" s="256">
        <v>0.0</v>
      </c>
      <c r="D730" t="str">
        <f t="shared" si="6"/>
        <v>#REF!</v>
      </c>
      <c r="E730" t="str">
        <f t="shared" si="1"/>
        <v>#REF!</v>
      </c>
    </row>
    <row r="731">
      <c r="A731" t="s">
        <v>9980</v>
      </c>
      <c r="B731" s="254">
        <v>6490.0</v>
      </c>
      <c r="C731" s="256">
        <v>0.0</v>
      </c>
      <c r="D731" t="str">
        <f t="shared" si="6"/>
        <v>#REF!</v>
      </c>
      <c r="E731" t="str">
        <f t="shared" si="1"/>
        <v>#REF!</v>
      </c>
    </row>
    <row r="732">
      <c r="A732" t="s">
        <v>8283</v>
      </c>
      <c r="B732" s="254"/>
      <c r="C732" s="256">
        <v>0.0</v>
      </c>
      <c r="D732" t="str">
        <f t="shared" si="6"/>
        <v>#REF!</v>
      </c>
      <c r="E732" t="str">
        <f t="shared" si="1"/>
        <v>#REF!</v>
      </c>
    </row>
    <row r="733">
      <c r="A733" t="s">
        <v>11649</v>
      </c>
      <c r="B733" s="254">
        <v>9790.0</v>
      </c>
      <c r="C733" s="256">
        <v>0.0</v>
      </c>
      <c r="D733" t="str">
        <f t="shared" si="6"/>
        <v>#REF!</v>
      </c>
      <c r="E733" t="str">
        <f t="shared" si="1"/>
        <v>#REF!</v>
      </c>
    </row>
    <row r="734">
      <c r="A734" t="s">
        <v>6871</v>
      </c>
      <c r="B734" s="254">
        <v>9790.0</v>
      </c>
      <c r="C734" s="256">
        <v>0.0</v>
      </c>
      <c r="D734" t="str">
        <f t="shared" si="6"/>
        <v>#REF!</v>
      </c>
      <c r="E734" t="str">
        <f t="shared" si="1"/>
        <v>#REF!</v>
      </c>
    </row>
    <row r="735">
      <c r="A735" t="s">
        <v>11650</v>
      </c>
      <c r="B735" s="254"/>
      <c r="C735" s="256">
        <v>0.0</v>
      </c>
      <c r="D735" t="str">
        <f t="shared" si="6"/>
        <v>#REF!</v>
      </c>
      <c r="E735" t="str">
        <f t="shared" si="1"/>
        <v>#REF!</v>
      </c>
    </row>
    <row r="736">
      <c r="A736" t="s">
        <v>11651</v>
      </c>
      <c r="B736" s="254">
        <v>6490.0</v>
      </c>
      <c r="C736" s="256">
        <v>0.0</v>
      </c>
      <c r="D736" t="str">
        <f t="shared" si="6"/>
        <v>#REF!</v>
      </c>
      <c r="E736" t="str">
        <f t="shared" si="1"/>
        <v>#REF!</v>
      </c>
    </row>
    <row r="737">
      <c r="A737" t="s">
        <v>11652</v>
      </c>
      <c r="B737" s="254">
        <v>9790.0</v>
      </c>
      <c r="C737" s="256">
        <v>0.0</v>
      </c>
      <c r="D737" t="str">
        <f t="shared" si="6"/>
        <v>#REF!</v>
      </c>
      <c r="E737" t="str">
        <f t="shared" si="1"/>
        <v>#REF!</v>
      </c>
    </row>
    <row r="738">
      <c r="A738" t="s">
        <v>11653</v>
      </c>
      <c r="B738" s="254">
        <v>9790.0</v>
      </c>
      <c r="C738" s="256">
        <v>0.0</v>
      </c>
      <c r="D738" t="str">
        <f t="shared" si="6"/>
        <v>#REF!</v>
      </c>
      <c r="E738" t="str">
        <f t="shared" si="1"/>
        <v>#REF!</v>
      </c>
    </row>
    <row r="739">
      <c r="A739" t="s">
        <v>11654</v>
      </c>
      <c r="B739" s="254">
        <v>5490.0</v>
      </c>
      <c r="C739" s="256">
        <v>0.0</v>
      </c>
      <c r="D739" t="str">
        <f t="shared" si="6"/>
        <v>#REF!</v>
      </c>
      <c r="E739" t="str">
        <f t="shared" si="1"/>
        <v>#REF!</v>
      </c>
    </row>
    <row r="740">
      <c r="A740" t="s">
        <v>11363</v>
      </c>
      <c r="B740" s="254">
        <v>6690.0</v>
      </c>
      <c r="C740" s="256">
        <v>0.0</v>
      </c>
      <c r="D740" t="str">
        <f t="shared" si="6"/>
        <v>#REF!</v>
      </c>
      <c r="E740" t="str">
        <f t="shared" si="1"/>
        <v>#REF!</v>
      </c>
    </row>
    <row r="741">
      <c r="A741" t="s">
        <v>11655</v>
      </c>
      <c r="B741" s="254">
        <v>6290.0</v>
      </c>
      <c r="C741" s="256">
        <v>0.0</v>
      </c>
      <c r="D741" t="str">
        <f t="shared" si="6"/>
        <v>#REF!</v>
      </c>
      <c r="E741" t="str">
        <f t="shared" si="1"/>
        <v>#REF!</v>
      </c>
    </row>
    <row r="742">
      <c r="A742" t="s">
        <v>11656</v>
      </c>
      <c r="B742" s="254">
        <v>7790.0</v>
      </c>
      <c r="C742" s="256">
        <v>0.0</v>
      </c>
      <c r="D742" t="str">
        <f t="shared" si="6"/>
        <v>#REF!</v>
      </c>
      <c r="E742" t="str">
        <f t="shared" si="1"/>
        <v>#REF!</v>
      </c>
    </row>
    <row r="743">
      <c r="A743" t="s">
        <v>11657</v>
      </c>
      <c r="B743" s="254">
        <v>7190.0</v>
      </c>
      <c r="C743" s="256">
        <v>0.0</v>
      </c>
      <c r="D743" t="str">
        <f t="shared" si="6"/>
        <v>#REF!</v>
      </c>
      <c r="E743" t="str">
        <f t="shared" si="1"/>
        <v>#REF!</v>
      </c>
    </row>
    <row r="744">
      <c r="A744" t="s">
        <v>11364</v>
      </c>
      <c r="B744" s="254">
        <v>8790.0</v>
      </c>
      <c r="C744" s="256">
        <v>0.0</v>
      </c>
      <c r="D744" t="str">
        <f t="shared" si="6"/>
        <v>#REF!</v>
      </c>
      <c r="E744" t="str">
        <f t="shared" si="1"/>
        <v>#REF!</v>
      </c>
    </row>
    <row r="745">
      <c r="A745" t="s">
        <v>6934</v>
      </c>
      <c r="B745" s="254">
        <v>6490.0</v>
      </c>
      <c r="C745" s="256">
        <v>0.0</v>
      </c>
      <c r="D745" t="str">
        <f t="shared" si="6"/>
        <v>#REF!</v>
      </c>
      <c r="E745" t="str">
        <f t="shared" si="1"/>
        <v>#REF!</v>
      </c>
    </row>
    <row r="746">
      <c r="A746" t="s">
        <v>5282</v>
      </c>
      <c r="B746" s="254">
        <v>6690.0</v>
      </c>
      <c r="C746" s="256">
        <v>1.0</v>
      </c>
      <c r="D746" t="str">
        <f t="shared" si="6"/>
        <v>#REF!</v>
      </c>
      <c r="E746" t="str">
        <f t="shared" si="1"/>
        <v>#REF!</v>
      </c>
    </row>
    <row r="747">
      <c r="A747" t="s">
        <v>11658</v>
      </c>
      <c r="B747" s="254">
        <v>6090.0</v>
      </c>
      <c r="C747" s="256">
        <v>0.0</v>
      </c>
      <c r="D747" t="str">
        <f t="shared" si="6"/>
        <v>#REF!</v>
      </c>
      <c r="E747" t="str">
        <f t="shared" si="1"/>
        <v>#REF!</v>
      </c>
    </row>
    <row r="748">
      <c r="A748" t="s">
        <v>5285</v>
      </c>
      <c r="B748" s="254">
        <v>11900.0</v>
      </c>
      <c r="C748" s="256">
        <v>1.0</v>
      </c>
      <c r="D748" t="str">
        <f t="shared" si="6"/>
        <v>#REF!</v>
      </c>
      <c r="E748" t="str">
        <f t="shared" si="1"/>
        <v>#REF!</v>
      </c>
    </row>
    <row r="749">
      <c r="A749" t="s">
        <v>8456</v>
      </c>
      <c r="B749" s="254">
        <v>5490.0</v>
      </c>
      <c r="C749" s="256">
        <v>0.0</v>
      </c>
      <c r="D749" t="str">
        <f t="shared" si="6"/>
        <v>#REF!</v>
      </c>
      <c r="E749" t="str">
        <f t="shared" si="1"/>
        <v>#REF!</v>
      </c>
    </row>
    <row r="750">
      <c r="A750" t="s">
        <v>5278</v>
      </c>
      <c r="B750" s="254">
        <v>5990.0</v>
      </c>
      <c r="C750" s="291">
        <v>1.0</v>
      </c>
      <c r="D750" t="str">
        <f t="shared" si="6"/>
        <v>#REF!</v>
      </c>
      <c r="E750" t="str">
        <f t="shared" si="1"/>
        <v>#REF!</v>
      </c>
    </row>
    <row r="751">
      <c r="A751" t="s">
        <v>10003</v>
      </c>
      <c r="B751" s="254">
        <v>6790.0</v>
      </c>
      <c r="C751" s="256">
        <v>0.0</v>
      </c>
      <c r="D751" t="str">
        <f t="shared" si="6"/>
        <v>#REF!</v>
      </c>
      <c r="E751" t="str">
        <f t="shared" si="1"/>
        <v>#REF!</v>
      </c>
    </row>
    <row r="752">
      <c r="A752" t="s">
        <v>11659</v>
      </c>
      <c r="B752" s="254">
        <v>15290.0</v>
      </c>
      <c r="C752" s="256">
        <v>0.0</v>
      </c>
      <c r="D752" t="str">
        <f t="shared" si="6"/>
        <v>#REF!</v>
      </c>
      <c r="E752" t="str">
        <f t="shared" si="1"/>
        <v>#REF!</v>
      </c>
    </row>
    <row r="753">
      <c r="A753" t="s">
        <v>11660</v>
      </c>
      <c r="B753" s="254">
        <v>15290.0</v>
      </c>
      <c r="C753" s="256">
        <v>0.0</v>
      </c>
      <c r="D753" t="str">
        <f t="shared" si="6"/>
        <v>#REF!</v>
      </c>
      <c r="E753" t="str">
        <f t="shared" si="1"/>
        <v>#REF!</v>
      </c>
    </row>
    <row r="754">
      <c r="A754" t="s">
        <v>11661</v>
      </c>
      <c r="B754" s="254">
        <v>9790.0</v>
      </c>
      <c r="C754" s="256">
        <v>0.0</v>
      </c>
      <c r="D754" t="str">
        <f t="shared" si="6"/>
        <v>#REF!</v>
      </c>
      <c r="E754" t="str">
        <f t="shared" si="1"/>
        <v>#REF!</v>
      </c>
    </row>
    <row r="755">
      <c r="A755" t="s">
        <v>11662</v>
      </c>
      <c r="B755" s="254">
        <v>6790.0</v>
      </c>
      <c r="C755" s="256">
        <v>0.0</v>
      </c>
      <c r="D755" t="str">
        <f t="shared" si="6"/>
        <v>#REF!</v>
      </c>
      <c r="E755" t="str">
        <f t="shared" si="1"/>
        <v>#REF!</v>
      </c>
    </row>
    <row r="756">
      <c r="A756" t="s">
        <v>11663</v>
      </c>
      <c r="B756" s="254">
        <v>7490.0</v>
      </c>
      <c r="C756" s="256">
        <v>0.0</v>
      </c>
      <c r="D756" t="str">
        <f t="shared" si="6"/>
        <v>#REF!</v>
      </c>
      <c r="E756" t="str">
        <f t="shared" si="1"/>
        <v>#REF!</v>
      </c>
    </row>
    <row r="757">
      <c r="A757" t="s">
        <v>11664</v>
      </c>
      <c r="B757" s="254">
        <v>6790.0</v>
      </c>
      <c r="C757" s="256">
        <v>0.0</v>
      </c>
      <c r="D757" t="str">
        <f t="shared" si="6"/>
        <v>#REF!</v>
      </c>
      <c r="E757" t="str">
        <f t="shared" si="1"/>
        <v>#REF!</v>
      </c>
    </row>
    <row r="758">
      <c r="A758" t="s">
        <v>11665</v>
      </c>
      <c r="B758" s="254">
        <v>7490.0</v>
      </c>
      <c r="C758" s="256">
        <v>0.0</v>
      </c>
      <c r="D758" t="str">
        <f t="shared" si="6"/>
        <v>#REF!</v>
      </c>
      <c r="E758" t="str">
        <f t="shared" si="1"/>
        <v>#REF!</v>
      </c>
    </row>
    <row r="759">
      <c r="A759" t="s">
        <v>11666</v>
      </c>
      <c r="B759" s="254">
        <v>10290.0</v>
      </c>
      <c r="C759" s="256">
        <v>0.0</v>
      </c>
      <c r="D759" t="str">
        <f t="shared" si="6"/>
        <v>#REF!</v>
      </c>
      <c r="E759" t="str">
        <f t="shared" si="1"/>
        <v>#REF!</v>
      </c>
    </row>
    <row r="760">
      <c r="A760" t="s">
        <v>10004</v>
      </c>
      <c r="B760" s="254">
        <v>7990.0</v>
      </c>
      <c r="C760" s="256">
        <v>0.0</v>
      </c>
      <c r="D760" t="str">
        <f t="shared" si="6"/>
        <v>#REF!</v>
      </c>
      <c r="E760" t="str">
        <f t="shared" si="1"/>
        <v>#REF!</v>
      </c>
    </row>
    <row r="761">
      <c r="A761" t="s">
        <v>11667</v>
      </c>
      <c r="B761" s="254">
        <v>5090.0</v>
      </c>
      <c r="C761" s="256">
        <v>0.0</v>
      </c>
      <c r="D761" t="str">
        <f t="shared" si="6"/>
        <v>#REF!</v>
      </c>
      <c r="E761" t="str">
        <f t="shared" si="1"/>
        <v>#REF!</v>
      </c>
    </row>
    <row r="762">
      <c r="A762" t="s">
        <v>11668</v>
      </c>
      <c r="B762" s="254">
        <v>6990.0</v>
      </c>
      <c r="C762" s="256">
        <v>0.0</v>
      </c>
      <c r="D762" t="str">
        <f t="shared" si="6"/>
        <v>#REF!</v>
      </c>
      <c r="E762" t="str">
        <f t="shared" si="1"/>
        <v>#REF!</v>
      </c>
    </row>
    <row r="763">
      <c r="A763" t="s">
        <v>11669</v>
      </c>
      <c r="B763" s="254">
        <v>8790.0</v>
      </c>
      <c r="C763" s="256">
        <v>0.0</v>
      </c>
      <c r="D763" t="str">
        <f t="shared" si="6"/>
        <v>#REF!</v>
      </c>
      <c r="E763" t="str">
        <f t="shared" si="1"/>
        <v>#REF!</v>
      </c>
    </row>
    <row r="764">
      <c r="A764" t="s">
        <v>11670</v>
      </c>
      <c r="B764" s="254">
        <v>9290.0</v>
      </c>
      <c r="C764" s="256">
        <v>0.0</v>
      </c>
      <c r="D764" t="str">
        <f t="shared" si="6"/>
        <v>#REF!</v>
      </c>
      <c r="E764" t="str">
        <f t="shared" si="1"/>
        <v>#REF!</v>
      </c>
    </row>
    <row r="765">
      <c r="A765" t="s">
        <v>11671</v>
      </c>
      <c r="B765" s="254">
        <v>9990.0</v>
      </c>
      <c r="C765" s="256">
        <v>0.0</v>
      </c>
      <c r="D765" t="str">
        <f t="shared" si="6"/>
        <v>#REF!</v>
      </c>
      <c r="E765" t="str">
        <f t="shared" si="1"/>
        <v>#REF!</v>
      </c>
    </row>
    <row r="766">
      <c r="A766" t="s">
        <v>11672</v>
      </c>
      <c r="B766" s="254">
        <v>9990.0</v>
      </c>
      <c r="C766" s="256">
        <v>0.0</v>
      </c>
      <c r="D766" t="str">
        <f t="shared" si="6"/>
        <v>#REF!</v>
      </c>
      <c r="E766" t="str">
        <f t="shared" si="1"/>
        <v>#REF!</v>
      </c>
    </row>
    <row r="767">
      <c r="A767" t="s">
        <v>11673</v>
      </c>
      <c r="B767" s="254">
        <v>11290.0</v>
      </c>
      <c r="C767" s="256">
        <v>0.0</v>
      </c>
      <c r="D767" t="str">
        <f t="shared" si="6"/>
        <v>#REF!</v>
      </c>
      <c r="E767" t="str">
        <f t="shared" si="1"/>
        <v>#REF!</v>
      </c>
    </row>
    <row r="768">
      <c r="A768" t="s">
        <v>11674</v>
      </c>
      <c r="B768" s="254">
        <v>8490.0</v>
      </c>
      <c r="C768" s="256">
        <v>0.0</v>
      </c>
      <c r="D768" t="str">
        <f t="shared" si="6"/>
        <v>#REF!</v>
      </c>
      <c r="E768" t="str">
        <f t="shared" si="1"/>
        <v>#REF!</v>
      </c>
    </row>
    <row r="769">
      <c r="A769" t="s">
        <v>11675</v>
      </c>
      <c r="B769" s="254">
        <v>8490.0</v>
      </c>
      <c r="C769" s="256">
        <v>0.0</v>
      </c>
      <c r="D769" t="str">
        <f t="shared" si="6"/>
        <v>#REF!</v>
      </c>
      <c r="E769" t="str">
        <f t="shared" si="1"/>
        <v>#REF!</v>
      </c>
    </row>
    <row r="770">
      <c r="A770" t="s">
        <v>6289</v>
      </c>
      <c r="B770" s="254">
        <v>10990.0</v>
      </c>
      <c r="C770" s="256">
        <v>1.0</v>
      </c>
      <c r="D770" t="str">
        <f t="shared" si="6"/>
        <v>#REF!</v>
      </c>
      <c r="E770" t="str">
        <f t="shared" si="1"/>
        <v>#REF!</v>
      </c>
    </row>
    <row r="771">
      <c r="A771" t="s">
        <v>6011</v>
      </c>
      <c r="B771" s="254">
        <v>10990.0</v>
      </c>
      <c r="C771" s="256">
        <v>0.0</v>
      </c>
      <c r="D771" t="str">
        <f t="shared" si="6"/>
        <v>#REF!</v>
      </c>
      <c r="E771" t="str">
        <f t="shared" si="1"/>
        <v>#REF!</v>
      </c>
    </row>
    <row r="772">
      <c r="A772" t="s">
        <v>11676</v>
      </c>
      <c r="B772" s="254">
        <v>8490.0</v>
      </c>
      <c r="C772" s="256">
        <v>0.0</v>
      </c>
      <c r="D772" t="str">
        <f t="shared" si="6"/>
        <v>#REF!</v>
      </c>
      <c r="E772" t="str">
        <f t="shared" si="1"/>
        <v>#REF!</v>
      </c>
    </row>
    <row r="773">
      <c r="A773" t="s">
        <v>11677</v>
      </c>
      <c r="B773" s="254">
        <v>8490.0</v>
      </c>
      <c r="C773" s="256">
        <v>0.0</v>
      </c>
      <c r="D773" t="str">
        <f t="shared" si="6"/>
        <v>#REF!</v>
      </c>
      <c r="E773" t="str">
        <f t="shared" si="1"/>
        <v>#REF!</v>
      </c>
    </row>
    <row r="774">
      <c r="A774" t="s">
        <v>11678</v>
      </c>
      <c r="B774" s="254">
        <v>7990.0</v>
      </c>
      <c r="C774" s="256">
        <v>0.0</v>
      </c>
      <c r="D774" t="str">
        <f t="shared" si="6"/>
        <v>#REF!</v>
      </c>
      <c r="E774" t="str">
        <f t="shared" si="1"/>
        <v>#REF!</v>
      </c>
    </row>
    <row r="775">
      <c r="A775" t="s">
        <v>11679</v>
      </c>
      <c r="B775" s="254">
        <v>7990.0</v>
      </c>
      <c r="C775" s="256">
        <v>0.0</v>
      </c>
      <c r="D775" t="str">
        <f t="shared" si="6"/>
        <v>#REF!</v>
      </c>
      <c r="E775" t="str">
        <f t="shared" si="1"/>
        <v>#REF!</v>
      </c>
    </row>
    <row r="776">
      <c r="A776" t="s">
        <v>11680</v>
      </c>
      <c r="B776" s="254">
        <v>6990.0</v>
      </c>
      <c r="C776" s="256">
        <v>0.0</v>
      </c>
      <c r="D776" t="str">
        <f t="shared" si="6"/>
        <v>#REF!</v>
      </c>
      <c r="E776" t="str">
        <f t="shared" si="1"/>
        <v>#REF!</v>
      </c>
    </row>
    <row r="777">
      <c r="A777" t="s">
        <v>6290</v>
      </c>
      <c r="B777" s="254">
        <v>6990.0</v>
      </c>
      <c r="C777" s="256">
        <v>1.0</v>
      </c>
      <c r="D777" t="str">
        <f t="shared" si="6"/>
        <v>#REF!</v>
      </c>
      <c r="E777" t="str">
        <f t="shared" si="1"/>
        <v>#REF!</v>
      </c>
    </row>
    <row r="778">
      <c r="A778" t="s">
        <v>6291</v>
      </c>
      <c r="B778" s="254">
        <v>6490.0</v>
      </c>
      <c r="C778" s="256">
        <v>1.0</v>
      </c>
      <c r="D778" t="str">
        <f t="shared" si="6"/>
        <v>#REF!</v>
      </c>
      <c r="E778" t="str">
        <f t="shared" si="1"/>
        <v>#REF!</v>
      </c>
    </row>
    <row r="779">
      <c r="A779" t="s">
        <v>11681</v>
      </c>
      <c r="B779" s="254">
        <v>7990.0</v>
      </c>
      <c r="C779" s="256">
        <v>1.0</v>
      </c>
      <c r="D779" t="str">
        <f t="shared" si="6"/>
        <v>#REF!</v>
      </c>
      <c r="E779" t="str">
        <f t="shared" si="1"/>
        <v>#REF!</v>
      </c>
    </row>
    <row r="780">
      <c r="A780" t="s">
        <v>11682</v>
      </c>
      <c r="B780" s="254">
        <v>7690.0</v>
      </c>
      <c r="C780" s="287">
        <v>0.0</v>
      </c>
      <c r="D780" t="str">
        <f t="shared" si="6"/>
        <v>#REF!</v>
      </c>
      <c r="E780" t="str">
        <f t="shared" si="1"/>
        <v>#REF!</v>
      </c>
    </row>
    <row r="781">
      <c r="A781" t="s">
        <v>7636</v>
      </c>
      <c r="B781" s="254">
        <v>10990.0</v>
      </c>
      <c r="C781" s="256">
        <v>0.0</v>
      </c>
      <c r="D781" t="str">
        <f t="shared" si="6"/>
        <v>#REF!</v>
      </c>
      <c r="E781" t="str">
        <f t="shared" si="1"/>
        <v>#REF!</v>
      </c>
    </row>
    <row r="782">
      <c r="A782" t="s">
        <v>1720</v>
      </c>
      <c r="B782" s="254">
        <v>10990.0</v>
      </c>
      <c r="C782" s="256">
        <v>0.0</v>
      </c>
      <c r="D782" t="str">
        <f t="shared" si="6"/>
        <v>#REF!</v>
      </c>
      <c r="E782" t="str">
        <f t="shared" si="1"/>
        <v>#REF!</v>
      </c>
    </row>
    <row r="783">
      <c r="A783" t="s">
        <v>11683</v>
      </c>
      <c r="B783" s="254">
        <v>9490.0</v>
      </c>
      <c r="C783" s="256">
        <v>0.0</v>
      </c>
      <c r="D783" t="str">
        <f t="shared" si="6"/>
        <v>#REF!</v>
      </c>
      <c r="E783" t="str">
        <f t="shared" si="1"/>
        <v>#REF!</v>
      </c>
    </row>
    <row r="784">
      <c r="A784" t="s">
        <v>11684</v>
      </c>
      <c r="B784" s="254">
        <v>6690.0</v>
      </c>
      <c r="C784" s="291">
        <v>1.0</v>
      </c>
      <c r="D784" t="str">
        <f t="shared" si="6"/>
        <v>#REF!</v>
      </c>
      <c r="E784" t="str">
        <f t="shared" si="1"/>
        <v>#REF!</v>
      </c>
    </row>
    <row r="785">
      <c r="A785" t="s">
        <v>11685</v>
      </c>
      <c r="B785" s="254">
        <v>6990.0</v>
      </c>
      <c r="C785" s="256">
        <v>0.0</v>
      </c>
      <c r="D785" t="str">
        <f t="shared" si="6"/>
        <v>#REF!</v>
      </c>
      <c r="E785" t="str">
        <f t="shared" si="1"/>
        <v>#REF!</v>
      </c>
    </row>
    <row r="786">
      <c r="A786" t="s">
        <v>11372</v>
      </c>
      <c r="B786" s="254">
        <v>7990.0</v>
      </c>
      <c r="C786" s="256">
        <v>0.0</v>
      </c>
      <c r="D786" t="str">
        <f t="shared" si="6"/>
        <v>#REF!</v>
      </c>
      <c r="E786" t="str">
        <f t="shared" si="1"/>
        <v>#REF!</v>
      </c>
    </row>
    <row r="787">
      <c r="A787" t="s">
        <v>11686</v>
      </c>
      <c r="B787" s="254">
        <v>9490.0</v>
      </c>
      <c r="C787" s="256">
        <v>0.0</v>
      </c>
      <c r="D787" t="str">
        <f t="shared" si="6"/>
        <v>#REF!</v>
      </c>
      <c r="E787" t="str">
        <f t="shared" si="1"/>
        <v>#REF!</v>
      </c>
    </row>
    <row r="788">
      <c r="A788" t="s">
        <v>9685</v>
      </c>
      <c r="B788" s="254">
        <v>7990.0</v>
      </c>
      <c r="C788" s="256">
        <v>0.0</v>
      </c>
      <c r="D788" t="str">
        <f t="shared" si="6"/>
        <v>#REF!</v>
      </c>
      <c r="E788" t="str">
        <f t="shared" si="1"/>
        <v>#REF!</v>
      </c>
    </row>
    <row r="789">
      <c r="A789" t="s">
        <v>9686</v>
      </c>
      <c r="B789" s="254">
        <v>6990.0</v>
      </c>
      <c r="C789" s="256">
        <v>0.0</v>
      </c>
      <c r="D789" t="str">
        <f t="shared" si="6"/>
        <v>#REF!</v>
      </c>
      <c r="E789" t="str">
        <f t="shared" si="1"/>
        <v>#REF!</v>
      </c>
    </row>
    <row r="790">
      <c r="A790" t="s">
        <v>11687</v>
      </c>
      <c r="B790" s="254">
        <v>6990.0</v>
      </c>
      <c r="C790" s="256">
        <v>0.0</v>
      </c>
      <c r="D790" t="str">
        <f t="shared" si="6"/>
        <v>#REF!</v>
      </c>
      <c r="E790" t="str">
        <f t="shared" si="1"/>
        <v>#REF!</v>
      </c>
    </row>
    <row r="791">
      <c r="A791" t="s">
        <v>11688</v>
      </c>
      <c r="B791" s="254">
        <v>7490.0</v>
      </c>
      <c r="C791" s="256">
        <v>0.0</v>
      </c>
      <c r="D791" t="str">
        <f t="shared" si="6"/>
        <v>#REF!</v>
      </c>
      <c r="E791" t="str">
        <f t="shared" si="1"/>
        <v>#REF!</v>
      </c>
    </row>
    <row r="792">
      <c r="A792" t="s">
        <v>9689</v>
      </c>
      <c r="B792" s="254">
        <v>7490.0</v>
      </c>
      <c r="C792" s="256">
        <v>0.0</v>
      </c>
      <c r="D792" t="str">
        <f t="shared" si="6"/>
        <v>#REF!</v>
      </c>
      <c r="E792" t="str">
        <f t="shared" si="1"/>
        <v>#REF!</v>
      </c>
    </row>
    <row r="793">
      <c r="A793" t="s">
        <v>11689</v>
      </c>
      <c r="B793" s="254">
        <v>7490.0</v>
      </c>
      <c r="C793" s="256">
        <v>0.0</v>
      </c>
      <c r="D793" t="str">
        <f t="shared" si="6"/>
        <v>#REF!</v>
      </c>
      <c r="E793" t="str">
        <f t="shared" si="1"/>
        <v>#REF!</v>
      </c>
    </row>
    <row r="794">
      <c r="A794" t="s">
        <v>11690</v>
      </c>
      <c r="B794" s="254">
        <v>8190.0</v>
      </c>
      <c r="C794" s="256">
        <v>0.0</v>
      </c>
      <c r="D794" t="str">
        <f t="shared" si="6"/>
        <v>#REF!</v>
      </c>
      <c r="E794" t="str">
        <f t="shared" si="1"/>
        <v>#REF!</v>
      </c>
    </row>
    <row r="795">
      <c r="A795" t="s">
        <v>7099</v>
      </c>
      <c r="B795" s="254">
        <v>8990.0</v>
      </c>
      <c r="C795" s="256">
        <v>0.0</v>
      </c>
      <c r="D795" t="str">
        <f t="shared" si="6"/>
        <v>#REF!</v>
      </c>
      <c r="E795" t="str">
        <f t="shared" si="1"/>
        <v>#REF!</v>
      </c>
    </row>
    <row r="796">
      <c r="A796" t="s">
        <v>11691</v>
      </c>
      <c r="B796" s="254">
        <v>8990.0</v>
      </c>
      <c r="C796" s="256">
        <v>0.0</v>
      </c>
      <c r="D796" t="str">
        <f t="shared" si="6"/>
        <v>#REF!</v>
      </c>
      <c r="E796" t="str">
        <f t="shared" si="1"/>
        <v>#REF!</v>
      </c>
    </row>
    <row r="797">
      <c r="A797" t="s">
        <v>6836</v>
      </c>
      <c r="B797" s="254">
        <v>7490.0</v>
      </c>
      <c r="C797" s="256">
        <v>0.0</v>
      </c>
      <c r="D797" t="str">
        <f t="shared" si="6"/>
        <v>#REF!</v>
      </c>
      <c r="E797" t="str">
        <f t="shared" si="1"/>
        <v>#REF!</v>
      </c>
    </row>
    <row r="798">
      <c r="A798" t="s">
        <v>11692</v>
      </c>
      <c r="B798" s="254">
        <v>7490.0</v>
      </c>
      <c r="C798" s="256">
        <v>0.0</v>
      </c>
      <c r="D798" t="str">
        <f t="shared" si="6"/>
        <v>#REF!</v>
      </c>
      <c r="E798" t="str">
        <f t="shared" si="1"/>
        <v>#REF!</v>
      </c>
    </row>
    <row r="799">
      <c r="A799" t="s">
        <v>11693</v>
      </c>
      <c r="B799" s="254">
        <v>7490.0</v>
      </c>
      <c r="C799" s="256">
        <v>0.0</v>
      </c>
      <c r="D799" t="str">
        <f t="shared" si="6"/>
        <v>#REF!</v>
      </c>
      <c r="E799" t="str">
        <f t="shared" si="1"/>
        <v>#REF!</v>
      </c>
    </row>
    <row r="800">
      <c r="A800" t="s">
        <v>11694</v>
      </c>
      <c r="B800" s="254">
        <v>9990.0</v>
      </c>
      <c r="C800" s="256">
        <v>0.0</v>
      </c>
      <c r="D800" t="str">
        <f t="shared" si="6"/>
        <v>#REF!</v>
      </c>
      <c r="E800" t="str">
        <f t="shared" si="1"/>
        <v>#REF!</v>
      </c>
    </row>
    <row r="801">
      <c r="A801" t="s">
        <v>11695</v>
      </c>
      <c r="B801" s="254">
        <v>6990.0</v>
      </c>
      <c r="C801" s="256">
        <v>0.0</v>
      </c>
      <c r="D801" t="str">
        <f t="shared" si="6"/>
        <v>#REF!</v>
      </c>
      <c r="E801" t="str">
        <f t="shared" si="1"/>
        <v>#REF!</v>
      </c>
    </row>
    <row r="802">
      <c r="A802" t="s">
        <v>6292</v>
      </c>
      <c r="B802" s="254">
        <v>9290.0</v>
      </c>
      <c r="C802" s="256">
        <v>1.0</v>
      </c>
      <c r="D802" s="24" t="str">
        <f t="shared" si="6"/>
        <v>#REF!</v>
      </c>
      <c r="E802" t="str">
        <f t="shared" si="1"/>
        <v>#REF!</v>
      </c>
    </row>
    <row r="803">
      <c r="A803" t="s">
        <v>5283</v>
      </c>
      <c r="B803" s="254">
        <v>6990.0</v>
      </c>
      <c r="C803" s="256">
        <v>1.0</v>
      </c>
      <c r="D803" s="24" t="str">
        <f t="shared" si="6"/>
        <v>#REF!</v>
      </c>
      <c r="E803" t="str">
        <f t="shared" si="1"/>
        <v>#REF!</v>
      </c>
    </row>
    <row r="804">
      <c r="A804" t="s">
        <v>5284</v>
      </c>
      <c r="B804" s="254">
        <v>7790.0</v>
      </c>
      <c r="C804" s="256">
        <v>1.0</v>
      </c>
      <c r="D804" s="24" t="str">
        <f t="shared" si="6"/>
        <v>#REF!</v>
      </c>
      <c r="E804" t="str">
        <f t="shared" si="1"/>
        <v>#REF!</v>
      </c>
    </row>
    <row r="805">
      <c r="A805" t="s">
        <v>1722</v>
      </c>
      <c r="B805" s="254">
        <v>20290.0</v>
      </c>
      <c r="C805" s="256">
        <v>0.0</v>
      </c>
      <c r="D805" t="str">
        <f t="shared" si="6"/>
        <v>#REF!</v>
      </c>
      <c r="E805" t="str">
        <f t="shared" si="1"/>
        <v>#REF!</v>
      </c>
    </row>
    <row r="806">
      <c r="A806" t="s">
        <v>5288</v>
      </c>
      <c r="B806" s="254">
        <v>7690.0</v>
      </c>
      <c r="C806" s="256">
        <v>1.0</v>
      </c>
      <c r="D806" t="str">
        <f t="shared" si="6"/>
        <v>#REF!</v>
      </c>
      <c r="E806" t="str">
        <f t="shared" si="1"/>
        <v>#REF!</v>
      </c>
    </row>
    <row r="807">
      <c r="A807" t="s">
        <v>11696</v>
      </c>
      <c r="B807" s="254">
        <v>7690.0</v>
      </c>
      <c r="C807" s="256">
        <v>0.0</v>
      </c>
      <c r="D807" t="str">
        <f t="shared" si="6"/>
        <v>#REF!</v>
      </c>
      <c r="E807" t="str">
        <f t="shared" si="1"/>
        <v>#REF!</v>
      </c>
    </row>
    <row r="808">
      <c r="A808" t="s">
        <v>6293</v>
      </c>
      <c r="B808" s="254">
        <v>7690.0</v>
      </c>
      <c r="C808" s="256">
        <v>1.0</v>
      </c>
      <c r="D808" t="str">
        <f t="shared" si="6"/>
        <v>#REF!</v>
      </c>
      <c r="E808" t="str">
        <f t="shared" si="1"/>
        <v>#REF!</v>
      </c>
    </row>
    <row r="809">
      <c r="A809" t="s">
        <v>11697</v>
      </c>
      <c r="B809" s="254">
        <v>8290.0</v>
      </c>
      <c r="C809" s="256">
        <v>0.0</v>
      </c>
      <c r="D809" t="str">
        <f t="shared" si="6"/>
        <v>#REF!</v>
      </c>
      <c r="E809" t="str">
        <f t="shared" si="1"/>
        <v>#REF!</v>
      </c>
    </row>
    <row r="810">
      <c r="A810" t="s">
        <v>1724</v>
      </c>
      <c r="B810" s="254">
        <v>6690.0</v>
      </c>
      <c r="C810" s="256">
        <v>0.0</v>
      </c>
      <c r="D810" t="str">
        <f t="shared" si="6"/>
        <v>#REF!</v>
      </c>
      <c r="E810" t="str">
        <f t="shared" si="1"/>
        <v>#REF!</v>
      </c>
    </row>
    <row r="811">
      <c r="A811" t="s">
        <v>9711</v>
      </c>
      <c r="B811" s="254">
        <v>8290.0</v>
      </c>
      <c r="C811" s="256">
        <v>0.0</v>
      </c>
      <c r="D811" t="str">
        <f t="shared" si="6"/>
        <v>#REF!</v>
      </c>
      <c r="E811" t="str">
        <f t="shared" si="1"/>
        <v>#REF!</v>
      </c>
    </row>
    <row r="812">
      <c r="A812" t="s">
        <v>6294</v>
      </c>
      <c r="B812" s="254">
        <v>8290.0</v>
      </c>
      <c r="C812" s="256">
        <v>1.0</v>
      </c>
      <c r="D812" t="str">
        <f t="shared" si="6"/>
        <v>#REF!</v>
      </c>
      <c r="E812" t="str">
        <f t="shared" si="1"/>
        <v>#REF!</v>
      </c>
    </row>
    <row r="813">
      <c r="A813" t="s">
        <v>11698</v>
      </c>
      <c r="B813" s="254">
        <v>6490.0</v>
      </c>
      <c r="C813" s="256">
        <v>0.0</v>
      </c>
      <c r="D813" t="str">
        <f t="shared" si="6"/>
        <v>#REF!</v>
      </c>
      <c r="E813" t="str">
        <f t="shared" si="1"/>
        <v>#REF!</v>
      </c>
    </row>
    <row r="814">
      <c r="A814" t="s">
        <v>6834</v>
      </c>
      <c r="B814" s="254">
        <v>6690.0</v>
      </c>
      <c r="C814" s="256">
        <v>0.0</v>
      </c>
      <c r="D814" t="str">
        <f t="shared" si="6"/>
        <v>#REF!</v>
      </c>
      <c r="E814" t="str">
        <f t="shared" si="1"/>
        <v>#REF!</v>
      </c>
    </row>
    <row r="815">
      <c r="A815" t="s">
        <v>11699</v>
      </c>
      <c r="B815" s="254">
        <v>6690.0</v>
      </c>
      <c r="C815" s="256">
        <v>0.0</v>
      </c>
      <c r="D815" t="str">
        <f t="shared" si="6"/>
        <v>#REF!</v>
      </c>
      <c r="E815" t="str">
        <f t="shared" si="1"/>
        <v>#REF!</v>
      </c>
    </row>
    <row r="816">
      <c r="A816" t="s">
        <v>11700</v>
      </c>
      <c r="B816" s="254">
        <v>7190.0</v>
      </c>
      <c r="C816" s="256">
        <v>0.0</v>
      </c>
      <c r="D816" t="str">
        <f t="shared" si="6"/>
        <v>#REF!</v>
      </c>
      <c r="E816" t="str">
        <f t="shared" si="1"/>
        <v>#REF!</v>
      </c>
    </row>
    <row r="817">
      <c r="A817" t="s">
        <v>11376</v>
      </c>
      <c r="B817" s="254">
        <v>7690.0</v>
      </c>
      <c r="C817" s="256">
        <v>0.0</v>
      </c>
      <c r="D817" t="str">
        <f t="shared" si="6"/>
        <v>#REF!</v>
      </c>
      <c r="E817" t="str">
        <f t="shared" si="1"/>
        <v>#REF!</v>
      </c>
    </row>
    <row r="818">
      <c r="A818" t="s">
        <v>6295</v>
      </c>
      <c r="B818" s="254">
        <v>7690.0</v>
      </c>
      <c r="C818" s="256">
        <v>1.0</v>
      </c>
      <c r="D818" t="str">
        <f t="shared" si="6"/>
        <v>#REF!</v>
      </c>
      <c r="E818" t="str">
        <f t="shared" si="1"/>
        <v>#REF!</v>
      </c>
    </row>
    <row r="819">
      <c r="A819" t="s">
        <v>11701</v>
      </c>
      <c r="B819" s="254">
        <v>7790.0</v>
      </c>
      <c r="C819" s="256">
        <v>0.0</v>
      </c>
      <c r="D819" t="str">
        <f t="shared" si="6"/>
        <v>#REF!</v>
      </c>
      <c r="E819" t="str">
        <f t="shared" si="1"/>
        <v>#REF!</v>
      </c>
    </row>
    <row r="820">
      <c r="A820" t="s">
        <v>11702</v>
      </c>
      <c r="B820" s="254">
        <v>8790.0</v>
      </c>
      <c r="C820" s="256">
        <v>0.0</v>
      </c>
      <c r="D820" t="str">
        <f t="shared" si="6"/>
        <v>#REF!</v>
      </c>
      <c r="E820" t="str">
        <f t="shared" si="1"/>
        <v>#REF!</v>
      </c>
    </row>
    <row r="821">
      <c r="A821" t="s">
        <v>1731</v>
      </c>
      <c r="B821" s="254">
        <v>2250.0</v>
      </c>
      <c r="C821" s="256">
        <v>2.0</v>
      </c>
      <c r="D821" t="str">
        <f t="shared" si="6"/>
        <v>#REF!</v>
      </c>
      <c r="E821" t="str">
        <f t="shared" si="1"/>
        <v>#REF!</v>
      </c>
    </row>
    <row r="822">
      <c r="A822" t="s">
        <v>1734</v>
      </c>
      <c r="B822" s="254">
        <v>2250.0</v>
      </c>
      <c r="C822" s="256">
        <v>2.0</v>
      </c>
      <c r="D822" t="str">
        <f t="shared" si="6"/>
        <v>#REF!</v>
      </c>
      <c r="E822" t="str">
        <f t="shared" si="1"/>
        <v>#REF!</v>
      </c>
    </row>
    <row r="823">
      <c r="A823" t="s">
        <v>1735</v>
      </c>
      <c r="B823" s="254">
        <v>2250.0</v>
      </c>
      <c r="C823" s="256">
        <v>1.0</v>
      </c>
      <c r="D823" t="str">
        <f t="shared" si="6"/>
        <v>#REF!</v>
      </c>
      <c r="E823" t="str">
        <f t="shared" si="1"/>
        <v>#REF!</v>
      </c>
    </row>
    <row r="824">
      <c r="A824" t="s">
        <v>11703</v>
      </c>
      <c r="B824" s="254">
        <v>2250.0</v>
      </c>
      <c r="C824" s="256">
        <v>0.0</v>
      </c>
      <c r="D824" t="str">
        <f t="shared" si="6"/>
        <v>#REF!</v>
      </c>
      <c r="E824" t="str">
        <f t="shared" si="1"/>
        <v>#REF!</v>
      </c>
    </row>
    <row r="825">
      <c r="A825" t="s">
        <v>1736</v>
      </c>
      <c r="B825" s="254">
        <v>2250.0</v>
      </c>
      <c r="C825" s="256">
        <v>1.0</v>
      </c>
      <c r="D825" s="24" t="str">
        <f t="shared" si="6"/>
        <v>#REF!</v>
      </c>
      <c r="E825" t="str">
        <f t="shared" si="1"/>
        <v>#REF!</v>
      </c>
    </row>
    <row r="826">
      <c r="A826" t="s">
        <v>1737</v>
      </c>
      <c r="B826" s="254">
        <v>2250.0</v>
      </c>
      <c r="C826" s="256">
        <v>1.0</v>
      </c>
      <c r="D826" s="24" t="str">
        <f t="shared" si="6"/>
        <v>#REF!</v>
      </c>
      <c r="E826" t="str">
        <f t="shared" si="1"/>
        <v>#REF!</v>
      </c>
    </row>
    <row r="827">
      <c r="A827" t="s">
        <v>1738</v>
      </c>
      <c r="B827" s="254">
        <v>2250.0</v>
      </c>
      <c r="C827" s="256">
        <v>1.0</v>
      </c>
      <c r="D827" s="24" t="str">
        <f t="shared" si="6"/>
        <v>#REF!</v>
      </c>
      <c r="E827" t="str">
        <f t="shared" si="1"/>
        <v>#REF!</v>
      </c>
    </row>
    <row r="828">
      <c r="A828" t="s">
        <v>1739</v>
      </c>
      <c r="B828" s="254">
        <v>2250.0</v>
      </c>
      <c r="C828" s="256">
        <v>1.0</v>
      </c>
      <c r="D828" s="24" t="str">
        <f t="shared" si="6"/>
        <v>#REF!</v>
      </c>
      <c r="E828" t="str">
        <f t="shared" si="1"/>
        <v>#REF!</v>
      </c>
    </row>
    <row r="829">
      <c r="A829" t="s">
        <v>1740</v>
      </c>
      <c r="B829" s="254">
        <v>2250.0</v>
      </c>
      <c r="C829" s="256">
        <v>1.0</v>
      </c>
      <c r="D829" s="24" t="str">
        <f t="shared" si="6"/>
        <v>#REF!</v>
      </c>
      <c r="E829" t="str">
        <f t="shared" si="1"/>
        <v>#REF!</v>
      </c>
    </row>
    <row r="830">
      <c r="A830" t="s">
        <v>1725</v>
      </c>
      <c r="B830" s="254">
        <v>8790.0</v>
      </c>
      <c r="C830" s="256">
        <v>1.0</v>
      </c>
      <c r="D830" s="24" t="str">
        <f t="shared" si="6"/>
        <v>#REF!</v>
      </c>
      <c r="E830" t="str">
        <f t="shared" si="1"/>
        <v>#REF!</v>
      </c>
    </row>
    <row r="831">
      <c r="A831" t="s">
        <v>1727</v>
      </c>
      <c r="B831" s="254">
        <v>8790.0</v>
      </c>
      <c r="C831" s="256">
        <v>1.0</v>
      </c>
      <c r="D831" s="24" t="str">
        <f t="shared" si="6"/>
        <v>#REF!</v>
      </c>
      <c r="E831" t="str">
        <f t="shared" si="1"/>
        <v>#REF!</v>
      </c>
    </row>
    <row r="832">
      <c r="A832" t="s">
        <v>11704</v>
      </c>
      <c r="B832" s="254">
        <v>5790.0</v>
      </c>
      <c r="C832" s="256">
        <v>0.0</v>
      </c>
      <c r="D832" s="24" t="str">
        <f t="shared" si="6"/>
        <v>#REF!</v>
      </c>
      <c r="E832" t="str">
        <f t="shared" si="1"/>
        <v>#REF!</v>
      </c>
    </row>
    <row r="833">
      <c r="A833" t="s">
        <v>6296</v>
      </c>
      <c r="B833" s="254">
        <v>5490.0</v>
      </c>
      <c r="C833" s="256">
        <v>1.0</v>
      </c>
      <c r="D833" t="str">
        <f t="shared" si="6"/>
        <v>#REF!</v>
      </c>
      <c r="E833" t="str">
        <f t="shared" si="1"/>
        <v>#REF!</v>
      </c>
    </row>
    <row r="834">
      <c r="A834" t="s">
        <v>6297</v>
      </c>
      <c r="B834" s="254">
        <v>5490.0</v>
      </c>
      <c r="C834" s="256">
        <v>1.0</v>
      </c>
      <c r="D834" t="str">
        <f t="shared" si="6"/>
        <v>#REF!</v>
      </c>
      <c r="E834" t="str">
        <f t="shared" si="1"/>
        <v>#REF!</v>
      </c>
    </row>
    <row r="835">
      <c r="A835" t="s">
        <v>11705</v>
      </c>
      <c r="B835" s="254">
        <v>5790.0</v>
      </c>
      <c r="C835" s="256">
        <v>0.0</v>
      </c>
      <c r="D835" t="str">
        <f t="shared" si="6"/>
        <v>#REF!</v>
      </c>
      <c r="E835" t="str">
        <f t="shared" si="1"/>
        <v>#REF!</v>
      </c>
    </row>
    <row r="836">
      <c r="A836" t="s">
        <v>6298</v>
      </c>
      <c r="B836" s="254">
        <v>5490.0</v>
      </c>
      <c r="C836" s="256">
        <v>1.0</v>
      </c>
      <c r="D836" t="str">
        <f t="shared" si="6"/>
        <v>#REF!</v>
      </c>
      <c r="E836" t="str">
        <f t="shared" si="1"/>
        <v>#REF!</v>
      </c>
    </row>
    <row r="837">
      <c r="A837" t="s">
        <v>11706</v>
      </c>
      <c r="B837" s="254">
        <v>5490.0</v>
      </c>
      <c r="C837" s="256">
        <v>0.0</v>
      </c>
      <c r="D837" t="str">
        <f t="shared" si="6"/>
        <v>#REF!</v>
      </c>
      <c r="E837" t="str">
        <f t="shared" si="1"/>
        <v>#REF!</v>
      </c>
    </row>
    <row r="838">
      <c r="A838" t="s">
        <v>5944</v>
      </c>
      <c r="B838" s="254">
        <v>11990.0</v>
      </c>
      <c r="C838" s="256">
        <v>0.0</v>
      </c>
      <c r="D838" t="str">
        <f t="shared" si="6"/>
        <v>#REF!</v>
      </c>
      <c r="E838" t="str">
        <f t="shared" si="1"/>
        <v>#REF!</v>
      </c>
    </row>
    <row r="839">
      <c r="A839" t="s">
        <v>6299</v>
      </c>
      <c r="B839" s="254">
        <v>7790.0</v>
      </c>
      <c r="C839" s="256">
        <v>1.0</v>
      </c>
      <c r="D839" t="str">
        <f t="shared" si="6"/>
        <v>#REF!</v>
      </c>
      <c r="E839" t="str">
        <f t="shared" si="1"/>
        <v>#REF!</v>
      </c>
    </row>
    <row r="840">
      <c r="A840" t="s">
        <v>6300</v>
      </c>
      <c r="B840" s="254">
        <v>8090.0</v>
      </c>
      <c r="C840" s="256">
        <v>1.0</v>
      </c>
      <c r="D840" t="str">
        <f t="shared" si="6"/>
        <v>#REF!</v>
      </c>
      <c r="E840" t="str">
        <f t="shared" si="1"/>
        <v>#REF!</v>
      </c>
    </row>
    <row r="841">
      <c r="A841" t="s">
        <v>11707</v>
      </c>
      <c r="B841" s="254">
        <v>1100.0</v>
      </c>
      <c r="C841" s="257"/>
      <c r="D841" t="str">
        <f t="shared" si="6"/>
        <v>#REF!</v>
      </c>
      <c r="E841" t="str">
        <f t="shared" si="1"/>
        <v>#REF!</v>
      </c>
    </row>
    <row r="842">
      <c r="A842" t="s">
        <v>11708</v>
      </c>
      <c r="B842" s="254">
        <v>1100.0</v>
      </c>
      <c r="C842" s="257"/>
      <c r="D842" t="str">
        <f t="shared" si="6"/>
        <v>#REF!</v>
      </c>
      <c r="E842" t="str">
        <f t="shared" si="1"/>
        <v>#REF!</v>
      </c>
    </row>
    <row r="843">
      <c r="A843" t="s">
        <v>11709</v>
      </c>
      <c r="B843" s="254">
        <v>1100.0</v>
      </c>
      <c r="C843" s="257"/>
      <c r="D843" t="str">
        <f t="shared" si="6"/>
        <v>#REF!</v>
      </c>
      <c r="E843" t="str">
        <f t="shared" si="1"/>
        <v>#REF!</v>
      </c>
    </row>
    <row r="844">
      <c r="A844" t="s">
        <v>11710</v>
      </c>
      <c r="B844" s="254">
        <v>1100.0</v>
      </c>
      <c r="C844" s="257"/>
      <c r="D844" t="str">
        <f t="shared" si="6"/>
        <v>#REF!</v>
      </c>
      <c r="E844" t="str">
        <f t="shared" si="1"/>
        <v>#REF!</v>
      </c>
    </row>
    <row r="845">
      <c r="A845" t="s">
        <v>1750</v>
      </c>
      <c r="B845" s="254">
        <v>2375.0</v>
      </c>
      <c r="C845" s="256">
        <v>1.0</v>
      </c>
      <c r="D845" t="str">
        <f t="shared" si="6"/>
        <v>#REF!</v>
      </c>
      <c r="E845" t="str">
        <f t="shared" si="1"/>
        <v>#REF!</v>
      </c>
    </row>
    <row r="846">
      <c r="A846" t="s">
        <v>1753</v>
      </c>
      <c r="B846" s="254">
        <v>2375.0</v>
      </c>
      <c r="C846" s="256">
        <v>1.0</v>
      </c>
      <c r="D846" t="str">
        <f t="shared" si="6"/>
        <v>#REF!</v>
      </c>
      <c r="E846" t="str">
        <f t="shared" si="1"/>
        <v>#REF!</v>
      </c>
    </row>
    <row r="847">
      <c r="A847" t="s">
        <v>1754</v>
      </c>
      <c r="B847" s="254">
        <v>3375.0</v>
      </c>
      <c r="C847" s="256">
        <v>1.0</v>
      </c>
      <c r="D847" t="str">
        <f t="shared" si="6"/>
        <v>#REF!</v>
      </c>
      <c r="E847" t="str">
        <f t="shared" si="1"/>
        <v>#REF!</v>
      </c>
    </row>
    <row r="848">
      <c r="A848" t="s">
        <v>11711</v>
      </c>
      <c r="B848" s="254">
        <v>2375.0</v>
      </c>
      <c r="C848" s="256">
        <v>0.0</v>
      </c>
      <c r="D848" t="str">
        <f t="shared" si="6"/>
        <v>#REF!</v>
      </c>
      <c r="E848" t="str">
        <f t="shared" si="1"/>
        <v>#REF!</v>
      </c>
    </row>
    <row r="849">
      <c r="A849" t="s">
        <v>5961</v>
      </c>
      <c r="B849" s="254">
        <v>2375.0</v>
      </c>
      <c r="C849" s="256">
        <v>1.0</v>
      </c>
      <c r="D849" t="str">
        <f t="shared" si="6"/>
        <v>#REF!</v>
      </c>
      <c r="E849" t="str">
        <f t="shared" si="1"/>
        <v>#REF!</v>
      </c>
    </row>
    <row r="850">
      <c r="A850" t="s">
        <v>5631</v>
      </c>
      <c r="B850" s="254">
        <v>2375.0</v>
      </c>
      <c r="C850" s="256">
        <v>0.0</v>
      </c>
      <c r="D850" t="str">
        <f t="shared" si="6"/>
        <v>#REF!</v>
      </c>
      <c r="E850" t="str">
        <f t="shared" si="1"/>
        <v>#REF!</v>
      </c>
    </row>
    <row r="851">
      <c r="A851" t="s">
        <v>11712</v>
      </c>
      <c r="B851" s="254">
        <v>3150.0</v>
      </c>
      <c r="C851" s="256">
        <v>0.0</v>
      </c>
      <c r="D851" t="str">
        <f t="shared" si="6"/>
        <v>#REF!</v>
      </c>
      <c r="E851" t="str">
        <f t="shared" si="1"/>
        <v>#REF!</v>
      </c>
    </row>
    <row r="852">
      <c r="A852" t="s">
        <v>11713</v>
      </c>
      <c r="B852" s="254">
        <v>2625.0</v>
      </c>
      <c r="C852" s="256">
        <v>0.0</v>
      </c>
      <c r="D852" t="str">
        <f t="shared" si="6"/>
        <v>#REF!</v>
      </c>
      <c r="E852" t="str">
        <f t="shared" si="1"/>
        <v>#REF!</v>
      </c>
    </row>
    <row r="853">
      <c r="A853" t="s">
        <v>11714</v>
      </c>
      <c r="B853" s="254">
        <v>3150.0</v>
      </c>
      <c r="C853" s="256">
        <v>0.0</v>
      </c>
      <c r="D853" t="str">
        <f t="shared" si="6"/>
        <v>#REF!</v>
      </c>
      <c r="E853" t="str">
        <f t="shared" si="1"/>
        <v>#REF!</v>
      </c>
    </row>
    <row r="854">
      <c r="A854" t="s">
        <v>11715</v>
      </c>
      <c r="B854" s="254">
        <v>2500.0</v>
      </c>
      <c r="C854" s="256">
        <v>0.0</v>
      </c>
      <c r="D854" t="str">
        <f t="shared" si="6"/>
        <v>#REF!</v>
      </c>
      <c r="E854" t="str">
        <f t="shared" si="1"/>
        <v>#REF!</v>
      </c>
    </row>
    <row r="855">
      <c r="A855" t="s">
        <v>1757</v>
      </c>
      <c r="B855" s="254">
        <v>4250.0</v>
      </c>
      <c r="C855" s="256">
        <v>1.0</v>
      </c>
      <c r="D855" t="str">
        <f t="shared" si="6"/>
        <v>#REF!</v>
      </c>
      <c r="E855" t="str">
        <f t="shared" si="1"/>
        <v>#REF!</v>
      </c>
    </row>
    <row r="856">
      <c r="A856" t="s">
        <v>1758</v>
      </c>
      <c r="B856" s="254">
        <v>4750.0</v>
      </c>
      <c r="C856" s="256">
        <v>1.0</v>
      </c>
      <c r="D856" t="str">
        <f t="shared" si="6"/>
        <v>#REF!</v>
      </c>
      <c r="E856" t="str">
        <f t="shared" si="1"/>
        <v>#REF!</v>
      </c>
    </row>
    <row r="857">
      <c r="A857" t="s">
        <v>11716</v>
      </c>
      <c r="B857" s="254">
        <v>4750.0</v>
      </c>
      <c r="C857" s="256">
        <v>0.0</v>
      </c>
      <c r="D857" t="str">
        <f t="shared" si="6"/>
        <v>#REF!</v>
      </c>
      <c r="E857" t="str">
        <f t="shared" si="1"/>
        <v>#REF!</v>
      </c>
    </row>
    <row r="858">
      <c r="A858" t="s">
        <v>11717</v>
      </c>
      <c r="B858" s="254">
        <v>3125.0</v>
      </c>
      <c r="C858" s="256">
        <v>0.0</v>
      </c>
      <c r="D858" t="str">
        <f t="shared" si="6"/>
        <v>#REF!</v>
      </c>
      <c r="E858" t="str">
        <f t="shared" si="1"/>
        <v>#REF!</v>
      </c>
    </row>
    <row r="859">
      <c r="A859" t="s">
        <v>11718</v>
      </c>
      <c r="B859" s="254">
        <v>3375.0</v>
      </c>
      <c r="C859" s="256">
        <v>0.0</v>
      </c>
      <c r="D859" t="str">
        <f t="shared" si="6"/>
        <v>#REF!</v>
      </c>
      <c r="E859" t="str">
        <f t="shared" si="1"/>
        <v>#REF!</v>
      </c>
    </row>
    <row r="860">
      <c r="A860" t="s">
        <v>11719</v>
      </c>
      <c r="B860" s="254">
        <v>3375.0</v>
      </c>
      <c r="C860" s="256">
        <v>0.0</v>
      </c>
      <c r="D860" t="str">
        <f t="shared" si="6"/>
        <v>#REF!</v>
      </c>
      <c r="E860" t="str">
        <f t="shared" si="1"/>
        <v>#REF!</v>
      </c>
    </row>
    <row r="861">
      <c r="A861" t="s">
        <v>11720</v>
      </c>
      <c r="B861" s="254">
        <v>3375.0</v>
      </c>
      <c r="C861" s="256">
        <v>0.0</v>
      </c>
      <c r="D861" t="str">
        <f t="shared" si="6"/>
        <v>#REF!</v>
      </c>
      <c r="E861" t="str">
        <f t="shared" si="1"/>
        <v>#REF!</v>
      </c>
    </row>
    <row r="862">
      <c r="A862" t="s">
        <v>5424</v>
      </c>
      <c r="B862" s="254">
        <v>3075.0</v>
      </c>
      <c r="C862" s="256">
        <v>1.0</v>
      </c>
      <c r="D862" t="str">
        <f t="shared" si="6"/>
        <v>#REF!</v>
      </c>
      <c r="E862" t="str">
        <f t="shared" si="1"/>
        <v>#REF!</v>
      </c>
    </row>
    <row r="863">
      <c r="A863" t="s">
        <v>5428</v>
      </c>
      <c r="B863" s="254">
        <v>3750.0</v>
      </c>
      <c r="C863" s="256">
        <v>1.0</v>
      </c>
      <c r="D863" t="str">
        <f t="shared" si="6"/>
        <v>#REF!</v>
      </c>
      <c r="E863" t="str">
        <f t="shared" si="1"/>
        <v>#REF!</v>
      </c>
    </row>
    <row r="864">
      <c r="A864" t="s">
        <v>11721</v>
      </c>
      <c r="B864" s="254">
        <v>3875.0</v>
      </c>
      <c r="C864" s="256">
        <v>0.0</v>
      </c>
      <c r="D864" t="str">
        <f t="shared" si="6"/>
        <v>#REF!</v>
      </c>
      <c r="E864" t="str">
        <f t="shared" si="1"/>
        <v>#REF!</v>
      </c>
    </row>
    <row r="865">
      <c r="A865" t="s">
        <v>11722</v>
      </c>
      <c r="B865" s="254">
        <v>2950.0</v>
      </c>
      <c r="C865" s="256">
        <v>0.0</v>
      </c>
      <c r="D865" t="str">
        <f t="shared" si="6"/>
        <v>#REF!</v>
      </c>
      <c r="E865" t="str">
        <f t="shared" si="1"/>
        <v>#REF!</v>
      </c>
    </row>
    <row r="866">
      <c r="A866" t="s">
        <v>11723</v>
      </c>
      <c r="B866" s="254">
        <v>2950.0</v>
      </c>
      <c r="C866" s="256">
        <v>0.0</v>
      </c>
      <c r="D866" t="str">
        <f t="shared" si="6"/>
        <v>#REF!</v>
      </c>
      <c r="E866" t="str">
        <f t="shared" si="1"/>
        <v>#REF!</v>
      </c>
    </row>
    <row r="867">
      <c r="A867" t="s">
        <v>5650</v>
      </c>
      <c r="B867" s="254">
        <v>2950.0</v>
      </c>
      <c r="C867" s="256">
        <v>1.0</v>
      </c>
      <c r="D867" t="str">
        <f t="shared" si="6"/>
        <v>#REF!</v>
      </c>
      <c r="E867" t="str">
        <f t="shared" si="1"/>
        <v>#REF!</v>
      </c>
    </row>
    <row r="868">
      <c r="A868" t="s">
        <v>11724</v>
      </c>
      <c r="B868" s="254">
        <v>3500.0</v>
      </c>
      <c r="C868" s="256">
        <v>0.0</v>
      </c>
      <c r="D868" t="str">
        <f t="shared" si="6"/>
        <v>#REF!</v>
      </c>
      <c r="E868" t="str">
        <f t="shared" si="1"/>
        <v>#REF!</v>
      </c>
    </row>
    <row r="869">
      <c r="A869" t="s">
        <v>5429</v>
      </c>
      <c r="B869" s="254">
        <v>3500.0</v>
      </c>
      <c r="C869" s="256">
        <v>1.0</v>
      </c>
      <c r="D869" t="str">
        <f t="shared" si="6"/>
        <v>#REF!</v>
      </c>
      <c r="E869" t="str">
        <f t="shared" si="1"/>
        <v>#REF!</v>
      </c>
    </row>
    <row r="870">
      <c r="A870" t="s">
        <v>11725</v>
      </c>
      <c r="B870" s="254">
        <v>2950.0</v>
      </c>
      <c r="C870" s="256">
        <v>0.0</v>
      </c>
      <c r="D870" t="str">
        <f t="shared" si="6"/>
        <v>#REF!</v>
      </c>
      <c r="E870" t="str">
        <f t="shared" si="1"/>
        <v>#REF!</v>
      </c>
    </row>
    <row r="871">
      <c r="A871" t="s">
        <v>1761</v>
      </c>
      <c r="B871" s="254">
        <v>2950.0</v>
      </c>
      <c r="C871" s="256">
        <v>1.0</v>
      </c>
      <c r="D871" t="str">
        <f t="shared" si="6"/>
        <v>#REF!</v>
      </c>
      <c r="E871" t="str">
        <f t="shared" si="1"/>
        <v>#REF!</v>
      </c>
    </row>
    <row r="872">
      <c r="A872" t="s">
        <v>1762</v>
      </c>
      <c r="B872" s="254">
        <v>2950.0</v>
      </c>
      <c r="C872" s="256">
        <v>1.0</v>
      </c>
      <c r="D872" t="str">
        <f t="shared" si="6"/>
        <v>#REF!</v>
      </c>
      <c r="E872" t="str">
        <f t="shared" si="1"/>
        <v>#REF!</v>
      </c>
    </row>
    <row r="873">
      <c r="A873" t="s">
        <v>5634</v>
      </c>
      <c r="B873" s="254">
        <v>2950.0</v>
      </c>
      <c r="C873" s="256">
        <v>2.0</v>
      </c>
      <c r="D873" t="str">
        <f t="shared" si="6"/>
        <v>#REF!</v>
      </c>
      <c r="E873" t="str">
        <f t="shared" si="1"/>
        <v>#REF!</v>
      </c>
    </row>
    <row r="874">
      <c r="A874" t="s">
        <v>11726</v>
      </c>
      <c r="B874" s="254">
        <v>2950.0</v>
      </c>
      <c r="C874" s="256">
        <v>0.0</v>
      </c>
      <c r="D874" t="str">
        <f t="shared" si="6"/>
        <v>#REF!</v>
      </c>
      <c r="E874" t="str">
        <f t="shared" si="1"/>
        <v>#REF!</v>
      </c>
    </row>
    <row r="875">
      <c r="A875" t="s">
        <v>5426</v>
      </c>
      <c r="B875" s="254">
        <v>2950.0</v>
      </c>
      <c r="C875" s="256">
        <v>2.0</v>
      </c>
      <c r="D875" t="str">
        <f t="shared" si="6"/>
        <v>#REF!</v>
      </c>
      <c r="E875" t="str">
        <f t="shared" si="1"/>
        <v>#REF!</v>
      </c>
    </row>
    <row r="876">
      <c r="A876" t="s">
        <v>11727</v>
      </c>
      <c r="B876" s="254">
        <v>3500.0</v>
      </c>
      <c r="C876" s="256">
        <v>0.0</v>
      </c>
      <c r="D876" t="str">
        <f t="shared" si="6"/>
        <v>#REF!</v>
      </c>
      <c r="E876" t="str">
        <f t="shared" si="1"/>
        <v>#REF!</v>
      </c>
    </row>
    <row r="877">
      <c r="A877" t="s">
        <v>1766</v>
      </c>
      <c r="B877" s="254">
        <v>3500.0</v>
      </c>
      <c r="C877" s="254">
        <v>1.0</v>
      </c>
      <c r="D877" t="str">
        <f t="shared" si="6"/>
        <v>#REF!</v>
      </c>
      <c r="E877" t="str">
        <f t="shared" si="1"/>
        <v>#REF!</v>
      </c>
    </row>
    <row r="878">
      <c r="A878" t="s">
        <v>11728</v>
      </c>
      <c r="B878" s="254">
        <v>3500.0</v>
      </c>
      <c r="C878" s="256">
        <v>0.0</v>
      </c>
      <c r="D878" t="str">
        <f t="shared" si="6"/>
        <v>#REF!</v>
      </c>
      <c r="E878" t="str">
        <f t="shared" si="1"/>
        <v>#REF!</v>
      </c>
    </row>
    <row r="879">
      <c r="A879" t="s">
        <v>5651</v>
      </c>
      <c r="B879" s="254">
        <v>2950.0</v>
      </c>
      <c r="C879" s="256">
        <v>1.0</v>
      </c>
      <c r="D879" t="str">
        <f t="shared" si="6"/>
        <v>#REF!</v>
      </c>
      <c r="E879" t="str">
        <f t="shared" si="1"/>
        <v>#REF!</v>
      </c>
    </row>
    <row r="880">
      <c r="A880" t="s">
        <v>11729</v>
      </c>
      <c r="B880" s="254">
        <v>2550.0</v>
      </c>
      <c r="C880" s="256">
        <v>0.0</v>
      </c>
      <c r="D880" t="str">
        <f t="shared" si="6"/>
        <v>#REF!</v>
      </c>
      <c r="E880" t="str">
        <f t="shared" si="1"/>
        <v>#REF!</v>
      </c>
    </row>
    <row r="881">
      <c r="A881" t="s">
        <v>5645</v>
      </c>
      <c r="B881" s="254">
        <v>2950.0</v>
      </c>
      <c r="C881" s="256">
        <v>1.0</v>
      </c>
      <c r="D881" t="str">
        <f t="shared" si="6"/>
        <v>#REF!</v>
      </c>
      <c r="E881" t="str">
        <f t="shared" si="1"/>
        <v>#REF!</v>
      </c>
    </row>
    <row r="882">
      <c r="A882" t="s">
        <v>5646</v>
      </c>
      <c r="B882" s="254">
        <v>2950.0</v>
      </c>
      <c r="C882" s="254">
        <v>1.0</v>
      </c>
      <c r="D882" t="str">
        <f t="shared" si="6"/>
        <v>#REF!</v>
      </c>
      <c r="E882" t="str">
        <f t="shared" si="1"/>
        <v>#REF!</v>
      </c>
    </row>
    <row r="883">
      <c r="A883" t="s">
        <v>1769</v>
      </c>
      <c r="B883" s="254">
        <v>2950.0</v>
      </c>
      <c r="C883" s="256">
        <v>1.0</v>
      </c>
      <c r="D883" t="str">
        <f t="shared" si="6"/>
        <v>#REF!</v>
      </c>
      <c r="E883" t="str">
        <f t="shared" si="1"/>
        <v>#REF!</v>
      </c>
    </row>
    <row r="884">
      <c r="A884" t="s">
        <v>11730</v>
      </c>
      <c r="B884" s="254">
        <v>2950.0</v>
      </c>
      <c r="C884" s="256">
        <v>0.0</v>
      </c>
      <c r="D884" t="str">
        <f t="shared" si="6"/>
        <v>#REF!</v>
      </c>
      <c r="E884" t="str">
        <f t="shared" si="1"/>
        <v>#REF!</v>
      </c>
    </row>
    <row r="885">
      <c r="A885" t="s">
        <v>11731</v>
      </c>
      <c r="B885" s="254">
        <v>2950.0</v>
      </c>
      <c r="C885" s="256">
        <v>0.0</v>
      </c>
      <c r="D885" t="str">
        <f t="shared" si="6"/>
        <v>#REF!</v>
      </c>
      <c r="E885" t="str">
        <f t="shared" si="1"/>
        <v>#REF!</v>
      </c>
    </row>
    <row r="886">
      <c r="A886" t="s">
        <v>5684</v>
      </c>
      <c r="B886" s="254">
        <v>3350.0</v>
      </c>
      <c r="C886" s="256">
        <v>0.0</v>
      </c>
      <c r="D886" t="str">
        <f t="shared" si="6"/>
        <v>#REF!</v>
      </c>
      <c r="E886" t="str">
        <f t="shared" si="1"/>
        <v>#REF!</v>
      </c>
    </row>
    <row r="887">
      <c r="A887" t="s">
        <v>1770</v>
      </c>
      <c r="B887" s="254">
        <v>3350.0</v>
      </c>
      <c r="C887" s="256">
        <v>1.0</v>
      </c>
      <c r="D887" t="str">
        <f t="shared" si="6"/>
        <v>#REF!</v>
      </c>
      <c r="E887" t="str">
        <f t="shared" si="1"/>
        <v>#REF!</v>
      </c>
    </row>
    <row r="888">
      <c r="A888" t="s">
        <v>5648</v>
      </c>
      <c r="B888" s="254">
        <v>3350.0</v>
      </c>
      <c r="C888" s="256">
        <v>1.0</v>
      </c>
      <c r="D888" t="str">
        <f t="shared" si="6"/>
        <v>#REF!</v>
      </c>
      <c r="E888" t="str">
        <f t="shared" si="1"/>
        <v>#REF!</v>
      </c>
    </row>
    <row r="889">
      <c r="A889" t="s">
        <v>1789</v>
      </c>
      <c r="B889" s="254">
        <v>800.0</v>
      </c>
      <c r="C889" s="287">
        <v>31.0</v>
      </c>
      <c r="D889" t="str">
        <f t="shared" si="6"/>
        <v>#REF!</v>
      </c>
      <c r="E889" t="str">
        <f t="shared" si="1"/>
        <v>#REF!</v>
      </c>
    </row>
    <row r="890">
      <c r="A890" t="s">
        <v>11732</v>
      </c>
      <c r="B890" s="254">
        <v>1100.0</v>
      </c>
      <c r="C890" s="257"/>
      <c r="D890" t="str">
        <f t="shared" si="6"/>
        <v>#REF!</v>
      </c>
      <c r="E890" t="str">
        <f t="shared" si="1"/>
        <v>#REF!</v>
      </c>
    </row>
    <row r="891">
      <c r="A891" t="s">
        <v>11733</v>
      </c>
      <c r="B891" s="254">
        <v>1100.0</v>
      </c>
      <c r="C891" s="257"/>
      <c r="D891" t="str">
        <f t="shared" si="6"/>
        <v>#REF!</v>
      </c>
      <c r="E891" t="str">
        <f t="shared" si="1"/>
        <v>#REF!</v>
      </c>
    </row>
    <row r="892">
      <c r="A892" t="s">
        <v>11734</v>
      </c>
      <c r="B892" s="254">
        <v>16000.0</v>
      </c>
      <c r="C892" s="256">
        <v>0.0</v>
      </c>
      <c r="D892" t="str">
        <f t="shared" si="6"/>
        <v>#REF!</v>
      </c>
      <c r="E892" t="str">
        <f t="shared" si="1"/>
        <v>#REF!</v>
      </c>
    </row>
    <row r="893">
      <c r="A893" t="s">
        <v>11735</v>
      </c>
      <c r="B893" s="254">
        <v>17000.0</v>
      </c>
      <c r="C893" s="256">
        <v>0.0</v>
      </c>
      <c r="D893" t="str">
        <f t="shared" si="6"/>
        <v>#REF!</v>
      </c>
      <c r="E893" t="str">
        <f t="shared" si="1"/>
        <v>#REF!</v>
      </c>
    </row>
    <row r="894">
      <c r="A894" t="s">
        <v>11736</v>
      </c>
      <c r="B894" s="254">
        <v>17000.0</v>
      </c>
      <c r="C894" s="256">
        <v>0.0</v>
      </c>
      <c r="D894" t="str">
        <f t="shared" si="6"/>
        <v>#REF!</v>
      </c>
      <c r="E894" t="str">
        <f t="shared" si="1"/>
        <v>#REF!</v>
      </c>
    </row>
    <row r="895">
      <c r="A895" t="s">
        <v>11737</v>
      </c>
      <c r="B895" s="254">
        <v>18890.0</v>
      </c>
      <c r="C895" s="256">
        <v>0.0</v>
      </c>
      <c r="D895" t="str">
        <f t="shared" si="6"/>
        <v>#REF!</v>
      </c>
      <c r="E895" t="str">
        <f t="shared" si="1"/>
        <v>#REF!</v>
      </c>
    </row>
    <row r="896">
      <c r="A896" t="s">
        <v>11738</v>
      </c>
      <c r="B896" s="254">
        <v>19000.0</v>
      </c>
      <c r="C896" s="256">
        <v>0.0</v>
      </c>
      <c r="D896" t="str">
        <f t="shared" si="6"/>
        <v>#REF!</v>
      </c>
      <c r="E896" t="str">
        <f t="shared" si="1"/>
        <v>#REF!</v>
      </c>
    </row>
    <row r="897">
      <c r="A897" t="s">
        <v>11739</v>
      </c>
      <c r="B897" s="254">
        <v>19000.0</v>
      </c>
      <c r="C897" s="256">
        <v>0.0</v>
      </c>
      <c r="D897" t="str">
        <f t="shared" si="6"/>
        <v>#REF!</v>
      </c>
      <c r="E897" t="str">
        <f t="shared" si="1"/>
        <v>#REF!</v>
      </c>
    </row>
    <row r="898">
      <c r="A898" t="s">
        <v>11740</v>
      </c>
      <c r="B898" s="254">
        <v>19000.0</v>
      </c>
      <c r="C898" s="256">
        <v>0.0</v>
      </c>
      <c r="D898" t="str">
        <f t="shared" si="6"/>
        <v>#REF!</v>
      </c>
      <c r="E898" t="str">
        <f t="shared" si="1"/>
        <v>#REF!</v>
      </c>
    </row>
    <row r="899">
      <c r="A899" t="s">
        <v>5211</v>
      </c>
      <c r="B899" s="254">
        <v>19000.0</v>
      </c>
      <c r="C899" s="256">
        <v>0.0</v>
      </c>
      <c r="D899" t="str">
        <f t="shared" si="6"/>
        <v>#REF!</v>
      </c>
      <c r="E899" t="str">
        <f t="shared" si="1"/>
        <v>#REF!</v>
      </c>
    </row>
    <row r="900">
      <c r="A900" t="s">
        <v>11741</v>
      </c>
      <c r="B900" s="254">
        <v>19000.0</v>
      </c>
      <c r="C900" s="256">
        <v>0.0</v>
      </c>
      <c r="D900" t="str">
        <f t="shared" si="6"/>
        <v>#REF!</v>
      </c>
      <c r="E900" t="str">
        <f t="shared" si="1"/>
        <v>#REF!</v>
      </c>
    </row>
    <row r="901">
      <c r="A901" t="s">
        <v>1777</v>
      </c>
      <c r="B901" s="254">
        <v>17000.0</v>
      </c>
      <c r="C901" s="256">
        <v>0.0</v>
      </c>
      <c r="D901" t="str">
        <f t="shared" si="6"/>
        <v>#REF!</v>
      </c>
      <c r="E901" t="str">
        <f t="shared" si="1"/>
        <v>#REF!</v>
      </c>
    </row>
    <row r="902">
      <c r="A902" t="s">
        <v>11742</v>
      </c>
      <c r="B902" s="254">
        <v>17100.0</v>
      </c>
      <c r="C902" s="256">
        <v>0.0</v>
      </c>
      <c r="D902" t="str">
        <f t="shared" si="6"/>
        <v>#REF!</v>
      </c>
      <c r="E902" t="str">
        <f t="shared" si="1"/>
        <v>#REF!</v>
      </c>
    </row>
    <row r="903">
      <c r="A903" t="s">
        <v>1779</v>
      </c>
      <c r="B903" s="254">
        <v>17000.0</v>
      </c>
      <c r="C903" s="256">
        <v>1.0</v>
      </c>
      <c r="D903" t="str">
        <f t="shared" si="6"/>
        <v>#REF!</v>
      </c>
      <c r="E903" t="str">
        <f t="shared" si="1"/>
        <v>#REF!</v>
      </c>
    </row>
    <row r="904">
      <c r="A904" t="s">
        <v>11743</v>
      </c>
      <c r="B904" s="254">
        <v>17000.0</v>
      </c>
      <c r="C904" s="256">
        <v>0.0</v>
      </c>
      <c r="D904" t="str">
        <f t="shared" si="6"/>
        <v>#REF!</v>
      </c>
      <c r="E904" t="str">
        <f t="shared" si="1"/>
        <v>#REF!</v>
      </c>
    </row>
    <row r="905">
      <c r="A905" t="s">
        <v>11744</v>
      </c>
      <c r="B905" s="254">
        <v>14890.0</v>
      </c>
      <c r="C905" s="256">
        <v>0.0</v>
      </c>
      <c r="D905" t="str">
        <f t="shared" si="6"/>
        <v>#REF!</v>
      </c>
      <c r="E905" t="str">
        <f t="shared" si="1"/>
        <v>#REF!</v>
      </c>
    </row>
    <row r="906">
      <c r="A906" t="s">
        <v>1781</v>
      </c>
      <c r="B906" s="254">
        <v>2590.0</v>
      </c>
      <c r="C906" s="256">
        <v>1.0</v>
      </c>
      <c r="D906" t="str">
        <f t="shared" si="6"/>
        <v>#REF!</v>
      </c>
      <c r="E906" t="str">
        <f t="shared" si="1"/>
        <v>#REF!</v>
      </c>
    </row>
    <row r="907">
      <c r="A907" t="s">
        <v>6180</v>
      </c>
      <c r="B907" s="254">
        <v>3250.0</v>
      </c>
      <c r="C907" s="256">
        <v>1.0</v>
      </c>
      <c r="D907" t="str">
        <f t="shared" si="6"/>
        <v>#REF!</v>
      </c>
      <c r="E907" t="str">
        <f t="shared" si="1"/>
        <v>#REF!</v>
      </c>
    </row>
    <row r="908">
      <c r="A908" t="s">
        <v>11745</v>
      </c>
      <c r="B908" s="254">
        <v>2375.0</v>
      </c>
      <c r="C908" s="256">
        <v>0.0</v>
      </c>
      <c r="D908" t="str">
        <f t="shared" si="6"/>
        <v>#REF!</v>
      </c>
      <c r="E908" t="str">
        <f t="shared" si="1"/>
        <v>#REF!</v>
      </c>
    </row>
    <row r="909">
      <c r="A909" t="s">
        <v>11746</v>
      </c>
      <c r="B909" s="254">
        <v>2375.0</v>
      </c>
      <c r="C909" s="256">
        <v>0.0</v>
      </c>
      <c r="D909" t="str">
        <f t="shared" si="6"/>
        <v>#REF!</v>
      </c>
      <c r="E909" t="str">
        <f t="shared" si="1"/>
        <v>#REF!</v>
      </c>
    </row>
    <row r="910">
      <c r="A910" t="s">
        <v>11747</v>
      </c>
      <c r="B910" s="254">
        <v>2500.0</v>
      </c>
      <c r="C910" s="256">
        <v>0.0</v>
      </c>
      <c r="D910" t="str">
        <f t="shared" si="6"/>
        <v>#REF!</v>
      </c>
      <c r="E910" t="str">
        <f t="shared" si="1"/>
        <v>#REF!</v>
      </c>
    </row>
    <row r="911">
      <c r="A911" t="s">
        <v>11748</v>
      </c>
      <c r="B911" s="254">
        <v>2500.0</v>
      </c>
      <c r="C911" s="256">
        <v>0.0</v>
      </c>
      <c r="D911" t="str">
        <f t="shared" si="6"/>
        <v>#REF!</v>
      </c>
      <c r="E911" t="str">
        <f t="shared" si="1"/>
        <v>#REF!</v>
      </c>
    </row>
    <row r="912">
      <c r="A912" t="s">
        <v>1783</v>
      </c>
      <c r="B912" s="254">
        <v>2250.0</v>
      </c>
      <c r="C912" s="256">
        <v>1.0</v>
      </c>
      <c r="D912" t="str">
        <f t="shared" si="6"/>
        <v>#REF!</v>
      </c>
      <c r="E912" t="str">
        <f t="shared" si="1"/>
        <v>#REF!</v>
      </c>
    </row>
    <row r="913">
      <c r="A913" t="s">
        <v>1784</v>
      </c>
      <c r="B913" s="254">
        <v>2250.0</v>
      </c>
      <c r="C913" s="256">
        <v>0.0</v>
      </c>
      <c r="D913" t="str">
        <f t="shared" si="6"/>
        <v>#REF!</v>
      </c>
      <c r="E913" t="str">
        <f t="shared" si="1"/>
        <v>#REF!</v>
      </c>
    </row>
    <row r="914">
      <c r="A914" t="s">
        <v>6301</v>
      </c>
      <c r="B914" s="254">
        <v>2250.0</v>
      </c>
      <c r="C914" s="256">
        <v>1.0</v>
      </c>
      <c r="D914" t="str">
        <f t="shared" si="6"/>
        <v>#REF!</v>
      </c>
      <c r="E914" t="str">
        <f t="shared" si="1"/>
        <v>#REF!</v>
      </c>
    </row>
    <row r="915">
      <c r="A915" t="s">
        <v>1785</v>
      </c>
      <c r="B915" s="254">
        <v>2250.0</v>
      </c>
      <c r="C915" s="256">
        <v>0.0</v>
      </c>
      <c r="D915" t="str">
        <f t="shared" si="6"/>
        <v>#REF!</v>
      </c>
      <c r="E915" t="str">
        <f t="shared" si="1"/>
        <v>#REF!</v>
      </c>
    </row>
    <row r="916">
      <c r="A916" t="s">
        <v>11749</v>
      </c>
      <c r="B916" s="254">
        <v>17500.0</v>
      </c>
      <c r="C916" s="256">
        <v>0.0</v>
      </c>
      <c r="D916" t="str">
        <f t="shared" si="6"/>
        <v>#REF!</v>
      </c>
      <c r="E916" t="str">
        <f t="shared" si="1"/>
        <v>#REF!</v>
      </c>
    </row>
    <row r="917">
      <c r="A917" t="s">
        <v>11750</v>
      </c>
      <c r="B917" s="254">
        <v>20500.0</v>
      </c>
      <c r="C917" s="256">
        <v>0.0</v>
      </c>
      <c r="D917" t="str">
        <f t="shared" si="6"/>
        <v>#REF!</v>
      </c>
      <c r="E917" t="str">
        <f t="shared" si="1"/>
        <v>#REF!</v>
      </c>
    </row>
    <row r="918">
      <c r="A918" t="s">
        <v>11751</v>
      </c>
      <c r="B918" s="254">
        <v>17500.0</v>
      </c>
      <c r="C918" s="256">
        <v>0.0</v>
      </c>
      <c r="D918" t="str">
        <f t="shared" si="6"/>
        <v>#REF!</v>
      </c>
      <c r="E918" t="str">
        <f t="shared" si="1"/>
        <v>#REF!</v>
      </c>
    </row>
    <row r="919">
      <c r="A919" t="s">
        <v>11752</v>
      </c>
      <c r="B919" s="254">
        <v>17000.0</v>
      </c>
      <c r="C919" s="256">
        <v>0.0</v>
      </c>
      <c r="D919" t="str">
        <f t="shared" si="6"/>
        <v>#REF!</v>
      </c>
      <c r="E919" t="str">
        <f t="shared" si="1"/>
        <v>#REF!</v>
      </c>
    </row>
    <row r="920">
      <c r="A920" t="s">
        <v>11753</v>
      </c>
      <c r="B920" s="254">
        <v>21000.0</v>
      </c>
      <c r="C920" s="256">
        <v>0.0</v>
      </c>
      <c r="D920" t="str">
        <f t="shared" si="6"/>
        <v>#REF!</v>
      </c>
      <c r="E920" t="str">
        <f t="shared" si="1"/>
        <v>#REF!</v>
      </c>
    </row>
    <row r="921">
      <c r="A921" t="s">
        <v>11754</v>
      </c>
      <c r="B921" s="254">
        <v>17100.0</v>
      </c>
      <c r="C921" s="256">
        <v>0.0</v>
      </c>
      <c r="D921" t="str">
        <f t="shared" si="6"/>
        <v>#REF!</v>
      </c>
      <c r="E921" t="str">
        <f t="shared" si="1"/>
        <v>#REF!</v>
      </c>
    </row>
    <row r="922">
      <c r="A922" t="s">
        <v>11755</v>
      </c>
      <c r="B922" s="254">
        <v>17100.0</v>
      </c>
      <c r="C922" s="256">
        <v>0.0</v>
      </c>
      <c r="D922" t="str">
        <f t="shared" si="6"/>
        <v>#REF!</v>
      </c>
      <c r="E922" t="str">
        <f t="shared" si="1"/>
        <v>#REF!</v>
      </c>
    </row>
    <row r="923">
      <c r="A923" t="s">
        <v>11756</v>
      </c>
      <c r="B923" s="254">
        <v>17000.0</v>
      </c>
      <c r="C923" s="256">
        <v>0.0</v>
      </c>
      <c r="D923" t="str">
        <f t="shared" si="6"/>
        <v>#REF!</v>
      </c>
      <c r="E923" t="str">
        <f t="shared" si="1"/>
        <v>#REF!</v>
      </c>
    </row>
    <row r="924">
      <c r="A924" t="s">
        <v>11757</v>
      </c>
      <c r="B924" s="254">
        <v>17500.0</v>
      </c>
      <c r="C924" s="256">
        <v>0.0</v>
      </c>
      <c r="D924" t="str">
        <f t="shared" si="6"/>
        <v>#REF!</v>
      </c>
      <c r="E924" t="str">
        <f t="shared" si="1"/>
        <v>#REF!</v>
      </c>
    </row>
    <row r="925">
      <c r="A925" t="s">
        <v>11758</v>
      </c>
      <c r="B925" s="254">
        <v>19000.0</v>
      </c>
      <c r="C925" s="256">
        <v>0.0</v>
      </c>
      <c r="D925" t="str">
        <f t="shared" si="6"/>
        <v>#REF!</v>
      </c>
      <c r="E925" t="str">
        <f t="shared" si="1"/>
        <v>#REF!</v>
      </c>
    </row>
    <row r="926">
      <c r="A926" t="s">
        <v>11759</v>
      </c>
      <c r="B926" s="254">
        <v>20500.0</v>
      </c>
      <c r="C926" s="256">
        <v>0.0</v>
      </c>
      <c r="D926" t="str">
        <f t="shared" si="6"/>
        <v>#REF!</v>
      </c>
      <c r="E926" t="str">
        <f t="shared" si="1"/>
        <v>#REF!</v>
      </c>
    </row>
    <row r="927">
      <c r="A927" t="s">
        <v>11760</v>
      </c>
      <c r="B927" s="254">
        <v>15000.0</v>
      </c>
      <c r="C927" s="256">
        <v>0.0</v>
      </c>
      <c r="D927" t="str">
        <f t="shared" si="6"/>
        <v>#REF!</v>
      </c>
      <c r="E927" t="str">
        <f t="shared" si="1"/>
        <v>#REF!</v>
      </c>
    </row>
    <row r="928">
      <c r="A928" t="s">
        <v>11761</v>
      </c>
      <c r="B928" s="254">
        <v>17890.0</v>
      </c>
      <c r="C928" s="256">
        <v>0.0</v>
      </c>
      <c r="D928" t="str">
        <f t="shared" si="6"/>
        <v>#REF!</v>
      </c>
      <c r="E928" t="str">
        <f t="shared" si="1"/>
        <v>#REF!</v>
      </c>
    </row>
    <row r="929">
      <c r="A929" t="s">
        <v>11762</v>
      </c>
      <c r="B929" s="254">
        <v>17890.0</v>
      </c>
      <c r="C929" s="256">
        <v>0.0</v>
      </c>
      <c r="D929" t="str">
        <f t="shared" si="6"/>
        <v>#REF!</v>
      </c>
      <c r="E929" t="str">
        <f t="shared" si="1"/>
        <v>#REF!</v>
      </c>
    </row>
    <row r="930">
      <c r="A930" t="s">
        <v>5214</v>
      </c>
      <c r="B930" s="254">
        <v>14000.0</v>
      </c>
      <c r="C930" s="256">
        <v>1.0</v>
      </c>
      <c r="D930" t="str">
        <f t="shared" si="6"/>
        <v>#REF!</v>
      </c>
      <c r="E930" t="str">
        <f t="shared" si="1"/>
        <v>#REF!</v>
      </c>
    </row>
    <row r="931">
      <c r="A931" t="s">
        <v>11763</v>
      </c>
      <c r="B931" s="254">
        <v>17890.0</v>
      </c>
      <c r="C931" s="256">
        <v>0.0</v>
      </c>
      <c r="D931" t="str">
        <f t="shared" si="6"/>
        <v>#REF!</v>
      </c>
      <c r="E931" t="str">
        <f t="shared" si="1"/>
        <v>#REF!</v>
      </c>
    </row>
    <row r="932">
      <c r="A932" t="s">
        <v>11764</v>
      </c>
      <c r="B932" s="254">
        <v>16000.0</v>
      </c>
      <c r="C932" s="256">
        <v>0.0</v>
      </c>
      <c r="D932" t="str">
        <f t="shared" si="6"/>
        <v>#REF!</v>
      </c>
      <c r="E932" t="str">
        <f t="shared" si="1"/>
        <v>#REF!</v>
      </c>
    </row>
    <row r="933">
      <c r="A933" t="s">
        <v>11765</v>
      </c>
      <c r="B933" s="254">
        <v>19000.0</v>
      </c>
      <c r="C933" s="256">
        <v>0.0</v>
      </c>
      <c r="D933" t="str">
        <f t="shared" si="6"/>
        <v>#REF!</v>
      </c>
      <c r="E933" t="str">
        <f t="shared" si="1"/>
        <v>#REF!</v>
      </c>
    </row>
    <row r="934">
      <c r="A934" t="s">
        <v>11766</v>
      </c>
      <c r="B934" s="254">
        <v>1100.0</v>
      </c>
      <c r="C934" s="257"/>
      <c r="D934" t="str">
        <f t="shared" si="6"/>
        <v>#REF!</v>
      </c>
      <c r="E934" t="str">
        <f t="shared" si="1"/>
        <v>#REF!</v>
      </c>
    </row>
    <row r="935">
      <c r="A935" t="s">
        <v>5976</v>
      </c>
      <c r="B935" s="254">
        <v>400.0</v>
      </c>
      <c r="C935" s="287">
        <v>22.0</v>
      </c>
      <c r="D935" t="str">
        <f t="shared" si="6"/>
        <v>#REF!</v>
      </c>
      <c r="E935" t="str">
        <f t="shared" si="1"/>
        <v>#REF!</v>
      </c>
    </row>
    <row r="936">
      <c r="A936" t="s">
        <v>6117</v>
      </c>
      <c r="B936" s="254">
        <v>1000.0</v>
      </c>
      <c r="C936" s="287">
        <v>4.0</v>
      </c>
      <c r="D936" t="str">
        <f t="shared" si="6"/>
        <v>#REF!</v>
      </c>
      <c r="E936" t="str">
        <f t="shared" si="1"/>
        <v>#REF!</v>
      </c>
    </row>
    <row r="937">
      <c r="A937" t="s">
        <v>11380</v>
      </c>
      <c r="B937" s="254">
        <v>4990.0</v>
      </c>
      <c r="C937" s="256">
        <v>0.0</v>
      </c>
      <c r="D937" t="str">
        <f t="shared" si="6"/>
        <v>#REF!</v>
      </c>
      <c r="E937" t="str">
        <f t="shared" si="1"/>
        <v>#REF!</v>
      </c>
    </row>
    <row r="938">
      <c r="A938" t="s">
        <v>11767</v>
      </c>
      <c r="B938" s="254">
        <v>9790.0</v>
      </c>
      <c r="C938" s="256">
        <v>0.0</v>
      </c>
      <c r="D938" t="str">
        <f t="shared" si="6"/>
        <v>#REF!</v>
      </c>
      <c r="E938" t="str">
        <f t="shared" si="1"/>
        <v>#REF!</v>
      </c>
    </row>
    <row r="939">
      <c r="A939" t="s">
        <v>11768</v>
      </c>
      <c r="B939" s="254">
        <v>9790.0</v>
      </c>
      <c r="C939" s="256">
        <v>0.0</v>
      </c>
      <c r="D939" t="str">
        <f t="shared" si="6"/>
        <v>#REF!</v>
      </c>
      <c r="E939" t="str">
        <f t="shared" si="1"/>
        <v>#REF!</v>
      </c>
    </row>
    <row r="940">
      <c r="A940" t="s">
        <v>11769</v>
      </c>
      <c r="B940" s="254">
        <v>9790.0</v>
      </c>
      <c r="C940" s="256">
        <v>0.0</v>
      </c>
      <c r="D940" t="str">
        <f t="shared" si="6"/>
        <v>#REF!</v>
      </c>
      <c r="E940" t="str">
        <f t="shared" si="1"/>
        <v>#REF!</v>
      </c>
    </row>
    <row r="941">
      <c r="A941" t="s">
        <v>10153</v>
      </c>
      <c r="B941" s="254">
        <v>7790.0</v>
      </c>
      <c r="C941" s="256">
        <v>0.0</v>
      </c>
      <c r="D941" t="str">
        <f t="shared" si="6"/>
        <v>#REF!</v>
      </c>
      <c r="E941" t="str">
        <f t="shared" si="1"/>
        <v>#REF!</v>
      </c>
    </row>
    <row r="942">
      <c r="A942" t="s">
        <v>11770</v>
      </c>
      <c r="B942" s="254">
        <v>7090.0</v>
      </c>
      <c r="C942" s="256">
        <v>0.0</v>
      </c>
      <c r="D942" t="str">
        <f t="shared" si="6"/>
        <v>#REF!</v>
      </c>
      <c r="E942" t="str">
        <f t="shared" si="1"/>
        <v>#REF!</v>
      </c>
    </row>
    <row r="943">
      <c r="A943" t="s">
        <v>11771</v>
      </c>
      <c r="B943" s="254">
        <v>6990.0</v>
      </c>
      <c r="C943" s="256">
        <v>0.0</v>
      </c>
      <c r="D943" t="str">
        <f t="shared" si="6"/>
        <v>#REF!</v>
      </c>
      <c r="E943" t="str">
        <f t="shared" si="1"/>
        <v>#REF!</v>
      </c>
    </row>
    <row r="944">
      <c r="A944" t="s">
        <v>11772</v>
      </c>
      <c r="B944" s="254"/>
      <c r="C944" s="256">
        <v>0.0</v>
      </c>
      <c r="D944" t="str">
        <f t="shared" si="6"/>
        <v>#REF!</v>
      </c>
      <c r="E944" t="str">
        <f t="shared" si="1"/>
        <v>#REF!</v>
      </c>
    </row>
    <row r="945">
      <c r="A945" t="s">
        <v>11773</v>
      </c>
      <c r="B945" s="254">
        <v>6990.0</v>
      </c>
      <c r="C945" s="256">
        <v>0.0</v>
      </c>
      <c r="D945" t="str">
        <f t="shared" si="6"/>
        <v>#REF!</v>
      </c>
      <c r="E945" t="str">
        <f t="shared" si="1"/>
        <v>#REF!</v>
      </c>
    </row>
    <row r="946">
      <c r="A946" t="s">
        <v>11774</v>
      </c>
      <c r="B946" s="254"/>
      <c r="C946" s="256">
        <v>0.0</v>
      </c>
      <c r="D946" t="str">
        <f t="shared" si="6"/>
        <v>#REF!</v>
      </c>
      <c r="E946" t="str">
        <f t="shared" si="1"/>
        <v>#REF!</v>
      </c>
    </row>
    <row r="947">
      <c r="A947" t="s">
        <v>6487</v>
      </c>
      <c r="B947" s="254">
        <v>7290.0</v>
      </c>
      <c r="C947" s="256">
        <v>0.0</v>
      </c>
      <c r="D947" t="str">
        <f t="shared" si="6"/>
        <v>#REF!</v>
      </c>
      <c r="E947" t="str">
        <f t="shared" si="1"/>
        <v>#REF!</v>
      </c>
    </row>
    <row r="948">
      <c r="A948" t="s">
        <v>5093</v>
      </c>
      <c r="B948" s="254">
        <v>6990.0</v>
      </c>
      <c r="C948" s="256">
        <v>3.0</v>
      </c>
      <c r="D948" t="str">
        <f t="shared" si="6"/>
        <v>#REF!</v>
      </c>
      <c r="E948" t="str">
        <f t="shared" si="1"/>
        <v>#REF!</v>
      </c>
    </row>
    <row r="949">
      <c r="A949" t="s">
        <v>6302</v>
      </c>
      <c r="B949" s="254">
        <v>7490.0</v>
      </c>
      <c r="C949" s="256">
        <v>1.0</v>
      </c>
      <c r="D949" t="str">
        <f t="shared" si="6"/>
        <v>#REF!</v>
      </c>
      <c r="E949" t="str">
        <f t="shared" si="1"/>
        <v>#REF!</v>
      </c>
    </row>
    <row r="950">
      <c r="A950" t="s">
        <v>1792</v>
      </c>
      <c r="B950" s="254">
        <v>6990.0</v>
      </c>
      <c r="C950" s="256">
        <v>0.0</v>
      </c>
      <c r="D950" t="str">
        <f t="shared" si="6"/>
        <v>#REF!</v>
      </c>
      <c r="E950" t="str">
        <f t="shared" si="1"/>
        <v>#REF!</v>
      </c>
    </row>
    <row r="951">
      <c r="A951" t="s">
        <v>1795</v>
      </c>
      <c r="B951" s="254">
        <v>7790.0</v>
      </c>
      <c r="C951" s="256">
        <v>0.0</v>
      </c>
      <c r="D951" t="str">
        <f t="shared" si="6"/>
        <v>#REF!</v>
      </c>
      <c r="E951" t="str">
        <f t="shared" si="1"/>
        <v>#REF!</v>
      </c>
    </row>
    <row r="952">
      <c r="A952" t="s">
        <v>11775</v>
      </c>
      <c r="B952" s="254">
        <v>7790.0</v>
      </c>
      <c r="C952" s="256">
        <v>0.0</v>
      </c>
      <c r="D952" t="str">
        <f t="shared" si="6"/>
        <v>#REF!</v>
      </c>
      <c r="E952" t="str">
        <f t="shared" si="1"/>
        <v>#REF!</v>
      </c>
    </row>
    <row r="953">
      <c r="A953" t="s">
        <v>6489</v>
      </c>
      <c r="B953" s="254">
        <v>7090.0</v>
      </c>
      <c r="C953" s="256">
        <v>0.0</v>
      </c>
      <c r="D953" t="str">
        <f t="shared" si="6"/>
        <v>#REF!</v>
      </c>
      <c r="E953" t="str">
        <f t="shared" si="1"/>
        <v>#REF!</v>
      </c>
    </row>
    <row r="954">
      <c r="A954" t="s">
        <v>6490</v>
      </c>
      <c r="B954" s="254">
        <v>6990.0</v>
      </c>
      <c r="C954" s="256">
        <v>0.0</v>
      </c>
      <c r="D954" t="str">
        <f t="shared" si="6"/>
        <v>#REF!</v>
      </c>
      <c r="E954" t="str">
        <f t="shared" si="1"/>
        <v>#REF!</v>
      </c>
    </row>
    <row r="955">
      <c r="A955" t="s">
        <v>11776</v>
      </c>
      <c r="B955" s="254">
        <v>8590.0</v>
      </c>
      <c r="C955" s="256">
        <v>0.0</v>
      </c>
      <c r="D955" t="str">
        <f t="shared" si="6"/>
        <v>#REF!</v>
      </c>
      <c r="E955" t="str">
        <f t="shared" si="1"/>
        <v>#REF!</v>
      </c>
    </row>
    <row r="956">
      <c r="A956" t="s">
        <v>1797</v>
      </c>
      <c r="B956" s="254">
        <v>8990.0</v>
      </c>
      <c r="C956" s="256">
        <v>0.0</v>
      </c>
      <c r="D956" t="str">
        <f t="shared" si="6"/>
        <v>#REF!</v>
      </c>
      <c r="E956" t="str">
        <f t="shared" si="1"/>
        <v>#REF!</v>
      </c>
    </row>
    <row r="957">
      <c r="A957" t="s">
        <v>11777</v>
      </c>
      <c r="B957" s="254">
        <v>8590.0</v>
      </c>
      <c r="C957" s="256">
        <v>0.0</v>
      </c>
      <c r="D957" t="str">
        <f t="shared" si="6"/>
        <v>#REF!</v>
      </c>
      <c r="E957" t="str">
        <f t="shared" si="1"/>
        <v>#REF!</v>
      </c>
    </row>
    <row r="958">
      <c r="A958" t="s">
        <v>6636</v>
      </c>
      <c r="B958" s="254">
        <v>7790.0</v>
      </c>
      <c r="C958" s="287">
        <v>0.0</v>
      </c>
      <c r="D958" t="str">
        <f t="shared" si="6"/>
        <v>#REF!</v>
      </c>
      <c r="E958" t="str">
        <f t="shared" si="1"/>
        <v>#REF!</v>
      </c>
    </row>
    <row r="959">
      <c r="A959" t="s">
        <v>1799</v>
      </c>
      <c r="B959" s="254">
        <v>6090.0</v>
      </c>
      <c r="C959" s="256">
        <v>0.0</v>
      </c>
      <c r="D959" t="str">
        <f t="shared" si="6"/>
        <v>#REF!</v>
      </c>
      <c r="E959" t="str">
        <f t="shared" si="1"/>
        <v>#REF!</v>
      </c>
    </row>
    <row r="960">
      <c r="A960" t="s">
        <v>6181</v>
      </c>
      <c r="B960" s="254">
        <v>6990.0</v>
      </c>
      <c r="C960" s="256">
        <v>1.0</v>
      </c>
      <c r="D960" t="str">
        <f t="shared" si="6"/>
        <v>#REF!</v>
      </c>
      <c r="E960" t="str">
        <f t="shared" si="1"/>
        <v>#REF!</v>
      </c>
    </row>
    <row r="961">
      <c r="A961" t="s">
        <v>11778</v>
      </c>
      <c r="B961" s="254"/>
      <c r="C961" s="256">
        <v>0.0</v>
      </c>
      <c r="D961" t="str">
        <f t="shared" si="6"/>
        <v>#REF!</v>
      </c>
      <c r="E961" t="str">
        <f t="shared" si="1"/>
        <v>#REF!</v>
      </c>
    </row>
    <row r="962">
      <c r="A962" t="s">
        <v>11779</v>
      </c>
      <c r="B962" s="254"/>
      <c r="C962" s="256">
        <v>0.0</v>
      </c>
      <c r="D962" t="str">
        <f t="shared" si="6"/>
        <v>#REF!</v>
      </c>
      <c r="E962" t="str">
        <f t="shared" si="1"/>
        <v>#REF!</v>
      </c>
    </row>
    <row r="963">
      <c r="A963" t="s">
        <v>5098</v>
      </c>
      <c r="B963" s="254">
        <v>7490.0</v>
      </c>
      <c r="C963" s="256">
        <v>0.0</v>
      </c>
      <c r="D963" t="str">
        <f t="shared" si="6"/>
        <v>#REF!</v>
      </c>
      <c r="E963" t="str">
        <f t="shared" si="1"/>
        <v>#REF!</v>
      </c>
    </row>
    <row r="964">
      <c r="A964" t="s">
        <v>11382</v>
      </c>
      <c r="B964" s="254">
        <v>7490.0</v>
      </c>
      <c r="C964" s="256">
        <v>0.0</v>
      </c>
      <c r="D964" t="str">
        <f t="shared" si="6"/>
        <v>#REF!</v>
      </c>
      <c r="E964" t="str">
        <f t="shared" si="1"/>
        <v>#REF!</v>
      </c>
    </row>
    <row r="965">
      <c r="A965" t="s">
        <v>11780</v>
      </c>
      <c r="B965" s="254">
        <v>8390.0</v>
      </c>
      <c r="C965" s="287">
        <v>0.0</v>
      </c>
      <c r="D965" t="str">
        <f t="shared" si="6"/>
        <v>#REF!</v>
      </c>
      <c r="E965" t="str">
        <f t="shared" si="1"/>
        <v>#REF!</v>
      </c>
    </row>
    <row r="966">
      <c r="A966" t="s">
        <v>11780</v>
      </c>
      <c r="B966" s="254">
        <v>8390.0</v>
      </c>
      <c r="C966" s="256">
        <v>0.0</v>
      </c>
      <c r="D966" t="str">
        <f t="shared" si="6"/>
        <v>#REF!</v>
      </c>
      <c r="E966" t="str">
        <f t="shared" si="1"/>
        <v>#REF!</v>
      </c>
    </row>
    <row r="967">
      <c r="A967" t="s">
        <v>11781</v>
      </c>
      <c r="B967" s="254">
        <v>9290.0</v>
      </c>
      <c r="C967" s="256">
        <v>0.0</v>
      </c>
      <c r="D967" t="str">
        <f t="shared" si="6"/>
        <v>#REF!</v>
      </c>
      <c r="E967" t="str">
        <f t="shared" si="1"/>
        <v>#REF!</v>
      </c>
    </row>
    <row r="968">
      <c r="A968" t="s">
        <v>11383</v>
      </c>
      <c r="B968" s="254">
        <v>7690.0</v>
      </c>
      <c r="C968" s="256">
        <v>0.0</v>
      </c>
      <c r="D968" t="str">
        <f t="shared" si="6"/>
        <v>#REF!</v>
      </c>
      <c r="E968" t="str">
        <f t="shared" si="1"/>
        <v>#REF!</v>
      </c>
    </row>
    <row r="969">
      <c r="A969" t="s">
        <v>6639</v>
      </c>
      <c r="B969" s="254">
        <v>8790.0</v>
      </c>
      <c r="C969" s="256">
        <v>0.0</v>
      </c>
      <c r="D969" t="str">
        <f t="shared" si="6"/>
        <v>#REF!</v>
      </c>
      <c r="E969" t="str">
        <f t="shared" si="1"/>
        <v>#REF!</v>
      </c>
    </row>
    <row r="970">
      <c r="A970" t="s">
        <v>10133</v>
      </c>
      <c r="B970" s="254">
        <v>9290.0</v>
      </c>
      <c r="C970" s="256">
        <v>0.0</v>
      </c>
      <c r="D970" t="str">
        <f t="shared" si="6"/>
        <v>#REF!</v>
      </c>
      <c r="E970" t="str">
        <f t="shared" si="1"/>
        <v>#REF!</v>
      </c>
    </row>
    <row r="971">
      <c r="A971" t="s">
        <v>5100</v>
      </c>
      <c r="B971" s="254">
        <v>7490.0</v>
      </c>
      <c r="C971" s="256">
        <v>1.0</v>
      </c>
      <c r="D971" t="str">
        <f t="shared" si="6"/>
        <v>#REF!</v>
      </c>
      <c r="E971" t="str">
        <f t="shared" si="1"/>
        <v>#REF!</v>
      </c>
    </row>
    <row r="972">
      <c r="A972" t="s">
        <v>1804</v>
      </c>
      <c r="B972" s="254">
        <v>7990.0</v>
      </c>
      <c r="C972" s="256">
        <v>0.0</v>
      </c>
      <c r="D972" t="str">
        <f t="shared" si="6"/>
        <v>#REF!</v>
      </c>
      <c r="E972" t="str">
        <f t="shared" si="1"/>
        <v>#REF!</v>
      </c>
    </row>
    <row r="973">
      <c r="A973" t="s">
        <v>11782</v>
      </c>
      <c r="B973" s="254">
        <v>8690.0</v>
      </c>
      <c r="C973" s="256">
        <v>0.0</v>
      </c>
      <c r="D973" t="str">
        <f t="shared" si="6"/>
        <v>#REF!</v>
      </c>
      <c r="E973" t="str">
        <f t="shared" si="1"/>
        <v>#REF!</v>
      </c>
    </row>
    <row r="974">
      <c r="A974" t="s">
        <v>11783</v>
      </c>
      <c r="B974" s="254">
        <v>7990.0</v>
      </c>
      <c r="C974" s="256">
        <v>0.0</v>
      </c>
      <c r="D974" t="str">
        <f t="shared" si="6"/>
        <v>#REF!</v>
      </c>
      <c r="E974" t="str">
        <f t="shared" si="1"/>
        <v>#REF!</v>
      </c>
    </row>
    <row r="975">
      <c r="A975" t="s">
        <v>11784</v>
      </c>
      <c r="B975" s="254">
        <v>7990.0</v>
      </c>
      <c r="C975" s="256">
        <v>0.0</v>
      </c>
      <c r="D975" t="str">
        <f t="shared" si="6"/>
        <v>#REF!</v>
      </c>
      <c r="E975" t="str">
        <f t="shared" si="1"/>
        <v>#REF!</v>
      </c>
    </row>
    <row r="976">
      <c r="A976" t="s">
        <v>1807</v>
      </c>
      <c r="B976" s="254">
        <v>7990.0</v>
      </c>
      <c r="C976" s="256">
        <v>0.0</v>
      </c>
      <c r="D976" t="str">
        <f t="shared" si="6"/>
        <v>#REF!</v>
      </c>
      <c r="E976" t="str">
        <f t="shared" si="1"/>
        <v>#REF!</v>
      </c>
    </row>
    <row r="977">
      <c r="A977" t="s">
        <v>11785</v>
      </c>
      <c r="B977" s="254"/>
      <c r="C977" s="256">
        <v>0.0</v>
      </c>
      <c r="D977" t="str">
        <f t="shared" si="6"/>
        <v>#REF!</v>
      </c>
      <c r="E977" t="str">
        <f t="shared" si="1"/>
        <v>#REF!</v>
      </c>
    </row>
    <row r="978">
      <c r="A978" t="s">
        <v>6640</v>
      </c>
      <c r="B978" s="254">
        <v>8390.0</v>
      </c>
      <c r="C978" s="287">
        <v>0.0</v>
      </c>
      <c r="D978" t="str">
        <f t="shared" si="6"/>
        <v>#REF!</v>
      </c>
      <c r="E978" t="str">
        <f t="shared" si="1"/>
        <v>#REF!</v>
      </c>
    </row>
    <row r="979">
      <c r="A979" t="s">
        <v>6641</v>
      </c>
      <c r="B979" s="254">
        <v>8390.0</v>
      </c>
      <c r="C979" s="287">
        <v>0.0</v>
      </c>
      <c r="D979" t="str">
        <f t="shared" si="6"/>
        <v>#REF!</v>
      </c>
      <c r="E979" t="str">
        <f t="shared" si="1"/>
        <v>#REF!</v>
      </c>
    </row>
    <row r="980">
      <c r="A980" t="s">
        <v>7153</v>
      </c>
      <c r="B980" s="254">
        <v>9490.0</v>
      </c>
      <c r="C980" s="256">
        <v>0.0</v>
      </c>
      <c r="D980" t="str">
        <f t="shared" si="6"/>
        <v>#REF!</v>
      </c>
      <c r="E980" t="str">
        <f t="shared" si="1"/>
        <v>#REF!</v>
      </c>
    </row>
    <row r="981">
      <c r="A981" t="s">
        <v>11786</v>
      </c>
      <c r="B981" s="254">
        <v>9490.0</v>
      </c>
      <c r="C981" s="256">
        <v>0.0</v>
      </c>
      <c r="D981" t="str">
        <f t="shared" si="6"/>
        <v>#REF!</v>
      </c>
      <c r="E981" t="str">
        <f t="shared" si="1"/>
        <v>#REF!</v>
      </c>
    </row>
    <row r="982">
      <c r="A982" t="s">
        <v>11787</v>
      </c>
      <c r="B982" s="254">
        <v>9490.0</v>
      </c>
      <c r="C982" s="256">
        <v>0.0</v>
      </c>
      <c r="D982" t="str">
        <f t="shared" si="6"/>
        <v>#REF!</v>
      </c>
      <c r="E982" t="str">
        <f t="shared" si="1"/>
        <v>#REF!</v>
      </c>
    </row>
    <row r="983">
      <c r="A983" t="s">
        <v>1808</v>
      </c>
      <c r="B983" s="254">
        <v>7490.0</v>
      </c>
      <c r="C983" s="256">
        <v>2.0</v>
      </c>
      <c r="D983" t="str">
        <f t="shared" si="6"/>
        <v>#REF!</v>
      </c>
      <c r="E983" t="str">
        <f t="shared" si="1"/>
        <v>#REF!</v>
      </c>
    </row>
    <row r="984">
      <c r="A984" t="s">
        <v>1810</v>
      </c>
      <c r="B984" s="254">
        <v>8890.0</v>
      </c>
      <c r="C984" s="256">
        <v>1.0</v>
      </c>
      <c r="D984" t="str">
        <f t="shared" si="6"/>
        <v>#REF!</v>
      </c>
      <c r="E984" t="str">
        <f t="shared" si="1"/>
        <v>#REF!</v>
      </c>
    </row>
    <row r="985">
      <c r="A985" t="s">
        <v>5102</v>
      </c>
      <c r="B985" s="254">
        <v>6490.0</v>
      </c>
      <c r="C985" s="256">
        <v>1.0</v>
      </c>
      <c r="D985" t="str">
        <f t="shared" si="6"/>
        <v>#REF!</v>
      </c>
      <c r="E985" t="str">
        <f t="shared" si="1"/>
        <v>#REF!</v>
      </c>
    </row>
    <row r="986">
      <c r="A986" t="s">
        <v>1811</v>
      </c>
      <c r="B986" s="254">
        <v>6490.0</v>
      </c>
      <c r="C986" s="256">
        <v>0.0</v>
      </c>
      <c r="D986" t="str">
        <f t="shared" si="6"/>
        <v>#REF!</v>
      </c>
      <c r="E986" t="str">
        <f t="shared" si="1"/>
        <v>#REF!</v>
      </c>
    </row>
    <row r="987">
      <c r="A987" t="s">
        <v>11388</v>
      </c>
      <c r="B987" s="254">
        <v>6890.0</v>
      </c>
      <c r="C987" s="256">
        <v>0.0</v>
      </c>
      <c r="D987" t="str">
        <f t="shared" si="6"/>
        <v>#REF!</v>
      </c>
      <c r="E987" t="str">
        <f t="shared" si="1"/>
        <v>#REF!</v>
      </c>
    </row>
    <row r="988">
      <c r="A988" t="s">
        <v>1813</v>
      </c>
      <c r="B988" s="254">
        <v>6490.0</v>
      </c>
      <c r="C988" s="256">
        <v>3.0</v>
      </c>
      <c r="D988" t="str">
        <f t="shared" si="6"/>
        <v>#REF!</v>
      </c>
      <c r="E988" t="str">
        <f t="shared" si="1"/>
        <v>#REF!</v>
      </c>
    </row>
    <row r="989">
      <c r="A989" t="s">
        <v>6648</v>
      </c>
      <c r="B989" s="254">
        <v>7490.0</v>
      </c>
      <c r="C989" s="256">
        <v>0.0</v>
      </c>
      <c r="D989" t="str">
        <f t="shared" si="6"/>
        <v>#REF!</v>
      </c>
      <c r="E989" t="str">
        <f t="shared" si="1"/>
        <v>#REF!</v>
      </c>
    </row>
    <row r="990">
      <c r="A990" t="s">
        <v>1815</v>
      </c>
      <c r="B990" s="254">
        <v>6490.0</v>
      </c>
      <c r="C990" s="256">
        <v>1.0</v>
      </c>
      <c r="D990" t="str">
        <f t="shared" si="6"/>
        <v>#REF!</v>
      </c>
      <c r="E990" t="str">
        <f t="shared" si="1"/>
        <v>#REF!</v>
      </c>
    </row>
    <row r="991">
      <c r="A991" t="s">
        <v>11788</v>
      </c>
      <c r="B991" s="254">
        <v>7490.0</v>
      </c>
      <c r="C991" s="256">
        <v>0.0</v>
      </c>
      <c r="D991" t="str">
        <f t="shared" si="6"/>
        <v>#REF!</v>
      </c>
      <c r="E991" t="str">
        <f t="shared" si="1"/>
        <v>#REF!</v>
      </c>
    </row>
    <row r="992">
      <c r="A992" t="s">
        <v>11789</v>
      </c>
      <c r="B992" s="254">
        <v>9490.0</v>
      </c>
      <c r="C992" s="256">
        <v>0.0</v>
      </c>
      <c r="D992" t="str">
        <f t="shared" si="6"/>
        <v>#REF!</v>
      </c>
      <c r="E992" t="str">
        <f t="shared" si="1"/>
        <v>#REF!</v>
      </c>
    </row>
    <row r="993">
      <c r="A993" t="s">
        <v>6182</v>
      </c>
      <c r="B993" s="254">
        <v>5990.0</v>
      </c>
      <c r="C993" s="256">
        <v>1.0</v>
      </c>
      <c r="D993" t="str">
        <f t="shared" si="6"/>
        <v>#REF!</v>
      </c>
      <c r="E993" t="str">
        <f t="shared" si="1"/>
        <v>#REF!</v>
      </c>
    </row>
    <row r="994">
      <c r="A994" t="s">
        <v>5103</v>
      </c>
      <c r="B994" s="254">
        <v>6490.0</v>
      </c>
      <c r="C994" s="256">
        <v>1.0</v>
      </c>
      <c r="D994" t="str">
        <f t="shared" si="6"/>
        <v>#REF!</v>
      </c>
      <c r="E994" t="str">
        <f t="shared" si="1"/>
        <v>#REF!</v>
      </c>
    </row>
    <row r="995">
      <c r="A995" t="s">
        <v>11790</v>
      </c>
      <c r="B995" s="254">
        <v>6790.0</v>
      </c>
      <c r="C995" s="256">
        <v>0.0</v>
      </c>
      <c r="D995" t="str">
        <f t="shared" si="6"/>
        <v>#REF!</v>
      </c>
      <c r="E995" t="str">
        <f t="shared" si="1"/>
        <v>#REF!</v>
      </c>
    </row>
    <row r="996">
      <c r="A996" t="s">
        <v>6643</v>
      </c>
      <c r="B996" s="254">
        <v>6790.0</v>
      </c>
      <c r="C996" s="256">
        <v>0.0</v>
      </c>
      <c r="D996" t="str">
        <f t="shared" si="6"/>
        <v>#REF!</v>
      </c>
      <c r="E996" t="str">
        <f t="shared" si="1"/>
        <v>#REF!</v>
      </c>
    </row>
    <row r="997">
      <c r="A997" t="s">
        <v>7207</v>
      </c>
      <c r="B997" s="254">
        <v>5490.0</v>
      </c>
      <c r="C997" s="256">
        <v>0.0</v>
      </c>
      <c r="D997" t="str">
        <f t="shared" si="6"/>
        <v>#REF!</v>
      </c>
      <c r="E997" t="str">
        <f t="shared" si="1"/>
        <v>#REF!</v>
      </c>
    </row>
    <row r="998">
      <c r="A998" t="s">
        <v>1822</v>
      </c>
      <c r="B998" s="254">
        <v>6990.0</v>
      </c>
      <c r="C998" s="287">
        <v>1.0</v>
      </c>
      <c r="D998" t="str">
        <f t="shared" si="6"/>
        <v>#REF!</v>
      </c>
      <c r="E998" t="str">
        <f t="shared" si="1"/>
        <v>#REF!</v>
      </c>
    </row>
    <row r="999">
      <c r="A999" t="s">
        <v>1824</v>
      </c>
      <c r="B999" s="254">
        <v>6490.0</v>
      </c>
      <c r="C999" s="256">
        <v>4.0</v>
      </c>
      <c r="D999" t="str">
        <f t="shared" si="6"/>
        <v>#REF!</v>
      </c>
      <c r="E999" t="str">
        <f t="shared" si="1"/>
        <v>#REF!</v>
      </c>
    </row>
    <row r="1000">
      <c r="A1000" t="s">
        <v>5106</v>
      </c>
      <c r="B1000" s="254">
        <v>6990.0</v>
      </c>
      <c r="C1000" s="289">
        <v>1.0</v>
      </c>
      <c r="D1000" t="str">
        <f t="shared" si="6"/>
        <v>#REF!</v>
      </c>
      <c r="E1000" t="str">
        <f t="shared" si="1"/>
        <v>#REF!</v>
      </c>
    </row>
    <row r="1001">
      <c r="A1001" t="s">
        <v>11791</v>
      </c>
      <c r="B1001" s="254">
        <v>6490.0</v>
      </c>
      <c r="C1001" s="256">
        <v>0.0</v>
      </c>
      <c r="D1001" t="str">
        <f t="shared" si="6"/>
        <v>#REF!</v>
      </c>
      <c r="E1001" t="str">
        <f t="shared" si="1"/>
        <v>#REF!</v>
      </c>
    </row>
    <row r="1002">
      <c r="A1002" t="s">
        <v>11792</v>
      </c>
      <c r="B1002" s="254">
        <v>6490.0</v>
      </c>
      <c r="C1002" s="256">
        <v>0.0</v>
      </c>
      <c r="D1002" t="str">
        <f t="shared" si="6"/>
        <v>#REF!</v>
      </c>
      <c r="E1002" t="str">
        <f t="shared" si="1"/>
        <v>#REF!</v>
      </c>
    </row>
    <row r="1003">
      <c r="A1003" t="s">
        <v>1826</v>
      </c>
      <c r="B1003" s="254">
        <v>6990.0</v>
      </c>
      <c r="C1003" s="256">
        <v>0.0</v>
      </c>
      <c r="D1003" t="str">
        <f t="shared" si="6"/>
        <v>#REF!</v>
      </c>
      <c r="E1003" t="str">
        <f t="shared" si="1"/>
        <v>#REF!</v>
      </c>
    </row>
    <row r="1004">
      <c r="A1004" t="s">
        <v>1828</v>
      </c>
      <c r="B1004" s="254">
        <v>6990.0</v>
      </c>
      <c r="C1004" s="256">
        <v>0.0</v>
      </c>
      <c r="D1004" t="str">
        <f t="shared" si="6"/>
        <v>#REF!</v>
      </c>
      <c r="E1004" t="str">
        <f t="shared" si="1"/>
        <v>#REF!</v>
      </c>
    </row>
    <row r="1005">
      <c r="A1005" t="s">
        <v>6651</v>
      </c>
      <c r="B1005" s="254">
        <v>7490.0</v>
      </c>
      <c r="C1005" s="256">
        <v>0.0</v>
      </c>
      <c r="D1005" t="str">
        <f t="shared" si="6"/>
        <v>#REF!</v>
      </c>
      <c r="E1005" t="str">
        <f t="shared" si="1"/>
        <v>#REF!</v>
      </c>
    </row>
    <row r="1006">
      <c r="A1006" t="s">
        <v>5107</v>
      </c>
      <c r="B1006" s="254">
        <v>9890.0</v>
      </c>
      <c r="C1006" s="287">
        <v>0.0</v>
      </c>
      <c r="D1006" t="str">
        <f t="shared" si="6"/>
        <v>#REF!</v>
      </c>
      <c r="E1006" t="str">
        <f t="shared" si="1"/>
        <v>#REF!</v>
      </c>
    </row>
    <row r="1007">
      <c r="A1007" t="s">
        <v>1829</v>
      </c>
      <c r="B1007" s="254">
        <v>7990.0</v>
      </c>
      <c r="C1007" s="287">
        <v>0.0</v>
      </c>
      <c r="D1007" t="str">
        <f t="shared" si="6"/>
        <v>#REF!</v>
      </c>
      <c r="E1007" t="str">
        <f t="shared" si="1"/>
        <v>#REF!</v>
      </c>
    </row>
    <row r="1008">
      <c r="A1008" t="s">
        <v>6649</v>
      </c>
      <c r="B1008" s="254">
        <v>7790.0</v>
      </c>
      <c r="C1008" s="256">
        <v>0.0</v>
      </c>
      <c r="D1008" t="str">
        <f t="shared" si="6"/>
        <v>#REF!</v>
      </c>
      <c r="E1008" t="str">
        <f t="shared" si="1"/>
        <v>#REF!</v>
      </c>
    </row>
    <row r="1009">
      <c r="A1009" t="s">
        <v>1805</v>
      </c>
      <c r="B1009" s="254"/>
      <c r="C1009" s="291">
        <v>1.0</v>
      </c>
      <c r="D1009" t="str">
        <f t="shared" si="6"/>
        <v>#REF!</v>
      </c>
      <c r="E1009" t="str">
        <f t="shared" si="1"/>
        <v>#REF!</v>
      </c>
    </row>
    <row r="1010">
      <c r="A1010" t="s">
        <v>11793</v>
      </c>
      <c r="B1010" s="254">
        <v>8790.0</v>
      </c>
      <c r="C1010" s="256">
        <v>0.0</v>
      </c>
      <c r="D1010" t="str">
        <f t="shared" si="6"/>
        <v>#REF!</v>
      </c>
      <c r="E1010" t="str">
        <f t="shared" si="1"/>
        <v>#REF!</v>
      </c>
    </row>
    <row r="1011">
      <c r="A1011" t="s">
        <v>5109</v>
      </c>
      <c r="B1011" s="254">
        <v>5990.0</v>
      </c>
      <c r="C1011" s="256">
        <v>0.0</v>
      </c>
      <c r="D1011" t="str">
        <f t="shared" si="6"/>
        <v>#REF!</v>
      </c>
      <c r="E1011" t="str">
        <f t="shared" si="1"/>
        <v>#REF!</v>
      </c>
    </row>
    <row r="1012">
      <c r="A1012" t="s">
        <v>6644</v>
      </c>
      <c r="B1012" s="254">
        <v>6990.0</v>
      </c>
      <c r="C1012" s="287">
        <v>0.0</v>
      </c>
      <c r="D1012" t="str">
        <f t="shared" si="6"/>
        <v>#REF!</v>
      </c>
      <c r="E1012" t="str">
        <f t="shared" si="1"/>
        <v>#REF!</v>
      </c>
    </row>
    <row r="1013">
      <c r="A1013" t="s">
        <v>11397</v>
      </c>
      <c r="B1013" s="254">
        <v>6490.0</v>
      </c>
      <c r="C1013" s="256">
        <v>0.0</v>
      </c>
      <c r="D1013" t="str">
        <f t="shared" si="6"/>
        <v>#REF!</v>
      </c>
      <c r="E1013" t="str">
        <f t="shared" si="1"/>
        <v>#REF!</v>
      </c>
    </row>
    <row r="1014">
      <c r="A1014" t="s">
        <v>1832</v>
      </c>
      <c r="B1014" s="254">
        <v>5990.0</v>
      </c>
      <c r="C1014" s="256">
        <v>0.0</v>
      </c>
      <c r="D1014" t="str">
        <f t="shared" si="6"/>
        <v>#REF!</v>
      </c>
      <c r="E1014" t="str">
        <f t="shared" si="1"/>
        <v>#REF!</v>
      </c>
    </row>
    <row r="1015">
      <c r="A1015" t="s">
        <v>6183</v>
      </c>
      <c r="B1015" s="254">
        <v>9390.0</v>
      </c>
      <c r="C1015" s="287">
        <v>1.0</v>
      </c>
      <c r="D1015" t="str">
        <f t="shared" si="6"/>
        <v>#REF!</v>
      </c>
      <c r="E1015" t="str">
        <f t="shared" si="1"/>
        <v>#REF!</v>
      </c>
    </row>
    <row r="1016">
      <c r="A1016" t="s">
        <v>11401</v>
      </c>
      <c r="B1016" s="254">
        <v>5990.0</v>
      </c>
      <c r="C1016" s="256">
        <v>0.0</v>
      </c>
      <c r="D1016" t="str">
        <f t="shared" si="6"/>
        <v>#REF!</v>
      </c>
      <c r="E1016" t="str">
        <f t="shared" si="1"/>
        <v>#REF!</v>
      </c>
    </row>
    <row r="1017">
      <c r="A1017" t="s">
        <v>10104</v>
      </c>
      <c r="B1017" s="254">
        <v>6490.0</v>
      </c>
      <c r="C1017" s="256">
        <v>0.0</v>
      </c>
      <c r="D1017" t="str">
        <f t="shared" si="6"/>
        <v>#REF!</v>
      </c>
      <c r="E1017" t="str">
        <f t="shared" si="1"/>
        <v>#REF!</v>
      </c>
    </row>
    <row r="1018">
      <c r="A1018" t="s">
        <v>5110</v>
      </c>
      <c r="B1018" s="254">
        <v>5990.0</v>
      </c>
      <c r="C1018" s="256">
        <v>2.0</v>
      </c>
      <c r="D1018" t="str">
        <f t="shared" si="6"/>
        <v>#REF!</v>
      </c>
      <c r="E1018" t="str">
        <f t="shared" si="1"/>
        <v>#REF!</v>
      </c>
    </row>
    <row r="1019">
      <c r="A1019" t="s">
        <v>6645</v>
      </c>
      <c r="B1019" s="254">
        <v>7990.0</v>
      </c>
      <c r="C1019" s="256">
        <v>0.0</v>
      </c>
      <c r="D1019" t="str">
        <f t="shared" si="6"/>
        <v>#REF!</v>
      </c>
      <c r="E1019" t="str">
        <f t="shared" si="1"/>
        <v>#REF!</v>
      </c>
    </row>
    <row r="1020">
      <c r="A1020" t="s">
        <v>1835</v>
      </c>
      <c r="B1020" s="254">
        <v>7490.0</v>
      </c>
      <c r="C1020" s="256">
        <v>0.0</v>
      </c>
      <c r="D1020" t="str">
        <f t="shared" si="6"/>
        <v>#REF!</v>
      </c>
      <c r="E1020" t="str">
        <f t="shared" si="1"/>
        <v>#REF!</v>
      </c>
    </row>
    <row r="1021">
      <c r="A1021" t="s">
        <v>1838</v>
      </c>
      <c r="B1021" s="254">
        <v>6490.0</v>
      </c>
      <c r="C1021" s="287">
        <v>0.0</v>
      </c>
      <c r="D1021" t="str">
        <f t="shared" si="6"/>
        <v>#REF!</v>
      </c>
      <c r="E1021" t="str">
        <f t="shared" si="1"/>
        <v>#REF!</v>
      </c>
    </row>
    <row r="1022">
      <c r="A1022" t="s">
        <v>5883</v>
      </c>
      <c r="B1022" s="254">
        <v>6990.0</v>
      </c>
      <c r="C1022" s="254">
        <v>1.0</v>
      </c>
      <c r="D1022" t="str">
        <f t="shared" si="6"/>
        <v>#REF!</v>
      </c>
      <c r="E1022" t="str">
        <f t="shared" si="1"/>
        <v>#REF!</v>
      </c>
    </row>
    <row r="1023">
      <c r="A1023" t="s">
        <v>1839</v>
      </c>
      <c r="B1023" s="254">
        <v>6990.0</v>
      </c>
      <c r="C1023" s="287">
        <v>1.0</v>
      </c>
      <c r="D1023" t="str">
        <f t="shared" si="6"/>
        <v>#REF!</v>
      </c>
      <c r="E1023" t="str">
        <f t="shared" si="1"/>
        <v>#REF!</v>
      </c>
    </row>
    <row r="1024">
      <c r="A1024" t="s">
        <v>1842</v>
      </c>
      <c r="B1024" s="254">
        <v>6990.0</v>
      </c>
      <c r="C1024" s="256">
        <v>0.0</v>
      </c>
      <c r="D1024" t="str">
        <f t="shared" si="6"/>
        <v>#REF!</v>
      </c>
      <c r="E1024" t="str">
        <f t="shared" si="1"/>
        <v>#REF!</v>
      </c>
    </row>
    <row r="1025">
      <c r="A1025" t="s">
        <v>5112</v>
      </c>
      <c r="B1025" s="254">
        <v>6990.0</v>
      </c>
      <c r="C1025" s="287">
        <v>0.0</v>
      </c>
      <c r="D1025" t="str">
        <f t="shared" si="6"/>
        <v>#REF!</v>
      </c>
      <c r="E1025" t="str">
        <f t="shared" si="1"/>
        <v>#REF!</v>
      </c>
    </row>
    <row r="1026">
      <c r="A1026" t="s">
        <v>1843</v>
      </c>
      <c r="B1026" s="254">
        <v>6790.0</v>
      </c>
      <c r="C1026" s="256">
        <v>1.0</v>
      </c>
      <c r="D1026" t="str">
        <f t="shared" si="6"/>
        <v>#REF!</v>
      </c>
      <c r="E1026" t="str">
        <f t="shared" si="1"/>
        <v>#REF!</v>
      </c>
    </row>
    <row r="1027">
      <c r="A1027" t="s">
        <v>6652</v>
      </c>
      <c r="B1027" s="254">
        <v>6790.0</v>
      </c>
      <c r="C1027" s="256">
        <v>0.0</v>
      </c>
      <c r="D1027" t="str">
        <f t="shared" si="6"/>
        <v>#REF!</v>
      </c>
      <c r="E1027" t="str">
        <f t="shared" si="1"/>
        <v>#REF!</v>
      </c>
    </row>
    <row r="1028">
      <c r="A1028" t="s">
        <v>1845</v>
      </c>
      <c r="B1028" s="254">
        <v>7790.0</v>
      </c>
      <c r="C1028" s="256">
        <v>0.0</v>
      </c>
      <c r="D1028" t="str">
        <f t="shared" si="6"/>
        <v>#REF!</v>
      </c>
      <c r="E1028" t="str">
        <f t="shared" si="1"/>
        <v>#REF!</v>
      </c>
    </row>
    <row r="1029">
      <c r="A1029" t="s">
        <v>11794</v>
      </c>
      <c r="B1029" s="254">
        <v>7490.0</v>
      </c>
      <c r="C1029" s="256">
        <v>0.0</v>
      </c>
      <c r="D1029" t="str">
        <f t="shared" si="6"/>
        <v>#REF!</v>
      </c>
      <c r="E1029" t="str">
        <f t="shared" si="1"/>
        <v>#REF!</v>
      </c>
    </row>
    <row r="1030">
      <c r="A1030" t="s">
        <v>11795</v>
      </c>
      <c r="B1030" s="254">
        <v>5290.0</v>
      </c>
      <c r="C1030" s="256">
        <v>0.0</v>
      </c>
      <c r="D1030" t="str">
        <f t="shared" si="6"/>
        <v>#REF!</v>
      </c>
      <c r="E1030" t="str">
        <f t="shared" si="1"/>
        <v>#REF!</v>
      </c>
    </row>
    <row r="1031">
      <c r="A1031" t="s">
        <v>5113</v>
      </c>
      <c r="B1031" s="254">
        <v>5490.0</v>
      </c>
      <c r="C1031" s="256">
        <v>1.0</v>
      </c>
      <c r="D1031" t="str">
        <f t="shared" si="6"/>
        <v>#REF!</v>
      </c>
      <c r="E1031" t="str">
        <f t="shared" si="1"/>
        <v>#REF!</v>
      </c>
    </row>
    <row r="1032">
      <c r="A1032" t="s">
        <v>11404</v>
      </c>
      <c r="B1032" s="254">
        <v>5990.0</v>
      </c>
      <c r="C1032" s="256">
        <v>0.0</v>
      </c>
      <c r="D1032" t="str">
        <f t="shared" si="6"/>
        <v>#REF!</v>
      </c>
      <c r="E1032" t="str">
        <f t="shared" si="1"/>
        <v>#REF!</v>
      </c>
    </row>
    <row r="1033">
      <c r="A1033" t="s">
        <v>1846</v>
      </c>
      <c r="B1033" s="254">
        <v>6490.0</v>
      </c>
      <c r="C1033" s="256">
        <v>0.0</v>
      </c>
      <c r="D1033" t="str">
        <f t="shared" si="6"/>
        <v>#REF!</v>
      </c>
      <c r="E1033" t="str">
        <f t="shared" si="1"/>
        <v>#REF!</v>
      </c>
    </row>
    <row r="1034">
      <c r="A1034" t="s">
        <v>1848</v>
      </c>
      <c r="B1034" s="254">
        <v>6990.0</v>
      </c>
      <c r="C1034" s="287">
        <v>0.0</v>
      </c>
      <c r="D1034" t="str">
        <f t="shared" si="6"/>
        <v>#REF!</v>
      </c>
      <c r="E1034" t="str">
        <f t="shared" si="1"/>
        <v>#REF!</v>
      </c>
    </row>
    <row r="1035">
      <c r="A1035" t="s">
        <v>9337</v>
      </c>
      <c r="B1035" s="254">
        <v>6990.0</v>
      </c>
      <c r="C1035" s="256">
        <v>0.0</v>
      </c>
      <c r="D1035" t="str">
        <f t="shared" si="6"/>
        <v>#REF!</v>
      </c>
      <c r="E1035" t="str">
        <f t="shared" si="1"/>
        <v>#REF!</v>
      </c>
    </row>
    <row r="1036">
      <c r="A1036" t="s">
        <v>1850</v>
      </c>
      <c r="B1036" s="254">
        <v>7990.0</v>
      </c>
      <c r="C1036" s="256">
        <v>0.0</v>
      </c>
      <c r="D1036" t="str">
        <f t="shared" si="6"/>
        <v>#REF!</v>
      </c>
      <c r="E1036" t="str">
        <f t="shared" si="1"/>
        <v>#REF!</v>
      </c>
    </row>
    <row r="1037">
      <c r="A1037" t="s">
        <v>1851</v>
      </c>
      <c r="B1037" s="254">
        <v>7990.0</v>
      </c>
      <c r="C1037" s="256">
        <v>0.0</v>
      </c>
      <c r="D1037" t="str">
        <f t="shared" si="6"/>
        <v>#REF!</v>
      </c>
      <c r="E1037" t="str">
        <f t="shared" si="1"/>
        <v>#REF!</v>
      </c>
    </row>
    <row r="1038">
      <c r="A1038" t="s">
        <v>11796</v>
      </c>
      <c r="B1038" s="254">
        <v>9290.0</v>
      </c>
      <c r="C1038" s="256">
        <v>0.0</v>
      </c>
      <c r="D1038" t="str">
        <f t="shared" si="6"/>
        <v>#REF!</v>
      </c>
      <c r="E1038" t="str">
        <f t="shared" si="1"/>
        <v>#REF!</v>
      </c>
    </row>
    <row r="1039">
      <c r="A1039" t="s">
        <v>5114</v>
      </c>
      <c r="B1039" s="254">
        <v>9490.0</v>
      </c>
      <c r="C1039" s="256">
        <v>0.0</v>
      </c>
      <c r="D1039" t="str">
        <f t="shared" si="6"/>
        <v>#REF!</v>
      </c>
      <c r="E1039" t="str">
        <f t="shared" si="1"/>
        <v>#REF!</v>
      </c>
    </row>
    <row r="1040">
      <c r="A1040" t="s">
        <v>1852</v>
      </c>
      <c r="B1040" s="254">
        <v>10390.0</v>
      </c>
      <c r="C1040" s="287">
        <v>0.0</v>
      </c>
      <c r="D1040" t="str">
        <f t="shared" si="6"/>
        <v>#REF!</v>
      </c>
      <c r="E1040" t="str">
        <f t="shared" si="1"/>
        <v>#REF!</v>
      </c>
    </row>
    <row r="1041">
      <c r="A1041" t="s">
        <v>11797</v>
      </c>
      <c r="B1041" s="254">
        <v>5790.0</v>
      </c>
      <c r="C1041" s="256">
        <v>0.0</v>
      </c>
      <c r="D1041" t="str">
        <f t="shared" si="6"/>
        <v>#REF!</v>
      </c>
      <c r="E1041" t="str">
        <f t="shared" si="1"/>
        <v>#REF!</v>
      </c>
    </row>
    <row r="1042">
      <c r="A1042" t="s">
        <v>6646</v>
      </c>
      <c r="B1042" s="254">
        <v>5990.0</v>
      </c>
      <c r="C1042" s="256">
        <v>0.0</v>
      </c>
      <c r="D1042" t="str">
        <f t="shared" si="6"/>
        <v>#REF!</v>
      </c>
      <c r="E1042" t="str">
        <f t="shared" si="1"/>
        <v>#REF!</v>
      </c>
    </row>
    <row r="1043">
      <c r="A1043" t="s">
        <v>7208</v>
      </c>
      <c r="B1043" s="254">
        <v>5790.0</v>
      </c>
      <c r="C1043" s="256">
        <v>0.0</v>
      </c>
      <c r="D1043" t="str">
        <f t="shared" si="6"/>
        <v>#REF!</v>
      </c>
      <c r="E1043" t="str">
        <f t="shared" si="1"/>
        <v>#REF!</v>
      </c>
    </row>
    <row r="1044">
      <c r="A1044" t="s">
        <v>1854</v>
      </c>
      <c r="B1044" s="254">
        <v>6490.0</v>
      </c>
      <c r="C1044" s="256">
        <v>0.0</v>
      </c>
      <c r="D1044" t="str">
        <f t="shared" si="6"/>
        <v>#REF!</v>
      </c>
      <c r="E1044" t="str">
        <f t="shared" si="1"/>
        <v>#REF!</v>
      </c>
    </row>
    <row r="1045">
      <c r="A1045" t="s">
        <v>11798</v>
      </c>
      <c r="B1045" s="254">
        <v>9490.0</v>
      </c>
      <c r="C1045" s="256">
        <v>0.0</v>
      </c>
      <c r="D1045" t="str">
        <f t="shared" si="6"/>
        <v>#REF!</v>
      </c>
      <c r="E1045" t="str">
        <f t="shared" si="1"/>
        <v>#REF!</v>
      </c>
    </row>
    <row r="1046">
      <c r="A1046" t="s">
        <v>5136</v>
      </c>
      <c r="B1046" s="254">
        <v>7990.0</v>
      </c>
      <c r="C1046" s="256">
        <v>1.0</v>
      </c>
      <c r="D1046" t="str">
        <f t="shared" si="6"/>
        <v>#REF!</v>
      </c>
      <c r="E1046" t="str">
        <f t="shared" si="1"/>
        <v>#REF!</v>
      </c>
    </row>
    <row r="1047">
      <c r="A1047" t="s">
        <v>5116</v>
      </c>
      <c r="B1047" s="254">
        <v>8690.0</v>
      </c>
      <c r="C1047" s="287">
        <v>1.0</v>
      </c>
      <c r="D1047" t="str">
        <f t="shared" si="6"/>
        <v>#REF!</v>
      </c>
      <c r="E1047" t="str">
        <f t="shared" si="1"/>
        <v>#REF!</v>
      </c>
    </row>
    <row r="1048">
      <c r="A1048" t="s">
        <v>11799</v>
      </c>
      <c r="B1048" s="254">
        <v>5790.0</v>
      </c>
      <c r="C1048" s="256">
        <v>0.0</v>
      </c>
      <c r="D1048" t="str">
        <f t="shared" si="6"/>
        <v>#REF!</v>
      </c>
      <c r="E1048" t="str">
        <f t="shared" si="1"/>
        <v>#REF!</v>
      </c>
    </row>
    <row r="1049">
      <c r="A1049" t="s">
        <v>11405</v>
      </c>
      <c r="B1049" s="254">
        <v>6490.0</v>
      </c>
      <c r="C1049" s="256">
        <v>0.0</v>
      </c>
      <c r="D1049" t="str">
        <f t="shared" si="6"/>
        <v>#REF!</v>
      </c>
      <c r="E1049" t="str">
        <f t="shared" si="1"/>
        <v>#REF!</v>
      </c>
    </row>
    <row r="1050">
      <c r="A1050" t="s">
        <v>11800</v>
      </c>
      <c r="B1050" s="254">
        <v>6990.0</v>
      </c>
      <c r="C1050" s="287">
        <v>0.0</v>
      </c>
      <c r="D1050" t="str">
        <f t="shared" si="6"/>
        <v>#REF!</v>
      </c>
      <c r="E1050" t="str">
        <f t="shared" si="1"/>
        <v>#REF!</v>
      </c>
    </row>
    <row r="1051">
      <c r="A1051" t="s">
        <v>1855</v>
      </c>
      <c r="B1051" s="254"/>
      <c r="C1051" s="291">
        <v>1.0</v>
      </c>
      <c r="D1051" t="str">
        <f t="shared" si="6"/>
        <v>#REF!</v>
      </c>
      <c r="E1051" t="str">
        <f t="shared" si="1"/>
        <v>#REF!</v>
      </c>
    </row>
    <row r="1052">
      <c r="A1052" t="s">
        <v>5118</v>
      </c>
      <c r="B1052" s="254">
        <v>8690.0</v>
      </c>
      <c r="C1052" s="289">
        <v>1.0</v>
      </c>
      <c r="D1052" t="str">
        <f t="shared" si="6"/>
        <v>#REF!</v>
      </c>
      <c r="E1052" t="str">
        <f t="shared" si="1"/>
        <v>#REF!</v>
      </c>
    </row>
    <row r="1053">
      <c r="A1053" t="s">
        <v>1821</v>
      </c>
      <c r="B1053" s="254">
        <v>7990.0</v>
      </c>
      <c r="C1053" s="256">
        <v>0.0</v>
      </c>
      <c r="D1053" t="str">
        <f t="shared" si="6"/>
        <v>#REF!</v>
      </c>
      <c r="E1053" t="str">
        <f t="shared" si="1"/>
        <v>#REF!</v>
      </c>
    </row>
    <row r="1054">
      <c r="A1054" t="s">
        <v>1818</v>
      </c>
      <c r="B1054" s="254">
        <v>7490.0</v>
      </c>
      <c r="C1054" s="287">
        <v>0.0</v>
      </c>
      <c r="D1054" t="str">
        <f t="shared" si="6"/>
        <v>#REF!</v>
      </c>
      <c r="E1054" t="str">
        <f t="shared" si="1"/>
        <v>#REF!</v>
      </c>
    </row>
    <row r="1055">
      <c r="A1055" t="s">
        <v>5120</v>
      </c>
      <c r="B1055" s="254">
        <v>7990.0</v>
      </c>
      <c r="C1055" s="289">
        <v>0.0</v>
      </c>
      <c r="D1055" t="str">
        <f t="shared" si="6"/>
        <v>#REF!</v>
      </c>
      <c r="E1055" t="str">
        <f t="shared" si="1"/>
        <v>#REF!</v>
      </c>
    </row>
    <row r="1056">
      <c r="A1056" t="s">
        <v>7206</v>
      </c>
      <c r="B1056" s="254">
        <v>7990.0</v>
      </c>
      <c r="C1056" s="256">
        <v>0.0</v>
      </c>
      <c r="D1056" t="str">
        <f t="shared" si="6"/>
        <v>#REF!</v>
      </c>
      <c r="E1056" t="str">
        <f t="shared" si="1"/>
        <v>#REF!</v>
      </c>
    </row>
    <row r="1057">
      <c r="A1057" t="s">
        <v>11801</v>
      </c>
      <c r="B1057" s="254">
        <v>7990.0</v>
      </c>
      <c r="C1057" s="256">
        <v>0.0</v>
      </c>
      <c r="D1057" t="str">
        <f t="shared" si="6"/>
        <v>#REF!</v>
      </c>
      <c r="E1057" t="str">
        <f t="shared" si="1"/>
        <v>#REF!</v>
      </c>
    </row>
    <row r="1058">
      <c r="A1058" t="s">
        <v>6184</v>
      </c>
      <c r="B1058" s="254">
        <v>11490.0</v>
      </c>
      <c r="C1058" s="256">
        <v>1.0</v>
      </c>
      <c r="D1058" t="str">
        <f t="shared" si="6"/>
        <v>#REF!</v>
      </c>
      <c r="E1058" t="str">
        <f t="shared" si="1"/>
        <v>#REF!</v>
      </c>
    </row>
    <row r="1059">
      <c r="A1059" t="s">
        <v>6184</v>
      </c>
      <c r="B1059" s="254">
        <v>11490.0</v>
      </c>
      <c r="C1059" s="254">
        <v>1.0</v>
      </c>
      <c r="D1059" t="str">
        <f t="shared" si="6"/>
        <v>#REF!</v>
      </c>
      <c r="E1059" t="str">
        <f t="shared" si="1"/>
        <v>#REF!</v>
      </c>
    </row>
    <row r="1060">
      <c r="A1060" t="s">
        <v>11802</v>
      </c>
      <c r="B1060" s="254">
        <v>10190.0</v>
      </c>
      <c r="C1060" s="256">
        <v>0.0</v>
      </c>
      <c r="D1060" t="str">
        <f t="shared" si="6"/>
        <v>#REF!</v>
      </c>
      <c r="E1060" t="str">
        <f t="shared" si="1"/>
        <v>#REF!</v>
      </c>
    </row>
    <row r="1061">
      <c r="A1061" t="s">
        <v>6254</v>
      </c>
      <c r="B1061" s="254">
        <v>7990.0</v>
      </c>
      <c r="C1061" s="254">
        <v>1.0</v>
      </c>
      <c r="D1061" t="str">
        <f t="shared" si="6"/>
        <v>#REF!</v>
      </c>
      <c r="E1061" t="str">
        <f t="shared" si="1"/>
        <v>#REF!</v>
      </c>
    </row>
    <row r="1062">
      <c r="A1062" t="s">
        <v>5122</v>
      </c>
      <c r="B1062" s="254">
        <v>7990.0</v>
      </c>
      <c r="C1062" s="254">
        <v>1.0</v>
      </c>
      <c r="D1062" t="str">
        <f t="shared" si="6"/>
        <v>#REF!</v>
      </c>
      <c r="E1062" t="str">
        <f t="shared" si="1"/>
        <v>#REF!</v>
      </c>
    </row>
    <row r="1063">
      <c r="A1063" t="s">
        <v>11803</v>
      </c>
      <c r="B1063" s="254">
        <v>7990.0</v>
      </c>
      <c r="C1063" s="256">
        <v>0.0</v>
      </c>
      <c r="D1063" t="str">
        <f t="shared" si="6"/>
        <v>#REF!</v>
      </c>
      <c r="E1063" t="str">
        <f t="shared" si="1"/>
        <v>#REF!</v>
      </c>
    </row>
    <row r="1064">
      <c r="A1064" t="s">
        <v>6647</v>
      </c>
      <c r="B1064" s="254">
        <v>7790.0</v>
      </c>
      <c r="C1064" s="256">
        <v>0.0</v>
      </c>
      <c r="D1064" t="str">
        <f t="shared" si="6"/>
        <v>#REF!</v>
      </c>
      <c r="E1064" t="str">
        <f t="shared" si="1"/>
        <v>#REF!</v>
      </c>
    </row>
    <row r="1065">
      <c r="A1065" t="s">
        <v>5125</v>
      </c>
      <c r="B1065" s="254">
        <v>7990.0</v>
      </c>
      <c r="C1065" s="256">
        <v>1.0</v>
      </c>
      <c r="D1065" t="str">
        <f t="shared" si="6"/>
        <v>#REF!</v>
      </c>
      <c r="E1065" t="str">
        <f t="shared" si="1"/>
        <v>#REF!</v>
      </c>
    </row>
    <row r="1066">
      <c r="A1066" t="s">
        <v>11804</v>
      </c>
      <c r="B1066" s="254">
        <v>10190.0</v>
      </c>
      <c r="C1066" s="256">
        <v>0.0</v>
      </c>
      <c r="D1066" t="str">
        <f t="shared" si="6"/>
        <v>#REF!</v>
      </c>
      <c r="E1066" t="str">
        <f t="shared" si="1"/>
        <v>#REF!</v>
      </c>
    </row>
    <row r="1067">
      <c r="A1067" t="s">
        <v>11805</v>
      </c>
      <c r="B1067" s="254">
        <v>7990.0</v>
      </c>
      <c r="C1067" s="256">
        <v>0.0</v>
      </c>
      <c r="D1067" t="str">
        <f t="shared" si="6"/>
        <v>#REF!</v>
      </c>
      <c r="E1067" t="str">
        <f t="shared" si="1"/>
        <v>#REF!</v>
      </c>
    </row>
    <row r="1068">
      <c r="A1068" t="s">
        <v>11806</v>
      </c>
      <c r="B1068" s="254">
        <v>7990.0</v>
      </c>
      <c r="C1068" s="256">
        <v>0.0</v>
      </c>
      <c r="D1068" t="str">
        <f t="shared" si="6"/>
        <v>#REF!</v>
      </c>
      <c r="E1068" t="str">
        <f t="shared" si="1"/>
        <v>#REF!</v>
      </c>
    </row>
    <row r="1069">
      <c r="A1069" t="s">
        <v>11807</v>
      </c>
      <c r="B1069" s="254">
        <v>7990.0</v>
      </c>
      <c r="C1069" s="256">
        <v>0.0</v>
      </c>
      <c r="D1069" t="str">
        <f t="shared" si="6"/>
        <v>#REF!</v>
      </c>
      <c r="E1069" t="str">
        <f t="shared" si="1"/>
        <v>#REF!</v>
      </c>
    </row>
    <row r="1070">
      <c r="A1070" t="s">
        <v>1856</v>
      </c>
      <c r="B1070" s="254">
        <v>7990.0</v>
      </c>
      <c r="C1070" s="256">
        <v>1.0</v>
      </c>
      <c r="D1070" t="str">
        <f t="shared" si="6"/>
        <v>#REF!</v>
      </c>
      <c r="E1070" t="str">
        <f t="shared" si="1"/>
        <v>#REF!</v>
      </c>
    </row>
    <row r="1071">
      <c r="A1071" t="s">
        <v>5128</v>
      </c>
      <c r="B1071" s="254">
        <v>7490.0</v>
      </c>
      <c r="C1071" s="256">
        <v>0.0</v>
      </c>
      <c r="D1071" t="str">
        <f t="shared" si="6"/>
        <v>#REF!</v>
      </c>
      <c r="E1071" t="str">
        <f t="shared" si="1"/>
        <v>#REF!</v>
      </c>
    </row>
    <row r="1072">
      <c r="A1072" t="s">
        <v>1857</v>
      </c>
      <c r="B1072" s="254">
        <v>7490.0</v>
      </c>
      <c r="C1072" s="256">
        <v>3.0</v>
      </c>
      <c r="D1072" t="str">
        <f t="shared" si="6"/>
        <v>#REF!</v>
      </c>
      <c r="E1072" t="str">
        <f t="shared" si="1"/>
        <v>#REF!</v>
      </c>
    </row>
    <row r="1073">
      <c r="A1073" t="s">
        <v>5121</v>
      </c>
      <c r="B1073" s="254">
        <v>7490.0</v>
      </c>
      <c r="C1073" s="287">
        <v>1.0</v>
      </c>
      <c r="D1073" t="str">
        <f t="shared" si="6"/>
        <v>#REF!</v>
      </c>
      <c r="E1073" t="str">
        <f t="shared" si="1"/>
        <v>#REF!</v>
      </c>
    </row>
    <row r="1074">
      <c r="A1074" t="s">
        <v>6255</v>
      </c>
      <c r="B1074" s="254">
        <v>7490.0</v>
      </c>
      <c r="C1074" s="289">
        <v>1.0</v>
      </c>
      <c r="D1074" t="str">
        <f t="shared" si="6"/>
        <v>#REF!</v>
      </c>
      <c r="E1074" t="str">
        <f t="shared" si="1"/>
        <v>#REF!</v>
      </c>
    </row>
    <row r="1075">
      <c r="A1075" t="s">
        <v>6653</v>
      </c>
      <c r="B1075" s="254">
        <v>8890.0</v>
      </c>
      <c r="C1075" s="287">
        <v>0.0</v>
      </c>
      <c r="D1075" t="str">
        <f t="shared" si="6"/>
        <v>#REF!</v>
      </c>
      <c r="E1075" t="str">
        <f t="shared" si="1"/>
        <v>#REF!</v>
      </c>
    </row>
    <row r="1076">
      <c r="A1076" t="s">
        <v>11808</v>
      </c>
      <c r="B1076" s="254">
        <v>8890.0</v>
      </c>
      <c r="C1076" s="256">
        <v>0.0</v>
      </c>
      <c r="D1076" t="str">
        <f t="shared" si="6"/>
        <v>#REF!</v>
      </c>
      <c r="E1076" t="str">
        <f t="shared" si="1"/>
        <v>#REF!</v>
      </c>
    </row>
    <row r="1077">
      <c r="A1077" t="s">
        <v>6185</v>
      </c>
      <c r="B1077" s="254">
        <v>5490.0</v>
      </c>
      <c r="C1077" s="256">
        <v>1.0</v>
      </c>
      <c r="D1077" t="str">
        <f t="shared" si="6"/>
        <v>#REF!</v>
      </c>
      <c r="E1077" t="str">
        <f t="shared" si="1"/>
        <v>#REF!</v>
      </c>
    </row>
    <row r="1078">
      <c r="A1078" t="s">
        <v>11809</v>
      </c>
      <c r="B1078" s="254">
        <v>5990.0</v>
      </c>
      <c r="C1078" s="256">
        <v>0.0</v>
      </c>
      <c r="D1078" t="str">
        <f t="shared" si="6"/>
        <v>#REF!</v>
      </c>
      <c r="E1078" t="str">
        <f t="shared" si="1"/>
        <v>#REF!</v>
      </c>
    </row>
    <row r="1079">
      <c r="A1079" t="s">
        <v>5132</v>
      </c>
      <c r="B1079" s="254">
        <v>5490.0</v>
      </c>
      <c r="C1079" s="256">
        <v>0.0</v>
      </c>
      <c r="D1079" t="str">
        <f t="shared" si="6"/>
        <v>#REF!</v>
      </c>
      <c r="E1079" t="str">
        <f t="shared" si="1"/>
        <v>#REF!</v>
      </c>
    </row>
    <row r="1080">
      <c r="A1080" t="s">
        <v>5134</v>
      </c>
      <c r="B1080" s="254"/>
      <c r="C1080" s="291">
        <v>1.0</v>
      </c>
      <c r="D1080" s="3">
        <v>1.0</v>
      </c>
      <c r="E1080" t="b">
        <f t="shared" si="1"/>
        <v>1</v>
      </c>
    </row>
    <row r="1081">
      <c r="A1081" t="s">
        <v>5134</v>
      </c>
      <c r="B1081" s="254"/>
      <c r="C1081" s="256">
        <v>3.0</v>
      </c>
      <c r="D1081" s="3">
        <v>3.0</v>
      </c>
      <c r="E1081" t="b">
        <f t="shared" si="1"/>
        <v>1</v>
      </c>
    </row>
    <row r="1082">
      <c r="A1082" t="s">
        <v>5131</v>
      </c>
      <c r="B1082" s="254">
        <v>5290.0</v>
      </c>
      <c r="C1082" s="256">
        <v>0.0</v>
      </c>
      <c r="D1082" t="str">
        <f t="shared" ref="D1082:D1220" si="7">VLOOKUP(A1082,PIVOT!$A$4:$F$1900,6,0)</f>
        <v>#REF!</v>
      </c>
      <c r="E1082" t="str">
        <f t="shared" si="1"/>
        <v>#REF!</v>
      </c>
    </row>
    <row r="1083">
      <c r="A1083" t="s">
        <v>6022</v>
      </c>
      <c r="B1083" s="254">
        <v>6490.0</v>
      </c>
      <c r="C1083" s="287">
        <v>0.0</v>
      </c>
      <c r="D1083" t="str">
        <f t="shared" si="7"/>
        <v>#REF!</v>
      </c>
      <c r="E1083" t="str">
        <f t="shared" si="1"/>
        <v>#REF!</v>
      </c>
    </row>
    <row r="1084">
      <c r="A1084" t="s">
        <v>5129</v>
      </c>
      <c r="B1084" s="254">
        <v>4990.0</v>
      </c>
      <c r="C1084" s="256">
        <v>2.0</v>
      </c>
      <c r="D1084" t="str">
        <f t="shared" si="7"/>
        <v>#REF!</v>
      </c>
      <c r="E1084" t="str">
        <f t="shared" si="1"/>
        <v>#REF!</v>
      </c>
    </row>
    <row r="1085">
      <c r="A1085" t="s">
        <v>11810</v>
      </c>
      <c r="B1085" s="254">
        <v>6490.0</v>
      </c>
      <c r="C1085" s="256">
        <v>0.0</v>
      </c>
      <c r="D1085" t="str">
        <f t="shared" si="7"/>
        <v>#REF!</v>
      </c>
      <c r="E1085" t="str">
        <f t="shared" si="1"/>
        <v>#REF!</v>
      </c>
    </row>
    <row r="1086">
      <c r="A1086" t="s">
        <v>11811</v>
      </c>
      <c r="B1086" s="254">
        <v>5990.0</v>
      </c>
      <c r="C1086" s="256">
        <v>0.0</v>
      </c>
      <c r="D1086" t="str">
        <f t="shared" si="7"/>
        <v>#REF!</v>
      </c>
      <c r="E1086" t="str">
        <f t="shared" si="1"/>
        <v>#REF!</v>
      </c>
    </row>
    <row r="1087">
      <c r="A1087" t="s">
        <v>1861</v>
      </c>
      <c r="B1087" s="254">
        <v>6990.0</v>
      </c>
      <c r="C1087" s="256">
        <v>0.0</v>
      </c>
      <c r="D1087" t="str">
        <f t="shared" si="7"/>
        <v>#REF!</v>
      </c>
      <c r="E1087" t="str">
        <f t="shared" si="1"/>
        <v>#REF!</v>
      </c>
    </row>
    <row r="1088">
      <c r="A1088" t="s">
        <v>5130</v>
      </c>
      <c r="B1088" s="254">
        <v>5990.0</v>
      </c>
      <c r="C1088" s="256">
        <v>3.0</v>
      </c>
      <c r="D1088" t="str">
        <f t="shared" si="7"/>
        <v>#REF!</v>
      </c>
      <c r="E1088" t="str">
        <f t="shared" si="1"/>
        <v>#REF!</v>
      </c>
    </row>
    <row r="1089">
      <c r="A1089" t="s">
        <v>1863</v>
      </c>
      <c r="B1089" s="254">
        <v>5990.0</v>
      </c>
      <c r="C1089" s="256">
        <v>0.0</v>
      </c>
      <c r="D1089" t="str">
        <f t="shared" si="7"/>
        <v>#REF!</v>
      </c>
      <c r="E1089" t="str">
        <f t="shared" si="1"/>
        <v>#REF!</v>
      </c>
    </row>
    <row r="1090">
      <c r="A1090" t="s">
        <v>11812</v>
      </c>
      <c r="B1090" s="254">
        <v>8790.0</v>
      </c>
      <c r="C1090" s="256">
        <v>0.0</v>
      </c>
      <c r="D1090" t="str">
        <f t="shared" si="7"/>
        <v>#REF!</v>
      </c>
      <c r="E1090" t="str">
        <f t="shared" si="1"/>
        <v>#REF!</v>
      </c>
    </row>
    <row r="1091">
      <c r="A1091" t="s">
        <v>11813</v>
      </c>
      <c r="B1091" s="254">
        <v>8790.0</v>
      </c>
      <c r="C1091" s="256">
        <v>0.0</v>
      </c>
      <c r="D1091" t="str">
        <f t="shared" si="7"/>
        <v>#REF!</v>
      </c>
      <c r="E1091" t="str">
        <f t="shared" si="1"/>
        <v>#REF!</v>
      </c>
    </row>
    <row r="1092">
      <c r="A1092" t="s">
        <v>6186</v>
      </c>
      <c r="B1092" s="254">
        <v>8790.0</v>
      </c>
      <c r="C1092" s="256">
        <v>1.0</v>
      </c>
      <c r="D1092" t="str">
        <f t="shared" si="7"/>
        <v>#REF!</v>
      </c>
      <c r="E1092" t="str">
        <f t="shared" si="1"/>
        <v>#REF!</v>
      </c>
    </row>
    <row r="1093">
      <c r="A1093" t="s">
        <v>11814</v>
      </c>
      <c r="B1093" s="254">
        <v>8490.0</v>
      </c>
      <c r="C1093" s="256">
        <v>0.0</v>
      </c>
      <c r="D1093" t="str">
        <f t="shared" si="7"/>
        <v>#REF!</v>
      </c>
      <c r="E1093" t="str">
        <f t="shared" si="1"/>
        <v>#REF!</v>
      </c>
    </row>
    <row r="1094">
      <c r="A1094" t="s">
        <v>1864</v>
      </c>
      <c r="B1094" s="254">
        <v>8490.0</v>
      </c>
      <c r="C1094" s="256">
        <v>1.0</v>
      </c>
      <c r="D1094" t="str">
        <f t="shared" si="7"/>
        <v>#REF!</v>
      </c>
      <c r="E1094" t="str">
        <f t="shared" si="1"/>
        <v>#REF!</v>
      </c>
    </row>
    <row r="1095">
      <c r="A1095" t="s">
        <v>11815</v>
      </c>
      <c r="B1095" s="254">
        <v>8490.0</v>
      </c>
      <c r="C1095" s="256">
        <v>0.0</v>
      </c>
      <c r="D1095" t="str">
        <f t="shared" si="7"/>
        <v>#REF!</v>
      </c>
      <c r="E1095" t="str">
        <f t="shared" si="1"/>
        <v>#REF!</v>
      </c>
    </row>
    <row r="1096">
      <c r="A1096" t="s">
        <v>6187</v>
      </c>
      <c r="B1096" s="254">
        <v>8490.0</v>
      </c>
      <c r="C1096" s="256">
        <v>1.0</v>
      </c>
      <c r="D1096" t="str">
        <f t="shared" si="7"/>
        <v>#REF!</v>
      </c>
      <c r="E1096" t="str">
        <f t="shared" si="1"/>
        <v>#REF!</v>
      </c>
    </row>
    <row r="1097">
      <c r="A1097" t="s">
        <v>6188</v>
      </c>
      <c r="B1097" s="254">
        <v>8490.0</v>
      </c>
      <c r="C1097" s="256">
        <v>1.0</v>
      </c>
      <c r="D1097" t="str">
        <f t="shared" si="7"/>
        <v>#REF!</v>
      </c>
      <c r="E1097" t="str">
        <f t="shared" si="1"/>
        <v>#REF!</v>
      </c>
    </row>
    <row r="1098">
      <c r="A1098" t="s">
        <v>11816</v>
      </c>
      <c r="B1098" s="254">
        <v>8490.0</v>
      </c>
      <c r="C1098" s="256">
        <v>0.0</v>
      </c>
      <c r="D1098" t="str">
        <f t="shared" si="7"/>
        <v>#REF!</v>
      </c>
      <c r="E1098" t="str">
        <f t="shared" si="1"/>
        <v>#REF!</v>
      </c>
    </row>
    <row r="1099">
      <c r="A1099" t="s">
        <v>6189</v>
      </c>
      <c r="B1099" s="254"/>
      <c r="C1099" s="291">
        <v>1.0</v>
      </c>
      <c r="D1099" t="str">
        <f t="shared" si="7"/>
        <v>#REF!</v>
      </c>
      <c r="E1099" t="str">
        <f t="shared" si="1"/>
        <v>#REF!</v>
      </c>
    </row>
    <row r="1100">
      <c r="A1100" t="s">
        <v>11817</v>
      </c>
      <c r="B1100" s="254">
        <v>7790.0</v>
      </c>
      <c r="C1100" s="256">
        <v>0.0</v>
      </c>
      <c r="D1100" t="str">
        <f t="shared" si="7"/>
        <v>#REF!</v>
      </c>
      <c r="E1100" t="str">
        <f t="shared" si="1"/>
        <v>#REF!</v>
      </c>
    </row>
    <row r="1101">
      <c r="A1101" t="s">
        <v>6654</v>
      </c>
      <c r="B1101" s="254">
        <v>5490.0</v>
      </c>
      <c r="C1101" s="256">
        <v>0.0</v>
      </c>
      <c r="D1101" t="str">
        <f t="shared" si="7"/>
        <v>#REF!</v>
      </c>
      <c r="E1101" t="str">
        <f t="shared" si="1"/>
        <v>#REF!</v>
      </c>
    </row>
    <row r="1102">
      <c r="A1102" t="s">
        <v>11818</v>
      </c>
      <c r="B1102" s="254">
        <v>7490.0</v>
      </c>
      <c r="C1102" s="256">
        <v>0.0</v>
      </c>
      <c r="D1102" t="str">
        <f t="shared" si="7"/>
        <v>#REF!</v>
      </c>
      <c r="E1102" t="str">
        <f t="shared" si="1"/>
        <v>#REF!</v>
      </c>
    </row>
    <row r="1103">
      <c r="A1103" t="s">
        <v>7812</v>
      </c>
      <c r="B1103" s="254">
        <v>8890.0</v>
      </c>
      <c r="C1103" s="256">
        <v>0.0</v>
      </c>
      <c r="D1103" t="str">
        <f t="shared" si="7"/>
        <v>#REF!</v>
      </c>
      <c r="E1103" t="str">
        <f t="shared" si="1"/>
        <v>#REF!</v>
      </c>
    </row>
    <row r="1104">
      <c r="A1104" t="s">
        <v>5141</v>
      </c>
      <c r="B1104" s="254">
        <v>8190.0</v>
      </c>
      <c r="C1104" s="256">
        <v>0.0</v>
      </c>
      <c r="D1104" t="str">
        <f t="shared" si="7"/>
        <v>#REF!</v>
      </c>
      <c r="E1104" t="str">
        <f t="shared" si="1"/>
        <v>#REF!</v>
      </c>
    </row>
    <row r="1105">
      <c r="A1105" t="s">
        <v>11819</v>
      </c>
      <c r="B1105" s="254" t="e">
        <v>#N/A</v>
      </c>
      <c r="C1105" s="287">
        <v>1.0</v>
      </c>
      <c r="D1105" t="str">
        <f t="shared" si="7"/>
        <v>#REF!</v>
      </c>
      <c r="E1105" t="str">
        <f t="shared" si="1"/>
        <v>#REF!</v>
      </c>
    </row>
    <row r="1106">
      <c r="A1106" t="s">
        <v>5139</v>
      </c>
      <c r="B1106" s="254">
        <v>7690.0</v>
      </c>
      <c r="C1106" s="256">
        <v>0.0</v>
      </c>
      <c r="D1106" t="str">
        <f t="shared" si="7"/>
        <v>#REF!</v>
      </c>
      <c r="E1106" t="str">
        <f t="shared" si="1"/>
        <v>#REF!</v>
      </c>
    </row>
    <row r="1107">
      <c r="A1107" t="s">
        <v>11820</v>
      </c>
      <c r="B1107" s="254">
        <v>3990.0</v>
      </c>
      <c r="C1107" s="256">
        <v>0.0</v>
      </c>
      <c r="D1107" t="str">
        <f t="shared" si="7"/>
        <v>#REF!</v>
      </c>
      <c r="E1107" t="str">
        <f t="shared" si="1"/>
        <v>#REF!</v>
      </c>
    </row>
    <row r="1108">
      <c r="A1108" t="s">
        <v>11821</v>
      </c>
      <c r="B1108" s="254">
        <v>7490.0</v>
      </c>
      <c r="C1108" s="256">
        <v>0.0</v>
      </c>
      <c r="D1108" t="str">
        <f t="shared" si="7"/>
        <v>#REF!</v>
      </c>
      <c r="E1108" t="str">
        <f t="shared" si="1"/>
        <v>#REF!</v>
      </c>
    </row>
    <row r="1109">
      <c r="A1109" t="s">
        <v>6257</v>
      </c>
      <c r="B1109" s="254">
        <v>4490.0</v>
      </c>
      <c r="C1109" s="254">
        <v>1.0</v>
      </c>
      <c r="D1109" t="str">
        <f t="shared" si="7"/>
        <v>#REF!</v>
      </c>
      <c r="E1109" t="str">
        <f t="shared" si="1"/>
        <v>#REF!</v>
      </c>
    </row>
    <row r="1110">
      <c r="A1110" t="s">
        <v>6388</v>
      </c>
      <c r="B1110" s="254">
        <v>4990.0</v>
      </c>
      <c r="C1110" s="254">
        <v>2.0</v>
      </c>
      <c r="D1110" t="str">
        <f t="shared" si="7"/>
        <v>#REF!</v>
      </c>
      <c r="E1110" t="str">
        <f t="shared" si="1"/>
        <v>#REF!</v>
      </c>
    </row>
    <row r="1111">
      <c r="A1111" t="s">
        <v>6656</v>
      </c>
      <c r="B1111" s="254">
        <v>4990.0</v>
      </c>
      <c r="C1111" s="256">
        <v>0.0</v>
      </c>
      <c r="D1111" t="str">
        <f t="shared" si="7"/>
        <v>#REF!</v>
      </c>
      <c r="E1111" t="str">
        <f t="shared" si="1"/>
        <v>#REF!</v>
      </c>
    </row>
    <row r="1112">
      <c r="A1112" t="s">
        <v>6655</v>
      </c>
      <c r="B1112" s="254">
        <v>5690.0</v>
      </c>
      <c r="C1112" s="289">
        <v>2.0</v>
      </c>
      <c r="D1112" t="str">
        <f t="shared" si="7"/>
        <v>#REF!</v>
      </c>
      <c r="E1112" t="str">
        <f t="shared" si="1"/>
        <v>#REF!</v>
      </c>
    </row>
    <row r="1113">
      <c r="A1113" t="s">
        <v>11822</v>
      </c>
      <c r="B1113" s="254">
        <v>4290.0</v>
      </c>
      <c r="C1113" s="256">
        <v>0.0</v>
      </c>
      <c r="D1113" t="str">
        <f t="shared" si="7"/>
        <v>#REF!</v>
      </c>
      <c r="E1113" t="str">
        <f t="shared" si="1"/>
        <v>#REF!</v>
      </c>
    </row>
    <row r="1114">
      <c r="A1114" t="s">
        <v>11823</v>
      </c>
      <c r="B1114" s="254">
        <v>7990.0</v>
      </c>
      <c r="C1114" s="256">
        <v>0.0</v>
      </c>
      <c r="D1114" t="str">
        <f t="shared" si="7"/>
        <v>#REF!</v>
      </c>
      <c r="E1114" t="str">
        <f t="shared" si="1"/>
        <v>#REF!</v>
      </c>
    </row>
    <row r="1115">
      <c r="A1115" t="s">
        <v>11824</v>
      </c>
      <c r="B1115" s="254">
        <v>6990.0</v>
      </c>
      <c r="C1115" s="256">
        <v>0.0</v>
      </c>
      <c r="D1115" t="str">
        <f t="shared" si="7"/>
        <v>#REF!</v>
      </c>
      <c r="E1115" t="str">
        <f t="shared" si="1"/>
        <v>#REF!</v>
      </c>
    </row>
    <row r="1116">
      <c r="A1116" t="s">
        <v>11825</v>
      </c>
      <c r="B1116" s="254">
        <v>7290.0</v>
      </c>
      <c r="C1116" s="256">
        <v>0.0</v>
      </c>
      <c r="D1116" t="str">
        <f t="shared" si="7"/>
        <v>#REF!</v>
      </c>
      <c r="E1116" t="str">
        <f t="shared" si="1"/>
        <v>#REF!</v>
      </c>
    </row>
    <row r="1117">
      <c r="A1117" t="s">
        <v>11826</v>
      </c>
      <c r="B1117" s="254">
        <v>4490.0</v>
      </c>
      <c r="C1117" s="256">
        <v>0.0</v>
      </c>
      <c r="D1117" t="str">
        <f t="shared" si="7"/>
        <v>#REF!</v>
      </c>
      <c r="E1117" t="str">
        <f t="shared" si="1"/>
        <v>#REF!</v>
      </c>
    </row>
    <row r="1118">
      <c r="A1118" t="s">
        <v>11827</v>
      </c>
      <c r="B1118" s="254">
        <v>5790.0</v>
      </c>
      <c r="C1118" s="256">
        <v>0.0</v>
      </c>
      <c r="D1118" t="str">
        <f t="shared" si="7"/>
        <v>#REF!</v>
      </c>
      <c r="E1118" t="str">
        <f t="shared" si="1"/>
        <v>#REF!</v>
      </c>
    </row>
    <row r="1119">
      <c r="A1119" t="s">
        <v>11828</v>
      </c>
      <c r="B1119" s="254">
        <v>7490.0</v>
      </c>
      <c r="C1119" s="256">
        <v>0.0</v>
      </c>
      <c r="D1119" t="str">
        <f t="shared" si="7"/>
        <v>#REF!</v>
      </c>
      <c r="E1119" t="str">
        <f t="shared" si="1"/>
        <v>#REF!</v>
      </c>
    </row>
    <row r="1120">
      <c r="A1120" t="s">
        <v>7275</v>
      </c>
      <c r="B1120" s="254">
        <v>4790.0</v>
      </c>
      <c r="C1120" s="256">
        <v>0.0</v>
      </c>
      <c r="D1120" t="str">
        <f t="shared" si="7"/>
        <v>#REF!</v>
      </c>
      <c r="E1120" t="str">
        <f t="shared" si="1"/>
        <v>#REF!</v>
      </c>
    </row>
    <row r="1121">
      <c r="A1121" t="s">
        <v>11829</v>
      </c>
      <c r="B1121" s="254">
        <v>4490.0</v>
      </c>
      <c r="C1121" s="290">
        <v>0.0</v>
      </c>
      <c r="D1121" t="str">
        <f t="shared" si="7"/>
        <v>#REF!</v>
      </c>
      <c r="E1121" t="str">
        <f t="shared" si="1"/>
        <v>#REF!</v>
      </c>
    </row>
    <row r="1122">
      <c r="A1122" t="s">
        <v>11829</v>
      </c>
      <c r="B1122" s="254">
        <v>4490.0</v>
      </c>
      <c r="C1122" s="256">
        <v>0.0</v>
      </c>
      <c r="D1122" t="str">
        <f t="shared" si="7"/>
        <v>#REF!</v>
      </c>
      <c r="E1122" t="str">
        <f t="shared" si="1"/>
        <v>#REF!</v>
      </c>
    </row>
    <row r="1123">
      <c r="A1123" t="s">
        <v>11830</v>
      </c>
      <c r="B1123" s="254">
        <v>3990.0</v>
      </c>
      <c r="C1123" s="256">
        <v>0.0</v>
      </c>
      <c r="D1123" t="str">
        <f t="shared" si="7"/>
        <v>#REF!</v>
      </c>
      <c r="E1123" t="str">
        <f t="shared" si="1"/>
        <v>#REF!</v>
      </c>
    </row>
    <row r="1124">
      <c r="A1124" t="s">
        <v>6258</v>
      </c>
      <c r="B1124" s="254"/>
      <c r="C1124" s="254">
        <v>1.0</v>
      </c>
      <c r="D1124" t="str">
        <f t="shared" si="7"/>
        <v>#REF!</v>
      </c>
      <c r="E1124" t="str">
        <f t="shared" si="1"/>
        <v>#REF!</v>
      </c>
    </row>
    <row r="1125">
      <c r="A1125" t="s">
        <v>6260</v>
      </c>
      <c r="B1125" s="254">
        <v>3990.0</v>
      </c>
      <c r="C1125" s="254">
        <v>1.0</v>
      </c>
      <c r="D1125" t="str">
        <f t="shared" si="7"/>
        <v>#REF!</v>
      </c>
      <c r="E1125" t="str">
        <f t="shared" si="1"/>
        <v>#REF!</v>
      </c>
    </row>
    <row r="1126">
      <c r="A1126" t="s">
        <v>11831</v>
      </c>
      <c r="B1126" s="254">
        <v>5490.0</v>
      </c>
      <c r="C1126" s="256">
        <v>0.0</v>
      </c>
      <c r="D1126" t="str">
        <f t="shared" si="7"/>
        <v>#REF!</v>
      </c>
      <c r="E1126" t="str">
        <f t="shared" si="1"/>
        <v>#REF!</v>
      </c>
    </row>
    <row r="1127">
      <c r="A1127" t="s">
        <v>6261</v>
      </c>
      <c r="B1127" s="254">
        <v>5990.0</v>
      </c>
      <c r="C1127" s="254">
        <v>1.0</v>
      </c>
      <c r="D1127" t="str">
        <f t="shared" si="7"/>
        <v>#REF!</v>
      </c>
      <c r="E1127" t="str">
        <f t="shared" si="1"/>
        <v>#REF!</v>
      </c>
    </row>
    <row r="1128">
      <c r="A1128" t="s">
        <v>11832</v>
      </c>
      <c r="B1128" s="254">
        <v>6990.0</v>
      </c>
      <c r="C1128" s="256">
        <v>0.0</v>
      </c>
      <c r="D1128" t="str">
        <f t="shared" si="7"/>
        <v>#REF!</v>
      </c>
      <c r="E1128" t="str">
        <f t="shared" si="1"/>
        <v>#REF!</v>
      </c>
    </row>
    <row r="1129">
      <c r="A1129" t="s">
        <v>6492</v>
      </c>
      <c r="B1129" s="254">
        <v>6990.0</v>
      </c>
      <c r="C1129" s="256">
        <v>0.0</v>
      </c>
      <c r="D1129" t="str">
        <f t="shared" si="7"/>
        <v>#REF!</v>
      </c>
      <c r="E1129" t="str">
        <f t="shared" si="1"/>
        <v>#REF!</v>
      </c>
    </row>
    <row r="1130">
      <c r="A1130" t="s">
        <v>1865</v>
      </c>
      <c r="B1130" s="254">
        <v>5490.0</v>
      </c>
      <c r="C1130" s="254">
        <v>1.0</v>
      </c>
      <c r="D1130" t="str">
        <f t="shared" si="7"/>
        <v>#REF!</v>
      </c>
      <c r="E1130" t="str">
        <f t="shared" si="1"/>
        <v>#REF!</v>
      </c>
    </row>
    <row r="1131">
      <c r="A1131" t="s">
        <v>11833</v>
      </c>
      <c r="B1131" s="254">
        <v>6990.0</v>
      </c>
      <c r="C1131" s="256">
        <v>0.0</v>
      </c>
      <c r="D1131" t="str">
        <f t="shared" si="7"/>
        <v>#REF!</v>
      </c>
      <c r="E1131" t="str">
        <f t="shared" si="1"/>
        <v>#REF!</v>
      </c>
    </row>
    <row r="1132">
      <c r="A1132" t="s">
        <v>11834</v>
      </c>
      <c r="B1132" s="254">
        <v>8990.0</v>
      </c>
      <c r="C1132" s="256">
        <v>0.0</v>
      </c>
      <c r="D1132" t="str">
        <f t="shared" si="7"/>
        <v>#REF!</v>
      </c>
      <c r="E1132" t="str">
        <f t="shared" si="1"/>
        <v>#REF!</v>
      </c>
    </row>
    <row r="1133">
      <c r="A1133" t="s">
        <v>11835</v>
      </c>
      <c r="B1133" s="254">
        <v>6990.0</v>
      </c>
      <c r="C1133" s="256">
        <v>0.0</v>
      </c>
      <c r="D1133" t="str">
        <f t="shared" si="7"/>
        <v>#REF!</v>
      </c>
      <c r="E1133" t="str">
        <f t="shared" si="1"/>
        <v>#REF!</v>
      </c>
    </row>
    <row r="1134">
      <c r="A1134" t="s">
        <v>5145</v>
      </c>
      <c r="B1134" s="254">
        <v>6990.0</v>
      </c>
      <c r="C1134" s="256">
        <v>1.0</v>
      </c>
      <c r="D1134" t="str">
        <f t="shared" si="7"/>
        <v>#REF!</v>
      </c>
      <c r="E1134" t="str">
        <f t="shared" si="1"/>
        <v>#REF!</v>
      </c>
    </row>
    <row r="1135">
      <c r="A1135" t="s">
        <v>6190</v>
      </c>
      <c r="B1135" s="254">
        <v>8490.0</v>
      </c>
      <c r="C1135" s="256">
        <v>1.0</v>
      </c>
      <c r="D1135" t="str">
        <f t="shared" si="7"/>
        <v>#REF!</v>
      </c>
      <c r="E1135" t="str">
        <f t="shared" si="1"/>
        <v>#REF!</v>
      </c>
    </row>
    <row r="1136">
      <c r="A1136" t="s">
        <v>11836</v>
      </c>
      <c r="B1136" s="254">
        <v>8990.0</v>
      </c>
      <c r="C1136" s="256">
        <v>0.0</v>
      </c>
      <c r="D1136" t="str">
        <f t="shared" si="7"/>
        <v>#REF!</v>
      </c>
      <c r="E1136" t="str">
        <f t="shared" si="1"/>
        <v>#REF!</v>
      </c>
    </row>
    <row r="1137">
      <c r="A1137" t="s">
        <v>11837</v>
      </c>
      <c r="B1137" s="254">
        <v>7990.0</v>
      </c>
      <c r="C1137" s="256">
        <v>0.0</v>
      </c>
      <c r="D1137" t="str">
        <f t="shared" si="7"/>
        <v>#REF!</v>
      </c>
      <c r="E1137" t="str">
        <f t="shared" si="1"/>
        <v>#REF!</v>
      </c>
    </row>
    <row r="1138">
      <c r="A1138" t="s">
        <v>11838</v>
      </c>
      <c r="B1138" s="254">
        <v>7790.0</v>
      </c>
      <c r="C1138" s="256">
        <v>0.0</v>
      </c>
      <c r="D1138" t="str">
        <f t="shared" si="7"/>
        <v>#REF!</v>
      </c>
      <c r="E1138" t="str">
        <f t="shared" si="1"/>
        <v>#REF!</v>
      </c>
    </row>
    <row r="1139">
      <c r="A1139" t="s">
        <v>11839</v>
      </c>
      <c r="B1139" s="254">
        <v>7490.0</v>
      </c>
      <c r="C1139" s="256">
        <v>0.0</v>
      </c>
      <c r="D1139" t="str">
        <f t="shared" si="7"/>
        <v>#REF!</v>
      </c>
      <c r="E1139" t="str">
        <f t="shared" si="1"/>
        <v>#REF!</v>
      </c>
    </row>
    <row r="1140">
      <c r="A1140" t="s">
        <v>11840</v>
      </c>
      <c r="B1140" s="254">
        <v>7790.0</v>
      </c>
      <c r="C1140" s="256">
        <v>0.0</v>
      </c>
      <c r="D1140" t="str">
        <f t="shared" si="7"/>
        <v>#REF!</v>
      </c>
      <c r="E1140" t="str">
        <f t="shared" si="1"/>
        <v>#REF!</v>
      </c>
    </row>
    <row r="1141">
      <c r="A1141" t="s">
        <v>11841</v>
      </c>
      <c r="B1141" s="254">
        <v>8490.0</v>
      </c>
      <c r="C1141" s="256">
        <v>0.0</v>
      </c>
      <c r="D1141" t="str">
        <f t="shared" si="7"/>
        <v>#REF!</v>
      </c>
      <c r="E1141" t="str">
        <f t="shared" si="1"/>
        <v>#REF!</v>
      </c>
    </row>
    <row r="1142">
      <c r="A1142" t="s">
        <v>11842</v>
      </c>
      <c r="B1142" s="254">
        <v>7490.0</v>
      </c>
      <c r="C1142" s="256">
        <v>0.0</v>
      </c>
      <c r="D1142" t="str">
        <f t="shared" si="7"/>
        <v>#REF!</v>
      </c>
      <c r="E1142" t="str">
        <f t="shared" si="1"/>
        <v>#REF!</v>
      </c>
    </row>
    <row r="1143">
      <c r="A1143" t="s">
        <v>5143</v>
      </c>
      <c r="B1143" s="254">
        <v>7490.0</v>
      </c>
      <c r="C1143" s="256">
        <v>1.0</v>
      </c>
      <c r="D1143" t="str">
        <f t="shared" si="7"/>
        <v>#REF!</v>
      </c>
      <c r="E1143" t="str">
        <f t="shared" si="1"/>
        <v>#REF!</v>
      </c>
    </row>
    <row r="1144">
      <c r="A1144" t="s">
        <v>11843</v>
      </c>
      <c r="B1144" s="254">
        <v>9290.0</v>
      </c>
      <c r="C1144" s="256">
        <v>0.0</v>
      </c>
      <c r="D1144" t="str">
        <f t="shared" si="7"/>
        <v>#REF!</v>
      </c>
      <c r="E1144" t="str">
        <f t="shared" si="1"/>
        <v>#REF!</v>
      </c>
    </row>
    <row r="1145">
      <c r="A1145" t="s">
        <v>11844</v>
      </c>
      <c r="B1145" s="254">
        <v>7990.0</v>
      </c>
      <c r="C1145" s="256">
        <v>0.0</v>
      </c>
      <c r="D1145" t="str">
        <f t="shared" si="7"/>
        <v>#REF!</v>
      </c>
      <c r="E1145" t="str">
        <f t="shared" si="1"/>
        <v>#REF!</v>
      </c>
    </row>
    <row r="1146">
      <c r="A1146" t="s">
        <v>11845</v>
      </c>
      <c r="B1146" s="254">
        <v>7990.0</v>
      </c>
      <c r="C1146" s="256">
        <v>0.0</v>
      </c>
      <c r="D1146" t="str">
        <f t="shared" si="7"/>
        <v>#REF!</v>
      </c>
      <c r="E1146" t="str">
        <f t="shared" si="1"/>
        <v>#REF!</v>
      </c>
    </row>
    <row r="1147">
      <c r="A1147" t="s">
        <v>11409</v>
      </c>
      <c r="B1147" s="254">
        <v>9290.0</v>
      </c>
      <c r="C1147" s="256">
        <v>0.0</v>
      </c>
      <c r="D1147" t="str">
        <f t="shared" si="7"/>
        <v>#REF!</v>
      </c>
      <c r="E1147" t="str">
        <f t="shared" si="1"/>
        <v>#REF!</v>
      </c>
    </row>
    <row r="1148">
      <c r="A1148" t="s">
        <v>11846</v>
      </c>
      <c r="B1148" s="254">
        <v>7990.0</v>
      </c>
      <c r="C1148" s="256">
        <v>0.0</v>
      </c>
      <c r="D1148" t="str">
        <f t="shared" si="7"/>
        <v>#REF!</v>
      </c>
      <c r="E1148" t="str">
        <f t="shared" si="1"/>
        <v>#REF!</v>
      </c>
    </row>
    <row r="1149">
      <c r="A1149" t="s">
        <v>11410</v>
      </c>
      <c r="B1149" s="254"/>
      <c r="C1149" s="256">
        <v>0.0</v>
      </c>
      <c r="D1149" t="str">
        <f t="shared" si="7"/>
        <v>#REF!</v>
      </c>
      <c r="E1149" t="str">
        <f t="shared" si="1"/>
        <v>#REF!</v>
      </c>
    </row>
    <row r="1150">
      <c r="A1150" t="s">
        <v>11847</v>
      </c>
      <c r="B1150" s="254">
        <v>6390.0</v>
      </c>
      <c r="C1150" s="256">
        <v>0.0</v>
      </c>
      <c r="D1150" t="str">
        <f t="shared" si="7"/>
        <v>#REF!</v>
      </c>
      <c r="E1150" t="str">
        <f t="shared" si="1"/>
        <v>#REF!</v>
      </c>
    </row>
    <row r="1151">
      <c r="A1151" s="3" t="s">
        <v>6191</v>
      </c>
      <c r="B1151" s="254" t="e">
        <v>#N/A</v>
      </c>
      <c r="C1151" s="287">
        <v>1.0</v>
      </c>
      <c r="D1151" t="str">
        <f t="shared" si="7"/>
        <v>#REF!</v>
      </c>
      <c r="E1151" t="str">
        <f t="shared" si="1"/>
        <v>#REF!</v>
      </c>
    </row>
    <row r="1152">
      <c r="A1152" t="s">
        <v>11848</v>
      </c>
      <c r="B1152" s="254">
        <v>4790.0</v>
      </c>
      <c r="C1152" s="287">
        <v>0.0</v>
      </c>
      <c r="D1152" t="str">
        <f t="shared" si="7"/>
        <v>#REF!</v>
      </c>
      <c r="E1152" t="str">
        <f t="shared" si="1"/>
        <v>#REF!</v>
      </c>
    </row>
    <row r="1153">
      <c r="A1153" s="3" t="s">
        <v>1866</v>
      </c>
      <c r="B1153" s="254" t="e">
        <v>#N/A</v>
      </c>
      <c r="C1153" s="287">
        <v>0.0</v>
      </c>
      <c r="D1153" t="str">
        <f t="shared" si="7"/>
        <v>#REF!</v>
      </c>
      <c r="E1153" t="str">
        <f t="shared" si="1"/>
        <v>#REF!</v>
      </c>
    </row>
    <row r="1154">
      <c r="A1154" t="s">
        <v>6659</v>
      </c>
      <c r="B1154" s="254">
        <v>4790.0</v>
      </c>
      <c r="C1154" s="287">
        <v>0.0</v>
      </c>
      <c r="D1154" t="str">
        <f t="shared" si="7"/>
        <v>#REF!</v>
      </c>
      <c r="E1154" t="str">
        <f t="shared" si="1"/>
        <v>#REF!</v>
      </c>
    </row>
    <row r="1155">
      <c r="A1155" t="s">
        <v>6660</v>
      </c>
      <c r="B1155" s="254">
        <v>4290.0</v>
      </c>
      <c r="C1155" s="256">
        <v>0.0</v>
      </c>
      <c r="D1155" t="str">
        <f t="shared" si="7"/>
        <v>#REF!</v>
      </c>
      <c r="E1155" t="str">
        <f t="shared" si="1"/>
        <v>#REF!</v>
      </c>
    </row>
    <row r="1156">
      <c r="A1156" t="s">
        <v>6658</v>
      </c>
      <c r="B1156" s="254">
        <v>4490.0</v>
      </c>
      <c r="C1156" s="256">
        <v>0.0</v>
      </c>
      <c r="D1156" t="str">
        <f t="shared" si="7"/>
        <v>#REF!</v>
      </c>
      <c r="E1156" t="str">
        <f t="shared" si="1"/>
        <v>#REF!</v>
      </c>
    </row>
    <row r="1157">
      <c r="A1157" t="s">
        <v>11849</v>
      </c>
      <c r="B1157" s="254">
        <v>9490.0</v>
      </c>
      <c r="C1157" s="256">
        <v>0.0</v>
      </c>
      <c r="D1157" t="str">
        <f t="shared" si="7"/>
        <v>#REF!</v>
      </c>
      <c r="E1157" t="str">
        <f t="shared" si="1"/>
        <v>#REF!</v>
      </c>
    </row>
    <row r="1158">
      <c r="A1158" t="s">
        <v>11850</v>
      </c>
      <c r="B1158" s="254">
        <v>7690.0</v>
      </c>
      <c r="C1158" s="256">
        <v>0.0</v>
      </c>
      <c r="D1158" t="str">
        <f t="shared" si="7"/>
        <v>#REF!</v>
      </c>
      <c r="E1158" t="str">
        <f t="shared" si="1"/>
        <v>#REF!</v>
      </c>
    </row>
    <row r="1159">
      <c r="A1159" t="s">
        <v>11411</v>
      </c>
      <c r="B1159" s="254">
        <v>10090.0</v>
      </c>
      <c r="C1159" s="256">
        <v>0.0</v>
      </c>
      <c r="D1159" t="str">
        <f t="shared" si="7"/>
        <v>#REF!</v>
      </c>
      <c r="E1159" t="str">
        <f t="shared" si="1"/>
        <v>#REF!</v>
      </c>
    </row>
    <row r="1160">
      <c r="A1160" t="s">
        <v>11851</v>
      </c>
      <c r="B1160" s="254">
        <v>4290.0</v>
      </c>
      <c r="C1160" s="256">
        <v>0.0</v>
      </c>
      <c r="D1160" t="str">
        <f t="shared" si="7"/>
        <v>#REF!</v>
      </c>
      <c r="E1160" t="str">
        <f t="shared" si="1"/>
        <v>#REF!</v>
      </c>
    </row>
    <row r="1161">
      <c r="A1161" t="s">
        <v>11852</v>
      </c>
      <c r="B1161" s="254">
        <v>4490.0</v>
      </c>
      <c r="C1161" s="256">
        <v>0.0</v>
      </c>
      <c r="D1161" t="str">
        <f t="shared" si="7"/>
        <v>#REF!</v>
      </c>
      <c r="E1161" t="str">
        <f t="shared" si="1"/>
        <v>#REF!</v>
      </c>
    </row>
    <row r="1162">
      <c r="A1162" t="s">
        <v>6264</v>
      </c>
      <c r="B1162" s="254">
        <v>3990.0</v>
      </c>
      <c r="C1162" s="254">
        <v>1.0</v>
      </c>
      <c r="D1162" t="str">
        <f t="shared" si="7"/>
        <v>#REF!</v>
      </c>
      <c r="E1162" t="str">
        <f t="shared" si="1"/>
        <v>#REF!</v>
      </c>
    </row>
    <row r="1163">
      <c r="A1163" t="s">
        <v>6661</v>
      </c>
      <c r="B1163" s="254">
        <v>4690.0</v>
      </c>
      <c r="C1163" s="287">
        <v>0.0</v>
      </c>
      <c r="D1163" t="str">
        <f t="shared" si="7"/>
        <v>#REF!</v>
      </c>
      <c r="E1163" t="str">
        <f t="shared" si="1"/>
        <v>#REF!</v>
      </c>
    </row>
    <row r="1164">
      <c r="A1164" t="s">
        <v>6262</v>
      </c>
      <c r="B1164" s="254">
        <v>4290.0</v>
      </c>
      <c r="C1164" s="254">
        <v>1.0</v>
      </c>
      <c r="D1164" t="str">
        <f t="shared" si="7"/>
        <v>#REF!</v>
      </c>
      <c r="E1164" t="str">
        <f t="shared" si="1"/>
        <v>#REF!</v>
      </c>
    </row>
    <row r="1165">
      <c r="A1165" t="s">
        <v>1867</v>
      </c>
      <c r="B1165" s="254">
        <v>4290.0</v>
      </c>
      <c r="C1165" s="254">
        <v>1.0</v>
      </c>
      <c r="D1165" t="str">
        <f t="shared" si="7"/>
        <v>#REF!</v>
      </c>
      <c r="E1165" t="str">
        <f t="shared" si="1"/>
        <v>#REF!</v>
      </c>
    </row>
    <row r="1166">
      <c r="A1166" t="s">
        <v>11853</v>
      </c>
      <c r="B1166" s="254">
        <v>4490.0</v>
      </c>
      <c r="C1166" s="256">
        <v>0.0</v>
      </c>
      <c r="D1166" t="str">
        <f t="shared" si="7"/>
        <v>#REF!</v>
      </c>
      <c r="E1166" t="str">
        <f t="shared" si="1"/>
        <v>#REF!</v>
      </c>
    </row>
    <row r="1167">
      <c r="A1167" t="s">
        <v>1868</v>
      </c>
      <c r="B1167" s="254">
        <v>6490.0</v>
      </c>
      <c r="C1167" s="287">
        <v>1.0</v>
      </c>
      <c r="D1167" t="str">
        <f t="shared" si="7"/>
        <v>#REF!</v>
      </c>
      <c r="E1167" t="str">
        <f t="shared" si="1"/>
        <v>#REF!</v>
      </c>
    </row>
    <row r="1168">
      <c r="A1168" t="s">
        <v>6192</v>
      </c>
      <c r="B1168" s="254">
        <v>9390.0</v>
      </c>
      <c r="C1168" s="256">
        <v>1.0</v>
      </c>
      <c r="D1168" t="str">
        <f t="shared" si="7"/>
        <v>#REF!</v>
      </c>
      <c r="E1168" t="str">
        <f t="shared" si="1"/>
        <v>#REF!</v>
      </c>
    </row>
    <row r="1169">
      <c r="A1169" t="s">
        <v>11854</v>
      </c>
      <c r="B1169" s="254">
        <v>8690.0</v>
      </c>
      <c r="C1169" s="287">
        <v>0.0</v>
      </c>
      <c r="D1169" t="str">
        <f t="shared" si="7"/>
        <v>#REF!</v>
      </c>
      <c r="E1169" t="str">
        <f t="shared" si="1"/>
        <v>#REF!</v>
      </c>
    </row>
    <row r="1170">
      <c r="A1170" t="s">
        <v>5147</v>
      </c>
      <c r="B1170" s="254">
        <v>7990.0</v>
      </c>
      <c r="C1170" s="287">
        <v>1.0</v>
      </c>
      <c r="D1170" t="str">
        <f t="shared" si="7"/>
        <v>#REF!</v>
      </c>
      <c r="E1170" t="str">
        <f t="shared" si="1"/>
        <v>#REF!</v>
      </c>
    </row>
    <row r="1171">
      <c r="A1171" t="s">
        <v>11855</v>
      </c>
      <c r="B1171" s="254">
        <v>8490.0</v>
      </c>
      <c r="C1171" s="256">
        <v>0.0</v>
      </c>
      <c r="D1171" t="str">
        <f t="shared" si="7"/>
        <v>#REF!</v>
      </c>
      <c r="E1171" t="str">
        <f t="shared" si="1"/>
        <v>#REF!</v>
      </c>
    </row>
    <row r="1172">
      <c r="A1172" t="s">
        <v>11856</v>
      </c>
      <c r="B1172" s="254">
        <v>8490.0</v>
      </c>
      <c r="C1172" s="256">
        <v>0.0</v>
      </c>
      <c r="D1172" t="str">
        <f t="shared" si="7"/>
        <v>#REF!</v>
      </c>
      <c r="E1172" t="str">
        <f t="shared" si="1"/>
        <v>#REF!</v>
      </c>
    </row>
    <row r="1173">
      <c r="A1173" t="s">
        <v>11857</v>
      </c>
      <c r="B1173" s="254">
        <v>8490.0</v>
      </c>
      <c r="C1173" s="256">
        <v>0.0</v>
      </c>
      <c r="D1173" t="str">
        <f t="shared" si="7"/>
        <v>#REF!</v>
      </c>
      <c r="E1173" t="str">
        <f t="shared" si="1"/>
        <v>#REF!</v>
      </c>
    </row>
    <row r="1174">
      <c r="A1174" t="s">
        <v>11858</v>
      </c>
      <c r="B1174" s="254">
        <v>8490.0</v>
      </c>
      <c r="C1174" s="256">
        <v>0.0</v>
      </c>
      <c r="D1174" t="str">
        <f t="shared" si="7"/>
        <v>#REF!</v>
      </c>
      <c r="E1174" t="str">
        <f t="shared" si="1"/>
        <v>#REF!</v>
      </c>
    </row>
    <row r="1175">
      <c r="A1175" t="s">
        <v>7328</v>
      </c>
      <c r="B1175" s="254">
        <v>8490.0</v>
      </c>
      <c r="C1175" s="256">
        <v>0.0</v>
      </c>
      <c r="D1175" t="str">
        <f t="shared" si="7"/>
        <v>#REF!</v>
      </c>
      <c r="E1175" t="str">
        <f t="shared" si="1"/>
        <v>#REF!</v>
      </c>
    </row>
    <row r="1176">
      <c r="A1176" t="s">
        <v>11859</v>
      </c>
      <c r="B1176" s="254">
        <v>6990.0</v>
      </c>
      <c r="C1176" s="256">
        <v>0.0</v>
      </c>
      <c r="D1176" t="str">
        <f t="shared" si="7"/>
        <v>#REF!</v>
      </c>
      <c r="E1176" t="str">
        <f t="shared" si="1"/>
        <v>#REF!</v>
      </c>
    </row>
    <row r="1177">
      <c r="A1177" t="s">
        <v>11860</v>
      </c>
      <c r="B1177" s="254">
        <v>6990.0</v>
      </c>
      <c r="C1177" s="256">
        <v>0.0</v>
      </c>
      <c r="D1177" t="str">
        <f t="shared" si="7"/>
        <v>#REF!</v>
      </c>
      <c r="E1177" t="str">
        <f t="shared" si="1"/>
        <v>#REF!</v>
      </c>
    </row>
    <row r="1178">
      <c r="A1178" t="s">
        <v>10112</v>
      </c>
      <c r="B1178" s="254">
        <v>8190.0</v>
      </c>
      <c r="C1178" s="256">
        <v>0.0</v>
      </c>
      <c r="D1178" t="str">
        <f t="shared" si="7"/>
        <v>#REF!</v>
      </c>
      <c r="E1178" t="str">
        <f t="shared" si="1"/>
        <v>#REF!</v>
      </c>
    </row>
    <row r="1179">
      <c r="A1179" t="s">
        <v>6662</v>
      </c>
      <c r="B1179" s="254">
        <v>8090.0</v>
      </c>
      <c r="C1179" s="256">
        <v>0.0</v>
      </c>
      <c r="D1179" t="str">
        <f t="shared" si="7"/>
        <v>#REF!</v>
      </c>
      <c r="E1179" t="str">
        <f t="shared" si="1"/>
        <v>#REF!</v>
      </c>
    </row>
    <row r="1180">
      <c r="A1180" t="s">
        <v>11861</v>
      </c>
      <c r="B1180" s="254">
        <v>7490.0</v>
      </c>
      <c r="C1180" s="256">
        <v>0.0</v>
      </c>
      <c r="D1180" t="str">
        <f t="shared" si="7"/>
        <v>#REF!</v>
      </c>
      <c r="E1180" t="str">
        <f t="shared" si="1"/>
        <v>#REF!</v>
      </c>
    </row>
    <row r="1181">
      <c r="A1181" t="s">
        <v>11862</v>
      </c>
      <c r="B1181" s="254"/>
      <c r="C1181" s="256">
        <v>0.0</v>
      </c>
      <c r="D1181" t="str">
        <f t="shared" si="7"/>
        <v>#REF!</v>
      </c>
      <c r="E1181" t="str">
        <f t="shared" si="1"/>
        <v>#REF!</v>
      </c>
    </row>
    <row r="1182">
      <c r="A1182" t="s">
        <v>11863</v>
      </c>
      <c r="B1182" s="254">
        <v>8090.0</v>
      </c>
      <c r="C1182" s="256">
        <v>0.0</v>
      </c>
      <c r="D1182" t="str">
        <f t="shared" si="7"/>
        <v>#REF!</v>
      </c>
      <c r="E1182" t="str">
        <f t="shared" si="1"/>
        <v>#REF!</v>
      </c>
    </row>
    <row r="1183">
      <c r="A1183" t="s">
        <v>11864</v>
      </c>
      <c r="B1183" s="254">
        <v>5490.0</v>
      </c>
      <c r="C1183" s="256">
        <v>0.0</v>
      </c>
      <c r="D1183" t="str">
        <f t="shared" si="7"/>
        <v>#REF!</v>
      </c>
      <c r="E1183" t="str">
        <f t="shared" si="1"/>
        <v>#REF!</v>
      </c>
    </row>
    <row r="1184">
      <c r="A1184" t="s">
        <v>11865</v>
      </c>
      <c r="B1184" s="254"/>
      <c r="C1184" s="256">
        <v>0.0</v>
      </c>
      <c r="D1184" t="str">
        <f t="shared" si="7"/>
        <v>#REF!</v>
      </c>
      <c r="E1184" t="str">
        <f t="shared" si="1"/>
        <v>#REF!</v>
      </c>
    </row>
    <row r="1185">
      <c r="A1185" t="s">
        <v>11866</v>
      </c>
      <c r="B1185" s="254">
        <v>5490.0</v>
      </c>
      <c r="C1185" s="256">
        <v>0.0</v>
      </c>
      <c r="D1185" t="str">
        <f t="shared" si="7"/>
        <v>#REF!</v>
      </c>
      <c r="E1185" t="str">
        <f t="shared" si="1"/>
        <v>#REF!</v>
      </c>
    </row>
    <row r="1186">
      <c r="A1186" t="s">
        <v>11867</v>
      </c>
      <c r="B1186" s="254">
        <v>5490.0</v>
      </c>
      <c r="C1186" s="256">
        <v>0.0</v>
      </c>
      <c r="D1186" t="str">
        <f t="shared" si="7"/>
        <v>#REF!</v>
      </c>
      <c r="E1186" t="str">
        <f t="shared" si="1"/>
        <v>#REF!</v>
      </c>
    </row>
    <row r="1187">
      <c r="A1187" t="s">
        <v>5148</v>
      </c>
      <c r="B1187" s="254">
        <v>6990.0</v>
      </c>
      <c r="C1187" s="287">
        <v>0.0</v>
      </c>
      <c r="D1187" t="str">
        <f t="shared" si="7"/>
        <v>#REF!</v>
      </c>
      <c r="E1187" t="str">
        <f t="shared" si="1"/>
        <v>#REF!</v>
      </c>
    </row>
    <row r="1188">
      <c r="A1188" t="s">
        <v>6493</v>
      </c>
      <c r="B1188" s="254">
        <v>5790.0</v>
      </c>
      <c r="C1188" s="256">
        <v>0.0</v>
      </c>
      <c r="D1188" t="str">
        <f t="shared" si="7"/>
        <v>#REF!</v>
      </c>
      <c r="E1188" t="str">
        <f t="shared" si="1"/>
        <v>#REF!</v>
      </c>
    </row>
    <row r="1189">
      <c r="A1189" t="s">
        <v>11868</v>
      </c>
      <c r="B1189" s="254">
        <v>5490.0</v>
      </c>
      <c r="C1189" s="256">
        <v>0.0</v>
      </c>
      <c r="D1189" t="str">
        <f t="shared" si="7"/>
        <v>#REF!</v>
      </c>
      <c r="E1189" t="str">
        <f t="shared" si="1"/>
        <v>#REF!</v>
      </c>
    </row>
    <row r="1190">
      <c r="A1190" t="s">
        <v>11869</v>
      </c>
      <c r="B1190" s="254">
        <v>6490.0</v>
      </c>
      <c r="C1190" s="256">
        <v>0.0</v>
      </c>
      <c r="D1190" t="str">
        <f t="shared" si="7"/>
        <v>#REF!</v>
      </c>
      <c r="E1190" t="str">
        <f t="shared" si="1"/>
        <v>#REF!</v>
      </c>
    </row>
    <row r="1191">
      <c r="A1191" t="s">
        <v>11414</v>
      </c>
      <c r="B1191" s="254">
        <v>9990.0</v>
      </c>
      <c r="C1191" s="256">
        <v>0.0</v>
      </c>
      <c r="D1191" t="str">
        <f t="shared" si="7"/>
        <v>#REF!</v>
      </c>
      <c r="E1191" t="str">
        <f t="shared" si="1"/>
        <v>#REF!</v>
      </c>
    </row>
    <row r="1192">
      <c r="A1192" t="s">
        <v>11870</v>
      </c>
      <c r="B1192" s="254">
        <v>6990.0</v>
      </c>
      <c r="C1192" s="256">
        <v>0.0</v>
      </c>
      <c r="D1192" t="str">
        <f t="shared" si="7"/>
        <v>#REF!</v>
      </c>
      <c r="E1192" t="str">
        <f t="shared" si="1"/>
        <v>#REF!</v>
      </c>
    </row>
    <row r="1193">
      <c r="A1193" t="s">
        <v>6193</v>
      </c>
      <c r="B1193" s="254">
        <v>6290.0</v>
      </c>
      <c r="C1193" s="256">
        <v>1.0</v>
      </c>
      <c r="D1193" t="str">
        <f t="shared" si="7"/>
        <v>#REF!</v>
      </c>
      <c r="E1193" t="str">
        <f t="shared" si="1"/>
        <v>#REF!</v>
      </c>
    </row>
    <row r="1194">
      <c r="A1194" t="s">
        <v>11871</v>
      </c>
      <c r="B1194" s="254">
        <v>7990.0</v>
      </c>
      <c r="C1194" s="256">
        <v>0.0</v>
      </c>
      <c r="D1194" t="str">
        <f t="shared" si="7"/>
        <v>#REF!</v>
      </c>
      <c r="E1194" t="str">
        <f t="shared" si="1"/>
        <v>#REF!</v>
      </c>
    </row>
    <row r="1195">
      <c r="A1195" t="s">
        <v>11872</v>
      </c>
      <c r="B1195" s="254">
        <v>9490.0</v>
      </c>
      <c r="C1195" s="256">
        <v>0.0</v>
      </c>
      <c r="D1195" t="str">
        <f t="shared" si="7"/>
        <v>#REF!</v>
      </c>
      <c r="E1195" t="str">
        <f t="shared" si="1"/>
        <v>#REF!</v>
      </c>
    </row>
    <row r="1196">
      <c r="A1196" t="s">
        <v>11873</v>
      </c>
      <c r="B1196" s="254">
        <v>9490.0</v>
      </c>
      <c r="C1196" s="256">
        <v>0.0</v>
      </c>
      <c r="D1196" t="str">
        <f t="shared" si="7"/>
        <v>#REF!</v>
      </c>
      <c r="E1196" t="str">
        <f t="shared" si="1"/>
        <v>#REF!</v>
      </c>
    </row>
    <row r="1197">
      <c r="A1197" t="s">
        <v>11874</v>
      </c>
      <c r="B1197" s="254">
        <v>10990.0</v>
      </c>
      <c r="C1197" s="256">
        <v>0.0</v>
      </c>
      <c r="D1197" t="str">
        <f t="shared" si="7"/>
        <v>#REF!</v>
      </c>
      <c r="E1197" t="str">
        <f t="shared" si="1"/>
        <v>#REF!</v>
      </c>
    </row>
    <row r="1198">
      <c r="A1198" t="s">
        <v>11875</v>
      </c>
      <c r="B1198" s="254">
        <v>8490.0</v>
      </c>
      <c r="C1198" s="256">
        <v>0.0</v>
      </c>
      <c r="D1198" t="str">
        <f t="shared" si="7"/>
        <v>#REF!</v>
      </c>
      <c r="E1198" t="str">
        <f t="shared" si="1"/>
        <v>#REF!</v>
      </c>
    </row>
    <row r="1199">
      <c r="A1199" t="s">
        <v>6194</v>
      </c>
      <c r="B1199" s="254">
        <v>8290.0</v>
      </c>
      <c r="C1199" s="256">
        <v>1.0</v>
      </c>
      <c r="D1199" t="str">
        <f t="shared" si="7"/>
        <v>#REF!</v>
      </c>
      <c r="E1199" t="str">
        <f t="shared" si="1"/>
        <v>#REF!</v>
      </c>
    </row>
    <row r="1200">
      <c r="A1200" t="s">
        <v>11876</v>
      </c>
      <c r="B1200" s="254">
        <v>9790.0</v>
      </c>
      <c r="C1200" s="256">
        <v>0.0</v>
      </c>
      <c r="D1200" t="str">
        <f t="shared" si="7"/>
        <v>#REF!</v>
      </c>
      <c r="E1200" t="str">
        <f t="shared" si="1"/>
        <v>#REF!</v>
      </c>
    </row>
    <row r="1201">
      <c r="A1201" t="s">
        <v>11415</v>
      </c>
      <c r="B1201" s="254">
        <v>8790.0</v>
      </c>
      <c r="C1201" s="256">
        <v>0.0</v>
      </c>
      <c r="D1201" t="str">
        <f t="shared" si="7"/>
        <v>#REF!</v>
      </c>
      <c r="E1201" t="str">
        <f t="shared" si="1"/>
        <v>#REF!</v>
      </c>
    </row>
    <row r="1202">
      <c r="A1202" t="s">
        <v>11877</v>
      </c>
      <c r="B1202" s="254">
        <v>8790.0</v>
      </c>
      <c r="C1202" s="256">
        <v>0.0</v>
      </c>
      <c r="D1202" t="str">
        <f t="shared" si="7"/>
        <v>#REF!</v>
      </c>
      <c r="E1202" t="str">
        <f t="shared" si="1"/>
        <v>#REF!</v>
      </c>
    </row>
    <row r="1203">
      <c r="A1203" t="s">
        <v>11878</v>
      </c>
      <c r="B1203" s="254">
        <v>8790.0</v>
      </c>
      <c r="C1203" s="256">
        <v>0.0</v>
      </c>
      <c r="D1203" t="str">
        <f t="shared" si="7"/>
        <v>#REF!</v>
      </c>
      <c r="E1203" t="str">
        <f t="shared" si="1"/>
        <v>#REF!</v>
      </c>
    </row>
    <row r="1204">
      <c r="A1204" t="s">
        <v>11879</v>
      </c>
      <c r="B1204" s="254">
        <v>4490.0</v>
      </c>
      <c r="C1204" s="256">
        <v>0.0</v>
      </c>
      <c r="D1204" t="str">
        <f t="shared" si="7"/>
        <v>#REF!</v>
      </c>
      <c r="E1204" t="str">
        <f t="shared" si="1"/>
        <v>#REF!</v>
      </c>
    </row>
    <row r="1205">
      <c r="A1205" t="s">
        <v>11880</v>
      </c>
      <c r="B1205" s="254">
        <v>8490.0</v>
      </c>
      <c r="C1205" s="256">
        <v>0.0</v>
      </c>
      <c r="D1205" t="str">
        <f t="shared" si="7"/>
        <v>#REF!</v>
      </c>
      <c r="E1205" t="str">
        <f t="shared" si="1"/>
        <v>#REF!</v>
      </c>
    </row>
    <row r="1206">
      <c r="A1206" t="s">
        <v>11881</v>
      </c>
      <c r="B1206" s="254">
        <v>8490.0</v>
      </c>
      <c r="C1206" s="256">
        <v>0.0</v>
      </c>
      <c r="D1206" t="str">
        <f t="shared" si="7"/>
        <v>#REF!</v>
      </c>
      <c r="E1206" t="str">
        <f t="shared" si="1"/>
        <v>#REF!</v>
      </c>
    </row>
    <row r="1207">
      <c r="A1207" t="s">
        <v>11882</v>
      </c>
      <c r="B1207" s="254">
        <v>6490.0</v>
      </c>
      <c r="C1207" s="256">
        <v>0.0</v>
      </c>
      <c r="D1207" t="str">
        <f t="shared" si="7"/>
        <v>#REF!</v>
      </c>
      <c r="E1207" t="str">
        <f t="shared" si="1"/>
        <v>#REF!</v>
      </c>
    </row>
    <row r="1208">
      <c r="A1208" t="s">
        <v>11883</v>
      </c>
      <c r="B1208" s="254">
        <v>7990.0</v>
      </c>
      <c r="C1208" s="256">
        <v>0.0</v>
      </c>
      <c r="D1208" t="str">
        <f t="shared" si="7"/>
        <v>#REF!</v>
      </c>
      <c r="E1208" t="str">
        <f t="shared" si="1"/>
        <v>#REF!</v>
      </c>
    </row>
    <row r="1209">
      <c r="A1209" t="s">
        <v>6195</v>
      </c>
      <c r="B1209" s="254">
        <v>6490.0</v>
      </c>
      <c r="C1209" s="256">
        <v>1.0</v>
      </c>
      <c r="D1209" t="str">
        <f t="shared" si="7"/>
        <v>#REF!</v>
      </c>
      <c r="E1209" t="str">
        <f t="shared" si="1"/>
        <v>#REF!</v>
      </c>
    </row>
    <row r="1210">
      <c r="A1210" t="s">
        <v>6196</v>
      </c>
      <c r="B1210" s="254">
        <v>7990.0</v>
      </c>
      <c r="C1210" s="256">
        <v>1.0</v>
      </c>
      <c r="D1210" t="str">
        <f t="shared" si="7"/>
        <v>#REF!</v>
      </c>
      <c r="E1210" t="str">
        <f t="shared" si="1"/>
        <v>#REF!</v>
      </c>
    </row>
    <row r="1211">
      <c r="A1211" t="s">
        <v>6197</v>
      </c>
      <c r="B1211" s="254">
        <v>6990.0</v>
      </c>
      <c r="C1211" s="256">
        <v>1.0</v>
      </c>
      <c r="D1211" t="str">
        <f t="shared" si="7"/>
        <v>#REF!</v>
      </c>
      <c r="E1211" t="str">
        <f t="shared" si="1"/>
        <v>#REF!</v>
      </c>
    </row>
    <row r="1212">
      <c r="A1212" t="s">
        <v>11884</v>
      </c>
      <c r="B1212" s="254">
        <v>7490.0</v>
      </c>
      <c r="C1212" s="256">
        <v>0.0</v>
      </c>
      <c r="D1212" t="str">
        <f t="shared" si="7"/>
        <v>#REF!</v>
      </c>
      <c r="E1212" t="str">
        <f t="shared" si="1"/>
        <v>#REF!</v>
      </c>
    </row>
    <row r="1213">
      <c r="A1213" t="s">
        <v>11885</v>
      </c>
      <c r="B1213" s="254">
        <v>6590.0</v>
      </c>
      <c r="C1213" s="256">
        <v>0.0</v>
      </c>
      <c r="D1213" t="str">
        <f t="shared" si="7"/>
        <v>#REF!</v>
      </c>
      <c r="E1213" t="str">
        <f t="shared" si="1"/>
        <v>#REF!</v>
      </c>
    </row>
    <row r="1214">
      <c r="A1214" t="s">
        <v>6198</v>
      </c>
      <c r="B1214" s="254"/>
      <c r="C1214" s="256">
        <v>1.0</v>
      </c>
      <c r="D1214" t="str">
        <f t="shared" si="7"/>
        <v>#REF!</v>
      </c>
      <c r="E1214" t="str">
        <f t="shared" si="1"/>
        <v>#REF!</v>
      </c>
    </row>
    <row r="1215">
      <c r="A1215" t="s">
        <v>6199</v>
      </c>
      <c r="B1215" s="254">
        <v>7490.0</v>
      </c>
      <c r="C1215" s="256">
        <v>1.0</v>
      </c>
      <c r="D1215" t="str">
        <f t="shared" si="7"/>
        <v>#REF!</v>
      </c>
      <c r="E1215" t="str">
        <f t="shared" si="1"/>
        <v>#REF!</v>
      </c>
    </row>
    <row r="1216">
      <c r="A1216" t="s">
        <v>11886</v>
      </c>
      <c r="B1216" s="254">
        <v>7490.0</v>
      </c>
      <c r="C1216" s="256">
        <v>0.0</v>
      </c>
      <c r="D1216" t="str">
        <f t="shared" si="7"/>
        <v>#REF!</v>
      </c>
      <c r="E1216" t="str">
        <f t="shared" si="1"/>
        <v>#REF!</v>
      </c>
    </row>
    <row r="1217">
      <c r="A1217" t="s">
        <v>6200</v>
      </c>
      <c r="B1217" s="254"/>
      <c r="C1217" s="256">
        <v>1.0</v>
      </c>
      <c r="D1217" t="str">
        <f t="shared" si="7"/>
        <v>#REF!</v>
      </c>
      <c r="E1217" t="str">
        <f t="shared" si="1"/>
        <v>#REF!</v>
      </c>
    </row>
    <row r="1218">
      <c r="A1218" t="s">
        <v>5150</v>
      </c>
      <c r="B1218" s="254">
        <v>8990.0</v>
      </c>
      <c r="C1218" s="256">
        <v>1.0</v>
      </c>
      <c r="D1218" t="str">
        <f t="shared" si="7"/>
        <v>#REF!</v>
      </c>
      <c r="E1218" t="str">
        <f t="shared" si="1"/>
        <v>#REF!</v>
      </c>
    </row>
    <row r="1219">
      <c r="A1219" t="s">
        <v>11887</v>
      </c>
      <c r="B1219" s="254">
        <v>8890.0</v>
      </c>
      <c r="C1219" s="287">
        <v>0.0</v>
      </c>
      <c r="D1219" t="str">
        <f t="shared" si="7"/>
        <v>#REF!</v>
      </c>
      <c r="E1219" t="str">
        <f t="shared" si="1"/>
        <v>#REF!</v>
      </c>
    </row>
    <row r="1220">
      <c r="A1220" t="s">
        <v>1871</v>
      </c>
      <c r="B1220" s="254">
        <v>7990.0</v>
      </c>
      <c r="C1220" s="256">
        <v>1.0</v>
      </c>
      <c r="D1220" t="str">
        <f t="shared" si="7"/>
        <v>#REF!</v>
      </c>
      <c r="E1220" t="str">
        <f t="shared" si="1"/>
        <v>#REF!</v>
      </c>
    </row>
    <row r="1221">
      <c r="A1221" t="s">
        <v>10116</v>
      </c>
      <c r="B1221" s="254">
        <v>7990.0</v>
      </c>
      <c r="C1221" s="256">
        <v>0.0</v>
      </c>
      <c r="D1221" s="3">
        <v>0.0</v>
      </c>
      <c r="E1221" t="b">
        <f t="shared" si="1"/>
        <v>1</v>
      </c>
    </row>
    <row r="1222">
      <c r="A1222" t="s">
        <v>6494</v>
      </c>
      <c r="B1222" s="254">
        <v>6490.0</v>
      </c>
      <c r="C1222" s="254">
        <v>1.0</v>
      </c>
      <c r="D1222" t="str">
        <f t="shared" ref="D1222:D1223" si="8">VLOOKUP(A1222,PIVOT!$A$4:$F$1900,6,0)</f>
        <v>#REF!</v>
      </c>
      <c r="E1222" t="str">
        <f t="shared" si="1"/>
        <v>#REF!</v>
      </c>
    </row>
    <row r="1223">
      <c r="A1223" t="s">
        <v>1878</v>
      </c>
      <c r="B1223" s="254">
        <v>8990.0</v>
      </c>
      <c r="C1223" s="254">
        <v>3.0</v>
      </c>
      <c r="D1223" t="str">
        <f t="shared" si="8"/>
        <v>#REF!</v>
      </c>
      <c r="E1223" t="str">
        <f t="shared" si="1"/>
        <v>#REF!</v>
      </c>
    </row>
    <row r="1224">
      <c r="A1224" t="s">
        <v>9082</v>
      </c>
      <c r="B1224" s="254">
        <v>6790.0</v>
      </c>
      <c r="C1224" s="256">
        <v>0.0</v>
      </c>
      <c r="D1224" s="3">
        <v>0.0</v>
      </c>
      <c r="E1224" t="b">
        <f t="shared" si="1"/>
        <v>1</v>
      </c>
    </row>
    <row r="1225">
      <c r="A1225" t="s">
        <v>11888</v>
      </c>
      <c r="B1225" s="254">
        <v>7690.0</v>
      </c>
      <c r="C1225" s="287">
        <v>0.0</v>
      </c>
      <c r="D1225" s="3">
        <v>0.0</v>
      </c>
      <c r="E1225" t="b">
        <f t="shared" si="1"/>
        <v>1</v>
      </c>
    </row>
    <row r="1226">
      <c r="A1226" t="s">
        <v>5152</v>
      </c>
      <c r="B1226" s="254">
        <v>8490.0</v>
      </c>
      <c r="C1226" s="256">
        <v>1.0</v>
      </c>
      <c r="D1226" t="str">
        <f t="shared" ref="D1226:D1227" si="9">VLOOKUP(A1226,PIVOT!$A$4:$F$1900,6,0)</f>
        <v>#REF!</v>
      </c>
      <c r="E1226" t="str">
        <f t="shared" si="1"/>
        <v>#REF!</v>
      </c>
    </row>
    <row r="1227">
      <c r="A1227" t="s">
        <v>6201</v>
      </c>
      <c r="B1227" s="254"/>
      <c r="C1227" s="291">
        <v>1.0</v>
      </c>
      <c r="D1227" t="str">
        <f t="shared" si="9"/>
        <v>#REF!</v>
      </c>
      <c r="E1227" t="str">
        <f t="shared" si="1"/>
        <v>#REF!</v>
      </c>
    </row>
    <row r="1228">
      <c r="A1228" t="s">
        <v>11889</v>
      </c>
      <c r="B1228" s="254">
        <v>6990.0</v>
      </c>
      <c r="C1228" s="256">
        <v>0.0</v>
      </c>
      <c r="D1228" s="3">
        <v>0.0</v>
      </c>
      <c r="E1228" t="b">
        <f t="shared" si="1"/>
        <v>1</v>
      </c>
    </row>
    <row r="1229">
      <c r="A1229" t="s">
        <v>11890</v>
      </c>
      <c r="B1229" s="254">
        <v>7490.0</v>
      </c>
      <c r="C1229" s="256">
        <v>0.0</v>
      </c>
      <c r="D1229" s="3">
        <v>0.0</v>
      </c>
      <c r="E1229" t="b">
        <f t="shared" si="1"/>
        <v>1</v>
      </c>
    </row>
    <row r="1230">
      <c r="A1230" t="s">
        <v>10117</v>
      </c>
      <c r="B1230" s="254">
        <v>7790.0</v>
      </c>
      <c r="C1230" s="256">
        <v>0.0</v>
      </c>
      <c r="D1230" s="3">
        <v>0.0</v>
      </c>
      <c r="E1230" t="b">
        <f t="shared" si="1"/>
        <v>1</v>
      </c>
    </row>
    <row r="1231">
      <c r="A1231" t="s">
        <v>1880</v>
      </c>
      <c r="B1231" s="254">
        <v>7790.0</v>
      </c>
      <c r="C1231" s="256">
        <v>1.0</v>
      </c>
      <c r="D1231" t="str">
        <f>VLOOKUP(A1231,PIVOT!$A$4:$F$1900,6,0)</f>
        <v>#REF!</v>
      </c>
      <c r="E1231" t="str">
        <f t="shared" si="1"/>
        <v>#REF!</v>
      </c>
    </row>
    <row r="1232">
      <c r="A1232" t="s">
        <v>1882</v>
      </c>
      <c r="B1232" s="254">
        <v>8590.0</v>
      </c>
      <c r="C1232" s="287">
        <v>0.0</v>
      </c>
      <c r="D1232" s="3">
        <v>0.0</v>
      </c>
      <c r="E1232" t="b">
        <f t="shared" si="1"/>
        <v>1</v>
      </c>
    </row>
    <row r="1233">
      <c r="A1233" t="s">
        <v>11891</v>
      </c>
      <c r="B1233" s="254">
        <v>6990.0</v>
      </c>
      <c r="C1233" s="256">
        <v>0.0</v>
      </c>
      <c r="D1233" s="3">
        <v>0.0</v>
      </c>
      <c r="E1233" t="b">
        <f t="shared" si="1"/>
        <v>1</v>
      </c>
    </row>
    <row r="1234">
      <c r="A1234" t="s">
        <v>10120</v>
      </c>
      <c r="B1234" s="254">
        <v>6990.0</v>
      </c>
      <c r="C1234" s="256">
        <v>0.0</v>
      </c>
      <c r="D1234" s="3">
        <v>0.0</v>
      </c>
      <c r="E1234" t="b">
        <f t="shared" si="1"/>
        <v>1</v>
      </c>
    </row>
    <row r="1235">
      <c r="A1235" t="s">
        <v>1883</v>
      </c>
      <c r="B1235" s="254">
        <v>6990.0</v>
      </c>
      <c r="C1235" s="256">
        <v>1.0</v>
      </c>
      <c r="D1235" t="str">
        <f>VLOOKUP(A1235,PIVOT!$A$4:$F$1900,6,0)</f>
        <v>#REF!</v>
      </c>
      <c r="E1235" t="str">
        <f t="shared" si="1"/>
        <v>#REF!</v>
      </c>
    </row>
    <row r="1236">
      <c r="A1236" t="s">
        <v>10119</v>
      </c>
      <c r="B1236" s="254">
        <v>7490.0</v>
      </c>
      <c r="C1236" s="256">
        <v>0.0</v>
      </c>
      <c r="D1236" s="3">
        <v>0.0</v>
      </c>
      <c r="E1236" t="b">
        <f t="shared" si="1"/>
        <v>1</v>
      </c>
    </row>
    <row r="1237">
      <c r="A1237" t="s">
        <v>5157</v>
      </c>
      <c r="B1237" s="254">
        <v>7490.0</v>
      </c>
      <c r="C1237" s="256">
        <v>1.0</v>
      </c>
      <c r="D1237" t="str">
        <f t="shared" ref="D1237:D1240" si="10">VLOOKUP(A1237,PIVOT!$A$4:$F$1900,6,0)</f>
        <v>#REF!</v>
      </c>
      <c r="E1237" t="str">
        <f t="shared" si="1"/>
        <v>#REF!</v>
      </c>
    </row>
    <row r="1238">
      <c r="A1238" t="s">
        <v>5156</v>
      </c>
      <c r="B1238" s="254">
        <v>6990.0</v>
      </c>
      <c r="C1238" s="256">
        <v>0.0</v>
      </c>
      <c r="D1238" t="str">
        <f t="shared" si="10"/>
        <v>#REF!</v>
      </c>
      <c r="E1238" t="str">
        <f t="shared" si="1"/>
        <v>#REF!</v>
      </c>
    </row>
    <row r="1239">
      <c r="A1239" t="s">
        <v>5154</v>
      </c>
      <c r="B1239" s="254">
        <v>7790.0</v>
      </c>
      <c r="C1239" s="256">
        <v>1.0</v>
      </c>
      <c r="D1239" t="str">
        <f t="shared" si="10"/>
        <v>#REF!</v>
      </c>
      <c r="E1239" t="str">
        <f t="shared" si="1"/>
        <v>#REF!</v>
      </c>
    </row>
    <row r="1240">
      <c r="A1240" t="s">
        <v>6670</v>
      </c>
      <c r="B1240" s="254">
        <v>7790.0</v>
      </c>
      <c r="C1240" s="256">
        <v>0.0</v>
      </c>
      <c r="D1240" t="str">
        <f t="shared" si="10"/>
        <v>#REF!</v>
      </c>
      <c r="E1240" t="str">
        <f t="shared" si="1"/>
        <v>#REF!</v>
      </c>
    </row>
    <row r="1241">
      <c r="A1241" t="s">
        <v>11420</v>
      </c>
      <c r="B1241" s="254"/>
      <c r="C1241" s="256">
        <v>0.0</v>
      </c>
      <c r="D1241" s="3">
        <v>0.0</v>
      </c>
      <c r="E1241" t="b">
        <f t="shared" si="1"/>
        <v>1</v>
      </c>
    </row>
    <row r="1242">
      <c r="A1242" t="s">
        <v>6671</v>
      </c>
      <c r="B1242" s="254">
        <v>5790.0</v>
      </c>
      <c r="C1242" s="256">
        <v>0.0</v>
      </c>
      <c r="D1242" t="str">
        <f>VLOOKUP(A1242,PIVOT!$A$4:$F$1900,6,0)</f>
        <v>#REF!</v>
      </c>
      <c r="E1242" t="str">
        <f t="shared" si="1"/>
        <v>#REF!</v>
      </c>
    </row>
    <row r="1243">
      <c r="A1243" t="s">
        <v>10124</v>
      </c>
      <c r="B1243" s="254">
        <v>5790.0</v>
      </c>
      <c r="C1243" s="256">
        <v>0.0</v>
      </c>
      <c r="D1243" s="3">
        <v>0.0</v>
      </c>
      <c r="E1243" t="b">
        <f t="shared" si="1"/>
        <v>1</v>
      </c>
    </row>
    <row r="1244">
      <c r="A1244" t="s">
        <v>11892</v>
      </c>
      <c r="B1244" s="254">
        <v>6490.0</v>
      </c>
      <c r="C1244" s="256">
        <v>0.0</v>
      </c>
      <c r="D1244" s="3">
        <v>0.0</v>
      </c>
      <c r="E1244" t="b">
        <f t="shared" si="1"/>
        <v>1</v>
      </c>
    </row>
    <row r="1245">
      <c r="A1245" t="s">
        <v>6673</v>
      </c>
      <c r="B1245" s="254">
        <v>6490.0</v>
      </c>
      <c r="C1245" s="256">
        <v>0.0</v>
      </c>
      <c r="D1245" t="str">
        <f t="shared" ref="D1245:D1246" si="11">VLOOKUP(A1245,PIVOT!$A$4:$F$1900,6,0)</f>
        <v>#REF!</v>
      </c>
      <c r="E1245" t="str">
        <f t="shared" si="1"/>
        <v>#REF!</v>
      </c>
    </row>
    <row r="1246">
      <c r="A1246" t="s">
        <v>5162</v>
      </c>
      <c r="B1246" s="254">
        <v>8490.0</v>
      </c>
      <c r="C1246" s="256">
        <v>1.0</v>
      </c>
      <c r="D1246" t="str">
        <f t="shared" si="11"/>
        <v>#REF!</v>
      </c>
      <c r="E1246" t="str">
        <f t="shared" si="1"/>
        <v>#REF!</v>
      </c>
    </row>
    <row r="1247">
      <c r="A1247" t="s">
        <v>11893</v>
      </c>
      <c r="B1247" s="254">
        <v>8490.0</v>
      </c>
      <c r="C1247" s="256">
        <v>0.0</v>
      </c>
      <c r="D1247" s="3">
        <v>0.0</v>
      </c>
      <c r="E1247" t="b">
        <f t="shared" si="1"/>
        <v>1</v>
      </c>
    </row>
    <row r="1248">
      <c r="A1248" t="s">
        <v>10171</v>
      </c>
      <c r="B1248" s="254">
        <v>8990.0</v>
      </c>
      <c r="C1248" s="256">
        <v>0.0</v>
      </c>
      <c r="D1248" s="3">
        <v>0.0</v>
      </c>
      <c r="E1248" t="b">
        <f t="shared" si="1"/>
        <v>1</v>
      </c>
    </row>
    <row r="1249">
      <c r="A1249" t="s">
        <v>11421</v>
      </c>
      <c r="B1249" s="254">
        <v>10790.0</v>
      </c>
      <c r="C1249" s="256">
        <v>0.0</v>
      </c>
      <c r="D1249" s="3">
        <v>0.0</v>
      </c>
      <c r="E1249" t="b">
        <f t="shared" si="1"/>
        <v>1</v>
      </c>
    </row>
    <row r="1250">
      <c r="A1250" t="s">
        <v>11894</v>
      </c>
      <c r="B1250" s="254">
        <v>8990.0</v>
      </c>
      <c r="C1250" s="256">
        <v>0.0</v>
      </c>
      <c r="D1250" s="3">
        <v>0.0</v>
      </c>
      <c r="E1250" t="b">
        <f t="shared" si="1"/>
        <v>1</v>
      </c>
    </row>
    <row r="1251">
      <c r="A1251" t="s">
        <v>11895</v>
      </c>
      <c r="B1251" s="254">
        <v>10490.0</v>
      </c>
      <c r="C1251" s="256">
        <v>0.0</v>
      </c>
      <c r="D1251" s="3">
        <v>0.0</v>
      </c>
      <c r="E1251" t="b">
        <f t="shared" si="1"/>
        <v>1</v>
      </c>
    </row>
    <row r="1252">
      <c r="A1252" t="s">
        <v>11896</v>
      </c>
      <c r="B1252" s="254">
        <v>9490.0</v>
      </c>
      <c r="C1252" s="256">
        <v>0.0</v>
      </c>
      <c r="D1252" s="3">
        <v>0.0</v>
      </c>
      <c r="E1252" t="b">
        <f t="shared" si="1"/>
        <v>1</v>
      </c>
    </row>
    <row r="1253">
      <c r="A1253" t="s">
        <v>11897</v>
      </c>
      <c r="B1253" s="254">
        <v>9490.0</v>
      </c>
      <c r="C1253" s="256">
        <v>0.0</v>
      </c>
      <c r="D1253" s="3">
        <v>0.0</v>
      </c>
      <c r="E1253" t="b">
        <f t="shared" si="1"/>
        <v>1</v>
      </c>
    </row>
    <row r="1254">
      <c r="A1254" t="s">
        <v>10126</v>
      </c>
      <c r="B1254" s="254">
        <v>6990.0</v>
      </c>
      <c r="C1254" s="256">
        <v>0.0</v>
      </c>
      <c r="D1254" s="3">
        <v>0.0</v>
      </c>
      <c r="E1254" t="b">
        <f t="shared" si="1"/>
        <v>1</v>
      </c>
    </row>
    <row r="1255">
      <c r="A1255" t="s">
        <v>10127</v>
      </c>
      <c r="B1255" s="254">
        <v>7590.0</v>
      </c>
      <c r="C1255" s="256">
        <v>0.0</v>
      </c>
      <c r="D1255" s="3">
        <v>0.0</v>
      </c>
      <c r="E1255" t="b">
        <f t="shared" si="1"/>
        <v>1</v>
      </c>
    </row>
    <row r="1256">
      <c r="A1256" t="s">
        <v>11898</v>
      </c>
      <c r="B1256" s="254">
        <v>8490.0</v>
      </c>
      <c r="C1256" s="256">
        <v>0.0</v>
      </c>
      <c r="D1256" s="3">
        <v>0.0</v>
      </c>
      <c r="E1256" t="b">
        <f t="shared" si="1"/>
        <v>1</v>
      </c>
    </row>
    <row r="1257">
      <c r="A1257" t="s">
        <v>11899</v>
      </c>
      <c r="B1257" s="254">
        <v>7790.0</v>
      </c>
      <c r="C1257" s="256">
        <v>0.0</v>
      </c>
      <c r="D1257" s="3">
        <v>0.0</v>
      </c>
      <c r="E1257" t="b">
        <f t="shared" si="1"/>
        <v>1</v>
      </c>
    </row>
    <row r="1258">
      <c r="A1258" t="s">
        <v>11900</v>
      </c>
      <c r="B1258" s="254">
        <v>7590.0</v>
      </c>
      <c r="C1258" s="256">
        <v>0.0</v>
      </c>
      <c r="D1258" s="3">
        <v>0.0</v>
      </c>
      <c r="E1258" t="b">
        <f t="shared" si="1"/>
        <v>1</v>
      </c>
    </row>
    <row r="1259">
      <c r="A1259" t="s">
        <v>5160</v>
      </c>
      <c r="B1259" s="254">
        <v>6490.0</v>
      </c>
      <c r="C1259" s="256">
        <v>0.0</v>
      </c>
      <c r="D1259" t="str">
        <f>VLOOKUP(A1259,PIVOT!$A$4:$F$1900,6,0)</f>
        <v>#REF!</v>
      </c>
      <c r="E1259" t="str">
        <f t="shared" si="1"/>
        <v>#REF!</v>
      </c>
    </row>
    <row r="1260">
      <c r="A1260" t="s">
        <v>11901</v>
      </c>
      <c r="B1260" s="254">
        <v>6490.0</v>
      </c>
      <c r="C1260" s="256">
        <v>0.0</v>
      </c>
      <c r="D1260" s="3">
        <v>0.0</v>
      </c>
      <c r="E1260" t="b">
        <f t="shared" si="1"/>
        <v>1</v>
      </c>
    </row>
    <row r="1261">
      <c r="A1261" t="s">
        <v>6591</v>
      </c>
      <c r="B1261" s="254">
        <v>5790.0</v>
      </c>
      <c r="C1261" s="256">
        <v>0.0</v>
      </c>
      <c r="D1261" t="str">
        <f>VLOOKUP(A1261,PIVOT!$A$4:$F$1900,6,0)</f>
        <v>#REF!</v>
      </c>
      <c r="E1261" t="str">
        <f t="shared" si="1"/>
        <v>#REF!</v>
      </c>
    </row>
    <row r="1262">
      <c r="A1262" t="s">
        <v>11902</v>
      </c>
      <c r="B1262" s="254">
        <v>5990.0</v>
      </c>
      <c r="C1262" s="256">
        <v>0.0</v>
      </c>
      <c r="D1262" s="3">
        <v>0.0</v>
      </c>
      <c r="E1262" t="b">
        <f t="shared" si="1"/>
        <v>1</v>
      </c>
    </row>
    <row r="1263">
      <c r="A1263" t="s">
        <v>6496</v>
      </c>
      <c r="B1263" s="254">
        <v>6490.0</v>
      </c>
      <c r="C1263" s="256">
        <v>0.0</v>
      </c>
      <c r="D1263" t="str">
        <f t="shared" ref="D1263:D1264" si="12">VLOOKUP(A1263,PIVOT!$A$4:$F$1900,6,0)</f>
        <v>#REF!</v>
      </c>
      <c r="E1263" t="str">
        <f t="shared" si="1"/>
        <v>#REF!</v>
      </c>
    </row>
    <row r="1264">
      <c r="A1264" t="s">
        <v>6202</v>
      </c>
      <c r="B1264" s="254"/>
      <c r="C1264" s="256">
        <v>1.0</v>
      </c>
      <c r="D1264" t="str">
        <f t="shared" si="12"/>
        <v>#REF!</v>
      </c>
      <c r="E1264" t="str">
        <f t="shared" si="1"/>
        <v>#REF!</v>
      </c>
    </row>
    <row r="1265">
      <c r="A1265" t="s">
        <v>11903</v>
      </c>
      <c r="B1265" s="254">
        <v>4990.0</v>
      </c>
      <c r="C1265" s="256">
        <v>0.0</v>
      </c>
      <c r="D1265" s="3">
        <v>0.0</v>
      </c>
      <c r="E1265" t="b">
        <f t="shared" si="1"/>
        <v>1</v>
      </c>
    </row>
    <row r="1266">
      <c r="A1266" t="s">
        <v>6203</v>
      </c>
      <c r="B1266" s="254">
        <v>7990.0</v>
      </c>
      <c r="C1266" s="256">
        <v>1.0</v>
      </c>
      <c r="D1266" t="str">
        <f t="shared" ref="D1266:D1267" si="13">VLOOKUP(A1266,PIVOT!$A$4:$F$1900,6,0)</f>
        <v>#REF!</v>
      </c>
      <c r="E1266" t="str">
        <f t="shared" si="1"/>
        <v>#REF!</v>
      </c>
    </row>
    <row r="1267">
      <c r="A1267" t="s">
        <v>5159</v>
      </c>
      <c r="B1267" s="254">
        <v>4490.0</v>
      </c>
      <c r="C1267" s="256">
        <v>0.0</v>
      </c>
      <c r="D1267" t="str">
        <f t="shared" si="13"/>
        <v>#REF!</v>
      </c>
      <c r="E1267" t="str">
        <f t="shared" si="1"/>
        <v>#REF!</v>
      </c>
    </row>
    <row r="1268">
      <c r="A1268" t="s">
        <v>11904</v>
      </c>
      <c r="B1268" s="254">
        <v>4490.0</v>
      </c>
      <c r="C1268" s="256">
        <v>0.0</v>
      </c>
      <c r="D1268" s="3">
        <v>0.0</v>
      </c>
      <c r="E1268" t="b">
        <f t="shared" si="1"/>
        <v>1</v>
      </c>
    </row>
    <row r="1269">
      <c r="A1269" t="s">
        <v>11905</v>
      </c>
      <c r="B1269" s="254">
        <v>8790.0</v>
      </c>
      <c r="C1269" s="256">
        <v>0.0</v>
      </c>
      <c r="D1269" s="3">
        <v>0.0</v>
      </c>
      <c r="E1269" t="b">
        <f t="shared" si="1"/>
        <v>1</v>
      </c>
    </row>
    <row r="1270">
      <c r="A1270" t="s">
        <v>11906</v>
      </c>
      <c r="B1270" s="254">
        <v>5290.0</v>
      </c>
      <c r="C1270" s="256">
        <v>0.0</v>
      </c>
      <c r="D1270" s="3">
        <v>0.0</v>
      </c>
      <c r="E1270" t="b">
        <f t="shared" si="1"/>
        <v>1</v>
      </c>
    </row>
    <row r="1271">
      <c r="A1271" t="s">
        <v>11907</v>
      </c>
      <c r="B1271" s="254">
        <v>4490.0</v>
      </c>
      <c r="C1271" s="256">
        <v>0.0</v>
      </c>
      <c r="D1271" s="3">
        <v>0.0</v>
      </c>
      <c r="E1271" t="b">
        <f t="shared" si="1"/>
        <v>1</v>
      </c>
    </row>
    <row r="1272">
      <c r="A1272" t="s">
        <v>11908</v>
      </c>
      <c r="B1272" s="254">
        <v>4490.0</v>
      </c>
      <c r="C1272" s="256">
        <v>0.0</v>
      </c>
      <c r="D1272" s="3">
        <v>0.0</v>
      </c>
      <c r="E1272" t="b">
        <f t="shared" si="1"/>
        <v>1</v>
      </c>
    </row>
    <row r="1273">
      <c r="A1273" t="s">
        <v>11909</v>
      </c>
      <c r="B1273" s="254">
        <v>9490.0</v>
      </c>
      <c r="C1273" s="256">
        <v>0.0</v>
      </c>
      <c r="D1273" s="3">
        <v>0.0</v>
      </c>
      <c r="E1273" t="b">
        <f t="shared" si="1"/>
        <v>1</v>
      </c>
    </row>
    <row r="1274">
      <c r="A1274" t="s">
        <v>11910</v>
      </c>
      <c r="B1274" s="254">
        <v>9490.0</v>
      </c>
      <c r="C1274" s="256">
        <v>0.0</v>
      </c>
      <c r="D1274" s="3">
        <v>0.0</v>
      </c>
      <c r="E1274" t="b">
        <f t="shared" si="1"/>
        <v>1</v>
      </c>
    </row>
    <row r="1275">
      <c r="A1275" t="s">
        <v>11911</v>
      </c>
      <c r="B1275" s="254">
        <v>10790.0</v>
      </c>
      <c r="C1275" s="256">
        <v>0.0</v>
      </c>
      <c r="D1275" s="3">
        <v>0.0</v>
      </c>
      <c r="E1275" t="b">
        <f t="shared" si="1"/>
        <v>1</v>
      </c>
    </row>
    <row r="1276">
      <c r="A1276" t="s">
        <v>11912</v>
      </c>
      <c r="B1276" s="254">
        <v>4490.0</v>
      </c>
      <c r="C1276" s="256">
        <v>0.0</v>
      </c>
      <c r="D1276" s="3">
        <v>0.0</v>
      </c>
      <c r="E1276" t="b">
        <f t="shared" si="1"/>
        <v>1</v>
      </c>
    </row>
    <row r="1277">
      <c r="A1277" t="s">
        <v>11913</v>
      </c>
      <c r="B1277" s="254">
        <v>5290.0</v>
      </c>
      <c r="C1277" s="256">
        <v>0.0</v>
      </c>
      <c r="D1277" s="3">
        <v>0.0</v>
      </c>
      <c r="E1277" t="b">
        <f t="shared" si="1"/>
        <v>1</v>
      </c>
    </row>
    <row r="1278">
      <c r="A1278" t="s">
        <v>11914</v>
      </c>
      <c r="B1278" s="254">
        <v>4490.0</v>
      </c>
      <c r="C1278" s="256">
        <v>0.0</v>
      </c>
      <c r="D1278" s="3">
        <v>0.0</v>
      </c>
      <c r="E1278" t="b">
        <f t="shared" si="1"/>
        <v>1</v>
      </c>
    </row>
    <row r="1279">
      <c r="A1279" t="s">
        <v>11915</v>
      </c>
      <c r="B1279" s="254">
        <v>4490.0</v>
      </c>
      <c r="C1279" s="256">
        <v>0.0</v>
      </c>
      <c r="D1279" s="3">
        <v>0.0</v>
      </c>
      <c r="E1279" t="b">
        <f t="shared" si="1"/>
        <v>1</v>
      </c>
    </row>
    <row r="1280">
      <c r="A1280" t="s">
        <v>11916</v>
      </c>
      <c r="B1280" s="254">
        <v>4490.0</v>
      </c>
      <c r="C1280" s="256">
        <v>0.0</v>
      </c>
      <c r="D1280" s="3">
        <v>0.0</v>
      </c>
      <c r="E1280" t="b">
        <f t="shared" si="1"/>
        <v>1</v>
      </c>
    </row>
    <row r="1281">
      <c r="A1281" t="s">
        <v>6204</v>
      </c>
      <c r="B1281" s="254">
        <v>6290.0</v>
      </c>
      <c r="C1281" s="256">
        <v>1.0</v>
      </c>
      <c r="D1281" t="str">
        <f t="shared" ref="D1281:D1282" si="14">VLOOKUP(A1281,PIVOT!$A$4:$F$1900,6,0)</f>
        <v>#REF!</v>
      </c>
      <c r="E1281" t="str">
        <f t="shared" si="1"/>
        <v>#REF!</v>
      </c>
    </row>
    <row r="1282">
      <c r="A1282" t="s">
        <v>6206</v>
      </c>
      <c r="B1282" s="254">
        <v>6490.0</v>
      </c>
      <c r="C1282" s="256">
        <v>1.0</v>
      </c>
      <c r="D1282" t="str">
        <f t="shared" si="14"/>
        <v>#REF!</v>
      </c>
      <c r="E1282" t="str">
        <f t="shared" si="1"/>
        <v>#REF!</v>
      </c>
    </row>
    <row r="1283">
      <c r="A1283" t="s">
        <v>11917</v>
      </c>
      <c r="B1283" s="254">
        <v>6490.0</v>
      </c>
      <c r="C1283" s="256">
        <v>0.0</v>
      </c>
      <c r="D1283" s="3">
        <v>0.0</v>
      </c>
      <c r="E1283" t="b">
        <f t="shared" si="1"/>
        <v>1</v>
      </c>
    </row>
    <row r="1284">
      <c r="A1284" t="s">
        <v>11918</v>
      </c>
      <c r="B1284" s="254">
        <v>6490.0</v>
      </c>
      <c r="C1284" s="256">
        <v>0.0</v>
      </c>
      <c r="D1284" s="3">
        <v>0.0</v>
      </c>
      <c r="E1284" t="b">
        <f t="shared" si="1"/>
        <v>1</v>
      </c>
    </row>
    <row r="1285">
      <c r="A1285" t="s">
        <v>11919</v>
      </c>
      <c r="B1285" s="254">
        <v>5690.0</v>
      </c>
      <c r="C1285" s="256">
        <v>0.0</v>
      </c>
      <c r="D1285" s="3">
        <v>0.0</v>
      </c>
      <c r="E1285" t="b">
        <f t="shared" si="1"/>
        <v>1</v>
      </c>
      <c r="G1285" s="3"/>
    </row>
    <row r="1286">
      <c r="A1286" t="s">
        <v>11920</v>
      </c>
      <c r="B1286" s="254">
        <v>6290.0</v>
      </c>
      <c r="C1286" s="256">
        <v>0.0</v>
      </c>
      <c r="D1286" s="3">
        <v>0.0</v>
      </c>
      <c r="E1286" t="b">
        <f t="shared" si="1"/>
        <v>1</v>
      </c>
    </row>
    <row r="1287">
      <c r="A1287" t="s">
        <v>1884</v>
      </c>
      <c r="B1287" s="254">
        <v>6290.0</v>
      </c>
      <c r="C1287" s="256">
        <v>0.0</v>
      </c>
      <c r="D1287" s="3">
        <v>0.0</v>
      </c>
      <c r="E1287" t="b">
        <f t="shared" si="1"/>
        <v>1</v>
      </c>
    </row>
    <row r="1288">
      <c r="A1288" t="s">
        <v>11921</v>
      </c>
      <c r="B1288" s="254">
        <v>6290.0</v>
      </c>
      <c r="C1288" s="256">
        <v>0.0</v>
      </c>
      <c r="D1288" s="3">
        <v>0.0</v>
      </c>
      <c r="E1288" t="b">
        <f t="shared" si="1"/>
        <v>1</v>
      </c>
    </row>
    <row r="1289">
      <c r="A1289" t="s">
        <v>11922</v>
      </c>
      <c r="B1289" s="254">
        <v>6290.0</v>
      </c>
      <c r="C1289" s="256">
        <v>0.0</v>
      </c>
      <c r="D1289" s="3">
        <v>0.0</v>
      </c>
      <c r="E1289" t="b">
        <f t="shared" si="1"/>
        <v>1</v>
      </c>
    </row>
    <row r="1290">
      <c r="A1290" t="s">
        <v>11923</v>
      </c>
      <c r="B1290" s="254">
        <v>5990.0</v>
      </c>
      <c r="C1290" s="256">
        <v>0.0</v>
      </c>
      <c r="D1290" s="3">
        <v>0.0</v>
      </c>
      <c r="E1290" t="b">
        <f t="shared" si="1"/>
        <v>1</v>
      </c>
    </row>
    <row r="1291">
      <c r="A1291" t="s">
        <v>11924</v>
      </c>
      <c r="B1291" s="254">
        <v>7290.0</v>
      </c>
      <c r="C1291" s="256">
        <v>0.0</v>
      </c>
      <c r="D1291" s="3">
        <v>0.0</v>
      </c>
      <c r="E1291" t="b">
        <f t="shared" si="1"/>
        <v>1</v>
      </c>
    </row>
    <row r="1292">
      <c r="A1292" t="s">
        <v>5163</v>
      </c>
      <c r="B1292" s="254">
        <v>4400.0</v>
      </c>
      <c r="C1292" s="256">
        <v>0.0</v>
      </c>
      <c r="D1292" t="str">
        <f>VLOOKUP(A1292,PIVOT!$A$4:$F$1900,6,0)</f>
        <v>#REF!</v>
      </c>
      <c r="E1292" t="str">
        <f t="shared" si="1"/>
        <v>#REF!</v>
      </c>
    </row>
    <row r="1293">
      <c r="A1293" t="s">
        <v>11925</v>
      </c>
      <c r="B1293" s="254">
        <v>10490.0</v>
      </c>
      <c r="C1293" s="256">
        <v>0.0</v>
      </c>
      <c r="D1293" s="3">
        <v>0.0</v>
      </c>
      <c r="E1293" t="b">
        <f t="shared" si="1"/>
        <v>1</v>
      </c>
    </row>
    <row r="1294">
      <c r="A1294" t="s">
        <v>11926</v>
      </c>
      <c r="B1294" s="254">
        <v>9790.0</v>
      </c>
      <c r="C1294" s="256">
        <v>0.0</v>
      </c>
      <c r="D1294" s="3">
        <v>0.0</v>
      </c>
      <c r="E1294" t="b">
        <f t="shared" si="1"/>
        <v>1</v>
      </c>
    </row>
    <row r="1295">
      <c r="A1295" t="s">
        <v>11927</v>
      </c>
      <c r="B1295" s="254">
        <v>10290.0</v>
      </c>
      <c r="C1295" s="256">
        <v>0.0</v>
      </c>
      <c r="D1295" s="3">
        <v>0.0</v>
      </c>
      <c r="E1295" t="b">
        <f t="shared" si="1"/>
        <v>1</v>
      </c>
    </row>
    <row r="1296">
      <c r="A1296" t="s">
        <v>11928</v>
      </c>
      <c r="B1296" s="254">
        <v>10290.0</v>
      </c>
      <c r="C1296" s="256">
        <v>0.0</v>
      </c>
      <c r="D1296" s="3">
        <v>0.0</v>
      </c>
      <c r="E1296" t="b">
        <f t="shared" si="1"/>
        <v>1</v>
      </c>
    </row>
    <row r="1297">
      <c r="A1297" t="s">
        <v>6205</v>
      </c>
      <c r="B1297" s="254"/>
      <c r="C1297" s="291">
        <v>1.0</v>
      </c>
      <c r="D1297" t="str">
        <f>VLOOKUP(A1297,PIVOT!$A$4:$F$1900,6,0)</f>
        <v>#REF!</v>
      </c>
      <c r="E1297" t="str">
        <f t="shared" si="1"/>
        <v>#REF!</v>
      </c>
    </row>
    <row r="1298">
      <c r="A1298" t="s">
        <v>11929</v>
      </c>
      <c r="B1298" s="254">
        <v>10490.0</v>
      </c>
      <c r="C1298" s="256">
        <v>0.0</v>
      </c>
      <c r="D1298" s="3">
        <v>0.0</v>
      </c>
      <c r="E1298" t="b">
        <f t="shared" si="1"/>
        <v>1</v>
      </c>
    </row>
    <row r="1299">
      <c r="A1299" t="s">
        <v>6207</v>
      </c>
      <c r="B1299" s="254">
        <v>10990.0</v>
      </c>
      <c r="C1299" s="256">
        <v>1.0</v>
      </c>
      <c r="D1299" t="str">
        <f t="shared" ref="D1299:D1300" si="15">VLOOKUP(A1299,PIVOT!$A$4:$F$1900,6,0)</f>
        <v>#REF!</v>
      </c>
      <c r="E1299" t="str">
        <f t="shared" si="1"/>
        <v>#REF!</v>
      </c>
    </row>
    <row r="1300">
      <c r="A1300" t="s">
        <v>5175</v>
      </c>
      <c r="B1300" s="254">
        <v>10490.0</v>
      </c>
      <c r="C1300" s="256">
        <v>0.0</v>
      </c>
      <c r="D1300" t="str">
        <f t="shared" si="15"/>
        <v>#REF!</v>
      </c>
      <c r="E1300" t="str">
        <f t="shared" si="1"/>
        <v>#REF!</v>
      </c>
    </row>
    <row r="1301">
      <c r="A1301" t="s">
        <v>11930</v>
      </c>
      <c r="B1301" s="254">
        <v>10490.0</v>
      </c>
      <c r="C1301" s="256">
        <v>0.0</v>
      </c>
      <c r="D1301" s="3">
        <v>0.0</v>
      </c>
      <c r="E1301" t="b">
        <f t="shared" si="1"/>
        <v>1</v>
      </c>
    </row>
    <row r="1302">
      <c r="A1302" t="s">
        <v>11931</v>
      </c>
      <c r="B1302" s="254">
        <v>9490.0</v>
      </c>
      <c r="C1302" s="256">
        <v>0.0</v>
      </c>
      <c r="D1302" s="3">
        <v>0.0</v>
      </c>
      <c r="E1302" t="b">
        <f t="shared" si="1"/>
        <v>1</v>
      </c>
    </row>
    <row r="1303">
      <c r="A1303" t="s">
        <v>11932</v>
      </c>
      <c r="B1303" s="254">
        <v>10990.0</v>
      </c>
      <c r="C1303" s="256">
        <v>0.0</v>
      </c>
      <c r="D1303" s="3">
        <v>0.0</v>
      </c>
      <c r="E1303" t="b">
        <f t="shared" si="1"/>
        <v>1</v>
      </c>
    </row>
    <row r="1304">
      <c r="A1304" t="s">
        <v>6208</v>
      </c>
      <c r="B1304" s="254">
        <v>8490.0</v>
      </c>
      <c r="C1304" s="256">
        <v>1.0</v>
      </c>
      <c r="D1304" t="str">
        <f>VLOOKUP(A1304,PIVOT!$A$4:$F$1900,6,0)</f>
        <v>#REF!</v>
      </c>
      <c r="E1304" t="str">
        <f t="shared" si="1"/>
        <v>#REF!</v>
      </c>
    </row>
    <row r="1305">
      <c r="A1305" t="s">
        <v>11933</v>
      </c>
      <c r="B1305" s="254">
        <v>9990.0</v>
      </c>
      <c r="C1305" s="256">
        <v>0.0</v>
      </c>
      <c r="D1305" s="3">
        <v>0.0</v>
      </c>
      <c r="E1305" t="b">
        <f t="shared" si="1"/>
        <v>1</v>
      </c>
    </row>
    <row r="1306">
      <c r="A1306" t="s">
        <v>11934</v>
      </c>
      <c r="B1306" s="254">
        <v>9490.0</v>
      </c>
      <c r="C1306" s="256">
        <v>0.0</v>
      </c>
      <c r="D1306" s="3">
        <v>0.0</v>
      </c>
      <c r="E1306" t="b">
        <f t="shared" si="1"/>
        <v>1</v>
      </c>
    </row>
    <row r="1307">
      <c r="A1307" t="s">
        <v>1885</v>
      </c>
      <c r="B1307" s="254">
        <v>6990.0</v>
      </c>
      <c r="C1307" s="256">
        <v>1.0</v>
      </c>
      <c r="D1307" t="str">
        <f>VLOOKUP(A1307,PIVOT!$A$4:$F$1900,6,0)</f>
        <v>#REF!</v>
      </c>
      <c r="E1307" t="str">
        <f t="shared" si="1"/>
        <v>#REF!</v>
      </c>
    </row>
    <row r="1308">
      <c r="A1308" t="s">
        <v>11935</v>
      </c>
      <c r="B1308" s="254">
        <v>9990.0</v>
      </c>
      <c r="C1308" s="256">
        <v>0.0</v>
      </c>
      <c r="D1308" s="3">
        <v>0.0</v>
      </c>
      <c r="E1308" t="b">
        <f t="shared" si="1"/>
        <v>1</v>
      </c>
    </row>
    <row r="1309">
      <c r="A1309" t="s">
        <v>11936</v>
      </c>
      <c r="B1309" s="254">
        <v>10990.0</v>
      </c>
      <c r="C1309" s="256">
        <v>0.0</v>
      </c>
      <c r="D1309" s="3">
        <v>0.0</v>
      </c>
      <c r="E1309" t="b">
        <f t="shared" si="1"/>
        <v>1</v>
      </c>
    </row>
    <row r="1310">
      <c r="A1310" t="s">
        <v>5164</v>
      </c>
      <c r="B1310" s="254">
        <v>6990.0</v>
      </c>
      <c r="C1310" s="256">
        <v>0.0</v>
      </c>
      <c r="D1310" t="str">
        <f>VLOOKUP(A1310,PIVOT!$A$4:$F$1900,6,0)</f>
        <v>#REF!</v>
      </c>
      <c r="E1310" t="str">
        <f t="shared" si="1"/>
        <v>#REF!</v>
      </c>
    </row>
    <row r="1311">
      <c r="A1311" t="s">
        <v>11937</v>
      </c>
      <c r="B1311" s="254">
        <v>7490.0</v>
      </c>
      <c r="C1311" s="256">
        <v>0.0</v>
      </c>
      <c r="D1311" s="3">
        <v>0.0</v>
      </c>
      <c r="E1311" t="b">
        <f t="shared" si="1"/>
        <v>1</v>
      </c>
    </row>
    <row r="1312">
      <c r="A1312" t="s">
        <v>5166</v>
      </c>
      <c r="B1312" s="254">
        <v>7490.0</v>
      </c>
      <c r="C1312" s="256">
        <v>1.0</v>
      </c>
      <c r="D1312" t="str">
        <f t="shared" ref="D1312:D1314" si="16">VLOOKUP(A1312,PIVOT!$A$4:$F$1900,6,0)</f>
        <v>#REF!</v>
      </c>
      <c r="E1312" t="str">
        <f t="shared" si="1"/>
        <v>#REF!</v>
      </c>
    </row>
    <row r="1313">
      <c r="A1313" t="s">
        <v>5167</v>
      </c>
      <c r="B1313" s="254">
        <v>7490.0</v>
      </c>
      <c r="C1313" s="256">
        <v>0.0</v>
      </c>
      <c r="D1313" t="str">
        <f t="shared" si="16"/>
        <v>#REF!</v>
      </c>
      <c r="E1313" t="str">
        <f t="shared" si="1"/>
        <v>#REF!</v>
      </c>
    </row>
    <row r="1314">
      <c r="A1314" t="s">
        <v>5168</v>
      </c>
      <c r="B1314" s="254">
        <v>7990.0</v>
      </c>
      <c r="C1314" s="256">
        <v>0.0</v>
      </c>
      <c r="D1314" t="str">
        <f t="shared" si="16"/>
        <v>#REF!</v>
      </c>
      <c r="E1314" t="str">
        <f t="shared" si="1"/>
        <v>#REF!</v>
      </c>
    </row>
    <row r="1315">
      <c r="A1315" t="s">
        <v>10130</v>
      </c>
      <c r="B1315" s="254">
        <v>11490.0</v>
      </c>
      <c r="C1315" s="256">
        <v>0.0</v>
      </c>
      <c r="D1315" s="3">
        <v>0.0</v>
      </c>
      <c r="E1315" t="b">
        <f t="shared" si="1"/>
        <v>1</v>
      </c>
    </row>
    <row r="1316">
      <c r="A1316" t="s">
        <v>5172</v>
      </c>
      <c r="B1316" s="254">
        <v>6490.0</v>
      </c>
      <c r="C1316" s="256">
        <v>1.0</v>
      </c>
      <c r="D1316" t="str">
        <f>VLOOKUP(A1316,PIVOT!$A$4:$F$1900,6,0)</f>
        <v>#REF!</v>
      </c>
      <c r="E1316" t="str">
        <f t="shared" si="1"/>
        <v>#REF!</v>
      </c>
    </row>
    <row r="1317">
      <c r="A1317" t="s">
        <v>11938</v>
      </c>
      <c r="B1317" s="254">
        <v>10990.0</v>
      </c>
      <c r="C1317" s="256">
        <v>0.0</v>
      </c>
      <c r="D1317" s="3">
        <v>0.0</v>
      </c>
      <c r="E1317" t="b">
        <f t="shared" si="1"/>
        <v>1</v>
      </c>
    </row>
    <row r="1318">
      <c r="A1318" t="s">
        <v>5174</v>
      </c>
      <c r="B1318" s="254">
        <v>4490.0</v>
      </c>
      <c r="C1318" s="256">
        <v>1.0</v>
      </c>
      <c r="D1318" t="str">
        <f t="shared" ref="D1318:D1329" si="17">VLOOKUP(A1318,PIVOT!$A$4:$F$1900,6,0)</f>
        <v>#REF!</v>
      </c>
      <c r="E1318" t="str">
        <f t="shared" si="1"/>
        <v>#REF!</v>
      </c>
    </row>
    <row r="1319">
      <c r="A1319" t="s">
        <v>5177</v>
      </c>
      <c r="B1319" s="254">
        <v>5290.0</v>
      </c>
      <c r="C1319" s="256">
        <v>2.0</v>
      </c>
      <c r="D1319" t="str">
        <f t="shared" si="17"/>
        <v>#REF!</v>
      </c>
      <c r="E1319" t="str">
        <f t="shared" si="1"/>
        <v>#REF!</v>
      </c>
    </row>
    <row r="1320">
      <c r="A1320" t="s">
        <v>5170</v>
      </c>
      <c r="B1320" s="254">
        <v>4490.0</v>
      </c>
      <c r="C1320" s="256">
        <v>0.0</v>
      </c>
      <c r="D1320" t="str">
        <f t="shared" si="17"/>
        <v>#REF!</v>
      </c>
      <c r="E1320" t="str">
        <f t="shared" si="1"/>
        <v>#REF!</v>
      </c>
    </row>
    <row r="1321">
      <c r="A1321" t="s">
        <v>5169</v>
      </c>
      <c r="B1321" s="254">
        <v>4490.0</v>
      </c>
      <c r="C1321" s="256">
        <v>0.0</v>
      </c>
      <c r="D1321" t="str">
        <f t="shared" si="17"/>
        <v>#REF!</v>
      </c>
      <c r="E1321" t="str">
        <f t="shared" si="1"/>
        <v>#REF!</v>
      </c>
    </row>
    <row r="1322">
      <c r="A1322" t="s">
        <v>5178</v>
      </c>
      <c r="B1322" s="254">
        <v>4490.0</v>
      </c>
      <c r="C1322" s="256">
        <v>0.0</v>
      </c>
      <c r="D1322" t="str">
        <f t="shared" si="17"/>
        <v>#REF!</v>
      </c>
      <c r="E1322" t="str">
        <f t="shared" si="1"/>
        <v>#REF!</v>
      </c>
    </row>
    <row r="1323">
      <c r="A1323" t="s">
        <v>5186</v>
      </c>
      <c r="B1323" s="254">
        <v>4490.0</v>
      </c>
      <c r="C1323" s="256">
        <v>3.0</v>
      </c>
      <c r="D1323" t="str">
        <f t="shared" si="17"/>
        <v>#REF!</v>
      </c>
      <c r="E1323" t="str">
        <f t="shared" si="1"/>
        <v>#REF!</v>
      </c>
    </row>
    <row r="1324">
      <c r="A1324" t="s">
        <v>1887</v>
      </c>
      <c r="B1324" s="254">
        <v>5290.0</v>
      </c>
      <c r="C1324" s="254">
        <v>3.0</v>
      </c>
      <c r="D1324" t="str">
        <f t="shared" si="17"/>
        <v>#REF!</v>
      </c>
      <c r="E1324" t="str">
        <f t="shared" si="1"/>
        <v>#REF!</v>
      </c>
    </row>
    <row r="1325">
      <c r="A1325" t="s">
        <v>6209</v>
      </c>
      <c r="B1325" s="254">
        <v>7490.0</v>
      </c>
      <c r="C1325" s="256">
        <v>1.0</v>
      </c>
      <c r="D1325" t="str">
        <f t="shared" si="17"/>
        <v>#REF!</v>
      </c>
      <c r="E1325" t="str">
        <f t="shared" si="1"/>
        <v>#REF!</v>
      </c>
    </row>
    <row r="1326">
      <c r="A1326" t="s">
        <v>5189</v>
      </c>
      <c r="B1326" s="254">
        <v>6990.0</v>
      </c>
      <c r="C1326" s="254">
        <v>3.0</v>
      </c>
      <c r="D1326" t="str">
        <f t="shared" si="17"/>
        <v>#REF!</v>
      </c>
      <c r="E1326" t="str">
        <f t="shared" si="1"/>
        <v>#REF!</v>
      </c>
    </row>
    <row r="1327">
      <c r="A1327" t="s">
        <v>5190</v>
      </c>
      <c r="B1327" s="254">
        <v>6990.0</v>
      </c>
      <c r="C1327" s="256">
        <v>0.0</v>
      </c>
      <c r="D1327" t="str">
        <f t="shared" si="17"/>
        <v>#REF!</v>
      </c>
      <c r="E1327" t="str">
        <f t="shared" si="1"/>
        <v>#REF!</v>
      </c>
    </row>
    <row r="1328">
      <c r="A1328" t="s">
        <v>5187</v>
      </c>
      <c r="B1328" s="254">
        <v>8990.0</v>
      </c>
      <c r="C1328" s="256">
        <v>1.0</v>
      </c>
      <c r="D1328" t="str">
        <f t="shared" si="17"/>
        <v>#REF!</v>
      </c>
      <c r="E1328" t="str">
        <f t="shared" si="1"/>
        <v>#REF!</v>
      </c>
    </row>
    <row r="1329">
      <c r="A1329" t="s">
        <v>1888</v>
      </c>
      <c r="B1329" s="254">
        <v>9690.0</v>
      </c>
      <c r="C1329" s="256">
        <v>1.0</v>
      </c>
      <c r="D1329" t="str">
        <f t="shared" si="17"/>
        <v>#REF!</v>
      </c>
      <c r="E1329" t="str">
        <f t="shared" si="1"/>
        <v>#REF!</v>
      </c>
    </row>
    <row r="1330">
      <c r="A1330" t="s">
        <v>11939</v>
      </c>
      <c r="B1330" s="254"/>
      <c r="C1330" s="256">
        <v>0.0</v>
      </c>
      <c r="D1330" s="3">
        <v>0.0</v>
      </c>
      <c r="E1330" t="b">
        <f t="shared" si="1"/>
        <v>1</v>
      </c>
    </row>
    <row r="1331">
      <c r="A1331" t="s">
        <v>10667</v>
      </c>
      <c r="B1331" s="254">
        <v>4290.0</v>
      </c>
      <c r="C1331" s="256">
        <v>0.0</v>
      </c>
      <c r="D1331" s="3">
        <v>0.0</v>
      </c>
      <c r="E1331" t="b">
        <f t="shared" si="1"/>
        <v>1</v>
      </c>
    </row>
    <row r="1332">
      <c r="A1332" t="s">
        <v>11940</v>
      </c>
      <c r="B1332" s="254">
        <v>4990.0</v>
      </c>
      <c r="C1332" s="290">
        <v>0.0</v>
      </c>
      <c r="D1332" s="3">
        <v>0.0</v>
      </c>
      <c r="E1332" t="b">
        <f t="shared" si="1"/>
        <v>1</v>
      </c>
    </row>
    <row r="1333">
      <c r="A1333" t="s">
        <v>11941</v>
      </c>
      <c r="B1333" s="254">
        <v>4290.0</v>
      </c>
      <c r="C1333" s="256">
        <v>0.0</v>
      </c>
      <c r="D1333" s="3">
        <v>0.0</v>
      </c>
      <c r="E1333" t="b">
        <f t="shared" si="1"/>
        <v>1</v>
      </c>
    </row>
    <row r="1334">
      <c r="A1334" t="s">
        <v>11942</v>
      </c>
      <c r="B1334" s="254">
        <v>4290.0</v>
      </c>
      <c r="C1334" s="256">
        <v>0.0</v>
      </c>
      <c r="D1334" s="3">
        <v>0.0</v>
      </c>
      <c r="E1334" t="b">
        <f t="shared" si="1"/>
        <v>1</v>
      </c>
    </row>
    <row r="1335">
      <c r="A1335" t="s">
        <v>11943</v>
      </c>
      <c r="B1335" s="254">
        <v>4290.0</v>
      </c>
      <c r="C1335" s="256">
        <v>0.0</v>
      </c>
      <c r="D1335" s="3">
        <v>0.0</v>
      </c>
      <c r="E1335" t="b">
        <f t="shared" si="1"/>
        <v>1</v>
      </c>
    </row>
    <row r="1336">
      <c r="A1336" t="s">
        <v>1892</v>
      </c>
      <c r="B1336" s="254">
        <v>4990.0</v>
      </c>
      <c r="C1336" s="256">
        <v>0.0</v>
      </c>
      <c r="D1336" t="str">
        <f t="shared" ref="D1336:D1337" si="18">VLOOKUP(A1336,PIVOT!$A$4:$F$1900,6,0)</f>
        <v>#REF!</v>
      </c>
      <c r="E1336" t="str">
        <f t="shared" si="1"/>
        <v>#REF!</v>
      </c>
    </row>
    <row r="1337">
      <c r="A1337" t="s">
        <v>5205</v>
      </c>
      <c r="B1337" s="254">
        <v>4790.0</v>
      </c>
      <c r="C1337" s="256">
        <v>1.0</v>
      </c>
      <c r="D1337" t="str">
        <f t="shared" si="18"/>
        <v>#REF!</v>
      </c>
      <c r="E1337" t="str">
        <f t="shared" si="1"/>
        <v>#REF!</v>
      </c>
    </row>
    <row r="1338">
      <c r="A1338" t="s">
        <v>11944</v>
      </c>
      <c r="B1338" s="254">
        <v>4290.0</v>
      </c>
      <c r="C1338" s="256">
        <v>0.0</v>
      </c>
      <c r="D1338" s="3">
        <v>0.0</v>
      </c>
      <c r="E1338" t="b">
        <f t="shared" si="1"/>
        <v>1</v>
      </c>
    </row>
    <row r="1339">
      <c r="A1339" t="s">
        <v>1893</v>
      </c>
      <c r="B1339" s="254">
        <v>8190.0</v>
      </c>
      <c r="C1339" s="256">
        <v>1.0</v>
      </c>
      <c r="D1339" t="str">
        <f t="shared" ref="D1339:D1340" si="19">VLOOKUP(A1339,PIVOT!$A$4:$F$1900,6,0)</f>
        <v>#REF!</v>
      </c>
      <c r="E1339" t="str">
        <f t="shared" si="1"/>
        <v>#REF!</v>
      </c>
    </row>
    <row r="1340">
      <c r="A1340" t="s">
        <v>6210</v>
      </c>
      <c r="B1340" s="254">
        <v>8590.0</v>
      </c>
      <c r="C1340" s="256">
        <v>1.0</v>
      </c>
      <c r="D1340" t="str">
        <f t="shared" si="19"/>
        <v>#REF!</v>
      </c>
      <c r="E1340" t="str">
        <f t="shared" si="1"/>
        <v>#REF!</v>
      </c>
    </row>
    <row r="1341">
      <c r="A1341" t="s">
        <v>11945</v>
      </c>
      <c r="B1341" s="254">
        <v>11990.0</v>
      </c>
      <c r="C1341" s="256">
        <v>0.0</v>
      </c>
      <c r="D1341" s="3">
        <v>0.0</v>
      </c>
      <c r="E1341" t="b">
        <f t="shared" si="1"/>
        <v>1</v>
      </c>
    </row>
    <row r="1342">
      <c r="A1342" t="s">
        <v>11946</v>
      </c>
      <c r="B1342" s="254">
        <v>13990.0</v>
      </c>
      <c r="C1342" s="256">
        <v>0.0</v>
      </c>
      <c r="D1342" s="3">
        <v>0.0</v>
      </c>
      <c r="E1342" t="b">
        <f t="shared" si="1"/>
        <v>1</v>
      </c>
    </row>
    <row r="1343">
      <c r="A1343" t="s">
        <v>11947</v>
      </c>
      <c r="B1343" s="254">
        <v>13990.0</v>
      </c>
      <c r="C1343" s="256">
        <v>0.0</v>
      </c>
      <c r="D1343" s="3">
        <v>0.0</v>
      </c>
      <c r="E1343" t="b">
        <f t="shared" si="1"/>
        <v>1</v>
      </c>
    </row>
    <row r="1344">
      <c r="A1344" t="s">
        <v>11948</v>
      </c>
      <c r="B1344" s="254">
        <v>10990.0</v>
      </c>
      <c r="C1344" s="256">
        <v>0.0</v>
      </c>
      <c r="D1344" s="3">
        <v>0.0</v>
      </c>
      <c r="E1344" t="b">
        <f t="shared" si="1"/>
        <v>1</v>
      </c>
    </row>
    <row r="1345">
      <c r="A1345" t="s">
        <v>11949</v>
      </c>
      <c r="B1345" s="254">
        <v>10490.0</v>
      </c>
      <c r="C1345" s="256">
        <v>0.0</v>
      </c>
      <c r="D1345" s="3">
        <v>0.0</v>
      </c>
      <c r="E1345" t="b">
        <f t="shared" si="1"/>
        <v>1</v>
      </c>
    </row>
    <row r="1346">
      <c r="A1346" t="s">
        <v>11950</v>
      </c>
      <c r="B1346" s="254">
        <v>10490.0</v>
      </c>
      <c r="C1346" s="256">
        <v>0.0</v>
      </c>
      <c r="D1346" s="3">
        <v>0.0</v>
      </c>
      <c r="E1346" t="b">
        <f t="shared" si="1"/>
        <v>1</v>
      </c>
    </row>
    <row r="1347">
      <c r="A1347" t="s">
        <v>11951</v>
      </c>
      <c r="B1347" s="254">
        <v>13490.0</v>
      </c>
      <c r="C1347" s="256">
        <v>0.0</v>
      </c>
      <c r="D1347" s="3">
        <v>0.0</v>
      </c>
      <c r="E1347" t="b">
        <f t="shared" si="1"/>
        <v>1</v>
      </c>
    </row>
    <row r="1348">
      <c r="A1348" t="s">
        <v>11952</v>
      </c>
      <c r="B1348" s="254">
        <v>13490.0</v>
      </c>
      <c r="C1348" s="256">
        <v>0.0</v>
      </c>
      <c r="D1348" s="3">
        <v>0.0</v>
      </c>
      <c r="E1348" t="b">
        <f t="shared" si="1"/>
        <v>1</v>
      </c>
    </row>
    <row r="1349">
      <c r="A1349" t="s">
        <v>5206</v>
      </c>
      <c r="B1349" s="254"/>
      <c r="C1349" s="256">
        <v>1.0</v>
      </c>
      <c r="D1349" t="str">
        <f t="shared" ref="D1349:D1352" si="20">VLOOKUP(A1349,PIVOT!$A$4:$F$1900,6,0)</f>
        <v>#REF!</v>
      </c>
      <c r="E1349" t="str">
        <f t="shared" si="1"/>
        <v>#REF!</v>
      </c>
    </row>
    <row r="1350">
      <c r="A1350" t="s">
        <v>1786</v>
      </c>
      <c r="B1350" s="254"/>
      <c r="C1350" s="256">
        <v>1.0</v>
      </c>
      <c r="D1350" t="str">
        <f t="shared" si="20"/>
        <v>#REF!</v>
      </c>
      <c r="E1350" t="str">
        <f t="shared" si="1"/>
        <v>#REF!</v>
      </c>
    </row>
    <row r="1351">
      <c r="A1351" t="s">
        <v>5209</v>
      </c>
      <c r="B1351" s="254"/>
      <c r="C1351" s="256">
        <v>1.0</v>
      </c>
      <c r="D1351" t="str">
        <f t="shared" si="20"/>
        <v>#REF!</v>
      </c>
      <c r="E1351" t="str">
        <f t="shared" si="1"/>
        <v>#REF!</v>
      </c>
    </row>
    <row r="1352">
      <c r="A1352" t="s">
        <v>1791</v>
      </c>
      <c r="B1352" s="254"/>
      <c r="C1352" s="256">
        <v>1.0</v>
      </c>
      <c r="D1352" t="str">
        <f t="shared" si="20"/>
        <v>#REF!</v>
      </c>
      <c r="E1352" t="str">
        <f t="shared" si="1"/>
        <v>#REF!</v>
      </c>
    </row>
    <row r="1353">
      <c r="A1353" t="s">
        <v>11953</v>
      </c>
      <c r="B1353" s="254"/>
      <c r="C1353" s="256">
        <v>0.0</v>
      </c>
      <c r="D1353" s="3">
        <v>0.0</v>
      </c>
      <c r="E1353" t="b">
        <f t="shared" si="1"/>
        <v>1</v>
      </c>
    </row>
    <row r="1354">
      <c r="A1354" t="s">
        <v>5210</v>
      </c>
      <c r="B1354" s="254"/>
      <c r="C1354" s="256">
        <v>1.0</v>
      </c>
      <c r="D1354" t="str">
        <f>VLOOKUP(A1354,PIVOT!$A$4:$F$1900,6,0)</f>
        <v>#REF!</v>
      </c>
      <c r="E1354" t="str">
        <f t="shared" si="1"/>
        <v>#REF!</v>
      </c>
    </row>
    <row r="1355">
      <c r="A1355" t="s">
        <v>11954</v>
      </c>
      <c r="B1355" s="254">
        <v>2990.0</v>
      </c>
      <c r="C1355" s="256">
        <v>0.0</v>
      </c>
      <c r="D1355" s="3">
        <v>0.0</v>
      </c>
      <c r="E1355" t="b">
        <f t="shared" si="1"/>
        <v>1</v>
      </c>
    </row>
    <row r="1356">
      <c r="A1356" t="s">
        <v>11955</v>
      </c>
      <c r="B1356" s="254">
        <v>2990.0</v>
      </c>
      <c r="C1356" s="256">
        <v>0.0</v>
      </c>
      <c r="D1356" s="3">
        <v>0.0</v>
      </c>
      <c r="E1356" t="b">
        <f t="shared" si="1"/>
        <v>1</v>
      </c>
    </row>
    <row r="1357">
      <c r="A1357" t="s">
        <v>11956</v>
      </c>
      <c r="B1357" s="254">
        <v>2990.0</v>
      </c>
      <c r="C1357" s="256">
        <v>0.0</v>
      </c>
      <c r="D1357" s="3">
        <v>0.0</v>
      </c>
      <c r="E1357" t="b">
        <f t="shared" si="1"/>
        <v>1</v>
      </c>
    </row>
    <row r="1358">
      <c r="A1358" t="s">
        <v>5289</v>
      </c>
      <c r="B1358" s="254">
        <v>2990.0</v>
      </c>
      <c r="C1358" s="256">
        <v>1.0</v>
      </c>
      <c r="D1358" t="str">
        <f>VLOOKUP(A1358,PIVOT!$A$4:$F$1900,6,0)</f>
        <v>#REF!</v>
      </c>
      <c r="E1358" t="str">
        <f t="shared" si="1"/>
        <v>#REF!</v>
      </c>
    </row>
    <row r="1359">
      <c r="A1359" t="s">
        <v>11957</v>
      </c>
      <c r="B1359" s="254">
        <v>4990.0</v>
      </c>
      <c r="C1359" s="256">
        <v>0.0</v>
      </c>
      <c r="D1359" s="3">
        <v>0.0</v>
      </c>
      <c r="E1359" t="b">
        <f t="shared" si="1"/>
        <v>1</v>
      </c>
    </row>
    <row r="1360">
      <c r="A1360" t="s">
        <v>5406</v>
      </c>
      <c r="B1360" s="254">
        <v>4990.0</v>
      </c>
      <c r="C1360" s="256">
        <v>0.0</v>
      </c>
      <c r="D1360" t="str">
        <f t="shared" ref="D1360:D1363" si="21">VLOOKUP(A1360,PIVOT!$A$4:$F$1900,6,0)</f>
        <v>#REF!</v>
      </c>
      <c r="E1360" t="str">
        <f t="shared" si="1"/>
        <v>#REF!</v>
      </c>
    </row>
    <row r="1361">
      <c r="A1361" t="s">
        <v>5416</v>
      </c>
      <c r="B1361" s="254">
        <v>4990.0</v>
      </c>
      <c r="C1361" s="256">
        <v>2.0</v>
      </c>
      <c r="D1361" t="str">
        <f t="shared" si="21"/>
        <v>#REF!</v>
      </c>
      <c r="E1361" t="str">
        <f t="shared" si="1"/>
        <v>#REF!</v>
      </c>
    </row>
    <row r="1362">
      <c r="A1362" t="s">
        <v>5412</v>
      </c>
      <c r="B1362" s="254">
        <v>4990.0</v>
      </c>
      <c r="C1362" s="254">
        <v>0.0</v>
      </c>
      <c r="D1362" t="str">
        <f t="shared" si="21"/>
        <v>#REF!</v>
      </c>
      <c r="E1362" t="str">
        <f t="shared" si="1"/>
        <v>#REF!</v>
      </c>
    </row>
    <row r="1363">
      <c r="A1363" t="s">
        <v>5411</v>
      </c>
      <c r="B1363" s="254">
        <v>5090.0</v>
      </c>
      <c r="C1363" s="287">
        <v>2.0</v>
      </c>
      <c r="D1363" t="str">
        <f t="shared" si="21"/>
        <v>#REF!</v>
      </c>
      <c r="E1363" t="str">
        <f t="shared" si="1"/>
        <v>#REF!</v>
      </c>
    </row>
    <row r="1364">
      <c r="A1364" t="s">
        <v>11958</v>
      </c>
      <c r="B1364" s="254">
        <v>4990.0</v>
      </c>
      <c r="C1364" s="256">
        <v>0.0</v>
      </c>
      <c r="D1364" s="3">
        <v>0.0</v>
      </c>
      <c r="E1364" t="b">
        <f t="shared" si="1"/>
        <v>1</v>
      </c>
    </row>
    <row r="1365">
      <c r="A1365" t="s">
        <v>11959</v>
      </c>
      <c r="B1365" s="254">
        <v>7490.0</v>
      </c>
      <c r="C1365" s="256">
        <v>0.0</v>
      </c>
      <c r="D1365" s="3">
        <v>0.0</v>
      </c>
      <c r="E1365" t="b">
        <f t="shared" si="1"/>
        <v>1</v>
      </c>
    </row>
    <row r="1366">
      <c r="A1366" t="s">
        <v>1913</v>
      </c>
      <c r="B1366" s="254">
        <v>4490.0</v>
      </c>
      <c r="C1366" s="256">
        <v>1.0</v>
      </c>
      <c r="D1366" t="str">
        <f t="shared" ref="D1366:D1367" si="22">VLOOKUP(A1366,PIVOT!$A$4:$F$1900,6,0)</f>
        <v>#REF!</v>
      </c>
      <c r="E1366" t="str">
        <f t="shared" si="1"/>
        <v>#REF!</v>
      </c>
    </row>
    <row r="1367">
      <c r="A1367" t="s">
        <v>5193</v>
      </c>
      <c r="B1367" s="254">
        <v>3390.0</v>
      </c>
      <c r="C1367" s="254">
        <v>5.0</v>
      </c>
      <c r="D1367" t="str">
        <f t="shared" si="22"/>
        <v>#REF!</v>
      </c>
      <c r="E1367" t="str">
        <f t="shared" si="1"/>
        <v>#REF!</v>
      </c>
    </row>
    <row r="1368">
      <c r="A1368" t="s">
        <v>1915</v>
      </c>
      <c r="B1368" s="254">
        <v>4490.0</v>
      </c>
      <c r="C1368" s="254">
        <v>3.0</v>
      </c>
      <c r="D1368" s="3">
        <v>3.0</v>
      </c>
      <c r="E1368" t="b">
        <f t="shared" si="1"/>
        <v>1</v>
      </c>
    </row>
    <row r="1369">
      <c r="A1369" t="s">
        <v>1916</v>
      </c>
      <c r="B1369" s="254">
        <v>5990.0</v>
      </c>
      <c r="C1369" s="256">
        <v>1.0</v>
      </c>
      <c r="D1369" t="str">
        <f>VLOOKUP(A1369,PIVOT!$A$4:$F$1900,6,0)</f>
        <v>#REF!</v>
      </c>
      <c r="E1369" t="str">
        <f t="shared" si="1"/>
        <v>#REF!</v>
      </c>
    </row>
    <row r="1370">
      <c r="A1370" t="s">
        <v>9534</v>
      </c>
      <c r="B1370" s="254">
        <v>4990.0</v>
      </c>
      <c r="C1370" s="256">
        <v>0.0</v>
      </c>
      <c r="D1370" s="3">
        <v>0.0</v>
      </c>
      <c r="E1370" t="b">
        <f t="shared" si="1"/>
        <v>1</v>
      </c>
    </row>
    <row r="1371">
      <c r="A1371" t="s">
        <v>11960</v>
      </c>
      <c r="B1371" s="254">
        <v>4290.0</v>
      </c>
      <c r="C1371" s="256">
        <v>0.0</v>
      </c>
      <c r="D1371" s="3">
        <v>0.0</v>
      </c>
      <c r="E1371" t="b">
        <f t="shared" si="1"/>
        <v>1</v>
      </c>
    </row>
    <row r="1372">
      <c r="A1372" t="s">
        <v>5194</v>
      </c>
      <c r="B1372" s="254">
        <v>4290.0</v>
      </c>
      <c r="C1372" s="256">
        <v>1.0</v>
      </c>
      <c r="D1372" s="3">
        <v>1.0</v>
      </c>
      <c r="E1372" t="b">
        <f t="shared" si="1"/>
        <v>1</v>
      </c>
    </row>
    <row r="1373">
      <c r="A1373" t="s">
        <v>6772</v>
      </c>
      <c r="B1373" s="254">
        <v>3990.0</v>
      </c>
      <c r="C1373" s="254">
        <v>1.0</v>
      </c>
      <c r="D1373" t="str">
        <f>VLOOKUP(A1373,PIVOT!$A$4:$F$1900,6,0)</f>
        <v>#REF!</v>
      </c>
      <c r="E1373" t="str">
        <f t="shared" si="1"/>
        <v>#REF!</v>
      </c>
    </row>
    <row r="1374">
      <c r="A1374" t="s">
        <v>1923</v>
      </c>
      <c r="B1374" s="254">
        <v>4790.0</v>
      </c>
      <c r="C1374" s="256">
        <v>0.0</v>
      </c>
      <c r="D1374" s="3">
        <v>0.0</v>
      </c>
      <c r="E1374" t="b">
        <f t="shared" si="1"/>
        <v>1</v>
      </c>
    </row>
    <row r="1375">
      <c r="A1375" t="s">
        <v>6390</v>
      </c>
      <c r="B1375" s="254">
        <v>4790.0</v>
      </c>
      <c r="C1375" s="254">
        <v>1.0</v>
      </c>
      <c r="D1375" t="str">
        <f>VLOOKUP(A1375,PIVOT!$A$4:$F$1900,6,0)</f>
        <v>#REF!</v>
      </c>
      <c r="E1375" t="str">
        <f t="shared" si="1"/>
        <v>#REF!</v>
      </c>
    </row>
    <row r="1376">
      <c r="A1376" t="s">
        <v>11961</v>
      </c>
      <c r="B1376" s="254">
        <v>4790.0</v>
      </c>
      <c r="C1376" s="256">
        <v>0.0</v>
      </c>
      <c r="D1376" s="3">
        <v>0.0</v>
      </c>
      <c r="E1376" t="b">
        <f t="shared" si="1"/>
        <v>1</v>
      </c>
    </row>
    <row r="1377">
      <c r="A1377" t="s">
        <v>11962</v>
      </c>
      <c r="B1377" s="254">
        <v>4590.0</v>
      </c>
      <c r="C1377" s="256">
        <v>0.0</v>
      </c>
      <c r="D1377" s="3">
        <v>0.0</v>
      </c>
      <c r="E1377" t="b">
        <f t="shared" si="1"/>
        <v>1</v>
      </c>
    </row>
    <row r="1378">
      <c r="A1378" t="s">
        <v>1925</v>
      </c>
      <c r="B1378" s="254">
        <v>4790.0</v>
      </c>
      <c r="C1378" s="287">
        <v>1.0</v>
      </c>
      <c r="D1378" t="str">
        <f>VLOOKUP(A1378,PIVOT!$A$4:$F$1900,6,0)</f>
        <v>#REF!</v>
      </c>
      <c r="E1378" t="str">
        <f t="shared" si="1"/>
        <v>#REF!</v>
      </c>
    </row>
    <row r="1379">
      <c r="A1379" s="3" t="s">
        <v>1925</v>
      </c>
      <c r="B1379" s="254">
        <v>4790.0</v>
      </c>
      <c r="C1379" s="289">
        <v>0.0</v>
      </c>
      <c r="D1379" s="3">
        <v>0.0</v>
      </c>
      <c r="E1379" t="b">
        <f t="shared" si="1"/>
        <v>1</v>
      </c>
    </row>
    <row r="1380">
      <c r="A1380" t="s">
        <v>6774</v>
      </c>
      <c r="B1380" s="254">
        <v>4290.0</v>
      </c>
      <c r="C1380" s="254">
        <v>1.0</v>
      </c>
      <c r="D1380" t="str">
        <f>VLOOKUP(A1380,PIVOT!$A$4:$F$1900,6,0)</f>
        <v>#REF!</v>
      </c>
      <c r="E1380" t="str">
        <f t="shared" si="1"/>
        <v>#REF!</v>
      </c>
    </row>
    <row r="1381">
      <c r="A1381" t="s">
        <v>11963</v>
      </c>
      <c r="B1381" s="254">
        <v>4990.0</v>
      </c>
      <c r="C1381" s="256">
        <v>0.0</v>
      </c>
      <c r="D1381" s="3">
        <v>0.0</v>
      </c>
      <c r="E1381" t="b">
        <f t="shared" si="1"/>
        <v>1</v>
      </c>
    </row>
    <row r="1382">
      <c r="A1382" t="s">
        <v>11964</v>
      </c>
      <c r="B1382" s="254">
        <v>3990.0</v>
      </c>
      <c r="C1382" s="256">
        <v>0.0</v>
      </c>
      <c r="D1382" s="3">
        <v>0.0</v>
      </c>
      <c r="E1382" t="b">
        <f t="shared" si="1"/>
        <v>1</v>
      </c>
    </row>
    <row r="1383">
      <c r="A1383" t="s">
        <v>5196</v>
      </c>
      <c r="B1383" s="254">
        <v>4290.0</v>
      </c>
      <c r="C1383" s="256">
        <v>1.0</v>
      </c>
      <c r="D1383" t="str">
        <f>VLOOKUP(A1383,PIVOT!$A$4:$F$1900,6,0)</f>
        <v>#REF!</v>
      </c>
      <c r="E1383" t="str">
        <f t="shared" si="1"/>
        <v>#REF!</v>
      </c>
    </row>
    <row r="1384">
      <c r="A1384" t="s">
        <v>11965</v>
      </c>
      <c r="B1384" s="254">
        <v>4290.0</v>
      </c>
      <c r="C1384" s="256">
        <v>0.0</v>
      </c>
      <c r="D1384" s="3">
        <v>0.0</v>
      </c>
      <c r="E1384" t="b">
        <f t="shared" si="1"/>
        <v>1</v>
      </c>
    </row>
    <row r="1385">
      <c r="A1385" t="s">
        <v>9519</v>
      </c>
      <c r="B1385" s="254">
        <v>4290.0</v>
      </c>
      <c r="C1385" s="256">
        <v>0.0</v>
      </c>
      <c r="D1385" s="3">
        <v>0.0</v>
      </c>
      <c r="E1385" t="b">
        <f t="shared" si="1"/>
        <v>1</v>
      </c>
    </row>
    <row r="1386">
      <c r="A1386" t="s">
        <v>11966</v>
      </c>
      <c r="B1386" s="254">
        <v>4290.0</v>
      </c>
      <c r="C1386" s="256">
        <v>0.0</v>
      </c>
      <c r="D1386" s="3">
        <v>0.0</v>
      </c>
      <c r="E1386" t="b">
        <f t="shared" si="1"/>
        <v>1</v>
      </c>
    </row>
    <row r="1387">
      <c r="A1387" t="s">
        <v>11967</v>
      </c>
      <c r="B1387" s="254">
        <v>4290.0</v>
      </c>
      <c r="C1387" s="287">
        <v>0.0</v>
      </c>
      <c r="D1387" s="3">
        <v>0.0</v>
      </c>
      <c r="E1387" t="b">
        <f t="shared" si="1"/>
        <v>1</v>
      </c>
    </row>
    <row r="1388">
      <c r="A1388" t="s">
        <v>1926</v>
      </c>
      <c r="B1388" s="254">
        <v>4290.0</v>
      </c>
      <c r="C1388" s="254">
        <v>2.0</v>
      </c>
      <c r="D1388" t="str">
        <f>VLOOKUP(A1388,PIVOT!$A$4:$F$1900,6,0)</f>
        <v>#REF!</v>
      </c>
      <c r="E1388" t="str">
        <f t="shared" si="1"/>
        <v>#REF!</v>
      </c>
    </row>
    <row r="1389">
      <c r="A1389" t="s">
        <v>11968</v>
      </c>
      <c r="B1389" s="254">
        <v>3990.0</v>
      </c>
      <c r="C1389" s="256">
        <v>0.0</v>
      </c>
      <c r="D1389" s="3">
        <v>0.0</v>
      </c>
      <c r="E1389" t="b">
        <f t="shared" si="1"/>
        <v>1</v>
      </c>
    </row>
    <row r="1390">
      <c r="A1390" t="s">
        <v>5182</v>
      </c>
      <c r="B1390" s="254">
        <v>4290.0</v>
      </c>
      <c r="C1390" s="254">
        <v>0.0</v>
      </c>
      <c r="D1390" s="3">
        <v>0.0</v>
      </c>
      <c r="E1390" t="b">
        <f t="shared" si="1"/>
        <v>1</v>
      </c>
    </row>
    <row r="1391">
      <c r="A1391" s="3" t="s">
        <v>5182</v>
      </c>
      <c r="B1391" s="254">
        <v>4290.0</v>
      </c>
      <c r="C1391" s="289">
        <v>0.0</v>
      </c>
      <c r="D1391" s="3">
        <v>0.0</v>
      </c>
      <c r="E1391" t="b">
        <f t="shared" si="1"/>
        <v>1</v>
      </c>
    </row>
    <row r="1392">
      <c r="A1392" t="s">
        <v>11969</v>
      </c>
      <c r="B1392" s="254">
        <v>4290.0</v>
      </c>
      <c r="C1392" s="256">
        <v>0.0</v>
      </c>
      <c r="D1392" s="3">
        <v>0.0</v>
      </c>
      <c r="E1392" t="b">
        <f t="shared" si="1"/>
        <v>1</v>
      </c>
    </row>
    <row r="1393">
      <c r="A1393" t="s">
        <v>11969</v>
      </c>
      <c r="B1393" s="254">
        <v>4290.0</v>
      </c>
      <c r="C1393" s="256">
        <v>0.0</v>
      </c>
      <c r="D1393" s="3">
        <v>0.0</v>
      </c>
      <c r="E1393" t="b">
        <f t="shared" si="1"/>
        <v>1</v>
      </c>
    </row>
    <row r="1394">
      <c r="A1394" t="s">
        <v>5198</v>
      </c>
      <c r="B1394" s="254">
        <v>4290.0</v>
      </c>
      <c r="C1394" s="256">
        <v>0.0</v>
      </c>
      <c r="D1394" t="str">
        <f t="shared" ref="D1394:D1397" si="23">VLOOKUP(A1394,PIVOT!$A$4:$F$1900,6,0)</f>
        <v>#REF!</v>
      </c>
      <c r="E1394" t="str">
        <f t="shared" si="1"/>
        <v>#REF!</v>
      </c>
    </row>
    <row r="1395">
      <c r="A1395" t="s">
        <v>5409</v>
      </c>
      <c r="B1395" s="254">
        <v>4790.0</v>
      </c>
      <c r="C1395" s="256">
        <v>0.0</v>
      </c>
      <c r="D1395" t="str">
        <f t="shared" si="23"/>
        <v>#REF!</v>
      </c>
      <c r="E1395" t="str">
        <f t="shared" si="1"/>
        <v>#REF!</v>
      </c>
    </row>
    <row r="1396">
      <c r="A1396" t="s">
        <v>1928</v>
      </c>
      <c r="B1396" s="254">
        <v>5490.0</v>
      </c>
      <c r="C1396" s="256">
        <v>0.0</v>
      </c>
      <c r="D1396" t="str">
        <f t="shared" si="23"/>
        <v>#REF!</v>
      </c>
      <c r="E1396" t="str">
        <f t="shared" si="1"/>
        <v>#REF!</v>
      </c>
    </row>
    <row r="1397">
      <c r="A1397" t="s">
        <v>1930</v>
      </c>
      <c r="B1397" s="254">
        <v>5490.0</v>
      </c>
      <c r="C1397" s="254">
        <v>1.0</v>
      </c>
      <c r="D1397" t="str">
        <f t="shared" si="23"/>
        <v>#REF!</v>
      </c>
      <c r="E1397" t="str">
        <f t="shared" si="1"/>
        <v>#REF!</v>
      </c>
    </row>
    <row r="1398">
      <c r="A1398" t="s">
        <v>11970</v>
      </c>
      <c r="B1398" s="254">
        <v>6790.0</v>
      </c>
      <c r="C1398" s="256">
        <v>0.0</v>
      </c>
      <c r="D1398" s="3">
        <v>0.0</v>
      </c>
      <c r="E1398" t="b">
        <f t="shared" si="1"/>
        <v>1</v>
      </c>
    </row>
    <row r="1399">
      <c r="A1399" t="s">
        <v>11971</v>
      </c>
      <c r="B1399" s="254">
        <v>4990.0</v>
      </c>
      <c r="C1399" s="256">
        <v>0.0</v>
      </c>
      <c r="D1399" s="3">
        <v>0.0</v>
      </c>
      <c r="E1399" t="b">
        <f t="shared" si="1"/>
        <v>1</v>
      </c>
    </row>
    <row r="1400">
      <c r="A1400" t="s">
        <v>11972</v>
      </c>
      <c r="B1400" s="254">
        <v>4990.0</v>
      </c>
      <c r="C1400" s="256">
        <v>0.0</v>
      </c>
      <c r="D1400" s="3">
        <v>0.0</v>
      </c>
      <c r="E1400" t="b">
        <f t="shared" si="1"/>
        <v>1</v>
      </c>
    </row>
    <row r="1401">
      <c r="A1401" t="s">
        <v>5415</v>
      </c>
      <c r="B1401" s="254">
        <v>4990.0</v>
      </c>
      <c r="C1401" s="256">
        <v>1.0</v>
      </c>
      <c r="D1401" t="str">
        <f t="shared" ref="D1401:D1403" si="24">VLOOKUP(A1401,PIVOT!$A$4:$F$1900,6,0)</f>
        <v>#REF!</v>
      </c>
      <c r="E1401" t="str">
        <f t="shared" si="1"/>
        <v>#REF!</v>
      </c>
    </row>
    <row r="1402">
      <c r="A1402" t="s">
        <v>1933</v>
      </c>
      <c r="B1402" s="254">
        <v>4990.0</v>
      </c>
      <c r="C1402" s="256">
        <v>1.0</v>
      </c>
      <c r="D1402" t="str">
        <f t="shared" si="24"/>
        <v>#REF!</v>
      </c>
      <c r="E1402" t="str">
        <f t="shared" si="1"/>
        <v>#REF!</v>
      </c>
    </row>
    <row r="1403">
      <c r="A1403" t="s">
        <v>1935</v>
      </c>
      <c r="B1403" s="254">
        <v>4990.0</v>
      </c>
      <c r="C1403" s="256">
        <v>1.0</v>
      </c>
      <c r="D1403" t="str">
        <f t="shared" si="24"/>
        <v>#REF!</v>
      </c>
      <c r="E1403" t="str">
        <f t="shared" si="1"/>
        <v>#REF!</v>
      </c>
    </row>
    <row r="1404">
      <c r="A1404" t="s">
        <v>11973</v>
      </c>
      <c r="B1404" s="254">
        <v>4990.0</v>
      </c>
      <c r="C1404" s="256">
        <v>0.0</v>
      </c>
      <c r="D1404" s="3">
        <v>0.0</v>
      </c>
      <c r="E1404" t="b">
        <f t="shared" si="1"/>
        <v>1</v>
      </c>
    </row>
    <row r="1405">
      <c r="A1405" t="s">
        <v>5403</v>
      </c>
      <c r="B1405" s="254">
        <v>4990.0</v>
      </c>
      <c r="C1405" s="256">
        <v>1.0</v>
      </c>
      <c r="D1405" t="str">
        <f t="shared" ref="D1405:D1414" si="25">VLOOKUP(A1405,PIVOT!$A$4:$F$1900,6,0)</f>
        <v>#REF!</v>
      </c>
      <c r="E1405" t="str">
        <f t="shared" si="1"/>
        <v>#REF!</v>
      </c>
    </row>
    <row r="1406">
      <c r="A1406" t="s">
        <v>5408</v>
      </c>
      <c r="B1406" s="254">
        <v>4990.0</v>
      </c>
      <c r="C1406" s="256">
        <v>1.0</v>
      </c>
      <c r="D1406" t="str">
        <f t="shared" si="25"/>
        <v>#REF!</v>
      </c>
      <c r="E1406" t="str">
        <f t="shared" si="1"/>
        <v>#REF!</v>
      </c>
    </row>
    <row r="1407">
      <c r="A1407" t="s">
        <v>1936</v>
      </c>
      <c r="B1407" s="254">
        <v>4990.0</v>
      </c>
      <c r="C1407" s="256">
        <v>1.0</v>
      </c>
      <c r="D1407" t="str">
        <f t="shared" si="25"/>
        <v>#REF!</v>
      </c>
      <c r="E1407" t="str">
        <f t="shared" si="1"/>
        <v>#REF!</v>
      </c>
    </row>
    <row r="1408">
      <c r="A1408" t="s">
        <v>1937</v>
      </c>
      <c r="B1408" s="254">
        <v>7790.0</v>
      </c>
      <c r="C1408" s="256">
        <v>1.0</v>
      </c>
      <c r="D1408" t="str">
        <f t="shared" si="25"/>
        <v>#REF!</v>
      </c>
      <c r="E1408" t="str">
        <f t="shared" si="1"/>
        <v>#REF!</v>
      </c>
    </row>
    <row r="1409">
      <c r="A1409" t="s">
        <v>5417</v>
      </c>
      <c r="B1409" s="254">
        <v>6790.0</v>
      </c>
      <c r="C1409" s="254">
        <v>0.0</v>
      </c>
      <c r="D1409" t="str">
        <f t="shared" si="25"/>
        <v>#REF!</v>
      </c>
      <c r="E1409" t="str">
        <f t="shared" si="1"/>
        <v>#REF!</v>
      </c>
    </row>
    <row r="1410">
      <c r="A1410" t="s">
        <v>5199</v>
      </c>
      <c r="B1410" s="254">
        <v>4790.0</v>
      </c>
      <c r="C1410" s="256">
        <v>0.0</v>
      </c>
      <c r="D1410" t="str">
        <f t="shared" si="25"/>
        <v>#REF!</v>
      </c>
      <c r="E1410" t="str">
        <f t="shared" si="1"/>
        <v>#REF!</v>
      </c>
    </row>
    <row r="1411">
      <c r="A1411" t="s">
        <v>5203</v>
      </c>
      <c r="B1411" s="254">
        <v>4790.0</v>
      </c>
      <c r="C1411" s="256">
        <v>1.0</v>
      </c>
      <c r="D1411" t="str">
        <f t="shared" si="25"/>
        <v>#REF!</v>
      </c>
      <c r="E1411" t="str">
        <f t="shared" si="1"/>
        <v>#REF!</v>
      </c>
    </row>
    <row r="1412">
      <c r="A1412" t="s">
        <v>1942</v>
      </c>
      <c r="B1412" s="254">
        <v>6290.0</v>
      </c>
      <c r="C1412" s="256">
        <v>1.0</v>
      </c>
      <c r="D1412" t="str">
        <f t="shared" si="25"/>
        <v>#REF!</v>
      </c>
      <c r="E1412" t="str">
        <f t="shared" si="1"/>
        <v>#REF!</v>
      </c>
    </row>
    <row r="1413">
      <c r="A1413" t="s">
        <v>5421</v>
      </c>
      <c r="B1413" s="254">
        <v>5990.0</v>
      </c>
      <c r="C1413" s="256">
        <v>1.0</v>
      </c>
      <c r="D1413" t="str">
        <f t="shared" si="25"/>
        <v>#REF!</v>
      </c>
      <c r="E1413" t="str">
        <f t="shared" si="1"/>
        <v>#REF!</v>
      </c>
    </row>
    <row r="1414">
      <c r="A1414" t="s">
        <v>5418</v>
      </c>
      <c r="B1414" s="254">
        <v>7290.0</v>
      </c>
      <c r="C1414" s="256">
        <v>1.0</v>
      </c>
      <c r="D1414" t="str">
        <f t="shared" si="25"/>
        <v>#REF!</v>
      </c>
      <c r="E1414" t="str">
        <f t="shared" si="1"/>
        <v>#REF!</v>
      </c>
    </row>
    <row r="1415">
      <c r="A1415" t="s">
        <v>11974</v>
      </c>
      <c r="B1415" s="254">
        <v>7290.0</v>
      </c>
      <c r="C1415" s="256">
        <v>0.0</v>
      </c>
      <c r="D1415" s="3">
        <v>0.0</v>
      </c>
      <c r="E1415" t="b">
        <f t="shared" si="1"/>
        <v>1</v>
      </c>
    </row>
    <row r="1416">
      <c r="A1416" t="s">
        <v>1945</v>
      </c>
      <c r="B1416" s="254">
        <v>7290.0</v>
      </c>
      <c r="C1416" s="256">
        <v>0.0</v>
      </c>
      <c r="D1416" s="3">
        <v>0.0</v>
      </c>
      <c r="E1416" t="b">
        <f t="shared" si="1"/>
        <v>1</v>
      </c>
    </row>
    <row r="1417">
      <c r="A1417" t="s">
        <v>11975</v>
      </c>
      <c r="B1417" s="254">
        <v>6790.0</v>
      </c>
      <c r="C1417" s="256">
        <v>0.0</v>
      </c>
      <c r="D1417" s="3">
        <v>0.0</v>
      </c>
      <c r="E1417" t="b">
        <f t="shared" si="1"/>
        <v>1</v>
      </c>
    </row>
    <row r="1418">
      <c r="A1418" t="s">
        <v>5202</v>
      </c>
      <c r="B1418" s="254">
        <v>4790.0</v>
      </c>
      <c r="C1418" s="254">
        <v>0.0</v>
      </c>
      <c r="D1418" s="3">
        <v>0.0</v>
      </c>
      <c r="E1418" t="b">
        <f t="shared" si="1"/>
        <v>1</v>
      </c>
    </row>
    <row r="1419">
      <c r="A1419" t="s">
        <v>5413</v>
      </c>
      <c r="B1419" s="254">
        <v>4790.0</v>
      </c>
      <c r="C1419" s="256">
        <v>0.0</v>
      </c>
      <c r="D1419" t="str">
        <f>VLOOKUP(A1419,PIVOT!$A$4:$F$1900,6,0)</f>
        <v>#REF!</v>
      </c>
      <c r="E1419" t="str">
        <f t="shared" si="1"/>
        <v>#REF!</v>
      </c>
    </row>
    <row r="1420">
      <c r="A1420" t="s">
        <v>11976</v>
      </c>
      <c r="B1420" s="254">
        <v>4790.0</v>
      </c>
      <c r="C1420" s="256">
        <v>0.0</v>
      </c>
      <c r="D1420" s="3">
        <v>0.0</v>
      </c>
      <c r="E1420" t="b">
        <f t="shared" si="1"/>
        <v>1</v>
      </c>
    </row>
    <row r="1421">
      <c r="A1421" t="s">
        <v>1946</v>
      </c>
      <c r="B1421" s="254">
        <v>4790.0</v>
      </c>
      <c r="C1421" s="254">
        <v>1.0</v>
      </c>
      <c r="D1421" t="str">
        <f>VLOOKUP(A1421,PIVOT!$A$4:$F$1900,6,0)</f>
        <v>#REF!</v>
      </c>
      <c r="E1421" t="str">
        <f t="shared" si="1"/>
        <v>#REF!</v>
      </c>
    </row>
    <row r="1422">
      <c r="A1422" t="s">
        <v>5420</v>
      </c>
      <c r="B1422" s="254">
        <v>7290.0</v>
      </c>
      <c r="C1422" s="256">
        <v>0.0</v>
      </c>
      <c r="D1422" s="3">
        <v>0.0</v>
      </c>
      <c r="E1422" t="b">
        <f t="shared" si="1"/>
        <v>1</v>
      </c>
    </row>
    <row r="1423">
      <c r="A1423" t="s">
        <v>11977</v>
      </c>
      <c r="B1423" s="254">
        <v>7290.0</v>
      </c>
      <c r="C1423" s="256">
        <v>0.0</v>
      </c>
      <c r="D1423" s="3">
        <v>0.0</v>
      </c>
      <c r="E1423" t="b">
        <f t="shared" si="1"/>
        <v>1</v>
      </c>
    </row>
    <row r="1424">
      <c r="A1424" t="s">
        <v>5419</v>
      </c>
      <c r="B1424" s="254">
        <v>4790.0</v>
      </c>
      <c r="C1424" s="256">
        <v>0.0</v>
      </c>
      <c r="D1424" t="str">
        <f>VLOOKUP(A1424,PIVOT!$A$4:$F$1900,6,0)</f>
        <v>#REF!</v>
      </c>
      <c r="E1424" t="str">
        <f t="shared" si="1"/>
        <v>#REF!</v>
      </c>
    </row>
    <row r="1425">
      <c r="A1425" t="s">
        <v>11978</v>
      </c>
      <c r="B1425" s="254">
        <v>4790.0</v>
      </c>
      <c r="C1425" s="256">
        <v>0.0</v>
      </c>
      <c r="D1425" s="3">
        <v>0.0</v>
      </c>
      <c r="E1425" t="b">
        <f t="shared" si="1"/>
        <v>1</v>
      </c>
    </row>
    <row r="1426">
      <c r="A1426" t="s">
        <v>5201</v>
      </c>
      <c r="B1426" s="254">
        <v>4790.0</v>
      </c>
      <c r="C1426" s="256">
        <v>1.0</v>
      </c>
      <c r="D1426" t="str">
        <f t="shared" ref="D1426:D1429" si="26">VLOOKUP(A1426,PIVOT!$A$4:$F$1900,6,0)</f>
        <v>#REF!</v>
      </c>
      <c r="E1426" t="str">
        <f t="shared" si="1"/>
        <v>#REF!</v>
      </c>
    </row>
    <row r="1427">
      <c r="A1427" t="s">
        <v>1947</v>
      </c>
      <c r="B1427" s="254">
        <v>4790.0</v>
      </c>
      <c r="C1427" s="256">
        <v>0.0</v>
      </c>
      <c r="D1427" t="str">
        <f t="shared" si="26"/>
        <v>#REF!</v>
      </c>
      <c r="E1427" t="str">
        <f t="shared" si="1"/>
        <v>#REF!</v>
      </c>
    </row>
    <row r="1428">
      <c r="A1428" t="s">
        <v>6392</v>
      </c>
      <c r="B1428" s="254">
        <v>5790.0</v>
      </c>
      <c r="C1428" s="256">
        <v>0.0</v>
      </c>
      <c r="D1428" t="str">
        <f t="shared" si="26"/>
        <v>#REF!</v>
      </c>
      <c r="E1428" t="str">
        <f t="shared" si="1"/>
        <v>#REF!</v>
      </c>
    </row>
    <row r="1429">
      <c r="A1429" t="s">
        <v>1948</v>
      </c>
      <c r="B1429" s="254">
        <v>6790.0</v>
      </c>
      <c r="C1429" s="256">
        <v>1.0</v>
      </c>
      <c r="D1429" t="str">
        <f t="shared" si="26"/>
        <v>#REF!</v>
      </c>
      <c r="E1429" t="str">
        <f t="shared" si="1"/>
        <v>#REF!</v>
      </c>
    </row>
    <row r="1430">
      <c r="A1430" t="s">
        <v>11979</v>
      </c>
      <c r="B1430" s="254">
        <v>5790.0</v>
      </c>
      <c r="C1430" s="256">
        <v>0.0</v>
      </c>
      <c r="D1430" s="3">
        <v>0.0</v>
      </c>
      <c r="E1430" t="b">
        <f t="shared" si="1"/>
        <v>1</v>
      </c>
    </row>
    <row r="1431">
      <c r="A1431" t="s">
        <v>6211</v>
      </c>
      <c r="B1431" s="254">
        <v>7290.0</v>
      </c>
      <c r="C1431" s="256">
        <v>1.0</v>
      </c>
      <c r="D1431" t="str">
        <f>VLOOKUP(A1431,PIVOT!$A$4:$F$1900,6,0)</f>
        <v>#REF!</v>
      </c>
      <c r="E1431" t="str">
        <f t="shared" si="1"/>
        <v>#REF!</v>
      </c>
    </row>
    <row r="1432">
      <c r="A1432" t="s">
        <v>11980</v>
      </c>
      <c r="B1432" s="254">
        <v>8890.0</v>
      </c>
      <c r="C1432" s="256">
        <v>0.0</v>
      </c>
      <c r="D1432" s="3">
        <v>0.0</v>
      </c>
      <c r="E1432" t="b">
        <f t="shared" si="1"/>
        <v>1</v>
      </c>
    </row>
    <row r="1433">
      <c r="A1433" t="s">
        <v>1957</v>
      </c>
      <c r="B1433" s="254">
        <v>1800.0</v>
      </c>
      <c r="C1433" s="256">
        <v>2.0</v>
      </c>
      <c r="D1433" t="str">
        <f t="shared" ref="D1433:D1443" si="27">VLOOKUP(A1433,PIVOT!$A$4:$F$1900,6,0)</f>
        <v>#REF!</v>
      </c>
      <c r="E1433" t="str">
        <f t="shared" si="1"/>
        <v>#REF!</v>
      </c>
    </row>
    <row r="1434">
      <c r="A1434" t="s">
        <v>1959</v>
      </c>
      <c r="B1434" s="254">
        <v>1800.0</v>
      </c>
      <c r="C1434" s="256">
        <v>3.0</v>
      </c>
      <c r="D1434" t="str">
        <f t="shared" si="27"/>
        <v>#REF!</v>
      </c>
      <c r="E1434" t="str">
        <f t="shared" si="1"/>
        <v>#REF!</v>
      </c>
    </row>
    <row r="1435">
      <c r="A1435" t="s">
        <v>1961</v>
      </c>
      <c r="B1435" s="254">
        <v>1800.0</v>
      </c>
      <c r="C1435" s="256">
        <v>3.0</v>
      </c>
      <c r="D1435" t="str">
        <f t="shared" si="27"/>
        <v>#REF!</v>
      </c>
      <c r="E1435" t="str">
        <f t="shared" si="1"/>
        <v>#REF!</v>
      </c>
    </row>
    <row r="1436">
      <c r="A1436" t="s">
        <v>1963</v>
      </c>
      <c r="B1436" s="254">
        <v>1800.0</v>
      </c>
      <c r="C1436" s="256">
        <v>1.0</v>
      </c>
      <c r="D1436" t="str">
        <f t="shared" si="27"/>
        <v>#REF!</v>
      </c>
      <c r="E1436" t="str">
        <f t="shared" si="1"/>
        <v>#REF!</v>
      </c>
    </row>
    <row r="1437">
      <c r="A1437" t="s">
        <v>1964</v>
      </c>
      <c r="B1437" s="254">
        <v>1800.0</v>
      </c>
      <c r="C1437" s="256">
        <v>3.0</v>
      </c>
      <c r="D1437" t="str">
        <f t="shared" si="27"/>
        <v>#REF!</v>
      </c>
      <c r="E1437" t="str">
        <f t="shared" si="1"/>
        <v>#REF!</v>
      </c>
    </row>
    <row r="1438">
      <c r="A1438" t="s">
        <v>1966</v>
      </c>
      <c r="B1438" s="254">
        <v>1800.0</v>
      </c>
      <c r="C1438" s="256">
        <v>4.0</v>
      </c>
      <c r="D1438" t="str">
        <f t="shared" si="27"/>
        <v>#REF!</v>
      </c>
      <c r="E1438" t="str">
        <f t="shared" si="1"/>
        <v>#REF!</v>
      </c>
    </row>
    <row r="1439">
      <c r="A1439" t="s">
        <v>1968</v>
      </c>
      <c r="B1439" s="254">
        <v>1800.0</v>
      </c>
      <c r="C1439" s="290">
        <v>1.0</v>
      </c>
      <c r="D1439" t="str">
        <f t="shared" si="27"/>
        <v>#REF!</v>
      </c>
      <c r="E1439" t="str">
        <f t="shared" si="1"/>
        <v>#REF!</v>
      </c>
    </row>
    <row r="1440">
      <c r="A1440" t="s">
        <v>5628</v>
      </c>
      <c r="B1440" s="254">
        <v>1800.0</v>
      </c>
      <c r="C1440" s="256">
        <v>1.0</v>
      </c>
      <c r="D1440" t="str">
        <f t="shared" si="27"/>
        <v>#REF!</v>
      </c>
      <c r="E1440" t="str">
        <f t="shared" si="1"/>
        <v>#REF!</v>
      </c>
    </row>
    <row r="1441">
      <c r="A1441" t="s">
        <v>5630</v>
      </c>
      <c r="B1441" s="254">
        <v>1800.0</v>
      </c>
      <c r="C1441" s="256">
        <v>0.0</v>
      </c>
      <c r="D1441" t="str">
        <f t="shared" si="27"/>
        <v>#REF!</v>
      </c>
      <c r="E1441" t="str">
        <f t="shared" si="1"/>
        <v>#REF!</v>
      </c>
    </row>
    <row r="1442">
      <c r="A1442" t="s">
        <v>5627</v>
      </c>
      <c r="B1442" s="254">
        <v>1800.0</v>
      </c>
      <c r="C1442" s="256">
        <v>1.0</v>
      </c>
      <c r="D1442" t="str">
        <f t="shared" si="27"/>
        <v>#REF!</v>
      </c>
      <c r="E1442" t="str">
        <f t="shared" si="1"/>
        <v>#REF!</v>
      </c>
    </row>
    <row r="1443">
      <c r="A1443" t="s">
        <v>5617</v>
      </c>
      <c r="B1443" s="254">
        <v>1800.0</v>
      </c>
      <c r="C1443" s="290">
        <v>1.0</v>
      </c>
      <c r="D1443" t="str">
        <f t="shared" si="27"/>
        <v>#REF!</v>
      </c>
      <c r="E1443" t="str">
        <f t="shared" si="1"/>
        <v>#REF!</v>
      </c>
    </row>
    <row r="1444">
      <c r="A1444" t="s">
        <v>11981</v>
      </c>
      <c r="B1444" s="254">
        <v>1800.0</v>
      </c>
      <c r="C1444" s="290">
        <v>0.0</v>
      </c>
      <c r="D1444" s="3">
        <v>0.0</v>
      </c>
      <c r="E1444" t="b">
        <f t="shared" si="1"/>
        <v>1</v>
      </c>
    </row>
    <row r="1445">
      <c r="A1445" t="s">
        <v>5624</v>
      </c>
      <c r="B1445" s="254">
        <v>1800.0</v>
      </c>
      <c r="C1445" s="256">
        <v>1.0</v>
      </c>
      <c r="D1445" t="str">
        <f>VLOOKUP(A1445,PIVOT!$A$4:$F$1900,6,0)</f>
        <v>#REF!</v>
      </c>
      <c r="E1445" t="str">
        <f t="shared" si="1"/>
        <v>#REF!</v>
      </c>
    </row>
    <row r="1446">
      <c r="A1446" t="s">
        <v>11982</v>
      </c>
      <c r="B1446" s="254">
        <v>1800.0</v>
      </c>
      <c r="C1446" s="256">
        <v>0.0</v>
      </c>
      <c r="D1446" s="3">
        <v>0.0</v>
      </c>
      <c r="E1446" t="b">
        <f t="shared" si="1"/>
        <v>1</v>
      </c>
    </row>
    <row r="1447">
      <c r="A1447" t="s">
        <v>5620</v>
      </c>
      <c r="B1447" s="254">
        <v>1800.0</v>
      </c>
      <c r="C1447" s="256">
        <v>1.0</v>
      </c>
      <c r="D1447" t="str">
        <f t="shared" ref="D1447:D1450" si="28">VLOOKUP(A1447,PIVOT!$A$4:$F$1900,6,0)</f>
        <v>#REF!</v>
      </c>
      <c r="E1447" t="str">
        <f t="shared" si="1"/>
        <v>#REF!</v>
      </c>
    </row>
    <row r="1448">
      <c r="A1448" t="s">
        <v>1971</v>
      </c>
      <c r="B1448" s="254">
        <v>1800.0</v>
      </c>
      <c r="C1448" s="256">
        <v>1.0</v>
      </c>
      <c r="D1448" t="str">
        <f t="shared" si="28"/>
        <v>#REF!</v>
      </c>
      <c r="E1448" t="str">
        <f t="shared" si="1"/>
        <v>#REF!</v>
      </c>
    </row>
    <row r="1449">
      <c r="A1449" t="s">
        <v>6212</v>
      </c>
      <c r="B1449" s="254">
        <v>1800.0</v>
      </c>
      <c r="C1449" s="256">
        <v>1.0</v>
      </c>
      <c r="D1449" t="str">
        <f t="shared" si="28"/>
        <v>#REF!</v>
      </c>
      <c r="E1449" t="str">
        <f t="shared" si="1"/>
        <v>#REF!</v>
      </c>
    </row>
    <row r="1450">
      <c r="A1450" t="s">
        <v>5626</v>
      </c>
      <c r="B1450" s="254">
        <v>1800.0</v>
      </c>
      <c r="C1450" s="256">
        <v>1.0</v>
      </c>
      <c r="D1450" t="str">
        <f t="shared" si="28"/>
        <v>#REF!</v>
      </c>
      <c r="E1450" t="str">
        <f t="shared" si="1"/>
        <v>#REF!</v>
      </c>
    </row>
    <row r="1451">
      <c r="A1451" t="s">
        <v>11983</v>
      </c>
      <c r="B1451" s="254">
        <v>1800.0</v>
      </c>
      <c r="C1451" s="256">
        <v>0.0</v>
      </c>
      <c r="D1451" s="3">
        <v>0.0</v>
      </c>
      <c r="E1451" t="b">
        <f t="shared" si="1"/>
        <v>1</v>
      </c>
    </row>
    <row r="1452">
      <c r="A1452" t="s">
        <v>5629</v>
      </c>
      <c r="B1452" s="254">
        <v>1800.0</v>
      </c>
      <c r="C1452" s="256">
        <v>1.0</v>
      </c>
      <c r="D1452" t="str">
        <f>VLOOKUP(A1452,PIVOT!$A$4:$F$1900,6,0)</f>
        <v>#REF!</v>
      </c>
      <c r="E1452" t="str">
        <f t="shared" si="1"/>
        <v>#REF!</v>
      </c>
    </row>
    <row r="1453">
      <c r="A1453" t="s">
        <v>11984</v>
      </c>
      <c r="B1453" s="254">
        <v>1800.0</v>
      </c>
      <c r="C1453" s="256">
        <v>0.0</v>
      </c>
      <c r="D1453" s="3">
        <v>0.0</v>
      </c>
      <c r="E1453" t="b">
        <f t="shared" si="1"/>
        <v>1</v>
      </c>
    </row>
    <row r="1454">
      <c r="A1454" t="s">
        <v>1972</v>
      </c>
      <c r="B1454" s="254">
        <v>1800.0</v>
      </c>
      <c r="C1454" s="256">
        <v>1.0</v>
      </c>
      <c r="D1454" t="str">
        <f>VLOOKUP(A1454,PIVOT!$A$4:$F$1900,6,0)</f>
        <v>#REF!</v>
      </c>
      <c r="E1454" t="str">
        <f t="shared" si="1"/>
        <v>#REF!</v>
      </c>
    </row>
    <row r="1455">
      <c r="A1455" t="s">
        <v>11985</v>
      </c>
      <c r="B1455" s="254">
        <v>1800.0</v>
      </c>
      <c r="C1455" s="290">
        <v>0.0</v>
      </c>
      <c r="D1455" s="3">
        <v>0.0</v>
      </c>
      <c r="E1455" t="b">
        <f t="shared" si="1"/>
        <v>1</v>
      </c>
    </row>
    <row r="1456">
      <c r="A1456" t="s">
        <v>5621</v>
      </c>
      <c r="B1456" s="254">
        <v>1800.0</v>
      </c>
      <c r="C1456" s="256">
        <v>1.0</v>
      </c>
      <c r="D1456" t="str">
        <f>VLOOKUP(A1456,PIVOT!$A$4:$F$1900,6,0)</f>
        <v>#REF!</v>
      </c>
      <c r="E1456" t="str">
        <f t="shared" si="1"/>
        <v>#REF!</v>
      </c>
    </row>
    <row r="1457">
      <c r="A1457" t="s">
        <v>11986</v>
      </c>
      <c r="B1457" s="254">
        <v>1800.0</v>
      </c>
      <c r="C1457" s="290">
        <v>0.0</v>
      </c>
      <c r="D1457" s="3">
        <v>0.0</v>
      </c>
      <c r="E1457" t="b">
        <f t="shared" si="1"/>
        <v>1</v>
      </c>
    </row>
    <row r="1458">
      <c r="A1458" t="s">
        <v>11987</v>
      </c>
      <c r="B1458" s="254">
        <v>1800.0</v>
      </c>
      <c r="C1458" s="256">
        <v>0.0</v>
      </c>
      <c r="D1458" s="3">
        <v>0.0</v>
      </c>
      <c r="E1458" t="b">
        <f t="shared" si="1"/>
        <v>1</v>
      </c>
    </row>
    <row r="1459">
      <c r="A1459" t="s">
        <v>11988</v>
      </c>
      <c r="B1459" s="254">
        <v>1200.0</v>
      </c>
      <c r="C1459" s="256">
        <v>22.0</v>
      </c>
      <c r="D1459" t="str">
        <f t="shared" ref="D1459:D1471" si="29">VLOOKUP(A1459,PIVOT!$A$4:$F$1900,6,0)</f>
        <v>#REF!</v>
      </c>
      <c r="E1459" t="str">
        <f t="shared" si="1"/>
        <v>#REF!</v>
      </c>
    </row>
    <row r="1460">
      <c r="A1460" t="s">
        <v>6305</v>
      </c>
      <c r="B1460" s="254">
        <v>1300.0</v>
      </c>
      <c r="C1460" s="256">
        <v>8.0</v>
      </c>
      <c r="D1460" t="str">
        <f t="shared" si="29"/>
        <v>#REF!</v>
      </c>
      <c r="E1460" t="str">
        <f t="shared" si="1"/>
        <v>#REF!</v>
      </c>
    </row>
    <row r="1461">
      <c r="A1461" s="3" t="s">
        <v>5818</v>
      </c>
      <c r="B1461" s="254">
        <v>300.0</v>
      </c>
      <c r="C1461" s="287">
        <v>40.0</v>
      </c>
      <c r="D1461" t="str">
        <f t="shared" si="29"/>
        <v>#REF!</v>
      </c>
      <c r="E1461" t="str">
        <f t="shared" si="1"/>
        <v>#REF!</v>
      </c>
    </row>
    <row r="1462">
      <c r="A1462" s="3" t="s">
        <v>5782</v>
      </c>
      <c r="B1462" s="254">
        <v>400.0</v>
      </c>
      <c r="C1462" s="287">
        <v>141.0</v>
      </c>
      <c r="D1462" t="str">
        <f t="shared" si="29"/>
        <v>#REF!</v>
      </c>
      <c r="E1462" t="str">
        <f t="shared" si="1"/>
        <v>#REF!</v>
      </c>
    </row>
    <row r="1463">
      <c r="A1463" s="3" t="s">
        <v>5845</v>
      </c>
      <c r="B1463" s="254">
        <v>450.0</v>
      </c>
      <c r="C1463" s="287">
        <v>95.0</v>
      </c>
      <c r="D1463" t="str">
        <f t="shared" si="29"/>
        <v>#REF!</v>
      </c>
      <c r="E1463" t="str">
        <f t="shared" si="1"/>
        <v>#REF!</v>
      </c>
    </row>
    <row r="1464">
      <c r="A1464" t="s">
        <v>6306</v>
      </c>
      <c r="B1464" s="254">
        <v>350.0</v>
      </c>
      <c r="C1464" s="256">
        <v>42.0</v>
      </c>
      <c r="D1464" t="str">
        <f t="shared" si="29"/>
        <v>#REF!</v>
      </c>
      <c r="E1464" t="str">
        <f t="shared" si="1"/>
        <v>#REF!</v>
      </c>
    </row>
    <row r="1465">
      <c r="A1465" t="s">
        <v>5713</v>
      </c>
      <c r="B1465" s="254">
        <v>1800.0</v>
      </c>
      <c r="C1465" s="256">
        <v>1.0</v>
      </c>
      <c r="D1465" t="str">
        <f t="shared" si="29"/>
        <v>#REF!</v>
      </c>
      <c r="E1465" t="str">
        <f t="shared" si="1"/>
        <v>#REF!</v>
      </c>
    </row>
    <row r="1466">
      <c r="A1466" t="s">
        <v>6307</v>
      </c>
      <c r="B1466" s="254">
        <v>1800.0</v>
      </c>
      <c r="C1466" s="256">
        <v>1.0</v>
      </c>
      <c r="D1466" t="str">
        <f t="shared" si="29"/>
        <v>#REF!</v>
      </c>
      <c r="E1466" t="str">
        <f t="shared" si="1"/>
        <v>#REF!</v>
      </c>
    </row>
    <row r="1467">
      <c r="A1467" t="s">
        <v>11989</v>
      </c>
      <c r="B1467" s="254">
        <v>1800.0</v>
      </c>
      <c r="C1467" s="256">
        <v>1.0</v>
      </c>
      <c r="D1467" t="str">
        <f t="shared" si="29"/>
        <v>#REF!</v>
      </c>
      <c r="E1467" t="str">
        <f t="shared" si="1"/>
        <v>#REF!</v>
      </c>
    </row>
    <row r="1468">
      <c r="A1468" t="s">
        <v>5718</v>
      </c>
      <c r="B1468" s="254">
        <v>1800.0</v>
      </c>
      <c r="C1468" s="287">
        <v>1.0</v>
      </c>
      <c r="D1468" t="str">
        <f t="shared" si="29"/>
        <v>#REF!</v>
      </c>
      <c r="E1468" t="str">
        <f t="shared" si="1"/>
        <v>#REF!</v>
      </c>
    </row>
    <row r="1469">
      <c r="A1469" t="s">
        <v>5716</v>
      </c>
      <c r="B1469" s="254">
        <v>1800.0</v>
      </c>
      <c r="C1469" s="287">
        <v>1.0</v>
      </c>
      <c r="D1469" t="str">
        <f t="shared" si="29"/>
        <v>#REF!</v>
      </c>
      <c r="E1469" t="str">
        <f t="shared" si="1"/>
        <v>#REF!</v>
      </c>
    </row>
    <row r="1470">
      <c r="A1470" t="s">
        <v>5715</v>
      </c>
      <c r="B1470" s="254">
        <v>1800.0</v>
      </c>
      <c r="C1470" s="287">
        <v>1.0</v>
      </c>
      <c r="D1470" t="str">
        <f t="shared" si="29"/>
        <v>#REF!</v>
      </c>
      <c r="E1470" t="str">
        <f t="shared" si="1"/>
        <v>#REF!</v>
      </c>
    </row>
    <row r="1471">
      <c r="A1471" t="s">
        <v>5717</v>
      </c>
      <c r="B1471" s="254">
        <v>1800.0</v>
      </c>
      <c r="C1471" s="287">
        <v>1.0</v>
      </c>
      <c r="D1471" t="str">
        <f t="shared" si="29"/>
        <v>#REF!</v>
      </c>
      <c r="E1471" t="str">
        <f t="shared" si="1"/>
        <v>#REF!</v>
      </c>
    </row>
    <row r="1472">
      <c r="A1472" t="s">
        <v>11990</v>
      </c>
      <c r="B1472" s="254">
        <v>1800.0</v>
      </c>
      <c r="C1472" s="256">
        <v>1.0</v>
      </c>
      <c r="D1472" s="3">
        <v>1.0</v>
      </c>
      <c r="E1472" t="b">
        <f t="shared" si="1"/>
        <v>1</v>
      </c>
    </row>
    <row r="1473">
      <c r="A1473" s="3" t="s">
        <v>6780</v>
      </c>
      <c r="B1473" s="254">
        <v>1800.0</v>
      </c>
      <c r="C1473" s="256">
        <v>1.0</v>
      </c>
      <c r="D1473" s="3">
        <v>1.0</v>
      </c>
      <c r="E1473" t="b">
        <f t="shared" si="1"/>
        <v>1</v>
      </c>
    </row>
    <row r="1474">
      <c r="A1474" s="3" t="s">
        <v>6781</v>
      </c>
      <c r="B1474" s="254">
        <v>1800.0</v>
      </c>
      <c r="C1474" s="256">
        <v>1.0</v>
      </c>
      <c r="D1474" s="3">
        <v>1.0</v>
      </c>
      <c r="E1474" t="b">
        <f t="shared" si="1"/>
        <v>1</v>
      </c>
    </row>
    <row r="1475">
      <c r="A1475" t="s">
        <v>6782</v>
      </c>
      <c r="B1475" s="254">
        <v>1800.0</v>
      </c>
      <c r="C1475" s="256">
        <v>1.0</v>
      </c>
      <c r="D1475" s="3">
        <v>1.0</v>
      </c>
      <c r="E1475" t="b">
        <f t="shared" si="1"/>
        <v>1</v>
      </c>
    </row>
    <row r="1476">
      <c r="A1476" t="s">
        <v>11991</v>
      </c>
      <c r="B1476" s="254">
        <v>24500.0</v>
      </c>
      <c r="C1476" s="256">
        <v>0.0</v>
      </c>
      <c r="D1476" s="3">
        <v>0.0</v>
      </c>
      <c r="E1476" t="b">
        <f t="shared" si="1"/>
        <v>1</v>
      </c>
    </row>
    <row r="1477">
      <c r="A1477" t="s">
        <v>1996</v>
      </c>
      <c r="B1477" s="254">
        <v>24500.0</v>
      </c>
      <c r="C1477" s="256">
        <v>1.0</v>
      </c>
      <c r="D1477" t="str">
        <f>VLOOKUP(A1477,PIVOT!$A$4:$F$1900,6,0)</f>
        <v>#REF!</v>
      </c>
      <c r="E1477" t="str">
        <f t="shared" si="1"/>
        <v>#REF!</v>
      </c>
    </row>
    <row r="1478">
      <c r="A1478" t="s">
        <v>11992</v>
      </c>
      <c r="B1478" s="254">
        <v>24500.0</v>
      </c>
      <c r="C1478" s="256">
        <v>0.0</v>
      </c>
      <c r="D1478" s="3">
        <v>0.0</v>
      </c>
      <c r="E1478" t="b">
        <f t="shared" si="1"/>
        <v>1</v>
      </c>
    </row>
    <row r="1479">
      <c r="A1479" t="s">
        <v>1998</v>
      </c>
      <c r="B1479" s="254">
        <v>24500.0</v>
      </c>
      <c r="C1479" s="256">
        <v>1.0</v>
      </c>
      <c r="D1479" t="str">
        <f>VLOOKUP(A1479,PIVOT!$A$4:$F$1900,6,0)</f>
        <v>#REF!</v>
      </c>
      <c r="E1479" t="str">
        <f t="shared" si="1"/>
        <v>#REF!</v>
      </c>
    </row>
    <row r="1480">
      <c r="A1480" t="s">
        <v>11993</v>
      </c>
      <c r="B1480" s="254">
        <v>24500.0</v>
      </c>
      <c r="C1480" s="256">
        <v>0.0</v>
      </c>
      <c r="D1480" s="3">
        <v>0.0</v>
      </c>
      <c r="E1480" t="b">
        <f t="shared" si="1"/>
        <v>1</v>
      </c>
    </row>
    <row r="1481">
      <c r="A1481" t="s">
        <v>2000</v>
      </c>
      <c r="B1481" s="254">
        <v>24500.0</v>
      </c>
      <c r="C1481" s="256">
        <v>1.0</v>
      </c>
      <c r="D1481" t="str">
        <f>VLOOKUP(A1481,PIVOT!$A$4:$F$1900,6,0)</f>
        <v>#REF!</v>
      </c>
      <c r="E1481" t="str">
        <f t="shared" si="1"/>
        <v>#REF!</v>
      </c>
    </row>
    <row r="1482">
      <c r="A1482" t="s">
        <v>11994</v>
      </c>
      <c r="B1482" s="254">
        <v>2550.0</v>
      </c>
      <c r="C1482" s="256">
        <v>0.0</v>
      </c>
      <c r="D1482" s="3">
        <v>0.0</v>
      </c>
      <c r="E1482" t="b">
        <f t="shared" si="1"/>
        <v>1</v>
      </c>
    </row>
    <row r="1483">
      <c r="A1483" t="s">
        <v>11995</v>
      </c>
      <c r="B1483" s="254">
        <v>6990.0</v>
      </c>
      <c r="C1483" s="256">
        <v>0.0</v>
      </c>
      <c r="D1483" s="3">
        <v>0.0</v>
      </c>
      <c r="E1483" t="b">
        <f t="shared" si="1"/>
        <v>1</v>
      </c>
    </row>
    <row r="1484">
      <c r="A1484" t="s">
        <v>11996</v>
      </c>
      <c r="B1484" s="254">
        <v>6725.0</v>
      </c>
      <c r="C1484" s="256">
        <v>0.0</v>
      </c>
      <c r="D1484" s="3">
        <v>0.0</v>
      </c>
      <c r="E1484" t="b">
        <f t="shared" si="1"/>
        <v>1</v>
      </c>
    </row>
    <row r="1485">
      <c r="A1485" t="s">
        <v>5308</v>
      </c>
      <c r="B1485" s="254">
        <v>6725.0</v>
      </c>
      <c r="C1485" s="256">
        <v>0.0</v>
      </c>
      <c r="D1485" t="str">
        <f>VLOOKUP(A1485,PIVOT!$A$4:$F$1900,6,0)</f>
        <v>#REF!</v>
      </c>
      <c r="E1485" t="str">
        <f t="shared" si="1"/>
        <v>#REF!</v>
      </c>
    </row>
    <row r="1486">
      <c r="A1486" t="s">
        <v>5318</v>
      </c>
      <c r="B1486" s="254">
        <v>6725.0</v>
      </c>
      <c r="C1486" s="256">
        <v>0.0</v>
      </c>
      <c r="D1486" s="3">
        <v>0.0</v>
      </c>
      <c r="E1486" t="b">
        <f t="shared" si="1"/>
        <v>1</v>
      </c>
    </row>
    <row r="1487">
      <c r="A1487" t="s">
        <v>6308</v>
      </c>
      <c r="B1487" s="254">
        <v>6885.0</v>
      </c>
      <c r="C1487" s="256">
        <v>1.0</v>
      </c>
      <c r="D1487" t="str">
        <f t="shared" ref="D1487:D1489" si="30">VLOOKUP(A1487,PIVOT!$A$4:$F$1900,6,0)</f>
        <v>#REF!</v>
      </c>
      <c r="E1487" t="str">
        <f t="shared" si="1"/>
        <v>#REF!</v>
      </c>
    </row>
    <row r="1488">
      <c r="A1488" t="s">
        <v>6309</v>
      </c>
      <c r="B1488" s="254">
        <v>6885.0</v>
      </c>
      <c r="C1488" s="256">
        <v>1.0</v>
      </c>
      <c r="D1488" t="str">
        <f t="shared" si="30"/>
        <v>#REF!</v>
      </c>
      <c r="E1488" t="str">
        <f t="shared" si="1"/>
        <v>#REF!</v>
      </c>
    </row>
    <row r="1489">
      <c r="A1489" t="s">
        <v>6310</v>
      </c>
      <c r="B1489" s="254">
        <v>6885.0</v>
      </c>
      <c r="C1489" s="256">
        <v>1.0</v>
      </c>
      <c r="D1489" t="str">
        <f t="shared" si="30"/>
        <v>#REF!</v>
      </c>
      <c r="E1489" t="str">
        <f t="shared" si="1"/>
        <v>#REF!</v>
      </c>
    </row>
    <row r="1490">
      <c r="A1490" t="s">
        <v>6311</v>
      </c>
      <c r="B1490" s="254">
        <v>6885.0</v>
      </c>
      <c r="C1490" s="256">
        <v>1.0</v>
      </c>
      <c r="D1490" s="3">
        <v>1.0</v>
      </c>
      <c r="E1490" t="b">
        <f t="shared" si="1"/>
        <v>1</v>
      </c>
    </row>
    <row r="1491">
      <c r="A1491" t="s">
        <v>11997</v>
      </c>
      <c r="B1491" s="254">
        <v>6885.0</v>
      </c>
      <c r="C1491" s="256">
        <v>0.0</v>
      </c>
      <c r="D1491" s="3">
        <v>0.0</v>
      </c>
      <c r="E1491" t="b">
        <f t="shared" si="1"/>
        <v>1</v>
      </c>
    </row>
    <row r="1492">
      <c r="A1492" t="s">
        <v>11998</v>
      </c>
      <c r="B1492" s="254">
        <v>6725.0</v>
      </c>
      <c r="C1492" s="256">
        <v>0.0</v>
      </c>
      <c r="D1492" s="3">
        <v>0.0</v>
      </c>
      <c r="E1492" t="b">
        <f t="shared" si="1"/>
        <v>1</v>
      </c>
    </row>
    <row r="1493">
      <c r="A1493" t="s">
        <v>11999</v>
      </c>
      <c r="B1493" s="254">
        <v>6725.0</v>
      </c>
      <c r="C1493" s="256">
        <v>0.0</v>
      </c>
      <c r="D1493" s="3">
        <v>0.0</v>
      </c>
      <c r="E1493" t="b">
        <f t="shared" si="1"/>
        <v>1</v>
      </c>
    </row>
    <row r="1494">
      <c r="A1494" t="s">
        <v>12000</v>
      </c>
      <c r="B1494" s="254">
        <v>6725.0</v>
      </c>
      <c r="C1494" s="256">
        <v>0.0</v>
      </c>
      <c r="D1494" s="3">
        <v>0.0</v>
      </c>
      <c r="E1494" t="b">
        <f t="shared" si="1"/>
        <v>1</v>
      </c>
    </row>
    <row r="1495">
      <c r="A1495" t="s">
        <v>5316</v>
      </c>
      <c r="B1495" s="254">
        <v>7500.0</v>
      </c>
      <c r="C1495" s="256">
        <v>1.0</v>
      </c>
      <c r="D1495" s="3">
        <v>1.0</v>
      </c>
      <c r="E1495" t="b">
        <f t="shared" si="1"/>
        <v>1</v>
      </c>
    </row>
    <row r="1496">
      <c r="A1496" t="s">
        <v>5306</v>
      </c>
      <c r="B1496" s="254">
        <v>6725.0</v>
      </c>
      <c r="C1496" s="256">
        <v>1.0</v>
      </c>
      <c r="D1496" s="3">
        <v>1.0</v>
      </c>
      <c r="E1496" t="b">
        <f t="shared" si="1"/>
        <v>1</v>
      </c>
    </row>
    <row r="1497">
      <c r="A1497" t="s">
        <v>5303</v>
      </c>
      <c r="B1497" s="254">
        <v>6725.0</v>
      </c>
      <c r="C1497" s="256">
        <v>1.0</v>
      </c>
      <c r="D1497" s="3">
        <v>1.0</v>
      </c>
      <c r="E1497" t="b">
        <f t="shared" si="1"/>
        <v>1</v>
      </c>
    </row>
    <row r="1498">
      <c r="A1498" t="s">
        <v>12001</v>
      </c>
      <c r="B1498" s="254">
        <v>6725.0</v>
      </c>
      <c r="C1498" s="256">
        <v>0.0</v>
      </c>
      <c r="D1498" s="3">
        <v>0.0</v>
      </c>
      <c r="E1498" t="b">
        <f t="shared" si="1"/>
        <v>1</v>
      </c>
    </row>
    <row r="1499">
      <c r="A1499" t="s">
        <v>5314</v>
      </c>
      <c r="B1499" s="254">
        <v>6885.0</v>
      </c>
      <c r="C1499" s="256">
        <v>1.0</v>
      </c>
      <c r="D1499" s="3">
        <v>1.0</v>
      </c>
      <c r="E1499" t="b">
        <f t="shared" si="1"/>
        <v>1</v>
      </c>
    </row>
    <row r="1500">
      <c r="A1500" t="s">
        <v>5312</v>
      </c>
      <c r="B1500" s="254">
        <v>6885.0</v>
      </c>
      <c r="C1500" s="256">
        <v>1.0</v>
      </c>
      <c r="D1500" s="3">
        <v>1.0</v>
      </c>
      <c r="E1500" t="b">
        <f t="shared" si="1"/>
        <v>1</v>
      </c>
    </row>
    <row r="1501">
      <c r="A1501" t="s">
        <v>5309</v>
      </c>
      <c r="B1501" s="254">
        <v>7500.0</v>
      </c>
      <c r="C1501" s="256">
        <v>1.0</v>
      </c>
      <c r="D1501" s="3">
        <v>1.0</v>
      </c>
      <c r="E1501" t="b">
        <f t="shared" si="1"/>
        <v>1</v>
      </c>
    </row>
    <row r="1502">
      <c r="A1502" t="s">
        <v>5313</v>
      </c>
      <c r="B1502" s="254">
        <v>7500.0</v>
      </c>
      <c r="C1502" s="256">
        <v>1.0</v>
      </c>
      <c r="D1502" s="3">
        <v>1.0</v>
      </c>
      <c r="E1502" t="b">
        <f t="shared" si="1"/>
        <v>1</v>
      </c>
    </row>
    <row r="1503">
      <c r="A1503" t="s">
        <v>12002</v>
      </c>
      <c r="B1503" s="254">
        <v>8160.0</v>
      </c>
      <c r="C1503" s="256">
        <v>0.0</v>
      </c>
      <c r="D1503" s="3">
        <v>0.0</v>
      </c>
      <c r="E1503" t="b">
        <f t="shared" si="1"/>
        <v>1</v>
      </c>
    </row>
    <row r="1504">
      <c r="A1504" t="s">
        <v>5315</v>
      </c>
      <c r="B1504" s="254">
        <v>6885.0</v>
      </c>
      <c r="C1504" s="256">
        <v>1.0</v>
      </c>
      <c r="D1504" t="str">
        <f>VLOOKUP(A1504,PIVOT!$A$4:$F$1900,6,0)</f>
        <v>#REF!</v>
      </c>
      <c r="E1504" t="str">
        <f t="shared" si="1"/>
        <v>#REF!</v>
      </c>
    </row>
    <row r="1505">
      <c r="A1505" t="s">
        <v>6312</v>
      </c>
      <c r="B1505" s="254">
        <v>6885.0</v>
      </c>
      <c r="C1505" s="256">
        <v>1.0</v>
      </c>
      <c r="D1505" s="3">
        <v>1.0</v>
      </c>
      <c r="E1505" t="b">
        <f t="shared" si="1"/>
        <v>1</v>
      </c>
    </row>
    <row r="1506">
      <c r="A1506" t="s">
        <v>12003</v>
      </c>
      <c r="B1506" s="254">
        <v>8160.0</v>
      </c>
      <c r="C1506" s="256">
        <v>0.0</v>
      </c>
      <c r="D1506" s="3">
        <v>0.0</v>
      </c>
      <c r="E1506" t="b">
        <f t="shared" si="1"/>
        <v>1</v>
      </c>
    </row>
    <row r="1507">
      <c r="A1507" t="s">
        <v>12004</v>
      </c>
      <c r="B1507" s="254">
        <v>7500.0</v>
      </c>
      <c r="C1507" s="256">
        <v>0.0</v>
      </c>
      <c r="D1507" s="3">
        <v>0.0</v>
      </c>
      <c r="E1507" t="b">
        <f t="shared" si="1"/>
        <v>1</v>
      </c>
    </row>
    <row r="1508">
      <c r="A1508" t="s">
        <v>12005</v>
      </c>
      <c r="B1508" s="254">
        <v>3070.0</v>
      </c>
      <c r="C1508" s="256">
        <v>0.0</v>
      </c>
      <c r="D1508" s="3">
        <v>0.0</v>
      </c>
      <c r="E1508" t="b">
        <f t="shared" si="1"/>
        <v>1</v>
      </c>
    </row>
    <row r="1509">
      <c r="A1509" t="s">
        <v>12006</v>
      </c>
      <c r="B1509" s="254">
        <v>7650.0</v>
      </c>
      <c r="C1509" s="256">
        <v>0.0</v>
      </c>
      <c r="D1509" s="3">
        <v>0.0</v>
      </c>
      <c r="E1509" t="b">
        <f t="shared" si="1"/>
        <v>1</v>
      </c>
    </row>
    <row r="1510">
      <c r="A1510" t="s">
        <v>12007</v>
      </c>
      <c r="B1510" s="254">
        <v>7650.0</v>
      </c>
      <c r="C1510" s="256">
        <v>0.0</v>
      </c>
      <c r="D1510" s="3">
        <v>0.0</v>
      </c>
      <c r="E1510" t="b">
        <f t="shared" si="1"/>
        <v>1</v>
      </c>
    </row>
    <row r="1511">
      <c r="A1511" t="s">
        <v>2045</v>
      </c>
      <c r="B1511" s="254">
        <v>3060.0</v>
      </c>
      <c r="C1511" s="256">
        <v>0.0</v>
      </c>
      <c r="D1511" s="3">
        <v>0.0</v>
      </c>
      <c r="E1511" t="b">
        <f t="shared" si="1"/>
        <v>1</v>
      </c>
    </row>
    <row r="1512">
      <c r="A1512" t="s">
        <v>12008</v>
      </c>
      <c r="B1512" s="254">
        <v>7905.0</v>
      </c>
      <c r="C1512" s="256">
        <v>0.0</v>
      </c>
      <c r="D1512" s="3">
        <v>0.0</v>
      </c>
      <c r="E1512" t="b">
        <f t="shared" si="1"/>
        <v>1</v>
      </c>
    </row>
    <row r="1513">
      <c r="A1513" t="s">
        <v>12009</v>
      </c>
      <c r="B1513" s="254">
        <v>9560.0</v>
      </c>
      <c r="C1513" s="256">
        <v>0.0</v>
      </c>
      <c r="D1513" s="3">
        <v>0.0</v>
      </c>
      <c r="E1513" t="b">
        <f t="shared" si="1"/>
        <v>1</v>
      </c>
    </row>
    <row r="1514">
      <c r="A1514" t="s">
        <v>12010</v>
      </c>
      <c r="B1514" s="254">
        <v>9560.0</v>
      </c>
      <c r="C1514" s="256">
        <v>0.0</v>
      </c>
      <c r="D1514" s="3">
        <v>0.0</v>
      </c>
      <c r="E1514" t="b">
        <f t="shared" si="1"/>
        <v>1</v>
      </c>
    </row>
    <row r="1515">
      <c r="A1515" t="s">
        <v>2046</v>
      </c>
      <c r="B1515" s="254">
        <v>8415.0</v>
      </c>
      <c r="C1515" s="256">
        <v>0.0</v>
      </c>
      <c r="D1515" s="3">
        <v>0.0</v>
      </c>
      <c r="E1515" t="b">
        <f t="shared" si="1"/>
        <v>1</v>
      </c>
    </row>
    <row r="1516">
      <c r="A1516" t="s">
        <v>12011</v>
      </c>
      <c r="B1516" s="254">
        <v>8000.0</v>
      </c>
      <c r="C1516" s="256">
        <v>0.0</v>
      </c>
      <c r="D1516" s="3">
        <v>0.0</v>
      </c>
      <c r="E1516" t="b">
        <f t="shared" si="1"/>
        <v>1</v>
      </c>
    </row>
    <row r="1517">
      <c r="A1517" t="s">
        <v>12012</v>
      </c>
      <c r="B1517" s="254">
        <v>3270.0</v>
      </c>
      <c r="C1517" s="256">
        <v>0.0</v>
      </c>
      <c r="D1517" s="3">
        <v>0.0</v>
      </c>
      <c r="E1517" t="b">
        <f t="shared" si="1"/>
        <v>1</v>
      </c>
    </row>
    <row r="1518">
      <c r="A1518" t="s">
        <v>12013</v>
      </c>
      <c r="B1518" s="254">
        <v>8160.0</v>
      </c>
      <c r="C1518" s="256">
        <v>0.0</v>
      </c>
      <c r="D1518" s="3">
        <v>0.0</v>
      </c>
      <c r="E1518" t="b">
        <f t="shared" si="1"/>
        <v>1</v>
      </c>
    </row>
    <row r="1519">
      <c r="A1519" t="s">
        <v>12014</v>
      </c>
      <c r="B1519" s="254">
        <v>8160.0</v>
      </c>
      <c r="C1519" s="256">
        <v>0.0</v>
      </c>
      <c r="D1519" s="3">
        <v>0.0</v>
      </c>
      <c r="E1519" t="b">
        <f t="shared" si="1"/>
        <v>1</v>
      </c>
    </row>
    <row r="1520">
      <c r="A1520" t="s">
        <v>12015</v>
      </c>
      <c r="B1520" s="254">
        <v>8160.0</v>
      </c>
      <c r="C1520" s="256">
        <v>0.0</v>
      </c>
      <c r="D1520" s="3">
        <v>0.0</v>
      </c>
      <c r="E1520" t="b">
        <f t="shared" si="1"/>
        <v>1</v>
      </c>
    </row>
    <row r="1521">
      <c r="A1521" t="s">
        <v>2047</v>
      </c>
      <c r="B1521" s="254">
        <v>7650.0</v>
      </c>
      <c r="C1521" s="256">
        <v>0.0</v>
      </c>
      <c r="D1521" s="3">
        <v>0.0</v>
      </c>
      <c r="E1521" t="b">
        <f t="shared" si="1"/>
        <v>1</v>
      </c>
    </row>
    <row r="1522">
      <c r="A1522" t="s">
        <v>6012</v>
      </c>
      <c r="B1522" s="254">
        <v>9000.0</v>
      </c>
      <c r="C1522" s="256">
        <v>0.0</v>
      </c>
      <c r="D1522" s="3">
        <v>0.0</v>
      </c>
      <c r="E1522" t="b">
        <f t="shared" si="1"/>
        <v>1</v>
      </c>
    </row>
    <row r="1523">
      <c r="A1523" t="s">
        <v>12016</v>
      </c>
      <c r="B1523" s="254">
        <v>8290.0</v>
      </c>
      <c r="C1523" s="256">
        <v>0.0</v>
      </c>
      <c r="D1523" s="3">
        <v>0.0</v>
      </c>
      <c r="E1523" t="b">
        <f t="shared" si="1"/>
        <v>1</v>
      </c>
    </row>
    <row r="1524">
      <c r="A1524" t="s">
        <v>12017</v>
      </c>
      <c r="B1524" s="254">
        <v>9000.0</v>
      </c>
      <c r="C1524" s="256">
        <v>0.0</v>
      </c>
      <c r="D1524" s="3">
        <v>0.0</v>
      </c>
      <c r="E1524" t="b">
        <f t="shared" si="1"/>
        <v>1</v>
      </c>
    </row>
    <row r="1525">
      <c r="A1525" t="s">
        <v>12018</v>
      </c>
      <c r="B1525" s="254">
        <v>8415.0</v>
      </c>
      <c r="C1525" s="256">
        <v>0.0</v>
      </c>
      <c r="D1525" s="3">
        <v>0.0</v>
      </c>
      <c r="E1525" t="b">
        <f t="shared" si="1"/>
        <v>1</v>
      </c>
    </row>
    <row r="1526">
      <c r="A1526" t="s">
        <v>12019</v>
      </c>
      <c r="B1526" s="254">
        <v>8400.0</v>
      </c>
      <c r="C1526" s="256">
        <v>0.0</v>
      </c>
      <c r="D1526" s="3">
        <v>0.0</v>
      </c>
      <c r="E1526" t="b">
        <f t="shared" si="1"/>
        <v>1</v>
      </c>
    </row>
    <row r="1527">
      <c r="A1527" t="s">
        <v>12020</v>
      </c>
      <c r="B1527" s="254">
        <v>8400.0</v>
      </c>
      <c r="C1527" s="256">
        <v>0.0</v>
      </c>
      <c r="D1527" s="3">
        <v>0.0</v>
      </c>
      <c r="E1527" t="b">
        <f t="shared" si="1"/>
        <v>1</v>
      </c>
    </row>
    <row r="1528">
      <c r="A1528" t="s">
        <v>12021</v>
      </c>
      <c r="B1528" s="254">
        <v>8400.0</v>
      </c>
      <c r="C1528" s="256">
        <v>0.0</v>
      </c>
      <c r="D1528" s="3">
        <v>0.0</v>
      </c>
      <c r="E1528" t="b">
        <f t="shared" si="1"/>
        <v>1</v>
      </c>
    </row>
    <row r="1529">
      <c r="A1529" t="s">
        <v>12022</v>
      </c>
      <c r="B1529" s="254">
        <v>7690.0</v>
      </c>
      <c r="C1529" s="256">
        <v>0.0</v>
      </c>
      <c r="D1529" s="3">
        <v>0.0</v>
      </c>
      <c r="E1529" t="b">
        <f t="shared" si="1"/>
        <v>1</v>
      </c>
    </row>
    <row r="1530">
      <c r="A1530" t="s">
        <v>12023</v>
      </c>
      <c r="B1530" s="254">
        <v>8500.0</v>
      </c>
      <c r="C1530" s="256">
        <v>0.0</v>
      </c>
      <c r="D1530" s="3">
        <v>0.0</v>
      </c>
      <c r="E1530" t="b">
        <f t="shared" si="1"/>
        <v>1</v>
      </c>
    </row>
    <row r="1531">
      <c r="A1531" t="s">
        <v>12024</v>
      </c>
      <c r="B1531" s="254">
        <v>8415.0</v>
      </c>
      <c r="C1531" s="256">
        <v>0.0</v>
      </c>
      <c r="D1531" s="3">
        <v>0.0</v>
      </c>
      <c r="E1531" t="b">
        <f t="shared" si="1"/>
        <v>1</v>
      </c>
    </row>
    <row r="1532">
      <c r="A1532" t="s">
        <v>12025</v>
      </c>
      <c r="B1532" s="254">
        <v>8500.0</v>
      </c>
      <c r="C1532" s="256">
        <v>0.0</v>
      </c>
      <c r="D1532" s="3">
        <v>0.0</v>
      </c>
      <c r="E1532" t="b">
        <f t="shared" si="1"/>
        <v>1</v>
      </c>
    </row>
    <row r="1533">
      <c r="A1533" t="s">
        <v>12026</v>
      </c>
      <c r="B1533" s="254">
        <v>8500.0</v>
      </c>
      <c r="C1533" s="256">
        <v>0.0</v>
      </c>
      <c r="D1533" s="3">
        <v>0.0</v>
      </c>
      <c r="E1533" t="b">
        <f t="shared" si="1"/>
        <v>1</v>
      </c>
    </row>
    <row r="1534">
      <c r="A1534" t="s">
        <v>5352</v>
      </c>
      <c r="B1534" s="254">
        <v>8400.0</v>
      </c>
      <c r="C1534" s="256">
        <v>1.0</v>
      </c>
      <c r="D1534" t="str">
        <f>VLOOKUP(A1534,PIVOT!$A$4:$F$1900,6,0)</f>
        <v>#REF!</v>
      </c>
      <c r="E1534" t="str">
        <f t="shared" si="1"/>
        <v>#REF!</v>
      </c>
    </row>
    <row r="1535">
      <c r="A1535" t="s">
        <v>12027</v>
      </c>
      <c r="B1535" s="254">
        <v>9000.0</v>
      </c>
      <c r="C1535" s="256">
        <v>0.0</v>
      </c>
      <c r="D1535" s="3">
        <v>0.0</v>
      </c>
      <c r="E1535" t="b">
        <f t="shared" si="1"/>
        <v>1</v>
      </c>
    </row>
    <row r="1536">
      <c r="A1536" t="s">
        <v>12028</v>
      </c>
      <c r="B1536" s="254">
        <v>9560.0</v>
      </c>
      <c r="C1536" s="256">
        <v>0.0</v>
      </c>
      <c r="D1536" s="3">
        <v>0.0</v>
      </c>
      <c r="E1536" t="b">
        <f t="shared" si="1"/>
        <v>1</v>
      </c>
    </row>
    <row r="1537">
      <c r="A1537" t="s">
        <v>12029</v>
      </c>
      <c r="B1537" s="254">
        <v>9560.0</v>
      </c>
      <c r="C1537" s="256">
        <v>0.0</v>
      </c>
      <c r="D1537" s="3">
        <v>0.0</v>
      </c>
      <c r="E1537" t="b">
        <f t="shared" si="1"/>
        <v>1</v>
      </c>
    </row>
    <row r="1538">
      <c r="A1538" t="s">
        <v>12030</v>
      </c>
      <c r="B1538" s="254">
        <v>9180.0</v>
      </c>
      <c r="C1538" s="256">
        <v>0.0</v>
      </c>
      <c r="D1538" s="3">
        <v>0.0</v>
      </c>
      <c r="E1538" t="b">
        <f t="shared" si="1"/>
        <v>1</v>
      </c>
    </row>
    <row r="1539">
      <c r="A1539" t="s">
        <v>12031</v>
      </c>
      <c r="B1539" s="254">
        <v>8925.0</v>
      </c>
      <c r="C1539" s="256">
        <v>0.0</v>
      </c>
      <c r="D1539" s="3">
        <v>0.0</v>
      </c>
      <c r="E1539" t="b">
        <f t="shared" si="1"/>
        <v>1</v>
      </c>
    </row>
    <row r="1540">
      <c r="A1540" t="s">
        <v>12032</v>
      </c>
      <c r="B1540" s="254">
        <v>8400.0</v>
      </c>
      <c r="C1540" s="256">
        <v>0.0</v>
      </c>
      <c r="D1540" s="3">
        <v>0.0</v>
      </c>
      <c r="E1540" t="b">
        <f t="shared" si="1"/>
        <v>1</v>
      </c>
    </row>
    <row r="1541">
      <c r="A1541" t="s">
        <v>12033</v>
      </c>
      <c r="B1541" s="254">
        <v>9565.0</v>
      </c>
      <c r="C1541" s="256">
        <v>0.0</v>
      </c>
      <c r="D1541" s="3">
        <v>0.0</v>
      </c>
      <c r="E1541" t="b">
        <f t="shared" si="1"/>
        <v>1</v>
      </c>
    </row>
    <row r="1542">
      <c r="A1542" t="s">
        <v>12034</v>
      </c>
      <c r="B1542" s="254">
        <v>9565.0</v>
      </c>
      <c r="C1542" s="256">
        <v>0.0</v>
      </c>
      <c r="D1542" s="3">
        <v>0.0</v>
      </c>
      <c r="E1542" t="b">
        <f t="shared" si="1"/>
        <v>1</v>
      </c>
    </row>
    <row r="1543">
      <c r="A1543" t="s">
        <v>12035</v>
      </c>
      <c r="B1543" s="254">
        <v>8415.0</v>
      </c>
      <c r="C1543" s="256">
        <v>0.0</v>
      </c>
      <c r="D1543" s="3">
        <v>0.0</v>
      </c>
      <c r="E1543" t="b">
        <f t="shared" si="1"/>
        <v>1</v>
      </c>
    </row>
    <row r="1544">
      <c r="A1544" t="s">
        <v>5974</v>
      </c>
      <c r="B1544" s="254">
        <v>8415.0</v>
      </c>
      <c r="C1544" s="256">
        <v>0.0</v>
      </c>
      <c r="D1544" s="3">
        <v>0.0</v>
      </c>
      <c r="E1544" t="b">
        <f t="shared" si="1"/>
        <v>1</v>
      </c>
    </row>
    <row r="1545">
      <c r="A1545" t="s">
        <v>5348</v>
      </c>
      <c r="B1545" s="254">
        <v>8415.0</v>
      </c>
      <c r="C1545" s="256">
        <v>0.0</v>
      </c>
      <c r="D1545" s="3">
        <v>0.0</v>
      </c>
      <c r="E1545" t="b">
        <f t="shared" si="1"/>
        <v>1</v>
      </c>
    </row>
    <row r="1546">
      <c r="A1546" t="s">
        <v>12036</v>
      </c>
      <c r="B1546" s="254">
        <v>8415.0</v>
      </c>
      <c r="C1546" s="256">
        <v>0.0</v>
      </c>
      <c r="D1546" s="3">
        <v>0.0</v>
      </c>
      <c r="E1546" t="b">
        <f t="shared" si="1"/>
        <v>1</v>
      </c>
    </row>
    <row r="1547">
      <c r="A1547" t="s">
        <v>5360</v>
      </c>
      <c r="B1547" s="254">
        <v>8415.0</v>
      </c>
      <c r="C1547" s="256">
        <v>0.0</v>
      </c>
      <c r="D1547" s="3">
        <v>0.0</v>
      </c>
      <c r="E1547" t="b">
        <f t="shared" si="1"/>
        <v>1</v>
      </c>
    </row>
    <row r="1548">
      <c r="A1548" t="s">
        <v>12037</v>
      </c>
      <c r="B1548" s="254">
        <v>8415.0</v>
      </c>
      <c r="C1548" s="256">
        <v>0.0</v>
      </c>
      <c r="D1548" s="3">
        <v>0.0</v>
      </c>
      <c r="E1548" t="b">
        <f t="shared" si="1"/>
        <v>1</v>
      </c>
    </row>
    <row r="1549">
      <c r="A1549" t="s">
        <v>12038</v>
      </c>
      <c r="B1549" s="254">
        <v>7650.0</v>
      </c>
      <c r="C1549" s="256">
        <v>0.0</v>
      </c>
      <c r="D1549" s="3">
        <v>0.0</v>
      </c>
      <c r="E1549" t="b">
        <f t="shared" si="1"/>
        <v>1</v>
      </c>
    </row>
    <row r="1550">
      <c r="A1550" t="s">
        <v>12039</v>
      </c>
      <c r="B1550" s="254">
        <v>7650.0</v>
      </c>
      <c r="C1550" s="256">
        <v>0.0</v>
      </c>
      <c r="D1550" s="3">
        <v>0.0</v>
      </c>
      <c r="E1550" t="b">
        <f t="shared" si="1"/>
        <v>1</v>
      </c>
    </row>
    <row r="1551">
      <c r="A1551" t="s">
        <v>12040</v>
      </c>
      <c r="B1551" s="254">
        <v>7650.0</v>
      </c>
      <c r="C1551" s="256">
        <v>0.0</v>
      </c>
      <c r="D1551" s="3">
        <v>0.0</v>
      </c>
      <c r="E1551" t="b">
        <f t="shared" si="1"/>
        <v>1</v>
      </c>
    </row>
    <row r="1552">
      <c r="A1552" t="s">
        <v>12041</v>
      </c>
      <c r="B1552" s="254">
        <v>7650.0</v>
      </c>
      <c r="C1552" s="256">
        <v>0.0</v>
      </c>
      <c r="D1552" s="3">
        <v>0.0</v>
      </c>
      <c r="E1552" t="b">
        <f t="shared" si="1"/>
        <v>1</v>
      </c>
    </row>
    <row r="1553">
      <c r="A1553" t="s">
        <v>5351</v>
      </c>
      <c r="B1553" s="254">
        <v>8925.0</v>
      </c>
      <c r="C1553" s="256">
        <v>0.0</v>
      </c>
      <c r="D1553" s="3">
        <v>0.0</v>
      </c>
      <c r="E1553" t="b">
        <f t="shared" si="1"/>
        <v>1</v>
      </c>
    </row>
    <row r="1554">
      <c r="A1554" t="s">
        <v>12042</v>
      </c>
      <c r="B1554" s="254">
        <v>9565.0</v>
      </c>
      <c r="C1554" s="256">
        <v>0.0</v>
      </c>
      <c r="D1554" s="3">
        <v>0.0</v>
      </c>
      <c r="E1554" t="b">
        <f t="shared" si="1"/>
        <v>1</v>
      </c>
    </row>
    <row r="1555">
      <c r="A1555" t="s">
        <v>5354</v>
      </c>
      <c r="B1555" s="254">
        <v>9565.0</v>
      </c>
      <c r="C1555" s="256">
        <v>1.0</v>
      </c>
      <c r="D1555" t="str">
        <f>VLOOKUP(A1555,PIVOT!$A$4:$F$1900,6,0)</f>
        <v>#REF!</v>
      </c>
      <c r="E1555" t="str">
        <f t="shared" si="1"/>
        <v>#REF!</v>
      </c>
    </row>
    <row r="1556">
      <c r="A1556" t="s">
        <v>10017</v>
      </c>
      <c r="B1556" s="254">
        <v>8925.0</v>
      </c>
      <c r="C1556" s="256">
        <v>0.0</v>
      </c>
      <c r="D1556" s="3">
        <v>0.0</v>
      </c>
      <c r="E1556" t="b">
        <f t="shared" si="1"/>
        <v>1</v>
      </c>
    </row>
    <row r="1557">
      <c r="A1557" t="s">
        <v>5355</v>
      </c>
      <c r="B1557" s="254">
        <v>8925.0</v>
      </c>
      <c r="C1557" s="256">
        <v>1.0</v>
      </c>
      <c r="D1557" t="str">
        <f>VLOOKUP(A1557,PIVOT!$A$4:$F$1900,6,0)</f>
        <v>#REF!</v>
      </c>
      <c r="E1557" t="str">
        <f t="shared" si="1"/>
        <v>#REF!</v>
      </c>
    </row>
    <row r="1558">
      <c r="A1558" t="s">
        <v>2061</v>
      </c>
      <c r="B1558" s="254">
        <v>8925.0</v>
      </c>
      <c r="C1558" s="256">
        <v>1.0</v>
      </c>
      <c r="D1558" s="3">
        <v>1.0</v>
      </c>
      <c r="E1558" t="b">
        <f t="shared" si="1"/>
        <v>1</v>
      </c>
    </row>
    <row r="1559">
      <c r="A1559" t="s">
        <v>9998</v>
      </c>
      <c r="B1559" s="254">
        <v>8415.0</v>
      </c>
      <c r="C1559" s="256">
        <v>0.0</v>
      </c>
      <c r="D1559" s="3">
        <v>0.0</v>
      </c>
      <c r="E1559" t="b">
        <f t="shared" si="1"/>
        <v>1</v>
      </c>
    </row>
    <row r="1560">
      <c r="A1560" t="s">
        <v>12043</v>
      </c>
      <c r="B1560" s="254">
        <v>8905.0</v>
      </c>
      <c r="C1560" s="256">
        <v>0.0</v>
      </c>
      <c r="D1560" t="str">
        <f>VLOOKUP(A1560,PIVOT!$A$4:$F$1900,6,0)</f>
        <v>#REF!</v>
      </c>
      <c r="E1560" t="str">
        <f t="shared" si="1"/>
        <v>#REF!</v>
      </c>
    </row>
    <row r="1561">
      <c r="A1561" t="s">
        <v>5359</v>
      </c>
      <c r="B1561" s="254">
        <v>8415.0</v>
      </c>
      <c r="C1561" s="256">
        <v>0.0</v>
      </c>
      <c r="D1561" s="3">
        <v>0.0</v>
      </c>
      <c r="E1561" t="b">
        <f t="shared" si="1"/>
        <v>1</v>
      </c>
    </row>
    <row r="1562">
      <c r="A1562" t="s">
        <v>5349</v>
      </c>
      <c r="B1562" s="254">
        <v>8415.0</v>
      </c>
      <c r="C1562" s="256">
        <v>0.0</v>
      </c>
      <c r="D1562" s="3">
        <v>0.0</v>
      </c>
      <c r="E1562" t="b">
        <f t="shared" si="1"/>
        <v>1</v>
      </c>
    </row>
    <row r="1563">
      <c r="A1563" t="s">
        <v>12044</v>
      </c>
      <c r="B1563" s="254">
        <v>6375.0</v>
      </c>
      <c r="C1563" s="256">
        <v>0.0</v>
      </c>
      <c r="D1563" s="3">
        <v>0.0</v>
      </c>
      <c r="E1563" t="b">
        <f t="shared" si="1"/>
        <v>1</v>
      </c>
    </row>
    <row r="1564">
      <c r="A1564" t="s">
        <v>9999</v>
      </c>
      <c r="B1564" s="254">
        <v>9920.0</v>
      </c>
      <c r="C1564" s="256">
        <v>0.0</v>
      </c>
      <c r="D1564" s="3">
        <v>0.0</v>
      </c>
      <c r="E1564" t="b">
        <f t="shared" si="1"/>
        <v>1</v>
      </c>
    </row>
    <row r="1565">
      <c r="A1565" t="s">
        <v>9995</v>
      </c>
      <c r="B1565" s="254">
        <v>7650.0</v>
      </c>
      <c r="C1565" s="256">
        <v>0.0</v>
      </c>
      <c r="D1565" s="3">
        <v>0.0</v>
      </c>
      <c r="E1565" t="b">
        <f t="shared" si="1"/>
        <v>1</v>
      </c>
    </row>
    <row r="1566">
      <c r="A1566" t="s">
        <v>12045</v>
      </c>
      <c r="B1566" s="254">
        <v>8415.0</v>
      </c>
      <c r="C1566" s="256">
        <v>0.0</v>
      </c>
      <c r="D1566" s="3">
        <v>0.0</v>
      </c>
      <c r="E1566" t="b">
        <f t="shared" si="1"/>
        <v>1</v>
      </c>
    </row>
    <row r="1567">
      <c r="A1567" t="s">
        <v>5350</v>
      </c>
      <c r="B1567" s="254">
        <v>8415.0</v>
      </c>
      <c r="C1567" s="256">
        <v>1.0</v>
      </c>
      <c r="D1567" s="3">
        <v>1.0</v>
      </c>
      <c r="E1567" t="b">
        <f t="shared" si="1"/>
        <v>1</v>
      </c>
    </row>
    <row r="1568">
      <c r="A1568" t="s">
        <v>12046</v>
      </c>
      <c r="B1568" s="254">
        <v>7140.0</v>
      </c>
      <c r="C1568" s="256">
        <v>0.0</v>
      </c>
      <c r="D1568" s="3">
        <v>0.0</v>
      </c>
      <c r="E1568" t="b">
        <f t="shared" si="1"/>
        <v>1</v>
      </c>
    </row>
    <row r="1569">
      <c r="A1569" t="s">
        <v>12047</v>
      </c>
      <c r="B1569" s="254">
        <v>7650.0</v>
      </c>
      <c r="C1569" s="256">
        <v>0.0</v>
      </c>
      <c r="D1569" s="3">
        <v>0.0</v>
      </c>
      <c r="E1569" t="b">
        <f t="shared" si="1"/>
        <v>1</v>
      </c>
    </row>
    <row r="1570">
      <c r="A1570" t="s">
        <v>12048</v>
      </c>
      <c r="B1570" s="254">
        <v>7650.0</v>
      </c>
      <c r="C1570" s="256">
        <v>0.0</v>
      </c>
      <c r="D1570" s="3">
        <v>0.0</v>
      </c>
      <c r="E1570" t="b">
        <f t="shared" si="1"/>
        <v>1</v>
      </c>
    </row>
    <row r="1571">
      <c r="A1571" t="s">
        <v>12049</v>
      </c>
      <c r="B1571" s="254">
        <v>7650.0</v>
      </c>
      <c r="C1571" s="256">
        <v>0.0</v>
      </c>
      <c r="D1571" s="3">
        <v>0.0</v>
      </c>
      <c r="E1571" t="b">
        <f t="shared" si="1"/>
        <v>1</v>
      </c>
    </row>
    <row r="1572">
      <c r="A1572" t="s">
        <v>12050</v>
      </c>
      <c r="B1572" s="254">
        <v>7650.0</v>
      </c>
      <c r="C1572" s="256">
        <v>0.0</v>
      </c>
      <c r="D1572" s="3">
        <v>0.0</v>
      </c>
      <c r="E1572" t="b">
        <f t="shared" si="1"/>
        <v>1</v>
      </c>
    </row>
    <row r="1573">
      <c r="A1573" t="s">
        <v>12051</v>
      </c>
      <c r="B1573" s="254">
        <v>7650.0</v>
      </c>
      <c r="C1573" s="256">
        <v>0.0</v>
      </c>
      <c r="D1573" s="3">
        <v>0.0</v>
      </c>
      <c r="E1573" t="b">
        <f t="shared" si="1"/>
        <v>1</v>
      </c>
    </row>
    <row r="1574">
      <c r="A1574" t="s">
        <v>5346</v>
      </c>
      <c r="B1574" s="254">
        <v>8415.0</v>
      </c>
      <c r="C1574" s="256">
        <v>1.0</v>
      </c>
      <c r="D1574" s="3">
        <v>1.0</v>
      </c>
      <c r="E1574" t="b">
        <f t="shared" si="1"/>
        <v>1</v>
      </c>
    </row>
    <row r="1575">
      <c r="A1575" t="s">
        <v>12052</v>
      </c>
      <c r="B1575" s="254">
        <v>7650.0</v>
      </c>
      <c r="C1575" s="256">
        <v>0.0</v>
      </c>
      <c r="D1575" s="3">
        <v>0.0</v>
      </c>
      <c r="E1575" t="b">
        <f t="shared" si="1"/>
        <v>1</v>
      </c>
    </row>
    <row r="1576">
      <c r="A1576" t="s">
        <v>2064</v>
      </c>
      <c r="B1576" s="254">
        <v>8797.0</v>
      </c>
      <c r="C1576" s="256">
        <v>0.0</v>
      </c>
      <c r="D1576" s="3">
        <v>0.0</v>
      </c>
      <c r="E1576" t="b">
        <f t="shared" si="1"/>
        <v>1</v>
      </c>
    </row>
    <row r="1577">
      <c r="A1577" t="s">
        <v>12053</v>
      </c>
      <c r="B1577" s="254">
        <v>8979.0</v>
      </c>
      <c r="C1577" s="256">
        <v>0.0</v>
      </c>
      <c r="D1577" s="3">
        <v>0.0</v>
      </c>
      <c r="E1577" t="b">
        <f t="shared" si="1"/>
        <v>1</v>
      </c>
    </row>
    <row r="1578">
      <c r="A1578" t="s">
        <v>12054</v>
      </c>
      <c r="B1578" s="254">
        <v>3060.0</v>
      </c>
      <c r="C1578" s="256">
        <v>0.0</v>
      </c>
      <c r="D1578" s="3">
        <v>0.0</v>
      </c>
      <c r="E1578" t="b">
        <f t="shared" si="1"/>
        <v>1</v>
      </c>
    </row>
    <row r="1579">
      <c r="A1579" t="s">
        <v>12055</v>
      </c>
      <c r="B1579" s="254">
        <v>7650.0</v>
      </c>
      <c r="C1579" s="256">
        <v>0.0</v>
      </c>
      <c r="D1579" s="3">
        <v>0.0</v>
      </c>
      <c r="E1579" t="b">
        <f t="shared" si="1"/>
        <v>1</v>
      </c>
    </row>
    <row r="1580">
      <c r="A1580" t="s">
        <v>5356</v>
      </c>
      <c r="B1580" s="254">
        <v>7650.0</v>
      </c>
      <c r="C1580" s="256">
        <v>0.0</v>
      </c>
      <c r="D1580" s="3">
        <v>0.0</v>
      </c>
      <c r="E1580" t="b">
        <f t="shared" si="1"/>
        <v>1</v>
      </c>
    </row>
    <row r="1581">
      <c r="A1581" t="s">
        <v>6779</v>
      </c>
      <c r="B1581" s="254">
        <v>8415.0</v>
      </c>
      <c r="C1581" s="256">
        <v>0.0</v>
      </c>
      <c r="D1581" s="3">
        <v>0.0</v>
      </c>
      <c r="E1581" t="b">
        <f t="shared" si="1"/>
        <v>1</v>
      </c>
    </row>
    <row r="1582">
      <c r="A1582" t="s">
        <v>5361</v>
      </c>
      <c r="B1582" s="254">
        <v>5610.0</v>
      </c>
      <c r="C1582" s="256">
        <v>0.0</v>
      </c>
      <c r="D1582" s="3">
        <v>0.0</v>
      </c>
      <c r="E1582" t="b">
        <f t="shared" si="1"/>
        <v>1</v>
      </c>
    </row>
    <row r="1583">
      <c r="A1583" t="s">
        <v>12056</v>
      </c>
      <c r="B1583" s="254">
        <v>5610.0</v>
      </c>
      <c r="C1583" s="256">
        <v>0.0</v>
      </c>
      <c r="D1583" s="3">
        <v>0.0</v>
      </c>
      <c r="E1583" t="b">
        <f t="shared" si="1"/>
        <v>1</v>
      </c>
    </row>
    <row r="1584">
      <c r="A1584" s="3" t="s">
        <v>6120</v>
      </c>
      <c r="B1584" s="254">
        <v>300.0</v>
      </c>
      <c r="C1584" s="287">
        <v>5.0</v>
      </c>
      <c r="D1584" s="3">
        <v>5.0</v>
      </c>
      <c r="E1584" t="b">
        <f t="shared" si="1"/>
        <v>1</v>
      </c>
    </row>
    <row r="1585">
      <c r="A1585" t="s">
        <v>12057</v>
      </c>
      <c r="B1585" s="254"/>
      <c r="C1585" s="257"/>
      <c r="D1585" t="str">
        <f>VLOOKUP(A1585,PIVOT!$A$4:$F$1900,6,0)</f>
        <v>#REF!</v>
      </c>
      <c r="E1585" t="str">
        <f t="shared" si="1"/>
        <v>#REF!</v>
      </c>
    </row>
    <row r="1586">
      <c r="A1586" t="s">
        <v>2084</v>
      </c>
      <c r="B1586" s="254">
        <v>11500.0</v>
      </c>
      <c r="C1586" s="256">
        <v>1.0</v>
      </c>
      <c r="D1586" s="3">
        <v>1.0</v>
      </c>
      <c r="E1586" t="b">
        <f t="shared" si="1"/>
        <v>1</v>
      </c>
    </row>
    <row r="1587">
      <c r="A1587" t="s">
        <v>5232</v>
      </c>
      <c r="B1587" s="254">
        <v>18000.0</v>
      </c>
      <c r="C1587" s="256">
        <v>1.0</v>
      </c>
      <c r="D1587" s="3">
        <v>1.0</v>
      </c>
      <c r="E1587" t="b">
        <f t="shared" si="1"/>
        <v>1</v>
      </c>
    </row>
    <row r="1588">
      <c r="A1588" t="s">
        <v>5231</v>
      </c>
      <c r="B1588" s="254">
        <v>9500.0</v>
      </c>
      <c r="C1588" s="256">
        <v>1.0</v>
      </c>
      <c r="D1588" s="3">
        <v>1.0</v>
      </c>
      <c r="E1588" t="b">
        <f t="shared" si="1"/>
        <v>1</v>
      </c>
    </row>
    <row r="1589">
      <c r="A1589" t="s">
        <v>5227</v>
      </c>
      <c r="B1589" s="254">
        <v>14500.0</v>
      </c>
      <c r="C1589" s="256">
        <v>1.0</v>
      </c>
      <c r="D1589" s="3">
        <v>1.0</v>
      </c>
      <c r="E1589" t="b">
        <f t="shared" si="1"/>
        <v>1</v>
      </c>
    </row>
    <row r="1590">
      <c r="A1590" t="s">
        <v>12058</v>
      </c>
      <c r="B1590" s="254">
        <v>14570.0</v>
      </c>
      <c r="C1590" s="256">
        <v>0.0</v>
      </c>
      <c r="D1590" t="str">
        <f t="shared" ref="D1590:D1591" si="31">VLOOKUP(A1590,PIVOT!$A$4:$F$1900,6,0)</f>
        <v>#REF!</v>
      </c>
      <c r="E1590" t="str">
        <f t="shared" si="1"/>
        <v>#REF!</v>
      </c>
    </row>
    <row r="1591">
      <c r="A1591" t="s">
        <v>12059</v>
      </c>
      <c r="B1591" s="254">
        <v>18000.0</v>
      </c>
      <c r="C1591" s="256">
        <v>0.0</v>
      </c>
      <c r="D1591" t="str">
        <f t="shared" si="31"/>
        <v>#REF!</v>
      </c>
      <c r="E1591" t="str">
        <f t="shared" si="1"/>
        <v>#REF!</v>
      </c>
    </row>
    <row r="1592">
      <c r="A1592" t="s">
        <v>5229</v>
      </c>
      <c r="B1592" s="254">
        <v>17000.0</v>
      </c>
      <c r="C1592" s="256">
        <v>1.0</v>
      </c>
      <c r="D1592" s="3">
        <v>1.0</v>
      </c>
      <c r="E1592" t="b">
        <f t="shared" si="1"/>
        <v>1</v>
      </c>
    </row>
    <row r="1593">
      <c r="A1593" t="s">
        <v>5220</v>
      </c>
      <c r="B1593" s="254">
        <v>10500.0</v>
      </c>
      <c r="C1593" s="256">
        <v>1.0</v>
      </c>
      <c r="D1593" s="3">
        <v>1.0</v>
      </c>
      <c r="E1593" t="b">
        <f t="shared" si="1"/>
        <v>1</v>
      </c>
    </row>
    <row r="1594">
      <c r="A1594" t="s">
        <v>5226</v>
      </c>
      <c r="B1594" s="254">
        <v>12500.0</v>
      </c>
      <c r="C1594" s="256">
        <v>0.0</v>
      </c>
      <c r="D1594" s="3">
        <v>0.0</v>
      </c>
      <c r="E1594" t="b">
        <f t="shared" si="1"/>
        <v>1</v>
      </c>
    </row>
    <row r="1595">
      <c r="A1595" t="s">
        <v>2087</v>
      </c>
      <c r="B1595" s="254">
        <v>10000.0</v>
      </c>
      <c r="C1595" s="256">
        <v>1.0</v>
      </c>
      <c r="D1595" s="3">
        <v>1.0</v>
      </c>
      <c r="E1595" t="b">
        <f t="shared" si="1"/>
        <v>1</v>
      </c>
    </row>
    <row r="1596">
      <c r="A1596" t="s">
        <v>6313</v>
      </c>
      <c r="B1596" s="254">
        <v>17500.0</v>
      </c>
      <c r="C1596" s="256">
        <v>1.0</v>
      </c>
      <c r="D1596" s="3">
        <v>1.0</v>
      </c>
      <c r="E1596" t="b">
        <f t="shared" si="1"/>
        <v>1</v>
      </c>
    </row>
    <row r="1597">
      <c r="A1597" t="s">
        <v>12060</v>
      </c>
      <c r="B1597" s="254">
        <v>13000.0</v>
      </c>
      <c r="C1597" s="256">
        <v>0.0</v>
      </c>
      <c r="D1597" t="str">
        <f t="shared" ref="D1597:D1599" si="32">VLOOKUP(A1597,PIVOT!$A$4:$F$1900,6,0)</f>
        <v>#REF!</v>
      </c>
      <c r="E1597" t="str">
        <f t="shared" si="1"/>
        <v>#REF!</v>
      </c>
    </row>
    <row r="1598">
      <c r="A1598" t="s">
        <v>12061</v>
      </c>
      <c r="B1598" s="254">
        <v>13750.0</v>
      </c>
      <c r="C1598" s="256">
        <v>0.0</v>
      </c>
      <c r="D1598" t="str">
        <f t="shared" si="32"/>
        <v>#REF!</v>
      </c>
      <c r="E1598" t="str">
        <f t="shared" si="1"/>
        <v>#REF!</v>
      </c>
    </row>
    <row r="1599">
      <c r="A1599" t="s">
        <v>12062</v>
      </c>
      <c r="B1599" s="254">
        <v>14000.0</v>
      </c>
      <c r="C1599" s="256">
        <v>0.0</v>
      </c>
      <c r="D1599" t="str">
        <f t="shared" si="32"/>
        <v>#REF!</v>
      </c>
      <c r="E1599" t="str">
        <f t="shared" si="1"/>
        <v>#REF!</v>
      </c>
    </row>
    <row r="1600">
      <c r="A1600" t="s">
        <v>5225</v>
      </c>
      <c r="B1600" s="254">
        <v>16500.0</v>
      </c>
      <c r="C1600" s="256">
        <v>1.0</v>
      </c>
      <c r="D1600" s="3">
        <v>1.0</v>
      </c>
      <c r="E1600" t="b">
        <f t="shared" si="1"/>
        <v>1</v>
      </c>
    </row>
    <row r="1601">
      <c r="A1601" t="s">
        <v>12063</v>
      </c>
      <c r="B1601" s="254">
        <v>12500.0</v>
      </c>
      <c r="C1601" s="256">
        <v>0.0</v>
      </c>
      <c r="D1601" t="str">
        <f t="shared" ref="D1601:D1604" si="33">VLOOKUP(A1601,PIVOT!$A$4:$F$1900,6,0)</f>
        <v>#REF!</v>
      </c>
      <c r="E1601" t="str">
        <f t="shared" si="1"/>
        <v>#REF!</v>
      </c>
    </row>
    <row r="1602">
      <c r="A1602" t="s">
        <v>12064</v>
      </c>
      <c r="B1602" s="254">
        <v>15500.0</v>
      </c>
      <c r="C1602" s="256">
        <v>0.0</v>
      </c>
      <c r="D1602" t="str">
        <f t="shared" si="33"/>
        <v>#REF!</v>
      </c>
      <c r="E1602" t="str">
        <f t="shared" si="1"/>
        <v>#REF!</v>
      </c>
    </row>
    <row r="1603">
      <c r="A1603" t="s">
        <v>12065</v>
      </c>
      <c r="B1603" s="254">
        <v>11000.0</v>
      </c>
      <c r="C1603" s="256">
        <v>0.0</v>
      </c>
      <c r="D1603" t="str">
        <f t="shared" si="33"/>
        <v>#REF!</v>
      </c>
      <c r="E1603" t="str">
        <f t="shared" si="1"/>
        <v>#REF!</v>
      </c>
    </row>
    <row r="1604">
      <c r="A1604" t="s">
        <v>12066</v>
      </c>
      <c r="B1604" s="254">
        <v>14000.0</v>
      </c>
      <c r="C1604" s="256">
        <v>0.0</v>
      </c>
      <c r="D1604" t="str">
        <f t="shared" si="33"/>
        <v>#REF!</v>
      </c>
      <c r="E1604" t="str">
        <f t="shared" si="1"/>
        <v>#REF!</v>
      </c>
    </row>
    <row r="1605">
      <c r="A1605" t="s">
        <v>5224</v>
      </c>
      <c r="B1605" s="254">
        <v>14500.0</v>
      </c>
      <c r="C1605" s="256">
        <v>0.0</v>
      </c>
      <c r="D1605" s="3">
        <v>0.0</v>
      </c>
      <c r="E1605" t="b">
        <f t="shared" si="1"/>
        <v>1</v>
      </c>
    </row>
    <row r="1606">
      <c r="A1606" t="s">
        <v>12067</v>
      </c>
      <c r="B1606" s="254">
        <v>12500.0</v>
      </c>
      <c r="C1606" s="256">
        <v>0.0</v>
      </c>
      <c r="D1606" t="str">
        <f>VLOOKUP(A1606,PIVOT!$A$4:$F$1900,6,0)</f>
        <v>#REF!</v>
      </c>
      <c r="E1606" t="str">
        <f t="shared" si="1"/>
        <v>#REF!</v>
      </c>
    </row>
    <row r="1607">
      <c r="A1607" t="s">
        <v>5218</v>
      </c>
      <c r="B1607" s="254">
        <v>14500.0</v>
      </c>
      <c r="C1607" s="256">
        <v>1.0</v>
      </c>
      <c r="D1607" s="3">
        <v>1.0</v>
      </c>
      <c r="E1607" t="b">
        <f t="shared" si="1"/>
        <v>1</v>
      </c>
    </row>
    <row r="1608">
      <c r="A1608" t="s">
        <v>5230</v>
      </c>
      <c r="B1608" s="254">
        <v>17500.0</v>
      </c>
      <c r="C1608" s="256">
        <v>1.0</v>
      </c>
      <c r="D1608" s="3">
        <v>1.0</v>
      </c>
      <c r="E1608" t="b">
        <f t="shared" si="1"/>
        <v>1</v>
      </c>
    </row>
    <row r="1609">
      <c r="A1609" t="s">
        <v>12068</v>
      </c>
      <c r="B1609" s="254">
        <v>17500.0</v>
      </c>
      <c r="C1609" s="256">
        <v>0.0</v>
      </c>
      <c r="D1609" t="str">
        <f>VLOOKUP(A1609,PIVOT!$A$4:$F$1900,6,0)</f>
        <v>#REF!</v>
      </c>
      <c r="E1609" t="str">
        <f t="shared" si="1"/>
        <v>#REF!</v>
      </c>
    </row>
    <row r="1610">
      <c r="A1610" t="s">
        <v>2089</v>
      </c>
      <c r="B1610" s="254">
        <v>13500.0</v>
      </c>
      <c r="C1610" s="256">
        <v>1.0</v>
      </c>
      <c r="D1610" s="3">
        <v>1.0</v>
      </c>
      <c r="E1610" t="b">
        <f t="shared" si="1"/>
        <v>1</v>
      </c>
    </row>
    <row r="1611">
      <c r="A1611" t="s">
        <v>5222</v>
      </c>
      <c r="B1611" s="254">
        <v>13500.0</v>
      </c>
      <c r="C1611" s="254">
        <v>0.0</v>
      </c>
      <c r="D1611" s="3">
        <v>0.0</v>
      </c>
      <c r="E1611" t="b">
        <f t="shared" si="1"/>
        <v>1</v>
      </c>
    </row>
    <row r="1612">
      <c r="A1612" t="s">
        <v>2091</v>
      </c>
      <c r="B1612" s="254">
        <v>150.0</v>
      </c>
      <c r="C1612" s="287">
        <v>24.0</v>
      </c>
      <c r="D1612" s="3">
        <v>24.0</v>
      </c>
      <c r="E1612" t="b">
        <f t="shared" si="1"/>
        <v>1</v>
      </c>
    </row>
    <row r="1613">
      <c r="A1613" t="s">
        <v>5492</v>
      </c>
      <c r="B1613" s="254">
        <v>5290.0</v>
      </c>
      <c r="C1613" s="256">
        <v>1.0</v>
      </c>
      <c r="D1613" t="str">
        <f t="shared" ref="D1613:D1771" si="34">VLOOKUP(A1613,PIVOT!$A$4:$F$1900,6,0)</f>
        <v>#REF!</v>
      </c>
      <c r="E1613" t="str">
        <f t="shared" si="1"/>
        <v>#REF!</v>
      </c>
    </row>
    <row r="1614">
      <c r="A1614" t="s">
        <v>12069</v>
      </c>
      <c r="B1614" s="254">
        <v>4990.0</v>
      </c>
      <c r="C1614" s="256">
        <v>0.0</v>
      </c>
      <c r="D1614" t="str">
        <f t="shared" si="34"/>
        <v>#REF!</v>
      </c>
      <c r="E1614" t="str">
        <f t="shared" si="1"/>
        <v>#REF!</v>
      </c>
    </row>
    <row r="1615">
      <c r="A1615" t="s">
        <v>12070</v>
      </c>
      <c r="B1615" s="254">
        <v>4830.0</v>
      </c>
      <c r="C1615" s="256">
        <v>0.0</v>
      </c>
      <c r="D1615" t="str">
        <f t="shared" si="34"/>
        <v>#REF!</v>
      </c>
      <c r="E1615" t="str">
        <f t="shared" si="1"/>
        <v>#REF!</v>
      </c>
    </row>
    <row r="1616">
      <c r="A1616" t="s">
        <v>12071</v>
      </c>
      <c r="B1616" s="254">
        <v>3475.0</v>
      </c>
      <c r="C1616" s="256">
        <v>0.0</v>
      </c>
      <c r="D1616" t="str">
        <f t="shared" si="34"/>
        <v>#REF!</v>
      </c>
      <c r="E1616" t="str">
        <f t="shared" si="1"/>
        <v>#REF!</v>
      </c>
    </row>
    <row r="1617">
      <c r="A1617" t="s">
        <v>12072</v>
      </c>
      <c r="B1617" s="254">
        <v>5020.0</v>
      </c>
      <c r="C1617" s="256">
        <v>0.0</v>
      </c>
      <c r="D1617" t="str">
        <f t="shared" si="34"/>
        <v>#REF!</v>
      </c>
      <c r="E1617" t="str">
        <f t="shared" si="1"/>
        <v>#REF!</v>
      </c>
    </row>
    <row r="1618">
      <c r="A1618" t="s">
        <v>12073</v>
      </c>
      <c r="B1618" s="254">
        <v>4990.0</v>
      </c>
      <c r="C1618" s="256">
        <v>0.0</v>
      </c>
      <c r="D1618" t="str">
        <f t="shared" si="34"/>
        <v>#REF!</v>
      </c>
      <c r="E1618" t="str">
        <f t="shared" si="1"/>
        <v>#REF!</v>
      </c>
    </row>
    <row r="1619">
      <c r="A1619" t="s">
        <v>2099</v>
      </c>
      <c r="B1619" s="254"/>
      <c r="C1619" s="256">
        <v>0.0</v>
      </c>
      <c r="D1619" t="str">
        <f t="shared" si="34"/>
        <v>#REF!</v>
      </c>
      <c r="E1619" t="str">
        <f t="shared" si="1"/>
        <v>#REF!</v>
      </c>
    </row>
    <row r="1620">
      <c r="A1620" t="s">
        <v>2099</v>
      </c>
      <c r="B1620" s="254"/>
      <c r="C1620" s="256">
        <v>0.0</v>
      </c>
      <c r="D1620" t="str">
        <f t="shared" si="34"/>
        <v>#REF!</v>
      </c>
      <c r="E1620" t="str">
        <f t="shared" si="1"/>
        <v>#REF!</v>
      </c>
    </row>
    <row r="1621">
      <c r="A1621" t="s">
        <v>2097</v>
      </c>
      <c r="B1621" s="254">
        <v>4590.0</v>
      </c>
      <c r="C1621" s="287">
        <v>1.0</v>
      </c>
      <c r="D1621" t="str">
        <f t="shared" si="34"/>
        <v>#REF!</v>
      </c>
      <c r="E1621" t="str">
        <f t="shared" si="1"/>
        <v>#REF!</v>
      </c>
    </row>
    <row r="1622">
      <c r="A1622" t="s">
        <v>5438</v>
      </c>
      <c r="B1622" s="254">
        <v>4790.0</v>
      </c>
      <c r="C1622" s="256">
        <v>2.0</v>
      </c>
      <c r="D1622" t="str">
        <f t="shared" si="34"/>
        <v>#REF!</v>
      </c>
      <c r="E1622" t="str">
        <f t="shared" si="1"/>
        <v>#REF!</v>
      </c>
    </row>
    <row r="1623">
      <c r="A1623" t="s">
        <v>12074</v>
      </c>
      <c r="B1623" s="254">
        <v>4760.0</v>
      </c>
      <c r="C1623" s="256">
        <v>0.0</v>
      </c>
      <c r="D1623" t="str">
        <f t="shared" si="34"/>
        <v>#REF!</v>
      </c>
      <c r="E1623" t="str">
        <f t="shared" si="1"/>
        <v>#REF!</v>
      </c>
    </row>
    <row r="1624">
      <c r="A1624" t="s">
        <v>12075</v>
      </c>
      <c r="B1624" s="254">
        <v>3790.0</v>
      </c>
      <c r="C1624" s="256">
        <v>0.0</v>
      </c>
      <c r="D1624" t="str">
        <f t="shared" si="34"/>
        <v>#REF!</v>
      </c>
      <c r="E1624" t="str">
        <f t="shared" si="1"/>
        <v>#REF!</v>
      </c>
    </row>
    <row r="1625">
      <c r="A1625" t="s">
        <v>6314</v>
      </c>
      <c r="B1625" s="254">
        <v>4590.0</v>
      </c>
      <c r="C1625" s="256">
        <v>1.0</v>
      </c>
      <c r="D1625" t="str">
        <f t="shared" si="34"/>
        <v>#REF!</v>
      </c>
      <c r="E1625" t="str">
        <f t="shared" si="1"/>
        <v>#REF!</v>
      </c>
    </row>
    <row r="1626">
      <c r="A1626" t="s">
        <v>2104</v>
      </c>
      <c r="B1626" s="254">
        <v>4590.0</v>
      </c>
      <c r="C1626" s="256">
        <v>2.0</v>
      </c>
      <c r="D1626" t="str">
        <f t="shared" si="34"/>
        <v>#REF!</v>
      </c>
      <c r="E1626" t="str">
        <f t="shared" si="1"/>
        <v>#REF!</v>
      </c>
    </row>
    <row r="1627">
      <c r="A1627" t="s">
        <v>2105</v>
      </c>
      <c r="B1627" s="254">
        <v>3990.0</v>
      </c>
      <c r="C1627" s="256">
        <v>1.0</v>
      </c>
      <c r="D1627" t="str">
        <f t="shared" si="34"/>
        <v>#REF!</v>
      </c>
      <c r="E1627" t="str">
        <f t="shared" si="1"/>
        <v>#REF!</v>
      </c>
    </row>
    <row r="1628">
      <c r="A1628" t="s">
        <v>6315</v>
      </c>
      <c r="B1628" s="254">
        <v>3990.0</v>
      </c>
      <c r="C1628" s="256">
        <v>1.0</v>
      </c>
      <c r="D1628" t="str">
        <f t="shared" si="34"/>
        <v>#REF!</v>
      </c>
      <c r="E1628" t="str">
        <f t="shared" si="1"/>
        <v>#REF!</v>
      </c>
    </row>
    <row r="1629">
      <c r="A1629" t="s">
        <v>12076</v>
      </c>
      <c r="B1629" s="254">
        <v>4590.0</v>
      </c>
      <c r="C1629" s="256">
        <v>1.0</v>
      </c>
      <c r="D1629" t="str">
        <f t="shared" si="34"/>
        <v>#REF!</v>
      </c>
      <c r="E1629" t="str">
        <f t="shared" si="1"/>
        <v>#REF!</v>
      </c>
    </row>
    <row r="1630">
      <c r="A1630" t="s">
        <v>5436</v>
      </c>
      <c r="B1630" s="254">
        <v>4590.0</v>
      </c>
      <c r="C1630" s="256">
        <v>1.0</v>
      </c>
      <c r="D1630" t="str">
        <f t="shared" si="34"/>
        <v>#REF!</v>
      </c>
      <c r="E1630" t="str">
        <f t="shared" si="1"/>
        <v>#REF!</v>
      </c>
    </row>
    <row r="1631">
      <c r="A1631" t="s">
        <v>5467</v>
      </c>
      <c r="B1631" s="254">
        <v>4590.0</v>
      </c>
      <c r="C1631" s="256">
        <v>0.0</v>
      </c>
      <c r="D1631" t="str">
        <f t="shared" si="34"/>
        <v>#REF!</v>
      </c>
      <c r="E1631" t="str">
        <f t="shared" si="1"/>
        <v>#REF!</v>
      </c>
    </row>
    <row r="1632">
      <c r="A1632" t="s">
        <v>2107</v>
      </c>
      <c r="B1632" s="254">
        <v>4590.0</v>
      </c>
      <c r="C1632" s="256">
        <v>0.0</v>
      </c>
      <c r="D1632" t="str">
        <f t="shared" si="34"/>
        <v>#REF!</v>
      </c>
      <c r="E1632" t="str">
        <f t="shared" si="1"/>
        <v>#REF!</v>
      </c>
    </row>
    <row r="1633">
      <c r="A1633" t="s">
        <v>2109</v>
      </c>
      <c r="B1633" s="254">
        <v>4590.0</v>
      </c>
      <c r="C1633" s="256">
        <v>1.0</v>
      </c>
      <c r="D1633" t="str">
        <f t="shared" si="34"/>
        <v>#REF!</v>
      </c>
      <c r="E1633" t="str">
        <f t="shared" si="1"/>
        <v>#REF!</v>
      </c>
    </row>
    <row r="1634">
      <c r="A1634" t="s">
        <v>5496</v>
      </c>
      <c r="B1634" s="254">
        <v>3990.0</v>
      </c>
      <c r="C1634" s="256">
        <v>2.0</v>
      </c>
      <c r="D1634" t="str">
        <f t="shared" si="34"/>
        <v>#REF!</v>
      </c>
      <c r="E1634" t="str">
        <f t="shared" si="1"/>
        <v>#REF!</v>
      </c>
    </row>
    <row r="1635">
      <c r="A1635" t="s">
        <v>6946</v>
      </c>
      <c r="B1635" s="254">
        <v>4290.0</v>
      </c>
      <c r="C1635" s="256">
        <v>0.0</v>
      </c>
      <c r="D1635" t="str">
        <f t="shared" si="34"/>
        <v>#REF!</v>
      </c>
      <c r="E1635" t="str">
        <f t="shared" si="1"/>
        <v>#REF!</v>
      </c>
    </row>
    <row r="1636">
      <c r="A1636" t="s">
        <v>5493</v>
      </c>
      <c r="B1636" s="254">
        <v>4290.0</v>
      </c>
      <c r="C1636" s="256">
        <v>4.0</v>
      </c>
      <c r="D1636" t="str">
        <f t="shared" si="34"/>
        <v>#REF!</v>
      </c>
      <c r="E1636" t="str">
        <f t="shared" si="1"/>
        <v>#REF!</v>
      </c>
    </row>
    <row r="1637">
      <c r="A1637" t="s">
        <v>12077</v>
      </c>
      <c r="B1637" s="254">
        <v>3990.0</v>
      </c>
      <c r="C1637" s="256">
        <v>0.0</v>
      </c>
      <c r="D1637" t="str">
        <f t="shared" si="34"/>
        <v>#REF!</v>
      </c>
      <c r="E1637" t="str">
        <f t="shared" si="1"/>
        <v>#REF!</v>
      </c>
    </row>
    <row r="1638">
      <c r="A1638" t="s">
        <v>5440</v>
      </c>
      <c r="B1638" s="254">
        <v>3790.0</v>
      </c>
      <c r="C1638" s="254">
        <v>2.0</v>
      </c>
      <c r="D1638" t="str">
        <f t="shared" si="34"/>
        <v>#REF!</v>
      </c>
      <c r="E1638" t="str">
        <f t="shared" si="1"/>
        <v>#REF!</v>
      </c>
    </row>
    <row r="1639">
      <c r="A1639" t="s">
        <v>9426</v>
      </c>
      <c r="B1639" s="254">
        <v>5290.0</v>
      </c>
      <c r="C1639" s="256">
        <v>0.0</v>
      </c>
      <c r="D1639" t="str">
        <f t="shared" si="34"/>
        <v>#REF!</v>
      </c>
      <c r="E1639" t="str">
        <f t="shared" si="1"/>
        <v>#REF!</v>
      </c>
    </row>
    <row r="1640">
      <c r="A1640" t="s">
        <v>5513</v>
      </c>
      <c r="B1640" s="254">
        <v>4290.0</v>
      </c>
      <c r="C1640" s="256">
        <v>1.0</v>
      </c>
      <c r="D1640" t="str">
        <f t="shared" si="34"/>
        <v>#REF!</v>
      </c>
      <c r="E1640" t="str">
        <f t="shared" si="1"/>
        <v>#REF!</v>
      </c>
    </row>
    <row r="1641">
      <c r="A1641" t="s">
        <v>12078</v>
      </c>
      <c r="B1641" s="254">
        <v>4290.0</v>
      </c>
      <c r="C1641" s="290">
        <v>0.0</v>
      </c>
      <c r="D1641" t="str">
        <f t="shared" si="34"/>
        <v>#REF!</v>
      </c>
      <c r="E1641" t="str">
        <f t="shared" si="1"/>
        <v>#REF!</v>
      </c>
    </row>
    <row r="1642">
      <c r="A1642" t="s">
        <v>5512</v>
      </c>
      <c r="B1642" s="254">
        <v>4290.0</v>
      </c>
      <c r="C1642" s="256">
        <v>1.0</v>
      </c>
      <c r="D1642" t="str">
        <f t="shared" si="34"/>
        <v>#REF!</v>
      </c>
      <c r="E1642" t="str">
        <f t="shared" si="1"/>
        <v>#REF!</v>
      </c>
    </row>
    <row r="1643">
      <c r="A1643" t="s">
        <v>2101</v>
      </c>
      <c r="B1643" s="254">
        <v>3990.0</v>
      </c>
      <c r="C1643" s="256">
        <v>1.0</v>
      </c>
      <c r="D1643" t="str">
        <f t="shared" si="34"/>
        <v>#REF!</v>
      </c>
      <c r="E1643" t="str">
        <f t="shared" si="1"/>
        <v>#REF!</v>
      </c>
    </row>
    <row r="1644">
      <c r="A1644" t="s">
        <v>2110</v>
      </c>
      <c r="B1644" s="254">
        <v>5990.0</v>
      </c>
      <c r="C1644" s="256">
        <v>2.0</v>
      </c>
      <c r="D1644" t="str">
        <f t="shared" si="34"/>
        <v>#REF!</v>
      </c>
      <c r="E1644" t="str">
        <f t="shared" si="1"/>
        <v>#REF!</v>
      </c>
    </row>
    <row r="1645">
      <c r="A1645" t="s">
        <v>2103</v>
      </c>
      <c r="B1645" s="254"/>
      <c r="C1645" s="256">
        <v>0.0</v>
      </c>
      <c r="D1645" t="str">
        <f t="shared" si="34"/>
        <v>#REF!</v>
      </c>
      <c r="E1645" t="str">
        <f t="shared" si="1"/>
        <v>#REF!</v>
      </c>
    </row>
    <row r="1646">
      <c r="A1646" t="s">
        <v>12079</v>
      </c>
      <c r="B1646" s="254">
        <v>4590.0</v>
      </c>
      <c r="C1646" s="256">
        <v>2.0</v>
      </c>
      <c r="D1646" t="str">
        <f t="shared" si="34"/>
        <v>#REF!</v>
      </c>
      <c r="E1646" t="str">
        <f t="shared" si="1"/>
        <v>#REF!</v>
      </c>
    </row>
    <row r="1647">
      <c r="A1647" t="s">
        <v>2111</v>
      </c>
      <c r="B1647" s="254">
        <v>4590.0</v>
      </c>
      <c r="C1647" s="256">
        <v>1.0</v>
      </c>
      <c r="D1647" t="str">
        <f t="shared" si="34"/>
        <v>#REF!</v>
      </c>
      <c r="E1647" t="str">
        <f t="shared" si="1"/>
        <v>#REF!</v>
      </c>
    </row>
    <row r="1648">
      <c r="A1648" t="s">
        <v>5451</v>
      </c>
      <c r="B1648" s="254">
        <v>4590.0</v>
      </c>
      <c r="C1648" s="256">
        <v>1.0</v>
      </c>
      <c r="D1648" t="str">
        <f t="shared" si="34"/>
        <v>#REF!</v>
      </c>
      <c r="E1648" t="str">
        <f t="shared" si="1"/>
        <v>#REF!</v>
      </c>
    </row>
    <row r="1649">
      <c r="A1649" t="s">
        <v>12080</v>
      </c>
      <c r="B1649" s="254">
        <v>5990.0</v>
      </c>
      <c r="C1649" s="256">
        <v>0.0</v>
      </c>
      <c r="D1649" t="str">
        <f t="shared" si="34"/>
        <v>#REF!</v>
      </c>
      <c r="E1649" t="str">
        <f t="shared" si="1"/>
        <v>#REF!</v>
      </c>
    </row>
    <row r="1650">
      <c r="A1650" t="s">
        <v>12081</v>
      </c>
      <c r="B1650" s="254">
        <v>3290.0</v>
      </c>
      <c r="C1650" s="256">
        <v>0.0</v>
      </c>
      <c r="D1650" t="str">
        <f t="shared" si="34"/>
        <v>#REF!</v>
      </c>
      <c r="E1650" t="str">
        <f t="shared" si="1"/>
        <v>#REF!</v>
      </c>
    </row>
    <row r="1651">
      <c r="A1651" t="s">
        <v>9675</v>
      </c>
      <c r="B1651" s="254">
        <v>3290.0</v>
      </c>
      <c r="C1651" s="256">
        <v>0.0</v>
      </c>
      <c r="D1651" t="str">
        <f t="shared" si="34"/>
        <v>#REF!</v>
      </c>
      <c r="E1651" t="str">
        <f t="shared" si="1"/>
        <v>#REF!</v>
      </c>
    </row>
    <row r="1652">
      <c r="A1652" s="3" t="s">
        <v>6316</v>
      </c>
      <c r="B1652" s="254">
        <v>4590.0</v>
      </c>
      <c r="C1652" s="256">
        <v>1.0</v>
      </c>
      <c r="D1652" t="str">
        <f t="shared" si="34"/>
        <v>#REF!</v>
      </c>
      <c r="E1652" t="str">
        <f t="shared" si="1"/>
        <v>#REF!</v>
      </c>
    </row>
    <row r="1653">
      <c r="A1653" t="s">
        <v>2114</v>
      </c>
      <c r="B1653" s="254">
        <v>4990.0</v>
      </c>
      <c r="C1653" s="256">
        <v>1.0</v>
      </c>
      <c r="D1653" t="str">
        <f t="shared" si="34"/>
        <v>#REF!</v>
      </c>
      <c r="E1653" t="str">
        <f t="shared" si="1"/>
        <v>#REF!</v>
      </c>
    </row>
    <row r="1654">
      <c r="A1654" t="s">
        <v>2117</v>
      </c>
      <c r="B1654" s="254">
        <v>4290.0</v>
      </c>
      <c r="C1654" s="256">
        <v>5.0</v>
      </c>
      <c r="D1654" t="str">
        <f t="shared" si="34"/>
        <v>#REF!</v>
      </c>
      <c r="E1654" t="str">
        <f t="shared" si="1"/>
        <v>#REF!</v>
      </c>
    </row>
    <row r="1655">
      <c r="A1655" t="s">
        <v>5445</v>
      </c>
      <c r="B1655" s="254">
        <v>4290.0</v>
      </c>
      <c r="C1655" s="256">
        <v>2.0</v>
      </c>
      <c r="D1655" t="str">
        <f t="shared" si="34"/>
        <v>#REF!</v>
      </c>
      <c r="E1655" t="str">
        <f t="shared" si="1"/>
        <v>#REF!</v>
      </c>
    </row>
    <row r="1656">
      <c r="A1656" t="s">
        <v>5452</v>
      </c>
      <c r="B1656" s="254">
        <v>4990.0</v>
      </c>
      <c r="C1656" s="256">
        <v>1.0</v>
      </c>
      <c r="D1656" t="str">
        <f t="shared" si="34"/>
        <v>#REF!</v>
      </c>
      <c r="E1656" t="str">
        <f t="shared" si="1"/>
        <v>#REF!</v>
      </c>
    </row>
    <row r="1657">
      <c r="A1657" t="s">
        <v>2118</v>
      </c>
      <c r="B1657" s="254">
        <v>4990.0</v>
      </c>
      <c r="C1657" s="256">
        <v>1.0</v>
      </c>
      <c r="D1657" t="str">
        <f t="shared" si="34"/>
        <v>#REF!</v>
      </c>
      <c r="E1657" t="str">
        <f t="shared" si="1"/>
        <v>#REF!</v>
      </c>
    </row>
    <row r="1658">
      <c r="A1658" t="s">
        <v>12082</v>
      </c>
      <c r="B1658" s="254">
        <v>6490.0</v>
      </c>
      <c r="C1658" s="256">
        <v>0.0</v>
      </c>
      <c r="D1658" t="str">
        <f t="shared" si="34"/>
        <v>#REF!</v>
      </c>
      <c r="E1658" t="str">
        <f t="shared" si="1"/>
        <v>#REF!</v>
      </c>
    </row>
    <row r="1659">
      <c r="A1659" t="s">
        <v>2120</v>
      </c>
      <c r="B1659" s="254">
        <v>5990.0</v>
      </c>
      <c r="C1659" s="256">
        <v>4.0</v>
      </c>
      <c r="D1659" t="str">
        <f t="shared" si="34"/>
        <v>#REF!</v>
      </c>
      <c r="E1659" t="str">
        <f t="shared" si="1"/>
        <v>#REF!</v>
      </c>
    </row>
    <row r="1660">
      <c r="A1660" t="s">
        <v>5442</v>
      </c>
      <c r="B1660" s="254">
        <v>6490.0</v>
      </c>
      <c r="C1660" s="256">
        <v>2.0</v>
      </c>
      <c r="D1660" t="str">
        <f t="shared" si="34"/>
        <v>#REF!</v>
      </c>
      <c r="E1660" t="str">
        <f t="shared" si="1"/>
        <v>#REF!</v>
      </c>
    </row>
    <row r="1661">
      <c r="A1661" t="s">
        <v>12083</v>
      </c>
      <c r="B1661" s="254">
        <v>6490.0</v>
      </c>
      <c r="C1661" s="256">
        <v>0.0</v>
      </c>
      <c r="D1661" t="str">
        <f t="shared" si="34"/>
        <v>#REF!</v>
      </c>
      <c r="E1661" t="str">
        <f t="shared" si="1"/>
        <v>#REF!</v>
      </c>
    </row>
    <row r="1662">
      <c r="A1662" t="s">
        <v>2122</v>
      </c>
      <c r="B1662" s="254">
        <v>4990.0</v>
      </c>
      <c r="C1662" s="287">
        <v>1.0</v>
      </c>
      <c r="D1662" t="str">
        <f t="shared" si="34"/>
        <v>#REF!</v>
      </c>
      <c r="E1662" t="str">
        <f t="shared" si="1"/>
        <v>#REF!</v>
      </c>
    </row>
    <row r="1663">
      <c r="A1663" t="s">
        <v>6317</v>
      </c>
      <c r="B1663" s="254">
        <v>4790.0</v>
      </c>
      <c r="C1663" s="256">
        <v>1.0</v>
      </c>
      <c r="D1663" t="str">
        <f t="shared" si="34"/>
        <v>#REF!</v>
      </c>
      <c r="E1663" t="str">
        <f t="shared" si="1"/>
        <v>#REF!</v>
      </c>
    </row>
    <row r="1664">
      <c r="A1664" t="s">
        <v>5490</v>
      </c>
      <c r="B1664" s="254">
        <v>4990.0</v>
      </c>
      <c r="C1664" s="256">
        <v>0.0</v>
      </c>
      <c r="D1664" t="str">
        <f t="shared" si="34"/>
        <v>#REF!</v>
      </c>
      <c r="E1664" t="str">
        <f t="shared" si="1"/>
        <v>#REF!</v>
      </c>
    </row>
    <row r="1665">
      <c r="A1665" t="s">
        <v>2124</v>
      </c>
      <c r="B1665" s="254">
        <v>4990.0</v>
      </c>
      <c r="C1665" s="256">
        <v>1.0</v>
      </c>
      <c r="D1665" t="str">
        <f t="shared" si="34"/>
        <v>#REF!</v>
      </c>
      <c r="E1665" t="str">
        <f t="shared" si="1"/>
        <v>#REF!</v>
      </c>
    </row>
    <row r="1666">
      <c r="A1666" t="s">
        <v>2126</v>
      </c>
      <c r="B1666" s="254">
        <v>3790.0</v>
      </c>
      <c r="C1666" s="256">
        <v>2.0</v>
      </c>
      <c r="D1666" t="str">
        <f t="shared" si="34"/>
        <v>#REF!</v>
      </c>
      <c r="E1666" t="str">
        <f t="shared" si="1"/>
        <v>#REF!</v>
      </c>
    </row>
    <row r="1667">
      <c r="A1667" t="s">
        <v>6318</v>
      </c>
      <c r="B1667" s="254">
        <v>3790.0</v>
      </c>
      <c r="C1667" s="256">
        <v>1.0</v>
      </c>
      <c r="D1667" t="str">
        <f t="shared" si="34"/>
        <v>#REF!</v>
      </c>
      <c r="E1667" t="str">
        <f t="shared" si="1"/>
        <v>#REF!</v>
      </c>
    </row>
    <row r="1668">
      <c r="A1668" t="s">
        <v>2131</v>
      </c>
      <c r="B1668" s="254">
        <v>3790.0</v>
      </c>
      <c r="C1668" s="290">
        <v>6.0</v>
      </c>
      <c r="D1668" t="str">
        <f t="shared" si="34"/>
        <v>#REF!</v>
      </c>
      <c r="E1668" t="str">
        <f t="shared" si="1"/>
        <v>#REF!</v>
      </c>
    </row>
    <row r="1669">
      <c r="A1669" t="s">
        <v>6319</v>
      </c>
      <c r="B1669" s="254">
        <v>3790.0</v>
      </c>
      <c r="C1669" s="256">
        <v>4.0</v>
      </c>
      <c r="D1669" t="str">
        <f t="shared" si="34"/>
        <v>#REF!</v>
      </c>
      <c r="E1669" t="str">
        <f t="shared" si="1"/>
        <v>#REF!</v>
      </c>
    </row>
    <row r="1670">
      <c r="A1670" t="s">
        <v>2129</v>
      </c>
      <c r="B1670" s="254">
        <v>3790.0</v>
      </c>
      <c r="C1670" s="256">
        <v>5.0</v>
      </c>
      <c r="D1670" t="str">
        <f t="shared" si="34"/>
        <v>#REF!</v>
      </c>
      <c r="E1670" t="str">
        <f t="shared" si="1"/>
        <v>#REF!</v>
      </c>
    </row>
    <row r="1671">
      <c r="A1671" t="s">
        <v>5500</v>
      </c>
      <c r="B1671" s="254">
        <v>4290.0</v>
      </c>
      <c r="C1671" s="256">
        <v>2.0</v>
      </c>
      <c r="D1671" t="str">
        <f t="shared" si="34"/>
        <v>#REF!</v>
      </c>
      <c r="E1671" t="str">
        <f t="shared" si="1"/>
        <v>#REF!</v>
      </c>
    </row>
    <row r="1672">
      <c r="A1672" t="s">
        <v>5501</v>
      </c>
      <c r="B1672" s="254">
        <v>4590.0</v>
      </c>
      <c r="C1672" s="256">
        <v>1.0</v>
      </c>
      <c r="D1672" t="str">
        <f t="shared" si="34"/>
        <v>#REF!</v>
      </c>
      <c r="E1672" t="str">
        <f t="shared" si="1"/>
        <v>#REF!</v>
      </c>
    </row>
    <row r="1673">
      <c r="A1673" t="s">
        <v>12084</v>
      </c>
      <c r="B1673" s="254">
        <v>4590.0</v>
      </c>
      <c r="C1673" s="256">
        <v>0.0</v>
      </c>
      <c r="D1673" t="str">
        <f t="shared" si="34"/>
        <v>#REF!</v>
      </c>
      <c r="E1673" t="str">
        <f t="shared" si="1"/>
        <v>#REF!</v>
      </c>
    </row>
    <row r="1674">
      <c r="A1674" t="s">
        <v>12085</v>
      </c>
      <c r="B1674" s="254">
        <v>4590.0</v>
      </c>
      <c r="C1674" s="256">
        <v>0.0</v>
      </c>
      <c r="D1674" t="str">
        <f t="shared" si="34"/>
        <v>#REF!</v>
      </c>
      <c r="E1674" t="str">
        <f t="shared" si="1"/>
        <v>#REF!</v>
      </c>
    </row>
    <row r="1675">
      <c r="A1675" t="s">
        <v>12086</v>
      </c>
      <c r="B1675" s="254">
        <v>4290.0</v>
      </c>
      <c r="C1675" s="256">
        <v>0.0</v>
      </c>
      <c r="D1675" t="str">
        <f t="shared" si="34"/>
        <v>#REF!</v>
      </c>
      <c r="E1675" t="str">
        <f t="shared" si="1"/>
        <v>#REF!</v>
      </c>
    </row>
    <row r="1676">
      <c r="A1676" t="s">
        <v>2136</v>
      </c>
      <c r="B1676" s="254">
        <v>4290.0</v>
      </c>
      <c r="C1676" s="256">
        <v>0.0</v>
      </c>
      <c r="D1676" t="str">
        <f t="shared" si="34"/>
        <v>#REF!</v>
      </c>
      <c r="E1676" t="str">
        <f t="shared" si="1"/>
        <v>#REF!</v>
      </c>
    </row>
    <row r="1677">
      <c r="A1677" t="s">
        <v>2135</v>
      </c>
      <c r="B1677" s="254">
        <v>4290.0</v>
      </c>
      <c r="C1677" s="256">
        <v>1.0</v>
      </c>
      <c r="D1677" t="str">
        <f t="shared" si="34"/>
        <v>#REF!</v>
      </c>
      <c r="E1677" t="str">
        <f t="shared" si="1"/>
        <v>#REF!</v>
      </c>
    </row>
    <row r="1678">
      <c r="A1678" t="s">
        <v>6354</v>
      </c>
      <c r="B1678" s="254">
        <v>4590.0</v>
      </c>
      <c r="C1678" s="256">
        <v>1.0</v>
      </c>
      <c r="D1678" t="str">
        <f t="shared" si="34"/>
        <v>#REF!</v>
      </c>
      <c r="E1678" t="str">
        <f t="shared" si="1"/>
        <v>#REF!</v>
      </c>
    </row>
    <row r="1679">
      <c r="A1679" t="s">
        <v>5704</v>
      </c>
      <c r="B1679" s="254">
        <v>4590.0</v>
      </c>
      <c r="C1679" s="254">
        <v>1.0</v>
      </c>
      <c r="D1679" t="str">
        <f t="shared" si="34"/>
        <v>#REF!</v>
      </c>
      <c r="E1679" t="str">
        <f t="shared" si="1"/>
        <v>#REF!</v>
      </c>
    </row>
    <row r="1680">
      <c r="A1680" t="s">
        <v>2134</v>
      </c>
      <c r="B1680" s="254">
        <v>4290.0</v>
      </c>
      <c r="C1680" s="287">
        <v>3.0</v>
      </c>
      <c r="D1680" t="str">
        <f t="shared" si="34"/>
        <v>#REF!</v>
      </c>
      <c r="E1680" t="str">
        <f t="shared" si="1"/>
        <v>#REF!</v>
      </c>
    </row>
    <row r="1681">
      <c r="A1681" t="s">
        <v>5472</v>
      </c>
      <c r="B1681" s="254">
        <v>4990.0</v>
      </c>
      <c r="C1681" s="256">
        <v>3.0</v>
      </c>
      <c r="D1681" t="str">
        <f t="shared" si="34"/>
        <v>#REF!</v>
      </c>
      <c r="E1681" t="str">
        <f t="shared" si="1"/>
        <v>#REF!</v>
      </c>
    </row>
    <row r="1682">
      <c r="A1682" t="s">
        <v>12087</v>
      </c>
      <c r="B1682" s="254">
        <v>4990.0</v>
      </c>
      <c r="C1682" s="256">
        <v>0.0</v>
      </c>
      <c r="D1682" t="str">
        <f t="shared" si="34"/>
        <v>#REF!</v>
      </c>
      <c r="E1682" t="str">
        <f t="shared" si="1"/>
        <v>#REF!</v>
      </c>
    </row>
    <row r="1683">
      <c r="A1683" t="s">
        <v>6320</v>
      </c>
      <c r="B1683" s="254">
        <v>3290.0</v>
      </c>
      <c r="C1683" s="256">
        <v>2.0</v>
      </c>
      <c r="D1683" t="str">
        <f t="shared" si="34"/>
        <v>#REF!</v>
      </c>
      <c r="E1683" t="str">
        <f t="shared" si="1"/>
        <v>#REF!</v>
      </c>
    </row>
    <row r="1684">
      <c r="A1684" t="s">
        <v>9216</v>
      </c>
      <c r="B1684" s="254">
        <v>3290.0</v>
      </c>
      <c r="C1684" s="256">
        <v>0.0</v>
      </c>
      <c r="D1684" t="str">
        <f t="shared" si="34"/>
        <v>#REF!</v>
      </c>
      <c r="E1684" t="str">
        <f t="shared" si="1"/>
        <v>#REF!</v>
      </c>
    </row>
    <row r="1685">
      <c r="A1685" t="s">
        <v>2142</v>
      </c>
      <c r="B1685" s="254">
        <v>3290.0</v>
      </c>
      <c r="C1685" s="256">
        <v>0.0</v>
      </c>
      <c r="D1685" t="str">
        <f t="shared" si="34"/>
        <v>#REF!</v>
      </c>
      <c r="E1685" t="str">
        <f t="shared" si="1"/>
        <v>#REF!</v>
      </c>
    </row>
    <row r="1686">
      <c r="A1686" t="s">
        <v>2139</v>
      </c>
      <c r="B1686" s="254">
        <v>3290.0</v>
      </c>
      <c r="C1686" s="256">
        <v>0.0</v>
      </c>
      <c r="D1686" t="str">
        <f t="shared" si="34"/>
        <v>#REF!</v>
      </c>
      <c r="E1686" t="str">
        <f t="shared" si="1"/>
        <v>#REF!</v>
      </c>
    </row>
    <row r="1687">
      <c r="A1687" t="s">
        <v>12088</v>
      </c>
      <c r="B1687" s="254">
        <v>2990.0</v>
      </c>
      <c r="C1687" s="256">
        <v>0.0</v>
      </c>
      <c r="D1687" t="str">
        <f t="shared" si="34"/>
        <v>#REF!</v>
      </c>
      <c r="E1687" t="str">
        <f t="shared" si="1"/>
        <v>#REF!</v>
      </c>
    </row>
    <row r="1688">
      <c r="A1688" t="s">
        <v>2146</v>
      </c>
      <c r="B1688" s="254">
        <v>4990.0</v>
      </c>
      <c r="C1688" s="256">
        <v>1.0</v>
      </c>
      <c r="D1688" t="str">
        <f t="shared" si="34"/>
        <v>#REF!</v>
      </c>
      <c r="E1688" t="str">
        <f t="shared" si="1"/>
        <v>#REF!</v>
      </c>
    </row>
    <row r="1689">
      <c r="A1689" t="s">
        <v>12089</v>
      </c>
      <c r="B1689" s="254">
        <v>4990.0</v>
      </c>
      <c r="C1689" s="256">
        <v>0.0</v>
      </c>
      <c r="D1689" t="str">
        <f t="shared" si="34"/>
        <v>#REF!</v>
      </c>
      <c r="E1689" t="str">
        <f t="shared" si="1"/>
        <v>#REF!</v>
      </c>
    </row>
    <row r="1690">
      <c r="A1690" t="s">
        <v>12090</v>
      </c>
      <c r="B1690" s="254">
        <v>4990.0</v>
      </c>
      <c r="C1690" s="256">
        <v>0.0</v>
      </c>
      <c r="D1690" t="str">
        <f t="shared" si="34"/>
        <v>#REF!</v>
      </c>
      <c r="E1690" t="str">
        <f t="shared" si="1"/>
        <v>#REF!</v>
      </c>
    </row>
    <row r="1691">
      <c r="A1691" t="s">
        <v>12091</v>
      </c>
      <c r="B1691" s="254">
        <v>4990.0</v>
      </c>
      <c r="C1691" s="256">
        <v>0.0</v>
      </c>
      <c r="D1691" t="str">
        <f t="shared" si="34"/>
        <v>#REF!</v>
      </c>
      <c r="E1691" t="str">
        <f t="shared" si="1"/>
        <v>#REF!</v>
      </c>
    </row>
    <row r="1692">
      <c r="A1692" t="s">
        <v>5463</v>
      </c>
      <c r="B1692" s="254">
        <v>4790.0</v>
      </c>
      <c r="C1692" s="256">
        <v>1.0</v>
      </c>
      <c r="D1692" t="str">
        <f t="shared" si="34"/>
        <v>#REF!</v>
      </c>
      <c r="E1692" t="str">
        <f t="shared" si="1"/>
        <v>#REF!</v>
      </c>
    </row>
    <row r="1693">
      <c r="A1693" t="s">
        <v>5461</v>
      </c>
      <c r="B1693" s="254">
        <v>5290.0</v>
      </c>
      <c r="C1693" s="256">
        <v>1.0</v>
      </c>
      <c r="D1693" t="str">
        <f t="shared" si="34"/>
        <v>#REF!</v>
      </c>
      <c r="E1693" t="str">
        <f t="shared" si="1"/>
        <v>#REF!</v>
      </c>
    </row>
    <row r="1694">
      <c r="A1694" t="s">
        <v>12092</v>
      </c>
      <c r="B1694" s="254">
        <v>4990.0</v>
      </c>
      <c r="C1694" s="287">
        <v>1.0</v>
      </c>
      <c r="D1694" t="str">
        <f t="shared" si="34"/>
        <v>#REF!</v>
      </c>
      <c r="E1694" t="str">
        <f t="shared" si="1"/>
        <v>#REF!</v>
      </c>
    </row>
    <row r="1695">
      <c r="A1695" t="s">
        <v>2151</v>
      </c>
      <c r="B1695" s="254">
        <v>4990.0</v>
      </c>
      <c r="C1695" s="256">
        <v>0.0</v>
      </c>
      <c r="D1695" t="str">
        <f t="shared" si="34"/>
        <v>#REF!</v>
      </c>
      <c r="E1695" t="str">
        <f t="shared" si="1"/>
        <v>#REF!</v>
      </c>
    </row>
    <row r="1696">
      <c r="A1696" t="s">
        <v>6321</v>
      </c>
      <c r="B1696" s="254"/>
      <c r="C1696" s="287">
        <v>1.0</v>
      </c>
      <c r="D1696" t="str">
        <f t="shared" si="34"/>
        <v>#REF!</v>
      </c>
      <c r="E1696" t="str">
        <f t="shared" si="1"/>
        <v>#REF!</v>
      </c>
    </row>
    <row r="1697">
      <c r="A1697" t="s">
        <v>6322</v>
      </c>
      <c r="B1697" s="254">
        <v>4990.0</v>
      </c>
      <c r="C1697" s="256">
        <v>1.0</v>
      </c>
      <c r="D1697" t="str">
        <f t="shared" si="34"/>
        <v>#REF!</v>
      </c>
      <c r="E1697" t="str">
        <f t="shared" si="1"/>
        <v>#REF!</v>
      </c>
    </row>
    <row r="1698">
      <c r="A1698" t="s">
        <v>6323</v>
      </c>
      <c r="B1698" s="254">
        <v>4990.0</v>
      </c>
      <c r="C1698" s="256">
        <v>1.0</v>
      </c>
      <c r="D1698" t="str">
        <f t="shared" si="34"/>
        <v>#REF!</v>
      </c>
      <c r="E1698" t="str">
        <f t="shared" si="1"/>
        <v>#REF!</v>
      </c>
    </row>
    <row r="1699">
      <c r="A1699" t="s">
        <v>12093</v>
      </c>
      <c r="B1699" s="254">
        <v>5290.0</v>
      </c>
      <c r="C1699" s="256">
        <v>0.0</v>
      </c>
      <c r="D1699" t="str">
        <f t="shared" si="34"/>
        <v>#REF!</v>
      </c>
      <c r="E1699" t="str">
        <f t="shared" si="1"/>
        <v>#REF!</v>
      </c>
    </row>
    <row r="1700">
      <c r="A1700" t="s">
        <v>12094</v>
      </c>
      <c r="B1700" s="254">
        <v>5290.0</v>
      </c>
      <c r="C1700" s="256">
        <v>0.0</v>
      </c>
      <c r="D1700" t="str">
        <f t="shared" si="34"/>
        <v>#REF!</v>
      </c>
      <c r="E1700" t="str">
        <f t="shared" si="1"/>
        <v>#REF!</v>
      </c>
    </row>
    <row r="1701">
      <c r="A1701" t="s">
        <v>12095</v>
      </c>
      <c r="B1701" s="254">
        <v>5290.0</v>
      </c>
      <c r="C1701" s="256">
        <v>0.0</v>
      </c>
      <c r="D1701" t="str">
        <f t="shared" si="34"/>
        <v>#REF!</v>
      </c>
      <c r="E1701" t="str">
        <f t="shared" si="1"/>
        <v>#REF!</v>
      </c>
    </row>
    <row r="1702">
      <c r="A1702" t="s">
        <v>12096</v>
      </c>
      <c r="B1702" s="254">
        <v>5290.0</v>
      </c>
      <c r="C1702" s="256">
        <v>0.0</v>
      </c>
      <c r="D1702" t="str">
        <f t="shared" si="34"/>
        <v>#REF!</v>
      </c>
      <c r="E1702" t="str">
        <f t="shared" si="1"/>
        <v>#REF!</v>
      </c>
    </row>
    <row r="1703">
      <c r="A1703" t="s">
        <v>2157</v>
      </c>
      <c r="B1703" s="254">
        <v>3790.0</v>
      </c>
      <c r="C1703" s="256">
        <v>4.0</v>
      </c>
      <c r="D1703" t="str">
        <f t="shared" si="34"/>
        <v>#REF!</v>
      </c>
      <c r="E1703" t="str">
        <f t="shared" si="1"/>
        <v>#REF!</v>
      </c>
    </row>
    <row r="1704">
      <c r="A1704" t="s">
        <v>2158</v>
      </c>
      <c r="B1704" s="254">
        <v>3490.0</v>
      </c>
      <c r="C1704" s="256">
        <v>2.0</v>
      </c>
      <c r="D1704" t="str">
        <f t="shared" si="34"/>
        <v>#REF!</v>
      </c>
      <c r="E1704" t="str">
        <f t="shared" si="1"/>
        <v>#REF!</v>
      </c>
    </row>
    <row r="1705">
      <c r="A1705" t="s">
        <v>12097</v>
      </c>
      <c r="B1705" s="254">
        <v>3790.0</v>
      </c>
      <c r="C1705" s="256">
        <v>0.0</v>
      </c>
      <c r="D1705" t="str">
        <f t="shared" si="34"/>
        <v>#REF!</v>
      </c>
      <c r="E1705" t="str">
        <f t="shared" si="1"/>
        <v>#REF!</v>
      </c>
    </row>
    <row r="1706">
      <c r="A1706" t="s">
        <v>6866</v>
      </c>
      <c r="B1706" s="254">
        <v>3690.0</v>
      </c>
      <c r="C1706" s="256">
        <v>0.0</v>
      </c>
      <c r="D1706" t="str">
        <f t="shared" si="34"/>
        <v>#REF!</v>
      </c>
      <c r="E1706" t="str">
        <f t="shared" si="1"/>
        <v>#REF!</v>
      </c>
    </row>
    <row r="1707">
      <c r="A1707" t="s">
        <v>6324</v>
      </c>
      <c r="B1707" s="254">
        <v>3490.0</v>
      </c>
      <c r="C1707" s="256">
        <v>1.0</v>
      </c>
      <c r="D1707" t="str">
        <f t="shared" si="34"/>
        <v>#REF!</v>
      </c>
      <c r="E1707" t="str">
        <f t="shared" si="1"/>
        <v>#REF!</v>
      </c>
    </row>
    <row r="1708">
      <c r="A1708" t="s">
        <v>12098</v>
      </c>
      <c r="B1708" s="254">
        <v>3490.0</v>
      </c>
      <c r="C1708" s="256">
        <v>0.0</v>
      </c>
      <c r="D1708" t="str">
        <f t="shared" si="34"/>
        <v>#REF!</v>
      </c>
      <c r="E1708" t="str">
        <f t="shared" si="1"/>
        <v>#REF!</v>
      </c>
    </row>
    <row r="1709">
      <c r="A1709" t="s">
        <v>12099</v>
      </c>
      <c r="B1709" s="254">
        <v>3490.0</v>
      </c>
      <c r="C1709" s="256">
        <v>0.0</v>
      </c>
      <c r="D1709" t="str">
        <f t="shared" si="34"/>
        <v>#REF!</v>
      </c>
      <c r="E1709" t="str">
        <f t="shared" si="1"/>
        <v>#REF!</v>
      </c>
    </row>
    <row r="1710">
      <c r="A1710" t="s">
        <v>5460</v>
      </c>
      <c r="B1710" s="254">
        <v>4290.0</v>
      </c>
      <c r="C1710" s="256">
        <v>4.0</v>
      </c>
      <c r="D1710" t="str">
        <f t="shared" si="34"/>
        <v>#REF!</v>
      </c>
      <c r="E1710" t="str">
        <f t="shared" si="1"/>
        <v>#REF!</v>
      </c>
    </row>
    <row r="1711">
      <c r="A1711" t="s">
        <v>12100</v>
      </c>
      <c r="B1711" s="254">
        <v>4290.0</v>
      </c>
      <c r="C1711" s="256">
        <v>0.0</v>
      </c>
      <c r="D1711" t="str">
        <f t="shared" si="34"/>
        <v>#REF!</v>
      </c>
      <c r="E1711" t="str">
        <f t="shared" si="1"/>
        <v>#REF!</v>
      </c>
    </row>
    <row r="1712">
      <c r="A1712" t="s">
        <v>12101</v>
      </c>
      <c r="B1712" s="254">
        <v>4590.0</v>
      </c>
      <c r="C1712" s="256">
        <v>0.0</v>
      </c>
      <c r="D1712" t="str">
        <f t="shared" si="34"/>
        <v>#REF!</v>
      </c>
      <c r="E1712" t="str">
        <f t="shared" si="1"/>
        <v>#REF!</v>
      </c>
    </row>
    <row r="1713">
      <c r="A1713" t="s">
        <v>12102</v>
      </c>
      <c r="B1713" s="254">
        <v>5990.0</v>
      </c>
      <c r="C1713" s="256">
        <v>1.0</v>
      </c>
      <c r="D1713" t="str">
        <f t="shared" si="34"/>
        <v>#REF!</v>
      </c>
      <c r="E1713" t="str">
        <f t="shared" si="1"/>
        <v>#REF!</v>
      </c>
    </row>
    <row r="1714">
      <c r="A1714" t="s">
        <v>12103</v>
      </c>
      <c r="B1714" s="254">
        <v>4590.0</v>
      </c>
      <c r="C1714" s="256">
        <v>0.0</v>
      </c>
      <c r="D1714" t="str">
        <f t="shared" si="34"/>
        <v>#REF!</v>
      </c>
      <c r="E1714" t="str">
        <f t="shared" si="1"/>
        <v>#REF!</v>
      </c>
    </row>
    <row r="1715">
      <c r="A1715" t="s">
        <v>9676</v>
      </c>
      <c r="B1715" s="254">
        <v>4590.0</v>
      </c>
      <c r="C1715" s="256">
        <v>0.0</v>
      </c>
      <c r="D1715" t="str">
        <f t="shared" si="34"/>
        <v>#REF!</v>
      </c>
      <c r="E1715" t="str">
        <f t="shared" si="1"/>
        <v>#REF!</v>
      </c>
    </row>
    <row r="1716">
      <c r="A1716" t="s">
        <v>12104</v>
      </c>
      <c r="B1716" s="254">
        <v>4990.0</v>
      </c>
      <c r="C1716" s="256">
        <v>0.0</v>
      </c>
      <c r="D1716" t="str">
        <f t="shared" si="34"/>
        <v>#REF!</v>
      </c>
      <c r="E1716" t="str">
        <f t="shared" si="1"/>
        <v>#REF!</v>
      </c>
    </row>
    <row r="1717">
      <c r="A1717" t="s">
        <v>6325</v>
      </c>
      <c r="B1717" s="254">
        <v>5490.0</v>
      </c>
      <c r="C1717" s="256">
        <v>4.0</v>
      </c>
      <c r="D1717" t="str">
        <f t="shared" si="34"/>
        <v>#REF!</v>
      </c>
      <c r="E1717" t="str">
        <f t="shared" si="1"/>
        <v>#REF!</v>
      </c>
    </row>
    <row r="1718">
      <c r="A1718" t="s">
        <v>6326</v>
      </c>
      <c r="B1718" s="254">
        <v>6690.0</v>
      </c>
      <c r="C1718" s="287">
        <v>1.0</v>
      </c>
      <c r="D1718" t="str">
        <f t="shared" si="34"/>
        <v>#REF!</v>
      </c>
      <c r="E1718" t="str">
        <f t="shared" si="1"/>
        <v>#REF!</v>
      </c>
    </row>
    <row r="1719">
      <c r="A1719" t="s">
        <v>2165</v>
      </c>
      <c r="B1719" s="254">
        <v>5490.0</v>
      </c>
      <c r="C1719" s="254">
        <v>2.0</v>
      </c>
      <c r="D1719" t="str">
        <f t="shared" si="34"/>
        <v>#REF!</v>
      </c>
      <c r="E1719" t="str">
        <f t="shared" si="1"/>
        <v>#REF!</v>
      </c>
    </row>
    <row r="1720">
      <c r="A1720" t="s">
        <v>12105</v>
      </c>
      <c r="B1720" s="254">
        <v>5990.0</v>
      </c>
      <c r="C1720" s="256">
        <v>0.0</v>
      </c>
      <c r="D1720" t="str">
        <f t="shared" si="34"/>
        <v>#REF!</v>
      </c>
      <c r="E1720" t="str">
        <f t="shared" si="1"/>
        <v>#REF!</v>
      </c>
    </row>
    <row r="1721">
      <c r="A1721" t="s">
        <v>5708</v>
      </c>
      <c r="B1721" s="254">
        <v>6090.0</v>
      </c>
      <c r="C1721" s="256">
        <v>1.0</v>
      </c>
      <c r="D1721" t="str">
        <f t="shared" si="34"/>
        <v>#REF!</v>
      </c>
      <c r="E1721" t="str">
        <f t="shared" si="1"/>
        <v>#REF!</v>
      </c>
    </row>
    <row r="1722">
      <c r="A1722" t="s">
        <v>5514</v>
      </c>
      <c r="B1722" s="254">
        <v>5560.0</v>
      </c>
      <c r="C1722" s="256">
        <v>1.0</v>
      </c>
      <c r="D1722" t="str">
        <f t="shared" si="34"/>
        <v>#REF!</v>
      </c>
      <c r="E1722" t="str">
        <f t="shared" si="1"/>
        <v>#REF!</v>
      </c>
    </row>
    <row r="1723">
      <c r="A1723" t="s">
        <v>2169</v>
      </c>
      <c r="B1723" s="254">
        <v>3290.0</v>
      </c>
      <c r="C1723" s="254">
        <v>1.0</v>
      </c>
      <c r="D1723" t="str">
        <f t="shared" si="34"/>
        <v>#REF!</v>
      </c>
      <c r="E1723" t="str">
        <f t="shared" si="1"/>
        <v>#REF!</v>
      </c>
    </row>
    <row r="1724">
      <c r="A1724" t="s">
        <v>5516</v>
      </c>
      <c r="B1724" s="254">
        <v>3090.0</v>
      </c>
      <c r="C1724" s="256">
        <v>5.0</v>
      </c>
      <c r="D1724" t="str">
        <f t="shared" si="34"/>
        <v>#REF!</v>
      </c>
      <c r="E1724" t="str">
        <f t="shared" si="1"/>
        <v>#REF!</v>
      </c>
    </row>
    <row r="1725">
      <c r="A1725" t="s">
        <v>2173</v>
      </c>
      <c r="B1725" s="254">
        <v>3090.0</v>
      </c>
      <c r="C1725" s="256">
        <v>5.0</v>
      </c>
      <c r="D1725" t="str">
        <f t="shared" si="34"/>
        <v>#REF!</v>
      </c>
      <c r="E1725" t="str">
        <f t="shared" si="1"/>
        <v>#REF!</v>
      </c>
    </row>
    <row r="1726">
      <c r="A1726" t="s">
        <v>6327</v>
      </c>
      <c r="B1726" s="254">
        <v>3990.0</v>
      </c>
      <c r="C1726" s="256">
        <v>1.0</v>
      </c>
      <c r="D1726" t="str">
        <f t="shared" si="34"/>
        <v>#REF!</v>
      </c>
      <c r="E1726" t="str">
        <f t="shared" si="1"/>
        <v>#REF!</v>
      </c>
    </row>
    <row r="1727">
      <c r="A1727" t="s">
        <v>6328</v>
      </c>
      <c r="B1727" s="254">
        <v>3990.0</v>
      </c>
      <c r="C1727" s="256">
        <v>1.0</v>
      </c>
      <c r="D1727" t="str">
        <f t="shared" si="34"/>
        <v>#REF!</v>
      </c>
      <c r="E1727" t="str">
        <f t="shared" si="1"/>
        <v>#REF!</v>
      </c>
    </row>
    <row r="1728">
      <c r="A1728" t="s">
        <v>12106</v>
      </c>
      <c r="B1728" s="254">
        <v>3290.0</v>
      </c>
      <c r="C1728" s="256">
        <v>1.0</v>
      </c>
      <c r="D1728" t="str">
        <f t="shared" si="34"/>
        <v>#REF!</v>
      </c>
      <c r="E1728" t="str">
        <f t="shared" si="1"/>
        <v>#REF!</v>
      </c>
    </row>
    <row r="1729">
      <c r="A1729" t="s">
        <v>5537</v>
      </c>
      <c r="B1729" s="254">
        <v>3490.0</v>
      </c>
      <c r="C1729" s="256">
        <v>1.0</v>
      </c>
      <c r="D1729" t="str">
        <f t="shared" si="34"/>
        <v>#REF!</v>
      </c>
      <c r="E1729" t="str">
        <f t="shared" si="1"/>
        <v>#REF!</v>
      </c>
    </row>
    <row r="1730">
      <c r="A1730" t="s">
        <v>6329</v>
      </c>
      <c r="B1730" s="254">
        <v>5490.0</v>
      </c>
      <c r="C1730" s="256">
        <v>1.0</v>
      </c>
      <c r="D1730" t="str">
        <f t="shared" si="34"/>
        <v>#REF!</v>
      </c>
      <c r="E1730" t="str">
        <f t="shared" si="1"/>
        <v>#REF!</v>
      </c>
    </row>
    <row r="1731">
      <c r="A1731" t="s">
        <v>2175</v>
      </c>
      <c r="B1731" s="254">
        <v>2990.0</v>
      </c>
      <c r="C1731" s="256">
        <v>0.0</v>
      </c>
      <c r="D1731" t="str">
        <f t="shared" si="34"/>
        <v>#REF!</v>
      </c>
      <c r="E1731" t="str">
        <f t="shared" si="1"/>
        <v>#REF!</v>
      </c>
    </row>
    <row r="1732">
      <c r="A1732" t="s">
        <v>12107</v>
      </c>
      <c r="B1732" s="254">
        <v>3590.0</v>
      </c>
      <c r="C1732" s="256">
        <v>0.0</v>
      </c>
      <c r="D1732" t="str">
        <f t="shared" si="34"/>
        <v>#REF!</v>
      </c>
      <c r="E1732" t="str">
        <f t="shared" si="1"/>
        <v>#REF!</v>
      </c>
    </row>
    <row r="1733">
      <c r="A1733" t="s">
        <v>12108</v>
      </c>
      <c r="B1733" s="254">
        <v>4990.0</v>
      </c>
      <c r="C1733" s="256">
        <v>0.0</v>
      </c>
      <c r="D1733" t="str">
        <f t="shared" si="34"/>
        <v>#REF!</v>
      </c>
      <c r="E1733" t="str">
        <f t="shared" si="1"/>
        <v>#REF!</v>
      </c>
    </row>
    <row r="1734">
      <c r="A1734" t="s">
        <v>6330</v>
      </c>
      <c r="B1734" s="254">
        <v>3290.0</v>
      </c>
      <c r="C1734" s="256">
        <v>2.0</v>
      </c>
      <c r="D1734" t="str">
        <f t="shared" si="34"/>
        <v>#REF!</v>
      </c>
      <c r="E1734" t="str">
        <f t="shared" si="1"/>
        <v>#REF!</v>
      </c>
    </row>
    <row r="1735">
      <c r="A1735" t="s">
        <v>12109</v>
      </c>
      <c r="B1735" s="254"/>
      <c r="C1735" s="256">
        <v>0.0</v>
      </c>
      <c r="D1735" t="str">
        <f t="shared" si="34"/>
        <v>#REF!</v>
      </c>
      <c r="E1735" t="str">
        <f t="shared" si="1"/>
        <v>#REF!</v>
      </c>
    </row>
    <row r="1736">
      <c r="A1736" t="s">
        <v>9200</v>
      </c>
      <c r="B1736" s="254">
        <v>3290.0</v>
      </c>
      <c r="C1736" s="256">
        <v>0.0</v>
      </c>
      <c r="D1736" t="str">
        <f t="shared" si="34"/>
        <v>#REF!</v>
      </c>
      <c r="E1736" t="str">
        <f t="shared" si="1"/>
        <v>#REF!</v>
      </c>
    </row>
    <row r="1737">
      <c r="A1737" t="s">
        <v>12110</v>
      </c>
      <c r="B1737" s="254">
        <v>3290.0</v>
      </c>
      <c r="C1737" s="256">
        <v>0.0</v>
      </c>
      <c r="D1737" t="str">
        <f t="shared" si="34"/>
        <v>#REF!</v>
      </c>
      <c r="E1737" t="str">
        <f t="shared" si="1"/>
        <v>#REF!</v>
      </c>
    </row>
    <row r="1738">
      <c r="A1738" t="s">
        <v>6331</v>
      </c>
      <c r="B1738" s="254">
        <v>3290.0</v>
      </c>
      <c r="C1738" s="256">
        <v>10.0</v>
      </c>
      <c r="D1738" t="str">
        <f t="shared" si="34"/>
        <v>#REF!</v>
      </c>
      <c r="E1738" t="str">
        <f t="shared" si="1"/>
        <v>#REF!</v>
      </c>
    </row>
    <row r="1739">
      <c r="A1739" t="s">
        <v>6355</v>
      </c>
      <c r="B1739" s="254"/>
      <c r="C1739" s="287">
        <v>1.0</v>
      </c>
      <c r="D1739" t="str">
        <f t="shared" si="34"/>
        <v>#REF!</v>
      </c>
      <c r="E1739" t="str">
        <f t="shared" si="1"/>
        <v>#REF!</v>
      </c>
    </row>
    <row r="1740">
      <c r="A1740" t="s">
        <v>6332</v>
      </c>
      <c r="B1740" s="254">
        <v>3490.0</v>
      </c>
      <c r="C1740" s="256">
        <v>1.0</v>
      </c>
      <c r="D1740" t="str">
        <f t="shared" si="34"/>
        <v>#REF!</v>
      </c>
      <c r="E1740" t="str">
        <f t="shared" si="1"/>
        <v>#REF!</v>
      </c>
    </row>
    <row r="1741">
      <c r="A1741" t="s">
        <v>12111</v>
      </c>
      <c r="B1741" s="254">
        <v>5990.0</v>
      </c>
      <c r="C1741" s="256">
        <v>0.0</v>
      </c>
      <c r="D1741" t="str">
        <f t="shared" si="34"/>
        <v>#REF!</v>
      </c>
      <c r="E1741" t="str">
        <f t="shared" si="1"/>
        <v>#REF!</v>
      </c>
    </row>
    <row r="1742">
      <c r="A1742" t="s">
        <v>12112</v>
      </c>
      <c r="B1742" s="254">
        <v>4590.0</v>
      </c>
      <c r="C1742" s="256">
        <v>0.0</v>
      </c>
      <c r="D1742" t="str">
        <f t="shared" si="34"/>
        <v>#REF!</v>
      </c>
      <c r="E1742" t="str">
        <f t="shared" si="1"/>
        <v>#REF!</v>
      </c>
    </row>
    <row r="1743">
      <c r="A1743" t="s">
        <v>5475</v>
      </c>
      <c r="B1743" s="254">
        <v>4590.0</v>
      </c>
      <c r="C1743" s="256">
        <v>0.0</v>
      </c>
      <c r="D1743" t="str">
        <f t="shared" si="34"/>
        <v>#REF!</v>
      </c>
      <c r="E1743" t="str">
        <f t="shared" si="1"/>
        <v>#REF!</v>
      </c>
    </row>
    <row r="1744">
      <c r="A1744" t="s">
        <v>12113</v>
      </c>
      <c r="B1744" s="254">
        <v>4590.0</v>
      </c>
      <c r="C1744" s="256">
        <v>0.0</v>
      </c>
      <c r="D1744" t="str">
        <f t="shared" si="34"/>
        <v>#REF!</v>
      </c>
      <c r="E1744" t="str">
        <f t="shared" si="1"/>
        <v>#REF!</v>
      </c>
    </row>
    <row r="1745">
      <c r="A1745" t="s">
        <v>12114</v>
      </c>
      <c r="B1745" s="254">
        <v>4990.0</v>
      </c>
      <c r="C1745" s="256">
        <v>0.0</v>
      </c>
      <c r="D1745" t="str">
        <f t="shared" si="34"/>
        <v>#REF!</v>
      </c>
      <c r="E1745" t="str">
        <f t="shared" si="1"/>
        <v>#REF!</v>
      </c>
    </row>
    <row r="1746">
      <c r="A1746" t="s">
        <v>2185</v>
      </c>
      <c r="B1746" s="254">
        <v>3790.0</v>
      </c>
      <c r="C1746" s="256">
        <v>2.0</v>
      </c>
      <c r="D1746" t="str">
        <f t="shared" si="34"/>
        <v>#REF!</v>
      </c>
      <c r="E1746" t="str">
        <f t="shared" si="1"/>
        <v>#REF!</v>
      </c>
    </row>
    <row r="1747">
      <c r="A1747" t="s">
        <v>6333</v>
      </c>
      <c r="B1747" s="254">
        <v>3790.0</v>
      </c>
      <c r="C1747" s="256">
        <v>3.0</v>
      </c>
      <c r="D1747" t="str">
        <f t="shared" si="34"/>
        <v>#REF!</v>
      </c>
      <c r="E1747" t="str">
        <f t="shared" si="1"/>
        <v>#REF!</v>
      </c>
    </row>
    <row r="1748">
      <c r="A1748" t="s">
        <v>12115</v>
      </c>
      <c r="B1748" s="254">
        <v>5990.0</v>
      </c>
      <c r="C1748" s="256">
        <v>0.0</v>
      </c>
      <c r="D1748" t="str">
        <f t="shared" si="34"/>
        <v>#REF!</v>
      </c>
      <c r="E1748" t="str">
        <f t="shared" si="1"/>
        <v>#REF!</v>
      </c>
    </row>
    <row r="1749">
      <c r="A1749" t="s">
        <v>12116</v>
      </c>
      <c r="B1749" s="254">
        <v>5990.0</v>
      </c>
      <c r="C1749" s="256">
        <v>0.0</v>
      </c>
      <c r="D1749" t="str">
        <f t="shared" si="34"/>
        <v>#REF!</v>
      </c>
      <c r="E1749" t="str">
        <f t="shared" si="1"/>
        <v>#REF!</v>
      </c>
    </row>
    <row r="1750">
      <c r="A1750" t="s">
        <v>12117</v>
      </c>
      <c r="B1750" s="254">
        <v>5990.0</v>
      </c>
      <c r="C1750" s="256">
        <v>0.0</v>
      </c>
      <c r="D1750" t="str">
        <f t="shared" si="34"/>
        <v>#REF!</v>
      </c>
      <c r="E1750" t="str">
        <f t="shared" si="1"/>
        <v>#REF!</v>
      </c>
    </row>
    <row r="1751">
      <c r="A1751" t="s">
        <v>2193</v>
      </c>
      <c r="B1751" s="254">
        <v>5990.0</v>
      </c>
      <c r="C1751" s="256">
        <v>3.0</v>
      </c>
      <c r="D1751" t="str">
        <f t="shared" si="34"/>
        <v>#REF!</v>
      </c>
      <c r="E1751" t="str">
        <f t="shared" si="1"/>
        <v>#REF!</v>
      </c>
    </row>
    <row r="1752">
      <c r="A1752" t="s">
        <v>9427</v>
      </c>
      <c r="B1752" s="254">
        <v>5490.0</v>
      </c>
      <c r="C1752" s="256">
        <v>0.0</v>
      </c>
      <c r="D1752" t="str">
        <f t="shared" si="34"/>
        <v>#REF!</v>
      </c>
      <c r="E1752" t="str">
        <f t="shared" si="1"/>
        <v>#REF!</v>
      </c>
    </row>
    <row r="1753">
      <c r="A1753" t="s">
        <v>2198</v>
      </c>
      <c r="B1753" s="254">
        <v>5490.0</v>
      </c>
      <c r="C1753" s="256">
        <v>0.0</v>
      </c>
      <c r="D1753" t="str">
        <f t="shared" si="34"/>
        <v>#REF!</v>
      </c>
      <c r="E1753" t="str">
        <f t="shared" si="1"/>
        <v>#REF!</v>
      </c>
    </row>
    <row r="1754">
      <c r="A1754" t="s">
        <v>6334</v>
      </c>
      <c r="B1754" s="254">
        <v>3290.0</v>
      </c>
      <c r="C1754" s="256">
        <v>1.0</v>
      </c>
      <c r="D1754" t="str">
        <f t="shared" si="34"/>
        <v>#REF!</v>
      </c>
      <c r="E1754" t="str">
        <f t="shared" si="1"/>
        <v>#REF!</v>
      </c>
    </row>
    <row r="1755">
      <c r="A1755" t="s">
        <v>9198</v>
      </c>
      <c r="B1755" s="254">
        <v>3290.0</v>
      </c>
      <c r="C1755" s="256">
        <v>0.0</v>
      </c>
      <c r="D1755" t="str">
        <f t="shared" si="34"/>
        <v>#REF!</v>
      </c>
      <c r="E1755" t="str">
        <f t="shared" si="1"/>
        <v>#REF!</v>
      </c>
    </row>
    <row r="1756">
      <c r="A1756" t="s">
        <v>5489</v>
      </c>
      <c r="B1756" s="254">
        <v>3990.0</v>
      </c>
      <c r="C1756" s="256">
        <v>3.0</v>
      </c>
      <c r="D1756" t="str">
        <f t="shared" si="34"/>
        <v>#REF!</v>
      </c>
      <c r="E1756" t="str">
        <f t="shared" si="1"/>
        <v>#REF!</v>
      </c>
    </row>
    <row r="1757">
      <c r="A1757" t="s">
        <v>5528</v>
      </c>
      <c r="B1757" s="254">
        <v>3990.0</v>
      </c>
      <c r="C1757" s="287">
        <v>2.0</v>
      </c>
      <c r="D1757" t="str">
        <f t="shared" si="34"/>
        <v>#REF!</v>
      </c>
      <c r="E1757" t="str">
        <f t="shared" si="1"/>
        <v>#REF!</v>
      </c>
    </row>
    <row r="1758">
      <c r="A1758" t="s">
        <v>12118</v>
      </c>
      <c r="B1758" s="254">
        <v>3490.0</v>
      </c>
      <c r="C1758" s="256">
        <v>0.0</v>
      </c>
      <c r="D1758" t="str">
        <f t="shared" si="34"/>
        <v>#REF!</v>
      </c>
      <c r="E1758" t="str">
        <f t="shared" si="1"/>
        <v>#REF!</v>
      </c>
    </row>
    <row r="1759">
      <c r="A1759" t="s">
        <v>6352</v>
      </c>
      <c r="B1759" s="254"/>
      <c r="C1759" s="288">
        <v>1.0</v>
      </c>
      <c r="D1759" t="str">
        <f t="shared" si="34"/>
        <v>#REF!</v>
      </c>
      <c r="E1759" t="str">
        <f t="shared" si="1"/>
        <v>#REF!</v>
      </c>
    </row>
    <row r="1760">
      <c r="A1760" s="3" t="s">
        <v>9312</v>
      </c>
      <c r="B1760" s="254" t="e">
        <v>#N/A</v>
      </c>
      <c r="C1760" s="287">
        <v>1.0</v>
      </c>
      <c r="D1760" t="str">
        <f t="shared" si="34"/>
        <v>#REF!</v>
      </c>
      <c r="E1760" t="str">
        <f t="shared" si="1"/>
        <v>#REF!</v>
      </c>
    </row>
    <row r="1761">
      <c r="A1761" t="s">
        <v>6335</v>
      </c>
      <c r="B1761" s="254">
        <v>3490.0</v>
      </c>
      <c r="C1761" s="256">
        <v>1.0</v>
      </c>
      <c r="D1761" t="str">
        <f t="shared" si="34"/>
        <v>#REF!</v>
      </c>
      <c r="E1761" t="str">
        <f t="shared" si="1"/>
        <v>#REF!</v>
      </c>
    </row>
    <row r="1762">
      <c r="A1762" t="s">
        <v>6336</v>
      </c>
      <c r="B1762" s="254">
        <v>4590.0</v>
      </c>
      <c r="C1762" s="256">
        <v>1.0</v>
      </c>
      <c r="D1762" t="str">
        <f t="shared" si="34"/>
        <v>#REF!</v>
      </c>
      <c r="E1762" t="str">
        <f t="shared" si="1"/>
        <v>#REF!</v>
      </c>
    </row>
    <row r="1763">
      <c r="A1763" t="s">
        <v>2206</v>
      </c>
      <c r="B1763" s="254">
        <v>5290.0</v>
      </c>
      <c r="C1763" s="256">
        <v>1.0</v>
      </c>
      <c r="D1763" t="str">
        <f t="shared" si="34"/>
        <v>#REF!</v>
      </c>
      <c r="E1763" t="str">
        <f t="shared" si="1"/>
        <v>#REF!</v>
      </c>
    </row>
    <row r="1764">
      <c r="A1764" t="s">
        <v>6337</v>
      </c>
      <c r="B1764" s="254">
        <v>5590.0</v>
      </c>
      <c r="C1764" s="256">
        <v>1.0</v>
      </c>
      <c r="D1764" t="str">
        <f t="shared" si="34"/>
        <v>#REF!</v>
      </c>
      <c r="E1764" t="str">
        <f t="shared" si="1"/>
        <v>#REF!</v>
      </c>
    </row>
    <row r="1765">
      <c r="A1765" t="s">
        <v>6338</v>
      </c>
      <c r="B1765" s="254">
        <v>5590.0</v>
      </c>
      <c r="C1765" s="256">
        <v>1.0</v>
      </c>
      <c r="D1765" t="str">
        <f t="shared" si="34"/>
        <v>#REF!</v>
      </c>
      <c r="E1765" t="str">
        <f t="shared" si="1"/>
        <v>#REF!</v>
      </c>
    </row>
    <row r="1766">
      <c r="A1766" t="s">
        <v>9707</v>
      </c>
      <c r="B1766" s="254">
        <v>3790.0</v>
      </c>
      <c r="C1766" s="256">
        <v>0.0</v>
      </c>
      <c r="D1766" t="str">
        <f t="shared" si="34"/>
        <v>#REF!</v>
      </c>
      <c r="E1766" t="str">
        <f t="shared" si="1"/>
        <v>#REF!</v>
      </c>
    </row>
    <row r="1767">
      <c r="A1767" t="s">
        <v>6339</v>
      </c>
      <c r="B1767" s="254">
        <v>3790.0</v>
      </c>
      <c r="C1767" s="256">
        <v>4.0</v>
      </c>
      <c r="D1767" t="str">
        <f t="shared" si="34"/>
        <v>#REF!</v>
      </c>
      <c r="E1767" t="str">
        <f t="shared" si="1"/>
        <v>#REF!</v>
      </c>
    </row>
    <row r="1768">
      <c r="A1768" t="s">
        <v>2215</v>
      </c>
      <c r="B1768" s="254">
        <v>3790.0</v>
      </c>
      <c r="C1768" s="256">
        <v>1.0</v>
      </c>
      <c r="D1768" t="str">
        <f t="shared" si="34"/>
        <v>#REF!</v>
      </c>
      <c r="E1768" t="str">
        <f t="shared" si="1"/>
        <v>#REF!</v>
      </c>
    </row>
    <row r="1769">
      <c r="A1769" t="s">
        <v>6340</v>
      </c>
      <c r="B1769" s="254">
        <v>3790.0</v>
      </c>
      <c r="C1769" s="256">
        <v>2.0</v>
      </c>
      <c r="D1769" t="str">
        <f t="shared" si="34"/>
        <v>#REF!</v>
      </c>
      <c r="E1769" t="str">
        <f t="shared" si="1"/>
        <v>#REF!</v>
      </c>
    </row>
    <row r="1770">
      <c r="A1770" t="s">
        <v>2220</v>
      </c>
      <c r="B1770" s="254">
        <v>3790.0</v>
      </c>
      <c r="C1770" s="256">
        <v>4.0</v>
      </c>
      <c r="D1770" t="str">
        <f t="shared" si="34"/>
        <v>#REF!</v>
      </c>
      <c r="E1770" t="str">
        <f t="shared" si="1"/>
        <v>#REF!</v>
      </c>
    </row>
    <row r="1771">
      <c r="A1771" t="s">
        <v>2218</v>
      </c>
      <c r="B1771" s="254">
        <v>3790.0</v>
      </c>
      <c r="C1771" s="256">
        <v>5.0</v>
      </c>
      <c r="D1771" t="str">
        <f t="shared" si="34"/>
        <v>#REF!</v>
      </c>
      <c r="E1771" t="str">
        <f t="shared" si="1"/>
        <v>#REF!</v>
      </c>
    </row>
    <row r="1772">
      <c r="A1772" t="s">
        <v>2245</v>
      </c>
      <c r="B1772" s="254">
        <v>3990.0</v>
      </c>
      <c r="C1772" s="256">
        <v>4.0</v>
      </c>
      <c r="D1772" s="3">
        <v>4.0</v>
      </c>
      <c r="E1772" t="b">
        <f t="shared" si="1"/>
        <v>1</v>
      </c>
    </row>
    <row r="1773">
      <c r="A1773" t="s">
        <v>12119</v>
      </c>
      <c r="B1773" s="254">
        <v>3490.0</v>
      </c>
      <c r="C1773" s="256">
        <v>0.0</v>
      </c>
      <c r="D1773" s="3">
        <v>0.0</v>
      </c>
      <c r="E1773" t="b">
        <f t="shared" si="1"/>
        <v>1</v>
      </c>
    </row>
    <row r="1774">
      <c r="A1774" t="s">
        <v>5483</v>
      </c>
      <c r="B1774" s="254">
        <v>3490.0</v>
      </c>
      <c r="C1774" s="256">
        <v>2.0</v>
      </c>
      <c r="D1774" s="3">
        <v>2.0</v>
      </c>
      <c r="E1774" t="b">
        <f t="shared" si="1"/>
        <v>1</v>
      </c>
    </row>
    <row r="1775">
      <c r="A1775" t="s">
        <v>6341</v>
      </c>
      <c r="B1775" s="254">
        <v>3490.0</v>
      </c>
      <c r="C1775" s="256">
        <v>4.0</v>
      </c>
      <c r="D1775" s="3">
        <v>4.0</v>
      </c>
      <c r="E1775" t="b">
        <f t="shared" si="1"/>
        <v>1</v>
      </c>
    </row>
    <row r="1776">
      <c r="A1776" t="s">
        <v>6626</v>
      </c>
      <c r="B1776" s="254">
        <v>3290.0</v>
      </c>
      <c r="C1776" s="256">
        <v>0.0</v>
      </c>
      <c r="D1776" t="str">
        <f t="shared" ref="D1776:D1796" si="35">VLOOKUP(A1776,PIVOT!$A$4:$F$1900,6,0)</f>
        <v>#REF!</v>
      </c>
      <c r="E1776" t="str">
        <f t="shared" si="1"/>
        <v>#REF!</v>
      </c>
    </row>
    <row r="1777">
      <c r="A1777" t="s">
        <v>6251</v>
      </c>
      <c r="B1777" s="254">
        <v>3990.0</v>
      </c>
      <c r="C1777" s="289">
        <v>0.0</v>
      </c>
      <c r="D1777" t="str">
        <f t="shared" si="35"/>
        <v>#REF!</v>
      </c>
      <c r="E1777" t="str">
        <f t="shared" si="1"/>
        <v>#REF!</v>
      </c>
    </row>
    <row r="1778">
      <c r="A1778" s="3" t="s">
        <v>6342</v>
      </c>
      <c r="B1778" s="254">
        <v>3990.0</v>
      </c>
      <c r="C1778" s="250">
        <v>1.0</v>
      </c>
      <c r="D1778" t="str">
        <f t="shared" si="35"/>
        <v>#REF!</v>
      </c>
      <c r="E1778" t="str">
        <f t="shared" si="1"/>
        <v>#REF!</v>
      </c>
    </row>
    <row r="1779">
      <c r="A1779" t="s">
        <v>12120</v>
      </c>
      <c r="B1779" s="254">
        <v>3290.0</v>
      </c>
      <c r="C1779" s="256">
        <v>1.0</v>
      </c>
      <c r="D1779" t="str">
        <f t="shared" si="35"/>
        <v>#REF!</v>
      </c>
      <c r="E1779" t="str">
        <f t="shared" si="1"/>
        <v>#REF!</v>
      </c>
    </row>
    <row r="1780">
      <c r="A1780" t="s">
        <v>6343</v>
      </c>
      <c r="B1780" s="254">
        <v>3790.0</v>
      </c>
      <c r="C1780" s="256">
        <v>1.0</v>
      </c>
      <c r="D1780" t="str">
        <f t="shared" si="35"/>
        <v>#REF!</v>
      </c>
      <c r="E1780" t="str">
        <f t="shared" si="1"/>
        <v>#REF!</v>
      </c>
    </row>
    <row r="1781">
      <c r="A1781" t="s">
        <v>6344</v>
      </c>
      <c r="B1781" s="254">
        <v>3490.0</v>
      </c>
      <c r="C1781" s="250">
        <v>1.0</v>
      </c>
      <c r="D1781" t="str">
        <f t="shared" si="35"/>
        <v>#REF!</v>
      </c>
      <c r="E1781" t="str">
        <f t="shared" si="1"/>
        <v>#REF!</v>
      </c>
    </row>
    <row r="1782">
      <c r="A1782" s="3" t="s">
        <v>6353</v>
      </c>
      <c r="B1782" s="254" t="e">
        <v>#N/A</v>
      </c>
      <c r="C1782" s="287">
        <v>1.0</v>
      </c>
      <c r="D1782" t="str">
        <f t="shared" si="35"/>
        <v>#REF!</v>
      </c>
      <c r="E1782" t="str">
        <f t="shared" si="1"/>
        <v>#REF!</v>
      </c>
    </row>
    <row r="1783">
      <c r="A1783" t="s">
        <v>6345</v>
      </c>
      <c r="B1783" s="254">
        <v>3490.0</v>
      </c>
      <c r="C1783" s="256">
        <v>1.0</v>
      </c>
      <c r="D1783" t="str">
        <f t="shared" si="35"/>
        <v>#REF!</v>
      </c>
      <c r="E1783" t="str">
        <f t="shared" si="1"/>
        <v>#REF!</v>
      </c>
    </row>
    <row r="1784">
      <c r="A1784" t="s">
        <v>6346</v>
      </c>
      <c r="B1784" s="254">
        <v>3490.0</v>
      </c>
      <c r="C1784" s="256">
        <v>1.0</v>
      </c>
      <c r="D1784" t="str">
        <f t="shared" si="35"/>
        <v>#REF!</v>
      </c>
      <c r="E1784" t="str">
        <f t="shared" si="1"/>
        <v>#REF!</v>
      </c>
    </row>
    <row r="1785">
      <c r="A1785" t="s">
        <v>5533</v>
      </c>
      <c r="B1785" s="254">
        <v>6090.0</v>
      </c>
      <c r="C1785" s="289">
        <v>1.0</v>
      </c>
      <c r="D1785" t="str">
        <f t="shared" si="35"/>
        <v>#REF!</v>
      </c>
      <c r="E1785" t="str">
        <f t="shared" si="1"/>
        <v>#REF!</v>
      </c>
    </row>
    <row r="1786">
      <c r="A1786" t="s">
        <v>6347</v>
      </c>
      <c r="B1786" s="254">
        <v>3990.0</v>
      </c>
      <c r="C1786" s="256">
        <v>2.0</v>
      </c>
      <c r="D1786" t="str">
        <f t="shared" si="35"/>
        <v>#REF!</v>
      </c>
      <c r="E1786" t="str">
        <f t="shared" si="1"/>
        <v>#REF!</v>
      </c>
    </row>
    <row r="1787">
      <c r="A1787" t="s">
        <v>2259</v>
      </c>
      <c r="B1787" s="254">
        <v>3990.0</v>
      </c>
      <c r="C1787" s="256">
        <v>3.0</v>
      </c>
      <c r="D1787" t="str">
        <f t="shared" si="35"/>
        <v>#REF!</v>
      </c>
      <c r="E1787" t="str">
        <f t="shared" si="1"/>
        <v>#REF!</v>
      </c>
    </row>
    <row r="1788">
      <c r="A1788" t="s">
        <v>6348</v>
      </c>
      <c r="B1788" s="254">
        <v>3990.0</v>
      </c>
      <c r="C1788" s="256">
        <v>3.0</v>
      </c>
      <c r="D1788" t="str">
        <f t="shared" si="35"/>
        <v>#REF!</v>
      </c>
      <c r="E1788" t="str">
        <f t="shared" si="1"/>
        <v>#REF!</v>
      </c>
    </row>
    <row r="1789">
      <c r="A1789" t="s">
        <v>12121</v>
      </c>
      <c r="B1789" s="254">
        <v>3290.0</v>
      </c>
      <c r="C1789" s="256">
        <v>0.0</v>
      </c>
      <c r="D1789" t="str">
        <f t="shared" si="35"/>
        <v>#REF!</v>
      </c>
      <c r="E1789" t="str">
        <f t="shared" si="1"/>
        <v>#REF!</v>
      </c>
    </row>
    <row r="1790">
      <c r="A1790" t="s">
        <v>6349</v>
      </c>
      <c r="B1790" s="254">
        <v>3290.0</v>
      </c>
      <c r="C1790" s="256">
        <v>1.0</v>
      </c>
      <c r="D1790" t="str">
        <f t="shared" si="35"/>
        <v>#REF!</v>
      </c>
      <c r="E1790" t="str">
        <f t="shared" si="1"/>
        <v>#REF!</v>
      </c>
    </row>
    <row r="1791">
      <c r="A1791" t="s">
        <v>5531</v>
      </c>
      <c r="B1791" s="254">
        <v>3290.0</v>
      </c>
      <c r="C1791" s="287">
        <v>0.0</v>
      </c>
      <c r="D1791" t="str">
        <f t="shared" si="35"/>
        <v>#REF!</v>
      </c>
      <c r="E1791" t="str">
        <f t="shared" si="1"/>
        <v>#REF!</v>
      </c>
    </row>
    <row r="1792">
      <c r="A1792" t="s">
        <v>12122</v>
      </c>
      <c r="B1792" s="254">
        <v>6090.0</v>
      </c>
      <c r="C1792" s="256">
        <v>0.0</v>
      </c>
      <c r="D1792" t="str">
        <f t="shared" si="35"/>
        <v>#REF!</v>
      </c>
      <c r="E1792" t="str">
        <f t="shared" si="1"/>
        <v>#REF!</v>
      </c>
    </row>
    <row r="1793">
      <c r="A1793" t="s">
        <v>6350</v>
      </c>
      <c r="B1793" s="254">
        <v>3790.0</v>
      </c>
      <c r="C1793" s="256">
        <v>1.0</v>
      </c>
      <c r="D1793" t="str">
        <f t="shared" si="35"/>
        <v>#REF!</v>
      </c>
      <c r="E1793" t="str">
        <f t="shared" si="1"/>
        <v>#REF!</v>
      </c>
    </row>
    <row r="1794">
      <c r="A1794" t="s">
        <v>6178</v>
      </c>
      <c r="B1794" s="254">
        <v>3790.0</v>
      </c>
      <c r="C1794" s="256">
        <v>1.0</v>
      </c>
      <c r="D1794" t="str">
        <f t="shared" si="35"/>
        <v>#REF!</v>
      </c>
      <c r="E1794" t="str">
        <f t="shared" si="1"/>
        <v>#REF!</v>
      </c>
    </row>
    <row r="1795">
      <c r="A1795" t="s">
        <v>6177</v>
      </c>
      <c r="B1795" s="254">
        <v>3790.0</v>
      </c>
      <c r="C1795" s="256">
        <v>1.0</v>
      </c>
      <c r="D1795" t="str">
        <f t="shared" si="35"/>
        <v>#REF!</v>
      </c>
      <c r="E1795" t="str">
        <f t="shared" si="1"/>
        <v>#REF!</v>
      </c>
    </row>
    <row r="1796">
      <c r="A1796" t="s">
        <v>2267</v>
      </c>
      <c r="B1796" s="254">
        <v>5690.0</v>
      </c>
      <c r="C1796" s="287">
        <v>1.0</v>
      </c>
      <c r="D1796" t="str">
        <f t="shared" si="35"/>
        <v>#REF!</v>
      </c>
      <c r="E1796" t="str">
        <f t="shared" si="1"/>
        <v>#REF!</v>
      </c>
    </row>
    <row r="1797">
      <c r="A1797" t="s">
        <v>12123</v>
      </c>
      <c r="B1797" s="254">
        <v>1000.0</v>
      </c>
      <c r="C1797" s="256">
        <v>15.0</v>
      </c>
      <c r="D1797" s="3">
        <v>14.0</v>
      </c>
      <c r="E1797" t="b">
        <f t="shared" si="1"/>
        <v>0</v>
      </c>
    </row>
    <row r="1798">
      <c r="A1798" s="3"/>
      <c r="B1798" s="254"/>
      <c r="C1798" s="287"/>
    </row>
    <row r="1799">
      <c r="A1799" s="3"/>
      <c r="B1799" s="254"/>
      <c r="C1799" s="287"/>
    </row>
    <row r="1800">
      <c r="A1800" s="3"/>
      <c r="B1800" s="254"/>
      <c r="C1800" s="287"/>
    </row>
    <row r="1801">
      <c r="A1801" s="3"/>
      <c r="B1801" s="254"/>
      <c r="C1801" s="287"/>
    </row>
    <row r="1802">
      <c r="A1802" s="3"/>
      <c r="B1802" s="254"/>
      <c r="C1802" s="287"/>
    </row>
    <row r="1803">
      <c r="A1803" s="3"/>
      <c r="B1803" s="254"/>
      <c r="C1803" s="287"/>
    </row>
    <row r="1804">
      <c r="A1804" s="3"/>
      <c r="B1804" s="254"/>
      <c r="C1804" s="287"/>
    </row>
    <row r="1805">
      <c r="A1805" s="3"/>
      <c r="B1805" s="254"/>
      <c r="C1805" s="287"/>
    </row>
    <row r="1806">
      <c r="A1806" s="3"/>
      <c r="B1806" s="254"/>
      <c r="C1806" s="287"/>
    </row>
    <row r="1807">
      <c r="A1807" s="3"/>
      <c r="B1807" s="254"/>
      <c r="C1807" s="287"/>
    </row>
    <row r="1808">
      <c r="A1808" s="3"/>
      <c r="B1808" s="254"/>
      <c r="C1808" s="287"/>
    </row>
    <row r="1809">
      <c r="A1809" s="3"/>
      <c r="B1809" s="254"/>
      <c r="C1809" s="287"/>
    </row>
    <row r="1810">
      <c r="A1810" s="3"/>
      <c r="B1810" s="254"/>
      <c r="C1810" s="287"/>
    </row>
    <row r="1811">
      <c r="A1811" s="3"/>
      <c r="B1811" s="254"/>
      <c r="C1811" s="287"/>
    </row>
    <row r="1812">
      <c r="A1812" s="3"/>
      <c r="B1812" s="254"/>
      <c r="C1812" s="287"/>
    </row>
    <row r="1813">
      <c r="A1813" s="3"/>
      <c r="B1813" s="254"/>
      <c r="C1813" s="287"/>
    </row>
    <row r="1814">
      <c r="A1814" s="3"/>
      <c r="B1814" s="254"/>
      <c r="C1814" s="287"/>
    </row>
    <row r="1815">
      <c r="A1815" s="3"/>
      <c r="B1815" s="254"/>
      <c r="C1815" s="287"/>
    </row>
    <row r="1816">
      <c r="A1816" s="3"/>
      <c r="B1816" s="254"/>
      <c r="C1816" s="287"/>
    </row>
    <row r="1817">
      <c r="A1817" s="3"/>
      <c r="B1817" s="254"/>
      <c r="C1817" s="287"/>
    </row>
    <row r="1818">
      <c r="A1818" s="3"/>
      <c r="B1818" s="254"/>
      <c r="C1818" s="287"/>
    </row>
    <row r="1819">
      <c r="A1819" s="3"/>
      <c r="B1819" s="254"/>
      <c r="C1819" s="287"/>
    </row>
    <row r="1820">
      <c r="A1820" s="3"/>
      <c r="B1820" s="254"/>
      <c r="C1820" s="287"/>
    </row>
    <row r="1821">
      <c r="A1821" s="3"/>
      <c r="B1821" s="254"/>
      <c r="C1821" s="287"/>
    </row>
    <row r="1822">
      <c r="A1822" s="3"/>
      <c r="B1822" s="254"/>
      <c r="C1822" s="287"/>
    </row>
    <row r="1823">
      <c r="A1823" s="3"/>
      <c r="B1823" s="254"/>
      <c r="C1823" s="287"/>
    </row>
    <row r="1824">
      <c r="A1824" s="3"/>
      <c r="B1824" s="254"/>
      <c r="C1824" s="287"/>
    </row>
    <row r="1825">
      <c r="A1825" s="3"/>
      <c r="B1825" s="254"/>
      <c r="C1825" s="287"/>
    </row>
    <row r="1826">
      <c r="A1826" s="3"/>
      <c r="B1826" s="254"/>
      <c r="C1826" s="287"/>
    </row>
    <row r="1827">
      <c r="A1827" s="3"/>
      <c r="B1827" s="254"/>
      <c r="C1827" s="287"/>
    </row>
    <row r="1828">
      <c r="A1828" s="3"/>
      <c r="B1828" s="254"/>
      <c r="C1828" s="287"/>
    </row>
    <row r="1829">
      <c r="A1829" s="3"/>
      <c r="B1829" s="254"/>
      <c r="C1829" s="287"/>
    </row>
    <row r="1830">
      <c r="A1830" s="3"/>
      <c r="B1830" s="254"/>
      <c r="C1830" s="287"/>
    </row>
    <row r="1831">
      <c r="A1831" s="3"/>
      <c r="B1831" s="254"/>
      <c r="C1831" s="287"/>
    </row>
    <row r="1832">
      <c r="A1832" s="3"/>
      <c r="B1832" s="254"/>
      <c r="C1832" s="287"/>
    </row>
    <row r="1833">
      <c r="A1833" s="3"/>
      <c r="B1833" s="254"/>
      <c r="C1833" s="287"/>
    </row>
    <row r="1834">
      <c r="A1834" s="3"/>
      <c r="B1834" s="254"/>
      <c r="C1834" s="287"/>
    </row>
    <row r="1835">
      <c r="A1835" s="3"/>
      <c r="B1835" s="254"/>
      <c r="C1835" s="287"/>
    </row>
    <row r="1836">
      <c r="A1836" s="3"/>
      <c r="B1836" s="254"/>
      <c r="C1836" s="287"/>
    </row>
    <row r="1837">
      <c r="A1837" s="3"/>
      <c r="B1837" s="254"/>
      <c r="C1837" s="287"/>
    </row>
    <row r="1838">
      <c r="A1838" s="3"/>
      <c r="B1838" s="254"/>
      <c r="C1838" s="287"/>
    </row>
    <row r="1839">
      <c r="A1839" s="3"/>
      <c r="B1839" s="254"/>
      <c r="C1839" s="287"/>
    </row>
    <row r="1840">
      <c r="A1840" s="3"/>
      <c r="B1840" s="254"/>
      <c r="C1840" s="287"/>
    </row>
    <row r="1841">
      <c r="A1841" s="3"/>
      <c r="B1841" s="254"/>
      <c r="C1841" s="287"/>
    </row>
    <row r="1842">
      <c r="A1842" s="3"/>
      <c r="B1842" s="254"/>
      <c r="C1842" s="287"/>
    </row>
    <row r="1843">
      <c r="A1843" s="3"/>
      <c r="B1843" s="254"/>
      <c r="C1843" s="287"/>
    </row>
    <row r="1844">
      <c r="A1844" s="3"/>
      <c r="B1844" s="254"/>
      <c r="C1844" s="287"/>
    </row>
    <row r="1845">
      <c r="A1845" s="3"/>
      <c r="B1845" s="254"/>
      <c r="C1845" s="287"/>
    </row>
    <row r="1846">
      <c r="A1846" s="3"/>
      <c r="B1846" s="254"/>
      <c r="C1846" s="287"/>
    </row>
    <row r="1847">
      <c r="A1847" s="3"/>
      <c r="B1847" s="254"/>
      <c r="C1847" s="287"/>
    </row>
    <row r="1848">
      <c r="A1848" s="3"/>
      <c r="B1848" s="254"/>
      <c r="C1848" s="287"/>
    </row>
    <row r="1849">
      <c r="A1849" s="3"/>
      <c r="B1849" s="254"/>
      <c r="C1849" s="287"/>
    </row>
    <row r="1850">
      <c r="A1850" s="3"/>
      <c r="B1850" s="254"/>
      <c r="C1850" s="287"/>
    </row>
    <row r="1851">
      <c r="A1851" s="3"/>
      <c r="B1851" s="254"/>
      <c r="C1851" s="287"/>
    </row>
    <row r="1852">
      <c r="A1852" s="3"/>
      <c r="B1852" s="254"/>
      <c r="C1852" s="287"/>
    </row>
    <row r="1853">
      <c r="A1853" s="3"/>
      <c r="B1853" s="254"/>
      <c r="C1853" s="287"/>
    </row>
    <row r="1854">
      <c r="A1854" s="3"/>
      <c r="B1854" s="254"/>
      <c r="C1854" s="287"/>
    </row>
    <row r="1855">
      <c r="A1855" s="3"/>
      <c r="B1855" s="254"/>
      <c r="C1855" s="287"/>
    </row>
    <row r="1856">
      <c r="A1856" s="3"/>
      <c r="B1856" s="254"/>
      <c r="C1856" s="287"/>
    </row>
    <row r="1857">
      <c r="A1857" s="3"/>
      <c r="B1857" s="254"/>
      <c r="C1857" s="287"/>
    </row>
    <row r="1858">
      <c r="A1858" s="3"/>
      <c r="B1858" s="254"/>
      <c r="C1858" s="287"/>
    </row>
    <row r="1859">
      <c r="A1859" s="3"/>
      <c r="B1859" s="254"/>
      <c r="C1859" s="287"/>
    </row>
    <row r="1860">
      <c r="A1860" s="3"/>
      <c r="B1860" s="254"/>
      <c r="C1860" s="287"/>
    </row>
    <row r="1861">
      <c r="A1861" s="3"/>
      <c r="B1861" s="254"/>
      <c r="C1861" s="287"/>
    </row>
    <row r="1862">
      <c r="A1862" s="3"/>
      <c r="B1862" s="254"/>
      <c r="C1862" s="287"/>
    </row>
    <row r="1863">
      <c r="A1863" s="3"/>
      <c r="B1863" s="254"/>
      <c r="C1863" s="287"/>
    </row>
    <row r="1864">
      <c r="A1864" s="3"/>
      <c r="B1864" s="254"/>
      <c r="C1864" s="287"/>
    </row>
    <row r="1865">
      <c r="A1865" s="3"/>
      <c r="B1865" s="254"/>
      <c r="C1865" s="287"/>
    </row>
    <row r="1866">
      <c r="A1866" s="3"/>
      <c r="B1866" s="254"/>
      <c r="C1866" s="287"/>
    </row>
    <row r="1867">
      <c r="A1867" s="3"/>
      <c r="B1867" s="254"/>
      <c r="C1867" s="287"/>
    </row>
    <row r="1868">
      <c r="A1868" s="3"/>
      <c r="B1868" s="254"/>
      <c r="C1868" s="287"/>
    </row>
    <row r="1869">
      <c r="A1869" s="3"/>
      <c r="B1869" s="254"/>
      <c r="C1869" s="287"/>
    </row>
    <row r="1870">
      <c r="A1870" s="3"/>
      <c r="B1870" s="254"/>
      <c r="C1870" s="287"/>
    </row>
    <row r="1871">
      <c r="A1871" s="3"/>
      <c r="B1871" s="254"/>
      <c r="C1871" s="287"/>
    </row>
    <row r="1872">
      <c r="A1872" s="3"/>
      <c r="B1872" s="254"/>
      <c r="C1872" s="287"/>
    </row>
    <row r="1873">
      <c r="A1873" s="3"/>
      <c r="B1873" s="254"/>
      <c r="C1873" s="287"/>
    </row>
    <row r="1874">
      <c r="A1874" s="3"/>
      <c r="B1874" s="254"/>
      <c r="C1874" s="287"/>
    </row>
    <row r="1875">
      <c r="A1875" s="3"/>
      <c r="B1875" s="254"/>
      <c r="C1875" s="287"/>
    </row>
    <row r="1876">
      <c r="A1876" s="3"/>
      <c r="B1876" s="254"/>
      <c r="C1876" s="287"/>
    </row>
    <row r="1877">
      <c r="A1877" s="3"/>
      <c r="B1877" s="254"/>
      <c r="C1877" s="287"/>
    </row>
    <row r="1878">
      <c r="A1878" s="3"/>
      <c r="B1878" s="254"/>
      <c r="C1878" s="287"/>
    </row>
    <row r="1879">
      <c r="A1879" s="3"/>
      <c r="B1879" s="254"/>
      <c r="C1879" s="287"/>
    </row>
    <row r="1880">
      <c r="A1880" s="3"/>
      <c r="B1880" s="254"/>
      <c r="C1880" s="287"/>
    </row>
    <row r="1881">
      <c r="A1881" s="3"/>
      <c r="B1881" s="254"/>
      <c r="C1881" s="287"/>
    </row>
    <row r="1882">
      <c r="A1882" s="3"/>
      <c r="B1882" s="254"/>
      <c r="C1882" s="287"/>
    </row>
    <row r="1883">
      <c r="A1883" s="3"/>
      <c r="B1883" s="254"/>
      <c r="C1883" s="287"/>
    </row>
    <row r="1884">
      <c r="A1884" s="3"/>
      <c r="B1884" s="254"/>
      <c r="C1884" s="287"/>
    </row>
    <row r="1885">
      <c r="A1885" s="3"/>
      <c r="B1885" s="254"/>
      <c r="C1885" s="287"/>
    </row>
    <row r="1886">
      <c r="A1886" s="3"/>
      <c r="B1886" s="254"/>
      <c r="C1886" s="287"/>
    </row>
    <row r="1887">
      <c r="A1887" s="3"/>
      <c r="B1887" s="254"/>
      <c r="C1887" s="287"/>
    </row>
    <row r="1888">
      <c r="A1888" s="3"/>
      <c r="B1888" s="254"/>
      <c r="C1888" s="287"/>
    </row>
    <row r="1889">
      <c r="A1889" s="3"/>
      <c r="B1889" s="254"/>
      <c r="C1889" s="287"/>
    </row>
    <row r="1890">
      <c r="A1890" s="3"/>
      <c r="B1890" s="254"/>
      <c r="C1890" s="287"/>
    </row>
    <row r="1891">
      <c r="A1891" s="3"/>
      <c r="B1891" s="254"/>
      <c r="C1891" s="287"/>
    </row>
    <row r="1892">
      <c r="A1892" s="3"/>
      <c r="B1892" s="254"/>
      <c r="C1892" s="287"/>
    </row>
    <row r="1893">
      <c r="A1893" s="3"/>
      <c r="B1893" s="254"/>
      <c r="C1893" s="287"/>
    </row>
    <row r="1894">
      <c r="A1894" s="3"/>
      <c r="B1894" s="254"/>
      <c r="C1894" s="287"/>
    </row>
    <row r="1895">
      <c r="A1895" s="3"/>
      <c r="B1895" s="254"/>
      <c r="C1895" s="287"/>
    </row>
    <row r="1896">
      <c r="A1896" s="3"/>
      <c r="B1896" s="254"/>
      <c r="C1896" s="287"/>
    </row>
    <row r="1897">
      <c r="A1897" s="3"/>
      <c r="B1897" s="254"/>
      <c r="C1897" s="287"/>
    </row>
    <row r="1898">
      <c r="A1898" s="3"/>
      <c r="B1898" s="254"/>
      <c r="C1898" s="287"/>
    </row>
    <row r="1899">
      <c r="A1899" s="3"/>
      <c r="B1899" s="254"/>
      <c r="C1899" s="287"/>
    </row>
    <row r="1900">
      <c r="A1900" s="3"/>
      <c r="B1900" s="254"/>
      <c r="C1900" s="287"/>
    </row>
    <row r="1901">
      <c r="A1901" s="3"/>
      <c r="B1901" s="254"/>
      <c r="C1901" s="287"/>
    </row>
    <row r="1902">
      <c r="A1902" s="3"/>
      <c r="B1902" s="254"/>
      <c r="C1902" s="287"/>
    </row>
    <row r="1903">
      <c r="A1903" s="3"/>
      <c r="B1903" s="254"/>
      <c r="C1903" s="287"/>
    </row>
    <row r="1904">
      <c r="A1904" s="3"/>
      <c r="B1904" s="254"/>
      <c r="C1904" s="287"/>
    </row>
    <row r="1905">
      <c r="A1905" s="3"/>
      <c r="B1905" s="254"/>
      <c r="C1905" s="287"/>
    </row>
    <row r="1906">
      <c r="A1906" s="3"/>
      <c r="B1906" s="254"/>
      <c r="C1906" s="287"/>
    </row>
    <row r="1907">
      <c r="A1907" s="3"/>
      <c r="B1907" s="254"/>
      <c r="C1907" s="287"/>
    </row>
    <row r="1908">
      <c r="A1908" s="3"/>
      <c r="B1908" s="254"/>
      <c r="C1908" s="287"/>
    </row>
    <row r="1909">
      <c r="A1909" s="3"/>
      <c r="B1909" s="254"/>
      <c r="C1909" s="287"/>
    </row>
    <row r="1910">
      <c r="A1910" s="3"/>
      <c r="B1910" s="254"/>
      <c r="C1910" s="287"/>
    </row>
    <row r="1911">
      <c r="A1911" s="3"/>
      <c r="B1911" s="254"/>
      <c r="C1911" s="287"/>
    </row>
    <row r="1912">
      <c r="A1912" s="3"/>
      <c r="B1912" s="254"/>
      <c r="C1912" s="287"/>
    </row>
    <row r="1913">
      <c r="A1913" s="3"/>
      <c r="B1913" s="254"/>
      <c r="C1913" s="287"/>
    </row>
    <row r="1914">
      <c r="A1914" s="3"/>
      <c r="B1914" s="254"/>
      <c r="C1914" s="287"/>
    </row>
    <row r="1915">
      <c r="A1915" s="3"/>
      <c r="B1915" s="254"/>
      <c r="C1915" s="287"/>
    </row>
    <row r="1916">
      <c r="A1916" s="3"/>
      <c r="B1916" s="254"/>
      <c r="C1916" s="287"/>
    </row>
    <row r="1917">
      <c r="A1917" s="3"/>
      <c r="B1917" s="254"/>
      <c r="C1917" s="287"/>
    </row>
    <row r="1918">
      <c r="A1918" s="3"/>
      <c r="B1918" s="254"/>
      <c r="C1918" s="287"/>
    </row>
    <row r="1919">
      <c r="A1919" s="3"/>
      <c r="B1919" s="254"/>
      <c r="C1919" s="287"/>
    </row>
    <row r="1920">
      <c r="A1920" s="3"/>
      <c r="B1920" s="254"/>
      <c r="C1920" s="287"/>
    </row>
    <row r="1921">
      <c r="A1921" s="3"/>
      <c r="B1921" s="254"/>
      <c r="C1921" s="287"/>
    </row>
    <row r="1922">
      <c r="A1922" s="3"/>
      <c r="B1922" s="254"/>
      <c r="C1922" s="287"/>
    </row>
    <row r="1923">
      <c r="A1923" s="3"/>
      <c r="B1923" s="254"/>
      <c r="C1923" s="287"/>
    </row>
    <row r="1924">
      <c r="A1924" s="3"/>
      <c r="B1924" s="254"/>
      <c r="C1924" s="287"/>
    </row>
    <row r="1925">
      <c r="A1925" s="3"/>
      <c r="B1925" s="254"/>
      <c r="C1925" s="287"/>
    </row>
    <row r="1926">
      <c r="A1926" s="3"/>
      <c r="B1926" s="254"/>
      <c r="C1926" s="287"/>
    </row>
    <row r="1927">
      <c r="A1927" s="3"/>
      <c r="B1927" s="254"/>
      <c r="C1927" s="287"/>
    </row>
    <row r="1928">
      <c r="A1928" s="3"/>
      <c r="B1928" s="254"/>
      <c r="C1928" s="287"/>
    </row>
    <row r="1929">
      <c r="A1929" s="3"/>
      <c r="B1929" s="254"/>
      <c r="C1929" s="287"/>
    </row>
    <row r="1930">
      <c r="A1930" s="3"/>
      <c r="B1930" s="254"/>
      <c r="C1930" s="287"/>
    </row>
    <row r="1931">
      <c r="A1931" s="3"/>
      <c r="B1931" s="254"/>
      <c r="C1931" s="287"/>
    </row>
    <row r="1932">
      <c r="A1932" s="3"/>
      <c r="B1932" s="254"/>
      <c r="C1932" s="287"/>
    </row>
    <row r="1933">
      <c r="A1933" s="3"/>
      <c r="B1933" s="254"/>
      <c r="C1933" s="287"/>
    </row>
    <row r="1934">
      <c r="A1934" s="3"/>
      <c r="B1934" s="254"/>
      <c r="C1934" s="287"/>
    </row>
    <row r="1935">
      <c r="A1935" s="3"/>
      <c r="B1935" s="254"/>
      <c r="C1935" s="287"/>
    </row>
    <row r="1936">
      <c r="A1936" s="3"/>
      <c r="B1936" s="254"/>
      <c r="C1936" s="287"/>
    </row>
    <row r="1937">
      <c r="A1937" s="3"/>
      <c r="B1937" s="254"/>
      <c r="C1937" s="287"/>
    </row>
    <row r="1938">
      <c r="A1938" s="3"/>
      <c r="B1938" s="254"/>
      <c r="C1938" s="287"/>
    </row>
    <row r="1939">
      <c r="A1939" s="3"/>
      <c r="B1939" s="254"/>
      <c r="C1939" s="287"/>
    </row>
    <row r="1940">
      <c r="A1940" s="3"/>
      <c r="B1940" s="254"/>
      <c r="C1940" s="287"/>
    </row>
    <row r="1941">
      <c r="A1941" s="3"/>
      <c r="B1941" s="254"/>
      <c r="C1941" s="287"/>
    </row>
    <row r="1942">
      <c r="A1942" s="3"/>
      <c r="B1942" s="254"/>
      <c r="C1942" s="287"/>
    </row>
    <row r="1943">
      <c r="A1943" s="3"/>
      <c r="B1943" s="254"/>
      <c r="C1943" s="287"/>
    </row>
    <row r="1944">
      <c r="A1944" s="3"/>
      <c r="B1944" s="254"/>
      <c r="C1944" s="287"/>
    </row>
    <row r="1945">
      <c r="A1945" s="3"/>
      <c r="B1945" s="254"/>
      <c r="C1945" s="287"/>
    </row>
    <row r="1946">
      <c r="A1946" s="3"/>
      <c r="B1946" s="254"/>
      <c r="C1946" s="287"/>
    </row>
    <row r="1947">
      <c r="A1947" s="3"/>
      <c r="B1947" s="254"/>
      <c r="C1947" s="287"/>
    </row>
    <row r="1948">
      <c r="A1948" s="3"/>
      <c r="B1948" s="254"/>
      <c r="C1948" s="287"/>
    </row>
    <row r="1949">
      <c r="A1949" s="3"/>
      <c r="B1949" s="254"/>
      <c r="C1949" s="287"/>
    </row>
    <row r="1950">
      <c r="A1950" s="3"/>
      <c r="B1950" s="254"/>
      <c r="C1950" s="287"/>
    </row>
    <row r="1951">
      <c r="A1951" s="3"/>
      <c r="B1951" s="254"/>
      <c r="C1951" s="287"/>
    </row>
    <row r="1952">
      <c r="A1952" s="3"/>
      <c r="B1952" s="254"/>
      <c r="C1952" s="287"/>
    </row>
    <row r="1953">
      <c r="A1953" s="3"/>
      <c r="B1953" s="254"/>
      <c r="C1953" s="287"/>
    </row>
    <row r="1954">
      <c r="A1954" s="3"/>
      <c r="B1954" s="254"/>
      <c r="C1954" s="287"/>
    </row>
    <row r="1955">
      <c r="A1955" s="3"/>
      <c r="B1955" s="254"/>
      <c r="C1955" s="287"/>
    </row>
    <row r="1956">
      <c r="A1956" s="3"/>
      <c r="B1956" s="254"/>
      <c r="C1956" s="287"/>
    </row>
    <row r="1957">
      <c r="A1957" s="3"/>
      <c r="B1957" s="254"/>
      <c r="C1957" s="287"/>
    </row>
    <row r="1958">
      <c r="A1958" s="3"/>
      <c r="B1958" s="254"/>
      <c r="C1958" s="287"/>
    </row>
    <row r="1959">
      <c r="A1959" s="3"/>
      <c r="B1959" s="254"/>
      <c r="C1959" s="287"/>
    </row>
    <row r="1960">
      <c r="A1960" s="3"/>
      <c r="B1960" s="254"/>
      <c r="C1960" s="287"/>
    </row>
    <row r="1961">
      <c r="A1961" s="3"/>
      <c r="B1961" s="254"/>
      <c r="C1961" s="287"/>
    </row>
    <row r="1962">
      <c r="A1962" s="3"/>
      <c r="B1962" s="254"/>
      <c r="C1962" s="287"/>
    </row>
    <row r="1963">
      <c r="A1963" s="3"/>
      <c r="B1963" s="254"/>
      <c r="C1963" s="287"/>
    </row>
    <row r="1964">
      <c r="A1964" s="3"/>
      <c r="B1964" s="254"/>
      <c r="C1964" s="287"/>
    </row>
    <row r="1965">
      <c r="A1965" s="3"/>
      <c r="B1965" s="254"/>
      <c r="C1965" s="287"/>
    </row>
    <row r="1966">
      <c r="A1966" s="3"/>
      <c r="B1966" s="254"/>
      <c r="C1966" s="287"/>
    </row>
    <row r="1967">
      <c r="A1967" s="3"/>
      <c r="B1967" s="254"/>
      <c r="C1967" s="287"/>
    </row>
    <row r="1968">
      <c r="A1968" s="3"/>
      <c r="B1968" s="254"/>
      <c r="C1968" s="287"/>
    </row>
    <row r="1969">
      <c r="A1969" s="3"/>
      <c r="B1969" s="254"/>
      <c r="C1969" s="287"/>
    </row>
    <row r="1970">
      <c r="A1970" s="3"/>
      <c r="B1970" s="254"/>
      <c r="C1970" s="287"/>
    </row>
    <row r="1971">
      <c r="A1971" s="3"/>
      <c r="B1971" s="254"/>
      <c r="C1971" s="287"/>
    </row>
    <row r="1972">
      <c r="A1972" s="3"/>
      <c r="B1972" s="254"/>
      <c r="C1972" s="287"/>
    </row>
    <row r="1973">
      <c r="A1973" s="3"/>
      <c r="B1973" s="254"/>
      <c r="C1973" s="287"/>
    </row>
    <row r="1974">
      <c r="A1974" s="3"/>
      <c r="B1974" s="254"/>
      <c r="C1974" s="287"/>
    </row>
    <row r="1975">
      <c r="A1975" s="3"/>
      <c r="B1975" s="254"/>
      <c r="C1975" s="287"/>
    </row>
    <row r="1976">
      <c r="A1976" s="3"/>
      <c r="B1976" s="254"/>
      <c r="C1976" s="287"/>
    </row>
    <row r="1977">
      <c r="A1977" s="3"/>
      <c r="B1977" s="254"/>
      <c r="C1977" s="287"/>
    </row>
    <row r="1978">
      <c r="A1978" s="3"/>
      <c r="B1978" s="254"/>
      <c r="C1978" s="287"/>
    </row>
    <row r="1979">
      <c r="A1979" s="3"/>
      <c r="B1979" s="254"/>
      <c r="C1979" s="287"/>
    </row>
    <row r="1980">
      <c r="A1980" s="3"/>
      <c r="B1980" s="254"/>
      <c r="C1980" s="287"/>
    </row>
    <row r="1981">
      <c r="A1981" s="3"/>
      <c r="B1981" s="254"/>
      <c r="C1981" s="287"/>
    </row>
    <row r="1982">
      <c r="A1982" s="3"/>
      <c r="B1982" s="254"/>
      <c r="C1982" s="287"/>
    </row>
    <row r="1983">
      <c r="A1983" s="3"/>
      <c r="B1983" s="254"/>
      <c r="C1983" s="287"/>
    </row>
    <row r="1984">
      <c r="A1984" s="3"/>
      <c r="B1984" s="254"/>
      <c r="C1984" s="287"/>
    </row>
    <row r="1985">
      <c r="A1985" s="3"/>
      <c r="B1985" s="254"/>
      <c r="C1985" s="287"/>
    </row>
    <row r="1986">
      <c r="A1986" s="3"/>
      <c r="B1986" s="254"/>
      <c r="C1986" s="287"/>
    </row>
    <row r="1987">
      <c r="A1987" s="3"/>
      <c r="B1987" s="254"/>
      <c r="C1987" s="287"/>
    </row>
    <row r="1988">
      <c r="A1988" s="3"/>
      <c r="B1988" s="254"/>
      <c r="C1988" s="287"/>
    </row>
    <row r="1989">
      <c r="A1989" s="3"/>
      <c r="B1989" s="254"/>
      <c r="C1989" s="287"/>
    </row>
    <row r="1990">
      <c r="A1990" s="3"/>
      <c r="B1990" s="254"/>
      <c r="C1990" s="287"/>
    </row>
    <row r="1991">
      <c r="A1991" s="3"/>
      <c r="B1991" s="254"/>
      <c r="C1991" s="287"/>
    </row>
    <row r="1992">
      <c r="A1992" s="3"/>
      <c r="B1992" s="254"/>
      <c r="C1992" s="287"/>
    </row>
    <row r="1993">
      <c r="A1993" s="3"/>
      <c r="B1993" s="254"/>
      <c r="C1993" s="287"/>
    </row>
    <row r="1994">
      <c r="A1994" s="3"/>
      <c r="B1994" s="254"/>
      <c r="C1994" s="287"/>
    </row>
    <row r="1995">
      <c r="A1995" s="3"/>
      <c r="B1995" s="254"/>
      <c r="C1995" s="287"/>
    </row>
    <row r="1996">
      <c r="A1996" s="3"/>
      <c r="B1996" s="254"/>
      <c r="C1996" s="287"/>
    </row>
    <row r="1997">
      <c r="A1997" s="3"/>
      <c r="B1997" s="254"/>
      <c r="C1997" s="287"/>
    </row>
    <row r="1998">
      <c r="A1998" s="3"/>
      <c r="B1998" s="254"/>
      <c r="C1998" s="287"/>
    </row>
    <row r="1999">
      <c r="A1999" s="3"/>
      <c r="B1999" s="254"/>
      <c r="C1999" s="287"/>
    </row>
    <row r="2000">
      <c r="A2000" s="3"/>
      <c r="B2000" s="254"/>
      <c r="C2000" s="287"/>
    </row>
    <row r="2001">
      <c r="A2001" s="3"/>
      <c r="B2001" s="254"/>
      <c r="C2001" s="287"/>
    </row>
    <row r="2002">
      <c r="A2002" s="3"/>
      <c r="B2002" s="254"/>
      <c r="C2002" s="287"/>
    </row>
    <row r="2003">
      <c r="A2003" s="3"/>
      <c r="B2003" s="254"/>
      <c r="C2003" s="287"/>
    </row>
    <row r="2004">
      <c r="A2004" s="3"/>
      <c r="B2004" s="254"/>
      <c r="C2004" s="287"/>
    </row>
    <row r="2005">
      <c r="A2005" s="3"/>
      <c r="B2005" s="254"/>
      <c r="C2005" s="287"/>
    </row>
    <row r="2006">
      <c r="A2006" s="3"/>
      <c r="B2006" s="254"/>
      <c r="C2006" s="287"/>
    </row>
    <row r="2007">
      <c r="A2007" s="3"/>
      <c r="B2007" s="254"/>
      <c r="C2007" s="287"/>
    </row>
    <row r="2008">
      <c r="A2008" s="3"/>
      <c r="B2008" s="254"/>
      <c r="C2008" s="287"/>
    </row>
    <row r="2009">
      <c r="A2009" s="3"/>
      <c r="B2009" s="254"/>
      <c r="C2009" s="287"/>
    </row>
    <row r="2010">
      <c r="A2010" s="3"/>
      <c r="B2010" s="254"/>
      <c r="C2010" s="287"/>
    </row>
    <row r="2011">
      <c r="A2011" s="3"/>
      <c r="B2011" s="254"/>
      <c r="C2011" s="287"/>
    </row>
    <row r="2012">
      <c r="A2012" s="3"/>
      <c r="B2012" s="254"/>
      <c r="C2012" s="287"/>
    </row>
    <row r="2013">
      <c r="A2013" s="3"/>
      <c r="B2013" s="254"/>
      <c r="C2013" s="287"/>
    </row>
    <row r="2014">
      <c r="A2014" s="3"/>
      <c r="B2014" s="254"/>
      <c r="C2014" s="287"/>
    </row>
    <row r="2015">
      <c r="A2015" s="3"/>
      <c r="B2015" s="254"/>
      <c r="C2015" s="287"/>
    </row>
    <row r="2016">
      <c r="A2016" s="3"/>
      <c r="B2016" s="254"/>
      <c r="C2016" s="287"/>
    </row>
    <row r="2017">
      <c r="A2017" s="3"/>
      <c r="B2017" s="254"/>
      <c r="C2017" s="287"/>
    </row>
    <row r="2018">
      <c r="A2018" s="3"/>
      <c r="B2018" s="254"/>
      <c r="C2018" s="287"/>
    </row>
    <row r="2019">
      <c r="A2019" s="3"/>
      <c r="B2019" s="254"/>
      <c r="C2019" s="287"/>
    </row>
    <row r="2020">
      <c r="A2020" s="3"/>
      <c r="B2020" s="254"/>
      <c r="C2020" s="287"/>
    </row>
    <row r="2021">
      <c r="A2021" s="3"/>
      <c r="B2021" s="254"/>
      <c r="C2021" s="287"/>
    </row>
    <row r="2022">
      <c r="A2022" s="3"/>
      <c r="B2022" s="254"/>
      <c r="C2022" s="287"/>
    </row>
    <row r="2023">
      <c r="A2023" s="3"/>
      <c r="B2023" s="254"/>
      <c r="C2023" s="287"/>
    </row>
    <row r="2024">
      <c r="A2024" s="3"/>
      <c r="B2024" s="254"/>
      <c r="C2024" s="287"/>
    </row>
    <row r="2025">
      <c r="A2025" s="3"/>
      <c r="B2025" s="254"/>
      <c r="C2025" s="287"/>
    </row>
    <row r="2026">
      <c r="A2026" s="3"/>
      <c r="B2026" s="254"/>
      <c r="C2026" s="287"/>
    </row>
    <row r="2027">
      <c r="A2027" s="3"/>
      <c r="B2027" s="254"/>
      <c r="C2027" s="287"/>
    </row>
    <row r="2028">
      <c r="A2028" s="3"/>
      <c r="B2028" s="254"/>
      <c r="C2028" s="287"/>
    </row>
    <row r="2029">
      <c r="A2029" s="3"/>
      <c r="B2029" s="254"/>
      <c r="C2029" s="287"/>
    </row>
    <row r="2030">
      <c r="A2030" s="3"/>
      <c r="B2030" s="254"/>
      <c r="C2030" s="287"/>
    </row>
    <row r="2031">
      <c r="A2031" s="3"/>
      <c r="B2031" s="254"/>
      <c r="C2031" s="287"/>
    </row>
    <row r="2032">
      <c r="A2032" s="3"/>
      <c r="B2032" s="254"/>
      <c r="C2032" s="287"/>
    </row>
    <row r="2033">
      <c r="A2033" s="3"/>
      <c r="B2033" s="254"/>
      <c r="C2033" s="287"/>
    </row>
    <row r="2034">
      <c r="A2034" s="3"/>
      <c r="B2034" s="254"/>
      <c r="C2034" s="287"/>
    </row>
    <row r="2035">
      <c r="A2035" s="3"/>
      <c r="B2035" s="254"/>
      <c r="C2035" s="287"/>
    </row>
    <row r="2036">
      <c r="A2036" s="3"/>
      <c r="B2036" s="254"/>
      <c r="C2036" s="287"/>
    </row>
    <row r="2037">
      <c r="A2037" s="3"/>
      <c r="B2037" s="254"/>
      <c r="C2037" s="287"/>
    </row>
    <row r="2038">
      <c r="A2038" s="3"/>
      <c r="B2038" s="254"/>
      <c r="C2038" s="287"/>
    </row>
    <row r="2039">
      <c r="A2039" s="3"/>
      <c r="B2039" s="254"/>
      <c r="C2039" s="287"/>
    </row>
    <row r="2040">
      <c r="A2040" s="3"/>
      <c r="B2040" s="254"/>
      <c r="C2040" s="287"/>
    </row>
    <row r="2041">
      <c r="A2041" s="3"/>
      <c r="B2041" s="254"/>
      <c r="C2041" s="287"/>
    </row>
    <row r="2042">
      <c r="A2042" s="3"/>
      <c r="B2042" s="254"/>
      <c r="C2042" s="287"/>
    </row>
    <row r="2043">
      <c r="A2043" s="3"/>
      <c r="B2043" s="254"/>
      <c r="C2043" s="287"/>
    </row>
    <row r="2044">
      <c r="A2044" s="3"/>
      <c r="B2044" s="254"/>
      <c r="C2044" s="287"/>
    </row>
    <row r="2045">
      <c r="A2045" s="3"/>
      <c r="B2045" s="254"/>
      <c r="C2045" s="287"/>
    </row>
    <row r="2046">
      <c r="A2046" s="3"/>
      <c r="B2046" s="254"/>
      <c r="C2046" s="287"/>
    </row>
    <row r="2047">
      <c r="A2047" s="3"/>
      <c r="B2047" s="254"/>
      <c r="C2047" s="287"/>
    </row>
    <row r="2048">
      <c r="A2048" s="3"/>
      <c r="B2048" s="254"/>
      <c r="C2048" s="287"/>
    </row>
    <row r="2049">
      <c r="A2049" s="3"/>
      <c r="B2049" s="254"/>
      <c r="C2049" s="287"/>
    </row>
    <row r="2050">
      <c r="A2050" s="3"/>
      <c r="B2050" s="254"/>
      <c r="C2050" s="287"/>
    </row>
    <row r="2051">
      <c r="A2051" s="3"/>
      <c r="B2051" s="254"/>
      <c r="C2051" s="287"/>
    </row>
    <row r="2052">
      <c r="A2052" s="3"/>
      <c r="B2052" s="254"/>
      <c r="C2052" s="287"/>
    </row>
    <row r="2053">
      <c r="A2053" s="3"/>
      <c r="B2053" s="254"/>
      <c r="C2053" s="287"/>
    </row>
    <row r="2054">
      <c r="A2054" s="3"/>
      <c r="B2054" s="254"/>
      <c r="C2054" s="287"/>
    </row>
    <row r="2055">
      <c r="A2055" s="3"/>
      <c r="B2055" s="254"/>
      <c r="C2055" s="287"/>
    </row>
    <row r="2056">
      <c r="A2056" s="3"/>
      <c r="B2056" s="254"/>
      <c r="C2056" s="287"/>
    </row>
    <row r="2057">
      <c r="A2057" s="3"/>
      <c r="B2057" s="254"/>
      <c r="C2057" s="287"/>
    </row>
    <row r="2058">
      <c r="A2058" s="3"/>
      <c r="B2058" s="254"/>
      <c r="C2058" s="287"/>
    </row>
    <row r="2059">
      <c r="A2059" s="3"/>
      <c r="B2059" s="254"/>
      <c r="C2059" s="287"/>
    </row>
    <row r="2060">
      <c r="A2060" s="3"/>
      <c r="B2060" s="254"/>
      <c r="C2060" s="287"/>
    </row>
    <row r="2061">
      <c r="A2061" s="3"/>
      <c r="B2061" s="254"/>
      <c r="C2061" s="287"/>
    </row>
    <row r="2062">
      <c r="A2062" s="3"/>
      <c r="B2062" s="254"/>
      <c r="C2062" s="287"/>
    </row>
    <row r="2063">
      <c r="A2063" s="3"/>
      <c r="B2063" s="254"/>
      <c r="C2063" s="287"/>
    </row>
    <row r="2064">
      <c r="A2064" s="3"/>
      <c r="B2064" s="254"/>
      <c r="C2064" s="287"/>
    </row>
    <row r="2065">
      <c r="A2065" s="3"/>
      <c r="B2065" s="254"/>
      <c r="C2065" s="287"/>
    </row>
    <row r="2066">
      <c r="A2066" s="3"/>
      <c r="B2066" s="254"/>
      <c r="C2066" s="287"/>
    </row>
    <row r="2067">
      <c r="A2067" s="3"/>
      <c r="B2067" s="254"/>
      <c r="C2067" s="287"/>
    </row>
    <row r="2068">
      <c r="A2068" s="3"/>
      <c r="B2068" s="254"/>
      <c r="C2068" s="287"/>
    </row>
    <row r="2069">
      <c r="A2069" s="3"/>
      <c r="B2069" s="254"/>
      <c r="C2069" s="287"/>
    </row>
    <row r="2070">
      <c r="A2070" s="3"/>
      <c r="B2070" s="254"/>
      <c r="C2070" s="287"/>
    </row>
    <row r="2071">
      <c r="A2071" s="3"/>
      <c r="B2071" s="254"/>
      <c r="C2071" s="287"/>
    </row>
    <row r="2072">
      <c r="A2072" s="3"/>
      <c r="B2072" s="254"/>
      <c r="C2072" s="287"/>
    </row>
    <row r="2073">
      <c r="A2073" s="3"/>
      <c r="B2073" s="254"/>
      <c r="C2073" s="287"/>
    </row>
    <row r="2074">
      <c r="A2074" s="3"/>
      <c r="B2074" s="254"/>
      <c r="C2074" s="287"/>
    </row>
    <row r="2075">
      <c r="A2075" s="3"/>
      <c r="B2075" s="254"/>
      <c r="C2075" s="287"/>
    </row>
    <row r="2076">
      <c r="A2076" s="3"/>
      <c r="B2076" s="254"/>
      <c r="C2076" s="287"/>
    </row>
    <row r="2077">
      <c r="A2077" s="3"/>
      <c r="B2077" s="254"/>
      <c r="C2077" s="287"/>
    </row>
    <row r="2078">
      <c r="A2078" s="3"/>
      <c r="B2078" s="254"/>
      <c r="C2078" s="287"/>
    </row>
    <row r="2079">
      <c r="A2079" s="3"/>
      <c r="B2079" s="254"/>
      <c r="C2079" s="287"/>
    </row>
    <row r="2080">
      <c r="A2080" s="3"/>
      <c r="B2080" s="254"/>
      <c r="C2080" s="287"/>
    </row>
    <row r="2081">
      <c r="A2081" s="3"/>
      <c r="B2081" s="254"/>
      <c r="C2081" s="287"/>
    </row>
    <row r="2082">
      <c r="A2082" s="3"/>
      <c r="B2082" s="254"/>
      <c r="C2082" s="287"/>
    </row>
    <row r="2083">
      <c r="A2083" s="3"/>
      <c r="B2083" s="254"/>
      <c r="C2083" s="287"/>
    </row>
    <row r="2084">
      <c r="A2084" s="3"/>
      <c r="B2084" s="254"/>
      <c r="C2084" s="287"/>
    </row>
    <row r="2085">
      <c r="A2085" s="3"/>
      <c r="B2085" s="254"/>
      <c r="C2085" s="287"/>
    </row>
    <row r="2086">
      <c r="A2086" s="3"/>
      <c r="B2086" s="254"/>
      <c r="C2086" s="287"/>
    </row>
    <row r="2087">
      <c r="A2087" s="3"/>
      <c r="B2087" s="254"/>
      <c r="C2087" s="287"/>
    </row>
    <row r="2088">
      <c r="A2088" s="3"/>
      <c r="B2088" s="254"/>
      <c r="C2088" s="287"/>
    </row>
    <row r="2089">
      <c r="A2089" s="3"/>
      <c r="B2089" s="254"/>
      <c r="C2089" s="287"/>
    </row>
    <row r="2090">
      <c r="A2090" s="3"/>
      <c r="B2090" s="254"/>
      <c r="C2090" s="287"/>
    </row>
    <row r="2091">
      <c r="A2091" s="3"/>
      <c r="B2091" s="254"/>
      <c r="C2091" s="287"/>
    </row>
    <row r="2092">
      <c r="A2092" s="3"/>
      <c r="B2092" s="254"/>
      <c r="C2092" s="287"/>
    </row>
    <row r="2093">
      <c r="A2093" s="3"/>
      <c r="B2093" s="254"/>
      <c r="C2093" s="287"/>
    </row>
    <row r="2094">
      <c r="A2094" s="3"/>
      <c r="B2094" s="254"/>
      <c r="C2094" s="287"/>
    </row>
    <row r="2095">
      <c r="A2095" s="3"/>
      <c r="B2095" s="254"/>
      <c r="C2095" s="287"/>
    </row>
    <row r="2096">
      <c r="A2096" s="3"/>
      <c r="B2096" s="254"/>
      <c r="C2096" s="287"/>
    </row>
    <row r="2097">
      <c r="A2097" s="3"/>
      <c r="B2097" s="254"/>
      <c r="C2097" s="287"/>
    </row>
    <row r="2098">
      <c r="A2098" s="3"/>
      <c r="B2098" s="254"/>
      <c r="C2098" s="287"/>
    </row>
    <row r="2099">
      <c r="A2099" s="3"/>
      <c r="B2099" s="254"/>
      <c r="C2099" s="287"/>
    </row>
    <row r="2100">
      <c r="A2100" s="3"/>
      <c r="B2100" s="254"/>
      <c r="C2100" s="287"/>
    </row>
    <row r="2101">
      <c r="A2101" s="3"/>
      <c r="B2101" s="254"/>
      <c r="C2101" s="287"/>
    </row>
    <row r="2102">
      <c r="A2102" s="3"/>
      <c r="B2102" s="254"/>
      <c r="C2102" s="287"/>
    </row>
    <row r="2103">
      <c r="A2103" s="3"/>
      <c r="B2103" s="254"/>
      <c r="C2103" s="287"/>
    </row>
    <row r="2104">
      <c r="A2104" s="3"/>
      <c r="B2104" s="254"/>
      <c r="C2104" s="287"/>
    </row>
    <row r="2105">
      <c r="A2105" s="3"/>
      <c r="B2105" s="254"/>
      <c r="C2105" s="287"/>
    </row>
    <row r="2106">
      <c r="A2106" s="3"/>
      <c r="B2106" s="254"/>
      <c r="C2106" s="287"/>
    </row>
    <row r="2107">
      <c r="A2107" s="3"/>
      <c r="B2107" s="254"/>
      <c r="C2107" s="287"/>
    </row>
    <row r="2108">
      <c r="A2108" s="3"/>
      <c r="B2108" s="254"/>
      <c r="C2108" s="287"/>
    </row>
    <row r="2109">
      <c r="A2109" s="3"/>
      <c r="B2109" s="254"/>
      <c r="C2109" s="287"/>
    </row>
    <row r="2110">
      <c r="A2110" s="3"/>
      <c r="B2110" s="254"/>
      <c r="C2110" s="287"/>
    </row>
    <row r="2111">
      <c r="A2111" s="3"/>
      <c r="B2111" s="254"/>
      <c r="C2111" s="287"/>
    </row>
    <row r="2112">
      <c r="A2112" s="3"/>
      <c r="B2112" s="254"/>
      <c r="C2112" s="287"/>
    </row>
    <row r="2113">
      <c r="A2113" s="3"/>
      <c r="B2113" s="254"/>
      <c r="C2113" s="287"/>
    </row>
    <row r="2114">
      <c r="A2114" s="3"/>
      <c r="B2114" s="254"/>
      <c r="C2114" s="287"/>
    </row>
    <row r="2115">
      <c r="A2115" s="3"/>
      <c r="B2115" s="254"/>
      <c r="C2115" s="287"/>
    </row>
    <row r="2116">
      <c r="A2116" s="3"/>
      <c r="B2116" s="254"/>
      <c r="C2116" s="287"/>
    </row>
    <row r="2117">
      <c r="A2117" s="3"/>
      <c r="B2117" s="254"/>
      <c r="C2117" s="287"/>
    </row>
    <row r="2118">
      <c r="A2118" s="3"/>
      <c r="B2118" s="254"/>
      <c r="C2118" s="287"/>
    </row>
    <row r="2119">
      <c r="A2119" s="3"/>
      <c r="B2119" s="254"/>
      <c r="C2119" s="287"/>
    </row>
    <row r="2120">
      <c r="A2120" s="3"/>
      <c r="B2120" s="254"/>
      <c r="C2120" s="287"/>
    </row>
    <row r="2121">
      <c r="A2121" s="3"/>
      <c r="B2121" s="254"/>
      <c r="C2121" s="287"/>
    </row>
    <row r="2122">
      <c r="A2122" s="3"/>
      <c r="B2122" s="254"/>
      <c r="C2122" s="287"/>
    </row>
    <row r="2123">
      <c r="A2123" s="3"/>
      <c r="B2123" s="254"/>
      <c r="C2123" s="287"/>
    </row>
    <row r="2124">
      <c r="A2124" s="3"/>
      <c r="B2124" s="254"/>
      <c r="C2124" s="287"/>
    </row>
    <row r="2125">
      <c r="A2125" s="3"/>
      <c r="B2125" s="254"/>
      <c r="C2125" s="287"/>
    </row>
    <row r="2126">
      <c r="A2126" s="3"/>
      <c r="B2126" s="254"/>
      <c r="C2126" s="287"/>
    </row>
    <row r="2127">
      <c r="A2127" s="3"/>
      <c r="B2127" s="254"/>
      <c r="C2127" s="287"/>
    </row>
    <row r="2128">
      <c r="A2128" s="3"/>
      <c r="B2128" s="254"/>
      <c r="C2128" s="287"/>
    </row>
    <row r="2129">
      <c r="A2129" s="3"/>
      <c r="B2129" s="254"/>
      <c r="C2129" s="287"/>
    </row>
    <row r="2130">
      <c r="A2130" s="3"/>
      <c r="B2130" s="254"/>
      <c r="C2130" s="287"/>
    </row>
    <row r="2131">
      <c r="A2131" s="3"/>
      <c r="B2131" s="254"/>
      <c r="C2131" s="287"/>
    </row>
    <row r="2132">
      <c r="A2132" s="3"/>
      <c r="B2132" s="254"/>
      <c r="C2132" s="287"/>
    </row>
    <row r="2133">
      <c r="A2133" s="3"/>
      <c r="B2133" s="254"/>
      <c r="C2133" s="287"/>
    </row>
    <row r="2134">
      <c r="A2134" s="3"/>
      <c r="B2134" s="254"/>
      <c r="C2134" s="287"/>
    </row>
    <row r="2135">
      <c r="A2135" s="3"/>
      <c r="B2135" s="254"/>
      <c r="C2135" s="287"/>
    </row>
    <row r="2136">
      <c r="A2136" s="3"/>
      <c r="B2136" s="254"/>
      <c r="C2136" s="287"/>
    </row>
    <row r="2137">
      <c r="A2137" s="3"/>
      <c r="B2137" s="254"/>
      <c r="C2137" s="287"/>
    </row>
    <row r="2138">
      <c r="A2138" s="3"/>
      <c r="B2138" s="254"/>
      <c r="C2138" s="287"/>
    </row>
    <row r="2139">
      <c r="A2139" s="3"/>
      <c r="B2139" s="254"/>
      <c r="C2139" s="287"/>
    </row>
    <row r="2140">
      <c r="A2140" s="3"/>
      <c r="B2140" s="254"/>
      <c r="C2140" s="287"/>
    </row>
    <row r="2141">
      <c r="A2141" s="3"/>
      <c r="B2141" s="254"/>
      <c r="C2141" s="287"/>
    </row>
    <row r="2142">
      <c r="A2142" s="3"/>
      <c r="B2142" s="254"/>
      <c r="C2142" s="287"/>
    </row>
    <row r="2143">
      <c r="A2143" s="3"/>
      <c r="B2143" s="254"/>
      <c r="C2143" s="287"/>
    </row>
    <row r="2144">
      <c r="A2144" s="3"/>
      <c r="B2144" s="254"/>
      <c r="C2144" s="287"/>
    </row>
    <row r="2145">
      <c r="A2145" s="3"/>
      <c r="B2145" s="254"/>
      <c r="C2145" s="287"/>
    </row>
    <row r="2146">
      <c r="A2146" s="3"/>
      <c r="B2146" s="254"/>
      <c r="C2146" s="287"/>
    </row>
    <row r="2147">
      <c r="A2147" s="3"/>
      <c r="B2147" s="254"/>
      <c r="C2147" s="287"/>
    </row>
    <row r="2148">
      <c r="A2148" s="3"/>
      <c r="B2148" s="254"/>
      <c r="C2148" s="287"/>
    </row>
    <row r="2149">
      <c r="A2149" s="3"/>
      <c r="B2149" s="254"/>
      <c r="C2149" s="287"/>
    </row>
    <row r="2150">
      <c r="A2150" s="3"/>
      <c r="B2150" s="254"/>
      <c r="C2150" s="287"/>
    </row>
    <row r="2151">
      <c r="A2151" s="3"/>
      <c r="B2151" s="254"/>
      <c r="C2151" s="287"/>
    </row>
    <row r="2152">
      <c r="A2152" s="3"/>
      <c r="B2152" s="254"/>
      <c r="C2152" s="287"/>
    </row>
    <row r="2153">
      <c r="A2153" s="3"/>
      <c r="B2153" s="254"/>
      <c r="C2153" s="287"/>
    </row>
    <row r="2154">
      <c r="A2154" s="3"/>
      <c r="B2154" s="254"/>
      <c r="C2154" s="287"/>
    </row>
    <row r="2155">
      <c r="A2155" s="3"/>
      <c r="B2155" s="254"/>
      <c r="C2155" s="287"/>
    </row>
    <row r="2156">
      <c r="A2156" s="3"/>
      <c r="B2156" s="254"/>
      <c r="C2156" s="287"/>
    </row>
    <row r="2157">
      <c r="A2157" s="3"/>
      <c r="B2157" s="254"/>
      <c r="C2157" s="287"/>
    </row>
    <row r="2158">
      <c r="A2158" s="3"/>
      <c r="B2158" s="254"/>
      <c r="C2158" s="287"/>
    </row>
    <row r="2159">
      <c r="A2159" s="3"/>
      <c r="B2159" s="254"/>
      <c r="C2159" s="287"/>
    </row>
    <row r="2160">
      <c r="A2160" s="3"/>
      <c r="B2160" s="254"/>
      <c r="C2160" s="287"/>
    </row>
    <row r="2161">
      <c r="A2161" s="3"/>
      <c r="B2161" s="254"/>
      <c r="C2161" s="287"/>
    </row>
    <row r="2162">
      <c r="A2162" s="3"/>
      <c r="B2162" s="254"/>
      <c r="C2162" s="287"/>
    </row>
    <row r="2163">
      <c r="A2163" s="3"/>
      <c r="B2163" s="254"/>
      <c r="C2163" s="287"/>
    </row>
    <row r="2164">
      <c r="A2164" s="3"/>
      <c r="B2164" s="254"/>
      <c r="C2164" s="287"/>
    </row>
    <row r="2165">
      <c r="A2165" s="3"/>
      <c r="B2165" s="254"/>
      <c r="C2165" s="287"/>
    </row>
    <row r="2166">
      <c r="A2166" s="3"/>
      <c r="B2166" s="254"/>
      <c r="C2166" s="287"/>
    </row>
    <row r="2167">
      <c r="A2167" s="3"/>
      <c r="B2167" s="254"/>
      <c r="C2167" s="287"/>
    </row>
    <row r="2168">
      <c r="A2168" s="3"/>
      <c r="B2168" s="254"/>
      <c r="C2168" s="287"/>
    </row>
    <row r="2169">
      <c r="A2169" s="3"/>
      <c r="B2169" s="254"/>
      <c r="C2169" s="287"/>
    </row>
    <row r="2170">
      <c r="A2170" s="3"/>
      <c r="B2170" s="254"/>
      <c r="C2170" s="287"/>
    </row>
    <row r="2171">
      <c r="A2171" s="3"/>
      <c r="B2171" s="254"/>
      <c r="C2171" s="287"/>
    </row>
    <row r="2172">
      <c r="A2172" s="3"/>
      <c r="B2172" s="254"/>
      <c r="C2172" s="287"/>
    </row>
    <row r="2173">
      <c r="A2173" s="3"/>
      <c r="B2173" s="254"/>
      <c r="C2173" s="287"/>
    </row>
    <row r="2174">
      <c r="A2174" s="3"/>
      <c r="B2174" s="254"/>
      <c r="C2174" s="287"/>
    </row>
    <row r="2175">
      <c r="A2175" s="3"/>
      <c r="B2175" s="254"/>
      <c r="C2175" s="287"/>
    </row>
    <row r="2176">
      <c r="A2176" s="3"/>
      <c r="B2176" s="254"/>
      <c r="C2176" s="287"/>
    </row>
    <row r="2177">
      <c r="A2177" s="3"/>
      <c r="B2177" s="254"/>
      <c r="C2177" s="287"/>
    </row>
    <row r="2178">
      <c r="A2178" s="3"/>
      <c r="B2178" s="254"/>
      <c r="C2178" s="287"/>
    </row>
    <row r="2179">
      <c r="A2179" s="3"/>
      <c r="B2179" s="254"/>
      <c r="C2179" s="287"/>
    </row>
    <row r="2180">
      <c r="A2180" s="3"/>
      <c r="B2180" s="254"/>
      <c r="C2180" s="287"/>
    </row>
    <row r="2181">
      <c r="A2181" s="3"/>
      <c r="B2181" s="254"/>
      <c r="C2181" s="287"/>
    </row>
    <row r="2182">
      <c r="A2182" s="3"/>
      <c r="B2182" s="254"/>
      <c r="C2182" s="287"/>
    </row>
    <row r="2183">
      <c r="A2183" s="3"/>
      <c r="B2183" s="254"/>
      <c r="C2183" s="287"/>
    </row>
    <row r="2184">
      <c r="A2184" s="3"/>
      <c r="B2184" s="254"/>
      <c r="C2184" s="287"/>
    </row>
    <row r="2185">
      <c r="A2185" s="3"/>
      <c r="B2185" s="254"/>
      <c r="C2185" s="287"/>
    </row>
    <row r="2186">
      <c r="A2186" s="3"/>
      <c r="B2186" s="254"/>
      <c r="C2186" s="287"/>
    </row>
    <row r="2187">
      <c r="A2187" s="3"/>
      <c r="B2187" s="254"/>
      <c r="C2187" s="287"/>
    </row>
    <row r="2188">
      <c r="A2188" s="3"/>
      <c r="B2188" s="254"/>
      <c r="C2188" s="287"/>
    </row>
    <row r="2189">
      <c r="A2189" s="3"/>
      <c r="B2189" s="254"/>
      <c r="C2189" s="287"/>
    </row>
    <row r="2190">
      <c r="A2190" s="3"/>
      <c r="B2190" s="254"/>
      <c r="C2190" s="287"/>
    </row>
    <row r="2191">
      <c r="A2191" s="3"/>
      <c r="B2191" s="254"/>
      <c r="C2191" s="287"/>
    </row>
    <row r="2192">
      <c r="A2192" s="3"/>
      <c r="B2192" s="254"/>
      <c r="C2192" s="287"/>
    </row>
    <row r="2193">
      <c r="A2193" s="3"/>
      <c r="B2193" s="254"/>
      <c r="C2193" s="287"/>
    </row>
    <row r="2194">
      <c r="A2194" s="3"/>
      <c r="B2194" s="254"/>
      <c r="C2194" s="287"/>
    </row>
    <row r="2195">
      <c r="A2195" s="3"/>
      <c r="B2195" s="254"/>
      <c r="C2195" s="287"/>
    </row>
    <row r="2196">
      <c r="A2196" s="3"/>
      <c r="B2196" s="254"/>
      <c r="C2196" s="287"/>
    </row>
    <row r="2197">
      <c r="A2197" s="3"/>
      <c r="B2197" s="254"/>
      <c r="C2197" s="287"/>
    </row>
    <row r="2198">
      <c r="A2198" s="3"/>
      <c r="B2198" s="254"/>
      <c r="C2198" s="287"/>
    </row>
    <row r="2199">
      <c r="A2199" s="3"/>
      <c r="B2199" s="254"/>
      <c r="C2199" s="287"/>
    </row>
    <row r="2200">
      <c r="A2200" s="3"/>
      <c r="B2200" s="254"/>
      <c r="C2200" s="287"/>
    </row>
    <row r="2201">
      <c r="A2201" s="3"/>
      <c r="B2201" s="254"/>
      <c r="C2201" s="287"/>
    </row>
    <row r="2202">
      <c r="A2202" s="3"/>
      <c r="B2202" s="254"/>
      <c r="C2202" s="287"/>
    </row>
    <row r="2203">
      <c r="A2203" s="3"/>
      <c r="B2203" s="254"/>
      <c r="C2203" s="287"/>
    </row>
    <row r="2204">
      <c r="A2204" s="3"/>
      <c r="B2204" s="254"/>
      <c r="C2204" s="287"/>
    </row>
    <row r="2205">
      <c r="A2205" s="3"/>
      <c r="B2205" s="254"/>
      <c r="C2205" s="287"/>
    </row>
    <row r="2206">
      <c r="A2206" s="3"/>
      <c r="B2206" s="254"/>
      <c r="C2206" s="287"/>
    </row>
    <row r="2207">
      <c r="A2207" s="3"/>
      <c r="B2207" s="254"/>
      <c r="C2207" s="287"/>
    </row>
    <row r="2208">
      <c r="A2208" s="3"/>
      <c r="B2208" s="254"/>
      <c r="C2208" s="287"/>
    </row>
    <row r="2209">
      <c r="A2209" s="3"/>
      <c r="B2209" s="254"/>
      <c r="C2209" s="287"/>
    </row>
    <row r="2210">
      <c r="A2210" s="3"/>
      <c r="B2210" s="254"/>
      <c r="C2210" s="287"/>
    </row>
    <row r="2211">
      <c r="A2211" s="3"/>
      <c r="B2211" s="254"/>
      <c r="C2211" s="287"/>
    </row>
    <row r="2212">
      <c r="A2212" s="3"/>
      <c r="B2212" s="254"/>
      <c r="C2212" s="287"/>
    </row>
    <row r="2213">
      <c r="A2213" s="3"/>
      <c r="B2213" s="254"/>
      <c r="C2213" s="287"/>
    </row>
    <row r="2214">
      <c r="A2214" s="3"/>
      <c r="B2214" s="254"/>
      <c r="C2214" s="287"/>
    </row>
    <row r="2215">
      <c r="A2215" s="3"/>
      <c r="B2215" s="254"/>
      <c r="C2215" s="287"/>
    </row>
    <row r="2216">
      <c r="A2216" s="3"/>
      <c r="B2216" s="254"/>
      <c r="C2216" s="287"/>
    </row>
    <row r="2217">
      <c r="A2217" s="3"/>
      <c r="B2217" s="254"/>
      <c r="C2217" s="287"/>
    </row>
    <row r="2218">
      <c r="A2218" s="3"/>
      <c r="B2218" s="254"/>
      <c r="C2218" s="287"/>
    </row>
    <row r="2219">
      <c r="A2219" s="3"/>
      <c r="B2219" s="254"/>
      <c r="C2219" s="287"/>
    </row>
    <row r="2220">
      <c r="A2220" s="3"/>
      <c r="B2220" s="254"/>
      <c r="C2220" s="287"/>
    </row>
    <row r="2221">
      <c r="A2221" s="3"/>
      <c r="B2221" s="254"/>
      <c r="C2221" s="287"/>
    </row>
    <row r="2222">
      <c r="A2222" s="3"/>
      <c r="B2222" s="254"/>
      <c r="C2222" s="287"/>
    </row>
    <row r="2223">
      <c r="A2223" s="3"/>
      <c r="B2223" s="254"/>
      <c r="C2223" s="287"/>
    </row>
    <row r="2224">
      <c r="A2224" s="3"/>
      <c r="B2224" s="254"/>
      <c r="C2224" s="287"/>
    </row>
    <row r="2225">
      <c r="A2225" s="3"/>
      <c r="B2225" s="254"/>
      <c r="C2225" s="287"/>
    </row>
    <row r="2226">
      <c r="A2226" s="3"/>
      <c r="B2226" s="254"/>
      <c r="C2226" s="287"/>
    </row>
    <row r="2227">
      <c r="A2227" s="3"/>
      <c r="B2227" s="254"/>
      <c r="C2227" s="287"/>
    </row>
    <row r="2228">
      <c r="A2228" s="3"/>
      <c r="B2228" s="254"/>
      <c r="C2228" s="287"/>
    </row>
    <row r="2229">
      <c r="A2229" s="3"/>
      <c r="B2229" s="254"/>
      <c r="C2229" s="287"/>
    </row>
    <row r="2230">
      <c r="A2230" s="3"/>
      <c r="B2230" s="254"/>
      <c r="C2230" s="287"/>
    </row>
    <row r="2231">
      <c r="A2231" s="3"/>
      <c r="B2231" s="254"/>
      <c r="C2231" s="287"/>
    </row>
    <row r="2232">
      <c r="A2232" s="3"/>
      <c r="B2232" s="254"/>
      <c r="C2232" s="287"/>
    </row>
    <row r="2233">
      <c r="A2233" s="3"/>
      <c r="B2233" s="254"/>
      <c r="C2233" s="287"/>
    </row>
    <row r="2234">
      <c r="A2234" s="3"/>
      <c r="B2234" s="254"/>
      <c r="C2234" s="287"/>
    </row>
    <row r="2235">
      <c r="A2235" s="3"/>
      <c r="B2235" s="254"/>
      <c r="C2235" s="287"/>
    </row>
    <row r="2236">
      <c r="A2236" s="3"/>
      <c r="B2236" s="254"/>
      <c r="C2236" s="287"/>
    </row>
    <row r="2237">
      <c r="A2237" s="3"/>
      <c r="B2237" s="254"/>
      <c r="C2237" s="287"/>
    </row>
    <row r="2238">
      <c r="A2238" s="3"/>
      <c r="B2238" s="254"/>
      <c r="C2238" s="287"/>
    </row>
    <row r="2239">
      <c r="A2239" s="3"/>
      <c r="B2239" s="254"/>
      <c r="C2239" s="287"/>
    </row>
    <row r="2240">
      <c r="A2240" s="3"/>
      <c r="B2240" s="254"/>
      <c r="C2240" s="287"/>
    </row>
    <row r="2241">
      <c r="A2241" s="3"/>
      <c r="B2241" s="254"/>
      <c r="C2241" s="287"/>
    </row>
    <row r="2242">
      <c r="A2242" s="3"/>
      <c r="B2242" s="254"/>
      <c r="C2242" s="287"/>
    </row>
    <row r="2243">
      <c r="A2243" s="3"/>
      <c r="B2243" s="254"/>
      <c r="C2243" s="287"/>
    </row>
    <row r="2244">
      <c r="A2244" s="3"/>
      <c r="B2244" s="254"/>
      <c r="C2244" s="287"/>
    </row>
    <row r="2245">
      <c r="A2245" s="3"/>
      <c r="B2245" s="254"/>
      <c r="C2245" s="287"/>
    </row>
    <row r="2246">
      <c r="A2246" s="3"/>
      <c r="B2246" s="254"/>
      <c r="C2246" s="287"/>
    </row>
    <row r="2247">
      <c r="A2247" s="3"/>
      <c r="B2247" s="254"/>
      <c r="C2247" s="287"/>
    </row>
    <row r="2248">
      <c r="A2248" s="3"/>
      <c r="B2248" s="254"/>
      <c r="C2248" s="287"/>
    </row>
    <row r="2249">
      <c r="A2249" s="3"/>
      <c r="B2249" s="254"/>
      <c r="C2249" s="287"/>
    </row>
    <row r="2250">
      <c r="A2250" s="3"/>
      <c r="B2250" s="254"/>
      <c r="C2250" s="287"/>
    </row>
    <row r="2251">
      <c r="A2251" s="3"/>
      <c r="B2251" s="254"/>
      <c r="C2251" s="287"/>
    </row>
    <row r="2252">
      <c r="A2252" s="3"/>
      <c r="B2252" s="254"/>
      <c r="C2252" s="287"/>
    </row>
    <row r="2253">
      <c r="A2253" s="3"/>
      <c r="B2253" s="254"/>
      <c r="C2253" s="287"/>
    </row>
    <row r="2254">
      <c r="A2254" s="3"/>
      <c r="B2254" s="254"/>
      <c r="C2254" s="287"/>
    </row>
    <row r="2255">
      <c r="A2255" s="3"/>
      <c r="B2255" s="254"/>
      <c r="C2255" s="287"/>
    </row>
    <row r="2256">
      <c r="A2256" s="3"/>
      <c r="B2256" s="254"/>
      <c r="C2256" s="287"/>
    </row>
    <row r="2257">
      <c r="A2257" s="3"/>
      <c r="B2257" s="254"/>
      <c r="C2257" s="287"/>
    </row>
    <row r="2258">
      <c r="A2258" s="3"/>
      <c r="B2258" s="254"/>
      <c r="C2258" s="287"/>
    </row>
    <row r="2259">
      <c r="A2259" s="3"/>
      <c r="B2259" s="254"/>
      <c r="C2259" s="287"/>
    </row>
    <row r="2260">
      <c r="A2260" s="3"/>
      <c r="B2260" s="254"/>
      <c r="C2260" s="287"/>
    </row>
    <row r="2261">
      <c r="A2261" s="3"/>
      <c r="B2261" s="254"/>
      <c r="C2261" s="287"/>
    </row>
    <row r="2262">
      <c r="A2262" s="3"/>
      <c r="B2262" s="254"/>
      <c r="C2262" s="287"/>
    </row>
    <row r="2263">
      <c r="A2263" s="3"/>
      <c r="B2263" s="254"/>
      <c r="C2263" s="287"/>
    </row>
    <row r="2264">
      <c r="A2264" s="3"/>
      <c r="B2264" s="254"/>
      <c r="C2264" s="287"/>
    </row>
    <row r="2265">
      <c r="A2265" s="3"/>
      <c r="B2265" s="254"/>
      <c r="C2265" s="287"/>
    </row>
    <row r="2266">
      <c r="A2266" s="3"/>
      <c r="B2266" s="254"/>
      <c r="C2266" s="287"/>
    </row>
    <row r="2267">
      <c r="A2267" s="3"/>
      <c r="B2267" s="254"/>
      <c r="C2267" s="287"/>
    </row>
    <row r="2268">
      <c r="A2268" s="3"/>
      <c r="B2268" s="254"/>
      <c r="C2268" s="287"/>
    </row>
    <row r="2269">
      <c r="A2269" s="3"/>
      <c r="B2269" s="254"/>
      <c r="C2269" s="287"/>
    </row>
    <row r="2270">
      <c r="A2270" s="3"/>
      <c r="B2270" s="254"/>
      <c r="C2270" s="287"/>
    </row>
    <row r="2271">
      <c r="A2271" s="3"/>
      <c r="B2271" s="254"/>
      <c r="C2271" s="287"/>
    </row>
    <row r="2272">
      <c r="A2272" s="3"/>
      <c r="B2272" s="254"/>
      <c r="C2272" s="287"/>
    </row>
    <row r="2273">
      <c r="A2273" s="3"/>
      <c r="B2273" s="254"/>
      <c r="C2273" s="287"/>
    </row>
    <row r="2274">
      <c r="A2274" s="3"/>
      <c r="B2274" s="254"/>
      <c r="C2274" s="287"/>
    </row>
    <row r="2275">
      <c r="A2275" s="3"/>
      <c r="B2275" s="254"/>
      <c r="C2275" s="287"/>
    </row>
    <row r="2276">
      <c r="A2276" s="3"/>
      <c r="B2276" s="254"/>
      <c r="C2276" s="287"/>
    </row>
    <row r="2277">
      <c r="A2277" s="3"/>
      <c r="B2277" s="254"/>
      <c r="C2277" s="287"/>
    </row>
    <row r="2278">
      <c r="A2278" s="3"/>
      <c r="B2278" s="254"/>
      <c r="C2278" s="287"/>
    </row>
    <row r="2279">
      <c r="A2279" s="3"/>
      <c r="B2279" s="254"/>
      <c r="C2279" s="287"/>
    </row>
    <row r="2280">
      <c r="A2280" s="3"/>
      <c r="B2280" s="254"/>
      <c r="C2280" s="287"/>
    </row>
    <row r="2281">
      <c r="A2281" s="3"/>
      <c r="B2281" s="254"/>
      <c r="C2281" s="287"/>
    </row>
    <row r="2282">
      <c r="A2282" s="3"/>
      <c r="B2282" s="254"/>
      <c r="C2282" s="287"/>
    </row>
    <row r="2283">
      <c r="A2283" s="3"/>
      <c r="B2283" s="254"/>
      <c r="C2283" s="287"/>
    </row>
    <row r="2284">
      <c r="A2284" s="3"/>
      <c r="B2284" s="254"/>
      <c r="C2284" s="287"/>
    </row>
    <row r="2285">
      <c r="A2285" s="3"/>
      <c r="B2285" s="254"/>
      <c r="C2285" s="287"/>
    </row>
    <row r="2286">
      <c r="A2286" s="3"/>
      <c r="B2286" s="254"/>
      <c r="C2286" s="287"/>
    </row>
    <row r="2287">
      <c r="A2287" s="3"/>
      <c r="B2287" s="254"/>
      <c r="C2287" s="287"/>
    </row>
    <row r="2288">
      <c r="A2288" s="3"/>
      <c r="B2288" s="254"/>
      <c r="C2288" s="287"/>
    </row>
    <row r="2289">
      <c r="A2289" s="3"/>
      <c r="B2289" s="254"/>
      <c r="C2289" s="287"/>
    </row>
    <row r="2290">
      <c r="A2290" s="3"/>
      <c r="B2290" s="254"/>
      <c r="C2290" s="287"/>
    </row>
    <row r="2291">
      <c r="A2291" s="3"/>
      <c r="B2291" s="254"/>
      <c r="C2291" s="287"/>
    </row>
    <row r="2292">
      <c r="A2292" s="3"/>
      <c r="B2292" s="254"/>
      <c r="C2292" s="287"/>
    </row>
    <row r="2293">
      <c r="A2293" s="3"/>
      <c r="B2293" s="254"/>
      <c r="C2293" s="287"/>
    </row>
    <row r="2294">
      <c r="A2294" s="3"/>
      <c r="B2294" s="254"/>
      <c r="C2294" s="287"/>
    </row>
    <row r="2295">
      <c r="A2295" s="3"/>
      <c r="B2295" s="254"/>
      <c r="C2295" s="287"/>
    </row>
    <row r="2296">
      <c r="A2296" s="3"/>
      <c r="B2296" s="254"/>
      <c r="C2296" s="287"/>
    </row>
    <row r="2297">
      <c r="A2297" s="3"/>
      <c r="B2297" s="254"/>
      <c r="C2297" s="287"/>
    </row>
    <row r="2298">
      <c r="A2298" s="3"/>
      <c r="B2298" s="254"/>
      <c r="C2298" s="287"/>
    </row>
    <row r="2299">
      <c r="A2299" s="3"/>
      <c r="B2299" s="254"/>
      <c r="C2299" s="287"/>
    </row>
    <row r="2300">
      <c r="A2300" s="3"/>
      <c r="B2300" s="254"/>
      <c r="C2300" s="287"/>
    </row>
    <row r="2301">
      <c r="A2301" s="3"/>
      <c r="B2301" s="254"/>
      <c r="C2301" s="287"/>
    </row>
    <row r="2302">
      <c r="A2302" s="3"/>
      <c r="B2302" s="254"/>
      <c r="C2302" s="287"/>
    </row>
    <row r="2303">
      <c r="A2303" s="3"/>
      <c r="B2303" s="254"/>
      <c r="C2303" s="287"/>
    </row>
    <row r="2304">
      <c r="A2304" s="3"/>
      <c r="B2304" s="254"/>
      <c r="C2304" s="287"/>
    </row>
    <row r="2305">
      <c r="A2305" s="3"/>
      <c r="B2305" s="254"/>
      <c r="C2305" s="287"/>
    </row>
    <row r="2306">
      <c r="A2306" s="3"/>
      <c r="B2306" s="254"/>
      <c r="C2306" s="287"/>
    </row>
    <row r="2307">
      <c r="A2307" s="3"/>
      <c r="B2307" s="254"/>
      <c r="C2307" s="287"/>
    </row>
    <row r="2308">
      <c r="A2308" s="3"/>
      <c r="B2308" s="254"/>
      <c r="C2308" s="287"/>
    </row>
    <row r="2309">
      <c r="A2309" s="3"/>
      <c r="B2309" s="254"/>
      <c r="C2309" s="287"/>
    </row>
    <row r="2310">
      <c r="A2310" s="3"/>
      <c r="B2310" s="254"/>
      <c r="C2310" s="287"/>
    </row>
    <row r="2311">
      <c r="A2311" s="3"/>
      <c r="B2311" s="254"/>
      <c r="C2311" s="287"/>
    </row>
    <row r="2312">
      <c r="A2312" s="3"/>
      <c r="B2312" s="254"/>
      <c r="C2312" s="287"/>
    </row>
    <row r="2313">
      <c r="A2313" s="3"/>
      <c r="B2313" s="254"/>
      <c r="C2313" s="287"/>
    </row>
    <row r="2314">
      <c r="A2314" s="3"/>
      <c r="B2314" s="254"/>
      <c r="C2314" s="287"/>
    </row>
    <row r="2315">
      <c r="A2315" s="3"/>
      <c r="B2315" s="254"/>
      <c r="C2315" s="287"/>
    </row>
    <row r="2316">
      <c r="A2316" s="3"/>
      <c r="B2316" s="254"/>
      <c r="C2316" s="287"/>
    </row>
    <row r="2317">
      <c r="A2317" s="3"/>
      <c r="B2317" s="254"/>
      <c r="C2317" s="287"/>
    </row>
    <row r="2318">
      <c r="A2318" s="3"/>
      <c r="B2318" s="254"/>
      <c r="C2318" s="287"/>
    </row>
    <row r="2319">
      <c r="A2319" s="3"/>
      <c r="B2319" s="254"/>
      <c r="C2319" s="287"/>
    </row>
    <row r="2320">
      <c r="A2320" s="3"/>
      <c r="B2320" s="254"/>
      <c r="C2320" s="287"/>
    </row>
    <row r="2321">
      <c r="A2321" s="3"/>
      <c r="B2321" s="254"/>
      <c r="C2321" s="287"/>
    </row>
    <row r="2322">
      <c r="A2322" s="3"/>
      <c r="B2322" s="254"/>
      <c r="C2322" s="287"/>
    </row>
    <row r="2323">
      <c r="A2323" s="3"/>
      <c r="B2323" s="254"/>
      <c r="C2323" s="287"/>
    </row>
    <row r="2324">
      <c r="A2324" s="3"/>
      <c r="B2324" s="254"/>
      <c r="C2324" s="287"/>
    </row>
    <row r="2325">
      <c r="A2325" s="3"/>
      <c r="B2325" s="254"/>
      <c r="C2325" s="287"/>
    </row>
    <row r="2326">
      <c r="A2326" s="3"/>
      <c r="B2326" s="254"/>
      <c r="C2326" s="287"/>
    </row>
    <row r="2327">
      <c r="A2327" s="3"/>
      <c r="B2327" s="254"/>
      <c r="C2327" s="287"/>
    </row>
    <row r="2328">
      <c r="A2328" s="3"/>
      <c r="B2328" s="254"/>
      <c r="C2328" s="287"/>
    </row>
    <row r="2329">
      <c r="A2329" s="3"/>
      <c r="B2329" s="254"/>
      <c r="C2329" s="287"/>
    </row>
    <row r="2330">
      <c r="A2330" s="3"/>
      <c r="B2330" s="254"/>
      <c r="C2330" s="287"/>
    </row>
    <row r="2331">
      <c r="A2331" s="3"/>
      <c r="B2331" s="254"/>
      <c r="C2331" s="287"/>
    </row>
    <row r="2332">
      <c r="A2332" s="3"/>
      <c r="B2332" s="254"/>
      <c r="C2332" s="287"/>
    </row>
    <row r="2333">
      <c r="A2333" s="3"/>
      <c r="B2333" s="254"/>
      <c r="C2333" s="287"/>
    </row>
    <row r="2334">
      <c r="A2334" s="3"/>
      <c r="B2334" s="254"/>
      <c r="C2334" s="287"/>
    </row>
    <row r="2335">
      <c r="A2335" s="3"/>
      <c r="B2335" s="254"/>
      <c r="C2335" s="287"/>
    </row>
    <row r="2336">
      <c r="A2336" s="3"/>
      <c r="B2336" s="254"/>
      <c r="C2336" s="287"/>
    </row>
    <row r="2337">
      <c r="A2337" s="3"/>
      <c r="B2337" s="254"/>
      <c r="C2337" s="287"/>
    </row>
    <row r="2338">
      <c r="A2338" s="3"/>
      <c r="B2338" s="254"/>
      <c r="C2338" s="287"/>
    </row>
    <row r="2339">
      <c r="A2339" s="3"/>
      <c r="B2339" s="254"/>
      <c r="C2339" s="287"/>
    </row>
    <row r="2340">
      <c r="A2340" s="3"/>
      <c r="B2340" s="254"/>
      <c r="C2340" s="287"/>
    </row>
    <row r="2341">
      <c r="A2341" s="3"/>
      <c r="B2341" s="254"/>
      <c r="C2341" s="287"/>
    </row>
    <row r="2342">
      <c r="A2342" s="3"/>
      <c r="B2342" s="254"/>
      <c r="C2342" s="287"/>
    </row>
    <row r="2343">
      <c r="A2343" s="3"/>
      <c r="B2343" s="254"/>
      <c r="C2343" s="287"/>
    </row>
    <row r="2344">
      <c r="A2344" s="3"/>
      <c r="B2344" s="254"/>
      <c r="C2344" s="287"/>
    </row>
    <row r="2345">
      <c r="A2345" s="3"/>
      <c r="B2345" s="254"/>
      <c r="C2345" s="287"/>
    </row>
    <row r="2346">
      <c r="A2346" s="3"/>
      <c r="B2346" s="254"/>
      <c r="C2346" s="287"/>
    </row>
    <row r="2347">
      <c r="A2347" s="3"/>
      <c r="B2347" s="254"/>
      <c r="C2347" s="287"/>
    </row>
    <row r="2348">
      <c r="A2348" s="3"/>
      <c r="B2348" s="254"/>
      <c r="C2348" s="287"/>
    </row>
    <row r="2349">
      <c r="A2349" s="3"/>
      <c r="B2349" s="254"/>
      <c r="C2349" s="287"/>
    </row>
    <row r="2350">
      <c r="A2350" s="3"/>
      <c r="B2350" s="254"/>
      <c r="C2350" s="287"/>
    </row>
    <row r="2351">
      <c r="A2351" s="3"/>
      <c r="B2351" s="254"/>
      <c r="C2351" s="287"/>
    </row>
    <row r="2352">
      <c r="A2352" s="3"/>
      <c r="B2352" s="254"/>
      <c r="C2352" s="287"/>
    </row>
    <row r="2353">
      <c r="A2353" s="3"/>
      <c r="B2353" s="254"/>
      <c r="C2353" s="287"/>
    </row>
    <row r="2354">
      <c r="A2354" s="3"/>
      <c r="B2354" s="254"/>
      <c r="C2354" s="287"/>
    </row>
    <row r="2355">
      <c r="A2355" s="3"/>
      <c r="B2355" s="254"/>
      <c r="C2355" s="287"/>
    </row>
    <row r="2356">
      <c r="A2356" s="3"/>
      <c r="B2356" s="254"/>
      <c r="C2356" s="287"/>
    </row>
    <row r="2357">
      <c r="A2357" s="3"/>
      <c r="B2357" s="254"/>
      <c r="C2357" s="287"/>
    </row>
    <row r="2358">
      <c r="A2358" s="3"/>
      <c r="B2358" s="254"/>
      <c r="C2358" s="287"/>
    </row>
    <row r="2359">
      <c r="A2359" s="3"/>
      <c r="B2359" s="254"/>
      <c r="C2359" s="287"/>
    </row>
    <row r="2360">
      <c r="A2360" s="3"/>
      <c r="B2360" s="254"/>
      <c r="C2360" s="287"/>
    </row>
    <row r="2361">
      <c r="A2361" s="3"/>
      <c r="B2361" s="254"/>
      <c r="C2361" s="287"/>
    </row>
    <row r="2362">
      <c r="A2362" s="3"/>
      <c r="B2362" s="254"/>
      <c r="C2362" s="287"/>
    </row>
    <row r="2363">
      <c r="A2363" s="3"/>
      <c r="B2363" s="254"/>
      <c r="C2363" s="287"/>
    </row>
    <row r="2364">
      <c r="A2364" s="3"/>
      <c r="B2364" s="254"/>
      <c r="C2364" s="287"/>
    </row>
    <row r="2365">
      <c r="A2365" s="3"/>
      <c r="B2365" s="254"/>
      <c r="C2365" s="287"/>
    </row>
    <row r="2366">
      <c r="A2366" s="3"/>
      <c r="B2366" s="254"/>
      <c r="C2366" s="287"/>
    </row>
    <row r="2367">
      <c r="A2367" s="3"/>
      <c r="B2367" s="254"/>
      <c r="C2367" s="287"/>
    </row>
    <row r="2368">
      <c r="A2368" s="3"/>
      <c r="B2368" s="254"/>
      <c r="C2368" s="287"/>
    </row>
    <row r="2369">
      <c r="A2369" s="3"/>
      <c r="B2369" s="254"/>
      <c r="C2369" s="287"/>
    </row>
    <row r="2370">
      <c r="A2370" s="3"/>
      <c r="B2370" s="254"/>
      <c r="C2370" s="287"/>
    </row>
    <row r="2371">
      <c r="A2371" s="3"/>
      <c r="B2371" s="254"/>
      <c r="C2371" s="287"/>
    </row>
    <row r="2372">
      <c r="A2372" s="3"/>
      <c r="B2372" s="254"/>
      <c r="C2372" s="287"/>
    </row>
    <row r="2373">
      <c r="A2373" s="3"/>
      <c r="B2373" s="254"/>
      <c r="C2373" s="287"/>
    </row>
    <row r="2374">
      <c r="A2374" s="3"/>
      <c r="B2374" s="254"/>
      <c r="C2374" s="287"/>
    </row>
    <row r="2375">
      <c r="A2375" s="3"/>
      <c r="B2375" s="254"/>
      <c r="C2375" s="287"/>
    </row>
    <row r="2376">
      <c r="A2376" s="3"/>
      <c r="B2376" s="254"/>
      <c r="C2376" s="287"/>
    </row>
    <row r="2377">
      <c r="A2377" s="3"/>
      <c r="B2377" s="254"/>
      <c r="C2377" s="287"/>
    </row>
    <row r="2378">
      <c r="A2378" s="3"/>
      <c r="B2378" s="254"/>
      <c r="C2378" s="287"/>
    </row>
    <row r="2379">
      <c r="A2379" s="3"/>
      <c r="B2379" s="254"/>
      <c r="C2379" s="287"/>
    </row>
    <row r="2380">
      <c r="A2380" s="3"/>
      <c r="B2380" s="254"/>
      <c r="C2380" s="287"/>
    </row>
    <row r="2381">
      <c r="A2381" s="3"/>
      <c r="B2381" s="254"/>
      <c r="C2381" s="287"/>
    </row>
    <row r="2382">
      <c r="A2382" s="3"/>
      <c r="B2382" s="254"/>
      <c r="C2382" s="287"/>
    </row>
    <row r="2383">
      <c r="A2383" s="3"/>
      <c r="B2383" s="254"/>
      <c r="C2383" s="287"/>
    </row>
    <row r="2384">
      <c r="A2384" s="3"/>
      <c r="B2384" s="254"/>
      <c r="C2384" s="287"/>
    </row>
    <row r="2385">
      <c r="A2385" s="3"/>
      <c r="B2385" s="254"/>
      <c r="C2385" s="287"/>
    </row>
    <row r="2386">
      <c r="A2386" s="3"/>
      <c r="B2386" s="254"/>
      <c r="C2386" s="287"/>
    </row>
    <row r="2387">
      <c r="A2387" s="3"/>
      <c r="B2387" s="254"/>
      <c r="C2387" s="287"/>
    </row>
    <row r="2388">
      <c r="A2388" s="3"/>
      <c r="B2388" s="254"/>
      <c r="C2388" s="287"/>
    </row>
    <row r="2389">
      <c r="A2389" s="3"/>
      <c r="B2389" s="254"/>
      <c r="C2389" s="287"/>
    </row>
    <row r="2390">
      <c r="A2390" s="3"/>
      <c r="B2390" s="254"/>
      <c r="C2390" s="287"/>
    </row>
    <row r="2391">
      <c r="A2391" s="3"/>
      <c r="B2391" s="254"/>
      <c r="C2391" s="287"/>
    </row>
    <row r="2392">
      <c r="A2392" s="3"/>
      <c r="B2392" s="254"/>
      <c r="C2392" s="287"/>
    </row>
    <row r="2393">
      <c r="A2393" s="3"/>
      <c r="B2393" s="254"/>
      <c r="C2393" s="287"/>
    </row>
    <row r="2394">
      <c r="A2394" s="3"/>
      <c r="B2394" s="254"/>
      <c r="C2394" s="287"/>
    </row>
    <row r="2395">
      <c r="A2395" s="3"/>
      <c r="B2395" s="254"/>
      <c r="C2395" s="287"/>
    </row>
    <row r="2396">
      <c r="A2396" s="3"/>
      <c r="B2396" s="254"/>
      <c r="C2396" s="287"/>
    </row>
    <row r="2397">
      <c r="A2397" s="3"/>
      <c r="B2397" s="254"/>
      <c r="C2397" s="287"/>
    </row>
    <row r="2398">
      <c r="A2398" s="3"/>
      <c r="B2398" s="254"/>
      <c r="C2398" s="287"/>
    </row>
    <row r="2399">
      <c r="A2399" s="3"/>
      <c r="B2399" s="254"/>
      <c r="C2399" s="287"/>
    </row>
    <row r="2400">
      <c r="A2400" s="3"/>
      <c r="B2400" s="254"/>
      <c r="C2400" s="287"/>
    </row>
    <row r="2401">
      <c r="A2401" s="3"/>
      <c r="B2401" s="254"/>
      <c r="C2401" s="287"/>
    </row>
    <row r="2402">
      <c r="A2402" s="3"/>
      <c r="B2402" s="254"/>
      <c r="C2402" s="287"/>
    </row>
    <row r="2403">
      <c r="A2403" s="3"/>
      <c r="B2403" s="254"/>
      <c r="C2403" s="287"/>
    </row>
    <row r="2404">
      <c r="A2404" s="3"/>
      <c r="B2404" s="254"/>
      <c r="C2404" s="287"/>
    </row>
    <row r="2405">
      <c r="A2405" s="3"/>
      <c r="B2405" s="254"/>
      <c r="C2405" s="287"/>
    </row>
    <row r="2406">
      <c r="A2406" s="3"/>
      <c r="B2406" s="254"/>
      <c r="C2406" s="287"/>
    </row>
    <row r="2407">
      <c r="A2407" s="3"/>
      <c r="B2407" s="254"/>
      <c r="C2407" s="287"/>
    </row>
    <row r="2408">
      <c r="A2408" s="3"/>
      <c r="B2408" s="254"/>
      <c r="C2408" s="287"/>
    </row>
    <row r="2409">
      <c r="A2409" s="3"/>
      <c r="B2409" s="254"/>
      <c r="C2409" s="287"/>
    </row>
    <row r="2410">
      <c r="A2410" s="3"/>
      <c r="B2410" s="254"/>
      <c r="C2410" s="287"/>
    </row>
    <row r="2411">
      <c r="A2411" s="3"/>
      <c r="B2411" s="254"/>
      <c r="C2411" s="287"/>
    </row>
    <row r="2412">
      <c r="A2412" s="3"/>
      <c r="B2412" s="254"/>
      <c r="C2412" s="287"/>
    </row>
    <row r="2413">
      <c r="A2413" s="3"/>
      <c r="B2413" s="254"/>
      <c r="C2413" s="287"/>
    </row>
    <row r="2414">
      <c r="A2414" s="3"/>
      <c r="B2414" s="254"/>
      <c r="C2414" s="287"/>
    </row>
    <row r="2415">
      <c r="A2415" s="3"/>
      <c r="B2415" s="254"/>
      <c r="C2415" s="287"/>
    </row>
    <row r="2416">
      <c r="A2416" s="3"/>
      <c r="B2416" s="254"/>
      <c r="C2416" s="287"/>
    </row>
    <row r="2417">
      <c r="A2417" s="3"/>
      <c r="B2417" s="254"/>
      <c r="C2417" s="287"/>
    </row>
    <row r="2418">
      <c r="A2418" s="3"/>
      <c r="B2418" s="254"/>
      <c r="C2418" s="287"/>
    </row>
    <row r="2419">
      <c r="A2419" s="3"/>
      <c r="B2419" s="254"/>
      <c r="C2419" s="287"/>
    </row>
    <row r="2420">
      <c r="A2420" s="3"/>
      <c r="B2420" s="254"/>
      <c r="C2420" s="287"/>
    </row>
    <row r="2421">
      <c r="A2421" s="3"/>
      <c r="B2421" s="254"/>
      <c r="C2421" s="287"/>
    </row>
    <row r="2422">
      <c r="A2422" s="3"/>
      <c r="B2422" s="254"/>
      <c r="C2422" s="287"/>
    </row>
    <row r="2423">
      <c r="A2423" s="3"/>
      <c r="B2423" s="254"/>
      <c r="C2423" s="287"/>
    </row>
    <row r="2424">
      <c r="A2424" s="3"/>
      <c r="B2424" s="254"/>
      <c r="C2424" s="287"/>
    </row>
    <row r="2425">
      <c r="A2425" s="3"/>
      <c r="B2425" s="254"/>
      <c r="C2425" s="287"/>
    </row>
    <row r="2426">
      <c r="A2426" s="3"/>
      <c r="B2426" s="254"/>
      <c r="C2426" s="287"/>
    </row>
    <row r="2427">
      <c r="A2427" s="3"/>
      <c r="B2427" s="254"/>
      <c r="C2427" s="287"/>
    </row>
    <row r="2428">
      <c r="A2428" s="3"/>
      <c r="B2428" s="254"/>
      <c r="C2428" s="287"/>
    </row>
    <row r="2429">
      <c r="A2429" s="3"/>
      <c r="B2429" s="254"/>
      <c r="C2429" s="287"/>
    </row>
    <row r="2430">
      <c r="A2430" s="3"/>
      <c r="B2430" s="254"/>
      <c r="C2430" s="287"/>
    </row>
    <row r="2431">
      <c r="A2431" s="3"/>
      <c r="B2431" s="254"/>
      <c r="C2431" s="287"/>
    </row>
    <row r="2432">
      <c r="A2432" s="3"/>
      <c r="B2432" s="254"/>
      <c r="C2432" s="287"/>
    </row>
    <row r="2433">
      <c r="A2433" s="3"/>
      <c r="B2433" s="254"/>
      <c r="C2433" s="287"/>
    </row>
    <row r="2434">
      <c r="A2434" s="3"/>
      <c r="B2434" s="254"/>
      <c r="C2434" s="287"/>
    </row>
    <row r="2435">
      <c r="A2435" s="3"/>
      <c r="B2435" s="254"/>
      <c r="C2435" s="287"/>
    </row>
    <row r="2436">
      <c r="A2436" s="3"/>
      <c r="B2436" s="254"/>
      <c r="C2436" s="287"/>
    </row>
    <row r="2437">
      <c r="A2437" s="3"/>
      <c r="B2437" s="254"/>
      <c r="C2437" s="287"/>
    </row>
    <row r="2438">
      <c r="A2438" s="3"/>
      <c r="B2438" s="254"/>
      <c r="C2438" s="287"/>
    </row>
    <row r="2439">
      <c r="A2439" s="3"/>
      <c r="B2439" s="254"/>
      <c r="C2439" s="287"/>
    </row>
    <row r="2440">
      <c r="A2440" s="3"/>
      <c r="B2440" s="254"/>
      <c r="C2440" s="287"/>
    </row>
    <row r="2441">
      <c r="A2441" s="3"/>
      <c r="B2441" s="254"/>
      <c r="C2441" s="287"/>
    </row>
    <row r="2442">
      <c r="A2442" s="3"/>
      <c r="B2442" s="254"/>
      <c r="C2442" s="287"/>
    </row>
    <row r="2443">
      <c r="A2443" s="3"/>
      <c r="B2443" s="254"/>
      <c r="C2443" s="287"/>
    </row>
    <row r="2444">
      <c r="A2444" s="3"/>
      <c r="B2444" s="254"/>
      <c r="C2444" s="287"/>
    </row>
    <row r="2445">
      <c r="A2445" s="3"/>
      <c r="B2445" s="254"/>
      <c r="C2445" s="287"/>
    </row>
    <row r="2446">
      <c r="A2446" s="3"/>
      <c r="B2446" s="254"/>
      <c r="C2446" s="287"/>
    </row>
    <row r="2447">
      <c r="A2447" s="3"/>
      <c r="B2447" s="254"/>
      <c r="C2447" s="287"/>
    </row>
    <row r="2448">
      <c r="A2448" s="3"/>
      <c r="B2448" s="254"/>
      <c r="C2448" s="287"/>
    </row>
    <row r="2449">
      <c r="A2449" s="3"/>
      <c r="B2449" s="254"/>
      <c r="C2449" s="287"/>
    </row>
    <row r="2450">
      <c r="A2450" s="3"/>
      <c r="B2450" s="254"/>
      <c r="C2450" s="287"/>
    </row>
    <row r="2451">
      <c r="A2451" s="3"/>
      <c r="B2451" s="254"/>
      <c r="C2451" s="287"/>
    </row>
    <row r="2452">
      <c r="A2452" s="3"/>
      <c r="B2452" s="254"/>
      <c r="C2452" s="287"/>
    </row>
    <row r="2453">
      <c r="A2453" s="3"/>
      <c r="B2453" s="254"/>
      <c r="C2453" s="287"/>
    </row>
    <row r="2454">
      <c r="A2454" s="3"/>
      <c r="B2454" s="254"/>
      <c r="C2454" s="287"/>
    </row>
    <row r="2455">
      <c r="A2455" s="3"/>
      <c r="B2455" s="254"/>
      <c r="C2455" s="287"/>
    </row>
    <row r="2456">
      <c r="A2456" s="3"/>
      <c r="B2456" s="254"/>
      <c r="C2456" s="287"/>
    </row>
    <row r="2457">
      <c r="A2457" s="3"/>
      <c r="B2457" s="254"/>
      <c r="C2457" s="287"/>
    </row>
    <row r="2458">
      <c r="A2458" s="3"/>
      <c r="B2458" s="254"/>
      <c r="C2458" s="287"/>
    </row>
    <row r="2459">
      <c r="A2459" s="3"/>
      <c r="B2459" s="254"/>
      <c r="C2459" s="287"/>
    </row>
    <row r="2460">
      <c r="A2460" s="3"/>
      <c r="B2460" s="254"/>
      <c r="C2460" s="287"/>
    </row>
    <row r="2461">
      <c r="A2461" s="3"/>
      <c r="B2461" s="254"/>
      <c r="C2461" s="287"/>
    </row>
    <row r="2462">
      <c r="A2462" s="3"/>
      <c r="B2462" s="254"/>
      <c r="C2462" s="287"/>
    </row>
    <row r="2463">
      <c r="A2463" s="3"/>
      <c r="B2463" s="254"/>
      <c r="C2463" s="287"/>
    </row>
    <row r="2464">
      <c r="A2464" s="3"/>
      <c r="B2464" s="254"/>
      <c r="C2464" s="287"/>
    </row>
    <row r="2465">
      <c r="A2465" s="3"/>
      <c r="B2465" s="254"/>
      <c r="C2465" s="287"/>
    </row>
    <row r="2466">
      <c r="A2466" s="3"/>
      <c r="B2466" s="254"/>
      <c r="C2466" s="287"/>
    </row>
    <row r="2467">
      <c r="A2467" s="3"/>
      <c r="B2467" s="254"/>
      <c r="C2467" s="287"/>
    </row>
    <row r="2468">
      <c r="A2468" s="3"/>
      <c r="B2468" s="254"/>
      <c r="C2468" s="287"/>
    </row>
    <row r="2469">
      <c r="A2469" s="3"/>
      <c r="B2469" s="254"/>
      <c r="C2469" s="287"/>
    </row>
    <row r="2470">
      <c r="A2470" s="3"/>
      <c r="B2470" s="254"/>
      <c r="C2470" s="287"/>
    </row>
    <row r="2471">
      <c r="A2471" s="3"/>
      <c r="B2471" s="254"/>
      <c r="C2471" s="287"/>
    </row>
    <row r="2472">
      <c r="A2472" s="3"/>
      <c r="B2472" s="254"/>
      <c r="C2472" s="287"/>
    </row>
    <row r="2473">
      <c r="A2473" s="3"/>
      <c r="B2473" s="254"/>
      <c r="C2473" s="287"/>
    </row>
    <row r="2474">
      <c r="A2474" s="3"/>
      <c r="B2474" s="254"/>
      <c r="C2474" s="287"/>
    </row>
    <row r="2475">
      <c r="A2475" s="3"/>
      <c r="B2475" s="254"/>
      <c r="C2475" s="287"/>
    </row>
    <row r="2476">
      <c r="A2476" s="3"/>
      <c r="B2476" s="254"/>
      <c r="C2476" s="287"/>
    </row>
    <row r="2477">
      <c r="A2477" s="3"/>
      <c r="B2477" s="254"/>
      <c r="C2477" s="287"/>
    </row>
    <row r="2478">
      <c r="A2478" s="3"/>
      <c r="B2478" s="254"/>
      <c r="C2478" s="287"/>
    </row>
    <row r="2479">
      <c r="A2479" s="3"/>
      <c r="B2479" s="254"/>
      <c r="C2479" s="287"/>
    </row>
    <row r="2480">
      <c r="A2480" s="3"/>
      <c r="B2480" s="254"/>
      <c r="C2480" s="287"/>
    </row>
    <row r="2481">
      <c r="A2481" s="3"/>
      <c r="B2481" s="254"/>
      <c r="C2481" s="287"/>
    </row>
    <row r="2482">
      <c r="A2482" s="3"/>
      <c r="B2482" s="254"/>
      <c r="C2482" s="287"/>
    </row>
    <row r="2483">
      <c r="A2483" s="3"/>
      <c r="B2483" s="254"/>
      <c r="C2483" s="287"/>
    </row>
    <row r="2484">
      <c r="A2484" s="3"/>
      <c r="B2484" s="254"/>
      <c r="C2484" s="287"/>
    </row>
    <row r="2485">
      <c r="A2485" s="3"/>
      <c r="B2485" s="254"/>
      <c r="C2485" s="287"/>
    </row>
    <row r="2486">
      <c r="A2486" s="3"/>
      <c r="B2486" s="254"/>
      <c r="C2486" s="287"/>
    </row>
    <row r="2487">
      <c r="A2487" s="3"/>
      <c r="B2487" s="254"/>
      <c r="C2487" s="287"/>
    </row>
    <row r="2488">
      <c r="A2488" s="3"/>
      <c r="B2488" s="254"/>
      <c r="C2488" s="287"/>
    </row>
    <row r="2489">
      <c r="A2489" s="3"/>
      <c r="B2489" s="254"/>
      <c r="C2489" s="287"/>
    </row>
    <row r="2490">
      <c r="A2490" s="3"/>
      <c r="B2490" s="254"/>
      <c r="C2490" s="287"/>
    </row>
    <row r="2491">
      <c r="A2491" s="3"/>
      <c r="B2491" s="254"/>
      <c r="C2491" s="287"/>
    </row>
    <row r="2492">
      <c r="A2492" s="3"/>
      <c r="B2492" s="254"/>
      <c r="C2492" s="287"/>
    </row>
    <row r="2493">
      <c r="A2493" s="3"/>
      <c r="B2493" s="254"/>
      <c r="C2493" s="287"/>
    </row>
    <row r="2494">
      <c r="A2494" s="3"/>
      <c r="B2494" s="254"/>
      <c r="C2494" s="287"/>
    </row>
    <row r="2495">
      <c r="A2495" s="3"/>
      <c r="B2495" s="254"/>
      <c r="C2495" s="287"/>
    </row>
    <row r="2496">
      <c r="A2496" s="3"/>
      <c r="B2496" s="254"/>
      <c r="C2496" s="287"/>
    </row>
    <row r="2497">
      <c r="A2497" s="3"/>
      <c r="B2497" s="254"/>
      <c r="C2497" s="287"/>
    </row>
    <row r="2498">
      <c r="A2498" s="3"/>
      <c r="B2498" s="254"/>
      <c r="C2498" s="287"/>
    </row>
    <row r="2499">
      <c r="A2499" s="3"/>
      <c r="B2499" s="254"/>
      <c r="C2499" s="287"/>
    </row>
    <row r="2500">
      <c r="A2500" s="3"/>
      <c r="B2500" s="254"/>
      <c r="C2500" s="287"/>
    </row>
    <row r="2501">
      <c r="A2501" s="3"/>
      <c r="B2501" s="254"/>
      <c r="C2501" s="287"/>
    </row>
    <row r="2502">
      <c r="A2502" s="3"/>
      <c r="B2502" s="254"/>
      <c r="C2502" s="287"/>
    </row>
    <row r="2503">
      <c r="A2503" s="3"/>
      <c r="B2503" s="254"/>
      <c r="C2503" s="287"/>
    </row>
    <row r="2504">
      <c r="A2504" s="3"/>
      <c r="B2504" s="254"/>
      <c r="C2504" s="287"/>
    </row>
    <row r="2505">
      <c r="A2505" s="3"/>
      <c r="B2505" s="254"/>
      <c r="C2505" s="287"/>
    </row>
    <row r="2506">
      <c r="A2506" s="3"/>
      <c r="B2506" s="254"/>
      <c r="C2506" s="287"/>
    </row>
    <row r="2507">
      <c r="A2507" s="3"/>
      <c r="B2507" s="254"/>
      <c r="C2507" s="287"/>
    </row>
    <row r="2508">
      <c r="A2508" s="3"/>
      <c r="B2508" s="254"/>
      <c r="C2508" s="287"/>
    </row>
    <row r="2509">
      <c r="A2509" s="3"/>
      <c r="B2509" s="254"/>
      <c r="C2509" s="287"/>
    </row>
    <row r="2510">
      <c r="A2510" s="3"/>
      <c r="B2510" s="254"/>
      <c r="C2510" s="287"/>
    </row>
    <row r="2511">
      <c r="A2511" s="3"/>
      <c r="B2511" s="254"/>
      <c r="C2511" s="287"/>
    </row>
    <row r="2512">
      <c r="A2512" s="3"/>
      <c r="B2512" s="254"/>
      <c r="C2512" s="287"/>
    </row>
    <row r="2513">
      <c r="A2513" s="3"/>
      <c r="B2513" s="254"/>
      <c r="C2513" s="287"/>
    </row>
    <row r="2514">
      <c r="A2514" s="3"/>
      <c r="B2514" s="254"/>
      <c r="C2514" s="287"/>
    </row>
    <row r="2515">
      <c r="A2515" s="3"/>
      <c r="B2515" s="254"/>
      <c r="C2515" s="287"/>
    </row>
    <row r="2516">
      <c r="A2516" s="3"/>
      <c r="B2516" s="254"/>
      <c r="C2516" s="287"/>
    </row>
    <row r="2517">
      <c r="A2517" s="3"/>
      <c r="B2517" s="254"/>
      <c r="C2517" s="287"/>
    </row>
    <row r="2518">
      <c r="A2518" s="3"/>
      <c r="B2518" s="254"/>
      <c r="C2518" s="287"/>
    </row>
    <row r="2519">
      <c r="A2519" s="3"/>
      <c r="B2519" s="254"/>
      <c r="C2519" s="287"/>
    </row>
    <row r="2520">
      <c r="A2520" s="3"/>
      <c r="B2520" s="254"/>
      <c r="C2520" s="287"/>
    </row>
    <row r="2521">
      <c r="A2521" s="3"/>
      <c r="B2521" s="254"/>
      <c r="C2521" s="287"/>
    </row>
    <row r="2522">
      <c r="A2522" s="3"/>
      <c r="B2522" s="254"/>
      <c r="C2522" s="287"/>
    </row>
    <row r="2523">
      <c r="A2523" s="3"/>
      <c r="B2523" s="254"/>
      <c r="C2523" s="287"/>
    </row>
    <row r="2524">
      <c r="A2524" s="3"/>
      <c r="B2524" s="254"/>
      <c r="C2524" s="287"/>
    </row>
    <row r="2525">
      <c r="A2525" s="3"/>
      <c r="B2525" s="254"/>
      <c r="C2525" s="287"/>
    </row>
    <row r="2526">
      <c r="A2526" s="3"/>
      <c r="B2526" s="254"/>
      <c r="C2526" s="287"/>
    </row>
    <row r="2527">
      <c r="A2527" s="3"/>
      <c r="B2527" s="254"/>
      <c r="C2527" s="287"/>
    </row>
    <row r="2528">
      <c r="A2528" s="3"/>
      <c r="B2528" s="254"/>
      <c r="C2528" s="287"/>
    </row>
    <row r="2529">
      <c r="A2529" s="3"/>
      <c r="B2529" s="254"/>
      <c r="C2529" s="287"/>
    </row>
    <row r="2530">
      <c r="A2530" s="3"/>
      <c r="B2530" s="254"/>
      <c r="C2530" s="287"/>
    </row>
    <row r="2531">
      <c r="A2531" s="3"/>
      <c r="B2531" s="254"/>
      <c r="C2531" s="287"/>
    </row>
    <row r="2532">
      <c r="A2532" s="3"/>
      <c r="B2532" s="254"/>
      <c r="C2532" s="287"/>
    </row>
    <row r="2533">
      <c r="A2533" s="3"/>
      <c r="B2533" s="254"/>
      <c r="C2533" s="287"/>
    </row>
    <row r="2534">
      <c r="A2534" s="3"/>
      <c r="B2534" s="254"/>
      <c r="C2534" s="287"/>
    </row>
    <row r="2535">
      <c r="A2535" s="3"/>
      <c r="B2535" s="254"/>
      <c r="C2535" s="287"/>
    </row>
    <row r="2536">
      <c r="A2536" s="3"/>
      <c r="B2536" s="254"/>
      <c r="C2536" s="287"/>
    </row>
    <row r="2537">
      <c r="A2537" s="3"/>
      <c r="B2537" s="254"/>
      <c r="C2537" s="287"/>
    </row>
    <row r="2538">
      <c r="A2538" s="3"/>
      <c r="B2538" s="254"/>
      <c r="C2538" s="287"/>
    </row>
    <row r="2539">
      <c r="A2539" s="3"/>
      <c r="B2539" s="254"/>
      <c r="C2539" s="287"/>
    </row>
    <row r="2540">
      <c r="A2540" s="3"/>
      <c r="B2540" s="254"/>
      <c r="C2540" s="287"/>
    </row>
    <row r="2541">
      <c r="A2541" s="3"/>
      <c r="B2541" s="254"/>
      <c r="C2541" s="287"/>
    </row>
    <row r="2542">
      <c r="A2542" s="3"/>
      <c r="B2542" s="254"/>
      <c r="C2542" s="287"/>
    </row>
    <row r="2543">
      <c r="A2543" s="3"/>
      <c r="B2543" s="254"/>
      <c r="C2543" s="287"/>
    </row>
    <row r="2544">
      <c r="A2544" s="3"/>
      <c r="B2544" s="254"/>
      <c r="C2544" s="287"/>
    </row>
    <row r="2545">
      <c r="A2545" s="3"/>
      <c r="B2545" s="254"/>
      <c r="C2545" s="287"/>
    </row>
    <row r="2546">
      <c r="A2546" s="3"/>
      <c r="B2546" s="254"/>
      <c r="C2546" s="287"/>
    </row>
    <row r="2547">
      <c r="A2547" s="3"/>
      <c r="B2547" s="254"/>
      <c r="C2547" s="287"/>
    </row>
    <row r="2548">
      <c r="A2548" s="3"/>
      <c r="B2548" s="254"/>
      <c r="C2548" s="287"/>
    </row>
    <row r="2549">
      <c r="A2549" s="3"/>
      <c r="B2549" s="254"/>
      <c r="C2549" s="287"/>
    </row>
    <row r="2550">
      <c r="A2550" s="3"/>
      <c r="B2550" s="254"/>
      <c r="C2550" s="287"/>
    </row>
    <row r="2551">
      <c r="A2551" s="3"/>
      <c r="B2551" s="254"/>
      <c r="C2551" s="287"/>
    </row>
    <row r="2552">
      <c r="A2552" s="3"/>
      <c r="B2552" s="254"/>
      <c r="C2552" s="287"/>
    </row>
    <row r="2553">
      <c r="A2553" s="3"/>
      <c r="B2553" s="254"/>
      <c r="C2553" s="287"/>
    </row>
    <row r="2554">
      <c r="A2554" s="3"/>
      <c r="B2554" s="254"/>
      <c r="C2554" s="287"/>
    </row>
    <row r="2555">
      <c r="A2555" s="3"/>
      <c r="B2555" s="254"/>
      <c r="C2555" s="287"/>
    </row>
    <row r="2556">
      <c r="A2556" s="3"/>
      <c r="B2556" s="254"/>
      <c r="C2556" s="287"/>
    </row>
    <row r="2557">
      <c r="A2557" s="3"/>
      <c r="B2557" s="254"/>
      <c r="C2557" s="287"/>
    </row>
    <row r="2558">
      <c r="A2558" s="3"/>
      <c r="B2558" s="254"/>
      <c r="C2558" s="287"/>
    </row>
    <row r="2559">
      <c r="A2559" s="3"/>
      <c r="B2559" s="254"/>
      <c r="C2559" s="287"/>
    </row>
    <row r="2560">
      <c r="A2560" s="3"/>
      <c r="B2560" s="254"/>
      <c r="C2560" s="287"/>
    </row>
    <row r="2561">
      <c r="A2561" s="3"/>
      <c r="B2561" s="254"/>
      <c r="C2561" s="287"/>
    </row>
    <row r="2562">
      <c r="A2562" s="3"/>
      <c r="B2562" s="254"/>
      <c r="C2562" s="287"/>
    </row>
    <row r="2563">
      <c r="A2563" s="3"/>
      <c r="B2563" s="254"/>
      <c r="C2563" s="287"/>
    </row>
    <row r="2564">
      <c r="A2564" s="3"/>
      <c r="B2564" s="254"/>
      <c r="C2564" s="287"/>
    </row>
    <row r="2565">
      <c r="A2565" s="3"/>
      <c r="B2565" s="254"/>
      <c r="C2565" s="287"/>
    </row>
    <row r="2566">
      <c r="A2566" s="3"/>
      <c r="B2566" s="254"/>
      <c r="C2566" s="287"/>
    </row>
    <row r="2567">
      <c r="A2567" s="3"/>
      <c r="B2567" s="254"/>
      <c r="C2567" s="287"/>
    </row>
    <row r="2568">
      <c r="A2568" s="3"/>
      <c r="B2568" s="254"/>
      <c r="C2568" s="287"/>
    </row>
    <row r="2569">
      <c r="A2569" s="3"/>
      <c r="B2569" s="254"/>
      <c r="C2569" s="287"/>
    </row>
    <row r="2570">
      <c r="A2570" s="3"/>
      <c r="B2570" s="254"/>
      <c r="C2570" s="287"/>
    </row>
    <row r="2571">
      <c r="A2571" s="3"/>
      <c r="B2571" s="254"/>
      <c r="C2571" s="287"/>
    </row>
    <row r="2572">
      <c r="A2572" s="3"/>
      <c r="B2572" s="254"/>
      <c r="C2572" s="287"/>
    </row>
    <row r="2573">
      <c r="A2573" s="3"/>
      <c r="B2573" s="254"/>
      <c r="C2573" s="287"/>
    </row>
    <row r="2574">
      <c r="A2574" s="3"/>
      <c r="B2574" s="254"/>
      <c r="C2574" s="287"/>
    </row>
    <row r="2575">
      <c r="A2575" s="3"/>
      <c r="B2575" s="254"/>
      <c r="C2575" s="287"/>
    </row>
    <row r="2576">
      <c r="A2576" s="3"/>
      <c r="B2576" s="254"/>
      <c r="C2576" s="287"/>
    </row>
    <row r="2577">
      <c r="A2577" s="3"/>
      <c r="B2577" s="254"/>
      <c r="C2577" s="287"/>
    </row>
    <row r="2578">
      <c r="A2578" s="3"/>
      <c r="B2578" s="254"/>
      <c r="C2578" s="287"/>
    </row>
    <row r="2579">
      <c r="A2579" s="3"/>
      <c r="B2579" s="254"/>
      <c r="C2579" s="287"/>
    </row>
    <row r="2580">
      <c r="A2580" s="3"/>
      <c r="B2580" s="254"/>
      <c r="C2580" s="287"/>
    </row>
    <row r="2581">
      <c r="A2581" s="3"/>
      <c r="B2581" s="254"/>
      <c r="C2581" s="287"/>
    </row>
    <row r="2582">
      <c r="A2582" s="3"/>
      <c r="B2582" s="254"/>
      <c r="C2582" s="287"/>
    </row>
    <row r="2583">
      <c r="A2583" s="3"/>
      <c r="B2583" s="254"/>
      <c r="C2583" s="287"/>
    </row>
    <row r="2584">
      <c r="A2584" s="3"/>
      <c r="B2584" s="254"/>
      <c r="C2584" s="287"/>
    </row>
    <row r="2585">
      <c r="A2585" s="3"/>
      <c r="B2585" s="254"/>
      <c r="C2585" s="287"/>
    </row>
    <row r="2586">
      <c r="A2586" s="3"/>
      <c r="B2586" s="254"/>
      <c r="C2586" s="287"/>
    </row>
    <row r="2587">
      <c r="A2587" s="3"/>
      <c r="B2587" s="254"/>
      <c r="C2587" s="287"/>
    </row>
    <row r="2588">
      <c r="A2588" s="3"/>
      <c r="B2588" s="254"/>
      <c r="C2588" s="287"/>
    </row>
    <row r="2589">
      <c r="A2589" s="3"/>
      <c r="B2589" s="254"/>
      <c r="C2589" s="287"/>
    </row>
    <row r="2590">
      <c r="A2590" s="3"/>
      <c r="B2590" s="254"/>
      <c r="C2590" s="287"/>
    </row>
    <row r="2591">
      <c r="A2591" s="3"/>
      <c r="B2591" s="254"/>
      <c r="C2591" s="287"/>
    </row>
    <row r="2592">
      <c r="A2592" s="3"/>
      <c r="B2592" s="254"/>
      <c r="C2592" s="287"/>
    </row>
    <row r="2593">
      <c r="A2593" s="3"/>
      <c r="B2593" s="254"/>
      <c r="C2593" s="287"/>
    </row>
    <row r="2594">
      <c r="A2594" s="3"/>
      <c r="B2594" s="254"/>
      <c r="C2594" s="287"/>
    </row>
    <row r="2595">
      <c r="A2595" s="3"/>
      <c r="B2595" s="254"/>
      <c r="C2595" s="287"/>
    </row>
    <row r="2596">
      <c r="A2596" s="3"/>
      <c r="B2596" s="254"/>
      <c r="C2596" s="287"/>
    </row>
    <row r="2597">
      <c r="A2597" s="3"/>
      <c r="B2597" s="254"/>
      <c r="C2597" s="287"/>
    </row>
    <row r="2598">
      <c r="A2598" s="3"/>
      <c r="B2598" s="254"/>
      <c r="C2598" s="287"/>
    </row>
    <row r="2599">
      <c r="A2599" s="3"/>
      <c r="B2599" s="254"/>
      <c r="C2599" s="287"/>
    </row>
    <row r="2600">
      <c r="A2600" s="3"/>
      <c r="B2600" s="254"/>
      <c r="C2600" s="287"/>
    </row>
    <row r="2601">
      <c r="A2601" s="3"/>
      <c r="B2601" s="254"/>
      <c r="C2601" s="287"/>
    </row>
    <row r="2602">
      <c r="A2602" s="3"/>
      <c r="B2602" s="254"/>
      <c r="C2602" s="287"/>
    </row>
    <row r="2603">
      <c r="A2603" s="3"/>
      <c r="B2603" s="254"/>
      <c r="C2603" s="287"/>
    </row>
    <row r="2604">
      <c r="A2604" s="3"/>
      <c r="B2604" s="254"/>
      <c r="C2604" s="287"/>
    </row>
    <row r="2605">
      <c r="A2605" s="3"/>
      <c r="B2605" s="254"/>
      <c r="C2605" s="287"/>
    </row>
    <row r="2606">
      <c r="A2606" s="3"/>
      <c r="B2606" s="254"/>
      <c r="C2606" s="287"/>
    </row>
    <row r="2607">
      <c r="A2607" s="3"/>
      <c r="B2607" s="254"/>
      <c r="C2607" s="287"/>
    </row>
    <row r="2608">
      <c r="A2608" s="3"/>
      <c r="B2608" s="254"/>
      <c r="C2608" s="287"/>
    </row>
    <row r="2609">
      <c r="A2609" s="3"/>
      <c r="B2609" s="254"/>
      <c r="C2609" s="287"/>
    </row>
    <row r="2610">
      <c r="A2610" s="3"/>
      <c r="B2610" s="254"/>
      <c r="C2610" s="287"/>
    </row>
    <row r="2611">
      <c r="A2611" s="3"/>
      <c r="B2611" s="254"/>
      <c r="C2611" s="287"/>
    </row>
    <row r="2612">
      <c r="A2612" s="3"/>
      <c r="B2612" s="254"/>
      <c r="C2612" s="287"/>
    </row>
    <row r="2613">
      <c r="A2613" s="3"/>
      <c r="B2613" s="254"/>
      <c r="C2613" s="287"/>
    </row>
    <row r="2614">
      <c r="A2614" s="3"/>
      <c r="B2614" s="254"/>
      <c r="C2614" s="287"/>
    </row>
    <row r="2615">
      <c r="A2615" s="3"/>
      <c r="B2615" s="254"/>
      <c r="C2615" s="287"/>
    </row>
    <row r="2616">
      <c r="A2616" s="3"/>
      <c r="B2616" s="254"/>
      <c r="C2616" s="287"/>
    </row>
    <row r="2617">
      <c r="A2617" s="3"/>
      <c r="B2617" s="254"/>
      <c r="C2617" s="287"/>
    </row>
    <row r="2618">
      <c r="A2618" s="3"/>
      <c r="B2618" s="254"/>
      <c r="C2618" s="287"/>
    </row>
    <row r="2619">
      <c r="A2619" s="3"/>
      <c r="B2619" s="254"/>
      <c r="C2619" s="287"/>
    </row>
    <row r="2620">
      <c r="A2620" s="3"/>
      <c r="B2620" s="254"/>
      <c r="C2620" s="287"/>
    </row>
    <row r="2621">
      <c r="A2621" s="3"/>
      <c r="B2621" s="254"/>
      <c r="C2621" s="287"/>
    </row>
    <row r="2622">
      <c r="A2622" s="3"/>
      <c r="B2622" s="254"/>
      <c r="C2622" s="287"/>
    </row>
    <row r="2623">
      <c r="A2623" s="3"/>
      <c r="B2623" s="254"/>
      <c r="C2623" s="287"/>
    </row>
    <row r="2624">
      <c r="A2624" s="3"/>
      <c r="B2624" s="254"/>
      <c r="C2624" s="287"/>
    </row>
    <row r="2625">
      <c r="A2625" s="3"/>
      <c r="B2625" s="254"/>
      <c r="C2625" s="287"/>
    </row>
    <row r="2626">
      <c r="A2626" s="3"/>
      <c r="B2626" s="254"/>
      <c r="C2626" s="287"/>
    </row>
    <row r="2627">
      <c r="A2627" s="3"/>
      <c r="B2627" s="254"/>
      <c r="C2627" s="287"/>
    </row>
    <row r="2628">
      <c r="A2628" s="3"/>
      <c r="B2628" s="254"/>
      <c r="C2628" s="287"/>
    </row>
    <row r="2629">
      <c r="A2629" s="3"/>
      <c r="B2629" s="254"/>
      <c r="C2629" s="287"/>
    </row>
    <row r="2630">
      <c r="A2630" s="3"/>
      <c r="B2630" s="254"/>
      <c r="C2630" s="287"/>
    </row>
    <row r="2631">
      <c r="A2631" s="3"/>
      <c r="B2631" s="254"/>
      <c r="C2631" s="287"/>
    </row>
    <row r="2632">
      <c r="A2632" s="3"/>
      <c r="B2632" s="254"/>
      <c r="C2632" s="287"/>
    </row>
    <row r="2633">
      <c r="A2633" s="3"/>
      <c r="B2633" s="254"/>
      <c r="C2633" s="287"/>
    </row>
    <row r="2634">
      <c r="A2634" s="3"/>
      <c r="B2634" s="254"/>
      <c r="C2634" s="287"/>
    </row>
    <row r="2635">
      <c r="A2635" s="3"/>
      <c r="B2635" s="254"/>
      <c r="C2635" s="287"/>
    </row>
    <row r="2636">
      <c r="A2636" s="3"/>
      <c r="B2636" s="254"/>
      <c r="C2636" s="287"/>
    </row>
    <row r="2637">
      <c r="A2637" s="3"/>
      <c r="B2637" s="254"/>
      <c r="C2637" s="287"/>
    </row>
    <row r="2638">
      <c r="A2638" s="3"/>
      <c r="B2638" s="254"/>
      <c r="C2638" s="287"/>
    </row>
    <row r="2639">
      <c r="A2639" s="3"/>
      <c r="B2639" s="254"/>
      <c r="C2639" s="287"/>
    </row>
    <row r="2640">
      <c r="A2640" s="3"/>
      <c r="B2640" s="254"/>
      <c r="C2640" s="287"/>
    </row>
    <row r="2641">
      <c r="A2641" s="3"/>
      <c r="B2641" s="254"/>
      <c r="C2641" s="287"/>
    </row>
    <row r="2642">
      <c r="A2642" s="3"/>
      <c r="B2642" s="254"/>
      <c r="C2642" s="287"/>
    </row>
    <row r="2643">
      <c r="A2643" s="3"/>
      <c r="B2643" s="254"/>
      <c r="C2643" s="287"/>
    </row>
    <row r="2644">
      <c r="A2644" s="3"/>
      <c r="B2644" s="254"/>
      <c r="C2644" s="287"/>
    </row>
    <row r="2645">
      <c r="A2645" s="3"/>
      <c r="B2645" s="254"/>
      <c r="C2645" s="287"/>
    </row>
    <row r="2646">
      <c r="A2646" s="3"/>
      <c r="B2646" s="254"/>
      <c r="C2646" s="287"/>
    </row>
    <row r="2647">
      <c r="A2647" s="3"/>
      <c r="B2647" s="254"/>
      <c r="C2647" s="287"/>
    </row>
    <row r="2648">
      <c r="A2648" s="3"/>
      <c r="B2648" s="254"/>
      <c r="C2648" s="287"/>
    </row>
    <row r="2649">
      <c r="A2649" s="3"/>
      <c r="B2649" s="254"/>
      <c r="C2649" s="287"/>
    </row>
    <row r="2650">
      <c r="A2650" s="3"/>
      <c r="B2650" s="254"/>
      <c r="C2650" s="287"/>
    </row>
    <row r="2651">
      <c r="A2651" s="3"/>
      <c r="B2651" s="254"/>
      <c r="C2651" s="287"/>
    </row>
    <row r="2652">
      <c r="A2652" s="3"/>
      <c r="B2652" s="254"/>
      <c r="C2652" s="287"/>
    </row>
    <row r="2653">
      <c r="A2653" s="3"/>
      <c r="B2653" s="254"/>
      <c r="C2653" s="287"/>
    </row>
    <row r="2654">
      <c r="A2654" s="3"/>
      <c r="B2654" s="254"/>
      <c r="C2654" s="287"/>
    </row>
    <row r="2655">
      <c r="A2655" s="3"/>
      <c r="B2655" s="254"/>
      <c r="C2655" s="287"/>
    </row>
    <row r="2656">
      <c r="A2656" s="3"/>
      <c r="B2656" s="254"/>
      <c r="C2656" s="287"/>
    </row>
    <row r="2657">
      <c r="A2657" s="3"/>
      <c r="B2657" s="254"/>
      <c r="C2657" s="287"/>
    </row>
    <row r="2658">
      <c r="A2658" s="3"/>
      <c r="B2658" s="254"/>
      <c r="C2658" s="287"/>
    </row>
    <row r="2659">
      <c r="A2659" s="3"/>
      <c r="B2659" s="254"/>
      <c r="C2659" s="287"/>
    </row>
    <row r="2660">
      <c r="A2660" s="3"/>
      <c r="B2660" s="254"/>
      <c r="C2660" s="287"/>
    </row>
    <row r="2661">
      <c r="A2661" s="3"/>
      <c r="B2661" s="254"/>
      <c r="C2661" s="287"/>
    </row>
    <row r="2662">
      <c r="A2662" s="3"/>
      <c r="B2662" s="254"/>
      <c r="C2662" s="287"/>
    </row>
    <row r="2663">
      <c r="A2663" s="3"/>
      <c r="B2663" s="254"/>
      <c r="C2663" s="287"/>
    </row>
    <row r="2664">
      <c r="A2664" s="3"/>
      <c r="B2664" s="254"/>
      <c r="C2664" s="287"/>
    </row>
    <row r="2665">
      <c r="A2665" s="3"/>
      <c r="B2665" s="254"/>
      <c r="C2665" s="287"/>
    </row>
    <row r="2666">
      <c r="A2666" s="3"/>
      <c r="B2666" s="254"/>
      <c r="C2666" s="287"/>
    </row>
    <row r="2667">
      <c r="A2667" s="3"/>
      <c r="B2667" s="254"/>
      <c r="C2667" s="287"/>
    </row>
    <row r="2668">
      <c r="A2668" s="3"/>
      <c r="B2668" s="254"/>
      <c r="C2668" s="287"/>
    </row>
    <row r="2669">
      <c r="A2669" s="3"/>
      <c r="B2669" s="254"/>
      <c r="C2669" s="287"/>
    </row>
    <row r="2670">
      <c r="A2670" s="3"/>
      <c r="B2670" s="254"/>
      <c r="C2670" s="287"/>
    </row>
    <row r="2671">
      <c r="A2671" s="3"/>
      <c r="B2671" s="254"/>
      <c r="C2671" s="287"/>
    </row>
    <row r="2672">
      <c r="A2672" s="3"/>
      <c r="B2672" s="254"/>
      <c r="C2672" s="287"/>
    </row>
    <row r="2673">
      <c r="A2673" s="3"/>
      <c r="B2673" s="254"/>
      <c r="C2673" s="287"/>
    </row>
    <row r="2674">
      <c r="A2674" s="3"/>
      <c r="B2674" s="254"/>
      <c r="C2674" s="287"/>
    </row>
    <row r="2675">
      <c r="A2675" s="3"/>
      <c r="B2675" s="254"/>
      <c r="C2675" s="287"/>
    </row>
    <row r="2676">
      <c r="A2676" s="3"/>
      <c r="B2676" s="254"/>
      <c r="C2676" s="287"/>
    </row>
    <row r="2677">
      <c r="A2677" s="3"/>
      <c r="B2677" s="254"/>
      <c r="C2677" s="287"/>
    </row>
    <row r="2678">
      <c r="A2678" s="3"/>
      <c r="B2678" s="254"/>
      <c r="C2678" s="287"/>
    </row>
    <row r="2679">
      <c r="A2679" s="3"/>
      <c r="B2679" s="254"/>
      <c r="C2679" s="287"/>
    </row>
    <row r="2680">
      <c r="A2680" s="3"/>
      <c r="B2680" s="254"/>
      <c r="C2680" s="287"/>
    </row>
    <row r="2681">
      <c r="A2681" s="3"/>
      <c r="B2681" s="254"/>
      <c r="C2681" s="287"/>
    </row>
    <row r="2682">
      <c r="A2682" s="3"/>
      <c r="B2682" s="254"/>
      <c r="C2682" s="287"/>
    </row>
    <row r="2683">
      <c r="A2683" s="3"/>
      <c r="B2683" s="254"/>
      <c r="C2683" s="287"/>
    </row>
    <row r="2684">
      <c r="A2684" s="3"/>
      <c r="B2684" s="254"/>
      <c r="C2684" s="287"/>
    </row>
    <row r="2685">
      <c r="A2685" s="3"/>
      <c r="B2685" s="254"/>
      <c r="C2685" s="287"/>
    </row>
    <row r="2686">
      <c r="A2686" s="3"/>
      <c r="B2686" s="254"/>
      <c r="C2686" s="287"/>
    </row>
    <row r="2687">
      <c r="A2687" s="3"/>
      <c r="B2687" s="254"/>
      <c r="C2687" s="287"/>
    </row>
    <row r="2688">
      <c r="A2688" s="3"/>
      <c r="B2688" s="254"/>
      <c r="C2688" s="287"/>
    </row>
    <row r="2689">
      <c r="A2689" s="3"/>
      <c r="B2689" s="254"/>
      <c r="C2689" s="287"/>
    </row>
    <row r="2690">
      <c r="A2690" s="3"/>
      <c r="B2690" s="254"/>
      <c r="C2690" s="287"/>
    </row>
    <row r="2691">
      <c r="A2691" s="3"/>
      <c r="B2691" s="254"/>
      <c r="C2691" s="287"/>
    </row>
    <row r="2692">
      <c r="A2692" s="3"/>
      <c r="B2692" s="254"/>
      <c r="C2692" s="287"/>
    </row>
    <row r="2693">
      <c r="A2693" s="3"/>
      <c r="B2693" s="254"/>
      <c r="C2693" s="287"/>
    </row>
    <row r="2694">
      <c r="A2694" s="3"/>
      <c r="B2694" s="254"/>
      <c r="C2694" s="287"/>
    </row>
    <row r="2695">
      <c r="A2695" s="3"/>
      <c r="B2695" s="254"/>
      <c r="C2695" s="287"/>
    </row>
    <row r="2696">
      <c r="A2696" s="3"/>
      <c r="B2696" s="254"/>
      <c r="C2696" s="287"/>
    </row>
    <row r="2697">
      <c r="A2697" s="3"/>
      <c r="B2697" s="254"/>
      <c r="C2697" s="287"/>
    </row>
    <row r="2698">
      <c r="A2698" s="3"/>
      <c r="B2698" s="254"/>
      <c r="C2698" s="287"/>
    </row>
    <row r="2699">
      <c r="A2699" s="3"/>
      <c r="B2699" s="254"/>
      <c r="C2699" s="287"/>
    </row>
    <row r="2700">
      <c r="A2700" s="3"/>
      <c r="B2700" s="254"/>
      <c r="C2700" s="287"/>
    </row>
    <row r="2701">
      <c r="A2701" s="3"/>
      <c r="B2701" s="254"/>
      <c r="C2701" s="287"/>
    </row>
    <row r="2702">
      <c r="A2702" s="3"/>
      <c r="B2702" s="254"/>
      <c r="C2702" s="287"/>
    </row>
    <row r="2703">
      <c r="A2703" s="3"/>
      <c r="B2703" s="254"/>
      <c r="C2703" s="287"/>
    </row>
    <row r="2704">
      <c r="A2704" s="3"/>
      <c r="B2704" s="254"/>
      <c r="C2704" s="287"/>
    </row>
    <row r="2705">
      <c r="A2705" s="3"/>
      <c r="B2705" s="254"/>
      <c r="C2705" s="287"/>
    </row>
    <row r="2706">
      <c r="A2706" s="3"/>
      <c r="B2706" s="254"/>
      <c r="C2706" s="287"/>
    </row>
    <row r="2707">
      <c r="A2707" s="3"/>
      <c r="B2707" s="254"/>
      <c r="C2707" s="287"/>
    </row>
    <row r="2708">
      <c r="A2708" s="3"/>
      <c r="B2708" s="254"/>
      <c r="C2708" s="287"/>
    </row>
    <row r="2709">
      <c r="A2709" s="3"/>
      <c r="B2709" s="254"/>
      <c r="C2709" s="287"/>
    </row>
    <row r="2710">
      <c r="A2710" s="3"/>
      <c r="B2710" s="254"/>
      <c r="C2710" s="287"/>
    </row>
    <row r="2711">
      <c r="A2711" s="3"/>
      <c r="B2711" s="254"/>
      <c r="C2711" s="287"/>
    </row>
    <row r="2712">
      <c r="A2712" s="3"/>
      <c r="B2712" s="254"/>
      <c r="C2712" s="287"/>
    </row>
    <row r="2713">
      <c r="A2713" s="3"/>
      <c r="B2713" s="254"/>
      <c r="C2713" s="287"/>
    </row>
    <row r="2714">
      <c r="A2714" s="3"/>
      <c r="B2714" s="254"/>
      <c r="C2714" s="287"/>
    </row>
    <row r="2715">
      <c r="A2715" s="3"/>
      <c r="B2715" s="254"/>
      <c r="C2715" s="287"/>
    </row>
    <row r="2716">
      <c r="A2716" s="3"/>
      <c r="B2716" s="254"/>
      <c r="C2716" s="287"/>
    </row>
    <row r="2717">
      <c r="A2717" s="3"/>
      <c r="B2717" s="254"/>
      <c r="C2717" s="287"/>
    </row>
    <row r="2718">
      <c r="A2718" s="3"/>
      <c r="B2718" s="254"/>
      <c r="C2718" s="287"/>
    </row>
    <row r="2719">
      <c r="A2719" s="3"/>
      <c r="B2719" s="254"/>
      <c r="C2719" s="287"/>
    </row>
    <row r="2720">
      <c r="A2720" s="3"/>
      <c r="B2720" s="254"/>
      <c r="C2720" s="287"/>
    </row>
    <row r="2721">
      <c r="A2721" s="3"/>
      <c r="B2721" s="254"/>
      <c r="C2721" s="287"/>
    </row>
    <row r="2722">
      <c r="A2722" s="3"/>
      <c r="B2722" s="254"/>
      <c r="C2722" s="287"/>
    </row>
    <row r="2723">
      <c r="A2723" s="3"/>
      <c r="B2723" s="254"/>
      <c r="C2723" s="287"/>
    </row>
    <row r="2724">
      <c r="A2724" s="3"/>
      <c r="B2724" s="254"/>
      <c r="C2724" s="287"/>
    </row>
    <row r="2725">
      <c r="A2725" s="3"/>
      <c r="B2725" s="254"/>
      <c r="C2725" s="287"/>
    </row>
    <row r="2726">
      <c r="A2726" s="3"/>
      <c r="B2726" s="254"/>
      <c r="C2726" s="287"/>
    </row>
    <row r="2727">
      <c r="A2727" s="3"/>
      <c r="B2727" s="254"/>
      <c r="C2727" s="287"/>
    </row>
    <row r="2728">
      <c r="A2728" s="3"/>
      <c r="B2728" s="254"/>
      <c r="C2728" s="287"/>
    </row>
    <row r="2729">
      <c r="A2729" s="3"/>
      <c r="B2729" s="254"/>
      <c r="C2729" s="287"/>
    </row>
    <row r="2730">
      <c r="A2730" s="3"/>
      <c r="B2730" s="254"/>
      <c r="C2730" s="287"/>
    </row>
    <row r="2731">
      <c r="A2731" s="3"/>
      <c r="B2731" s="254"/>
      <c r="C2731" s="287"/>
    </row>
    <row r="2732">
      <c r="A2732" s="3"/>
      <c r="B2732" s="254"/>
      <c r="C2732" s="287"/>
    </row>
    <row r="2733">
      <c r="A2733" s="3"/>
      <c r="B2733" s="254"/>
      <c r="C2733" s="287"/>
    </row>
    <row r="2734">
      <c r="A2734" s="3"/>
      <c r="B2734" s="254"/>
      <c r="C2734" s="287"/>
    </row>
    <row r="2735">
      <c r="A2735" s="3"/>
      <c r="B2735" s="254"/>
      <c r="C2735" s="287"/>
    </row>
    <row r="2736">
      <c r="A2736" s="3"/>
      <c r="B2736" s="254"/>
      <c r="C2736" s="287"/>
    </row>
    <row r="2737">
      <c r="A2737" s="3"/>
      <c r="B2737" s="254"/>
      <c r="C2737" s="287"/>
    </row>
    <row r="2738">
      <c r="A2738" s="3"/>
      <c r="B2738" s="254"/>
      <c r="C2738" s="287"/>
    </row>
    <row r="2739">
      <c r="A2739" s="3"/>
      <c r="B2739" s="254"/>
      <c r="C2739" s="287"/>
    </row>
    <row r="2740">
      <c r="A2740" s="3"/>
      <c r="B2740" s="254"/>
      <c r="C2740" s="287"/>
    </row>
    <row r="2741">
      <c r="A2741" s="3"/>
      <c r="B2741" s="254"/>
      <c r="C2741" s="287"/>
    </row>
    <row r="2742">
      <c r="A2742" s="3"/>
      <c r="B2742" s="254"/>
      <c r="C2742" s="287"/>
    </row>
    <row r="2743">
      <c r="A2743" s="3"/>
      <c r="B2743" s="254"/>
      <c r="C2743" s="287"/>
    </row>
    <row r="2744">
      <c r="A2744" s="3"/>
      <c r="B2744" s="254"/>
      <c r="C2744" s="287"/>
    </row>
    <row r="2745">
      <c r="A2745" s="3"/>
      <c r="B2745" s="254"/>
      <c r="C2745" s="287"/>
    </row>
    <row r="2746">
      <c r="A2746" s="3"/>
      <c r="B2746" s="254"/>
      <c r="C2746" s="287"/>
    </row>
    <row r="2747">
      <c r="A2747" s="3"/>
      <c r="B2747" s="254"/>
      <c r="C2747" s="287"/>
    </row>
    <row r="2748">
      <c r="A2748" s="3"/>
      <c r="B2748" s="254"/>
      <c r="C2748" s="287"/>
    </row>
    <row r="2749">
      <c r="A2749" s="3"/>
      <c r="B2749" s="254"/>
      <c r="C2749" s="287"/>
    </row>
    <row r="2750">
      <c r="A2750" s="3"/>
      <c r="B2750" s="254"/>
      <c r="C2750" s="287"/>
    </row>
    <row r="2751">
      <c r="A2751" s="3"/>
      <c r="B2751" s="254"/>
      <c r="C2751" s="287"/>
    </row>
    <row r="2752">
      <c r="A2752" s="3"/>
      <c r="B2752" s="254"/>
      <c r="C2752" s="287"/>
    </row>
    <row r="2753">
      <c r="A2753" s="3"/>
      <c r="B2753" s="254"/>
      <c r="C2753" s="287"/>
    </row>
    <row r="2754">
      <c r="A2754" s="3"/>
      <c r="B2754" s="254"/>
      <c r="C2754" s="287"/>
    </row>
    <row r="2755">
      <c r="A2755" s="3"/>
      <c r="B2755" s="254"/>
      <c r="C2755" s="287"/>
    </row>
    <row r="2756">
      <c r="A2756" s="3"/>
      <c r="B2756" s="254"/>
      <c r="C2756" s="287"/>
    </row>
    <row r="2757">
      <c r="A2757" s="3"/>
      <c r="B2757" s="254"/>
      <c r="C2757" s="287"/>
    </row>
    <row r="2758">
      <c r="A2758" s="3"/>
      <c r="B2758" s="254"/>
      <c r="C2758" s="287"/>
    </row>
    <row r="2759">
      <c r="A2759" s="3"/>
      <c r="B2759" s="254"/>
      <c r="C2759" s="287"/>
    </row>
    <row r="2760">
      <c r="A2760" s="3"/>
      <c r="B2760" s="254"/>
      <c r="C2760" s="287"/>
    </row>
    <row r="2761">
      <c r="A2761" s="3"/>
      <c r="B2761" s="254"/>
      <c r="C2761" s="287"/>
    </row>
    <row r="2762">
      <c r="A2762" s="3"/>
      <c r="B2762" s="254"/>
      <c r="C2762" s="287"/>
    </row>
    <row r="2763">
      <c r="A2763" s="3"/>
      <c r="B2763" s="254"/>
      <c r="C2763" s="287"/>
    </row>
    <row r="2764">
      <c r="A2764" s="3"/>
      <c r="B2764" s="254"/>
      <c r="C2764" s="287"/>
    </row>
    <row r="2765">
      <c r="A2765" s="3"/>
      <c r="B2765" s="254"/>
      <c r="C2765" s="287"/>
    </row>
    <row r="2766">
      <c r="A2766" s="3"/>
      <c r="B2766" s="254"/>
      <c r="C2766" s="287"/>
    </row>
    <row r="2767">
      <c r="A2767" s="3"/>
      <c r="B2767" s="254"/>
      <c r="C2767" s="287"/>
    </row>
    <row r="2768">
      <c r="A2768" s="3"/>
      <c r="B2768" s="254"/>
      <c r="C2768" s="287"/>
    </row>
    <row r="2769">
      <c r="A2769" s="3"/>
      <c r="B2769" s="254"/>
      <c r="C2769" s="287"/>
    </row>
    <row r="2770">
      <c r="A2770" s="3"/>
      <c r="B2770" s="254"/>
      <c r="C2770" s="287"/>
    </row>
    <row r="2771">
      <c r="A2771" s="3"/>
      <c r="B2771" s="254"/>
      <c r="C2771" s="287"/>
    </row>
    <row r="2772">
      <c r="A2772" s="3"/>
      <c r="B2772" s="254"/>
      <c r="C2772" s="287"/>
    </row>
    <row r="2773">
      <c r="A2773" s="3"/>
      <c r="B2773" s="254"/>
      <c r="C2773" s="287"/>
    </row>
    <row r="2774">
      <c r="A2774" s="3"/>
      <c r="B2774" s="254"/>
      <c r="C2774" s="287"/>
    </row>
    <row r="2775">
      <c r="A2775" s="3"/>
      <c r="B2775" s="254"/>
      <c r="C2775" s="287"/>
    </row>
    <row r="2776">
      <c r="A2776" s="3"/>
      <c r="B2776" s="254"/>
      <c r="C2776" s="287"/>
    </row>
    <row r="2777">
      <c r="A2777" s="3"/>
      <c r="B2777" s="254"/>
      <c r="C2777" s="287"/>
    </row>
    <row r="2778">
      <c r="A2778" s="3"/>
      <c r="B2778" s="254"/>
      <c r="C2778" s="287"/>
    </row>
    <row r="2779">
      <c r="A2779" s="3"/>
      <c r="B2779" s="254"/>
      <c r="C2779" s="287"/>
    </row>
    <row r="2780">
      <c r="A2780" s="3"/>
      <c r="B2780" s="254"/>
      <c r="C2780" s="287"/>
    </row>
    <row r="2781">
      <c r="A2781" s="3"/>
      <c r="B2781" s="254"/>
      <c r="C2781" s="287"/>
    </row>
    <row r="2782">
      <c r="A2782" s="3"/>
      <c r="B2782" s="254"/>
      <c r="C2782" s="287"/>
    </row>
    <row r="2783">
      <c r="A2783" s="3"/>
      <c r="B2783" s="254"/>
      <c r="C2783" s="287"/>
    </row>
    <row r="2784">
      <c r="A2784" s="3"/>
      <c r="B2784" s="254"/>
      <c r="C2784" s="287"/>
    </row>
    <row r="2785">
      <c r="A2785" s="3"/>
      <c r="B2785" s="254"/>
      <c r="C2785" s="287"/>
    </row>
    <row r="2786">
      <c r="A2786" s="3"/>
      <c r="B2786" s="254"/>
      <c r="C2786" s="287"/>
    </row>
    <row r="2787">
      <c r="A2787" s="3"/>
      <c r="B2787" s="254"/>
      <c r="C2787" s="287"/>
    </row>
    <row r="2788">
      <c r="A2788" s="3"/>
      <c r="B2788" s="254"/>
      <c r="C2788" s="287"/>
    </row>
    <row r="2789">
      <c r="A2789" s="3"/>
      <c r="B2789" s="254"/>
      <c r="C2789" s="287"/>
    </row>
    <row r="2790">
      <c r="A2790" s="3"/>
      <c r="B2790" s="254"/>
      <c r="C2790" s="287"/>
    </row>
    <row r="2791">
      <c r="A2791" s="3"/>
      <c r="B2791" s="254"/>
      <c r="C2791" s="287"/>
    </row>
    <row r="2792">
      <c r="A2792" s="3"/>
      <c r="B2792" s="254"/>
      <c r="C2792" s="287"/>
    </row>
    <row r="2793">
      <c r="A2793" s="3"/>
      <c r="B2793" s="254"/>
      <c r="C2793" s="287"/>
    </row>
    <row r="2794">
      <c r="A2794" s="3"/>
      <c r="B2794" s="254"/>
      <c r="C2794" s="287"/>
    </row>
    <row r="2795">
      <c r="A2795" s="3"/>
      <c r="B2795" s="254"/>
      <c r="C2795" s="28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2" t="s">
        <v>607</v>
      </c>
      <c r="B1" s="292" t="s">
        <v>608</v>
      </c>
    </row>
    <row r="2">
      <c r="A2" s="255" t="s">
        <v>611</v>
      </c>
      <c r="B2" s="255" t="s">
        <v>612</v>
      </c>
    </row>
    <row r="3">
      <c r="A3" s="255" t="s">
        <v>613</v>
      </c>
      <c r="B3" s="255" t="s">
        <v>614</v>
      </c>
    </row>
    <row r="4">
      <c r="A4" s="255" t="s">
        <v>615</v>
      </c>
      <c r="B4" s="255" t="s">
        <v>616</v>
      </c>
    </row>
    <row r="5">
      <c r="A5" s="255" t="s">
        <v>617</v>
      </c>
      <c r="B5" s="255" t="s">
        <v>616</v>
      </c>
    </row>
    <row r="6">
      <c r="A6" s="255" t="s">
        <v>618</v>
      </c>
      <c r="B6" s="255" t="s">
        <v>612</v>
      </c>
    </row>
    <row r="7">
      <c r="A7" s="255" t="s">
        <v>619</v>
      </c>
      <c r="B7" s="255" t="s">
        <v>620</v>
      </c>
    </row>
    <row r="8">
      <c r="A8" s="255" t="s">
        <v>621</v>
      </c>
      <c r="B8" s="255" t="s">
        <v>622</v>
      </c>
    </row>
    <row r="9">
      <c r="A9" s="255" t="s">
        <v>623</v>
      </c>
      <c r="B9" s="255" t="s">
        <v>622</v>
      </c>
    </row>
    <row r="10">
      <c r="A10" s="255" t="s">
        <v>624</v>
      </c>
      <c r="B10" s="255" t="s">
        <v>625</v>
      </c>
    </row>
    <row r="11">
      <c r="A11" s="255" t="s">
        <v>626</v>
      </c>
      <c r="B11" s="255" t="s">
        <v>627</v>
      </c>
    </row>
    <row r="12">
      <c r="A12" s="255" t="s">
        <v>628</v>
      </c>
      <c r="B12" s="255" t="s">
        <v>629</v>
      </c>
    </row>
    <row r="13">
      <c r="A13" s="255" t="s">
        <v>630</v>
      </c>
      <c r="B13" s="255" t="s">
        <v>631</v>
      </c>
    </row>
    <row r="14">
      <c r="A14" s="255" t="s">
        <v>632</v>
      </c>
      <c r="B14" s="255" t="s">
        <v>633</v>
      </c>
    </row>
    <row r="15">
      <c r="A15" s="255" t="s">
        <v>634</v>
      </c>
      <c r="B15" s="255" t="s">
        <v>635</v>
      </c>
    </row>
    <row r="16">
      <c r="A16" s="255" t="s">
        <v>636</v>
      </c>
      <c r="B16" s="255" t="s">
        <v>637</v>
      </c>
    </row>
    <row r="17">
      <c r="A17" s="255" t="s">
        <v>638</v>
      </c>
      <c r="B17" s="255" t="s">
        <v>639</v>
      </c>
    </row>
    <row r="18">
      <c r="A18" s="255" t="s">
        <v>640</v>
      </c>
      <c r="B18" s="255" t="s">
        <v>612</v>
      </c>
    </row>
    <row r="19">
      <c r="A19" s="255" t="s">
        <v>641</v>
      </c>
      <c r="B19" s="255" t="s">
        <v>642</v>
      </c>
    </row>
    <row r="20">
      <c r="A20" s="255" t="s">
        <v>643</v>
      </c>
      <c r="B20" s="255" t="s">
        <v>644</v>
      </c>
    </row>
    <row r="21">
      <c r="A21" s="255" t="s">
        <v>645</v>
      </c>
      <c r="B21" s="255" t="s">
        <v>646</v>
      </c>
    </row>
    <row r="22">
      <c r="A22" s="255" t="s">
        <v>647</v>
      </c>
      <c r="B22" s="255" t="s">
        <v>648</v>
      </c>
    </row>
    <row r="23">
      <c r="A23" s="255" t="s">
        <v>649</v>
      </c>
      <c r="B23" s="255" t="s">
        <v>650</v>
      </c>
    </row>
    <row r="24">
      <c r="A24" s="255" t="s">
        <v>7</v>
      </c>
      <c r="B24" s="255" t="s">
        <v>651</v>
      </c>
    </row>
    <row r="25">
      <c r="A25" s="255" t="s">
        <v>652</v>
      </c>
      <c r="B25" s="255" t="s">
        <v>653</v>
      </c>
    </row>
    <row r="26">
      <c r="A26" s="255" t="s">
        <v>654</v>
      </c>
      <c r="B26" s="255" t="s">
        <v>655</v>
      </c>
    </row>
    <row r="27">
      <c r="A27" s="255" t="s">
        <v>656</v>
      </c>
      <c r="B27" s="255" t="s">
        <v>657</v>
      </c>
    </row>
    <row r="28">
      <c r="A28" s="255" t="s">
        <v>658</v>
      </c>
      <c r="B28" s="255" t="s">
        <v>659</v>
      </c>
    </row>
    <row r="29">
      <c r="A29" s="255" t="s">
        <v>660</v>
      </c>
      <c r="B29" s="255" t="s">
        <v>661</v>
      </c>
    </row>
    <row r="30">
      <c r="A30" s="255" t="s">
        <v>662</v>
      </c>
      <c r="B30" s="255" t="s">
        <v>663</v>
      </c>
    </row>
    <row r="31">
      <c r="A31" s="255" t="s">
        <v>664</v>
      </c>
      <c r="B31" s="255" t="s">
        <v>665</v>
      </c>
    </row>
    <row r="32">
      <c r="A32" s="255" t="s">
        <v>666</v>
      </c>
      <c r="B32" s="255" t="s">
        <v>667</v>
      </c>
    </row>
    <row r="33">
      <c r="A33" s="255" t="s">
        <v>668</v>
      </c>
      <c r="B33" s="255" t="s">
        <v>669</v>
      </c>
    </row>
    <row r="34">
      <c r="A34" s="255" t="s">
        <v>670</v>
      </c>
      <c r="B34" s="255" t="s">
        <v>671</v>
      </c>
    </row>
    <row r="35">
      <c r="A35" s="255" t="s">
        <v>672</v>
      </c>
      <c r="B35" s="255" t="s">
        <v>673</v>
      </c>
    </row>
    <row r="36">
      <c r="A36" s="288" t="s">
        <v>12124</v>
      </c>
      <c r="B36" s="255" t="s">
        <v>675</v>
      </c>
    </row>
    <row r="37">
      <c r="A37" s="3" t="s">
        <v>12125</v>
      </c>
      <c r="B37" s="3" t="s">
        <v>12126</v>
      </c>
    </row>
    <row r="38">
      <c r="A38" s="3" t="s">
        <v>681</v>
      </c>
      <c r="B38" s="3" t="s">
        <v>682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4" max="4" width="18.13"/>
  </cols>
  <sheetData>
    <row r="1">
      <c r="A1" s="255" t="s">
        <v>4496</v>
      </c>
      <c r="B1" s="255" t="s">
        <v>11263</v>
      </c>
      <c r="C1" s="255" t="s">
        <v>747</v>
      </c>
      <c r="D1" s="3" t="s">
        <v>12127</v>
      </c>
    </row>
    <row r="2">
      <c r="A2" s="255" t="s">
        <v>11284</v>
      </c>
      <c r="B2" s="287">
        <v>1.0</v>
      </c>
      <c r="C2" s="255"/>
    </row>
    <row r="3">
      <c r="A3" s="165" t="s">
        <v>4563</v>
      </c>
      <c r="B3" s="287">
        <v>1.0</v>
      </c>
      <c r="C3" s="255"/>
    </row>
    <row r="4">
      <c r="A4" s="165" t="s">
        <v>11290</v>
      </c>
      <c r="B4" s="287">
        <v>1.0</v>
      </c>
      <c r="C4" s="255"/>
    </row>
    <row r="5">
      <c r="A5" s="165" t="s">
        <v>12128</v>
      </c>
      <c r="B5" s="287">
        <v>1.0</v>
      </c>
      <c r="C5" s="255"/>
    </row>
    <row r="6">
      <c r="A6" s="165" t="s">
        <v>1270</v>
      </c>
      <c r="B6" s="287">
        <v>1.0</v>
      </c>
      <c r="C6" s="255"/>
    </row>
    <row r="7">
      <c r="A7" s="165" t="s">
        <v>4636</v>
      </c>
      <c r="B7" s="289">
        <v>0.0</v>
      </c>
      <c r="C7" s="287">
        <v>1395.0</v>
      </c>
    </row>
    <row r="8">
      <c r="A8" s="165" t="s">
        <v>5007</v>
      </c>
      <c r="B8" s="287">
        <v>1.0</v>
      </c>
      <c r="C8" s="255"/>
    </row>
    <row r="9">
      <c r="A9" s="165" t="s">
        <v>12129</v>
      </c>
      <c r="B9" s="287">
        <v>1.0</v>
      </c>
      <c r="C9" s="255"/>
    </row>
    <row r="10">
      <c r="A10" s="165" t="s">
        <v>9236</v>
      </c>
      <c r="B10" s="287">
        <v>1.0</v>
      </c>
      <c r="C10" s="287">
        <v>2380.0</v>
      </c>
    </row>
    <row r="11">
      <c r="A11" s="165" t="s">
        <v>1485</v>
      </c>
      <c r="B11" s="287">
        <v>1.0</v>
      </c>
      <c r="C11" s="287">
        <v>2250.0</v>
      </c>
    </row>
    <row r="12">
      <c r="A12" s="165" t="s">
        <v>8656</v>
      </c>
      <c r="B12" s="287">
        <v>1.0</v>
      </c>
      <c r="C12" s="287">
        <v>2780.0</v>
      </c>
    </row>
    <row r="13">
      <c r="A13" s="165" t="s">
        <v>8659</v>
      </c>
      <c r="B13" s="287">
        <v>1.0</v>
      </c>
      <c r="C13" s="287">
        <v>2590.0</v>
      </c>
    </row>
    <row r="14">
      <c r="A14" s="165" t="s">
        <v>8675</v>
      </c>
      <c r="B14" s="287">
        <v>1.0</v>
      </c>
      <c r="C14" s="287">
        <v>2350.0</v>
      </c>
    </row>
    <row r="15">
      <c r="A15" s="165" t="s">
        <v>8685</v>
      </c>
      <c r="B15" s="258">
        <v>1.0</v>
      </c>
      <c r="C15" s="256">
        <v>2590.0</v>
      </c>
    </row>
    <row r="16">
      <c r="A16" s="165" t="s">
        <v>8693</v>
      </c>
      <c r="B16" s="287">
        <v>1.0</v>
      </c>
      <c r="C16" s="287">
        <v>2950.0</v>
      </c>
    </row>
    <row r="17">
      <c r="A17" s="165" t="s">
        <v>8704</v>
      </c>
      <c r="B17" s="287">
        <v>1.0</v>
      </c>
      <c r="C17" s="287">
        <v>2850.0</v>
      </c>
    </row>
    <row r="18">
      <c r="A18" s="165" t="s">
        <v>11372</v>
      </c>
      <c r="B18" s="287">
        <v>1.0</v>
      </c>
      <c r="C18" s="287">
        <v>7990.0</v>
      </c>
    </row>
    <row r="19">
      <c r="A19" s="165" t="s">
        <v>11376</v>
      </c>
      <c r="B19" s="165"/>
      <c r="C19" s="165"/>
      <c r="D19" s="165"/>
      <c r="E19" s="165"/>
      <c r="F19" s="165"/>
      <c r="G19" s="165"/>
    </row>
    <row r="20">
      <c r="A20" s="165" t="s">
        <v>11382</v>
      </c>
      <c r="B20" s="287">
        <v>1.0</v>
      </c>
      <c r="C20" s="287">
        <v>7690.0</v>
      </c>
    </row>
    <row r="21">
      <c r="A21" s="165" t="s">
        <v>11382</v>
      </c>
      <c r="B21" s="287">
        <v>1.0</v>
      </c>
      <c r="C21" s="287">
        <v>7490.0</v>
      </c>
    </row>
    <row r="22">
      <c r="A22" s="165" t="s">
        <v>11382</v>
      </c>
      <c r="B22" s="258">
        <v>1.0</v>
      </c>
      <c r="C22" s="258">
        <v>7490.0</v>
      </c>
    </row>
    <row r="23">
      <c r="A23" s="165" t="s">
        <v>11383</v>
      </c>
      <c r="B23" s="287">
        <v>1.0</v>
      </c>
      <c r="C23" s="287">
        <v>7690.0</v>
      </c>
    </row>
    <row r="24">
      <c r="A24" s="165" t="s">
        <v>1802</v>
      </c>
      <c r="B24" s="287">
        <v>1.0</v>
      </c>
      <c r="C24" s="255"/>
    </row>
    <row r="25">
      <c r="A25" s="165" t="s">
        <v>11385</v>
      </c>
      <c r="B25" s="287">
        <v>1.0</v>
      </c>
      <c r="C25" s="255"/>
    </row>
    <row r="26">
      <c r="A26" s="165" t="s">
        <v>10106</v>
      </c>
      <c r="B26" s="287">
        <v>1.0</v>
      </c>
      <c r="C26" s="255"/>
    </row>
    <row r="27">
      <c r="A27" s="293" t="s">
        <v>11398</v>
      </c>
      <c r="B27" s="293" t="s">
        <v>12130</v>
      </c>
      <c r="C27" s="165"/>
    </row>
    <row r="28">
      <c r="A28" s="165" t="s">
        <v>11399</v>
      </c>
      <c r="B28" s="287">
        <v>1.0</v>
      </c>
      <c r="C28" s="255"/>
    </row>
    <row r="29">
      <c r="A29" s="165" t="s">
        <v>1835</v>
      </c>
      <c r="B29" s="287">
        <v>1.0</v>
      </c>
      <c r="C29" s="287">
        <v>7490.0</v>
      </c>
    </row>
    <row r="30">
      <c r="A30" s="165" t="s">
        <v>11795</v>
      </c>
      <c r="B30" s="287">
        <v>1.0</v>
      </c>
      <c r="C30" s="287">
        <v>5290.0</v>
      </c>
    </row>
    <row r="31">
      <c r="A31" s="165" t="s">
        <v>11404</v>
      </c>
      <c r="B31" s="287">
        <v>1.0</v>
      </c>
      <c r="C31" s="287">
        <v>5990.0</v>
      </c>
    </row>
    <row r="32">
      <c r="A32" s="165" t="s">
        <v>5118</v>
      </c>
      <c r="B32" s="289">
        <v>0.0</v>
      </c>
      <c r="C32" s="287">
        <v>8690.0</v>
      </c>
    </row>
    <row r="33">
      <c r="A33" s="165" t="s">
        <v>6654</v>
      </c>
      <c r="B33" s="289">
        <v>0.0</v>
      </c>
      <c r="C33" s="287">
        <v>5490.0</v>
      </c>
    </row>
    <row r="34">
      <c r="A34" s="165" t="s">
        <v>1867</v>
      </c>
      <c r="B34" s="287">
        <v>1.0</v>
      </c>
      <c r="C34" s="287">
        <v>4290.0</v>
      </c>
    </row>
    <row r="35">
      <c r="A35" s="165" t="s">
        <v>6660</v>
      </c>
      <c r="B35" s="288">
        <v>0.0</v>
      </c>
      <c r="C35" s="288">
        <v>4290.0</v>
      </c>
    </row>
    <row r="36">
      <c r="A36" s="165" t="s">
        <v>6193</v>
      </c>
      <c r="B36" s="3">
        <v>1.0</v>
      </c>
      <c r="C36" s="3">
        <v>6290.0</v>
      </c>
    </row>
    <row r="37">
      <c r="A37" s="273" t="s">
        <v>1895</v>
      </c>
      <c r="B37" s="3">
        <v>2.0</v>
      </c>
    </row>
    <row r="38">
      <c r="A38" s="273" t="s">
        <v>9406</v>
      </c>
      <c r="B38" s="3" t="s">
        <v>12131</v>
      </c>
    </row>
    <row r="39">
      <c r="A39" s="165" t="s">
        <v>2103</v>
      </c>
      <c r="B39" s="3">
        <v>1.0</v>
      </c>
      <c r="C39" s="3">
        <v>2990.0</v>
      </c>
    </row>
    <row r="40">
      <c r="A40" s="165" t="s">
        <v>9675</v>
      </c>
      <c r="B40" s="3">
        <v>1.0</v>
      </c>
      <c r="C40" s="3">
        <v>3290.0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4"/>
      <c r="B1" s="295" t="s">
        <v>5073</v>
      </c>
      <c r="C1" s="295" t="s">
        <v>5074</v>
      </c>
      <c r="D1" s="295" t="s">
        <v>5075</v>
      </c>
      <c r="E1" s="295" t="s">
        <v>747</v>
      </c>
      <c r="F1" s="295" t="s">
        <v>5076</v>
      </c>
      <c r="G1" s="295" t="s">
        <v>5077</v>
      </c>
    </row>
    <row r="2">
      <c r="A2" s="297">
        <v>43199.512719872684</v>
      </c>
      <c r="B2" s="298" t="s">
        <v>5184</v>
      </c>
      <c r="C2" s="298" t="s">
        <v>5804</v>
      </c>
      <c r="D2" s="298">
        <v>-1.0</v>
      </c>
      <c r="E2" s="298">
        <v>400.0</v>
      </c>
      <c r="F2" s="298" t="s">
        <v>5787</v>
      </c>
      <c r="G2" s="299">
        <v>43197.0</v>
      </c>
    </row>
    <row r="3">
      <c r="A3" s="297">
        <v>43200.442456273144</v>
      </c>
      <c r="B3" s="298" t="s">
        <v>5184</v>
      </c>
      <c r="C3" s="298" t="s">
        <v>5804</v>
      </c>
      <c r="D3" s="298">
        <v>-1.0</v>
      </c>
      <c r="E3" s="298">
        <v>300.0</v>
      </c>
      <c r="F3" s="298" t="s">
        <v>5787</v>
      </c>
      <c r="G3" s="299">
        <v>43199.0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4"/>
      <c r="B1" s="295" t="s">
        <v>5073</v>
      </c>
      <c r="C1" s="295" t="s">
        <v>5074</v>
      </c>
      <c r="D1" s="295" t="s">
        <v>5075</v>
      </c>
      <c r="E1" s="295" t="s">
        <v>747</v>
      </c>
      <c r="F1" s="295" t="s">
        <v>5076</v>
      </c>
      <c r="G1" s="295" t="s">
        <v>5077</v>
      </c>
    </row>
    <row r="2">
      <c r="A2" s="302" t="s">
        <v>12132</v>
      </c>
    </row>
  </sheetData>
  <mergeCells count="1">
    <mergeCell ref="A2:R2"/>
  </mergeCell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294"/>
      <c r="B1" s="295" t="s">
        <v>5073</v>
      </c>
      <c r="C1" s="295" t="s">
        <v>5074</v>
      </c>
      <c r="D1" s="295" t="s">
        <v>5075</v>
      </c>
      <c r="E1" s="295" t="s">
        <v>747</v>
      </c>
      <c r="F1" s="295" t="s">
        <v>5076</v>
      </c>
      <c r="G1" s="295" t="s">
        <v>5077</v>
      </c>
    </row>
    <row r="2">
      <c r="A2" s="297">
        <v>43101.562488090276</v>
      </c>
      <c r="B2" s="298" t="s">
        <v>5092</v>
      </c>
      <c r="C2" s="298" t="s">
        <v>5372</v>
      </c>
      <c r="D2" s="298">
        <v>1.0</v>
      </c>
      <c r="E2" s="298">
        <v>4590.0</v>
      </c>
      <c r="F2" s="298" t="s">
        <v>5304</v>
      </c>
      <c r="G2" s="299">
        <v>43101.0</v>
      </c>
    </row>
    <row r="3">
      <c r="A3" s="297">
        <v>43101.564814502315</v>
      </c>
      <c r="B3" s="298" t="s">
        <v>5092</v>
      </c>
      <c r="C3" s="298" t="s">
        <v>5372</v>
      </c>
      <c r="D3" s="298">
        <v>1.0</v>
      </c>
      <c r="E3" s="298">
        <v>4590.0</v>
      </c>
      <c r="F3" s="298" t="s">
        <v>5304</v>
      </c>
      <c r="G3" s="299">
        <v>43101.0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4" t="s">
        <v>12133</v>
      </c>
      <c r="B1" s="304" t="s">
        <v>12134</v>
      </c>
    </row>
    <row r="2">
      <c r="A2" s="257" t="s">
        <v>12135</v>
      </c>
      <c r="B2" s="257" t="s">
        <v>11995</v>
      </c>
    </row>
    <row r="3">
      <c r="A3" s="257" t="s">
        <v>12136</v>
      </c>
      <c r="B3" s="257" t="s">
        <v>12137</v>
      </c>
    </row>
    <row r="4">
      <c r="A4" s="257" t="s">
        <v>12138</v>
      </c>
      <c r="B4" s="257" t="s">
        <v>12138</v>
      </c>
    </row>
    <row r="5">
      <c r="A5" s="257" t="s">
        <v>11452</v>
      </c>
      <c r="B5" s="257" t="s">
        <v>11452</v>
      </c>
    </row>
    <row r="6">
      <c r="A6" s="257" t="s">
        <v>12139</v>
      </c>
      <c r="B6" s="257" t="s">
        <v>12139</v>
      </c>
    </row>
    <row r="7">
      <c r="A7" s="257" t="s">
        <v>11458</v>
      </c>
      <c r="B7" s="257" t="s">
        <v>11458</v>
      </c>
    </row>
    <row r="8">
      <c r="A8" s="257" t="s">
        <v>11459</v>
      </c>
      <c r="B8" s="257" t="s">
        <v>11459</v>
      </c>
    </row>
    <row r="9">
      <c r="A9" s="257" t="s">
        <v>11462</v>
      </c>
      <c r="B9" s="257" t="s">
        <v>11462</v>
      </c>
    </row>
    <row r="10">
      <c r="A10" s="257" t="s">
        <v>11466</v>
      </c>
      <c r="B10" s="257" t="s">
        <v>11466</v>
      </c>
    </row>
    <row r="11">
      <c r="A11" s="257" t="s">
        <v>11479</v>
      </c>
      <c r="B11" s="257" t="s">
        <v>11479</v>
      </c>
    </row>
    <row r="12">
      <c r="A12" s="257" t="s">
        <v>12140</v>
      </c>
      <c r="B12" s="257" t="s">
        <v>11480</v>
      </c>
    </row>
    <row r="13">
      <c r="A13" s="257" t="s">
        <v>12141</v>
      </c>
      <c r="B13" s="257" t="s">
        <v>12141</v>
      </c>
    </row>
    <row r="14">
      <c r="A14" s="257" t="s">
        <v>12142</v>
      </c>
      <c r="B14" s="257" t="s">
        <v>12142</v>
      </c>
    </row>
    <row r="15">
      <c r="A15" s="257" t="s">
        <v>11481</v>
      </c>
      <c r="B15" s="257" t="s">
        <v>11481</v>
      </c>
    </row>
    <row r="16">
      <c r="A16" s="257" t="s">
        <v>11482</v>
      </c>
      <c r="B16" s="257" t="s">
        <v>11482</v>
      </c>
    </row>
    <row r="17">
      <c r="A17" s="257" t="s">
        <v>11483</v>
      </c>
      <c r="B17" s="257" t="s">
        <v>11483</v>
      </c>
    </row>
    <row r="18">
      <c r="A18" s="257" t="s">
        <v>11485</v>
      </c>
      <c r="B18" s="257" t="s">
        <v>11485</v>
      </c>
    </row>
    <row r="19">
      <c r="A19" s="257" t="s">
        <v>11486</v>
      </c>
      <c r="B19" s="257" t="s">
        <v>11486</v>
      </c>
    </row>
    <row r="20">
      <c r="A20" s="257" t="s">
        <v>11487</v>
      </c>
      <c r="B20" s="257" t="s">
        <v>11487</v>
      </c>
    </row>
    <row r="21">
      <c r="A21" s="257" t="s">
        <v>12143</v>
      </c>
      <c r="B21" s="257" t="s">
        <v>12143</v>
      </c>
    </row>
    <row r="22">
      <c r="A22" s="257" t="s">
        <v>11488</v>
      </c>
      <c r="B22" s="257" t="s">
        <v>11488</v>
      </c>
    </row>
    <row r="23">
      <c r="A23" s="257" t="s">
        <v>11489</v>
      </c>
      <c r="B23" s="257" t="s">
        <v>11489</v>
      </c>
    </row>
    <row r="24">
      <c r="A24" s="257" t="s">
        <v>12144</v>
      </c>
      <c r="B24" s="257" t="s">
        <v>12144</v>
      </c>
    </row>
    <row r="25">
      <c r="A25" s="257" t="s">
        <v>11490</v>
      </c>
      <c r="B25" s="257" t="s">
        <v>11490</v>
      </c>
    </row>
    <row r="26">
      <c r="A26" s="257" t="s">
        <v>11508</v>
      </c>
      <c r="B26" s="257" t="s">
        <v>11508</v>
      </c>
    </row>
    <row r="27">
      <c r="A27" s="257" t="s">
        <v>11510</v>
      </c>
      <c r="B27" s="257" t="s">
        <v>11510</v>
      </c>
    </row>
    <row r="28">
      <c r="A28" s="257" t="s">
        <v>11511</v>
      </c>
      <c r="B28" s="257" t="s">
        <v>11511</v>
      </c>
    </row>
    <row r="29">
      <c r="A29" s="257" t="s">
        <v>11517</v>
      </c>
      <c r="B29" s="257" t="s">
        <v>11517</v>
      </c>
    </row>
    <row r="30">
      <c r="A30" s="257" t="s">
        <v>11523</v>
      </c>
      <c r="B30" s="257" t="s">
        <v>11523</v>
      </c>
    </row>
    <row r="31">
      <c r="A31" s="257" t="s">
        <v>11525</v>
      </c>
      <c r="B31" s="257" t="s">
        <v>11525</v>
      </c>
    </row>
    <row r="32">
      <c r="A32" s="257" t="s">
        <v>11552</v>
      </c>
      <c r="B32" s="257" t="s">
        <v>11552</v>
      </c>
    </row>
    <row r="33">
      <c r="A33" s="257" t="s">
        <v>11553</v>
      </c>
      <c r="B33" s="257" t="s">
        <v>12145</v>
      </c>
    </row>
    <row r="34">
      <c r="A34" s="257" t="s">
        <v>12146</v>
      </c>
      <c r="B34" s="257" t="s">
        <v>12147</v>
      </c>
    </row>
    <row r="35">
      <c r="A35" s="257" t="s">
        <v>11555</v>
      </c>
      <c r="B35" s="257" t="s">
        <v>11555</v>
      </c>
    </row>
    <row r="36">
      <c r="A36" s="257" t="s">
        <v>11557</v>
      </c>
      <c r="B36" s="257" t="s">
        <v>11557</v>
      </c>
    </row>
    <row r="37">
      <c r="A37" s="257" t="s">
        <v>11568</v>
      </c>
      <c r="B37" s="257" t="s">
        <v>11568</v>
      </c>
    </row>
    <row r="38">
      <c r="A38" s="257" t="s">
        <v>11569</v>
      </c>
      <c r="B38" s="257" t="s">
        <v>11569</v>
      </c>
    </row>
    <row r="39">
      <c r="A39" s="257" t="s">
        <v>11571</v>
      </c>
      <c r="B39" s="257" t="s">
        <v>11571</v>
      </c>
    </row>
    <row r="40">
      <c r="A40" s="257" t="s">
        <v>11574</v>
      </c>
      <c r="B40" s="257" t="s">
        <v>11574</v>
      </c>
    </row>
    <row r="41">
      <c r="A41" s="257" t="s">
        <v>11575</v>
      </c>
      <c r="B41" s="257" t="s">
        <v>11575</v>
      </c>
    </row>
    <row r="42">
      <c r="A42" s="257" t="s">
        <v>11578</v>
      </c>
      <c r="B42" s="257" t="s">
        <v>11578</v>
      </c>
    </row>
    <row r="43">
      <c r="A43" s="257" t="s">
        <v>11579</v>
      </c>
      <c r="B43" s="257" t="s">
        <v>11579</v>
      </c>
    </row>
    <row r="44">
      <c r="A44" s="257" t="s">
        <v>12148</v>
      </c>
      <c r="B44" s="257" t="s">
        <v>11580</v>
      </c>
    </row>
    <row r="45">
      <c r="A45" s="257" t="s">
        <v>12149</v>
      </c>
      <c r="B45" s="257" t="s">
        <v>11585</v>
      </c>
    </row>
    <row r="46">
      <c r="A46" s="257" t="s">
        <v>12150</v>
      </c>
      <c r="B46" s="257" t="s">
        <v>11585</v>
      </c>
    </row>
    <row r="47">
      <c r="A47" s="257" t="s">
        <v>11590</v>
      </c>
      <c r="B47" s="257" t="s">
        <v>11590</v>
      </c>
    </row>
    <row r="48">
      <c r="A48" s="257" t="s">
        <v>11591</v>
      </c>
      <c r="B48" s="257" t="s">
        <v>11591</v>
      </c>
    </row>
    <row r="49">
      <c r="A49" s="257" t="s">
        <v>11593</v>
      </c>
      <c r="B49" s="257" t="s">
        <v>11593</v>
      </c>
    </row>
    <row r="50">
      <c r="A50" s="257" t="s">
        <v>11594</v>
      </c>
      <c r="B50" s="257" t="s">
        <v>11594</v>
      </c>
    </row>
    <row r="51">
      <c r="A51" s="257" t="s">
        <v>12151</v>
      </c>
      <c r="B51" s="257" t="s">
        <v>12151</v>
      </c>
    </row>
    <row r="52">
      <c r="A52" s="257" t="s">
        <v>11602</v>
      </c>
      <c r="B52" s="257" t="s">
        <v>11602</v>
      </c>
    </row>
    <row r="53">
      <c r="A53" s="257" t="s">
        <v>11603</v>
      </c>
      <c r="B53" s="257" t="s">
        <v>11603</v>
      </c>
    </row>
    <row r="54">
      <c r="A54" s="257" t="s">
        <v>12152</v>
      </c>
      <c r="B54" s="257" t="s">
        <v>11604</v>
      </c>
    </row>
    <row r="55">
      <c r="A55" s="257" t="s">
        <v>11605</v>
      </c>
      <c r="B55" s="257" t="s">
        <v>11605</v>
      </c>
    </row>
    <row r="56">
      <c r="A56" s="257" t="s">
        <v>12153</v>
      </c>
      <c r="B56" s="257" t="s">
        <v>11607</v>
      </c>
    </row>
    <row r="57">
      <c r="A57" s="257" t="s">
        <v>12154</v>
      </c>
      <c r="B57" s="257" t="s">
        <v>11608</v>
      </c>
    </row>
    <row r="58">
      <c r="A58" s="257" t="s">
        <v>11633</v>
      </c>
      <c r="B58" s="257" t="s">
        <v>11633</v>
      </c>
    </row>
    <row r="59">
      <c r="A59" s="257" t="s">
        <v>1715</v>
      </c>
      <c r="B59" s="257" t="s">
        <v>1715</v>
      </c>
    </row>
    <row r="60">
      <c r="A60" s="257" t="s">
        <v>11657</v>
      </c>
      <c r="B60" s="257" t="s">
        <v>11657</v>
      </c>
    </row>
    <row r="61">
      <c r="A61" s="257" t="s">
        <v>6934</v>
      </c>
      <c r="B61" s="257" t="s">
        <v>6934</v>
      </c>
    </row>
    <row r="62">
      <c r="A62" s="257" t="s">
        <v>12155</v>
      </c>
      <c r="B62" s="257" t="s">
        <v>11662</v>
      </c>
    </row>
    <row r="63">
      <c r="A63" s="257" t="s">
        <v>11666</v>
      </c>
      <c r="B63" s="257" t="s">
        <v>11666</v>
      </c>
    </row>
    <row r="64">
      <c r="A64" s="257" t="s">
        <v>11685</v>
      </c>
      <c r="B64" s="257" t="s">
        <v>11685</v>
      </c>
    </row>
    <row r="65">
      <c r="A65" s="257" t="s">
        <v>11712</v>
      </c>
      <c r="B65" s="257" t="s">
        <v>11712</v>
      </c>
    </row>
    <row r="66">
      <c r="A66" s="257" t="s">
        <v>11713</v>
      </c>
      <c r="B66" s="257" t="s">
        <v>11713</v>
      </c>
    </row>
    <row r="67">
      <c r="A67" s="257" t="s">
        <v>11714</v>
      </c>
      <c r="B67" s="257" t="s">
        <v>11714</v>
      </c>
    </row>
    <row r="68">
      <c r="A68" s="257" t="s">
        <v>11715</v>
      </c>
      <c r="B68" s="257" t="s">
        <v>11715</v>
      </c>
    </row>
    <row r="69">
      <c r="A69" s="257" t="s">
        <v>11716</v>
      </c>
      <c r="B69" s="257" t="s">
        <v>11716</v>
      </c>
    </row>
    <row r="70">
      <c r="A70" s="257" t="s">
        <v>11717</v>
      </c>
      <c r="B70" s="257" t="s">
        <v>11717</v>
      </c>
    </row>
    <row r="71">
      <c r="A71" s="257" t="s">
        <v>11722</v>
      </c>
      <c r="B71" s="257" t="s">
        <v>11722</v>
      </c>
    </row>
    <row r="72">
      <c r="A72" s="257" t="s">
        <v>12156</v>
      </c>
      <c r="B72" s="257" t="s">
        <v>12156</v>
      </c>
    </row>
    <row r="73">
      <c r="A73" s="257" t="s">
        <v>11734</v>
      </c>
      <c r="B73" s="257" t="s">
        <v>11734</v>
      </c>
    </row>
    <row r="74">
      <c r="A74" s="257" t="s">
        <v>11735</v>
      </c>
      <c r="B74" s="257" t="s">
        <v>11735</v>
      </c>
    </row>
    <row r="75">
      <c r="A75" s="257" t="s">
        <v>11736</v>
      </c>
      <c r="B75" s="257" t="s">
        <v>11736</v>
      </c>
    </row>
    <row r="76">
      <c r="A76" s="257" t="s">
        <v>11737</v>
      </c>
      <c r="B76" s="257" t="s">
        <v>11737</v>
      </c>
    </row>
    <row r="77">
      <c r="A77" s="257" t="s">
        <v>11738</v>
      </c>
      <c r="B77" s="257" t="s">
        <v>11738</v>
      </c>
    </row>
    <row r="78">
      <c r="A78" s="257" t="s">
        <v>11740</v>
      </c>
      <c r="B78" s="257" t="s">
        <v>11740</v>
      </c>
    </row>
    <row r="79">
      <c r="A79" s="257" t="s">
        <v>5211</v>
      </c>
      <c r="B79" s="257" t="s">
        <v>5211</v>
      </c>
    </row>
    <row r="80">
      <c r="A80" s="257" t="s">
        <v>12157</v>
      </c>
      <c r="B80" s="257" t="s">
        <v>12157</v>
      </c>
    </row>
    <row r="81">
      <c r="A81" s="257" t="s">
        <v>11742</v>
      </c>
      <c r="B81" s="257" t="s">
        <v>11742</v>
      </c>
    </row>
    <row r="82">
      <c r="A82" s="257" t="s">
        <v>12158</v>
      </c>
      <c r="B82" s="257" t="s">
        <v>12158</v>
      </c>
    </row>
    <row r="83">
      <c r="A83" s="257" t="s">
        <v>11743</v>
      </c>
      <c r="B83" s="257" t="s">
        <v>11743</v>
      </c>
    </row>
    <row r="84">
      <c r="A84" s="257" t="s">
        <v>12159</v>
      </c>
      <c r="B84" s="257" t="s">
        <v>11744</v>
      </c>
    </row>
    <row r="85">
      <c r="A85" s="257" t="s">
        <v>11745</v>
      </c>
      <c r="B85" s="257" t="s">
        <v>11745</v>
      </c>
    </row>
    <row r="86">
      <c r="A86" s="257" t="s">
        <v>11746</v>
      </c>
      <c r="B86" s="257" t="s">
        <v>11746</v>
      </c>
    </row>
    <row r="87">
      <c r="A87" s="257" t="s">
        <v>11747</v>
      </c>
      <c r="B87" s="257" t="s">
        <v>11747</v>
      </c>
    </row>
    <row r="88">
      <c r="A88" s="257" t="s">
        <v>6301</v>
      </c>
      <c r="B88" s="257" t="s">
        <v>6301</v>
      </c>
    </row>
    <row r="89">
      <c r="A89" s="257" t="s">
        <v>11750</v>
      </c>
      <c r="B89" s="257" t="s">
        <v>11750</v>
      </c>
    </row>
    <row r="90">
      <c r="A90" s="257" t="s">
        <v>11751</v>
      </c>
      <c r="B90" s="257" t="s">
        <v>11751</v>
      </c>
    </row>
    <row r="91">
      <c r="A91" s="257" t="s">
        <v>11752</v>
      </c>
      <c r="B91" s="257" t="s">
        <v>11752</v>
      </c>
    </row>
    <row r="92">
      <c r="A92" s="257" t="s">
        <v>11754</v>
      </c>
      <c r="B92" s="257" t="s">
        <v>11754</v>
      </c>
    </row>
    <row r="93">
      <c r="A93" s="257" t="s">
        <v>11755</v>
      </c>
      <c r="B93" s="257" t="s">
        <v>11755</v>
      </c>
    </row>
    <row r="94">
      <c r="A94" s="257" t="s">
        <v>12160</v>
      </c>
      <c r="B94" s="257" t="s">
        <v>12161</v>
      </c>
    </row>
    <row r="95">
      <c r="A95" s="257" t="s">
        <v>11756</v>
      </c>
      <c r="B95" s="257" t="s">
        <v>11756</v>
      </c>
    </row>
    <row r="96">
      <c r="A96" s="257" t="s">
        <v>12162</v>
      </c>
      <c r="B96" s="257" t="s">
        <v>12162</v>
      </c>
    </row>
    <row r="97">
      <c r="A97" s="257" t="s">
        <v>11757</v>
      </c>
      <c r="B97" s="257" t="s">
        <v>11757</v>
      </c>
    </row>
    <row r="98">
      <c r="A98" s="257" t="s">
        <v>11758</v>
      </c>
      <c r="B98" s="257" t="s">
        <v>11758</v>
      </c>
    </row>
    <row r="99">
      <c r="A99" s="257" t="s">
        <v>11759</v>
      </c>
      <c r="B99" s="257" t="s">
        <v>11759</v>
      </c>
    </row>
    <row r="100">
      <c r="A100" s="257" t="s">
        <v>11760</v>
      </c>
      <c r="B100" s="257" t="s">
        <v>11760</v>
      </c>
    </row>
    <row r="101">
      <c r="A101" s="257" t="s">
        <v>12163</v>
      </c>
      <c r="B101" s="257" t="s">
        <v>11764</v>
      </c>
    </row>
    <row r="102">
      <c r="A102" s="257" t="s">
        <v>11765</v>
      </c>
      <c r="B102" s="257" t="s">
        <v>11765</v>
      </c>
    </row>
    <row r="103">
      <c r="A103" s="257" t="s">
        <v>11380</v>
      </c>
      <c r="B103" s="257" t="s">
        <v>11380</v>
      </c>
    </row>
    <row r="104">
      <c r="A104" s="257" t="s">
        <v>11769</v>
      </c>
      <c r="B104" s="257" t="s">
        <v>11769</v>
      </c>
    </row>
    <row r="105">
      <c r="A105" s="257" t="s">
        <v>1795</v>
      </c>
      <c r="B105" s="257" t="s">
        <v>1795</v>
      </c>
    </row>
    <row r="106">
      <c r="A106" s="257" t="s">
        <v>11775</v>
      </c>
      <c r="B106" s="257" t="s">
        <v>11775</v>
      </c>
    </row>
    <row r="107">
      <c r="A107" s="257" t="s">
        <v>12164</v>
      </c>
      <c r="B107" s="257" t="s">
        <v>1797</v>
      </c>
    </row>
    <row r="108">
      <c r="A108" s="257" t="s">
        <v>6636</v>
      </c>
      <c r="B108" s="257" t="s">
        <v>6636</v>
      </c>
    </row>
    <row r="109">
      <c r="A109" s="257" t="s">
        <v>1799</v>
      </c>
      <c r="B109" s="257" t="s">
        <v>1799</v>
      </c>
    </row>
    <row r="110">
      <c r="A110" s="257" t="s">
        <v>11781</v>
      </c>
      <c r="B110" s="257" t="s">
        <v>11781</v>
      </c>
    </row>
    <row r="111">
      <c r="A111" s="257" t="s">
        <v>11383</v>
      </c>
      <c r="B111" s="257" t="s">
        <v>11383</v>
      </c>
    </row>
    <row r="112">
      <c r="A112" s="257" t="s">
        <v>6639</v>
      </c>
      <c r="B112" s="257" t="s">
        <v>6639</v>
      </c>
    </row>
    <row r="113">
      <c r="A113" s="257" t="s">
        <v>12165</v>
      </c>
      <c r="B113" s="257" t="s">
        <v>11783</v>
      </c>
    </row>
    <row r="114">
      <c r="A114" s="257" t="s">
        <v>6640</v>
      </c>
      <c r="B114" s="257" t="s">
        <v>6640</v>
      </c>
    </row>
    <row r="115">
      <c r="A115" s="257" t="s">
        <v>12166</v>
      </c>
      <c r="B115" s="257" t="s">
        <v>6641</v>
      </c>
    </row>
    <row r="116">
      <c r="A116" s="257" t="s">
        <v>6641</v>
      </c>
      <c r="B116" s="257" t="s">
        <v>6641</v>
      </c>
    </row>
    <row r="117">
      <c r="A117" s="257" t="s">
        <v>12167</v>
      </c>
      <c r="B117" s="257" t="s">
        <v>11786</v>
      </c>
    </row>
    <row r="118">
      <c r="A118" s="257" t="s">
        <v>11787</v>
      </c>
      <c r="B118" s="257" t="s">
        <v>11787</v>
      </c>
    </row>
    <row r="119">
      <c r="A119" s="257" t="s">
        <v>5102</v>
      </c>
      <c r="B119" s="257" t="s">
        <v>5102</v>
      </c>
    </row>
    <row r="120">
      <c r="A120" s="257" t="s">
        <v>12168</v>
      </c>
      <c r="B120" s="257" t="s">
        <v>11388</v>
      </c>
    </row>
    <row r="121">
      <c r="A121" s="257" t="s">
        <v>11388</v>
      </c>
      <c r="B121" s="257" t="s">
        <v>11388</v>
      </c>
    </row>
    <row r="122">
      <c r="A122" s="257" t="s">
        <v>1813</v>
      </c>
      <c r="B122" s="257" t="s">
        <v>1813</v>
      </c>
    </row>
    <row r="123">
      <c r="A123" s="257" t="s">
        <v>12169</v>
      </c>
      <c r="B123" s="257" t="s">
        <v>6648</v>
      </c>
    </row>
    <row r="124">
      <c r="A124" s="257" t="s">
        <v>12170</v>
      </c>
      <c r="B124" s="257" t="s">
        <v>1815</v>
      </c>
    </row>
    <row r="125">
      <c r="A125" s="257" t="s">
        <v>11788</v>
      </c>
      <c r="B125" s="257" t="s">
        <v>11788</v>
      </c>
    </row>
    <row r="126">
      <c r="A126" s="257" t="s">
        <v>5103</v>
      </c>
      <c r="B126" s="257" t="s">
        <v>5103</v>
      </c>
    </row>
    <row r="127">
      <c r="A127" s="257" t="s">
        <v>11790</v>
      </c>
      <c r="B127" s="257" t="s">
        <v>11790</v>
      </c>
    </row>
    <row r="128">
      <c r="A128" s="257" t="s">
        <v>12171</v>
      </c>
      <c r="B128" s="257" t="s">
        <v>11790</v>
      </c>
    </row>
    <row r="129">
      <c r="A129" s="257" t="s">
        <v>12172</v>
      </c>
      <c r="B129" s="257" t="s">
        <v>7207</v>
      </c>
    </row>
    <row r="130">
      <c r="A130" s="257" t="s">
        <v>12173</v>
      </c>
      <c r="B130" s="257" t="s">
        <v>1822</v>
      </c>
    </row>
    <row r="131">
      <c r="A131" s="257" t="s">
        <v>12174</v>
      </c>
      <c r="B131" s="257" t="s">
        <v>1824</v>
      </c>
    </row>
    <row r="132">
      <c r="A132" s="257" t="s">
        <v>5106</v>
      </c>
      <c r="B132" s="257" t="s">
        <v>5106</v>
      </c>
    </row>
    <row r="133">
      <c r="A133" s="257" t="s">
        <v>12175</v>
      </c>
      <c r="B133" s="257" t="s">
        <v>1826</v>
      </c>
    </row>
    <row r="134">
      <c r="A134" s="257" t="s">
        <v>12176</v>
      </c>
      <c r="B134" s="257" t="s">
        <v>1828</v>
      </c>
    </row>
    <row r="135">
      <c r="A135" s="257" t="s">
        <v>12177</v>
      </c>
      <c r="B135" s="257" t="s">
        <v>6651</v>
      </c>
    </row>
    <row r="136">
      <c r="A136" s="257" t="s">
        <v>12178</v>
      </c>
      <c r="B136" s="257" t="s">
        <v>5107</v>
      </c>
    </row>
    <row r="137">
      <c r="A137" s="257" t="s">
        <v>12179</v>
      </c>
      <c r="B137" s="257" t="s">
        <v>1829</v>
      </c>
    </row>
    <row r="138">
      <c r="A138" s="257" t="s">
        <v>12180</v>
      </c>
      <c r="B138" s="257" t="s">
        <v>1829</v>
      </c>
    </row>
    <row r="139">
      <c r="A139" s="257" t="s">
        <v>6649</v>
      </c>
      <c r="B139" s="257" t="s">
        <v>6649</v>
      </c>
    </row>
    <row r="140">
      <c r="A140" s="257" t="s">
        <v>11793</v>
      </c>
      <c r="B140" s="257" t="s">
        <v>11793</v>
      </c>
    </row>
    <row r="141">
      <c r="A141" s="257" t="s">
        <v>12181</v>
      </c>
      <c r="B141" s="257" t="s">
        <v>1832</v>
      </c>
    </row>
    <row r="142">
      <c r="A142" s="257" t="s">
        <v>12182</v>
      </c>
      <c r="B142" s="257" t="s">
        <v>5109</v>
      </c>
    </row>
    <row r="143">
      <c r="A143" s="257" t="s">
        <v>6644</v>
      </c>
      <c r="B143" s="257" t="s">
        <v>6644</v>
      </c>
    </row>
    <row r="144">
      <c r="A144" s="257" t="s">
        <v>11397</v>
      </c>
      <c r="B144" s="257" t="s">
        <v>11397</v>
      </c>
    </row>
    <row r="145">
      <c r="A145" s="257" t="s">
        <v>1832</v>
      </c>
      <c r="B145" s="257" t="s">
        <v>1832</v>
      </c>
    </row>
    <row r="146">
      <c r="A146" s="257" t="s">
        <v>11401</v>
      </c>
      <c r="B146" s="257" t="s">
        <v>11401</v>
      </c>
    </row>
    <row r="147">
      <c r="A147" s="257" t="s">
        <v>12183</v>
      </c>
      <c r="B147" s="257" t="s">
        <v>11401</v>
      </c>
    </row>
    <row r="148">
      <c r="A148" s="257" t="s">
        <v>5110</v>
      </c>
      <c r="B148" s="257" t="s">
        <v>5110</v>
      </c>
    </row>
    <row r="149">
      <c r="A149" s="257" t="s">
        <v>12184</v>
      </c>
      <c r="B149" s="257" t="s">
        <v>6645</v>
      </c>
    </row>
    <row r="150">
      <c r="A150" s="257" t="s">
        <v>1835</v>
      </c>
      <c r="B150" s="257" t="s">
        <v>1835</v>
      </c>
    </row>
    <row r="151">
      <c r="A151" s="257" t="s">
        <v>1838</v>
      </c>
      <c r="B151" s="257" t="s">
        <v>1838</v>
      </c>
    </row>
    <row r="152">
      <c r="A152" s="257" t="s">
        <v>12185</v>
      </c>
      <c r="B152" s="257" t="s">
        <v>6652</v>
      </c>
    </row>
    <row r="153">
      <c r="A153" s="257" t="s">
        <v>1839</v>
      </c>
      <c r="B153" s="257" t="s">
        <v>1839</v>
      </c>
    </row>
    <row r="154">
      <c r="A154" s="257" t="s">
        <v>12186</v>
      </c>
      <c r="B154" s="257" t="s">
        <v>1842</v>
      </c>
    </row>
    <row r="155">
      <c r="A155" s="257" t="s">
        <v>12187</v>
      </c>
      <c r="B155" s="257" t="s">
        <v>5112</v>
      </c>
    </row>
    <row r="156">
      <c r="A156" s="257" t="s">
        <v>12188</v>
      </c>
      <c r="B156" s="257" t="s">
        <v>1843</v>
      </c>
    </row>
    <row r="157">
      <c r="A157" s="257" t="s">
        <v>6652</v>
      </c>
      <c r="B157" s="257" t="s">
        <v>6652</v>
      </c>
    </row>
    <row r="158">
      <c r="A158" s="257" t="s">
        <v>1845</v>
      </c>
      <c r="B158" s="257" t="s">
        <v>1845</v>
      </c>
    </row>
    <row r="159">
      <c r="A159" s="257" t="s">
        <v>5113</v>
      </c>
      <c r="B159" s="257" t="s">
        <v>5113</v>
      </c>
    </row>
    <row r="160">
      <c r="A160" s="257" t="s">
        <v>12189</v>
      </c>
      <c r="B160" s="257" t="s">
        <v>11404</v>
      </c>
    </row>
    <row r="161">
      <c r="A161" s="257" t="s">
        <v>12190</v>
      </c>
      <c r="B161" s="257" t="s">
        <v>1846</v>
      </c>
    </row>
    <row r="162">
      <c r="A162" s="257" t="s">
        <v>1846</v>
      </c>
      <c r="B162" s="257" t="s">
        <v>1846</v>
      </c>
    </row>
    <row r="163">
      <c r="A163" s="257" t="s">
        <v>12191</v>
      </c>
      <c r="B163" s="257" t="s">
        <v>1848</v>
      </c>
    </row>
    <row r="164">
      <c r="A164" s="257" t="s">
        <v>12192</v>
      </c>
      <c r="B164" s="257" t="s">
        <v>9337</v>
      </c>
    </row>
    <row r="165">
      <c r="A165" s="257" t="s">
        <v>1850</v>
      </c>
      <c r="B165" s="257" t="s">
        <v>1850</v>
      </c>
    </row>
    <row r="166">
      <c r="A166" s="257" t="s">
        <v>12193</v>
      </c>
      <c r="B166" s="257" t="s">
        <v>1851</v>
      </c>
    </row>
    <row r="167">
      <c r="A167" s="257" t="s">
        <v>12194</v>
      </c>
      <c r="B167" s="257" t="s">
        <v>11796</v>
      </c>
    </row>
    <row r="168">
      <c r="A168" s="257" t="s">
        <v>12195</v>
      </c>
      <c r="B168" s="257" t="s">
        <v>5114</v>
      </c>
    </row>
    <row r="169">
      <c r="A169" s="257" t="s">
        <v>12196</v>
      </c>
      <c r="B169" s="257" t="s">
        <v>1852</v>
      </c>
    </row>
    <row r="170">
      <c r="A170" s="257" t="s">
        <v>12197</v>
      </c>
      <c r="B170" s="257" t="s">
        <v>11797</v>
      </c>
    </row>
    <row r="171">
      <c r="A171" s="257" t="s">
        <v>6646</v>
      </c>
      <c r="B171" s="257" t="s">
        <v>6646</v>
      </c>
    </row>
    <row r="172">
      <c r="A172" s="257" t="s">
        <v>12198</v>
      </c>
      <c r="B172" s="257" t="s">
        <v>10106</v>
      </c>
    </row>
    <row r="173">
      <c r="A173" s="257" t="s">
        <v>7208</v>
      </c>
      <c r="B173" s="257" t="s">
        <v>7208</v>
      </c>
    </row>
    <row r="174">
      <c r="A174" s="257" t="s">
        <v>1854</v>
      </c>
      <c r="B174" s="257" t="s">
        <v>1854</v>
      </c>
    </row>
    <row r="175">
      <c r="A175" s="257" t="s">
        <v>12199</v>
      </c>
      <c r="B175" s="257" t="s">
        <v>5136</v>
      </c>
    </row>
    <row r="176">
      <c r="A176" s="257" t="s">
        <v>11799</v>
      </c>
      <c r="B176" s="257" t="s">
        <v>11799</v>
      </c>
    </row>
    <row r="177">
      <c r="A177" s="257" t="s">
        <v>12200</v>
      </c>
      <c r="B177" s="257" t="s">
        <v>11405</v>
      </c>
    </row>
    <row r="178">
      <c r="A178" s="257" t="s">
        <v>12201</v>
      </c>
      <c r="B178" s="257" t="s">
        <v>1821</v>
      </c>
    </row>
    <row r="179">
      <c r="A179" s="257" t="s">
        <v>1821</v>
      </c>
      <c r="B179" s="257" t="s">
        <v>1821</v>
      </c>
    </row>
    <row r="180">
      <c r="A180" s="257" t="s">
        <v>7206</v>
      </c>
      <c r="B180" s="257" t="s">
        <v>7206</v>
      </c>
    </row>
    <row r="181">
      <c r="A181" s="257" t="s">
        <v>11801</v>
      </c>
      <c r="B181" s="257" t="s">
        <v>11801</v>
      </c>
    </row>
    <row r="182">
      <c r="A182" s="257" t="s">
        <v>12202</v>
      </c>
      <c r="B182" s="257" t="s">
        <v>5122</v>
      </c>
    </row>
    <row r="183">
      <c r="A183" s="257" t="s">
        <v>6647</v>
      </c>
      <c r="B183" s="257" t="s">
        <v>6647</v>
      </c>
    </row>
    <row r="184">
      <c r="A184" s="257" t="s">
        <v>12203</v>
      </c>
      <c r="B184" s="257" t="s">
        <v>5125</v>
      </c>
    </row>
    <row r="185">
      <c r="A185" s="257" t="s">
        <v>11807</v>
      </c>
      <c r="B185" s="257" t="s">
        <v>11807</v>
      </c>
    </row>
    <row r="186">
      <c r="A186" s="257" t="s">
        <v>6185</v>
      </c>
      <c r="B186" s="257" t="s">
        <v>6185</v>
      </c>
    </row>
    <row r="187">
      <c r="A187" s="257" t="s">
        <v>12204</v>
      </c>
      <c r="B187" s="257" t="s">
        <v>11809</v>
      </c>
    </row>
    <row r="188">
      <c r="A188" s="257" t="s">
        <v>11809</v>
      </c>
      <c r="B188" s="257" t="s">
        <v>11809</v>
      </c>
    </row>
    <row r="189">
      <c r="A189" s="257" t="s">
        <v>5132</v>
      </c>
      <c r="B189" s="257" t="s">
        <v>5132</v>
      </c>
    </row>
    <row r="190">
      <c r="A190" s="257" t="s">
        <v>12205</v>
      </c>
      <c r="B190" s="257" t="s">
        <v>5134</v>
      </c>
    </row>
    <row r="191">
      <c r="A191" s="257" t="s">
        <v>12206</v>
      </c>
      <c r="B191" s="257" t="s">
        <v>5131</v>
      </c>
    </row>
    <row r="192">
      <c r="A192" s="257" t="s">
        <v>12207</v>
      </c>
      <c r="B192" s="257" t="s">
        <v>5131</v>
      </c>
    </row>
    <row r="193">
      <c r="A193" s="257" t="s">
        <v>12208</v>
      </c>
      <c r="B193" s="257" t="s">
        <v>6022</v>
      </c>
    </row>
    <row r="194">
      <c r="A194" s="257" t="s">
        <v>12209</v>
      </c>
      <c r="B194" s="257" t="s">
        <v>5129</v>
      </c>
    </row>
    <row r="195">
      <c r="A195" s="257" t="s">
        <v>12210</v>
      </c>
      <c r="B195" s="257" t="s">
        <v>1861</v>
      </c>
    </row>
    <row r="196">
      <c r="A196" s="257" t="s">
        <v>12211</v>
      </c>
      <c r="B196" s="257" t="s">
        <v>5130</v>
      </c>
    </row>
    <row r="197">
      <c r="A197" s="257" t="s">
        <v>1863</v>
      </c>
      <c r="B197" s="257" t="s">
        <v>1863</v>
      </c>
    </row>
    <row r="198">
      <c r="A198" s="257" t="s">
        <v>12212</v>
      </c>
      <c r="B198" s="257" t="s">
        <v>6185</v>
      </c>
    </row>
    <row r="199">
      <c r="A199" s="257" t="s">
        <v>12213</v>
      </c>
      <c r="B199" s="257" t="s">
        <v>11813</v>
      </c>
    </row>
    <row r="200">
      <c r="A200" s="257" t="s">
        <v>12214</v>
      </c>
      <c r="B200" s="257" t="s">
        <v>6654</v>
      </c>
    </row>
    <row r="201">
      <c r="A201" s="257" t="s">
        <v>6257</v>
      </c>
      <c r="B201" s="257" t="s">
        <v>6257</v>
      </c>
    </row>
    <row r="202">
      <c r="A202" s="257" t="s">
        <v>6388</v>
      </c>
      <c r="B202" s="257" t="s">
        <v>6388</v>
      </c>
    </row>
    <row r="203">
      <c r="A203" s="257" t="s">
        <v>11822</v>
      </c>
      <c r="B203" s="257" t="s">
        <v>11822</v>
      </c>
    </row>
    <row r="204">
      <c r="A204" s="257" t="s">
        <v>11829</v>
      </c>
      <c r="B204" s="257" t="s">
        <v>11829</v>
      </c>
    </row>
    <row r="205">
      <c r="A205" s="257" t="s">
        <v>12215</v>
      </c>
      <c r="B205" s="257" t="s">
        <v>6258</v>
      </c>
    </row>
    <row r="206">
      <c r="A206" s="257" t="s">
        <v>12216</v>
      </c>
      <c r="B206" s="257" t="s">
        <v>11831</v>
      </c>
    </row>
    <row r="207">
      <c r="A207" s="257" t="s">
        <v>12217</v>
      </c>
      <c r="B207" s="257" t="s">
        <v>6261</v>
      </c>
    </row>
    <row r="208">
      <c r="A208" s="257" t="s">
        <v>12218</v>
      </c>
      <c r="B208" s="257" t="s">
        <v>6492</v>
      </c>
    </row>
    <row r="209">
      <c r="A209" s="257" t="s">
        <v>12219</v>
      </c>
      <c r="B209" s="257" t="s">
        <v>1865</v>
      </c>
    </row>
    <row r="210">
      <c r="A210" s="257" t="s">
        <v>12220</v>
      </c>
      <c r="B210" s="257" t="s">
        <v>11836</v>
      </c>
    </row>
    <row r="211">
      <c r="A211" s="257" t="s">
        <v>11846</v>
      </c>
      <c r="B211" s="257" t="s">
        <v>11846</v>
      </c>
    </row>
    <row r="212">
      <c r="A212" s="257" t="s">
        <v>6659</v>
      </c>
      <c r="B212" s="257" t="s">
        <v>6659</v>
      </c>
    </row>
    <row r="213">
      <c r="A213" s="257" t="s">
        <v>12221</v>
      </c>
      <c r="B213" s="257" t="s">
        <v>6659</v>
      </c>
    </row>
    <row r="214">
      <c r="A214" s="257" t="s">
        <v>12222</v>
      </c>
      <c r="B214" s="257" t="s">
        <v>6660</v>
      </c>
    </row>
    <row r="215">
      <c r="A215" s="257" t="s">
        <v>6658</v>
      </c>
      <c r="B215" s="257" t="s">
        <v>6658</v>
      </c>
    </row>
    <row r="216">
      <c r="A216" s="257" t="s">
        <v>6661</v>
      </c>
      <c r="B216" s="257" t="s">
        <v>6661</v>
      </c>
    </row>
    <row r="217">
      <c r="A217" s="257" t="s">
        <v>12223</v>
      </c>
      <c r="B217" s="257" t="s">
        <v>11854</v>
      </c>
    </row>
    <row r="218">
      <c r="A218" s="257" t="s">
        <v>12224</v>
      </c>
      <c r="B218" s="257" t="s">
        <v>5147</v>
      </c>
    </row>
    <row r="219">
      <c r="A219" s="257" t="s">
        <v>6662</v>
      </c>
      <c r="B219" s="257" t="s">
        <v>6662</v>
      </c>
    </row>
    <row r="220">
      <c r="A220" s="257" t="s">
        <v>12225</v>
      </c>
      <c r="B220" s="257" t="s">
        <v>11863</v>
      </c>
    </row>
    <row r="221">
      <c r="A221" s="257" t="s">
        <v>11863</v>
      </c>
      <c r="B221" s="257" t="s">
        <v>11863</v>
      </c>
    </row>
    <row r="222">
      <c r="A222" s="257" t="s">
        <v>6493</v>
      </c>
      <c r="B222" s="257" t="s">
        <v>6493</v>
      </c>
    </row>
    <row r="223">
      <c r="A223" s="257" t="s">
        <v>11874</v>
      </c>
      <c r="B223" s="257" t="s">
        <v>11874</v>
      </c>
    </row>
    <row r="224">
      <c r="A224" s="257" t="s">
        <v>11415</v>
      </c>
      <c r="B224" s="257" t="s">
        <v>11415</v>
      </c>
    </row>
    <row r="225">
      <c r="A225" s="257" t="s">
        <v>11877</v>
      </c>
      <c r="B225" s="257" t="s">
        <v>11877</v>
      </c>
    </row>
    <row r="226">
      <c r="A226" s="257" t="s">
        <v>11880</v>
      </c>
      <c r="B226" s="257" t="s">
        <v>11880</v>
      </c>
    </row>
    <row r="227">
      <c r="A227" s="257" t="s">
        <v>9082</v>
      </c>
      <c r="B227" s="257" t="s">
        <v>9082</v>
      </c>
    </row>
    <row r="228">
      <c r="A228" s="257" t="s">
        <v>1880</v>
      </c>
      <c r="B228" s="257" t="s">
        <v>1880</v>
      </c>
    </row>
    <row r="229">
      <c r="A229" s="257" t="s">
        <v>6670</v>
      </c>
      <c r="B229" s="257" t="s">
        <v>6670</v>
      </c>
    </row>
    <row r="230">
      <c r="A230" s="257" t="s">
        <v>12226</v>
      </c>
      <c r="B230" s="257" t="s">
        <v>6671</v>
      </c>
    </row>
    <row r="231">
      <c r="A231" s="257" t="s">
        <v>6671</v>
      </c>
      <c r="B231" s="257" t="s">
        <v>6671</v>
      </c>
    </row>
    <row r="232">
      <c r="A232" s="257" t="s">
        <v>10124</v>
      </c>
      <c r="B232" s="257" t="s">
        <v>10124</v>
      </c>
    </row>
    <row r="233">
      <c r="A233" s="257" t="s">
        <v>6673</v>
      </c>
      <c r="B233" s="257" t="s">
        <v>6673</v>
      </c>
    </row>
    <row r="234">
      <c r="A234" s="257" t="s">
        <v>11421</v>
      </c>
      <c r="B234" s="257" t="s">
        <v>11421</v>
      </c>
    </row>
    <row r="235">
      <c r="A235" s="257" t="s">
        <v>10127</v>
      </c>
      <c r="B235" s="257" t="s">
        <v>10127</v>
      </c>
    </row>
    <row r="236">
      <c r="A236" s="257" t="s">
        <v>11900</v>
      </c>
      <c r="B236" s="257" t="s">
        <v>11900</v>
      </c>
    </row>
    <row r="237">
      <c r="A237" s="257" t="s">
        <v>6591</v>
      </c>
      <c r="B237" s="257" t="s">
        <v>6591</v>
      </c>
    </row>
    <row r="238">
      <c r="A238" s="257" t="s">
        <v>6496</v>
      </c>
      <c r="B238" s="257" t="s">
        <v>6496</v>
      </c>
    </row>
    <row r="239">
      <c r="A239" s="257" t="s">
        <v>12227</v>
      </c>
      <c r="B239" s="257" t="s">
        <v>11905</v>
      </c>
    </row>
    <row r="240">
      <c r="A240" s="257" t="s">
        <v>11904</v>
      </c>
      <c r="B240" s="257" t="s">
        <v>11904</v>
      </c>
    </row>
    <row r="241">
      <c r="A241" s="257" t="s">
        <v>11905</v>
      </c>
      <c r="B241" s="257" t="s">
        <v>11905</v>
      </c>
    </row>
    <row r="242">
      <c r="A242" s="257" t="s">
        <v>12228</v>
      </c>
      <c r="B242" s="257" t="s">
        <v>11912</v>
      </c>
    </row>
    <row r="243">
      <c r="A243" s="257" t="s">
        <v>11912</v>
      </c>
      <c r="B243" s="257" t="s">
        <v>11912</v>
      </c>
    </row>
    <row r="244">
      <c r="A244" s="257" t="s">
        <v>11914</v>
      </c>
      <c r="B244" s="257" t="s">
        <v>11914</v>
      </c>
    </row>
    <row r="245">
      <c r="A245" s="257" t="s">
        <v>11927</v>
      </c>
      <c r="B245" s="257" t="s">
        <v>11927</v>
      </c>
    </row>
    <row r="246">
      <c r="A246" s="257" t="s">
        <v>11928</v>
      </c>
      <c r="B246" s="257" t="s">
        <v>11928</v>
      </c>
    </row>
    <row r="247">
      <c r="A247" s="257" t="s">
        <v>11929</v>
      </c>
      <c r="B247" s="257" t="s">
        <v>11929</v>
      </c>
    </row>
    <row r="248">
      <c r="A248" s="257" t="s">
        <v>11933</v>
      </c>
      <c r="B248" s="257" t="s">
        <v>11933</v>
      </c>
    </row>
    <row r="249">
      <c r="A249" s="257" t="s">
        <v>11935</v>
      </c>
      <c r="B249" s="257" t="s">
        <v>11935</v>
      </c>
    </row>
    <row r="250">
      <c r="A250" s="257" t="s">
        <v>11936</v>
      </c>
      <c r="B250" s="257" t="s">
        <v>11936</v>
      </c>
    </row>
    <row r="251">
      <c r="A251" s="257" t="s">
        <v>11955</v>
      </c>
      <c r="B251" s="257" t="s">
        <v>11955</v>
      </c>
    </row>
    <row r="252">
      <c r="A252" s="257" t="s">
        <v>11956</v>
      </c>
      <c r="B252" s="257" t="s">
        <v>11956</v>
      </c>
    </row>
    <row r="253">
      <c r="A253" s="257" t="s">
        <v>12229</v>
      </c>
      <c r="B253" s="257" t="s">
        <v>12008</v>
      </c>
    </row>
    <row r="254">
      <c r="A254" s="257" t="s">
        <v>12009</v>
      </c>
      <c r="B254" s="257" t="s">
        <v>12009</v>
      </c>
    </row>
    <row r="255">
      <c r="A255" s="257" t="s">
        <v>12010</v>
      </c>
      <c r="B255" s="257" t="s">
        <v>12010</v>
      </c>
    </row>
    <row r="256">
      <c r="A256" s="257" t="s">
        <v>2046</v>
      </c>
      <c r="B256" s="257" t="s">
        <v>2046</v>
      </c>
    </row>
    <row r="257">
      <c r="A257" s="257" t="s">
        <v>12230</v>
      </c>
      <c r="B257" s="257" t="s">
        <v>12011</v>
      </c>
    </row>
    <row r="258">
      <c r="A258" s="257" t="s">
        <v>12231</v>
      </c>
      <c r="B258" s="257" t="s">
        <v>12015</v>
      </c>
    </row>
    <row r="259">
      <c r="A259" s="257" t="s">
        <v>2047</v>
      </c>
      <c r="B259" s="257" t="s">
        <v>2047</v>
      </c>
    </row>
    <row r="260">
      <c r="A260" s="257" t="s">
        <v>12232</v>
      </c>
      <c r="B260" s="257" t="s">
        <v>12016</v>
      </c>
    </row>
    <row r="261">
      <c r="A261" s="257" t="s">
        <v>12018</v>
      </c>
      <c r="B261" s="257" t="s">
        <v>12018</v>
      </c>
    </row>
    <row r="262">
      <c r="A262" s="257" t="s">
        <v>12028</v>
      </c>
      <c r="B262" s="257" t="s">
        <v>12028</v>
      </c>
    </row>
    <row r="263">
      <c r="A263" s="257" t="s">
        <v>12029</v>
      </c>
      <c r="B263" s="257" t="s">
        <v>12029</v>
      </c>
    </row>
    <row r="264">
      <c r="A264" s="257" t="s">
        <v>12233</v>
      </c>
      <c r="B264" s="257" t="s">
        <v>9999</v>
      </c>
    </row>
    <row r="265">
      <c r="A265" s="257" t="s">
        <v>12050</v>
      </c>
      <c r="B265" s="257" t="s">
        <v>12050</v>
      </c>
    </row>
    <row r="266">
      <c r="A266" s="257" t="s">
        <v>12051</v>
      </c>
      <c r="B266" s="257" t="s">
        <v>12051</v>
      </c>
    </row>
    <row r="267">
      <c r="A267" s="257" t="s">
        <v>12052</v>
      </c>
      <c r="B267" s="257" t="s">
        <v>12052</v>
      </c>
    </row>
    <row r="268">
      <c r="A268" s="257" t="s">
        <v>12058</v>
      </c>
      <c r="B268" s="257" t="s">
        <v>12058</v>
      </c>
    </row>
    <row r="269">
      <c r="A269" s="257" t="s">
        <v>12234</v>
      </c>
      <c r="B269" s="257" t="s">
        <v>12234</v>
      </c>
    </row>
    <row r="270">
      <c r="A270" s="257" t="s">
        <v>12062</v>
      </c>
      <c r="B270" s="257" t="s">
        <v>12062</v>
      </c>
    </row>
    <row r="271">
      <c r="A271" s="257" t="s">
        <v>12137</v>
      </c>
      <c r="B271" s="257" t="s">
        <v>12137</v>
      </c>
    </row>
    <row r="272">
      <c r="A272" s="257" t="s">
        <v>12063</v>
      </c>
      <c r="B272" s="257" t="s">
        <v>12063</v>
      </c>
    </row>
    <row r="273">
      <c r="A273" s="257" t="s">
        <v>12064</v>
      </c>
      <c r="B273" s="257" t="s">
        <v>12064</v>
      </c>
    </row>
    <row r="274">
      <c r="A274" s="257" t="s">
        <v>12065</v>
      </c>
      <c r="B274" s="257" t="s">
        <v>12065</v>
      </c>
    </row>
    <row r="275">
      <c r="A275" s="257" t="s">
        <v>12066</v>
      </c>
      <c r="B275" s="257" t="s">
        <v>12066</v>
      </c>
    </row>
    <row r="276">
      <c r="A276" s="257" t="s">
        <v>12074</v>
      </c>
      <c r="B276" s="257" t="s">
        <v>12074</v>
      </c>
    </row>
    <row r="277">
      <c r="A277" s="257" t="s">
        <v>5433</v>
      </c>
      <c r="B277" s="257" t="s">
        <v>12076</v>
      </c>
    </row>
    <row r="278">
      <c r="A278" s="257" t="s">
        <v>7097</v>
      </c>
      <c r="B278" s="257" t="s">
        <v>7097</v>
      </c>
    </row>
    <row r="279">
      <c r="A279" s="257" t="s">
        <v>9677</v>
      </c>
      <c r="B279" s="257" t="s">
        <v>9677</v>
      </c>
    </row>
    <row r="280">
      <c r="A280" s="257" t="s">
        <v>12077</v>
      </c>
      <c r="B280" s="257" t="s">
        <v>12077</v>
      </c>
    </row>
    <row r="281">
      <c r="A281" s="257" t="s">
        <v>2110</v>
      </c>
      <c r="B281" s="257" t="s">
        <v>2110</v>
      </c>
    </row>
    <row r="282">
      <c r="A282" s="257" t="s">
        <v>12235</v>
      </c>
      <c r="B282" s="257" t="s">
        <v>12235</v>
      </c>
    </row>
    <row r="283">
      <c r="A283" s="257" t="s">
        <v>12080</v>
      </c>
      <c r="B283" s="257" t="s">
        <v>12080</v>
      </c>
    </row>
    <row r="284">
      <c r="A284" s="257" t="s">
        <v>9675</v>
      </c>
      <c r="B284" s="257" t="s">
        <v>9675</v>
      </c>
    </row>
    <row r="285">
      <c r="A285" s="257" t="s">
        <v>12082</v>
      </c>
      <c r="B285" s="257" t="s">
        <v>12083</v>
      </c>
    </row>
    <row r="286">
      <c r="A286" s="257" t="s">
        <v>2126</v>
      </c>
      <c r="B286" s="257" t="s">
        <v>2126</v>
      </c>
    </row>
    <row r="287">
      <c r="A287" s="257" t="s">
        <v>2131</v>
      </c>
      <c r="B287" s="257" t="s">
        <v>2131</v>
      </c>
    </row>
    <row r="288">
      <c r="A288" s="257" t="s">
        <v>2129</v>
      </c>
      <c r="B288" s="257" t="s">
        <v>2129</v>
      </c>
    </row>
    <row r="289">
      <c r="A289" s="257" t="s">
        <v>12087</v>
      </c>
      <c r="B289" s="257" t="s">
        <v>12087</v>
      </c>
    </row>
    <row r="290">
      <c r="A290" s="257" t="s">
        <v>9216</v>
      </c>
      <c r="B290" s="257" t="s">
        <v>9216</v>
      </c>
    </row>
    <row r="291">
      <c r="A291" s="257" t="s">
        <v>2139</v>
      </c>
      <c r="B291" s="257" t="s">
        <v>2139</v>
      </c>
    </row>
    <row r="292">
      <c r="A292" s="257" t="s">
        <v>12094</v>
      </c>
      <c r="B292" s="257" t="s">
        <v>12096</v>
      </c>
    </row>
    <row r="293">
      <c r="A293" s="257" t="s">
        <v>12097</v>
      </c>
      <c r="B293" s="257" t="s">
        <v>12097</v>
      </c>
    </row>
    <row r="294">
      <c r="A294" s="257" t="s">
        <v>2163</v>
      </c>
      <c r="B294" s="257" t="s">
        <v>2163</v>
      </c>
    </row>
    <row r="295">
      <c r="A295" s="257" t="s">
        <v>12236</v>
      </c>
      <c r="B295" s="257" t="s">
        <v>2165</v>
      </c>
    </row>
    <row r="296">
      <c r="A296" s="257" t="s">
        <v>2169</v>
      </c>
      <c r="B296" s="257" t="s">
        <v>2169</v>
      </c>
    </row>
    <row r="297">
      <c r="A297" s="257" t="s">
        <v>12237</v>
      </c>
      <c r="B297" s="257" t="s">
        <v>5516</v>
      </c>
    </row>
    <row r="298">
      <c r="A298" s="257" t="s">
        <v>2173</v>
      </c>
      <c r="B298" s="257" t="s">
        <v>2173</v>
      </c>
    </row>
    <row r="299">
      <c r="A299" s="257" t="s">
        <v>6720</v>
      </c>
      <c r="B299" s="257" t="s">
        <v>6720</v>
      </c>
    </row>
    <row r="300">
      <c r="A300" s="257" t="s">
        <v>2180</v>
      </c>
      <c r="B300" s="257" t="s">
        <v>2180</v>
      </c>
    </row>
    <row r="301">
      <c r="A301" s="257" t="s">
        <v>5475</v>
      </c>
      <c r="B301" s="257" t="s">
        <v>5475</v>
      </c>
    </row>
    <row r="302">
      <c r="A302" s="257" t="s">
        <v>2185</v>
      </c>
      <c r="B302" s="257" t="s">
        <v>2185</v>
      </c>
    </row>
    <row r="303">
      <c r="A303" s="257" t="s">
        <v>6334</v>
      </c>
      <c r="B303" s="257" t="s">
        <v>6334</v>
      </c>
    </row>
    <row r="304">
      <c r="A304" s="257" t="s">
        <v>5489</v>
      </c>
      <c r="B304" s="257" t="s">
        <v>5489</v>
      </c>
    </row>
    <row r="305">
      <c r="A305" s="257" t="s">
        <v>5528</v>
      </c>
      <c r="B305" s="257" t="s">
        <v>5528</v>
      </c>
    </row>
    <row r="306">
      <c r="A306" s="257" t="s">
        <v>12119</v>
      </c>
      <c r="B306" s="257" t="s">
        <v>12119</v>
      </c>
    </row>
    <row r="307">
      <c r="A307" s="257" t="s">
        <v>5483</v>
      </c>
      <c r="B307" s="257" t="s">
        <v>5483</v>
      </c>
    </row>
    <row r="308">
      <c r="A308" s="257" t="s">
        <v>6344</v>
      </c>
      <c r="B308" s="257" t="s">
        <v>6344</v>
      </c>
    </row>
    <row r="309">
      <c r="A309" s="257" t="s">
        <v>11584</v>
      </c>
      <c r="B309" s="257" t="s">
        <v>11584</v>
      </c>
    </row>
    <row r="310">
      <c r="A310" s="257" t="s">
        <v>11582</v>
      </c>
      <c r="B310" s="257" t="s">
        <v>11582</v>
      </c>
    </row>
    <row r="311">
      <c r="A311" s="257" t="s">
        <v>11518</v>
      </c>
      <c r="B311" s="257" t="s">
        <v>11518</v>
      </c>
    </row>
    <row r="312">
      <c r="A312" s="257" t="s">
        <v>11820</v>
      </c>
      <c r="B312" s="257" t="s">
        <v>11820</v>
      </c>
    </row>
    <row r="313">
      <c r="A313" s="257" t="s">
        <v>11414</v>
      </c>
      <c r="B313" s="257" t="s">
        <v>11414</v>
      </c>
    </row>
    <row r="314">
      <c r="A314" s="257" t="s">
        <v>12238</v>
      </c>
      <c r="B314" s="257" t="s">
        <v>12238</v>
      </c>
    </row>
    <row r="315">
      <c r="A315" s="257" t="s">
        <v>2134</v>
      </c>
      <c r="B315" s="257" t="s">
        <v>2134</v>
      </c>
    </row>
    <row r="316">
      <c r="A316" s="257" t="s">
        <v>12239</v>
      </c>
      <c r="B316" s="257" t="s">
        <v>12239</v>
      </c>
    </row>
    <row r="317">
      <c r="A317" s="257" t="s">
        <v>11838</v>
      </c>
      <c r="B317" s="257" t="s">
        <v>11838</v>
      </c>
    </row>
    <row r="318">
      <c r="A318" s="257" t="s">
        <v>11463</v>
      </c>
      <c r="B318" s="257" t="s">
        <v>11463</v>
      </c>
    </row>
    <row r="319">
      <c r="A319" s="257" t="s">
        <v>11843</v>
      </c>
      <c r="B319" s="257" t="s">
        <v>11843</v>
      </c>
    </row>
    <row r="320">
      <c r="A320" s="257" t="s">
        <v>10104</v>
      </c>
      <c r="B320" s="257" t="s">
        <v>10104</v>
      </c>
    </row>
    <row r="321">
      <c r="A321" s="257" t="s">
        <v>11460</v>
      </c>
      <c r="B321" s="257" t="s">
        <v>11460</v>
      </c>
    </row>
    <row r="322">
      <c r="A322" s="257" t="s">
        <v>11821</v>
      </c>
      <c r="B322" s="257" t="s">
        <v>11821</v>
      </c>
    </row>
    <row r="323">
      <c r="A323" s="257" t="s">
        <v>11881</v>
      </c>
      <c r="B323" s="257" t="s">
        <v>11881</v>
      </c>
    </row>
    <row r="324">
      <c r="A324" s="257" t="s">
        <v>5454</v>
      </c>
      <c r="B324" s="257" t="s">
        <v>6354</v>
      </c>
    </row>
    <row r="325">
      <c r="A325" s="257" t="s">
        <v>12240</v>
      </c>
      <c r="B325" s="257" t="s">
        <v>11605</v>
      </c>
    </row>
    <row r="326">
      <c r="A326" s="257" t="s">
        <v>11467</v>
      </c>
      <c r="B326" s="257" t="s">
        <v>11467</v>
      </c>
    </row>
    <row r="327">
      <c r="A327" s="257" t="s">
        <v>10130</v>
      </c>
      <c r="B327" s="257" t="s">
        <v>10130</v>
      </c>
    </row>
    <row r="328">
      <c r="A328" s="257" t="s">
        <v>5121</v>
      </c>
      <c r="B328" s="257" t="s">
        <v>5121</v>
      </c>
    </row>
    <row r="329">
      <c r="A329" s="257" t="s">
        <v>12241</v>
      </c>
      <c r="B329" s="257" t="s">
        <v>12241</v>
      </c>
    </row>
    <row r="330">
      <c r="A330" s="257" t="s">
        <v>11870</v>
      </c>
      <c r="B330" s="257" t="s">
        <v>11870</v>
      </c>
    </row>
    <row r="331">
      <c r="A331" s="257" t="s">
        <v>12242</v>
      </c>
      <c r="B331" s="257" t="s">
        <v>2134</v>
      </c>
    </row>
    <row r="332">
      <c r="A332" s="257" t="s">
        <v>12243</v>
      </c>
      <c r="B332" s="257" t="s">
        <v>11830</v>
      </c>
    </row>
    <row r="333">
      <c r="A333" s="257" t="s">
        <v>12244</v>
      </c>
      <c r="B333" s="257" t="s">
        <v>12244</v>
      </c>
    </row>
    <row r="334">
      <c r="A334" s="257" t="s">
        <v>11409</v>
      </c>
      <c r="B334" s="257" t="s">
        <v>11409</v>
      </c>
    </row>
    <row r="335">
      <c r="A335" s="257" t="s">
        <v>11382</v>
      </c>
      <c r="B335" s="257" t="s">
        <v>11382</v>
      </c>
    </row>
    <row r="336">
      <c r="A336" s="257" t="s">
        <v>12245</v>
      </c>
      <c r="B336" s="257" t="s">
        <v>5704</v>
      </c>
    </row>
    <row r="337">
      <c r="A337" s="257" t="s">
        <v>11995</v>
      </c>
      <c r="B337" s="257" t="s">
        <v>11995</v>
      </c>
    </row>
    <row r="338">
      <c r="A338" s="257" t="s">
        <v>12246</v>
      </c>
      <c r="B338" s="257" t="s">
        <v>12246</v>
      </c>
    </row>
    <row r="339">
      <c r="A339" s="257" t="s">
        <v>5883</v>
      </c>
      <c r="B339" s="257" t="s">
        <v>5883</v>
      </c>
    </row>
    <row r="340">
      <c r="A340" s="257" t="s">
        <v>11798</v>
      </c>
      <c r="B340" s="257" t="s">
        <v>11798</v>
      </c>
    </row>
    <row r="341">
      <c r="A341" s="257" t="s">
        <v>11908</v>
      </c>
      <c r="B341" s="257" t="s">
        <v>11908</v>
      </c>
    </row>
    <row r="342">
      <c r="A342" s="257" t="s">
        <v>11654</v>
      </c>
      <c r="B342" s="257" t="s">
        <v>11654</v>
      </c>
    </row>
    <row r="343">
      <c r="A343" s="257" t="s">
        <v>11847</v>
      </c>
      <c r="B343" s="257" t="s">
        <v>11847</v>
      </c>
    </row>
    <row r="344">
      <c r="A344" s="257" t="s">
        <v>12247</v>
      </c>
      <c r="B344" s="257" t="s">
        <v>12247</v>
      </c>
    </row>
    <row r="345">
      <c r="A345" s="257" t="s">
        <v>12035</v>
      </c>
      <c r="B345" s="257" t="s">
        <v>12035</v>
      </c>
    </row>
    <row r="346">
      <c r="A346" s="257" t="s">
        <v>11556</v>
      </c>
      <c r="B346" s="257" t="s">
        <v>11556</v>
      </c>
    </row>
    <row r="347">
      <c r="A347" s="257" t="s">
        <v>10112</v>
      </c>
      <c r="B347" s="257" t="s">
        <v>10112</v>
      </c>
    </row>
    <row r="348">
      <c r="A348" s="257" t="s">
        <v>11551</v>
      </c>
      <c r="B348" s="257" t="s">
        <v>11551</v>
      </c>
    </row>
    <row r="349">
      <c r="A349" s="257" t="s">
        <v>11601</v>
      </c>
      <c r="B349" s="257" t="s">
        <v>11601</v>
      </c>
    </row>
    <row r="350">
      <c r="A350" s="257" t="s">
        <v>11885</v>
      </c>
      <c r="B350" s="257" t="s">
        <v>11885</v>
      </c>
    </row>
    <row r="351">
      <c r="A351" s="257" t="s">
        <v>11841</v>
      </c>
      <c r="B351" s="257" t="s">
        <v>11841</v>
      </c>
    </row>
    <row r="352">
      <c r="A352" s="257" t="s">
        <v>12248</v>
      </c>
      <c r="B352" s="257" t="s">
        <v>11760</v>
      </c>
    </row>
    <row r="353">
      <c r="A353" s="257" t="s">
        <v>12044</v>
      </c>
      <c r="B353" s="257" t="s">
        <v>12044</v>
      </c>
    </row>
    <row r="354">
      <c r="A354" s="257" t="s">
        <v>11842</v>
      </c>
      <c r="B354" s="257" t="s">
        <v>11842</v>
      </c>
    </row>
    <row r="355">
      <c r="A355" s="257" t="s">
        <v>11753</v>
      </c>
      <c r="B355" s="257" t="s">
        <v>11753</v>
      </c>
    </row>
    <row r="356">
      <c r="A356" s="257" t="s">
        <v>12013</v>
      </c>
      <c r="B356" s="257" t="s">
        <v>12013</v>
      </c>
    </row>
    <row r="357">
      <c r="A357" s="257" t="s">
        <v>12249</v>
      </c>
      <c r="B357" s="257" t="s">
        <v>11558</v>
      </c>
    </row>
    <row r="358">
      <c r="A358" s="257" t="s">
        <v>12024</v>
      </c>
      <c r="B358" s="257" t="s">
        <v>12024</v>
      </c>
    </row>
    <row r="359">
      <c r="A359" s="257" t="s">
        <v>11853</v>
      </c>
      <c r="B359" s="257" t="s">
        <v>11853</v>
      </c>
    </row>
    <row r="360">
      <c r="A360" s="257" t="s">
        <v>12086</v>
      </c>
      <c r="B360" s="257" t="s">
        <v>9678</v>
      </c>
    </row>
    <row r="361">
      <c r="A361" s="257" t="s">
        <v>5289</v>
      </c>
      <c r="B361" s="257" t="s">
        <v>5289</v>
      </c>
    </row>
    <row r="362">
      <c r="A362" s="257" t="s">
        <v>11926</v>
      </c>
      <c r="B362" s="257" t="s">
        <v>11926</v>
      </c>
    </row>
    <row r="363">
      <c r="A363" s="257" t="s">
        <v>11599</v>
      </c>
      <c r="B363" s="257" t="s">
        <v>11599</v>
      </c>
    </row>
    <row r="364">
      <c r="A364" s="257" t="s">
        <v>11898</v>
      </c>
      <c r="B364" s="257" t="s">
        <v>11898</v>
      </c>
    </row>
    <row r="365">
      <c r="A365" s="257" t="s">
        <v>12250</v>
      </c>
      <c r="B365" s="257" t="s">
        <v>12250</v>
      </c>
    </row>
    <row r="366">
      <c r="A366" s="257" t="s">
        <v>11576</v>
      </c>
      <c r="B366" s="257" t="s">
        <v>11576</v>
      </c>
    </row>
    <row r="367">
      <c r="A367" s="257" t="s">
        <v>6655</v>
      </c>
      <c r="B367" s="257" t="s">
        <v>6655</v>
      </c>
    </row>
    <row r="368">
      <c r="A368" s="257" t="s">
        <v>12251</v>
      </c>
      <c r="B368" s="257" t="s">
        <v>12251</v>
      </c>
    </row>
    <row r="369">
      <c r="A369" s="257" t="s">
        <v>12030</v>
      </c>
      <c r="B369" s="257" t="s">
        <v>12030</v>
      </c>
    </row>
    <row r="370">
      <c r="A370" s="257" t="s">
        <v>12252</v>
      </c>
      <c r="B370" s="257" t="s">
        <v>12252</v>
      </c>
    </row>
    <row r="371">
      <c r="A371" s="257" t="s">
        <v>12253</v>
      </c>
      <c r="B371" s="257" t="s">
        <v>11880</v>
      </c>
    </row>
    <row r="372">
      <c r="A372" s="257" t="s">
        <v>11695</v>
      </c>
      <c r="B372" s="257" t="s">
        <v>11695</v>
      </c>
    </row>
    <row r="373">
      <c r="A373" s="257" t="s">
        <v>11844</v>
      </c>
      <c r="B373" s="257" t="s">
        <v>11844</v>
      </c>
    </row>
    <row r="374">
      <c r="A374" s="257" t="s">
        <v>9690</v>
      </c>
      <c r="B374" s="257" t="s">
        <v>9690</v>
      </c>
    </row>
    <row r="375">
      <c r="A375" s="257" t="s">
        <v>8456</v>
      </c>
      <c r="B375" s="257" t="s">
        <v>8456</v>
      </c>
    </row>
    <row r="376">
      <c r="A376" s="257" t="s">
        <v>12254</v>
      </c>
      <c r="B376" s="257" t="s">
        <v>12254</v>
      </c>
    </row>
    <row r="377">
      <c r="A377" s="257" t="s">
        <v>11840</v>
      </c>
      <c r="B377" s="257" t="s">
        <v>11840</v>
      </c>
    </row>
    <row r="378">
      <c r="A378" s="257" t="s">
        <v>11954</v>
      </c>
      <c r="B378" s="257" t="s">
        <v>11954</v>
      </c>
    </row>
    <row r="379">
      <c r="A379" s="257" t="s">
        <v>11917</v>
      </c>
      <c r="B379" s="257" t="s">
        <v>11918</v>
      </c>
    </row>
    <row r="380">
      <c r="A380" s="257" t="s">
        <v>12255</v>
      </c>
      <c r="B380" s="257" t="s">
        <v>11672</v>
      </c>
    </row>
    <row r="381">
      <c r="A381" s="257" t="s">
        <v>10667</v>
      </c>
      <c r="B381" s="257" t="s">
        <v>10667</v>
      </c>
    </row>
    <row r="382">
      <c r="A382" s="257" t="s">
        <v>11856</v>
      </c>
      <c r="B382" s="257" t="s">
        <v>11856</v>
      </c>
    </row>
    <row r="383">
      <c r="A383" s="257" t="s">
        <v>11893</v>
      </c>
      <c r="B383" s="257" t="s">
        <v>11893</v>
      </c>
    </row>
    <row r="384">
      <c r="A384" s="257" t="s">
        <v>11689</v>
      </c>
      <c r="B384" s="257" t="s">
        <v>11689</v>
      </c>
    </row>
    <row r="385">
      <c r="A385" s="257" t="s">
        <v>11691</v>
      </c>
      <c r="B385" s="257" t="s">
        <v>11691</v>
      </c>
    </row>
    <row r="386">
      <c r="A386" s="257" t="s">
        <v>11587</v>
      </c>
      <c r="B386" s="257" t="s">
        <v>11587</v>
      </c>
    </row>
    <row r="387">
      <c r="A387" s="257" t="s">
        <v>11791</v>
      </c>
      <c r="B387" s="257" t="s">
        <v>11791</v>
      </c>
    </row>
    <row r="388">
      <c r="A388" s="257" t="s">
        <v>6871</v>
      </c>
      <c r="B388" s="257" t="s">
        <v>6871</v>
      </c>
    </row>
    <row r="389">
      <c r="A389" s="257" t="s">
        <v>11938</v>
      </c>
      <c r="B389" s="257" t="s">
        <v>11938</v>
      </c>
    </row>
    <row r="390">
      <c r="A390" s="257" t="s">
        <v>12256</v>
      </c>
      <c r="B390" s="257" t="s">
        <v>12076</v>
      </c>
    </row>
    <row r="391">
      <c r="A391" s="257" t="s">
        <v>12257</v>
      </c>
      <c r="B391" s="257" t="s">
        <v>11716</v>
      </c>
    </row>
    <row r="392">
      <c r="A392" s="257" t="s">
        <v>12258</v>
      </c>
      <c r="B392" s="257" t="s">
        <v>11517</v>
      </c>
    </row>
    <row r="393">
      <c r="A393" s="257" t="s">
        <v>11859</v>
      </c>
      <c r="B393" s="257" t="s">
        <v>11859</v>
      </c>
    </row>
    <row r="394">
      <c r="A394" s="257" t="s">
        <v>12259</v>
      </c>
      <c r="B394" s="257" t="s">
        <v>9980</v>
      </c>
    </row>
    <row r="395">
      <c r="A395" s="257" t="s">
        <v>12260</v>
      </c>
      <c r="B395" s="257" t="s">
        <v>11713</v>
      </c>
    </row>
    <row r="396">
      <c r="A396" s="257" t="s">
        <v>12261</v>
      </c>
      <c r="B396" s="257" t="s">
        <v>12261</v>
      </c>
    </row>
    <row r="397">
      <c r="A397" s="257" t="s">
        <v>11803</v>
      </c>
      <c r="B397" s="257" t="s">
        <v>11803</v>
      </c>
    </row>
    <row r="398">
      <c r="A398" s="257" t="s">
        <v>11465</v>
      </c>
      <c r="B398" s="257" t="s">
        <v>11465</v>
      </c>
    </row>
    <row r="399">
      <c r="A399" s="257" t="s">
        <v>1818</v>
      </c>
      <c r="B399" s="257" t="s">
        <v>1818</v>
      </c>
    </row>
    <row r="400">
      <c r="A400" s="257" t="s">
        <v>12262</v>
      </c>
      <c r="B400" s="257" t="s">
        <v>12262</v>
      </c>
    </row>
    <row r="401">
      <c r="A401" s="257" t="s">
        <v>5120</v>
      </c>
      <c r="B401" s="257" t="s">
        <v>5120</v>
      </c>
    </row>
    <row r="402">
      <c r="A402" s="257" t="s">
        <v>11784</v>
      </c>
      <c r="B402" s="257" t="s">
        <v>11784</v>
      </c>
    </row>
    <row r="403">
      <c r="A403" s="257" t="s">
        <v>12263</v>
      </c>
      <c r="B403" s="257" t="s">
        <v>12263</v>
      </c>
    </row>
    <row r="404">
      <c r="A404" s="257" t="s">
        <v>11768</v>
      </c>
      <c r="B404" s="257" t="s">
        <v>11768</v>
      </c>
    </row>
    <row r="405">
      <c r="A405" s="257" t="s">
        <v>11687</v>
      </c>
      <c r="B405" s="257" t="s">
        <v>11687</v>
      </c>
    </row>
    <row r="406">
      <c r="A406" s="257" t="s">
        <v>11719</v>
      </c>
      <c r="B406" s="257" t="s">
        <v>11719</v>
      </c>
    </row>
    <row r="407">
      <c r="A407" s="257" t="s">
        <v>12264</v>
      </c>
      <c r="B407" s="257" t="s">
        <v>11813</v>
      </c>
    </row>
    <row r="408">
      <c r="A408" s="257" t="s">
        <v>11636</v>
      </c>
      <c r="B408" s="257" t="s">
        <v>11636</v>
      </c>
    </row>
    <row r="409">
      <c r="A409" s="257" t="s">
        <v>11453</v>
      </c>
      <c r="B409" s="257" t="s">
        <v>11453</v>
      </c>
    </row>
    <row r="410">
      <c r="A410" s="257" t="s">
        <v>11811</v>
      </c>
      <c r="B410" s="257" t="s">
        <v>11811</v>
      </c>
    </row>
    <row r="411">
      <c r="A411" s="257" t="s">
        <v>11860</v>
      </c>
      <c r="B411" s="257" t="s">
        <v>11860</v>
      </c>
    </row>
    <row r="412">
      <c r="A412" s="257" t="s">
        <v>12265</v>
      </c>
      <c r="B412" s="257" t="s">
        <v>1715</v>
      </c>
    </row>
    <row r="413">
      <c r="A413" s="257" t="s">
        <v>12266</v>
      </c>
      <c r="B413" s="257" t="s">
        <v>6771</v>
      </c>
    </row>
    <row r="414">
      <c r="A414" s="257" t="s">
        <v>11960</v>
      </c>
      <c r="B414" s="257" t="s">
        <v>11960</v>
      </c>
    </row>
    <row r="415">
      <c r="A415" s="257" t="s">
        <v>11818</v>
      </c>
      <c r="B415" s="257" t="s">
        <v>11818</v>
      </c>
    </row>
    <row r="416">
      <c r="A416" s="257" t="s">
        <v>12267</v>
      </c>
      <c r="B416" s="257" t="s">
        <v>12267</v>
      </c>
    </row>
    <row r="417">
      <c r="A417" s="257" t="s">
        <v>11688</v>
      </c>
      <c r="B417" s="257" t="s">
        <v>11688</v>
      </c>
    </row>
    <row r="418">
      <c r="A418" s="257" t="s">
        <v>11692</v>
      </c>
      <c r="B418" s="257" t="s">
        <v>11692</v>
      </c>
    </row>
    <row r="419">
      <c r="A419" s="257" t="s">
        <v>11828</v>
      </c>
      <c r="B419" s="257" t="s">
        <v>11828</v>
      </c>
    </row>
    <row r="420">
      <c r="A420" s="257" t="s">
        <v>12268</v>
      </c>
      <c r="B420" s="257" t="s">
        <v>11760</v>
      </c>
    </row>
    <row r="421">
      <c r="A421" s="257" t="s">
        <v>11592</v>
      </c>
      <c r="B421" s="257" t="s">
        <v>11592</v>
      </c>
    </row>
    <row r="422">
      <c r="A422" s="257" t="s">
        <v>12269</v>
      </c>
      <c r="B422" s="257" t="s">
        <v>11671</v>
      </c>
    </row>
    <row r="423">
      <c r="A423" s="257" t="s">
        <v>11704</v>
      </c>
      <c r="B423" s="257" t="s">
        <v>11704</v>
      </c>
    </row>
    <row r="424">
      <c r="A424" s="257" t="s">
        <v>11868</v>
      </c>
      <c r="B424" s="257" t="s">
        <v>11868</v>
      </c>
    </row>
    <row r="425">
      <c r="A425" s="257" t="s">
        <v>11850</v>
      </c>
      <c r="B425" s="257" t="s">
        <v>11850</v>
      </c>
    </row>
    <row r="426">
      <c r="A426" s="257" t="s">
        <v>11583</v>
      </c>
      <c r="B426" s="257" t="s">
        <v>11583</v>
      </c>
    </row>
    <row r="427">
      <c r="A427" s="257" t="s">
        <v>12270</v>
      </c>
      <c r="B427" s="257" t="s">
        <v>12270</v>
      </c>
    </row>
    <row r="428">
      <c r="A428" s="257" t="s">
        <v>12271</v>
      </c>
      <c r="B428" s="257" t="s">
        <v>11698</v>
      </c>
    </row>
    <row r="429">
      <c r="A429" s="257" t="s">
        <v>11698</v>
      </c>
      <c r="B429" s="257" t="s">
        <v>11698</v>
      </c>
    </row>
    <row r="430">
      <c r="A430" s="257" t="s">
        <v>8283</v>
      </c>
      <c r="B430" s="257" t="s">
        <v>8283</v>
      </c>
    </row>
    <row r="431">
      <c r="A431" s="257" t="s">
        <v>12272</v>
      </c>
      <c r="B431" s="257" t="s">
        <v>12272</v>
      </c>
    </row>
    <row r="432">
      <c r="A432" s="257" t="s">
        <v>12031</v>
      </c>
      <c r="B432" s="257" t="s">
        <v>12031</v>
      </c>
    </row>
    <row r="433">
      <c r="A433" s="257" t="s">
        <v>12273</v>
      </c>
      <c r="B433" s="257" t="s">
        <v>9676</v>
      </c>
    </row>
    <row r="434">
      <c r="A434" s="257" t="s">
        <v>5118</v>
      </c>
      <c r="B434" s="257" t="s">
        <v>5118</v>
      </c>
    </row>
    <row r="435">
      <c r="A435" s="257" t="s">
        <v>11805</v>
      </c>
      <c r="B435" s="257" t="s">
        <v>11805</v>
      </c>
    </row>
    <row r="436">
      <c r="A436" s="257" t="s">
        <v>7099</v>
      </c>
      <c r="B436" s="257" t="s">
        <v>7099</v>
      </c>
    </row>
    <row r="437">
      <c r="A437" s="257" t="s">
        <v>11762</v>
      </c>
      <c r="B437" s="257" t="s">
        <v>11762</v>
      </c>
    </row>
    <row r="438">
      <c r="A438" s="257" t="s">
        <v>12274</v>
      </c>
      <c r="B438" s="257" t="s">
        <v>11673</v>
      </c>
    </row>
    <row r="439">
      <c r="A439" s="257" t="s">
        <v>11873</v>
      </c>
      <c r="B439" s="257" t="s">
        <v>11873</v>
      </c>
    </row>
    <row r="440">
      <c r="A440" s="257" t="s">
        <v>5143</v>
      </c>
      <c r="B440" s="257" t="s">
        <v>5143</v>
      </c>
    </row>
    <row r="441">
      <c r="A441" s="257" t="s">
        <v>11923</v>
      </c>
      <c r="B441" s="257" t="s">
        <v>11923</v>
      </c>
    </row>
    <row r="442">
      <c r="A442" s="257" t="s">
        <v>12275</v>
      </c>
      <c r="B442" s="257" t="s">
        <v>11554</v>
      </c>
    </row>
    <row r="443">
      <c r="A443" s="257" t="s">
        <v>12276</v>
      </c>
      <c r="B443" s="257" t="s">
        <v>12276</v>
      </c>
    </row>
    <row r="444">
      <c r="A444" s="257" t="s">
        <v>11644</v>
      </c>
      <c r="B444" s="257" t="s">
        <v>11644</v>
      </c>
    </row>
    <row r="445">
      <c r="A445" s="257" t="s">
        <v>11589</v>
      </c>
      <c r="B445" s="257" t="s">
        <v>11589</v>
      </c>
    </row>
    <row r="446">
      <c r="A446" s="257" t="s">
        <v>11461</v>
      </c>
      <c r="B446" s="257" t="s">
        <v>11461</v>
      </c>
    </row>
    <row r="447">
      <c r="A447" s="257" t="s">
        <v>11858</v>
      </c>
      <c r="B447" s="257" t="s">
        <v>11858</v>
      </c>
    </row>
    <row r="448">
      <c r="A448" s="257" t="s">
        <v>11817</v>
      </c>
      <c r="B448" s="257" t="s">
        <v>11817</v>
      </c>
    </row>
    <row r="449">
      <c r="A449" s="257" t="s">
        <v>1785</v>
      </c>
      <c r="B449" s="257" t="s">
        <v>1785</v>
      </c>
    </row>
    <row r="450">
      <c r="A450" s="257" t="s">
        <v>6653</v>
      </c>
      <c r="B450" s="257" t="s">
        <v>6653</v>
      </c>
    </row>
    <row r="451">
      <c r="A451" s="257" t="s">
        <v>11649</v>
      </c>
      <c r="B451" s="257" t="s">
        <v>11649</v>
      </c>
    </row>
    <row r="452">
      <c r="A452" s="257" t="s">
        <v>11869</v>
      </c>
      <c r="B452" s="257" t="s">
        <v>11869</v>
      </c>
    </row>
    <row r="453">
      <c r="A453" s="257" t="s">
        <v>11824</v>
      </c>
      <c r="B453" s="257" t="s">
        <v>11824</v>
      </c>
    </row>
    <row r="454">
      <c r="A454" s="257" t="s">
        <v>11648</v>
      </c>
      <c r="B454" s="257" t="s">
        <v>11648</v>
      </c>
    </row>
    <row r="455">
      <c r="A455" s="257" t="s">
        <v>11521</v>
      </c>
      <c r="B455" s="257" t="s">
        <v>11521</v>
      </c>
    </row>
    <row r="456">
      <c r="A456" s="257" t="s">
        <v>6834</v>
      </c>
      <c r="B456" s="257" t="s">
        <v>6834</v>
      </c>
    </row>
    <row r="457">
      <c r="A457" s="257" t="s">
        <v>6264</v>
      </c>
      <c r="B457" s="257" t="s">
        <v>6264</v>
      </c>
    </row>
    <row r="458">
      <c r="A458" s="257" t="s">
        <v>11468</v>
      </c>
      <c r="B458" s="257" t="s">
        <v>11468</v>
      </c>
    </row>
    <row r="459">
      <c r="A459" s="257" t="s">
        <v>12277</v>
      </c>
      <c r="B459" s="257" t="s">
        <v>11646</v>
      </c>
    </row>
    <row r="460">
      <c r="A460" s="257" t="s">
        <v>11670</v>
      </c>
      <c r="B460" s="257" t="s">
        <v>11670</v>
      </c>
    </row>
    <row r="461">
      <c r="A461" s="257" t="s">
        <v>11837</v>
      </c>
      <c r="B461" s="257" t="s">
        <v>11837</v>
      </c>
    </row>
    <row r="462">
      <c r="A462" s="257" t="s">
        <v>11834</v>
      </c>
      <c r="B462" s="257" t="s">
        <v>11834</v>
      </c>
    </row>
    <row r="463">
      <c r="A463" s="257" t="s">
        <v>11730</v>
      </c>
      <c r="B463" s="257" t="s">
        <v>11730</v>
      </c>
    </row>
    <row r="464">
      <c r="A464" s="257" t="s">
        <v>11845</v>
      </c>
      <c r="B464" s="257" t="s">
        <v>11845</v>
      </c>
    </row>
    <row r="465">
      <c r="A465" s="257" t="s">
        <v>12278</v>
      </c>
      <c r="B465" s="257" t="s">
        <v>12278</v>
      </c>
    </row>
    <row r="466">
      <c r="A466" s="257" t="s">
        <v>12279</v>
      </c>
      <c r="B466" s="257" t="s">
        <v>11662</v>
      </c>
    </row>
    <row r="467">
      <c r="A467" s="257" t="s">
        <v>11810</v>
      </c>
      <c r="B467" s="257" t="s">
        <v>11810</v>
      </c>
    </row>
    <row r="468">
      <c r="A468" s="257" t="s">
        <v>11947</v>
      </c>
      <c r="B468" s="257" t="s">
        <v>11947</v>
      </c>
    </row>
    <row r="469">
      <c r="A469" s="257" t="s">
        <v>11946</v>
      </c>
      <c r="B469" s="257" t="s">
        <v>11946</v>
      </c>
    </row>
    <row r="470">
      <c r="A470" s="257" t="s">
        <v>11690</v>
      </c>
      <c r="B470" s="257" t="s">
        <v>11690</v>
      </c>
    </row>
    <row r="471">
      <c r="A471" s="257" t="s">
        <v>11866</v>
      </c>
      <c r="B471" s="257" t="s">
        <v>11866</v>
      </c>
    </row>
    <row r="472">
      <c r="A472" s="257" t="s">
        <v>11457</v>
      </c>
      <c r="B472" s="257" t="s">
        <v>11457</v>
      </c>
    </row>
    <row r="473">
      <c r="A473" s="257" t="s">
        <v>12280</v>
      </c>
      <c r="B473" s="257" t="s">
        <v>9426</v>
      </c>
    </row>
    <row r="474">
      <c r="A474" s="257" t="s">
        <v>11944</v>
      </c>
      <c r="B474" s="257" t="s">
        <v>11944</v>
      </c>
    </row>
    <row r="475">
      <c r="A475" s="257" t="s">
        <v>11721</v>
      </c>
      <c r="B475" s="257" t="s">
        <v>11721</v>
      </c>
    </row>
    <row r="476">
      <c r="A476" s="257" t="s">
        <v>11739</v>
      </c>
      <c r="B476" s="257" t="s">
        <v>11739</v>
      </c>
    </row>
    <row r="477">
      <c r="A477" s="257" t="s">
        <v>12281</v>
      </c>
      <c r="B477" s="257" t="s">
        <v>6487</v>
      </c>
    </row>
    <row r="478">
      <c r="A478" s="257" t="s">
        <v>12282</v>
      </c>
      <c r="B478" s="257" t="s">
        <v>11888</v>
      </c>
    </row>
    <row r="479">
      <c r="A479" s="257" t="s">
        <v>12283</v>
      </c>
      <c r="B479" s="257" t="s">
        <v>11725</v>
      </c>
    </row>
    <row r="480">
      <c r="A480" s="257" t="s">
        <v>11725</v>
      </c>
      <c r="B480" s="257" t="s">
        <v>11725</v>
      </c>
    </row>
    <row r="481">
      <c r="A481" s="257" t="s">
        <v>11748</v>
      </c>
      <c r="B481" s="257" t="s">
        <v>11748</v>
      </c>
    </row>
    <row r="482">
      <c r="A482" s="257" t="s">
        <v>6661</v>
      </c>
      <c r="B482" s="257" t="s">
        <v>6661</v>
      </c>
    </row>
    <row r="483">
      <c r="A483" s="257" t="s">
        <v>11586</v>
      </c>
      <c r="B483" s="257" t="s">
        <v>11586</v>
      </c>
    </row>
    <row r="484">
      <c r="A484" s="257" t="s">
        <v>5148</v>
      </c>
      <c r="B484" s="257" t="s">
        <v>5148</v>
      </c>
    </row>
    <row r="485">
      <c r="A485" s="257" t="s">
        <v>1867</v>
      </c>
      <c r="B485" s="257" t="s">
        <v>1867</v>
      </c>
    </row>
    <row r="486">
      <c r="A486" s="257" t="s">
        <v>1882</v>
      </c>
      <c r="B486" s="257" t="s">
        <v>1882</v>
      </c>
    </row>
    <row r="487">
      <c r="A487" s="257" t="s">
        <v>12284</v>
      </c>
      <c r="B487" s="257" t="s">
        <v>10117</v>
      </c>
    </row>
    <row r="488">
      <c r="A488" s="257" t="s">
        <v>11911</v>
      </c>
      <c r="B488" s="257" t="s">
        <v>11911</v>
      </c>
    </row>
    <row r="489">
      <c r="A489" s="257" t="s">
        <v>11948</v>
      </c>
      <c r="B489" s="257" t="s">
        <v>11948</v>
      </c>
    </row>
    <row r="490">
      <c r="A490" s="257" t="s">
        <v>11951</v>
      </c>
      <c r="B490" s="257" t="s">
        <v>11951</v>
      </c>
    </row>
    <row r="491">
      <c r="A491" s="257" t="s">
        <v>11895</v>
      </c>
      <c r="B491" s="257" t="s">
        <v>11895</v>
      </c>
    </row>
    <row r="492">
      <c r="A492" s="257" t="s">
        <v>9980</v>
      </c>
      <c r="B492" s="257" t="s">
        <v>9980</v>
      </c>
    </row>
    <row r="493">
      <c r="A493" s="257" t="s">
        <v>11857</v>
      </c>
      <c r="B493" s="257" t="s">
        <v>11857</v>
      </c>
    </row>
    <row r="494">
      <c r="A494" s="257" t="s">
        <v>12285</v>
      </c>
      <c r="B494" s="257" t="s">
        <v>11891</v>
      </c>
    </row>
    <row r="495">
      <c r="A495" s="257" t="s">
        <v>11867</v>
      </c>
      <c r="B495" s="257" t="s">
        <v>11867</v>
      </c>
    </row>
    <row r="496">
      <c r="A496" s="257" t="s">
        <v>11864</v>
      </c>
      <c r="B496" s="257" t="s">
        <v>11864</v>
      </c>
    </row>
    <row r="497">
      <c r="A497" s="257" t="s">
        <v>6656</v>
      </c>
      <c r="B497" s="257" t="s">
        <v>6656</v>
      </c>
    </row>
    <row r="498">
      <c r="A498" s="257" t="s">
        <v>10133</v>
      </c>
      <c r="B498" s="257" t="s">
        <v>10133</v>
      </c>
    </row>
    <row r="499">
      <c r="A499" s="257" t="s">
        <v>11804</v>
      </c>
      <c r="B499" s="257" t="s">
        <v>11804</v>
      </c>
    </row>
    <row r="500">
      <c r="A500" s="257" t="s">
        <v>11826</v>
      </c>
      <c r="B500" s="257" t="s">
        <v>11826</v>
      </c>
    </row>
    <row r="501">
      <c r="A501" s="257" t="s">
        <v>11655</v>
      </c>
      <c r="B501" s="257" t="s">
        <v>11655</v>
      </c>
    </row>
    <row r="502">
      <c r="A502" s="257" t="s">
        <v>11909</v>
      </c>
      <c r="B502" s="257" t="s">
        <v>11909</v>
      </c>
    </row>
    <row r="503">
      <c r="A503" s="257" t="s">
        <v>12286</v>
      </c>
      <c r="B503" s="257" t="s">
        <v>11910</v>
      </c>
    </row>
    <row r="504">
      <c r="A504" s="257" t="s">
        <v>5154</v>
      </c>
      <c r="B504" s="257" t="s">
        <v>5154</v>
      </c>
    </row>
    <row r="505">
      <c r="A505" s="257" t="s">
        <v>11894</v>
      </c>
      <c r="B505" s="257" t="s">
        <v>11894</v>
      </c>
    </row>
    <row r="506">
      <c r="A506" s="257" t="s">
        <v>11879</v>
      </c>
      <c r="B506" s="257" t="s">
        <v>11879</v>
      </c>
    </row>
    <row r="507">
      <c r="A507" s="257" t="s">
        <v>6262</v>
      </c>
      <c r="B507" s="257" t="s">
        <v>6262</v>
      </c>
    </row>
    <row r="508">
      <c r="A508" s="257" t="s">
        <v>11889</v>
      </c>
      <c r="B508" s="257" t="s">
        <v>11889</v>
      </c>
    </row>
    <row r="509">
      <c r="A509" s="257" t="s">
        <v>6260</v>
      </c>
      <c r="B509" s="257" t="s">
        <v>6260</v>
      </c>
    </row>
    <row r="510">
      <c r="A510" s="257" t="s">
        <v>11876</v>
      </c>
      <c r="B510" s="257" t="s">
        <v>11876</v>
      </c>
    </row>
    <row r="511">
      <c r="A511" s="257" t="s">
        <v>6489</v>
      </c>
      <c r="B511" s="257" t="s">
        <v>6489</v>
      </c>
    </row>
    <row r="512">
      <c r="A512" s="257" t="s">
        <v>6487</v>
      </c>
      <c r="B512" s="257" t="s">
        <v>6487</v>
      </c>
    </row>
    <row r="513">
      <c r="A513" s="257" t="s">
        <v>9979</v>
      </c>
      <c r="B513" s="257" t="s">
        <v>9979</v>
      </c>
    </row>
    <row r="514">
      <c r="A514" s="257" t="s">
        <v>11567</v>
      </c>
      <c r="B514" s="257" t="s">
        <v>11567</v>
      </c>
    </row>
    <row r="515">
      <c r="A515" s="257" t="s">
        <v>12287</v>
      </c>
      <c r="B515" s="257" t="s">
        <v>12287</v>
      </c>
    </row>
    <row r="516">
      <c r="A516" s="257" t="s">
        <v>11952</v>
      </c>
      <c r="B516" s="257" t="s">
        <v>11952</v>
      </c>
    </row>
    <row r="517">
      <c r="A517" s="257" t="s">
        <v>11950</v>
      </c>
      <c r="B517" s="257" t="s">
        <v>11950</v>
      </c>
    </row>
    <row r="518">
      <c r="A518" s="257" t="s">
        <v>1884</v>
      </c>
      <c r="B518" s="257" t="s">
        <v>1884</v>
      </c>
    </row>
    <row r="519">
      <c r="A519" s="257" t="s">
        <v>12288</v>
      </c>
      <c r="B519" s="257" t="s">
        <v>11897</v>
      </c>
    </row>
    <row r="520">
      <c r="A520" s="257" t="s">
        <v>11896</v>
      </c>
      <c r="B520" s="257" t="s">
        <v>11896</v>
      </c>
    </row>
    <row r="521">
      <c r="A521" s="257" t="s">
        <v>11920</v>
      </c>
      <c r="B521" s="257" t="s">
        <v>11920</v>
      </c>
    </row>
    <row r="522">
      <c r="A522" s="257" t="s">
        <v>11922</v>
      </c>
      <c r="B522" s="257" t="s">
        <v>11922</v>
      </c>
    </row>
    <row r="523">
      <c r="A523" s="257" t="s">
        <v>11924</v>
      </c>
      <c r="B523" s="257" t="s">
        <v>11924</v>
      </c>
    </row>
    <row r="524">
      <c r="A524" s="257" t="s">
        <v>11782</v>
      </c>
      <c r="B524" s="257" t="s">
        <v>11782</v>
      </c>
    </row>
    <row r="525">
      <c r="A525" s="257" t="s">
        <v>12289</v>
      </c>
      <c r="B525" s="257" t="s">
        <v>12289</v>
      </c>
    </row>
    <row r="526">
      <c r="A526" s="257" t="s">
        <v>11949</v>
      </c>
      <c r="B526" s="257" t="s">
        <v>11949</v>
      </c>
    </row>
    <row r="527">
      <c r="A527" s="257" t="s">
        <v>1804</v>
      </c>
      <c r="B527" s="257" t="s">
        <v>1804</v>
      </c>
    </row>
    <row r="528">
      <c r="A528" s="257" t="s">
        <v>11921</v>
      </c>
      <c r="B528" s="257" t="s">
        <v>11921</v>
      </c>
    </row>
    <row r="529">
      <c r="A529" s="257" t="s">
        <v>11664</v>
      </c>
      <c r="B529" s="257" t="s">
        <v>11664</v>
      </c>
    </row>
    <row r="530">
      <c r="A530" s="257" t="s">
        <v>11665</v>
      </c>
      <c r="B530" s="257" t="s">
        <v>11665</v>
      </c>
    </row>
    <row r="531">
      <c r="A531" s="257" t="s">
        <v>11678</v>
      </c>
      <c r="B531" s="257" t="s">
        <v>11678</v>
      </c>
    </row>
    <row r="532">
      <c r="A532" s="257" t="s">
        <v>11676</v>
      </c>
      <c r="B532" s="257" t="s">
        <v>11676</v>
      </c>
    </row>
    <row r="533">
      <c r="A533" s="257" t="s">
        <v>11577</v>
      </c>
      <c r="B533" s="257" t="s">
        <v>11577</v>
      </c>
    </row>
    <row r="534">
      <c r="A534" s="257" t="s">
        <v>11651</v>
      </c>
      <c r="B534" s="257" t="s">
        <v>11651</v>
      </c>
    </row>
    <row r="535">
      <c r="A535" s="257" t="s">
        <v>11611</v>
      </c>
      <c r="B535" s="257" t="s">
        <v>11611</v>
      </c>
    </row>
    <row r="536">
      <c r="A536" s="257" t="s">
        <v>11816</v>
      </c>
      <c r="B536" s="257" t="s">
        <v>11816</v>
      </c>
    </row>
    <row r="537">
      <c r="A537" s="257" t="s">
        <v>11812</v>
      </c>
      <c r="B537" s="257" t="s">
        <v>11812</v>
      </c>
    </row>
    <row r="538">
      <c r="A538" s="257" t="s">
        <v>11333</v>
      </c>
      <c r="B538" s="257" t="s">
        <v>11333</v>
      </c>
    </row>
    <row r="539">
      <c r="A539" s="257" t="s">
        <v>1892</v>
      </c>
      <c r="B539" s="257" t="s">
        <v>1892</v>
      </c>
    </row>
    <row r="540">
      <c r="A540" s="257" t="s">
        <v>11941</v>
      </c>
      <c r="B540" s="257" t="s">
        <v>11941</v>
      </c>
    </row>
    <row r="541">
      <c r="A541" s="257" t="s">
        <v>10003</v>
      </c>
      <c r="B541" s="257" t="s">
        <v>10003</v>
      </c>
    </row>
    <row r="542">
      <c r="A542" s="257" t="s">
        <v>12290</v>
      </c>
      <c r="B542" s="257" t="s">
        <v>5460</v>
      </c>
    </row>
    <row r="543">
      <c r="A543" s="257" t="s">
        <v>12291</v>
      </c>
      <c r="B543" s="257" t="s">
        <v>7097</v>
      </c>
    </row>
    <row r="544">
      <c r="A544" s="257" t="s">
        <v>12292</v>
      </c>
      <c r="B544" s="257" t="s">
        <v>11913</v>
      </c>
    </row>
    <row r="545">
      <c r="A545" s="257" t="s">
        <v>12293</v>
      </c>
      <c r="B545" s="257" t="s">
        <v>2136</v>
      </c>
    </row>
    <row r="546">
      <c r="A546" s="257" t="s">
        <v>12294</v>
      </c>
      <c r="B546" s="257" t="s">
        <v>2154</v>
      </c>
    </row>
    <row r="547">
      <c r="A547" s="257" t="s">
        <v>12295</v>
      </c>
      <c r="B547" s="257" t="s">
        <v>6322</v>
      </c>
    </row>
    <row r="548">
      <c r="A548" s="257" t="s">
        <v>12296</v>
      </c>
      <c r="B548" s="257" t="s">
        <v>12114</v>
      </c>
    </row>
    <row r="549">
      <c r="A549" s="257" t="s">
        <v>12297</v>
      </c>
      <c r="B549" s="257" t="s">
        <v>2151</v>
      </c>
    </row>
    <row r="550">
      <c r="A550" s="257" t="s">
        <v>11940</v>
      </c>
      <c r="B550" s="257" t="s">
        <v>11940</v>
      </c>
    </row>
    <row r="551">
      <c r="A551" s="257" t="s">
        <v>5287</v>
      </c>
      <c r="B551" s="257" t="s">
        <v>5287</v>
      </c>
    </row>
    <row r="552">
      <c r="A552" s="257" t="s">
        <v>11650</v>
      </c>
      <c r="B552" s="257" t="s">
        <v>11650</v>
      </c>
    </row>
    <row r="553">
      <c r="A553" s="257" t="s">
        <v>11372</v>
      </c>
      <c r="B553" s="257" t="s">
        <v>11372</v>
      </c>
    </row>
    <row r="554">
      <c r="A554" s="257" t="s">
        <v>11663</v>
      </c>
      <c r="B554" s="257" t="s">
        <v>11663</v>
      </c>
    </row>
    <row r="555">
      <c r="A555" s="257" t="s">
        <v>11661</v>
      </c>
      <c r="B555" s="257" t="s">
        <v>11661</v>
      </c>
    </row>
    <row r="556">
      <c r="A556" s="257" t="s">
        <v>11637</v>
      </c>
      <c r="B556" s="257" t="s">
        <v>11637</v>
      </c>
    </row>
    <row r="557">
      <c r="A557" s="257" t="s">
        <v>12298</v>
      </c>
      <c r="B557" s="257" t="s">
        <v>11863</v>
      </c>
    </row>
    <row r="558">
      <c r="A558" s="257" t="s">
        <v>12299</v>
      </c>
      <c r="B558" s="257" t="s">
        <v>12299</v>
      </c>
    </row>
    <row r="559">
      <c r="A559" s="257" t="s">
        <v>9685</v>
      </c>
      <c r="B559" s="257" t="s">
        <v>9685</v>
      </c>
    </row>
    <row r="560">
      <c r="A560" s="257" t="s">
        <v>11702</v>
      </c>
      <c r="B560" s="257" t="s">
        <v>11702</v>
      </c>
    </row>
    <row r="561">
      <c r="A561" s="257" t="s">
        <v>11631</v>
      </c>
      <c r="B561" s="257" t="s">
        <v>11631</v>
      </c>
    </row>
    <row r="562">
      <c r="A562" s="257" t="s">
        <v>11632</v>
      </c>
      <c r="B562" s="257" t="s">
        <v>11632</v>
      </c>
    </row>
    <row r="563">
      <c r="A563" s="257" t="s">
        <v>11872</v>
      </c>
      <c r="B563" s="257" t="s">
        <v>11872</v>
      </c>
    </row>
    <row r="564">
      <c r="A564" s="257" t="s">
        <v>12300</v>
      </c>
      <c r="B564" s="257" t="s">
        <v>12300</v>
      </c>
    </row>
    <row r="565">
      <c r="A565" s="257" t="s">
        <v>11671</v>
      </c>
      <c r="B565" s="257" t="s">
        <v>11671</v>
      </c>
    </row>
    <row r="566">
      <c r="A566" s="257" t="s">
        <v>11693</v>
      </c>
      <c r="B566" s="257" t="s">
        <v>11693</v>
      </c>
    </row>
    <row r="567">
      <c r="A567" s="257" t="s">
        <v>9686</v>
      </c>
      <c r="B567" s="257" t="s">
        <v>9686</v>
      </c>
    </row>
    <row r="568">
      <c r="A568" s="257" t="s">
        <v>11943</v>
      </c>
      <c r="B568" s="257" t="s">
        <v>11943</v>
      </c>
    </row>
    <row r="569">
      <c r="A569" s="257" t="s">
        <v>6660</v>
      </c>
      <c r="B569" s="257" t="s">
        <v>6660</v>
      </c>
    </row>
    <row r="570">
      <c r="A570" s="257" t="s">
        <v>9337</v>
      </c>
      <c r="B570" s="257" t="s">
        <v>9337</v>
      </c>
    </row>
    <row r="571">
      <c r="A571" s="257" t="s">
        <v>1852</v>
      </c>
      <c r="B571" s="257" t="s">
        <v>1852</v>
      </c>
    </row>
    <row r="572">
      <c r="A572" s="257" t="s">
        <v>11831</v>
      </c>
      <c r="B572" s="257" t="s">
        <v>11831</v>
      </c>
    </row>
    <row r="573">
      <c r="A573" s="257" t="s">
        <v>1826</v>
      </c>
      <c r="B573" s="257" t="s">
        <v>1826</v>
      </c>
    </row>
    <row r="574">
      <c r="A574" s="257" t="s">
        <v>11673</v>
      </c>
      <c r="B574" s="257" t="s">
        <v>11673</v>
      </c>
    </row>
    <row r="575">
      <c r="A575" s="257" t="s">
        <v>5136</v>
      </c>
      <c r="B575" s="257" t="s">
        <v>5136</v>
      </c>
    </row>
    <row r="576">
      <c r="A576" s="257" t="s">
        <v>1861</v>
      </c>
      <c r="B576" s="257" t="s">
        <v>1861</v>
      </c>
    </row>
    <row r="577">
      <c r="A577" s="257" t="s">
        <v>1865</v>
      </c>
      <c r="B577" s="257" t="s">
        <v>1865</v>
      </c>
    </row>
    <row r="578">
      <c r="A578" s="257" t="s">
        <v>11854</v>
      </c>
      <c r="B578" s="257" t="s">
        <v>11854</v>
      </c>
    </row>
    <row r="579">
      <c r="A579" s="257" t="s">
        <v>11888</v>
      </c>
      <c r="B579" s="257" t="s">
        <v>11888</v>
      </c>
    </row>
    <row r="580">
      <c r="A580" s="257" t="s">
        <v>11797</v>
      </c>
      <c r="B580" s="257" t="s">
        <v>11797</v>
      </c>
    </row>
    <row r="581">
      <c r="A581" s="257" t="s">
        <v>11405</v>
      </c>
      <c r="B581" s="257" t="s">
        <v>11405</v>
      </c>
    </row>
    <row r="582">
      <c r="A582" s="257" t="s">
        <v>6648</v>
      </c>
      <c r="B582" s="257" t="s">
        <v>6648</v>
      </c>
    </row>
    <row r="583">
      <c r="A583" s="257" t="s">
        <v>5109</v>
      </c>
      <c r="B583" s="257" t="s">
        <v>5109</v>
      </c>
    </row>
    <row r="584">
      <c r="A584" s="257" t="s">
        <v>11796</v>
      </c>
      <c r="B584" s="257" t="s">
        <v>11796</v>
      </c>
    </row>
    <row r="585">
      <c r="A585" s="257" t="s">
        <v>6022</v>
      </c>
      <c r="B585" s="257" t="s">
        <v>6022</v>
      </c>
    </row>
    <row r="586">
      <c r="A586" s="257" t="s">
        <v>11830</v>
      </c>
      <c r="B586" s="257" t="s">
        <v>11830</v>
      </c>
    </row>
    <row r="587">
      <c r="A587" s="257" t="s">
        <v>11404</v>
      </c>
      <c r="B587" s="257" t="s">
        <v>11404</v>
      </c>
    </row>
    <row r="588">
      <c r="A588" s="257" t="s">
        <v>11646</v>
      </c>
      <c r="B588" s="257" t="s">
        <v>11646</v>
      </c>
    </row>
    <row r="589">
      <c r="A589" s="257" t="s">
        <v>6261</v>
      </c>
      <c r="B589" s="257" t="s">
        <v>6261</v>
      </c>
    </row>
    <row r="590">
      <c r="A590" s="257" t="s">
        <v>5112</v>
      </c>
      <c r="B590" s="257" t="s">
        <v>5112</v>
      </c>
    </row>
    <row r="591">
      <c r="A591" s="257" t="s">
        <v>11783</v>
      </c>
      <c r="B591" s="257" t="s">
        <v>11783</v>
      </c>
    </row>
    <row r="592">
      <c r="A592" s="257" t="s">
        <v>10106</v>
      </c>
      <c r="B592" s="257" t="s">
        <v>10106</v>
      </c>
    </row>
    <row r="593">
      <c r="A593" s="257" t="s">
        <v>5125</v>
      </c>
      <c r="B593" s="257" t="s">
        <v>5125</v>
      </c>
    </row>
    <row r="594">
      <c r="A594" s="257" t="s">
        <v>6258</v>
      </c>
      <c r="B594" s="257" t="s">
        <v>6258</v>
      </c>
    </row>
    <row r="595">
      <c r="A595" s="257" t="s">
        <v>1822</v>
      </c>
      <c r="B595" s="257" t="s">
        <v>1822</v>
      </c>
    </row>
    <row r="596">
      <c r="A596" s="257" t="s">
        <v>5107</v>
      </c>
      <c r="B596" s="257" t="s">
        <v>5107</v>
      </c>
    </row>
    <row r="597">
      <c r="A597" s="257" t="s">
        <v>7207</v>
      </c>
      <c r="B597" s="257" t="s">
        <v>7207</v>
      </c>
    </row>
    <row r="598">
      <c r="A598" s="257" t="s">
        <v>11836</v>
      </c>
      <c r="B598" s="257" t="s">
        <v>11836</v>
      </c>
    </row>
    <row r="599">
      <c r="A599" s="257" t="s">
        <v>1811</v>
      </c>
      <c r="B599" s="257" t="s">
        <v>1811</v>
      </c>
    </row>
    <row r="600">
      <c r="A600" s="257" t="s">
        <v>11814</v>
      </c>
      <c r="B600" s="257" t="s">
        <v>11814</v>
      </c>
    </row>
    <row r="601">
      <c r="A601" s="257" t="s">
        <v>11835</v>
      </c>
      <c r="B601" s="257" t="s">
        <v>11835</v>
      </c>
    </row>
    <row r="602">
      <c r="A602" s="257" t="s">
        <v>11852</v>
      </c>
      <c r="B602" s="257" t="s">
        <v>11852</v>
      </c>
    </row>
    <row r="603">
      <c r="A603" s="257" t="s">
        <v>10119</v>
      </c>
      <c r="B603" s="257" t="s">
        <v>10119</v>
      </c>
    </row>
    <row r="604">
      <c r="A604" s="257" t="s">
        <v>11892</v>
      </c>
      <c r="B604" s="257" t="s">
        <v>11892</v>
      </c>
    </row>
    <row r="605">
      <c r="A605" s="257" t="s">
        <v>11901</v>
      </c>
      <c r="B605" s="257" t="s">
        <v>11901</v>
      </c>
    </row>
    <row r="606">
      <c r="A606" s="257" t="s">
        <v>11919</v>
      </c>
      <c r="B606" s="257" t="s">
        <v>11919</v>
      </c>
    </row>
    <row r="607">
      <c r="A607" s="257" t="s">
        <v>12061</v>
      </c>
      <c r="B607" s="257" t="s">
        <v>12061</v>
      </c>
    </row>
    <row r="608">
      <c r="A608" s="257" t="s">
        <v>11456</v>
      </c>
      <c r="B608" s="257" t="s">
        <v>11456</v>
      </c>
    </row>
    <row r="609">
      <c r="A609" s="257" t="s">
        <v>11771</v>
      </c>
      <c r="B609" s="257" t="s">
        <v>11771</v>
      </c>
    </row>
    <row r="610">
      <c r="A610" s="257" t="s">
        <v>11522</v>
      </c>
      <c r="B610" s="257" t="s">
        <v>11522</v>
      </c>
    </row>
    <row r="611">
      <c r="A611" s="257" t="s">
        <v>9995</v>
      </c>
      <c r="B611" s="257" t="s">
        <v>9995</v>
      </c>
    </row>
    <row r="612">
      <c r="A612" s="257" t="s">
        <v>12301</v>
      </c>
      <c r="B612" s="257" t="s">
        <v>1835</v>
      </c>
    </row>
    <row r="613">
      <c r="A613" s="257" t="s">
        <v>12302</v>
      </c>
      <c r="B613" s="257" t="s">
        <v>6658</v>
      </c>
    </row>
    <row r="614">
      <c r="A614" s="257" t="s">
        <v>12303</v>
      </c>
      <c r="B614" s="257" t="s">
        <v>6655</v>
      </c>
    </row>
    <row r="615">
      <c r="A615" s="257" t="s">
        <v>11832</v>
      </c>
      <c r="B615" s="257" t="s">
        <v>11832</v>
      </c>
    </row>
    <row r="616">
      <c r="A616" s="257" t="s">
        <v>12304</v>
      </c>
      <c r="B616" s="257" t="s">
        <v>12304</v>
      </c>
    </row>
    <row r="617">
      <c r="A617" s="257" t="s">
        <v>12305</v>
      </c>
      <c r="B617" s="257" t="s">
        <v>12305</v>
      </c>
    </row>
    <row r="618">
      <c r="A618" s="257" t="s">
        <v>12306</v>
      </c>
      <c r="B618" s="257" t="s">
        <v>12306</v>
      </c>
    </row>
    <row r="619">
      <c r="A619" s="257" t="s">
        <v>1649</v>
      </c>
      <c r="B619" s="257" t="s">
        <v>1649</v>
      </c>
    </row>
    <row r="620">
      <c r="A620" s="257" t="s">
        <v>11455</v>
      </c>
      <c r="B620" s="257" t="s">
        <v>11455</v>
      </c>
    </row>
    <row r="621">
      <c r="A621" s="257" t="s">
        <v>12307</v>
      </c>
      <c r="B621" s="257" t="s">
        <v>12307</v>
      </c>
    </row>
    <row r="622">
      <c r="A622" s="257" t="s">
        <v>11886</v>
      </c>
      <c r="B622" s="257" t="s">
        <v>11886</v>
      </c>
    </row>
    <row r="623">
      <c r="A623" s="257" t="s">
        <v>12308</v>
      </c>
      <c r="B623" s="257" t="s">
        <v>12308</v>
      </c>
    </row>
    <row r="624">
      <c r="A624" s="257" t="s">
        <v>12309</v>
      </c>
      <c r="B624" s="257" t="s">
        <v>12309</v>
      </c>
    </row>
    <row r="625">
      <c r="A625" s="257" t="s">
        <v>12310</v>
      </c>
      <c r="B625" s="257" t="s">
        <v>12311</v>
      </c>
    </row>
    <row r="626">
      <c r="A626" s="257" t="s">
        <v>12312</v>
      </c>
      <c r="B626" s="257" t="s">
        <v>12312</v>
      </c>
    </row>
    <row r="627">
      <c r="A627" s="257" t="s">
        <v>12313</v>
      </c>
      <c r="B627" s="257" t="s">
        <v>12314</v>
      </c>
    </row>
    <row r="628">
      <c r="A628" s="257" t="s">
        <v>12315</v>
      </c>
      <c r="B628" s="257" t="s">
        <v>12315</v>
      </c>
    </row>
    <row r="629">
      <c r="A629" s="257" t="s">
        <v>12316</v>
      </c>
      <c r="B629" s="257" t="s">
        <v>12317</v>
      </c>
    </row>
    <row r="630">
      <c r="A630" s="257" t="s">
        <v>12318</v>
      </c>
      <c r="B630" s="257" t="s">
        <v>12319</v>
      </c>
    </row>
    <row r="631">
      <c r="A631" s="257" t="s">
        <v>12320</v>
      </c>
      <c r="B631" s="257" t="s">
        <v>12321</v>
      </c>
    </row>
    <row r="632">
      <c r="A632" s="257" t="s">
        <v>12322</v>
      </c>
      <c r="B632" s="257" t="s">
        <v>12323</v>
      </c>
    </row>
    <row r="633">
      <c r="A633" s="257" t="s">
        <v>12324</v>
      </c>
      <c r="B633" s="257" t="s">
        <v>12324</v>
      </c>
    </row>
    <row r="634">
      <c r="A634" s="257" t="s">
        <v>12325</v>
      </c>
      <c r="B634" s="257" t="s">
        <v>12325</v>
      </c>
    </row>
    <row r="635">
      <c r="A635" s="257" t="s">
        <v>11598</v>
      </c>
      <c r="B635" s="257" t="s">
        <v>11598</v>
      </c>
    </row>
    <row r="636">
      <c r="A636" s="257" t="s">
        <v>12326</v>
      </c>
      <c r="B636" s="257" t="s">
        <v>12327</v>
      </c>
    </row>
    <row r="637">
      <c r="A637" s="257" t="s">
        <v>12328</v>
      </c>
      <c r="B637" s="257" t="s">
        <v>12329</v>
      </c>
    </row>
    <row r="638">
      <c r="A638" s="257" t="s">
        <v>12330</v>
      </c>
      <c r="B638" s="257" t="s">
        <v>12330</v>
      </c>
    </row>
    <row r="639">
      <c r="A639" s="257" t="s">
        <v>12331</v>
      </c>
      <c r="B639" s="257" t="s">
        <v>12332</v>
      </c>
    </row>
    <row r="640">
      <c r="A640" s="257" t="s">
        <v>12333</v>
      </c>
      <c r="B640" s="257" t="s">
        <v>12333</v>
      </c>
    </row>
    <row r="641">
      <c r="A641" s="257" t="s">
        <v>12054</v>
      </c>
      <c r="B641" s="257" t="s">
        <v>12054</v>
      </c>
    </row>
    <row r="642">
      <c r="A642" s="257" t="s">
        <v>12334</v>
      </c>
      <c r="B642" s="257" t="s">
        <v>12334</v>
      </c>
    </row>
    <row r="643">
      <c r="A643" s="257" t="s">
        <v>12335</v>
      </c>
      <c r="B643" s="257" t="s">
        <v>12336</v>
      </c>
    </row>
    <row r="644">
      <c r="A644" s="257" t="s">
        <v>12337</v>
      </c>
      <c r="B644" s="257" t="s">
        <v>12338</v>
      </c>
    </row>
    <row r="645">
      <c r="A645" s="257" t="s">
        <v>12339</v>
      </c>
      <c r="B645" s="257" t="s">
        <v>12339</v>
      </c>
    </row>
    <row r="646">
      <c r="A646" s="257" t="s">
        <v>12340</v>
      </c>
      <c r="B646" s="257" t="s">
        <v>12341</v>
      </c>
    </row>
    <row r="647">
      <c r="A647" s="257" t="s">
        <v>12022</v>
      </c>
      <c r="B647" s="257" t="s">
        <v>12022</v>
      </c>
    </row>
    <row r="648">
      <c r="A648" s="257" t="s">
        <v>12342</v>
      </c>
      <c r="B648" s="257" t="s">
        <v>12342</v>
      </c>
    </row>
    <row r="649">
      <c r="A649" s="257" t="s">
        <v>12343</v>
      </c>
      <c r="B649" s="257" t="s">
        <v>12343</v>
      </c>
    </row>
    <row r="650">
      <c r="A650" s="257" t="s">
        <v>12344</v>
      </c>
      <c r="B650" s="257" t="s">
        <v>12345</v>
      </c>
    </row>
    <row r="651">
      <c r="A651" s="257" t="s">
        <v>12346</v>
      </c>
      <c r="B651" s="257" t="s">
        <v>12347</v>
      </c>
    </row>
    <row r="652">
      <c r="A652" s="257" t="s">
        <v>12348</v>
      </c>
      <c r="B652" s="257" t="s">
        <v>12348</v>
      </c>
    </row>
    <row r="653">
      <c r="A653" s="257" t="s">
        <v>12349</v>
      </c>
      <c r="B653" s="257" t="s">
        <v>12349</v>
      </c>
    </row>
    <row r="654">
      <c r="A654" s="257" t="s">
        <v>12350</v>
      </c>
      <c r="B654" s="257" t="s">
        <v>5470</v>
      </c>
    </row>
    <row r="655">
      <c r="A655" s="257" t="s">
        <v>12351</v>
      </c>
      <c r="B655" s="257" t="s">
        <v>12351</v>
      </c>
    </row>
    <row r="656">
      <c r="A656" s="257" t="s">
        <v>12352</v>
      </c>
      <c r="B656" s="257" t="s">
        <v>12353</v>
      </c>
    </row>
    <row r="657">
      <c r="A657" s="257" t="s">
        <v>12354</v>
      </c>
      <c r="B657" s="257" t="s">
        <v>12354</v>
      </c>
    </row>
    <row r="658">
      <c r="A658" s="257" t="s">
        <v>11994</v>
      </c>
      <c r="B658" s="257" t="s">
        <v>11994</v>
      </c>
    </row>
    <row r="659">
      <c r="A659" s="257" t="s">
        <v>12355</v>
      </c>
      <c r="B659" s="257" t="s">
        <v>12355</v>
      </c>
    </row>
    <row r="660">
      <c r="A660" s="257" t="s">
        <v>12356</v>
      </c>
      <c r="B660" s="257" t="s">
        <v>12356</v>
      </c>
    </row>
    <row r="661">
      <c r="A661" s="257" t="s">
        <v>12357</v>
      </c>
      <c r="B661" s="257" t="s">
        <v>12358</v>
      </c>
    </row>
    <row r="662">
      <c r="A662" s="257" t="s">
        <v>12359</v>
      </c>
      <c r="B662" s="257" t="s">
        <v>12359</v>
      </c>
    </row>
    <row r="663">
      <c r="A663" s="257" t="s">
        <v>12040</v>
      </c>
      <c r="B663" s="257" t="s">
        <v>12040</v>
      </c>
    </row>
    <row r="664">
      <c r="A664" s="257" t="s">
        <v>12360</v>
      </c>
      <c r="B664" s="257" t="s">
        <v>12361</v>
      </c>
    </row>
    <row r="665">
      <c r="A665" s="257" t="s">
        <v>2045</v>
      </c>
      <c r="B665" s="257" t="s">
        <v>2045</v>
      </c>
    </row>
    <row r="666">
      <c r="A666" s="257" t="s">
        <v>12362</v>
      </c>
      <c r="B666" s="257" t="s">
        <v>12362</v>
      </c>
    </row>
    <row r="667">
      <c r="A667" s="257" t="s">
        <v>12363</v>
      </c>
      <c r="B667" s="257" t="s">
        <v>12364</v>
      </c>
    </row>
    <row r="668">
      <c r="A668" s="257" t="s">
        <v>12365</v>
      </c>
      <c r="B668" s="257" t="s">
        <v>12366</v>
      </c>
    </row>
    <row r="669">
      <c r="A669" s="257" t="s">
        <v>12367</v>
      </c>
      <c r="B669" s="257" t="s">
        <v>12368</v>
      </c>
    </row>
    <row r="670">
      <c r="A670" s="257" t="s">
        <v>12369</v>
      </c>
      <c r="B670" s="257" t="s">
        <v>12369</v>
      </c>
    </row>
    <row r="671">
      <c r="A671" s="257" t="s">
        <v>12370</v>
      </c>
      <c r="B671" s="257" t="s">
        <v>12371</v>
      </c>
    </row>
    <row r="672">
      <c r="A672" s="257" t="s">
        <v>12372</v>
      </c>
      <c r="B672" s="257" t="s">
        <v>12373</v>
      </c>
    </row>
    <row r="673">
      <c r="A673" s="257" t="s">
        <v>12038</v>
      </c>
      <c r="B673" s="257" t="s">
        <v>12038</v>
      </c>
    </row>
    <row r="674">
      <c r="A674" s="257" t="s">
        <v>12374</v>
      </c>
      <c r="B674" s="257" t="s">
        <v>12374</v>
      </c>
    </row>
    <row r="675">
      <c r="A675" s="257" t="s">
        <v>12375</v>
      </c>
      <c r="B675" s="257" t="s">
        <v>12376</v>
      </c>
    </row>
    <row r="676">
      <c r="A676" s="257" t="s">
        <v>12377</v>
      </c>
      <c r="B676" s="257" t="s">
        <v>12377</v>
      </c>
    </row>
    <row r="677">
      <c r="A677" s="257" t="s">
        <v>6718</v>
      </c>
      <c r="B677" s="257" t="s">
        <v>6718</v>
      </c>
    </row>
    <row r="678">
      <c r="A678" s="257" t="s">
        <v>12378</v>
      </c>
      <c r="B678" s="257" t="s">
        <v>12379</v>
      </c>
    </row>
    <row r="679">
      <c r="A679" s="257" t="s">
        <v>12380</v>
      </c>
      <c r="B679" s="257" t="s">
        <v>12381</v>
      </c>
    </row>
    <row r="680">
      <c r="A680" s="257" t="s">
        <v>12382</v>
      </c>
      <c r="B680" s="257" t="s">
        <v>12383</v>
      </c>
    </row>
    <row r="681">
      <c r="A681" s="257" t="s">
        <v>12332</v>
      </c>
      <c r="B681" s="257" t="s">
        <v>12332</v>
      </c>
    </row>
    <row r="682">
      <c r="A682" s="257" t="s">
        <v>12384</v>
      </c>
      <c r="B682" s="257" t="s">
        <v>12384</v>
      </c>
    </row>
    <row r="683">
      <c r="A683" s="257" t="s">
        <v>12019</v>
      </c>
      <c r="B683" s="257" t="s">
        <v>12019</v>
      </c>
    </row>
    <row r="684">
      <c r="A684" s="257" t="s">
        <v>12385</v>
      </c>
      <c r="B684" s="257" t="s">
        <v>12386</v>
      </c>
    </row>
    <row r="685">
      <c r="A685" s="257" t="s">
        <v>12387</v>
      </c>
      <c r="B685" s="257" t="s">
        <v>12387</v>
      </c>
    </row>
    <row r="686">
      <c r="A686" s="257" t="s">
        <v>11339</v>
      </c>
      <c r="B686" s="257" t="s">
        <v>11339</v>
      </c>
    </row>
    <row r="687">
      <c r="A687" s="257" t="s">
        <v>12388</v>
      </c>
      <c r="B687" s="257" t="s">
        <v>12081</v>
      </c>
    </row>
    <row r="688">
      <c r="A688" s="257" t="s">
        <v>12389</v>
      </c>
      <c r="B688" s="257" t="s">
        <v>12389</v>
      </c>
    </row>
    <row r="689">
      <c r="A689" s="257" t="s">
        <v>12390</v>
      </c>
      <c r="B689" s="257" t="s">
        <v>12391</v>
      </c>
    </row>
    <row r="690">
      <c r="A690" s="257" t="s">
        <v>12392</v>
      </c>
      <c r="B690" s="257" t="s">
        <v>12392</v>
      </c>
    </row>
    <row r="691">
      <c r="A691" s="257" t="s">
        <v>12393</v>
      </c>
      <c r="B691" s="257" t="s">
        <v>12394</v>
      </c>
    </row>
    <row r="692">
      <c r="A692" s="257" t="s">
        <v>12395</v>
      </c>
      <c r="B692" s="257" t="s">
        <v>12396</v>
      </c>
    </row>
    <row r="693">
      <c r="A693" s="257" t="s">
        <v>12397</v>
      </c>
      <c r="B693" s="257" t="s">
        <v>12397</v>
      </c>
    </row>
    <row r="694">
      <c r="A694" s="257" t="s">
        <v>12398</v>
      </c>
      <c r="B694" s="257" t="s">
        <v>12399</v>
      </c>
    </row>
    <row r="695">
      <c r="A695" s="257" t="s">
        <v>12400</v>
      </c>
      <c r="B695" s="257" t="s">
        <v>12401</v>
      </c>
    </row>
    <row r="696">
      <c r="A696" s="257" t="s">
        <v>12402</v>
      </c>
      <c r="B696" s="257" t="s">
        <v>12403</v>
      </c>
    </row>
    <row r="697">
      <c r="A697" s="257" t="s">
        <v>12404</v>
      </c>
      <c r="B697" s="257" t="s">
        <v>12404</v>
      </c>
    </row>
    <row r="698">
      <c r="A698" s="257" t="s">
        <v>12405</v>
      </c>
      <c r="B698" s="257" t="s">
        <v>12405</v>
      </c>
    </row>
    <row r="699">
      <c r="A699" s="257" t="s">
        <v>12406</v>
      </c>
      <c r="B699" s="257" t="s">
        <v>12406</v>
      </c>
    </row>
    <row r="700">
      <c r="A700" s="257" t="s">
        <v>12407</v>
      </c>
      <c r="B700" s="257" t="s">
        <v>12408</v>
      </c>
    </row>
    <row r="701">
      <c r="A701" s="257" t="s">
        <v>12409</v>
      </c>
      <c r="B701" s="257" t="s">
        <v>12410</v>
      </c>
    </row>
    <row r="702">
      <c r="A702" s="257" t="s">
        <v>12411</v>
      </c>
      <c r="B702" s="257" t="s">
        <v>12411</v>
      </c>
    </row>
    <row r="703">
      <c r="A703" s="257" t="s">
        <v>12412</v>
      </c>
      <c r="B703" s="257" t="s">
        <v>12412</v>
      </c>
    </row>
    <row r="704">
      <c r="A704" s="257" t="s">
        <v>5470</v>
      </c>
      <c r="B704" s="257" t="s">
        <v>5470</v>
      </c>
    </row>
    <row r="705">
      <c r="A705" s="257" t="s">
        <v>12413</v>
      </c>
      <c r="B705" s="257" t="s">
        <v>12330</v>
      </c>
    </row>
    <row r="706">
      <c r="A706" s="257" t="s">
        <v>12414</v>
      </c>
      <c r="B706" s="257" t="s">
        <v>12415</v>
      </c>
    </row>
    <row r="707">
      <c r="A707" s="257" t="s">
        <v>12416</v>
      </c>
      <c r="B707" s="257" t="s">
        <v>12416</v>
      </c>
    </row>
    <row r="708">
      <c r="A708" s="257" t="s">
        <v>12417</v>
      </c>
      <c r="B708" s="257" t="s">
        <v>12417</v>
      </c>
    </row>
    <row r="709">
      <c r="A709" s="257" t="s">
        <v>12418</v>
      </c>
      <c r="B709" s="257" t="s">
        <v>12419</v>
      </c>
    </row>
    <row r="710">
      <c r="A710" s="257" t="s">
        <v>12420</v>
      </c>
      <c r="B710" s="257" t="s">
        <v>12421</v>
      </c>
    </row>
    <row r="711">
      <c r="A711" s="257" t="s">
        <v>12422</v>
      </c>
      <c r="B711" s="257" t="s">
        <v>12422</v>
      </c>
    </row>
    <row r="712">
      <c r="A712" s="257" t="s">
        <v>12423</v>
      </c>
      <c r="B712" s="257" t="s">
        <v>12424</v>
      </c>
    </row>
    <row r="713">
      <c r="A713" s="257" t="s">
        <v>12425</v>
      </c>
      <c r="B713" s="257" t="s">
        <v>12426</v>
      </c>
    </row>
    <row r="714">
      <c r="A714" s="257" t="s">
        <v>12427</v>
      </c>
      <c r="B714" s="257" t="s">
        <v>12428</v>
      </c>
    </row>
    <row r="715">
      <c r="A715" s="257" t="s">
        <v>12429</v>
      </c>
      <c r="B715" s="257" t="s">
        <v>12430</v>
      </c>
    </row>
    <row r="716">
      <c r="A716" s="257" t="s">
        <v>12431</v>
      </c>
      <c r="B716" s="257" t="s">
        <v>12431</v>
      </c>
    </row>
    <row r="717">
      <c r="A717" s="257" t="s">
        <v>12432</v>
      </c>
      <c r="B717" s="257" t="s">
        <v>12432</v>
      </c>
    </row>
    <row r="718">
      <c r="A718" s="257" t="s">
        <v>12433</v>
      </c>
      <c r="B718" s="257" t="s">
        <v>12433</v>
      </c>
    </row>
    <row r="719">
      <c r="A719" s="257" t="s">
        <v>12434</v>
      </c>
      <c r="B719" s="257" t="s">
        <v>12435</v>
      </c>
    </row>
    <row r="720">
      <c r="A720" s="257" t="s">
        <v>12436</v>
      </c>
      <c r="B720" s="257" t="s">
        <v>12436</v>
      </c>
    </row>
    <row r="721">
      <c r="A721" s="257" t="s">
        <v>12437</v>
      </c>
      <c r="B721" s="257" t="s">
        <v>12438</v>
      </c>
    </row>
    <row r="722">
      <c r="A722" s="257" t="s">
        <v>12439</v>
      </c>
      <c r="B722" s="257" t="s">
        <v>12439</v>
      </c>
    </row>
    <row r="723">
      <c r="A723" s="257" t="s">
        <v>12440</v>
      </c>
      <c r="B723" s="257" t="s">
        <v>12440</v>
      </c>
    </row>
    <row r="724">
      <c r="A724" s="257" t="s">
        <v>12441</v>
      </c>
      <c r="B724" s="257" t="s">
        <v>12441</v>
      </c>
    </row>
    <row r="725">
      <c r="A725" s="257" t="s">
        <v>12442</v>
      </c>
      <c r="B725" s="257" t="s">
        <v>12443</v>
      </c>
    </row>
    <row r="726">
      <c r="A726" s="257" t="s">
        <v>12444</v>
      </c>
      <c r="B726" s="257" t="s">
        <v>12445</v>
      </c>
    </row>
    <row r="727">
      <c r="A727" s="257" t="s">
        <v>12446</v>
      </c>
      <c r="B727" s="257" t="s">
        <v>12447</v>
      </c>
    </row>
    <row r="728">
      <c r="A728" s="257" t="s">
        <v>12448</v>
      </c>
      <c r="B728" s="257" t="s">
        <v>12448</v>
      </c>
    </row>
    <row r="729">
      <c r="A729" s="257" t="s">
        <v>12449</v>
      </c>
      <c r="B729" s="257" t="s">
        <v>12449</v>
      </c>
    </row>
    <row r="730">
      <c r="A730" s="257" t="s">
        <v>12450</v>
      </c>
      <c r="B730" s="257" t="s">
        <v>2156</v>
      </c>
    </row>
    <row r="731">
      <c r="A731" s="257" t="s">
        <v>12451</v>
      </c>
      <c r="B731" s="257" t="s">
        <v>12451</v>
      </c>
    </row>
    <row r="732">
      <c r="A732" s="257" t="s">
        <v>12452</v>
      </c>
      <c r="B732" s="257" t="s">
        <v>12453</v>
      </c>
    </row>
    <row r="733">
      <c r="A733" s="257" t="s">
        <v>12454</v>
      </c>
      <c r="B733" s="257" t="s">
        <v>12455</v>
      </c>
    </row>
    <row r="734">
      <c r="A734" s="257" t="s">
        <v>12456</v>
      </c>
      <c r="B734" s="257" t="s">
        <v>12457</v>
      </c>
    </row>
    <row r="735">
      <c r="A735" s="257" t="s">
        <v>12458</v>
      </c>
      <c r="B735" s="257" t="s">
        <v>12458</v>
      </c>
    </row>
    <row r="736">
      <c r="A736" s="257" t="s">
        <v>12459</v>
      </c>
      <c r="B736" s="257" t="s">
        <v>12459</v>
      </c>
    </row>
    <row r="737">
      <c r="A737" s="257" t="s">
        <v>12460</v>
      </c>
      <c r="B737" s="257" t="s">
        <v>12460</v>
      </c>
    </row>
    <row r="738">
      <c r="A738" s="257" t="s">
        <v>12461</v>
      </c>
      <c r="B738" s="257" t="s">
        <v>12461</v>
      </c>
    </row>
    <row r="739">
      <c r="A739" s="257" t="s">
        <v>12462</v>
      </c>
      <c r="B739" s="257" t="s">
        <v>12463</v>
      </c>
    </row>
    <row r="740">
      <c r="A740" s="257" t="s">
        <v>12464</v>
      </c>
      <c r="B740" s="257" t="s">
        <v>12464</v>
      </c>
    </row>
    <row r="741">
      <c r="A741" s="257" t="s">
        <v>12465</v>
      </c>
      <c r="B741" s="257" t="s">
        <v>12466</v>
      </c>
    </row>
    <row r="742">
      <c r="A742" s="257" t="s">
        <v>12467</v>
      </c>
      <c r="B742" s="257" t="s">
        <v>12467</v>
      </c>
    </row>
    <row r="743">
      <c r="A743" s="257" t="s">
        <v>12468</v>
      </c>
      <c r="B743" s="257" t="s">
        <v>12469</v>
      </c>
    </row>
    <row r="744">
      <c r="A744" s="257" t="s">
        <v>12367</v>
      </c>
      <c r="B744" s="257" t="s">
        <v>12368</v>
      </c>
    </row>
    <row r="745">
      <c r="A745" s="257" t="s">
        <v>12470</v>
      </c>
      <c r="B745" s="257" t="s">
        <v>12347</v>
      </c>
    </row>
    <row r="746">
      <c r="A746" s="257" t="s">
        <v>12471</v>
      </c>
      <c r="B746" s="257" t="s">
        <v>12471</v>
      </c>
    </row>
    <row r="747">
      <c r="A747" s="257" t="s">
        <v>12025</v>
      </c>
      <c r="B747" s="257" t="s">
        <v>12025</v>
      </c>
    </row>
    <row r="748">
      <c r="A748" s="257" t="s">
        <v>12472</v>
      </c>
      <c r="B748" s="257" t="s">
        <v>12473</v>
      </c>
    </row>
    <row r="749">
      <c r="A749" s="257" t="s">
        <v>12474</v>
      </c>
      <c r="B749" s="257" t="s">
        <v>12474</v>
      </c>
    </row>
    <row r="750">
      <c r="A750" s="257" t="s">
        <v>12475</v>
      </c>
      <c r="B750" s="257" t="s">
        <v>12475</v>
      </c>
    </row>
    <row r="751">
      <c r="A751" s="257" t="s">
        <v>12476</v>
      </c>
      <c r="B751" s="257" t="s">
        <v>12476</v>
      </c>
    </row>
    <row r="752">
      <c r="A752" s="257" t="s">
        <v>12477</v>
      </c>
      <c r="B752" s="257" t="s">
        <v>12477</v>
      </c>
    </row>
    <row r="753">
      <c r="A753" s="257" t="s">
        <v>12478</v>
      </c>
      <c r="B753" s="257" t="s">
        <v>12478</v>
      </c>
    </row>
    <row r="754">
      <c r="A754" s="257" t="s">
        <v>12479</v>
      </c>
      <c r="B754" s="257" t="s">
        <v>12479</v>
      </c>
    </row>
    <row r="755">
      <c r="A755" s="257" t="s">
        <v>12329</v>
      </c>
      <c r="B755" s="257" t="s">
        <v>12329</v>
      </c>
    </row>
    <row r="756">
      <c r="A756" s="257" t="s">
        <v>12480</v>
      </c>
      <c r="B756" s="257" t="s">
        <v>12480</v>
      </c>
    </row>
    <row r="757">
      <c r="A757" s="257" t="s">
        <v>12481</v>
      </c>
      <c r="B757" s="257" t="s">
        <v>12482</v>
      </c>
    </row>
    <row r="758">
      <c r="A758" s="257" t="s">
        <v>12483</v>
      </c>
      <c r="B758" s="257" t="s">
        <v>12484</v>
      </c>
    </row>
    <row r="759">
      <c r="A759" s="257" t="s">
        <v>12485</v>
      </c>
      <c r="B759" s="257" t="s">
        <v>12485</v>
      </c>
    </row>
    <row r="760">
      <c r="A760" s="257" t="s">
        <v>12486</v>
      </c>
      <c r="B760" s="257" t="s">
        <v>12486</v>
      </c>
    </row>
    <row r="761">
      <c r="A761" s="257" t="s">
        <v>12487</v>
      </c>
      <c r="B761" s="257" t="s">
        <v>12487</v>
      </c>
    </row>
    <row r="762">
      <c r="A762" s="257" t="s">
        <v>12027</v>
      </c>
      <c r="B762" s="257" t="s">
        <v>12027</v>
      </c>
    </row>
    <row r="763">
      <c r="A763" s="257" t="s">
        <v>12488</v>
      </c>
      <c r="B763" s="257" t="s">
        <v>12489</v>
      </c>
    </row>
    <row r="764">
      <c r="A764" s="257" t="s">
        <v>12490</v>
      </c>
      <c r="B764" s="257" t="s">
        <v>12491</v>
      </c>
    </row>
    <row r="765">
      <c r="A765" s="257" t="s">
        <v>12492</v>
      </c>
      <c r="B765" s="257" t="s">
        <v>12492</v>
      </c>
    </row>
    <row r="766">
      <c r="A766" s="257" t="s">
        <v>12493</v>
      </c>
      <c r="B766" s="257" t="s">
        <v>12494</v>
      </c>
    </row>
    <row r="767">
      <c r="A767" s="257" t="s">
        <v>12495</v>
      </c>
      <c r="B767" s="257" t="s">
        <v>12495</v>
      </c>
    </row>
    <row r="768">
      <c r="A768" s="257" t="s">
        <v>12496</v>
      </c>
      <c r="B768" s="257" t="s">
        <v>12496</v>
      </c>
    </row>
    <row r="769">
      <c r="A769" s="257" t="s">
        <v>12045</v>
      </c>
      <c r="B769" s="257" t="s">
        <v>12045</v>
      </c>
    </row>
    <row r="770">
      <c r="A770" s="257" t="s">
        <v>12497</v>
      </c>
      <c r="B770" s="257" t="s">
        <v>12497</v>
      </c>
    </row>
    <row r="771">
      <c r="A771" s="257" t="s">
        <v>12498</v>
      </c>
      <c r="B771" s="257" t="s">
        <v>12498</v>
      </c>
    </row>
    <row r="772">
      <c r="A772" s="257" t="s">
        <v>12499</v>
      </c>
      <c r="B772" s="257" t="s">
        <v>12500</v>
      </c>
    </row>
    <row r="773">
      <c r="A773" s="257" t="s">
        <v>12501</v>
      </c>
      <c r="B773" s="257" t="s">
        <v>12502</v>
      </c>
    </row>
    <row r="774">
      <c r="A774" s="257" t="s">
        <v>11454</v>
      </c>
      <c r="B774" s="257" t="s">
        <v>11454</v>
      </c>
    </row>
    <row r="775">
      <c r="A775" s="257" t="s">
        <v>12503</v>
      </c>
      <c r="B775" s="257" t="s">
        <v>12504</v>
      </c>
    </row>
    <row r="776">
      <c r="A776" s="257" t="s">
        <v>12505</v>
      </c>
      <c r="B776" s="257" t="s">
        <v>12505</v>
      </c>
    </row>
    <row r="777">
      <c r="A777" s="257" t="s">
        <v>12011</v>
      </c>
      <c r="B777" s="257" t="s">
        <v>12011</v>
      </c>
    </row>
    <row r="778">
      <c r="A778" s="257" t="s">
        <v>12506</v>
      </c>
      <c r="B778" s="257" t="s">
        <v>12506</v>
      </c>
    </row>
    <row r="779">
      <c r="A779" s="257" t="s">
        <v>12507</v>
      </c>
      <c r="B779" s="257" t="s">
        <v>12508</v>
      </c>
    </row>
    <row r="780">
      <c r="A780" s="257" t="s">
        <v>12509</v>
      </c>
      <c r="B780" s="257" t="s">
        <v>12510</v>
      </c>
    </row>
    <row r="781">
      <c r="A781" s="257" t="s">
        <v>12511</v>
      </c>
      <c r="B781" s="257" t="s">
        <v>12512</v>
      </c>
    </row>
    <row r="782">
      <c r="A782" s="257" t="s">
        <v>12513</v>
      </c>
      <c r="B782" s="257" t="s">
        <v>12514</v>
      </c>
    </row>
    <row r="783">
      <c r="A783" s="257" t="s">
        <v>12515</v>
      </c>
      <c r="B783" s="257" t="s">
        <v>12515</v>
      </c>
    </row>
    <row r="784">
      <c r="A784" s="257" t="s">
        <v>12516</v>
      </c>
      <c r="B784" s="257" t="s">
        <v>12517</v>
      </c>
    </row>
    <row r="785">
      <c r="A785" s="257" t="s">
        <v>12518</v>
      </c>
      <c r="B785" s="257" t="s">
        <v>12519</v>
      </c>
    </row>
    <row r="786">
      <c r="A786" s="257" t="s">
        <v>12520</v>
      </c>
      <c r="B786" s="257" t="s">
        <v>12520</v>
      </c>
    </row>
    <row r="787">
      <c r="A787" s="257" t="s">
        <v>12521</v>
      </c>
      <c r="B787" s="257" t="s">
        <v>12521</v>
      </c>
    </row>
    <row r="788">
      <c r="A788" s="257" t="s">
        <v>12522</v>
      </c>
      <c r="B788" s="257" t="s">
        <v>12523</v>
      </c>
    </row>
    <row r="789">
      <c r="A789" s="257" t="s">
        <v>12524</v>
      </c>
      <c r="B789" s="257" t="s">
        <v>12524</v>
      </c>
    </row>
    <row r="790">
      <c r="A790" s="257" t="s">
        <v>12525</v>
      </c>
      <c r="B790" s="257" t="s">
        <v>12525</v>
      </c>
    </row>
    <row r="791">
      <c r="A791" s="257" t="s">
        <v>11570</v>
      </c>
      <c r="B791" s="257" t="s">
        <v>11570</v>
      </c>
    </row>
    <row r="792">
      <c r="A792" s="257" t="s">
        <v>12526</v>
      </c>
      <c r="B792" s="257" t="s">
        <v>12527</v>
      </c>
    </row>
    <row r="793">
      <c r="A793" s="257" t="s">
        <v>12528</v>
      </c>
      <c r="B793" s="257" t="s">
        <v>12528</v>
      </c>
    </row>
    <row r="794">
      <c r="A794" s="257" t="s">
        <v>12529</v>
      </c>
      <c r="B794" s="257" t="s">
        <v>12529</v>
      </c>
    </row>
    <row r="795">
      <c r="A795" s="257" t="s">
        <v>12530</v>
      </c>
      <c r="B795" s="257" t="s">
        <v>12013</v>
      </c>
    </row>
    <row r="796">
      <c r="A796" s="257" t="s">
        <v>12531</v>
      </c>
      <c r="B796" s="257" t="s">
        <v>12531</v>
      </c>
    </row>
    <row r="797">
      <c r="A797" s="257" t="s">
        <v>12532</v>
      </c>
      <c r="B797" s="257" t="s">
        <v>12533</v>
      </c>
    </row>
    <row r="798">
      <c r="A798" s="257" t="s">
        <v>12534</v>
      </c>
      <c r="B798" s="257" t="s">
        <v>12534</v>
      </c>
    </row>
    <row r="799">
      <c r="A799" s="257" t="s">
        <v>12535</v>
      </c>
      <c r="B799" s="257" t="s">
        <v>12536</v>
      </c>
    </row>
    <row r="800">
      <c r="A800" s="257" t="s">
        <v>12537</v>
      </c>
      <c r="B800" s="257" t="s">
        <v>12537</v>
      </c>
    </row>
    <row r="801">
      <c r="A801" s="257" t="s">
        <v>12538</v>
      </c>
      <c r="B801" s="257" t="s">
        <v>12538</v>
      </c>
    </row>
    <row r="802">
      <c r="A802" s="257" t="s">
        <v>12539</v>
      </c>
      <c r="B802" s="257" t="s">
        <v>12540</v>
      </c>
    </row>
    <row r="803">
      <c r="A803" s="257" t="s">
        <v>12541</v>
      </c>
      <c r="B803" s="257" t="s">
        <v>12542</v>
      </c>
    </row>
    <row r="804">
      <c r="A804" s="257" t="s">
        <v>12543</v>
      </c>
      <c r="B804" s="257" t="s">
        <v>12543</v>
      </c>
    </row>
    <row r="805">
      <c r="A805" s="257" t="s">
        <v>12544</v>
      </c>
      <c r="B805" s="257" t="s">
        <v>12544</v>
      </c>
    </row>
    <row r="806">
      <c r="A806" s="257" t="s">
        <v>12545</v>
      </c>
      <c r="B806" s="257" t="s">
        <v>12545</v>
      </c>
    </row>
    <row r="807">
      <c r="A807" s="257" t="s">
        <v>12021</v>
      </c>
      <c r="B807" s="257" t="s">
        <v>12021</v>
      </c>
    </row>
    <row r="808">
      <c r="A808" s="257" t="s">
        <v>12546</v>
      </c>
      <c r="B808" s="257" t="s">
        <v>12547</v>
      </c>
    </row>
    <row r="809">
      <c r="A809" s="257" t="s">
        <v>12548</v>
      </c>
      <c r="B809" s="257" t="s">
        <v>12548</v>
      </c>
    </row>
    <row r="810">
      <c r="A810" s="257" t="s">
        <v>12549</v>
      </c>
      <c r="B810" s="257" t="s">
        <v>12549</v>
      </c>
    </row>
    <row r="811">
      <c r="A811" s="257" t="s">
        <v>12550</v>
      </c>
      <c r="B811" s="257" t="s">
        <v>12551</v>
      </c>
    </row>
    <row r="812">
      <c r="A812" s="257" t="s">
        <v>12552</v>
      </c>
      <c r="B812" s="257" t="s">
        <v>12553</v>
      </c>
    </row>
    <row r="813">
      <c r="A813" s="257" t="s">
        <v>12554</v>
      </c>
      <c r="B813" s="257" t="s">
        <v>12555</v>
      </c>
    </row>
    <row r="814">
      <c r="A814" s="257" t="s">
        <v>12556</v>
      </c>
      <c r="B814" s="257" t="s">
        <v>12557</v>
      </c>
    </row>
    <row r="815">
      <c r="A815" s="257" t="s">
        <v>12558</v>
      </c>
      <c r="B815" s="257" t="s">
        <v>12559</v>
      </c>
    </row>
    <row r="816">
      <c r="A816" s="257" t="s">
        <v>12402</v>
      </c>
      <c r="B816" s="257" t="s">
        <v>12403</v>
      </c>
    </row>
    <row r="817">
      <c r="A817" s="257" t="s">
        <v>5438</v>
      </c>
      <c r="B817" s="257" t="s">
        <v>5438</v>
      </c>
    </row>
    <row r="818">
      <c r="A818" s="257" t="s">
        <v>12560</v>
      </c>
      <c r="B818" s="257" t="s">
        <v>12560</v>
      </c>
    </row>
    <row r="819">
      <c r="A819" s="257" t="s">
        <v>12561</v>
      </c>
      <c r="B819" s="257" t="s">
        <v>12561</v>
      </c>
    </row>
    <row r="820">
      <c r="A820" s="257" t="s">
        <v>12562</v>
      </c>
      <c r="B820" s="257" t="s">
        <v>12562</v>
      </c>
    </row>
    <row r="821">
      <c r="A821" s="257" t="s">
        <v>12563</v>
      </c>
      <c r="B821" s="257" t="s">
        <v>12563</v>
      </c>
    </row>
    <row r="822">
      <c r="A822" s="257" t="s">
        <v>12564</v>
      </c>
      <c r="B822" s="257" t="s">
        <v>12565</v>
      </c>
    </row>
    <row r="823">
      <c r="A823" s="257" t="s">
        <v>12566</v>
      </c>
      <c r="B823" s="257" t="s">
        <v>12566</v>
      </c>
    </row>
    <row r="824">
      <c r="A824" s="257" t="s">
        <v>12448</v>
      </c>
      <c r="B824" s="257" t="s">
        <v>12448</v>
      </c>
    </row>
    <row r="825">
      <c r="A825" s="257" t="s">
        <v>12567</v>
      </c>
      <c r="B825" s="257" t="s">
        <v>12567</v>
      </c>
    </row>
    <row r="826">
      <c r="A826" s="257" t="s">
        <v>12005</v>
      </c>
      <c r="B826" s="257" t="s">
        <v>12005</v>
      </c>
    </row>
    <row r="827">
      <c r="A827" s="257" t="s">
        <v>12568</v>
      </c>
      <c r="B827" s="257" t="s">
        <v>12569</v>
      </c>
    </row>
    <row r="828">
      <c r="A828" s="257" t="s">
        <v>12570</v>
      </c>
      <c r="B828" s="257" t="s">
        <v>12570</v>
      </c>
    </row>
    <row r="829">
      <c r="A829" s="257" t="s">
        <v>12571</v>
      </c>
      <c r="B829" s="257" t="s">
        <v>12572</v>
      </c>
    </row>
    <row r="830">
      <c r="A830" s="257" t="s">
        <v>12573</v>
      </c>
      <c r="B830" s="257" t="s">
        <v>12573</v>
      </c>
    </row>
    <row r="831">
      <c r="A831" s="257" t="s">
        <v>12574</v>
      </c>
      <c r="B831" s="257" t="s">
        <v>12574</v>
      </c>
    </row>
    <row r="832">
      <c r="A832" s="257" t="s">
        <v>12575</v>
      </c>
      <c r="B832" s="257" t="s">
        <v>12576</v>
      </c>
    </row>
    <row r="833">
      <c r="A833" s="257" t="s">
        <v>12577</v>
      </c>
      <c r="B833" s="257" t="s">
        <v>12577</v>
      </c>
    </row>
    <row r="834">
      <c r="A834" s="257" t="s">
        <v>12578</v>
      </c>
      <c r="B834" s="257" t="s">
        <v>12578</v>
      </c>
    </row>
    <row r="835">
      <c r="A835" s="257" t="s">
        <v>12579</v>
      </c>
      <c r="B835" s="257" t="s">
        <v>12579</v>
      </c>
    </row>
    <row r="836">
      <c r="A836" s="257" t="s">
        <v>12580</v>
      </c>
      <c r="B836" s="257" t="s">
        <v>12581</v>
      </c>
    </row>
    <row r="837">
      <c r="A837" s="257" t="s">
        <v>12582</v>
      </c>
      <c r="B837" s="257" t="s">
        <v>12582</v>
      </c>
    </row>
    <row r="838">
      <c r="A838" s="257" t="s">
        <v>12583</v>
      </c>
      <c r="B838" s="257" t="s">
        <v>12584</v>
      </c>
    </row>
    <row r="839">
      <c r="A839" s="257" t="s">
        <v>12585</v>
      </c>
      <c r="B839" s="257" t="s">
        <v>12586</v>
      </c>
    </row>
    <row r="840">
      <c r="A840" s="257" t="s">
        <v>12006</v>
      </c>
      <c r="B840" s="257" t="s">
        <v>12006</v>
      </c>
    </row>
    <row r="841">
      <c r="A841" s="257" t="s">
        <v>12327</v>
      </c>
      <c r="B841" s="257" t="s">
        <v>12327</v>
      </c>
    </row>
    <row r="842">
      <c r="A842" s="257" t="s">
        <v>12587</v>
      </c>
      <c r="B842" s="257" t="s">
        <v>12588</v>
      </c>
    </row>
    <row r="843">
      <c r="A843" s="257" t="s">
        <v>12041</v>
      </c>
      <c r="B843" s="257" t="s">
        <v>12041</v>
      </c>
    </row>
    <row r="844">
      <c r="A844" s="257" t="s">
        <v>12589</v>
      </c>
      <c r="B844" s="257" t="s">
        <v>12590</v>
      </c>
    </row>
    <row r="845">
      <c r="A845" s="257" t="s">
        <v>12591</v>
      </c>
      <c r="B845" s="257" t="s">
        <v>12592</v>
      </c>
    </row>
    <row r="846">
      <c r="A846" s="257" t="s">
        <v>12593</v>
      </c>
      <c r="B846" s="257" t="s">
        <v>12593</v>
      </c>
    </row>
    <row r="847">
      <c r="A847" s="257" t="s">
        <v>12594</v>
      </c>
      <c r="B847" s="257" t="s">
        <v>2047</v>
      </c>
    </row>
    <row r="848">
      <c r="A848" s="257" t="s">
        <v>12595</v>
      </c>
      <c r="B848" s="257" t="s">
        <v>12595</v>
      </c>
    </row>
    <row r="849">
      <c r="A849" s="257" t="s">
        <v>12596</v>
      </c>
      <c r="B849" s="257" t="s">
        <v>12596</v>
      </c>
    </row>
    <row r="850">
      <c r="A850" s="257" t="s">
        <v>12597</v>
      </c>
      <c r="B850" s="257" t="s">
        <v>12597</v>
      </c>
    </row>
    <row r="851">
      <c r="A851" s="257" t="s">
        <v>12598</v>
      </c>
      <c r="B851" s="257" t="s">
        <v>12598</v>
      </c>
    </row>
    <row r="852">
      <c r="A852" s="257" t="s">
        <v>12599</v>
      </c>
      <c r="B852" s="257" t="s">
        <v>12600</v>
      </c>
    </row>
    <row r="853">
      <c r="A853" s="257" t="s">
        <v>11645</v>
      </c>
      <c r="B853" s="257" t="s">
        <v>11645</v>
      </c>
    </row>
    <row r="854">
      <c r="A854" s="257" t="s">
        <v>12601</v>
      </c>
      <c r="B854" s="257" t="s">
        <v>12601</v>
      </c>
    </row>
    <row r="855">
      <c r="A855" s="257" t="s">
        <v>12602</v>
      </c>
      <c r="B855" s="257" t="s">
        <v>12603</v>
      </c>
    </row>
    <row r="856">
      <c r="A856" s="257" t="s">
        <v>12604</v>
      </c>
      <c r="B856" s="257" t="s">
        <v>12605</v>
      </c>
    </row>
    <row r="857">
      <c r="A857" s="257" t="s">
        <v>12606</v>
      </c>
      <c r="B857" s="257" t="s">
        <v>12606</v>
      </c>
    </row>
    <row r="858">
      <c r="A858" s="257" t="s">
        <v>12020</v>
      </c>
      <c r="B858" s="257" t="s">
        <v>12020</v>
      </c>
    </row>
    <row r="859">
      <c r="A859" s="257" t="s">
        <v>5539</v>
      </c>
      <c r="B859" s="257" t="s">
        <v>5539</v>
      </c>
    </row>
    <row r="860">
      <c r="A860" s="257" t="s">
        <v>12039</v>
      </c>
      <c r="B860" s="257" t="s">
        <v>12039</v>
      </c>
    </row>
    <row r="861">
      <c r="A861" s="257" t="s">
        <v>12607</v>
      </c>
      <c r="B861" s="257" t="s">
        <v>12608</v>
      </c>
    </row>
    <row r="862">
      <c r="A862" s="257" t="s">
        <v>12609</v>
      </c>
      <c r="B862" s="257" t="s">
        <v>2165</v>
      </c>
    </row>
    <row r="863">
      <c r="A863" s="257" t="s">
        <v>12556</v>
      </c>
      <c r="B863" s="257" t="s">
        <v>12557</v>
      </c>
    </row>
    <row r="864">
      <c r="A864" s="257" t="s">
        <v>12023</v>
      </c>
      <c r="B864" s="257" t="s">
        <v>12023</v>
      </c>
    </row>
    <row r="865">
      <c r="A865" s="257" t="s">
        <v>12610</v>
      </c>
      <c r="B865" s="257" t="s">
        <v>12610</v>
      </c>
    </row>
    <row r="866">
      <c r="A866" s="257" t="s">
        <v>12611</v>
      </c>
      <c r="B866" s="257" t="s">
        <v>12612</v>
      </c>
    </row>
    <row r="867">
      <c r="A867" s="257" t="s">
        <v>12613</v>
      </c>
      <c r="B867" s="257" t="s">
        <v>12613</v>
      </c>
    </row>
    <row r="868">
      <c r="A868" s="257" t="s">
        <v>12614</v>
      </c>
      <c r="B868" s="257" t="s">
        <v>12615</v>
      </c>
    </row>
    <row r="869">
      <c r="A869" s="257" t="s">
        <v>12616</v>
      </c>
      <c r="B869" s="257" t="s">
        <v>12616</v>
      </c>
    </row>
    <row r="870">
      <c r="A870" s="257" t="s">
        <v>12617</v>
      </c>
      <c r="B870" s="257" t="s">
        <v>12617</v>
      </c>
    </row>
    <row r="871">
      <c r="A871" s="257" t="s">
        <v>12095</v>
      </c>
      <c r="B871" s="257" t="s">
        <v>12095</v>
      </c>
    </row>
    <row r="872">
      <c r="A872" s="257" t="s">
        <v>12618</v>
      </c>
      <c r="B872" s="257" t="s">
        <v>12619</v>
      </c>
    </row>
    <row r="873">
      <c r="A873" s="257" t="s">
        <v>12620</v>
      </c>
      <c r="B873" s="257" t="s">
        <v>12620</v>
      </c>
    </row>
    <row r="874">
      <c r="A874" s="257" t="s">
        <v>12621</v>
      </c>
      <c r="B874" s="257" t="s">
        <v>12621</v>
      </c>
    </row>
    <row r="875">
      <c r="A875" s="257" t="s">
        <v>12622</v>
      </c>
      <c r="B875" s="257" t="s">
        <v>12623</v>
      </c>
    </row>
    <row r="876">
      <c r="A876" s="257" t="s">
        <v>11701</v>
      </c>
      <c r="B876" s="257" t="s">
        <v>11701</v>
      </c>
    </row>
    <row r="877">
      <c r="A877" s="257" t="s">
        <v>12624</v>
      </c>
      <c r="B877" s="257" t="s">
        <v>12624</v>
      </c>
    </row>
    <row r="878">
      <c r="A878" s="257" t="s">
        <v>12625</v>
      </c>
      <c r="B878" s="257" t="s">
        <v>12625</v>
      </c>
    </row>
    <row r="879">
      <c r="A879" s="257" t="s">
        <v>12626</v>
      </c>
      <c r="B879" s="257" t="s">
        <v>12626</v>
      </c>
    </row>
    <row r="880">
      <c r="A880" s="257" t="s">
        <v>12627</v>
      </c>
      <c r="B880" s="257" t="s">
        <v>12627</v>
      </c>
    </row>
    <row r="881">
      <c r="A881" s="257" t="s">
        <v>11697</v>
      </c>
      <c r="B881" s="257" t="s">
        <v>11697</v>
      </c>
    </row>
    <row r="882">
      <c r="A882" s="257" t="s">
        <v>9691</v>
      </c>
      <c r="B882" s="257" t="s">
        <v>9691</v>
      </c>
    </row>
    <row r="883">
      <c r="A883" s="257" t="s">
        <v>1724</v>
      </c>
      <c r="B883" s="257" t="s">
        <v>1724</v>
      </c>
    </row>
    <row r="884">
      <c r="A884" s="257" t="s">
        <v>12628</v>
      </c>
      <c r="B884" s="257" t="s">
        <v>12628</v>
      </c>
    </row>
    <row r="885">
      <c r="A885" s="257" t="s">
        <v>12629</v>
      </c>
      <c r="B885" s="257" t="s">
        <v>12629</v>
      </c>
    </row>
    <row r="886">
      <c r="A886" s="257" t="s">
        <v>12630</v>
      </c>
      <c r="B886" s="257" t="s">
        <v>12630</v>
      </c>
    </row>
    <row r="887">
      <c r="A887" s="257" t="s">
        <v>12631</v>
      </c>
      <c r="B887" s="257" t="s">
        <v>12631</v>
      </c>
    </row>
    <row r="888">
      <c r="A888" s="257" t="s">
        <v>9999</v>
      </c>
      <c r="B888" s="257" t="s">
        <v>9999</v>
      </c>
    </row>
    <row r="889">
      <c r="A889" s="257" t="s">
        <v>12632</v>
      </c>
      <c r="B889" s="257" t="s">
        <v>12632</v>
      </c>
    </row>
    <row r="890">
      <c r="A890" s="257" t="s">
        <v>12633</v>
      </c>
      <c r="B890" s="257" t="s">
        <v>12633</v>
      </c>
    </row>
    <row r="891">
      <c r="A891" s="257" t="s">
        <v>12634</v>
      </c>
      <c r="B891" s="257" t="s">
        <v>12634</v>
      </c>
    </row>
    <row r="892">
      <c r="A892" s="257" t="s">
        <v>12635</v>
      </c>
      <c r="B892" s="257" t="s">
        <v>12636</v>
      </c>
    </row>
    <row r="893">
      <c r="A893" s="257" t="s">
        <v>12637</v>
      </c>
      <c r="B893" s="257" t="s">
        <v>12637</v>
      </c>
    </row>
    <row r="894">
      <c r="A894" s="257" t="s">
        <v>12638</v>
      </c>
      <c r="B894" s="257" t="s">
        <v>12638</v>
      </c>
    </row>
    <row r="895">
      <c r="A895" s="257" t="s">
        <v>12639</v>
      </c>
      <c r="B895" s="257" t="s">
        <v>12639</v>
      </c>
    </row>
    <row r="896">
      <c r="A896" s="257" t="s">
        <v>11674</v>
      </c>
      <c r="B896" s="257" t="s">
        <v>11674</v>
      </c>
    </row>
    <row r="897">
      <c r="A897" s="257" t="s">
        <v>12640</v>
      </c>
      <c r="B897" s="257" t="s">
        <v>12640</v>
      </c>
    </row>
    <row r="898">
      <c r="A898" s="257" t="s">
        <v>12641</v>
      </c>
      <c r="B898" s="257" t="s">
        <v>12641</v>
      </c>
    </row>
    <row r="899">
      <c r="A899" s="257" t="s">
        <v>11647</v>
      </c>
      <c r="B899" s="257" t="s">
        <v>11647</v>
      </c>
    </row>
    <row r="900">
      <c r="A900" s="257" t="s">
        <v>12642</v>
      </c>
      <c r="B900" s="257" t="s">
        <v>12642</v>
      </c>
    </row>
    <row r="901">
      <c r="A901" s="257" t="s">
        <v>12643</v>
      </c>
      <c r="B901" s="257" t="s">
        <v>12643</v>
      </c>
    </row>
    <row r="902">
      <c r="A902" s="257" t="s">
        <v>5282</v>
      </c>
      <c r="B902" s="257" t="s">
        <v>5282</v>
      </c>
    </row>
    <row r="903">
      <c r="A903" s="257" t="s">
        <v>11669</v>
      </c>
      <c r="B903" s="257" t="s">
        <v>11669</v>
      </c>
    </row>
    <row r="904">
      <c r="A904" s="257" t="s">
        <v>9687</v>
      </c>
      <c r="B904" s="257" t="s">
        <v>9687</v>
      </c>
    </row>
    <row r="905">
      <c r="A905" s="257" t="s">
        <v>12644</v>
      </c>
      <c r="B905" s="257" t="s">
        <v>12644</v>
      </c>
    </row>
    <row r="906">
      <c r="A906" s="257" t="s">
        <v>12645</v>
      </c>
      <c r="B906" s="257" t="s">
        <v>12645</v>
      </c>
    </row>
    <row r="907">
      <c r="A907" s="257" t="s">
        <v>12646</v>
      </c>
      <c r="B907" s="257" t="s">
        <v>12646</v>
      </c>
    </row>
    <row r="908">
      <c r="A908" s="257" t="s">
        <v>11369</v>
      </c>
      <c r="B908" s="257" t="s">
        <v>11369</v>
      </c>
    </row>
    <row r="909">
      <c r="A909" s="257" t="s">
        <v>12647</v>
      </c>
      <c r="B909" s="257" t="s">
        <v>12647</v>
      </c>
    </row>
    <row r="910">
      <c r="A910" s="257" t="s">
        <v>12648</v>
      </c>
      <c r="B910" s="257" t="s">
        <v>12648</v>
      </c>
    </row>
    <row r="911">
      <c r="A911" s="257" t="s">
        <v>12649</v>
      </c>
      <c r="B911" s="257" t="s">
        <v>12649</v>
      </c>
    </row>
    <row r="912">
      <c r="A912" s="257" t="s">
        <v>12650</v>
      </c>
      <c r="B912" s="257" t="s">
        <v>12650</v>
      </c>
    </row>
    <row r="913">
      <c r="A913" s="257" t="s">
        <v>9684</v>
      </c>
      <c r="B913" s="257" t="s">
        <v>9684</v>
      </c>
    </row>
    <row r="914">
      <c r="A914" s="257" t="s">
        <v>12651</v>
      </c>
      <c r="B914" s="257" t="s">
        <v>12651</v>
      </c>
    </row>
    <row r="915">
      <c r="A915" s="257" t="s">
        <v>12652</v>
      </c>
      <c r="B915" s="257" t="s">
        <v>12652</v>
      </c>
    </row>
    <row r="916">
      <c r="A916" s="257" t="s">
        <v>12653</v>
      </c>
      <c r="B916" s="257" t="s">
        <v>12653</v>
      </c>
    </row>
    <row r="917">
      <c r="A917" s="257" t="s">
        <v>12654</v>
      </c>
      <c r="B917" s="257" t="s">
        <v>12654</v>
      </c>
    </row>
    <row r="918">
      <c r="A918" s="257" t="s">
        <v>9711</v>
      </c>
      <c r="B918" s="257" t="s">
        <v>9711</v>
      </c>
    </row>
    <row r="919">
      <c r="A919" s="257" t="s">
        <v>12655</v>
      </c>
      <c r="B919" s="257" t="s">
        <v>12655</v>
      </c>
    </row>
    <row r="920">
      <c r="A920" s="257" t="s">
        <v>12656</v>
      </c>
      <c r="B920" s="257" t="s">
        <v>12656</v>
      </c>
    </row>
    <row r="921">
      <c r="A921" s="257" t="s">
        <v>12657</v>
      </c>
      <c r="B921" s="257" t="s">
        <v>12658</v>
      </c>
    </row>
    <row r="922">
      <c r="A922" s="257" t="s">
        <v>12659</v>
      </c>
      <c r="B922" s="257" t="s">
        <v>12659</v>
      </c>
    </row>
    <row r="923">
      <c r="A923" s="257" t="s">
        <v>12660</v>
      </c>
      <c r="B923" s="257" t="s">
        <v>12660</v>
      </c>
    </row>
    <row r="924">
      <c r="A924" s="257" t="s">
        <v>12661</v>
      </c>
      <c r="B924" s="257" t="s">
        <v>12661</v>
      </c>
    </row>
    <row r="925">
      <c r="A925" s="257" t="s">
        <v>11677</v>
      </c>
      <c r="B925" s="257" t="s">
        <v>11677</v>
      </c>
    </row>
    <row r="926">
      <c r="A926" s="257" t="s">
        <v>12046</v>
      </c>
      <c r="B926" s="257" t="s">
        <v>12046</v>
      </c>
    </row>
    <row r="927">
      <c r="A927" s="257" t="s">
        <v>11683</v>
      </c>
      <c r="B927" s="257" t="s">
        <v>11683</v>
      </c>
    </row>
    <row r="928">
      <c r="A928" s="257" t="s">
        <v>12662</v>
      </c>
      <c r="B928" s="257" t="s">
        <v>12662</v>
      </c>
    </row>
    <row r="929">
      <c r="A929" s="257" t="s">
        <v>12663</v>
      </c>
      <c r="B929" s="257" t="s">
        <v>12663</v>
      </c>
    </row>
    <row r="930">
      <c r="A930" s="257" t="s">
        <v>12664</v>
      </c>
      <c r="B930" s="257" t="s">
        <v>12664</v>
      </c>
    </row>
    <row r="931">
      <c r="A931" s="257" t="s">
        <v>12665</v>
      </c>
      <c r="B931" s="257" t="s">
        <v>12665</v>
      </c>
    </row>
    <row r="932">
      <c r="A932" s="257" t="s">
        <v>11667</v>
      </c>
      <c r="B932" s="257" t="s">
        <v>11667</v>
      </c>
    </row>
    <row r="933">
      <c r="A933" s="257" t="s">
        <v>12666</v>
      </c>
      <c r="B933" s="257" t="s">
        <v>11805</v>
      </c>
    </row>
    <row r="934">
      <c r="A934" s="257" t="s">
        <v>11776</v>
      </c>
      <c r="B934" s="257" t="s">
        <v>11776</v>
      </c>
    </row>
    <row r="935">
      <c r="A935" s="257" t="s">
        <v>12667</v>
      </c>
      <c r="B935" s="257" t="s">
        <v>6496</v>
      </c>
    </row>
    <row r="936">
      <c r="A936" s="257" t="s">
        <v>12668</v>
      </c>
      <c r="B936" s="257" t="s">
        <v>12668</v>
      </c>
    </row>
    <row r="937">
      <c r="A937" s="257" t="s">
        <v>12669</v>
      </c>
      <c r="B937" s="257" t="s">
        <v>6660</v>
      </c>
    </row>
    <row r="938">
      <c r="A938" s="257" t="s">
        <v>12670</v>
      </c>
      <c r="B938" s="257" t="s">
        <v>6662</v>
      </c>
    </row>
    <row r="939">
      <c r="A939" s="257" t="s">
        <v>11848</v>
      </c>
      <c r="B939" s="257" t="s">
        <v>11848</v>
      </c>
    </row>
    <row r="940">
      <c r="A940" s="257" t="s">
        <v>12671</v>
      </c>
      <c r="B940" s="257" t="s">
        <v>11885</v>
      </c>
    </row>
    <row r="941">
      <c r="A941" s="257" t="s">
        <v>12672</v>
      </c>
      <c r="B941" s="257" t="s">
        <v>5121</v>
      </c>
    </row>
    <row r="942">
      <c r="A942" s="257" t="s">
        <v>12673</v>
      </c>
      <c r="B942" s="257" t="s">
        <v>12673</v>
      </c>
    </row>
    <row r="943">
      <c r="A943" s="257" t="s">
        <v>10117</v>
      </c>
      <c r="B943" s="257" t="s">
        <v>10117</v>
      </c>
    </row>
    <row r="944">
      <c r="A944" s="257" t="s">
        <v>11827</v>
      </c>
      <c r="B944" s="257" t="s">
        <v>11827</v>
      </c>
    </row>
    <row r="945">
      <c r="A945" s="257" t="s">
        <v>1866</v>
      </c>
      <c r="B945" s="257" t="s">
        <v>1866</v>
      </c>
    </row>
    <row r="946">
      <c r="A946" s="257" t="s">
        <v>12674</v>
      </c>
      <c r="B946" s="257" t="s">
        <v>12674</v>
      </c>
    </row>
    <row r="947">
      <c r="A947" s="257" t="s">
        <v>12675</v>
      </c>
      <c r="B947" s="257" t="s">
        <v>11820</v>
      </c>
    </row>
    <row r="948">
      <c r="A948" s="257" t="s">
        <v>6682</v>
      </c>
      <c r="B948" s="257" t="s">
        <v>6682</v>
      </c>
    </row>
    <row r="949">
      <c r="A949" s="257" t="s">
        <v>12676</v>
      </c>
      <c r="B949" s="257" t="s">
        <v>12676</v>
      </c>
    </row>
    <row r="950">
      <c r="A950" s="257" t="s">
        <v>12677</v>
      </c>
      <c r="B950" s="257" t="s">
        <v>11811</v>
      </c>
    </row>
    <row r="951">
      <c r="A951" s="257" t="s">
        <v>12678</v>
      </c>
      <c r="B951" s="257" t="s">
        <v>11811</v>
      </c>
    </row>
    <row r="952">
      <c r="A952" s="257" t="s">
        <v>12679</v>
      </c>
      <c r="B952" s="257" t="s">
        <v>12679</v>
      </c>
    </row>
    <row r="953">
      <c r="A953" s="257" t="s">
        <v>6494</v>
      </c>
      <c r="B953" s="257" t="s">
        <v>6494</v>
      </c>
    </row>
    <row r="954">
      <c r="A954" s="257" t="s">
        <v>12680</v>
      </c>
      <c r="B954" s="257" t="s">
        <v>1838</v>
      </c>
    </row>
    <row r="955">
      <c r="A955" s="257" t="s">
        <v>11937</v>
      </c>
      <c r="B955" s="257" t="s">
        <v>11937</v>
      </c>
    </row>
    <row r="956">
      <c r="A956" s="257" t="s">
        <v>12681</v>
      </c>
      <c r="B956" s="257" t="s">
        <v>11936</v>
      </c>
    </row>
    <row r="957">
      <c r="A957" s="257" t="s">
        <v>12682</v>
      </c>
      <c r="B957" s="257" t="s">
        <v>11771</v>
      </c>
    </row>
    <row r="958">
      <c r="A958" s="257" t="s">
        <v>12683</v>
      </c>
      <c r="B958" s="257" t="s">
        <v>11798</v>
      </c>
    </row>
    <row r="959">
      <c r="A959" s="257" t="s">
        <v>11773</v>
      </c>
      <c r="B959" s="257" t="s">
        <v>11773</v>
      </c>
    </row>
    <row r="960">
      <c r="A960" s="257" t="s">
        <v>12684</v>
      </c>
      <c r="B960" s="257" t="s">
        <v>11894</v>
      </c>
    </row>
    <row r="961">
      <c r="A961" s="257" t="s">
        <v>12685</v>
      </c>
      <c r="B961" s="257" t="s">
        <v>11947</v>
      </c>
    </row>
    <row r="962">
      <c r="A962" s="257" t="s">
        <v>12686</v>
      </c>
      <c r="B962" s="257" t="s">
        <v>6673</v>
      </c>
    </row>
    <row r="963">
      <c r="A963" s="257" t="s">
        <v>12687</v>
      </c>
      <c r="B963" s="257" t="s">
        <v>12267</v>
      </c>
    </row>
    <row r="964">
      <c r="A964" s="257" t="s">
        <v>12688</v>
      </c>
      <c r="B964" s="257" t="s">
        <v>6656</v>
      </c>
    </row>
    <row r="965">
      <c r="A965" s="257" t="s">
        <v>12689</v>
      </c>
      <c r="B965" s="257" t="s">
        <v>11421</v>
      </c>
    </row>
    <row r="966">
      <c r="A966" s="257" t="s">
        <v>12690</v>
      </c>
      <c r="B966" s="257" t="s">
        <v>11647</v>
      </c>
    </row>
    <row r="967">
      <c r="A967" s="257" t="s">
        <v>12691</v>
      </c>
      <c r="B967" s="257" t="s">
        <v>10104</v>
      </c>
    </row>
    <row r="968">
      <c r="A968" s="257" t="s">
        <v>10171</v>
      </c>
      <c r="B968" s="257" t="s">
        <v>10171</v>
      </c>
    </row>
    <row r="969">
      <c r="A969" s="257" t="s">
        <v>12692</v>
      </c>
      <c r="B969" s="257" t="s">
        <v>12692</v>
      </c>
    </row>
    <row r="970">
      <c r="A970" s="257" t="s">
        <v>12693</v>
      </c>
      <c r="B970" s="257" t="s">
        <v>1845</v>
      </c>
    </row>
    <row r="971">
      <c r="A971" s="257" t="s">
        <v>12694</v>
      </c>
      <c r="B971" s="257" t="s">
        <v>11829</v>
      </c>
    </row>
    <row r="972">
      <c r="A972" s="257" t="s">
        <v>10126</v>
      </c>
      <c r="B972" s="257" t="s">
        <v>10126</v>
      </c>
    </row>
    <row r="973">
      <c r="A973" s="257" t="s">
        <v>12695</v>
      </c>
      <c r="B973" s="257" t="s">
        <v>6258</v>
      </c>
    </row>
    <row r="974">
      <c r="A974" s="257" t="s">
        <v>11800</v>
      </c>
      <c r="B974" s="257" t="s">
        <v>11800</v>
      </c>
    </row>
    <row r="975">
      <c r="A975" s="257" t="s">
        <v>6254</v>
      </c>
      <c r="B975" s="257" t="s">
        <v>6254</v>
      </c>
    </row>
    <row r="976">
      <c r="A976" s="257" t="s">
        <v>6492</v>
      </c>
      <c r="B976" s="257" t="s">
        <v>6492</v>
      </c>
    </row>
    <row r="977">
      <c r="A977" s="257" t="s">
        <v>12696</v>
      </c>
      <c r="B977" s="257" t="s">
        <v>1839</v>
      </c>
    </row>
    <row r="978">
      <c r="A978" s="257" t="s">
        <v>11802</v>
      </c>
      <c r="B978" s="257" t="s">
        <v>11802</v>
      </c>
    </row>
    <row r="979">
      <c r="A979" s="257" t="s">
        <v>12697</v>
      </c>
      <c r="B979" s="257" t="s">
        <v>11807</v>
      </c>
    </row>
    <row r="980">
      <c r="A980" s="257" t="s">
        <v>1807</v>
      </c>
      <c r="B980" s="257" t="s">
        <v>1807</v>
      </c>
    </row>
    <row r="981">
      <c r="A981" s="257" t="s">
        <v>11899</v>
      </c>
      <c r="B981" s="257" t="s">
        <v>11899</v>
      </c>
    </row>
    <row r="982">
      <c r="A982" s="257" t="s">
        <v>12698</v>
      </c>
      <c r="B982" s="257" t="s">
        <v>5134</v>
      </c>
    </row>
    <row r="983">
      <c r="A983" s="257" t="s">
        <v>12699</v>
      </c>
      <c r="B983" s="257" t="s">
        <v>12699</v>
      </c>
    </row>
    <row r="984">
      <c r="A984" s="257" t="s">
        <v>11779</v>
      </c>
      <c r="B984" s="257" t="s">
        <v>11779</v>
      </c>
    </row>
    <row r="985">
      <c r="A985" s="257" t="s">
        <v>9534</v>
      </c>
      <c r="B985" s="257" t="s">
        <v>9534</v>
      </c>
    </row>
    <row r="986">
      <c r="A986" s="257" t="s">
        <v>12700</v>
      </c>
      <c r="B986" s="257" t="s">
        <v>12700</v>
      </c>
    </row>
    <row r="987">
      <c r="A987" s="257" t="s">
        <v>11865</v>
      </c>
      <c r="B987" s="257" t="s">
        <v>11865</v>
      </c>
    </row>
    <row r="988">
      <c r="A988" s="257" t="s">
        <v>11882</v>
      </c>
      <c r="B988" s="257" t="s">
        <v>11882</v>
      </c>
    </row>
    <row r="989">
      <c r="A989" s="257" t="s">
        <v>12701</v>
      </c>
      <c r="B989" s="257" t="s">
        <v>12701</v>
      </c>
    </row>
    <row r="990">
      <c r="A990" s="257" t="s">
        <v>12702</v>
      </c>
      <c r="B990" s="257" t="s">
        <v>11397</v>
      </c>
    </row>
    <row r="991">
      <c r="A991" s="257" t="s">
        <v>12703</v>
      </c>
      <c r="B991" s="257" t="s">
        <v>12703</v>
      </c>
    </row>
    <row r="992">
      <c r="A992" s="257" t="s">
        <v>11778</v>
      </c>
      <c r="B992" s="257" t="s">
        <v>11778</v>
      </c>
    </row>
    <row r="993">
      <c r="A993" s="257" t="s">
        <v>12704</v>
      </c>
      <c r="B993" s="257" t="s">
        <v>12704</v>
      </c>
    </row>
    <row r="994">
      <c r="A994" s="257" t="s">
        <v>12705</v>
      </c>
      <c r="B994" s="257" t="s">
        <v>11768</v>
      </c>
    </row>
    <row r="995">
      <c r="A995" s="257" t="s">
        <v>12706</v>
      </c>
      <c r="B995" s="257" t="s">
        <v>12706</v>
      </c>
    </row>
    <row r="996">
      <c r="A996" s="257" t="s">
        <v>11420</v>
      </c>
      <c r="B996" s="257" t="s">
        <v>10122</v>
      </c>
    </row>
    <row r="997">
      <c r="A997" s="257" t="s">
        <v>11770</v>
      </c>
      <c r="B997" s="257" t="s">
        <v>11770</v>
      </c>
    </row>
    <row r="998">
      <c r="A998" s="257" t="s">
        <v>5116</v>
      </c>
      <c r="B998" s="257" t="s">
        <v>5116</v>
      </c>
    </row>
    <row r="999">
      <c r="A999" s="257" t="s">
        <v>10169</v>
      </c>
      <c r="B999" s="257" t="s">
        <v>10169</v>
      </c>
    </row>
    <row r="1000">
      <c r="A1000" s="257" t="s">
        <v>11398</v>
      </c>
      <c r="B1000" s="257" t="s">
        <v>11398</v>
      </c>
    </row>
    <row r="1001">
      <c r="A1001" s="257" t="s">
        <v>12707</v>
      </c>
      <c r="B1001" s="257" t="s">
        <v>12707</v>
      </c>
    </row>
    <row r="1002">
      <c r="A1002" s="257" t="s">
        <v>5194</v>
      </c>
      <c r="B1002" s="257" t="s">
        <v>5194</v>
      </c>
    </row>
    <row r="1003">
      <c r="A1003" s="257" t="s">
        <v>12708</v>
      </c>
      <c r="B1003" s="257" t="s">
        <v>11888</v>
      </c>
    </row>
    <row r="1004">
      <c r="A1004" s="257" t="s">
        <v>12709</v>
      </c>
      <c r="B1004" s="257" t="s">
        <v>12709</v>
      </c>
    </row>
    <row r="1005">
      <c r="A1005" s="257" t="s">
        <v>12710</v>
      </c>
      <c r="B1005" s="257" t="s">
        <v>12710</v>
      </c>
    </row>
    <row r="1006">
      <c r="A1006" s="257" t="s">
        <v>12711</v>
      </c>
      <c r="B1006" s="257" t="s">
        <v>12711</v>
      </c>
    </row>
    <row r="1007">
      <c r="A1007" s="257" t="s">
        <v>7230</v>
      </c>
      <c r="B1007" s="257" t="s">
        <v>7230</v>
      </c>
    </row>
    <row r="1008">
      <c r="A1008" s="257" t="s">
        <v>12712</v>
      </c>
      <c r="B1008" s="257" t="s">
        <v>1811</v>
      </c>
    </row>
    <row r="1009">
      <c r="A1009" s="257" t="s">
        <v>12713</v>
      </c>
      <c r="B1009" s="257" t="s">
        <v>12713</v>
      </c>
    </row>
    <row r="1010">
      <c r="A1010" s="257" t="s">
        <v>1834</v>
      </c>
      <c r="B1010" s="257" t="s">
        <v>1834</v>
      </c>
    </row>
    <row r="1011">
      <c r="A1011" s="257" t="s">
        <v>11862</v>
      </c>
      <c r="B1011" s="257" t="s">
        <v>11862</v>
      </c>
    </row>
    <row r="1012">
      <c r="A1012" s="257" t="s">
        <v>6408</v>
      </c>
      <c r="B1012" s="257" t="s">
        <v>6408</v>
      </c>
    </row>
    <row r="1013">
      <c r="A1013" s="257" t="s">
        <v>12714</v>
      </c>
      <c r="B1013" s="257" t="s">
        <v>11831</v>
      </c>
    </row>
    <row r="1014">
      <c r="A1014" s="257" t="s">
        <v>12715</v>
      </c>
      <c r="B1014" s="257" t="s">
        <v>12715</v>
      </c>
    </row>
    <row r="1015">
      <c r="A1015" s="257" t="s">
        <v>12716</v>
      </c>
      <c r="B1015" s="257" t="s">
        <v>11800</v>
      </c>
    </row>
    <row r="1016">
      <c r="A1016" s="257" t="s">
        <v>12717</v>
      </c>
      <c r="B1016" s="257" t="s">
        <v>11935</v>
      </c>
    </row>
    <row r="1017">
      <c r="A1017" s="257" t="s">
        <v>12718</v>
      </c>
      <c r="B1017" s="257" t="s">
        <v>12718</v>
      </c>
    </row>
    <row r="1018">
      <c r="A1018" s="257" t="s">
        <v>12719</v>
      </c>
      <c r="B1018" s="257" t="s">
        <v>9082</v>
      </c>
    </row>
    <row r="1019">
      <c r="A1019" s="257" t="s">
        <v>5198</v>
      </c>
      <c r="B1019" s="257" t="s">
        <v>5198</v>
      </c>
    </row>
    <row r="1020">
      <c r="A1020" s="257" t="s">
        <v>12720</v>
      </c>
      <c r="B1020" s="257" t="s">
        <v>11803</v>
      </c>
    </row>
    <row r="1021">
      <c r="A1021" s="257" t="s">
        <v>12721</v>
      </c>
      <c r="B1021" s="257" t="s">
        <v>11801</v>
      </c>
    </row>
    <row r="1022">
      <c r="A1022" s="257" t="s">
        <v>12722</v>
      </c>
      <c r="B1022" s="257" t="s">
        <v>11488</v>
      </c>
    </row>
    <row r="1023">
      <c r="A1023" s="257" t="s">
        <v>12723</v>
      </c>
      <c r="B1023" s="257" t="s">
        <v>11805</v>
      </c>
    </row>
    <row r="1024">
      <c r="A1024" s="257" t="s">
        <v>11772</v>
      </c>
      <c r="B1024" s="257" t="s">
        <v>11772</v>
      </c>
    </row>
    <row r="1025">
      <c r="A1025" s="257" t="s">
        <v>11774</v>
      </c>
      <c r="B1025" s="257" t="s">
        <v>11774</v>
      </c>
    </row>
    <row r="1026">
      <c r="A1026" s="257" t="s">
        <v>12724</v>
      </c>
      <c r="B1026" s="257" t="s">
        <v>11836</v>
      </c>
    </row>
    <row r="1027">
      <c r="A1027" s="257" t="s">
        <v>12725</v>
      </c>
      <c r="B1027" s="257" t="s">
        <v>12725</v>
      </c>
    </row>
    <row r="1028">
      <c r="A1028" s="257" t="s">
        <v>12726</v>
      </c>
      <c r="B1028" s="257" t="s">
        <v>1822</v>
      </c>
    </row>
    <row r="1029">
      <c r="A1029" s="257" t="s">
        <v>1925</v>
      </c>
      <c r="B1029" s="257" t="s">
        <v>1925</v>
      </c>
    </row>
    <row r="1030">
      <c r="A1030" s="257" t="s">
        <v>12727</v>
      </c>
      <c r="B1030" s="257" t="s">
        <v>12727</v>
      </c>
    </row>
    <row r="1031">
      <c r="A1031" s="257" t="s">
        <v>12728</v>
      </c>
      <c r="B1031" s="257" t="s">
        <v>12728</v>
      </c>
    </row>
    <row r="1032">
      <c r="A1032" s="257" t="s">
        <v>11410</v>
      </c>
      <c r="B1032" s="257" t="s">
        <v>11410</v>
      </c>
    </row>
    <row r="1033">
      <c r="A1033" s="257" t="s">
        <v>6255</v>
      </c>
      <c r="B1033" s="257" t="s">
        <v>6255</v>
      </c>
    </row>
    <row r="1034">
      <c r="A1034" s="257" t="s">
        <v>12729</v>
      </c>
      <c r="B1034" s="257" t="s">
        <v>12729</v>
      </c>
    </row>
    <row r="1035">
      <c r="A1035" s="257" t="s">
        <v>11399</v>
      </c>
      <c r="B1035" s="257" t="s">
        <v>11399</v>
      </c>
    </row>
    <row r="1036">
      <c r="A1036" s="257" t="s">
        <v>11930</v>
      </c>
      <c r="B1036" s="257" t="s">
        <v>11930</v>
      </c>
    </row>
    <row r="1037">
      <c r="A1037" s="257" t="s">
        <v>11780</v>
      </c>
      <c r="B1037" s="257" t="s">
        <v>11780</v>
      </c>
    </row>
    <row r="1038">
      <c r="A1038" s="257" t="s">
        <v>12730</v>
      </c>
      <c r="B1038" s="257" t="s">
        <v>12730</v>
      </c>
    </row>
    <row r="1039">
      <c r="A1039" s="257" t="s">
        <v>11970</v>
      </c>
      <c r="B1039" s="257" t="s">
        <v>11970</v>
      </c>
    </row>
    <row r="1040">
      <c r="A1040" s="257" t="s">
        <v>11907</v>
      </c>
      <c r="B1040" s="257" t="s">
        <v>11907</v>
      </c>
    </row>
    <row r="1041">
      <c r="A1041" s="257" t="s">
        <v>5496</v>
      </c>
      <c r="B1041" s="257" t="s">
        <v>5496</v>
      </c>
    </row>
    <row r="1042">
      <c r="A1042" s="257" t="s">
        <v>6314</v>
      </c>
      <c r="B1042" s="257" t="s">
        <v>6314</v>
      </c>
    </row>
    <row r="1043">
      <c r="A1043" s="257" t="s">
        <v>2114</v>
      </c>
      <c r="B1043" s="257" t="s">
        <v>2114</v>
      </c>
    </row>
    <row r="1044">
      <c r="A1044" s="257" t="s">
        <v>6716</v>
      </c>
      <c r="B1044" s="257" t="s">
        <v>6716</v>
      </c>
    </row>
    <row r="1045">
      <c r="A1045" s="257" t="s">
        <v>12731</v>
      </c>
      <c r="B1045" s="257" t="s">
        <v>12731</v>
      </c>
    </row>
    <row r="1046">
      <c r="A1046" s="257" t="s">
        <v>12732</v>
      </c>
      <c r="B1046" s="257" t="s">
        <v>12732</v>
      </c>
    </row>
    <row r="1047">
      <c r="A1047" s="257" t="s">
        <v>12733</v>
      </c>
      <c r="B1047" s="257" t="s">
        <v>12733</v>
      </c>
    </row>
    <row r="1048">
      <c r="A1048" s="257" t="s">
        <v>6331</v>
      </c>
      <c r="B1048" s="257" t="s">
        <v>6331</v>
      </c>
    </row>
    <row r="1049">
      <c r="A1049" s="257" t="s">
        <v>9707</v>
      </c>
      <c r="B1049" s="257" t="s">
        <v>9707</v>
      </c>
    </row>
    <row r="1050">
      <c r="A1050" s="257" t="s">
        <v>12734</v>
      </c>
      <c r="B1050" s="257" t="s">
        <v>12734</v>
      </c>
    </row>
    <row r="1051">
      <c r="A1051" s="257" t="s">
        <v>12735</v>
      </c>
      <c r="B1051" s="257" t="s">
        <v>12735</v>
      </c>
    </row>
    <row r="1052">
      <c r="A1052" s="257" t="s">
        <v>2105</v>
      </c>
      <c r="B1052" s="257" t="s">
        <v>2105</v>
      </c>
    </row>
    <row r="1053">
      <c r="A1053" s="257" t="s">
        <v>12736</v>
      </c>
      <c r="B1053" s="257" t="s">
        <v>12736</v>
      </c>
    </row>
    <row r="1054">
      <c r="A1054" s="257" t="s">
        <v>12737</v>
      </c>
      <c r="B1054" s="257" t="s">
        <v>12737</v>
      </c>
    </row>
    <row r="1055">
      <c r="A1055" s="257" t="s">
        <v>6338</v>
      </c>
      <c r="B1055" s="257" t="s">
        <v>6338</v>
      </c>
    </row>
    <row r="1056">
      <c r="A1056" s="257" t="s">
        <v>12738</v>
      </c>
      <c r="B1056" s="257" t="s">
        <v>12738</v>
      </c>
    </row>
    <row r="1057">
      <c r="A1057" s="257" t="s">
        <v>12739</v>
      </c>
      <c r="B1057" s="257" t="s">
        <v>12739</v>
      </c>
    </row>
    <row r="1058">
      <c r="A1058" s="257" t="s">
        <v>6717</v>
      </c>
      <c r="B1058" s="257" t="s">
        <v>6717</v>
      </c>
    </row>
    <row r="1059">
      <c r="A1059" s="257" t="s">
        <v>12740</v>
      </c>
      <c r="B1059" s="257" t="s">
        <v>12740</v>
      </c>
    </row>
    <row r="1060">
      <c r="A1060" s="257" t="s">
        <v>12741</v>
      </c>
      <c r="B1060" s="257" t="s">
        <v>12742</v>
      </c>
    </row>
    <row r="1061">
      <c r="A1061" s="257" t="s">
        <v>6315</v>
      </c>
      <c r="B1061" s="257" t="s">
        <v>6315</v>
      </c>
    </row>
    <row r="1062">
      <c r="A1062" s="257" t="s">
        <v>10036</v>
      </c>
      <c r="B1062" s="257" t="s">
        <v>10036</v>
      </c>
    </row>
    <row r="1063">
      <c r="A1063" s="257" t="s">
        <v>12743</v>
      </c>
      <c r="B1063" s="257" t="s">
        <v>12743</v>
      </c>
    </row>
    <row r="1064">
      <c r="A1064" s="257" t="s">
        <v>12744</v>
      </c>
      <c r="B1064" s="257" t="s">
        <v>12744</v>
      </c>
    </row>
    <row r="1065">
      <c r="A1065" s="257" t="s">
        <v>12745</v>
      </c>
      <c r="B1065" s="257" t="s">
        <v>12745</v>
      </c>
    </row>
    <row r="1066">
      <c r="A1066" s="257" t="s">
        <v>12746</v>
      </c>
      <c r="B1066" s="257" t="s">
        <v>12747</v>
      </c>
    </row>
    <row r="1067">
      <c r="A1067" s="257" t="s">
        <v>12748</v>
      </c>
      <c r="B1067" s="257" t="s">
        <v>12749</v>
      </c>
    </row>
    <row r="1068">
      <c r="A1068" s="257" t="s">
        <v>12750</v>
      </c>
      <c r="B1068" s="257" t="s">
        <v>12750</v>
      </c>
    </row>
    <row r="1069">
      <c r="A1069" s="257" t="s">
        <v>12751</v>
      </c>
      <c r="B1069" s="257" t="s">
        <v>12751</v>
      </c>
    </row>
    <row r="1070">
      <c r="A1070" s="257" t="s">
        <v>12752</v>
      </c>
      <c r="B1070" s="257" t="s">
        <v>12752</v>
      </c>
    </row>
    <row r="1071">
      <c r="A1071" s="257" t="s">
        <v>12753</v>
      </c>
      <c r="B1071" s="257" t="s">
        <v>12753</v>
      </c>
    </row>
    <row r="1072">
      <c r="A1072" s="257" t="s">
        <v>12754</v>
      </c>
      <c r="B1072" s="257" t="s">
        <v>12754</v>
      </c>
    </row>
    <row r="1073">
      <c r="A1073" s="257" t="s">
        <v>12755</v>
      </c>
      <c r="B1073" s="257" t="s">
        <v>12755</v>
      </c>
    </row>
    <row r="1074">
      <c r="A1074" s="257" t="s">
        <v>12756</v>
      </c>
      <c r="B1074" s="257" t="s">
        <v>12756</v>
      </c>
    </row>
    <row r="1075">
      <c r="A1075" s="257" t="s">
        <v>12747</v>
      </c>
      <c r="B1075" s="257" t="s">
        <v>12747</v>
      </c>
    </row>
    <row r="1076">
      <c r="A1076" s="257" t="s">
        <v>12757</v>
      </c>
      <c r="B1076" s="257" t="s">
        <v>12757</v>
      </c>
    </row>
    <row r="1077">
      <c r="A1077" s="257" t="s">
        <v>12758</v>
      </c>
      <c r="B1077" s="257" t="s">
        <v>12758</v>
      </c>
    </row>
    <row r="1078">
      <c r="A1078" s="257" t="s">
        <v>12759</v>
      </c>
      <c r="B1078" s="257" t="s">
        <v>12759</v>
      </c>
    </row>
    <row r="1079">
      <c r="A1079" s="257" t="s">
        <v>12760</v>
      </c>
      <c r="B1079" s="257" t="s">
        <v>12760</v>
      </c>
    </row>
    <row r="1080">
      <c r="A1080" s="257" t="s">
        <v>12761</v>
      </c>
      <c r="B1080" s="257" t="s">
        <v>12761</v>
      </c>
    </row>
    <row r="1081">
      <c r="A1081" s="257" t="s">
        <v>12762</v>
      </c>
      <c r="B1081" s="257" t="s">
        <v>12762</v>
      </c>
    </row>
    <row r="1082">
      <c r="A1082" s="257" t="s">
        <v>12763</v>
      </c>
      <c r="B1082" s="257" t="s">
        <v>12763</v>
      </c>
    </row>
    <row r="1083">
      <c r="A1083" s="257" t="s">
        <v>12764</v>
      </c>
      <c r="B1083" s="257" t="s">
        <v>12764</v>
      </c>
    </row>
    <row r="1084">
      <c r="A1084" s="257" t="s">
        <v>12765</v>
      </c>
      <c r="B1084" s="257" t="s">
        <v>12765</v>
      </c>
    </row>
    <row r="1085">
      <c r="A1085" s="257" t="s">
        <v>12766</v>
      </c>
      <c r="B1085" s="257" t="s">
        <v>12766</v>
      </c>
    </row>
    <row r="1086">
      <c r="A1086" s="257" t="s">
        <v>12767</v>
      </c>
      <c r="B1086" s="257" t="s">
        <v>12767</v>
      </c>
    </row>
    <row r="1087">
      <c r="A1087" s="257" t="s">
        <v>12768</v>
      </c>
      <c r="B1087" s="257" t="s">
        <v>12768</v>
      </c>
    </row>
    <row r="1088">
      <c r="A1088" s="257" t="s">
        <v>12769</v>
      </c>
      <c r="B1088" s="257" t="s">
        <v>12769</v>
      </c>
    </row>
    <row r="1089">
      <c r="A1089" s="257" t="s">
        <v>12770</v>
      </c>
      <c r="B1089" s="257" t="s">
        <v>12770</v>
      </c>
    </row>
    <row r="1090">
      <c r="A1090" s="257" t="s">
        <v>10039</v>
      </c>
      <c r="B1090" s="257" t="s">
        <v>10039</v>
      </c>
    </row>
    <row r="1091">
      <c r="A1091" s="257" t="s">
        <v>12771</v>
      </c>
      <c r="B1091" s="257" t="s">
        <v>12772</v>
      </c>
    </row>
    <row r="1092">
      <c r="A1092" s="257" t="s">
        <v>12773</v>
      </c>
      <c r="B1092" s="257" t="s">
        <v>12773</v>
      </c>
    </row>
    <row r="1093">
      <c r="A1093" s="257" t="s">
        <v>12774</v>
      </c>
      <c r="B1093" s="257" t="s">
        <v>12774</v>
      </c>
    </row>
    <row r="1094">
      <c r="A1094" s="257" t="s">
        <v>12775</v>
      </c>
      <c r="B1094" s="257" t="s">
        <v>12775</v>
      </c>
    </row>
    <row r="1095">
      <c r="A1095" s="257" t="s">
        <v>12776</v>
      </c>
      <c r="B1095" s="257" t="s">
        <v>12776</v>
      </c>
    </row>
    <row r="1096">
      <c r="A1096" s="257" t="s">
        <v>12777</v>
      </c>
      <c r="B1096" s="257" t="s">
        <v>12777</v>
      </c>
    </row>
    <row r="1097">
      <c r="A1097" s="257" t="s">
        <v>12778</v>
      </c>
      <c r="B1097" s="257" t="s">
        <v>12778</v>
      </c>
    </row>
    <row r="1098">
      <c r="A1098" s="257" t="s">
        <v>12779</v>
      </c>
      <c r="B1098" s="257" t="s">
        <v>12780</v>
      </c>
    </row>
    <row r="1099">
      <c r="A1099" s="257" t="s">
        <v>12781</v>
      </c>
      <c r="B1099" s="257" t="s">
        <v>12781</v>
      </c>
    </row>
    <row r="1100">
      <c r="A1100" s="257" t="s">
        <v>12782</v>
      </c>
      <c r="B1100" s="257" t="s">
        <v>12782</v>
      </c>
    </row>
    <row r="1101">
      <c r="A1101" s="257" t="s">
        <v>12783</v>
      </c>
      <c r="B1101" s="257" t="s">
        <v>12783</v>
      </c>
    </row>
    <row r="1102">
      <c r="A1102" s="257" t="s">
        <v>12780</v>
      </c>
      <c r="B1102" s="257" t="s">
        <v>12780</v>
      </c>
    </row>
    <row r="1103">
      <c r="A1103" s="257" t="s">
        <v>12784</v>
      </c>
      <c r="B1103" s="257" t="s">
        <v>12784</v>
      </c>
    </row>
    <row r="1104">
      <c r="A1104" s="257" t="s">
        <v>12785</v>
      </c>
      <c r="B1104" s="257" t="s">
        <v>12785</v>
      </c>
    </row>
    <row r="1105">
      <c r="A1105" s="257" t="s">
        <v>12786</v>
      </c>
      <c r="B1105" s="257" t="s">
        <v>12786</v>
      </c>
    </row>
    <row r="1106">
      <c r="A1106" s="257" t="s">
        <v>12787</v>
      </c>
      <c r="B1106" s="257" t="s">
        <v>12787</v>
      </c>
    </row>
    <row r="1107">
      <c r="A1107" s="257" t="s">
        <v>10038</v>
      </c>
      <c r="B1107" s="257" t="s">
        <v>10038</v>
      </c>
    </row>
    <row r="1108">
      <c r="A1108" s="257" t="s">
        <v>12788</v>
      </c>
      <c r="B1108" s="257" t="s">
        <v>12788</v>
      </c>
    </row>
    <row r="1109">
      <c r="A1109" s="257" t="s">
        <v>12789</v>
      </c>
      <c r="B1109" s="257" t="s">
        <v>12789</v>
      </c>
    </row>
    <row r="1110">
      <c r="A1110" s="257" t="s">
        <v>12790</v>
      </c>
      <c r="B1110" s="257" t="s">
        <v>12790</v>
      </c>
    </row>
    <row r="1111">
      <c r="A1111" s="257" t="s">
        <v>12791</v>
      </c>
      <c r="B1111" s="257" t="s">
        <v>12791</v>
      </c>
    </row>
    <row r="1112">
      <c r="A1112" s="257" t="s">
        <v>12772</v>
      </c>
      <c r="B1112" s="257" t="s">
        <v>12772</v>
      </c>
    </row>
    <row r="1113">
      <c r="A1113" s="257" t="s">
        <v>12792</v>
      </c>
      <c r="B1113" s="257" t="s">
        <v>12792</v>
      </c>
    </row>
    <row r="1114">
      <c r="A1114" s="257" t="s">
        <v>12793</v>
      </c>
      <c r="B1114" s="257" t="s">
        <v>12793</v>
      </c>
    </row>
    <row r="1115">
      <c r="A1115" s="257" t="s">
        <v>12794</v>
      </c>
      <c r="B1115" s="257" t="s">
        <v>12760</v>
      </c>
    </row>
    <row r="1116">
      <c r="A1116" s="257" t="s">
        <v>12795</v>
      </c>
      <c r="B1116" s="257" t="s">
        <v>12795</v>
      </c>
    </row>
    <row r="1117">
      <c r="A1117" s="257" t="s">
        <v>12796</v>
      </c>
      <c r="B1117" s="257" t="s">
        <v>12796</v>
      </c>
    </row>
    <row r="1118">
      <c r="A1118" s="257" t="s">
        <v>12797</v>
      </c>
      <c r="B1118" s="257" t="s">
        <v>12797</v>
      </c>
    </row>
    <row r="1119">
      <c r="A1119" s="257" t="s">
        <v>12798</v>
      </c>
      <c r="B1119" s="257" t="s">
        <v>12798</v>
      </c>
    </row>
    <row r="1120">
      <c r="A1120" s="257" t="s">
        <v>12799</v>
      </c>
      <c r="B1120" s="257" t="s">
        <v>12799</v>
      </c>
    </row>
    <row r="1121">
      <c r="A1121" s="257" t="s">
        <v>12749</v>
      </c>
      <c r="B1121" s="257" t="s">
        <v>12749</v>
      </c>
    </row>
    <row r="1122">
      <c r="A1122" s="257" t="s">
        <v>12800</v>
      </c>
      <c r="B1122" s="257" t="s">
        <v>12800</v>
      </c>
    </row>
    <row r="1123">
      <c r="A1123" s="257" t="s">
        <v>12801</v>
      </c>
      <c r="B1123" s="257" t="s">
        <v>12801</v>
      </c>
    </row>
    <row r="1124">
      <c r="A1124" s="257" t="s">
        <v>12802</v>
      </c>
      <c r="B1124" s="257" t="s">
        <v>12802</v>
      </c>
    </row>
    <row r="1125">
      <c r="A1125" s="257" t="s">
        <v>12803</v>
      </c>
      <c r="B1125" s="257" t="s">
        <v>12803</v>
      </c>
    </row>
    <row r="1126">
      <c r="A1126" s="257" t="s">
        <v>12804</v>
      </c>
      <c r="B1126" s="257" t="s">
        <v>12804</v>
      </c>
    </row>
    <row r="1127">
      <c r="A1127" s="257" t="s">
        <v>12805</v>
      </c>
      <c r="B1127" s="257" t="s">
        <v>12805</v>
      </c>
    </row>
    <row r="1128">
      <c r="A1128" s="257" t="s">
        <v>12806</v>
      </c>
      <c r="B1128" s="257" t="s">
        <v>12806</v>
      </c>
    </row>
    <row r="1129">
      <c r="A1129" s="257" t="s">
        <v>12807</v>
      </c>
      <c r="B1129" s="257" t="s">
        <v>12778</v>
      </c>
    </row>
    <row r="1130">
      <c r="A1130" s="257" t="s">
        <v>12808</v>
      </c>
      <c r="B1130" s="257" t="s">
        <v>12808</v>
      </c>
    </row>
    <row r="1131">
      <c r="A1131" s="257" t="s">
        <v>12809</v>
      </c>
      <c r="B1131" s="257" t="s">
        <v>12809</v>
      </c>
    </row>
    <row r="1132">
      <c r="A1132" s="257" t="s">
        <v>10037</v>
      </c>
      <c r="B1132" s="257" t="s">
        <v>10037</v>
      </c>
    </row>
    <row r="1133">
      <c r="A1133" s="257" t="s">
        <v>12810</v>
      </c>
      <c r="B1133" s="257" t="s">
        <v>12810</v>
      </c>
    </row>
    <row r="1134">
      <c r="A1134" s="257" t="s">
        <v>12811</v>
      </c>
      <c r="B1134" s="257" t="s">
        <v>12811</v>
      </c>
    </row>
    <row r="1135">
      <c r="A1135" s="257" t="s">
        <v>12812</v>
      </c>
      <c r="B1135" s="257" t="s">
        <v>12812</v>
      </c>
    </row>
    <row r="1136">
      <c r="A1136" s="257" t="s">
        <v>12813</v>
      </c>
      <c r="B1136" s="257" t="s">
        <v>12813</v>
      </c>
    </row>
    <row r="1137">
      <c r="A1137" s="257" t="s">
        <v>12814</v>
      </c>
      <c r="B1137" s="257" t="s">
        <v>12814</v>
      </c>
    </row>
    <row r="1138">
      <c r="A1138" s="257" t="s">
        <v>12815</v>
      </c>
      <c r="B1138" s="257" t="s">
        <v>12815</v>
      </c>
    </row>
    <row r="1139">
      <c r="A1139" s="257" t="s">
        <v>12816</v>
      </c>
      <c r="B1139" s="257" t="s">
        <v>2107</v>
      </c>
    </row>
    <row r="1140">
      <c r="A1140" s="257" t="s">
        <v>2118</v>
      </c>
      <c r="B1140" s="257" t="s">
        <v>2118</v>
      </c>
    </row>
    <row r="1141">
      <c r="A1141" s="257" t="s">
        <v>12817</v>
      </c>
      <c r="B1141" s="257" t="s">
        <v>6315</v>
      </c>
    </row>
    <row r="1142">
      <c r="A1142" s="257" t="s">
        <v>12818</v>
      </c>
      <c r="B1142" s="257" t="s">
        <v>9707</v>
      </c>
    </row>
    <row r="1143">
      <c r="A1143" s="257" t="s">
        <v>12819</v>
      </c>
      <c r="B1143" s="257" t="s">
        <v>5496</v>
      </c>
    </row>
    <row r="1144">
      <c r="A1144" s="257" t="s">
        <v>12820</v>
      </c>
      <c r="B1144" s="257" t="s">
        <v>2114</v>
      </c>
    </row>
    <row r="1145">
      <c r="A1145" s="257" t="s">
        <v>2107</v>
      </c>
      <c r="B1145" s="257" t="s">
        <v>2107</v>
      </c>
    </row>
    <row r="1146">
      <c r="A1146" s="257" t="s">
        <v>2099</v>
      </c>
      <c r="B1146" s="257" t="s">
        <v>2099</v>
      </c>
    </row>
    <row r="1147">
      <c r="A1147" s="257" t="s">
        <v>12107</v>
      </c>
      <c r="B1147" s="257" t="s">
        <v>12107</v>
      </c>
    </row>
    <row r="1148">
      <c r="A1148" s="257" t="s">
        <v>12821</v>
      </c>
      <c r="B1148" s="257" t="s">
        <v>12821</v>
      </c>
    </row>
    <row r="1149">
      <c r="A1149" s="257" t="s">
        <v>12822</v>
      </c>
      <c r="B1149" s="257" t="s">
        <v>12823</v>
      </c>
    </row>
    <row r="1150">
      <c r="A1150" s="257" t="s">
        <v>12824</v>
      </c>
      <c r="B1150" s="257" t="s">
        <v>12824</v>
      </c>
    </row>
    <row r="1151">
      <c r="A1151" s="257" t="s">
        <v>12825</v>
      </c>
      <c r="B1151" s="257" t="s">
        <v>5122</v>
      </c>
    </row>
    <row r="1152">
      <c r="A1152" s="257" t="s">
        <v>11789</v>
      </c>
      <c r="B1152" s="257" t="s">
        <v>11789</v>
      </c>
    </row>
    <row r="1153">
      <c r="A1153" s="257" t="s">
        <v>5164</v>
      </c>
      <c r="B1153" s="257" t="s">
        <v>5164</v>
      </c>
    </row>
    <row r="1154">
      <c r="A1154" s="257" t="s">
        <v>12826</v>
      </c>
      <c r="B1154" s="257" t="s">
        <v>11397</v>
      </c>
    </row>
    <row r="1155">
      <c r="A1155" s="257" t="s">
        <v>12827</v>
      </c>
      <c r="B1155" s="257" t="s">
        <v>12827</v>
      </c>
    </row>
    <row r="1156">
      <c r="A1156" s="257" t="s">
        <v>12828</v>
      </c>
      <c r="B1156" s="257" t="s">
        <v>12829</v>
      </c>
    </row>
    <row r="1157">
      <c r="A1157" s="257" t="s">
        <v>12830</v>
      </c>
      <c r="B1157" s="257" t="s">
        <v>12830</v>
      </c>
    </row>
    <row r="1158">
      <c r="A1158" s="257" t="s">
        <v>12831</v>
      </c>
      <c r="B1158" s="257" t="s">
        <v>12831</v>
      </c>
    </row>
    <row r="1159">
      <c r="A1159" s="257" t="s">
        <v>12832</v>
      </c>
      <c r="B1159" s="257" t="s">
        <v>12832</v>
      </c>
    </row>
    <row r="1160">
      <c r="A1160" s="257" t="s">
        <v>12833</v>
      </c>
      <c r="B1160" s="257" t="s">
        <v>1850</v>
      </c>
    </row>
    <row r="1161">
      <c r="A1161" s="257" t="s">
        <v>12834</v>
      </c>
      <c r="B1161" s="257" t="s">
        <v>5883</v>
      </c>
    </row>
    <row r="1162">
      <c r="A1162" s="257" t="s">
        <v>10153</v>
      </c>
      <c r="B1162" s="257" t="s">
        <v>10153</v>
      </c>
    </row>
    <row r="1163">
      <c r="A1163" s="257" t="s">
        <v>12835</v>
      </c>
      <c r="B1163" s="257" t="s">
        <v>7206</v>
      </c>
    </row>
    <row r="1164">
      <c r="A1164" s="257" t="s">
        <v>12836</v>
      </c>
      <c r="B1164" s="257" t="s">
        <v>11780</v>
      </c>
    </row>
    <row r="1165">
      <c r="A1165" s="257" t="s">
        <v>11395</v>
      </c>
      <c r="B1165" s="257" t="s">
        <v>11395</v>
      </c>
    </row>
    <row r="1166">
      <c r="A1166" s="257" t="s">
        <v>6645</v>
      </c>
      <c r="B1166" s="257" t="s">
        <v>6645</v>
      </c>
    </row>
    <row r="1167">
      <c r="A1167" s="257" t="s">
        <v>12837</v>
      </c>
      <c r="B1167" s="257" t="s">
        <v>11780</v>
      </c>
    </row>
    <row r="1168">
      <c r="A1168" s="257" t="s">
        <v>12838</v>
      </c>
      <c r="B1168" s="257" t="s">
        <v>7206</v>
      </c>
    </row>
    <row r="1169">
      <c r="A1169" s="257" t="s">
        <v>12839</v>
      </c>
      <c r="B1169" s="257" t="s">
        <v>12839</v>
      </c>
    </row>
    <row r="1170">
      <c r="A1170" s="257" t="s">
        <v>10155</v>
      </c>
      <c r="B1170" s="257" t="s">
        <v>10155</v>
      </c>
    </row>
    <row r="1171">
      <c r="A1171" s="257" t="s">
        <v>12840</v>
      </c>
      <c r="B1171" s="257" t="s">
        <v>12840</v>
      </c>
    </row>
    <row r="1172">
      <c r="A1172" s="257" t="s">
        <v>12841</v>
      </c>
      <c r="B1172" s="257" t="s">
        <v>12841</v>
      </c>
    </row>
    <row r="1173">
      <c r="A1173" s="257" t="s">
        <v>6491</v>
      </c>
      <c r="B1173" s="257" t="s">
        <v>6491</v>
      </c>
    </row>
    <row r="1174">
      <c r="A1174" s="257" t="s">
        <v>12842</v>
      </c>
      <c r="B1174" s="257" t="s">
        <v>12842</v>
      </c>
    </row>
    <row r="1175">
      <c r="A1175" s="257" t="s">
        <v>12843</v>
      </c>
      <c r="B1175" s="257" t="s">
        <v>12843</v>
      </c>
    </row>
    <row r="1176">
      <c r="A1176" s="257" t="s">
        <v>12844</v>
      </c>
      <c r="B1176" s="257" t="s">
        <v>12844</v>
      </c>
    </row>
    <row r="1177">
      <c r="A1177" s="257" t="s">
        <v>12845</v>
      </c>
      <c r="B1177" s="257" t="s">
        <v>12846</v>
      </c>
    </row>
    <row r="1178">
      <c r="A1178" s="257" t="s">
        <v>12847</v>
      </c>
      <c r="B1178" s="257" t="s">
        <v>12848</v>
      </c>
    </row>
    <row r="1179">
      <c r="A1179" s="257" t="s">
        <v>11942</v>
      </c>
      <c r="B1179" s="257" t="s">
        <v>11942</v>
      </c>
    </row>
    <row r="1180">
      <c r="A1180" s="257" t="s">
        <v>12849</v>
      </c>
      <c r="B1180" s="257" t="s">
        <v>12849</v>
      </c>
    </row>
    <row r="1181">
      <c r="A1181" s="257" t="s">
        <v>12850</v>
      </c>
      <c r="B1181" s="257" t="s">
        <v>12850</v>
      </c>
    </row>
    <row r="1182">
      <c r="A1182" s="257" t="s">
        <v>12851</v>
      </c>
      <c r="B1182" s="257" t="s">
        <v>1850</v>
      </c>
    </row>
    <row r="1183">
      <c r="A1183" s="257" t="s">
        <v>12852</v>
      </c>
      <c r="B1183" s="257" t="s">
        <v>11780</v>
      </c>
    </row>
    <row r="1184">
      <c r="A1184" s="257" t="s">
        <v>12853</v>
      </c>
      <c r="B1184" s="257" t="s">
        <v>12853</v>
      </c>
    </row>
    <row r="1185">
      <c r="A1185" s="257" t="s">
        <v>12823</v>
      </c>
      <c r="B1185" s="257" t="s">
        <v>12823</v>
      </c>
    </row>
    <row r="1186">
      <c r="A1186" s="257" t="s">
        <v>12854</v>
      </c>
      <c r="B1186" s="257" t="s">
        <v>12854</v>
      </c>
    </row>
    <row r="1187">
      <c r="A1187" s="257" t="s">
        <v>12855</v>
      </c>
      <c r="B1187" s="257" t="s">
        <v>12855</v>
      </c>
    </row>
    <row r="1188">
      <c r="A1188" s="257" t="s">
        <v>12856</v>
      </c>
      <c r="B1188" s="257" t="s">
        <v>12856</v>
      </c>
    </row>
    <row r="1189">
      <c r="A1189" s="257" t="s">
        <v>12857</v>
      </c>
      <c r="B1189" s="257" t="s">
        <v>12857</v>
      </c>
    </row>
    <row r="1190">
      <c r="A1190" s="257" t="s">
        <v>12858</v>
      </c>
      <c r="B1190" s="257" t="s">
        <v>12858</v>
      </c>
    </row>
    <row r="1191">
      <c r="A1191" s="257" t="s">
        <v>12859</v>
      </c>
      <c r="B1191" s="257" t="s">
        <v>12859</v>
      </c>
    </row>
    <row r="1192">
      <c r="A1192" s="257" t="s">
        <v>12860</v>
      </c>
      <c r="B1192" s="257" t="s">
        <v>12860</v>
      </c>
    </row>
    <row r="1193">
      <c r="A1193" s="257" t="s">
        <v>12861</v>
      </c>
      <c r="B1193" s="257" t="s">
        <v>12861</v>
      </c>
    </row>
    <row r="1194">
      <c r="A1194" s="257" t="s">
        <v>12862</v>
      </c>
      <c r="B1194" s="257" t="s">
        <v>11995</v>
      </c>
    </row>
    <row r="1195">
      <c r="A1195" s="257" t="s">
        <v>12863</v>
      </c>
      <c r="B1195" s="257" t="s">
        <v>12863</v>
      </c>
    </row>
    <row r="1196">
      <c r="A1196" s="257" t="s">
        <v>12864</v>
      </c>
      <c r="B1196" s="257" t="s">
        <v>12864</v>
      </c>
    </row>
    <row r="1197">
      <c r="A1197" s="257" t="s">
        <v>12865</v>
      </c>
      <c r="B1197" s="257" t="s">
        <v>12865</v>
      </c>
    </row>
    <row r="1198">
      <c r="A1198" s="257" t="s">
        <v>12866</v>
      </c>
      <c r="B1198" s="257" t="s">
        <v>11994</v>
      </c>
    </row>
    <row r="1199">
      <c r="A1199" s="257" t="s">
        <v>11884</v>
      </c>
      <c r="B1199" s="257" t="s">
        <v>11884</v>
      </c>
    </row>
    <row r="1200">
      <c r="A1200" s="257" t="s">
        <v>4521</v>
      </c>
      <c r="B1200" s="257" t="s">
        <v>4522</v>
      </c>
    </row>
    <row r="1201">
      <c r="A1201" s="257" t="s">
        <v>12867</v>
      </c>
      <c r="B1201" s="257" t="s">
        <v>12867</v>
      </c>
    </row>
    <row r="1202">
      <c r="A1202" s="257" t="s">
        <v>4564</v>
      </c>
      <c r="B1202" s="257" t="s">
        <v>1252</v>
      </c>
    </row>
    <row r="1203">
      <c r="A1203" s="257" t="s">
        <v>4767</v>
      </c>
      <c r="B1203" s="257" t="s">
        <v>4768</v>
      </c>
    </row>
    <row r="1204">
      <c r="A1204" s="257" t="s">
        <v>4683</v>
      </c>
      <c r="B1204" s="257" t="s">
        <v>4684</v>
      </c>
    </row>
    <row r="1205">
      <c r="A1205" s="257" t="s">
        <v>12868</v>
      </c>
      <c r="B1205" s="257" t="s">
        <v>12868</v>
      </c>
    </row>
    <row r="1206">
      <c r="A1206" s="257" t="s">
        <v>12869</v>
      </c>
      <c r="B1206" s="257" t="s">
        <v>11829</v>
      </c>
    </row>
    <row r="1207">
      <c r="A1207" s="257" t="s">
        <v>4681</v>
      </c>
      <c r="B1207" s="257" t="s">
        <v>4682</v>
      </c>
    </row>
    <row r="1208">
      <c r="A1208" s="257" t="s">
        <v>4882</v>
      </c>
      <c r="B1208" s="257" t="s">
        <v>4883</v>
      </c>
    </row>
    <row r="1209">
      <c r="A1209" s="257" t="s">
        <v>12870</v>
      </c>
      <c r="B1209" s="257" t="s">
        <v>12870</v>
      </c>
    </row>
    <row r="1210">
      <c r="A1210" s="257" t="s">
        <v>4704</v>
      </c>
      <c r="B1210" s="257" t="s">
        <v>4705</v>
      </c>
    </row>
    <row r="1211">
      <c r="A1211" s="257" t="s">
        <v>12871</v>
      </c>
      <c r="B1211" s="257" t="s">
        <v>4916</v>
      </c>
    </row>
    <row r="1212">
      <c r="A1212" s="257" t="s">
        <v>12872</v>
      </c>
      <c r="B1212" s="257" t="s">
        <v>11775</v>
      </c>
    </row>
    <row r="1213">
      <c r="A1213" s="257" t="s">
        <v>4739</v>
      </c>
      <c r="B1213" s="257" t="s">
        <v>4740</v>
      </c>
    </row>
    <row r="1214">
      <c r="A1214" s="257" t="s">
        <v>12873</v>
      </c>
      <c r="B1214" s="257" t="s">
        <v>11904</v>
      </c>
    </row>
    <row r="1215">
      <c r="A1215" s="257" t="s">
        <v>12874</v>
      </c>
      <c r="B1215" s="257" t="s">
        <v>11832</v>
      </c>
    </row>
    <row r="1216">
      <c r="A1216" s="257" t="s">
        <v>12875</v>
      </c>
      <c r="B1216" s="257" t="s">
        <v>12876</v>
      </c>
    </row>
    <row r="1217">
      <c r="A1217" s="257" t="s">
        <v>12877</v>
      </c>
      <c r="B1217" s="257" t="s">
        <v>12877</v>
      </c>
    </row>
    <row r="1218">
      <c r="A1218" s="257" t="s">
        <v>12878</v>
      </c>
      <c r="B1218" s="257" t="s">
        <v>10155</v>
      </c>
    </row>
    <row r="1219">
      <c r="A1219" s="257" t="s">
        <v>4579</v>
      </c>
      <c r="B1219" s="257" t="s">
        <v>4580</v>
      </c>
    </row>
    <row r="1220">
      <c r="A1220" s="257" t="s">
        <v>4725</v>
      </c>
      <c r="B1220" s="257" t="s">
        <v>4726</v>
      </c>
    </row>
    <row r="1221">
      <c r="A1221" s="257" t="s">
        <v>12879</v>
      </c>
      <c r="B1221" s="257" t="s">
        <v>11783</v>
      </c>
    </row>
    <row r="1222">
      <c r="A1222" s="257" t="s">
        <v>12880</v>
      </c>
      <c r="B1222" s="257" t="s">
        <v>5118</v>
      </c>
    </row>
    <row r="1223">
      <c r="A1223" s="257" t="s">
        <v>4713</v>
      </c>
      <c r="B1223" s="257" t="s">
        <v>4714</v>
      </c>
    </row>
    <row r="1224">
      <c r="A1224" s="257" t="s">
        <v>12881</v>
      </c>
      <c r="B1224" s="257" t="s">
        <v>12881</v>
      </c>
    </row>
    <row r="1225">
      <c r="A1225" s="257" t="s">
        <v>12882</v>
      </c>
      <c r="B1225" s="257" t="s">
        <v>5883</v>
      </c>
    </row>
    <row r="1226">
      <c r="A1226" s="257" t="s">
        <v>6490</v>
      </c>
      <c r="B1226" s="257" t="s">
        <v>6490</v>
      </c>
    </row>
    <row r="1227">
      <c r="A1227" s="257" t="s">
        <v>12883</v>
      </c>
      <c r="B1227" s="257" t="s">
        <v>12883</v>
      </c>
    </row>
    <row r="1228">
      <c r="A1228" s="257" t="s">
        <v>12884</v>
      </c>
      <c r="B1228" s="257" t="s">
        <v>694</v>
      </c>
    </row>
    <row r="1229">
      <c r="A1229" s="257" t="s">
        <v>12885</v>
      </c>
      <c r="B1229" s="257" t="s">
        <v>4576</v>
      </c>
    </row>
    <row r="1230">
      <c r="A1230" s="257" t="s">
        <v>12886</v>
      </c>
      <c r="B1230" s="257" t="s">
        <v>4676</v>
      </c>
    </row>
    <row r="1231">
      <c r="A1231" s="257" t="s">
        <v>11815</v>
      </c>
      <c r="B1231" s="257" t="s">
        <v>11815</v>
      </c>
    </row>
    <row r="1232">
      <c r="A1232" s="257" t="s">
        <v>4677</v>
      </c>
      <c r="B1232" s="257" t="s">
        <v>4678</v>
      </c>
    </row>
    <row r="1233">
      <c r="A1233" s="257" t="s">
        <v>12887</v>
      </c>
      <c r="B1233" s="257" t="s">
        <v>1887</v>
      </c>
    </row>
    <row r="1234">
      <c r="A1234" s="257" t="s">
        <v>12888</v>
      </c>
      <c r="B1234" s="257" t="s">
        <v>12888</v>
      </c>
    </row>
    <row r="1235">
      <c r="A1235" s="257" t="s">
        <v>12889</v>
      </c>
      <c r="B1235" s="257" t="s">
        <v>6388</v>
      </c>
    </row>
    <row r="1236">
      <c r="A1236" s="257" t="s">
        <v>12890</v>
      </c>
      <c r="B1236" s="257" t="s">
        <v>12890</v>
      </c>
    </row>
    <row r="1237">
      <c r="A1237" s="257" t="s">
        <v>12891</v>
      </c>
      <c r="B1237" s="257" t="s">
        <v>6489</v>
      </c>
    </row>
    <row r="1238">
      <c r="A1238" s="257" t="s">
        <v>12892</v>
      </c>
      <c r="B1238" s="257" t="s">
        <v>12893</v>
      </c>
    </row>
    <row r="1239">
      <c r="A1239" s="257" t="s">
        <v>12894</v>
      </c>
      <c r="B1239" s="257" t="s">
        <v>6489</v>
      </c>
    </row>
    <row r="1240">
      <c r="A1240" s="257" t="s">
        <v>4535</v>
      </c>
      <c r="B1240" s="257" t="s">
        <v>4536</v>
      </c>
    </row>
    <row r="1241">
      <c r="A1241" s="257" t="s">
        <v>12895</v>
      </c>
      <c r="B1241" s="257" t="s">
        <v>12895</v>
      </c>
    </row>
    <row r="1242">
      <c r="A1242" s="257" t="s">
        <v>12896</v>
      </c>
      <c r="B1242" s="257" t="s">
        <v>11782</v>
      </c>
    </row>
    <row r="1243">
      <c r="A1243" s="257" t="s">
        <v>12897</v>
      </c>
      <c r="B1243" s="257" t="s">
        <v>12707</v>
      </c>
    </row>
    <row r="1244">
      <c r="A1244" s="257" t="s">
        <v>7275</v>
      </c>
      <c r="B1244" s="257" t="s">
        <v>7275</v>
      </c>
    </row>
    <row r="1245">
      <c r="A1245" s="257" t="s">
        <v>12898</v>
      </c>
      <c r="B1245" s="257" t="s">
        <v>12898</v>
      </c>
    </row>
    <row r="1246">
      <c r="A1246" s="257" t="s">
        <v>12899</v>
      </c>
      <c r="B1246" s="257" t="s">
        <v>6641</v>
      </c>
    </row>
    <row r="1247">
      <c r="A1247" s="257" t="s">
        <v>4927</v>
      </c>
      <c r="B1247" s="257" t="s">
        <v>4928</v>
      </c>
    </row>
    <row r="1248">
      <c r="A1248" s="257" t="s">
        <v>11887</v>
      </c>
      <c r="B1248" s="257" t="s">
        <v>11887</v>
      </c>
    </row>
    <row r="1249">
      <c r="A1249" s="257" t="s">
        <v>12900</v>
      </c>
      <c r="B1249" s="257" t="s">
        <v>6185</v>
      </c>
    </row>
    <row r="1250">
      <c r="A1250" s="257" t="s">
        <v>12901</v>
      </c>
      <c r="B1250" s="257" t="s">
        <v>12901</v>
      </c>
    </row>
    <row r="1251">
      <c r="A1251" s="257" t="s">
        <v>10157</v>
      </c>
      <c r="B1251" s="257" t="s">
        <v>10157</v>
      </c>
    </row>
    <row r="1252">
      <c r="A1252" s="257" t="s">
        <v>5193</v>
      </c>
      <c r="B1252" s="257" t="s">
        <v>5193</v>
      </c>
    </row>
    <row r="1253">
      <c r="A1253" s="257" t="s">
        <v>4518</v>
      </c>
      <c r="B1253" s="257" t="s">
        <v>4557</v>
      </c>
    </row>
    <row r="1254">
      <c r="A1254" s="257" t="s">
        <v>5141</v>
      </c>
      <c r="B1254" s="257" t="s">
        <v>5141</v>
      </c>
    </row>
    <row r="1255">
      <c r="A1255" s="257" t="s">
        <v>1891</v>
      </c>
      <c r="B1255" s="257" t="s">
        <v>1891</v>
      </c>
    </row>
    <row r="1256">
      <c r="A1256" s="257" t="s">
        <v>12902</v>
      </c>
      <c r="B1256" s="257" t="s">
        <v>11398</v>
      </c>
    </row>
    <row r="1257">
      <c r="A1257" s="257" t="s">
        <v>12903</v>
      </c>
      <c r="B1257" s="257" t="s">
        <v>1834</v>
      </c>
    </row>
    <row r="1258">
      <c r="A1258" s="257" t="s">
        <v>12904</v>
      </c>
      <c r="B1258" s="257" t="s">
        <v>12673</v>
      </c>
    </row>
    <row r="1259">
      <c r="A1259" s="257" t="s">
        <v>5022</v>
      </c>
      <c r="B1259" s="257" t="s">
        <v>5023</v>
      </c>
    </row>
    <row r="1260">
      <c r="A1260" s="257" t="s">
        <v>4799</v>
      </c>
      <c r="B1260" s="257" t="s">
        <v>4800</v>
      </c>
    </row>
    <row r="1261">
      <c r="A1261" s="257" t="s">
        <v>4829</v>
      </c>
      <c r="B1261" s="257" t="s">
        <v>1259</v>
      </c>
    </row>
    <row r="1262">
      <c r="A1262" s="257" t="s">
        <v>12905</v>
      </c>
      <c r="B1262" s="257" t="s">
        <v>12905</v>
      </c>
    </row>
    <row r="1263">
      <c r="A1263" s="257" t="s">
        <v>4601</v>
      </c>
      <c r="B1263" s="257" t="s">
        <v>4601</v>
      </c>
    </row>
    <row r="1264">
      <c r="A1264" s="257" t="s">
        <v>12906</v>
      </c>
      <c r="B1264" s="257" t="s">
        <v>1797</v>
      </c>
    </row>
    <row r="1265">
      <c r="A1265" s="257" t="s">
        <v>12907</v>
      </c>
      <c r="B1265" s="257" t="s">
        <v>10106</v>
      </c>
    </row>
    <row r="1266">
      <c r="A1266" s="257" t="s">
        <v>12908</v>
      </c>
      <c r="B1266" s="257" t="s">
        <v>12908</v>
      </c>
    </row>
    <row r="1267">
      <c r="A1267" s="257" t="s">
        <v>12909</v>
      </c>
      <c r="B1267" s="257" t="s">
        <v>11383</v>
      </c>
    </row>
    <row r="1268">
      <c r="A1268" s="257" t="s">
        <v>4900</v>
      </c>
      <c r="B1268" s="257" t="s">
        <v>4901</v>
      </c>
    </row>
    <row r="1269">
      <c r="A1269" s="257" t="s">
        <v>12910</v>
      </c>
      <c r="B1269" s="257" t="s">
        <v>12911</v>
      </c>
    </row>
    <row r="1270">
      <c r="A1270" s="257" t="s">
        <v>4986</v>
      </c>
      <c r="B1270" s="257" t="s">
        <v>4987</v>
      </c>
    </row>
    <row r="1271">
      <c r="A1271" s="257" t="s">
        <v>12912</v>
      </c>
      <c r="B1271" s="257" t="s">
        <v>12912</v>
      </c>
    </row>
    <row r="1272">
      <c r="A1272" s="257" t="s">
        <v>4984</v>
      </c>
      <c r="B1272" s="257" t="s">
        <v>4985</v>
      </c>
    </row>
    <row r="1273">
      <c r="A1273" s="257" t="s">
        <v>12911</v>
      </c>
      <c r="B1273" s="257" t="s">
        <v>12911</v>
      </c>
    </row>
    <row r="1274">
      <c r="A1274" s="257" t="s">
        <v>4996</v>
      </c>
      <c r="B1274" s="257" t="s">
        <v>4997</v>
      </c>
    </row>
    <row r="1275">
      <c r="A1275" s="257" t="s">
        <v>1872</v>
      </c>
      <c r="B1275" s="257" t="s">
        <v>1872</v>
      </c>
    </row>
    <row r="1276">
      <c r="A1276" s="257" t="s">
        <v>12913</v>
      </c>
      <c r="B1276" s="257" t="s">
        <v>12676</v>
      </c>
    </row>
    <row r="1277">
      <c r="A1277" s="257" t="s">
        <v>4843</v>
      </c>
      <c r="B1277" s="257" t="s">
        <v>4844</v>
      </c>
    </row>
    <row r="1278">
      <c r="A1278" s="257" t="s">
        <v>12914</v>
      </c>
      <c r="B1278" s="257" t="s">
        <v>12914</v>
      </c>
    </row>
    <row r="1279">
      <c r="A1279" s="257" t="s">
        <v>4917</v>
      </c>
      <c r="B1279" s="257" t="s">
        <v>1275</v>
      </c>
    </row>
    <row r="1280">
      <c r="A1280" s="257" t="s">
        <v>12915</v>
      </c>
      <c r="B1280" s="257" t="s">
        <v>11399</v>
      </c>
    </row>
    <row r="1281">
      <c r="A1281" s="257" t="s">
        <v>12916</v>
      </c>
      <c r="B1281" s="257" t="s">
        <v>5140</v>
      </c>
    </row>
    <row r="1282">
      <c r="A1282" s="257" t="s">
        <v>12917</v>
      </c>
      <c r="B1282" s="257" t="s">
        <v>11908</v>
      </c>
    </row>
    <row r="1283">
      <c r="A1283" s="257" t="s">
        <v>12918</v>
      </c>
      <c r="B1283" s="257" t="s">
        <v>1832</v>
      </c>
    </row>
    <row r="1284">
      <c r="A1284" s="257" t="s">
        <v>12919</v>
      </c>
      <c r="B1284" s="257" t="s">
        <v>10667</v>
      </c>
    </row>
    <row r="1285">
      <c r="A1285" s="257" t="s">
        <v>12920</v>
      </c>
      <c r="B1285" s="257" t="s">
        <v>1878</v>
      </c>
    </row>
    <row r="1286">
      <c r="A1286" s="257" t="s">
        <v>12921</v>
      </c>
      <c r="B1286" s="257" t="s">
        <v>12921</v>
      </c>
    </row>
    <row r="1287">
      <c r="A1287" s="257" t="s">
        <v>12922</v>
      </c>
      <c r="B1287" s="257" t="s">
        <v>12673</v>
      </c>
    </row>
    <row r="1288">
      <c r="A1288" s="257" t="s">
        <v>12923</v>
      </c>
      <c r="B1288" s="257" t="s">
        <v>12923</v>
      </c>
    </row>
    <row r="1289">
      <c r="A1289" s="257" t="s">
        <v>12924</v>
      </c>
      <c r="B1289" s="257" t="s">
        <v>11790</v>
      </c>
    </row>
    <row r="1290">
      <c r="A1290" s="257" t="s">
        <v>4581</v>
      </c>
      <c r="B1290" s="257" t="s">
        <v>4582</v>
      </c>
    </row>
    <row r="1291">
      <c r="A1291" s="257" t="s">
        <v>12925</v>
      </c>
      <c r="B1291" s="257" t="s">
        <v>12926</v>
      </c>
    </row>
    <row r="1292">
      <c r="A1292" s="257" t="s">
        <v>7812</v>
      </c>
      <c r="B1292" s="257" t="s">
        <v>7812</v>
      </c>
    </row>
    <row r="1293">
      <c r="A1293" s="257" t="s">
        <v>12927</v>
      </c>
      <c r="B1293" s="257" t="s">
        <v>11782</v>
      </c>
    </row>
    <row r="1294">
      <c r="A1294" s="257" t="s">
        <v>4918</v>
      </c>
      <c r="B1294" s="257" t="s">
        <v>4919</v>
      </c>
    </row>
    <row r="1295">
      <c r="A1295" s="257" t="s">
        <v>12928</v>
      </c>
      <c r="B1295" s="257" t="s">
        <v>12928</v>
      </c>
    </row>
    <row r="1296">
      <c r="A1296" s="257" t="s">
        <v>12929</v>
      </c>
      <c r="B1296" s="257" t="s">
        <v>6255</v>
      </c>
    </row>
    <row r="1297">
      <c r="A1297" s="257" t="s">
        <v>12930</v>
      </c>
      <c r="B1297" s="257" t="s">
        <v>11790</v>
      </c>
    </row>
    <row r="1298">
      <c r="A1298" s="257" t="s">
        <v>12931</v>
      </c>
      <c r="B1298" s="257" t="s">
        <v>12931</v>
      </c>
    </row>
    <row r="1299">
      <c r="A1299" s="257" t="s">
        <v>4861</v>
      </c>
      <c r="B1299" s="257" t="s">
        <v>4862</v>
      </c>
    </row>
    <row r="1300">
      <c r="A1300" s="257" t="s">
        <v>1797</v>
      </c>
      <c r="B1300" s="257" t="s">
        <v>1797</v>
      </c>
    </row>
    <row r="1301">
      <c r="A1301" s="257" t="s">
        <v>5140</v>
      </c>
      <c r="B1301" s="257" t="s">
        <v>5140</v>
      </c>
    </row>
    <row r="1302">
      <c r="A1302" s="257" t="s">
        <v>6654</v>
      </c>
      <c r="B1302" s="257" t="s">
        <v>6654</v>
      </c>
    </row>
    <row r="1303">
      <c r="A1303" s="257" t="s">
        <v>4612</v>
      </c>
      <c r="B1303" s="257" t="s">
        <v>4613</v>
      </c>
    </row>
    <row r="1304">
      <c r="A1304" s="257" t="s">
        <v>4845</v>
      </c>
      <c r="B1304" s="257" t="s">
        <v>1264</v>
      </c>
    </row>
    <row r="1305">
      <c r="A1305" s="257" t="s">
        <v>12932</v>
      </c>
      <c r="B1305" s="257" t="s">
        <v>1846</v>
      </c>
    </row>
    <row r="1306">
      <c r="A1306" s="257" t="s">
        <v>12933</v>
      </c>
      <c r="B1306" s="257" t="s">
        <v>6255</v>
      </c>
    </row>
    <row r="1307">
      <c r="A1307" s="257" t="s">
        <v>12934</v>
      </c>
      <c r="B1307" s="257" t="s">
        <v>12674</v>
      </c>
    </row>
    <row r="1308">
      <c r="A1308" s="257" t="s">
        <v>4965</v>
      </c>
      <c r="B1308" s="257" t="s">
        <v>4966</v>
      </c>
    </row>
    <row r="1309">
      <c r="A1309" s="257" t="s">
        <v>12935</v>
      </c>
      <c r="B1309" s="257" t="s">
        <v>11380</v>
      </c>
    </row>
    <row r="1310">
      <c r="A1310" s="257" t="s">
        <v>12936</v>
      </c>
      <c r="B1310" s="257" t="s">
        <v>12936</v>
      </c>
    </row>
    <row r="1311">
      <c r="A1311" s="257" t="s">
        <v>4554</v>
      </c>
      <c r="B1311" s="257" t="s">
        <v>4555</v>
      </c>
    </row>
    <row r="1312">
      <c r="A1312" s="257" t="s">
        <v>12937</v>
      </c>
      <c r="B1312" s="257" t="s">
        <v>11775</v>
      </c>
    </row>
    <row r="1313">
      <c r="A1313" s="257" t="s">
        <v>4685</v>
      </c>
      <c r="B1313" s="257" t="s">
        <v>4686</v>
      </c>
    </row>
    <row r="1314">
      <c r="A1314" s="257" t="s">
        <v>4785</v>
      </c>
      <c r="B1314" s="257" t="s">
        <v>4786</v>
      </c>
    </row>
    <row r="1315">
      <c r="A1315" s="257" t="s">
        <v>10113</v>
      </c>
      <c r="B1315" s="257" t="s">
        <v>10113</v>
      </c>
    </row>
    <row r="1316">
      <c r="A1316" s="257" t="s">
        <v>12938</v>
      </c>
      <c r="B1316" s="257" t="s">
        <v>11942</v>
      </c>
    </row>
    <row r="1317">
      <c r="A1317" s="257" t="s">
        <v>12939</v>
      </c>
      <c r="B1317" s="257" t="s">
        <v>1799</v>
      </c>
    </row>
    <row r="1318">
      <c r="A1318" s="257" t="s">
        <v>12940</v>
      </c>
      <c r="B1318" s="257" t="s">
        <v>11818</v>
      </c>
    </row>
    <row r="1319">
      <c r="A1319" s="257" t="s">
        <v>12941</v>
      </c>
      <c r="B1319" s="257" t="s">
        <v>1799</v>
      </c>
    </row>
    <row r="1320">
      <c r="A1320" s="257" t="s">
        <v>12942</v>
      </c>
      <c r="B1320" s="257" t="s">
        <v>1882</v>
      </c>
    </row>
    <row r="1321">
      <c r="A1321" s="257" t="s">
        <v>12943</v>
      </c>
      <c r="B1321" s="257" t="s">
        <v>11941</v>
      </c>
    </row>
    <row r="1322">
      <c r="A1322" s="257" t="s">
        <v>4587</v>
      </c>
      <c r="B1322" s="257" t="s">
        <v>4588</v>
      </c>
    </row>
    <row r="1323">
      <c r="A1323" s="257" t="s">
        <v>4574</v>
      </c>
      <c r="B1323" s="257" t="s">
        <v>1279</v>
      </c>
    </row>
    <row r="1324">
      <c r="A1324" s="257" t="s">
        <v>12944</v>
      </c>
      <c r="B1324" s="257" t="s">
        <v>11814</v>
      </c>
    </row>
    <row r="1325">
      <c r="A1325" s="257" t="s">
        <v>12945</v>
      </c>
      <c r="B1325" s="257" t="s">
        <v>5125</v>
      </c>
    </row>
    <row r="1326">
      <c r="A1326" s="257" t="s">
        <v>12946</v>
      </c>
      <c r="B1326" s="257" t="s">
        <v>11775</v>
      </c>
    </row>
    <row r="1327">
      <c r="A1327" s="257" t="s">
        <v>12947</v>
      </c>
      <c r="B1327" s="257" t="s">
        <v>12947</v>
      </c>
    </row>
    <row r="1328">
      <c r="A1328" s="257" t="s">
        <v>11767</v>
      </c>
      <c r="B1328" s="257" t="s">
        <v>11767</v>
      </c>
    </row>
    <row r="1329">
      <c r="A1329" s="257" t="s">
        <v>12948</v>
      </c>
      <c r="B1329" s="257" t="s">
        <v>12948</v>
      </c>
    </row>
    <row r="1330">
      <c r="A1330" s="257" t="s">
        <v>4934</v>
      </c>
      <c r="B1330" s="257" t="s">
        <v>4934</v>
      </c>
    </row>
    <row r="1331">
      <c r="A1331" s="257" t="s">
        <v>12949</v>
      </c>
      <c r="B1331" s="257" t="s">
        <v>700</v>
      </c>
    </row>
    <row r="1332">
      <c r="A1332" s="257" t="s">
        <v>4566</v>
      </c>
      <c r="B1332" s="257" t="s">
        <v>4566</v>
      </c>
    </row>
    <row r="1333">
      <c r="A1333" s="257" t="s">
        <v>4703</v>
      </c>
      <c r="B1333" s="257" t="s">
        <v>1248</v>
      </c>
    </row>
    <row r="1334">
      <c r="A1334" s="257" t="s">
        <v>12950</v>
      </c>
      <c r="B1334" s="257" t="s">
        <v>4578</v>
      </c>
    </row>
    <row r="1335">
      <c r="A1335" s="257" t="s">
        <v>12951</v>
      </c>
      <c r="B1335" s="257" t="s">
        <v>12951</v>
      </c>
    </row>
    <row r="1336">
      <c r="A1336" s="257" t="s">
        <v>4948</v>
      </c>
      <c r="B1336" s="257" t="s">
        <v>4948</v>
      </c>
    </row>
    <row r="1337">
      <c r="A1337" s="257" t="s">
        <v>4910</v>
      </c>
      <c r="B1337" s="257" t="s">
        <v>4910</v>
      </c>
    </row>
    <row r="1338">
      <c r="A1338" s="257" t="s">
        <v>12952</v>
      </c>
      <c r="B1338" s="257" t="s">
        <v>4728</v>
      </c>
    </row>
    <row r="1339">
      <c r="A1339" s="257" t="s">
        <v>12953</v>
      </c>
      <c r="B1339" s="257" t="s">
        <v>4555</v>
      </c>
    </row>
    <row r="1340">
      <c r="A1340" s="257" t="s">
        <v>4997</v>
      </c>
      <c r="B1340" s="257" t="s">
        <v>4997</v>
      </c>
    </row>
    <row r="1341">
      <c r="A1341" s="257" t="s">
        <v>4818</v>
      </c>
      <c r="B1341" s="257" t="s">
        <v>4818</v>
      </c>
    </row>
    <row r="1342">
      <c r="A1342" s="257" t="s">
        <v>4525</v>
      </c>
      <c r="B1342" s="257" t="s">
        <v>4525</v>
      </c>
    </row>
    <row r="1343">
      <c r="A1343" s="257" t="s">
        <v>4924</v>
      </c>
      <c r="B1343" s="257" t="s">
        <v>4924</v>
      </c>
    </row>
    <row r="1344">
      <c r="A1344" s="257" t="s">
        <v>4903</v>
      </c>
      <c r="B1344" s="257" t="s">
        <v>4903</v>
      </c>
    </row>
    <row r="1345">
      <c r="A1345" s="257" t="s">
        <v>4940</v>
      </c>
      <c r="B1345" s="257" t="s">
        <v>4940</v>
      </c>
    </row>
    <row r="1346">
      <c r="A1346" s="257" t="s">
        <v>12954</v>
      </c>
      <c r="B1346" s="257" t="s">
        <v>4740</v>
      </c>
    </row>
    <row r="1347">
      <c r="A1347" s="257" t="s">
        <v>4641</v>
      </c>
      <c r="B1347" s="257" t="s">
        <v>4641</v>
      </c>
    </row>
    <row r="1348">
      <c r="A1348" s="257" t="s">
        <v>4766</v>
      </c>
      <c r="B1348" s="257" t="s">
        <v>4766</v>
      </c>
    </row>
    <row r="1349">
      <c r="A1349" s="257" t="s">
        <v>4993</v>
      </c>
      <c r="B1349" s="257" t="s">
        <v>4993</v>
      </c>
    </row>
    <row r="1350">
      <c r="A1350" s="257" t="s">
        <v>4543</v>
      </c>
      <c r="B1350" s="257" t="s">
        <v>1249</v>
      </c>
    </row>
    <row r="1351">
      <c r="A1351" s="257" t="s">
        <v>4761</v>
      </c>
      <c r="B1351" s="257" t="s">
        <v>4762</v>
      </c>
    </row>
    <row r="1352">
      <c r="A1352" s="257" t="s">
        <v>1289</v>
      </c>
      <c r="B1352" s="257" t="s">
        <v>1289</v>
      </c>
    </row>
    <row r="1353">
      <c r="A1353" s="257" t="s">
        <v>4552</v>
      </c>
      <c r="B1353" s="257" t="s">
        <v>4552</v>
      </c>
    </row>
    <row r="1354">
      <c r="A1354" s="257" t="s">
        <v>4932</v>
      </c>
      <c r="B1354" s="257" t="s">
        <v>4932</v>
      </c>
    </row>
    <row r="1355">
      <c r="A1355" s="257" t="s">
        <v>12955</v>
      </c>
      <c r="B1355" s="257" t="s">
        <v>12956</v>
      </c>
    </row>
    <row r="1356">
      <c r="A1356" s="257" t="s">
        <v>4680</v>
      </c>
      <c r="B1356" s="257" t="s">
        <v>4680</v>
      </c>
    </row>
    <row r="1357">
      <c r="A1357" s="257" t="s">
        <v>4772</v>
      </c>
      <c r="B1357" s="257" t="s">
        <v>4772</v>
      </c>
    </row>
    <row r="1358">
      <c r="A1358" s="257" t="s">
        <v>1274</v>
      </c>
      <c r="B1358" s="257" t="s">
        <v>1274</v>
      </c>
    </row>
    <row r="1359">
      <c r="A1359" s="257" t="s">
        <v>4654</v>
      </c>
      <c r="B1359" s="257" t="s">
        <v>4654</v>
      </c>
    </row>
    <row r="1360">
      <c r="A1360" s="257" t="s">
        <v>12957</v>
      </c>
      <c r="B1360" s="257" t="s">
        <v>12957</v>
      </c>
    </row>
    <row r="1361">
      <c r="A1361" s="257" t="s">
        <v>4656</v>
      </c>
      <c r="B1361" s="257" t="s">
        <v>4656</v>
      </c>
    </row>
    <row r="1362">
      <c r="A1362" s="257" t="s">
        <v>4528</v>
      </c>
      <c r="B1362" s="257" t="s">
        <v>4528</v>
      </c>
    </row>
    <row r="1363">
      <c r="A1363" s="257" t="s">
        <v>4643</v>
      </c>
      <c r="B1363" s="257" t="s">
        <v>4643</v>
      </c>
    </row>
    <row r="1364">
      <c r="A1364" s="257" t="s">
        <v>4885</v>
      </c>
      <c r="B1364" s="257" t="s">
        <v>4885</v>
      </c>
    </row>
    <row r="1365">
      <c r="A1365" s="257" t="s">
        <v>5023</v>
      </c>
      <c r="B1365" s="257" t="s">
        <v>5023</v>
      </c>
    </row>
    <row r="1366">
      <c r="A1366" s="257" t="s">
        <v>1255</v>
      </c>
      <c r="B1366" s="257" t="s">
        <v>1255</v>
      </c>
    </row>
    <row r="1367">
      <c r="A1367" s="257" t="s">
        <v>12958</v>
      </c>
      <c r="B1367" s="257" t="s">
        <v>9715</v>
      </c>
    </row>
    <row r="1368">
      <c r="A1368" s="257" t="s">
        <v>12959</v>
      </c>
      <c r="B1368" s="257" t="s">
        <v>4584</v>
      </c>
    </row>
    <row r="1369">
      <c r="A1369" s="257" t="s">
        <v>4860</v>
      </c>
      <c r="B1369" s="257" t="s">
        <v>4860</v>
      </c>
    </row>
    <row r="1370">
      <c r="A1370" s="257" t="s">
        <v>12960</v>
      </c>
      <c r="B1370" s="257" t="s">
        <v>1257</v>
      </c>
    </row>
    <row r="1371">
      <c r="A1371" s="257" t="s">
        <v>4991</v>
      </c>
      <c r="B1371" s="257" t="s">
        <v>4991</v>
      </c>
    </row>
    <row r="1372">
      <c r="A1372" s="257" t="s">
        <v>1256</v>
      </c>
      <c r="B1372" s="257" t="s">
        <v>1256</v>
      </c>
    </row>
    <row r="1373">
      <c r="A1373" s="257" t="s">
        <v>4774</v>
      </c>
      <c r="B1373" s="257" t="s">
        <v>4774</v>
      </c>
    </row>
    <row r="1374">
      <c r="A1374" s="257" t="s">
        <v>4512</v>
      </c>
      <c r="B1374" s="257" t="s">
        <v>4512</v>
      </c>
    </row>
    <row r="1375">
      <c r="A1375" s="257" t="s">
        <v>4912</v>
      </c>
      <c r="B1375" s="257" t="s">
        <v>4912</v>
      </c>
    </row>
    <row r="1376">
      <c r="A1376" s="257" t="s">
        <v>4944</v>
      </c>
      <c r="B1376" s="257" t="s">
        <v>4944</v>
      </c>
    </row>
    <row r="1377">
      <c r="A1377" s="257" t="s">
        <v>4914</v>
      </c>
      <c r="B1377" s="257" t="s">
        <v>4914</v>
      </c>
    </row>
    <row r="1378">
      <c r="A1378" s="257" t="s">
        <v>4597</v>
      </c>
      <c r="B1378" s="257" t="s">
        <v>4597</v>
      </c>
    </row>
    <row r="1379">
      <c r="A1379" s="257" t="s">
        <v>4636</v>
      </c>
      <c r="B1379" s="257" t="s">
        <v>4636</v>
      </c>
    </row>
    <row r="1380">
      <c r="A1380" s="257" t="s">
        <v>12961</v>
      </c>
      <c r="B1380" s="257" t="s">
        <v>4714</v>
      </c>
    </row>
    <row r="1381">
      <c r="A1381" s="257" t="s">
        <v>5025</v>
      </c>
      <c r="B1381" s="257" t="s">
        <v>5025</v>
      </c>
    </row>
    <row r="1382">
      <c r="A1382" s="257" t="s">
        <v>12962</v>
      </c>
      <c r="B1382" s="257" t="s">
        <v>5013</v>
      </c>
    </row>
    <row r="1383">
      <c r="A1383" s="257" t="s">
        <v>4922</v>
      </c>
      <c r="B1383" s="257" t="s">
        <v>4922</v>
      </c>
    </row>
    <row r="1384">
      <c r="A1384" s="257" t="s">
        <v>4578</v>
      </c>
      <c r="B1384" s="257" t="s">
        <v>4578</v>
      </c>
    </row>
    <row r="1385">
      <c r="A1385" s="257" t="s">
        <v>4568</v>
      </c>
      <c r="B1385" s="257" t="s">
        <v>4568</v>
      </c>
    </row>
    <row r="1386">
      <c r="A1386" s="257" t="s">
        <v>4956</v>
      </c>
      <c r="B1386" s="257" t="s">
        <v>4956</v>
      </c>
    </row>
    <row r="1387">
      <c r="A1387" s="257" t="s">
        <v>4620</v>
      </c>
      <c r="B1387" s="257" t="s">
        <v>4620</v>
      </c>
    </row>
    <row r="1388">
      <c r="A1388" s="257" t="s">
        <v>1287</v>
      </c>
      <c r="B1388" s="257" t="s">
        <v>1287</v>
      </c>
    </row>
    <row r="1389">
      <c r="A1389" s="257" t="s">
        <v>12963</v>
      </c>
      <c r="B1389" s="257" t="s">
        <v>5029</v>
      </c>
    </row>
    <row r="1390">
      <c r="A1390" s="257" t="s">
        <v>12964</v>
      </c>
      <c r="B1390" s="257" t="s">
        <v>5019</v>
      </c>
    </row>
    <row r="1391">
      <c r="A1391" s="257" t="s">
        <v>4989</v>
      </c>
      <c r="B1391" s="257" t="s">
        <v>4989</v>
      </c>
    </row>
    <row r="1392">
      <c r="A1392" s="257" t="s">
        <v>12965</v>
      </c>
      <c r="B1392" s="257" t="s">
        <v>4576</v>
      </c>
    </row>
    <row r="1393">
      <c r="A1393" s="257" t="s">
        <v>12966</v>
      </c>
      <c r="B1393" s="257" t="s">
        <v>5003</v>
      </c>
    </row>
    <row r="1394">
      <c r="A1394" s="257" t="s">
        <v>4897</v>
      </c>
      <c r="B1394" s="257" t="s">
        <v>4897</v>
      </c>
    </row>
    <row r="1395">
      <c r="A1395" s="257" t="s">
        <v>4760</v>
      </c>
      <c r="B1395" s="257" t="s">
        <v>4760</v>
      </c>
    </row>
    <row r="1396">
      <c r="A1396" s="257" t="s">
        <v>1278</v>
      </c>
      <c r="B1396" s="257" t="s">
        <v>1278</v>
      </c>
    </row>
    <row r="1397">
      <c r="A1397" s="257" t="s">
        <v>4877</v>
      </c>
      <c r="B1397" s="257" t="s">
        <v>4877</v>
      </c>
    </row>
    <row r="1398">
      <c r="A1398" s="257" t="s">
        <v>4646</v>
      </c>
      <c r="B1398" s="257" t="s">
        <v>4646</v>
      </c>
    </row>
    <row r="1399">
      <c r="A1399" s="257" t="s">
        <v>4738</v>
      </c>
      <c r="B1399" s="257" t="s">
        <v>4738</v>
      </c>
    </row>
    <row r="1400">
      <c r="A1400" s="257" t="s">
        <v>9459</v>
      </c>
      <c r="B1400" s="257" t="s">
        <v>9459</v>
      </c>
    </row>
    <row r="1401">
      <c r="A1401" s="257" t="s">
        <v>12967</v>
      </c>
      <c r="B1401" s="257" t="s">
        <v>4711</v>
      </c>
    </row>
    <row r="1402">
      <c r="A1402" s="257" t="s">
        <v>12968</v>
      </c>
      <c r="B1402" s="257" t="s">
        <v>5025</v>
      </c>
    </row>
    <row r="1403">
      <c r="A1403" s="257" t="s">
        <v>5001</v>
      </c>
      <c r="B1403" s="257" t="s">
        <v>5001</v>
      </c>
    </row>
    <row r="1404">
      <c r="A1404" s="257" t="s">
        <v>4871</v>
      </c>
      <c r="B1404" s="257" t="s">
        <v>4871</v>
      </c>
    </row>
    <row r="1405">
      <c r="A1405" s="257" t="s">
        <v>5017</v>
      </c>
      <c r="B1405" s="257" t="s">
        <v>5017</v>
      </c>
    </row>
    <row r="1406">
      <c r="A1406" s="257" t="s">
        <v>4728</v>
      </c>
      <c r="B1406" s="257" t="s">
        <v>4728</v>
      </c>
    </row>
    <row r="1407">
      <c r="A1407" s="257" t="s">
        <v>4590</v>
      </c>
      <c r="B1407" s="257" t="s">
        <v>4590</v>
      </c>
    </row>
    <row r="1408">
      <c r="A1408" s="257" t="s">
        <v>12969</v>
      </c>
      <c r="B1408" s="257" t="s">
        <v>4597</v>
      </c>
    </row>
    <row r="1409">
      <c r="A1409" s="257" t="s">
        <v>4602</v>
      </c>
      <c r="B1409" s="257" t="s">
        <v>4603</v>
      </c>
    </row>
    <row r="1410">
      <c r="A1410" s="257" t="s">
        <v>4938</v>
      </c>
      <c r="B1410" s="257" t="s">
        <v>4938</v>
      </c>
    </row>
    <row r="1411">
      <c r="A1411" s="257" t="s">
        <v>5003</v>
      </c>
      <c r="B1411" s="257" t="s">
        <v>5003</v>
      </c>
    </row>
    <row r="1412">
      <c r="A1412" s="257" t="s">
        <v>4608</v>
      </c>
      <c r="B1412" s="257" t="s">
        <v>4608</v>
      </c>
    </row>
    <row r="1413">
      <c r="A1413" s="257" t="s">
        <v>4906</v>
      </c>
      <c r="B1413" s="257" t="s">
        <v>4906</v>
      </c>
    </row>
    <row r="1414">
      <c r="A1414" s="257" t="s">
        <v>4736</v>
      </c>
      <c r="B1414" s="257" t="s">
        <v>4736</v>
      </c>
    </row>
    <row r="1415">
      <c r="A1415" s="257" t="s">
        <v>4764</v>
      </c>
      <c r="B1415" s="257" t="s">
        <v>4764</v>
      </c>
    </row>
    <row r="1416">
      <c r="A1416" s="257" t="s">
        <v>1260</v>
      </c>
      <c r="B1416" s="257" t="s">
        <v>1260</v>
      </c>
    </row>
    <row r="1417">
      <c r="A1417" s="257" t="s">
        <v>4796</v>
      </c>
      <c r="B1417" s="257" t="s">
        <v>698</v>
      </c>
    </row>
    <row r="1418">
      <c r="A1418" s="257" t="s">
        <v>12970</v>
      </c>
      <c r="B1418" s="257" t="s">
        <v>1250</v>
      </c>
    </row>
    <row r="1419">
      <c r="A1419" s="257" t="s">
        <v>4950</v>
      </c>
      <c r="B1419" s="257" t="s">
        <v>4950</v>
      </c>
    </row>
    <row r="1420">
      <c r="A1420" s="257" t="s">
        <v>4644</v>
      </c>
      <c r="B1420" s="257" t="s">
        <v>4644</v>
      </c>
    </row>
    <row r="1421">
      <c r="A1421" s="257" t="s">
        <v>5009</v>
      </c>
      <c r="B1421" s="257" t="s">
        <v>5009</v>
      </c>
    </row>
    <row r="1422">
      <c r="A1422" s="257" t="s">
        <v>4611</v>
      </c>
      <c r="B1422" s="257" t="s">
        <v>4611</v>
      </c>
    </row>
    <row r="1423">
      <c r="A1423" s="257" t="s">
        <v>4795</v>
      </c>
      <c r="B1423" s="257" t="s">
        <v>4795</v>
      </c>
    </row>
    <row r="1424">
      <c r="A1424" s="257" t="s">
        <v>4674</v>
      </c>
      <c r="B1424" s="257" t="s">
        <v>4674</v>
      </c>
    </row>
    <row r="1425">
      <c r="A1425" s="257" t="s">
        <v>1285</v>
      </c>
      <c r="B1425" s="257" t="s">
        <v>1285</v>
      </c>
    </row>
    <row r="1426">
      <c r="A1426" s="257" t="s">
        <v>4930</v>
      </c>
      <c r="B1426" s="257" t="s">
        <v>4930</v>
      </c>
    </row>
    <row r="1427">
      <c r="A1427" s="257" t="s">
        <v>4734</v>
      </c>
      <c r="B1427" s="257" t="s">
        <v>4734</v>
      </c>
    </row>
    <row r="1428">
      <c r="A1428" s="257" t="s">
        <v>4908</v>
      </c>
      <c r="B1428" s="257" t="s">
        <v>4908</v>
      </c>
    </row>
    <row r="1429">
      <c r="A1429" s="257" t="s">
        <v>4898</v>
      </c>
      <c r="B1429" s="257" t="s">
        <v>4899</v>
      </c>
    </row>
    <row r="1430">
      <c r="A1430" s="257" t="s">
        <v>4571</v>
      </c>
      <c r="B1430" s="257" t="s">
        <v>4571</v>
      </c>
    </row>
    <row r="1431">
      <c r="A1431" s="257" t="s">
        <v>12971</v>
      </c>
      <c r="B1431" s="257" t="s">
        <v>12971</v>
      </c>
    </row>
    <row r="1432">
      <c r="A1432" s="257" t="s">
        <v>4784</v>
      </c>
      <c r="B1432" s="257" t="s">
        <v>4784</v>
      </c>
    </row>
    <row r="1433">
      <c r="A1433" s="257" t="s">
        <v>4639</v>
      </c>
      <c r="B1433" s="257" t="s">
        <v>4639</v>
      </c>
    </row>
    <row r="1434">
      <c r="A1434" s="257" t="s">
        <v>12972</v>
      </c>
      <c r="B1434" s="257" t="s">
        <v>4999</v>
      </c>
    </row>
    <row r="1435">
      <c r="A1435" s="257" t="s">
        <v>4995</v>
      </c>
      <c r="B1435" s="257" t="s">
        <v>4995</v>
      </c>
    </row>
    <row r="1436">
      <c r="A1436" s="257" t="s">
        <v>4999</v>
      </c>
      <c r="B1436" s="257" t="s">
        <v>4999</v>
      </c>
    </row>
    <row r="1437">
      <c r="A1437" s="257" t="s">
        <v>12973</v>
      </c>
      <c r="B1437" s="257" t="s">
        <v>4584</v>
      </c>
    </row>
    <row r="1438">
      <c r="A1438" s="257" t="s">
        <v>4782</v>
      </c>
      <c r="B1438" s="257" t="s">
        <v>4782</v>
      </c>
    </row>
    <row r="1439">
      <c r="A1439" s="257" t="s">
        <v>12974</v>
      </c>
      <c r="B1439" s="257" t="s">
        <v>4844</v>
      </c>
    </row>
    <row r="1440">
      <c r="A1440" s="257" t="s">
        <v>4858</v>
      </c>
      <c r="B1440" s="257" t="s">
        <v>4858</v>
      </c>
    </row>
    <row r="1441">
      <c r="A1441" s="257" t="s">
        <v>12975</v>
      </c>
      <c r="B1441" s="257" t="s">
        <v>4995</v>
      </c>
    </row>
    <row r="1442">
      <c r="A1442" s="257" t="s">
        <v>4569</v>
      </c>
      <c r="B1442" s="257" t="s">
        <v>4569</v>
      </c>
    </row>
    <row r="1443">
      <c r="A1443" s="257" t="s">
        <v>4609</v>
      </c>
      <c r="B1443" s="257" t="s">
        <v>4609</v>
      </c>
    </row>
    <row r="1444">
      <c r="A1444" s="257" t="s">
        <v>5029</v>
      </c>
      <c r="B1444" s="257" t="s">
        <v>5029</v>
      </c>
    </row>
    <row r="1445">
      <c r="A1445" s="257" t="s">
        <v>4872</v>
      </c>
      <c r="B1445" s="257" t="s">
        <v>4873</v>
      </c>
    </row>
    <row r="1446">
      <c r="A1446" s="257" t="s">
        <v>1281</v>
      </c>
      <c r="B1446" s="257" t="s">
        <v>1281</v>
      </c>
    </row>
    <row r="1447">
      <c r="A1447" s="257" t="s">
        <v>12976</v>
      </c>
      <c r="B1447" s="257" t="s">
        <v>4584</v>
      </c>
    </row>
    <row r="1448">
      <c r="A1448" s="257" t="s">
        <v>1261</v>
      </c>
      <c r="B1448" s="257" t="s">
        <v>1261</v>
      </c>
    </row>
    <row r="1449">
      <c r="A1449" s="257" t="s">
        <v>5013</v>
      </c>
      <c r="B1449" s="257" t="s">
        <v>5013</v>
      </c>
    </row>
    <row r="1450">
      <c r="A1450" s="257" t="s">
        <v>4889</v>
      </c>
      <c r="B1450" s="257" t="s">
        <v>4889</v>
      </c>
    </row>
    <row r="1451">
      <c r="A1451" s="257" t="s">
        <v>12977</v>
      </c>
      <c r="B1451" s="257" t="s">
        <v>4795</v>
      </c>
    </row>
    <row r="1452">
      <c r="A1452" s="257" t="s">
        <v>4586</v>
      </c>
      <c r="B1452" s="257" t="s">
        <v>4586</v>
      </c>
    </row>
    <row r="1453">
      <c r="A1453" s="257" t="s">
        <v>12978</v>
      </c>
      <c r="B1453" s="257" t="s">
        <v>12978</v>
      </c>
    </row>
    <row r="1454">
      <c r="A1454" s="257" t="s">
        <v>4506</v>
      </c>
      <c r="B1454" s="257" t="s">
        <v>4506</v>
      </c>
    </row>
    <row r="1455">
      <c r="A1455" s="257" t="s">
        <v>4531</v>
      </c>
      <c r="B1455" s="257" t="s">
        <v>4531</v>
      </c>
    </row>
    <row r="1456">
      <c r="A1456" s="257" t="s">
        <v>4802</v>
      </c>
      <c r="B1456" s="257" t="s">
        <v>4802</v>
      </c>
    </row>
    <row r="1457">
      <c r="A1457" s="257" t="s">
        <v>4730</v>
      </c>
      <c r="B1457" s="257" t="s">
        <v>4730</v>
      </c>
    </row>
    <row r="1458">
      <c r="A1458" s="257" t="s">
        <v>12979</v>
      </c>
      <c r="B1458" s="257" t="s">
        <v>4802</v>
      </c>
    </row>
    <row r="1459">
      <c r="A1459" s="257" t="s">
        <v>1257</v>
      </c>
      <c r="B1459" s="257" t="s">
        <v>1257</v>
      </c>
    </row>
    <row r="1460">
      <c r="A1460" s="257" t="s">
        <v>12980</v>
      </c>
      <c r="B1460" s="257" t="s">
        <v>4597</v>
      </c>
    </row>
    <row r="1461">
      <c r="A1461" s="257" t="s">
        <v>5019</v>
      </c>
      <c r="B1461" s="257" t="s">
        <v>5019</v>
      </c>
    </row>
    <row r="1462">
      <c r="A1462" s="257" t="s">
        <v>12981</v>
      </c>
      <c r="B1462" s="257" t="s">
        <v>12981</v>
      </c>
    </row>
    <row r="1463">
      <c r="A1463" s="257" t="s">
        <v>12982</v>
      </c>
      <c r="B1463" s="257" t="s">
        <v>4576</v>
      </c>
    </row>
    <row r="1464">
      <c r="A1464" s="257" t="s">
        <v>4958</v>
      </c>
      <c r="B1464" s="257" t="s">
        <v>4958</v>
      </c>
    </row>
    <row r="1465">
      <c r="A1465" s="257" t="s">
        <v>1244</v>
      </c>
      <c r="B1465" s="257" t="s">
        <v>1244</v>
      </c>
    </row>
    <row r="1466">
      <c r="A1466" s="257" t="s">
        <v>4864</v>
      </c>
      <c r="B1466" s="257" t="s">
        <v>4864</v>
      </c>
    </row>
    <row r="1467">
      <c r="A1467" s="257" t="s">
        <v>4689</v>
      </c>
      <c r="B1467" s="257" t="s">
        <v>4689</v>
      </c>
    </row>
    <row r="1468">
      <c r="A1468" s="257" t="s">
        <v>4541</v>
      </c>
      <c r="B1468" s="257" t="s">
        <v>4541</v>
      </c>
    </row>
    <row r="1469">
      <c r="A1469" s="257" t="s">
        <v>12983</v>
      </c>
      <c r="B1469" s="257" t="s">
        <v>4541</v>
      </c>
    </row>
    <row r="1470">
      <c r="A1470" s="257" t="s">
        <v>4604</v>
      </c>
      <c r="B1470" s="257" t="s">
        <v>4604</v>
      </c>
    </row>
    <row r="1471">
      <c r="A1471" s="257" t="s">
        <v>4746</v>
      </c>
      <c r="B1471" s="257" t="s">
        <v>4746</v>
      </c>
    </row>
    <row r="1472">
      <c r="A1472" s="257" t="s">
        <v>4866</v>
      </c>
      <c r="B1472" s="257" t="s">
        <v>4866</v>
      </c>
    </row>
    <row r="1473">
      <c r="A1473" s="257" t="s">
        <v>12984</v>
      </c>
      <c r="B1473" s="257" t="s">
        <v>1249</v>
      </c>
    </row>
    <row r="1474">
      <c r="A1474" s="257" t="s">
        <v>4628</v>
      </c>
      <c r="B1474" s="257" t="s">
        <v>4628</v>
      </c>
    </row>
    <row r="1475">
      <c r="A1475" s="257" t="s">
        <v>4634</v>
      </c>
      <c r="B1475" s="257" t="s">
        <v>4634</v>
      </c>
    </row>
    <row r="1476">
      <c r="A1476" s="257" t="s">
        <v>4820</v>
      </c>
      <c r="B1476" s="257" t="s">
        <v>4820</v>
      </c>
    </row>
    <row r="1477">
      <c r="A1477" s="257" t="s">
        <v>12985</v>
      </c>
      <c r="B1477" s="257" t="s">
        <v>4709</v>
      </c>
    </row>
    <row r="1478">
      <c r="A1478" s="257" t="s">
        <v>4573</v>
      </c>
      <c r="B1478" s="257" t="s">
        <v>4573</v>
      </c>
    </row>
    <row r="1479">
      <c r="A1479" s="257" t="s">
        <v>4960</v>
      </c>
      <c r="B1479" s="257" t="s">
        <v>4960</v>
      </c>
    </row>
    <row r="1480">
      <c r="A1480" s="257" t="s">
        <v>4970</v>
      </c>
      <c r="B1480" s="257" t="s">
        <v>4970</v>
      </c>
    </row>
    <row r="1481">
      <c r="A1481" s="257" t="s">
        <v>1242</v>
      </c>
      <c r="B1481" s="257" t="s">
        <v>1242</v>
      </c>
    </row>
    <row r="1482">
      <c r="A1482" s="257" t="s">
        <v>4630</v>
      </c>
      <c r="B1482" s="257" t="s">
        <v>4630</v>
      </c>
    </row>
    <row r="1483">
      <c r="A1483" s="257" t="s">
        <v>4593</v>
      </c>
      <c r="B1483" s="257" t="s">
        <v>4593</v>
      </c>
    </row>
    <row r="1484">
      <c r="A1484" s="257" t="s">
        <v>4709</v>
      </c>
      <c r="B1484" s="257" t="s">
        <v>4709</v>
      </c>
    </row>
    <row r="1485">
      <c r="A1485" s="257" t="s">
        <v>4626</v>
      </c>
      <c r="B1485" s="257" t="s">
        <v>4626</v>
      </c>
    </row>
    <row r="1486">
      <c r="A1486" s="257" t="s">
        <v>4879</v>
      </c>
      <c r="B1486" s="257" t="s">
        <v>4879</v>
      </c>
    </row>
    <row r="1487">
      <c r="A1487" s="257" t="s">
        <v>4705</v>
      </c>
      <c r="B1487" s="257" t="s">
        <v>4705</v>
      </c>
    </row>
    <row r="1488">
      <c r="A1488" s="257" t="s">
        <v>4632</v>
      </c>
      <c r="B1488" s="257" t="s">
        <v>4632</v>
      </c>
    </row>
    <row r="1489">
      <c r="A1489" s="257" t="s">
        <v>4548</v>
      </c>
      <c r="B1489" s="257" t="s">
        <v>4548</v>
      </c>
    </row>
    <row r="1490">
      <c r="A1490" s="257" t="s">
        <v>4625</v>
      </c>
      <c r="B1490" s="257" t="s">
        <v>4625</v>
      </c>
    </row>
    <row r="1491">
      <c r="A1491" s="257" t="s">
        <v>4707</v>
      </c>
      <c r="B1491" s="257" t="s">
        <v>4707</v>
      </c>
    </row>
    <row r="1492">
      <c r="A1492" s="257" t="s">
        <v>4869</v>
      </c>
      <c r="B1492" s="257" t="s">
        <v>4869</v>
      </c>
    </row>
    <row r="1493">
      <c r="A1493" s="257" t="s">
        <v>12986</v>
      </c>
      <c r="B1493" s="257" t="s">
        <v>4557</v>
      </c>
    </row>
    <row r="1494">
      <c r="A1494" s="257" t="s">
        <v>6392</v>
      </c>
      <c r="B1494" s="257" t="s">
        <v>6392</v>
      </c>
    </row>
    <row r="1495">
      <c r="A1495" s="257" t="s">
        <v>10103</v>
      </c>
      <c r="B1495" s="257" t="s">
        <v>10103</v>
      </c>
    </row>
    <row r="1496">
      <c r="A1496" s="257" t="s">
        <v>12987</v>
      </c>
      <c r="B1496" s="257" t="s">
        <v>12987</v>
      </c>
    </row>
    <row r="1497">
      <c r="A1497" s="257" t="s">
        <v>10111</v>
      </c>
      <c r="B1497" s="257" t="s">
        <v>10111</v>
      </c>
    </row>
    <row r="1498">
      <c r="A1498" s="257" t="s">
        <v>6772</v>
      </c>
      <c r="B1498" s="257" t="s">
        <v>6772</v>
      </c>
    </row>
    <row r="1499">
      <c r="A1499" s="257" t="s">
        <v>12988</v>
      </c>
      <c r="B1499" s="257" t="s">
        <v>11796</v>
      </c>
    </row>
    <row r="1500">
      <c r="A1500" s="257" t="s">
        <v>5406</v>
      </c>
      <c r="B1500" s="257" t="s">
        <v>5406</v>
      </c>
    </row>
    <row r="1501">
      <c r="A1501" s="257" t="s">
        <v>12989</v>
      </c>
      <c r="B1501" s="257" t="s">
        <v>12989</v>
      </c>
    </row>
    <row r="1502">
      <c r="A1502" s="257" t="s">
        <v>12990</v>
      </c>
      <c r="B1502" s="257" t="s">
        <v>9534</v>
      </c>
    </row>
    <row r="1503">
      <c r="A1503" s="257" t="s">
        <v>12991</v>
      </c>
      <c r="B1503" s="257" t="s">
        <v>12991</v>
      </c>
    </row>
    <row r="1504">
      <c r="A1504" s="257" t="s">
        <v>12992</v>
      </c>
      <c r="B1504" s="257" t="s">
        <v>12992</v>
      </c>
    </row>
    <row r="1505">
      <c r="A1505" s="257" t="s">
        <v>5196</v>
      </c>
      <c r="B1505" s="257" t="s">
        <v>5196</v>
      </c>
    </row>
    <row r="1506">
      <c r="A1506" s="257" t="s">
        <v>12993</v>
      </c>
      <c r="B1506" s="257" t="s">
        <v>5093</v>
      </c>
    </row>
    <row r="1507">
      <c r="A1507" s="257" t="s">
        <v>10116</v>
      </c>
      <c r="B1507" s="257" t="s">
        <v>10116</v>
      </c>
    </row>
    <row r="1508">
      <c r="A1508" s="257" t="s">
        <v>12994</v>
      </c>
      <c r="B1508" s="257" t="s">
        <v>12994</v>
      </c>
    </row>
    <row r="1509">
      <c r="A1509" s="257" t="s">
        <v>12995</v>
      </c>
      <c r="B1509" s="257" t="s">
        <v>12995</v>
      </c>
    </row>
    <row r="1510">
      <c r="A1510" s="257" t="s">
        <v>12996</v>
      </c>
      <c r="B1510" s="257" t="s">
        <v>12997</v>
      </c>
    </row>
    <row r="1511">
      <c r="A1511" s="257" t="s">
        <v>12998</v>
      </c>
      <c r="B1511" s="257" t="s">
        <v>12999</v>
      </c>
    </row>
    <row r="1512">
      <c r="A1512" s="257" t="s">
        <v>11967</v>
      </c>
      <c r="B1512" s="257" t="s">
        <v>11967</v>
      </c>
    </row>
    <row r="1513">
      <c r="A1513" s="257" t="s">
        <v>13000</v>
      </c>
      <c r="B1513" s="257" t="s">
        <v>11783</v>
      </c>
    </row>
    <row r="1514">
      <c r="A1514" s="257" t="s">
        <v>10109</v>
      </c>
      <c r="B1514" s="257" t="s">
        <v>10109</v>
      </c>
    </row>
    <row r="1515">
      <c r="A1515" s="257" t="s">
        <v>13001</v>
      </c>
      <c r="B1515" s="257" t="s">
        <v>1846</v>
      </c>
    </row>
    <row r="1516">
      <c r="A1516" s="257" t="s">
        <v>13002</v>
      </c>
      <c r="B1516" s="257" t="s">
        <v>10111</v>
      </c>
    </row>
    <row r="1517">
      <c r="A1517" s="257" t="s">
        <v>10154</v>
      </c>
      <c r="B1517" s="257" t="s">
        <v>10154</v>
      </c>
    </row>
    <row r="1518">
      <c r="A1518" s="257" t="s">
        <v>11971</v>
      </c>
      <c r="B1518" s="257" t="s">
        <v>11971</v>
      </c>
    </row>
    <row r="1519">
      <c r="A1519" s="257" t="s">
        <v>13003</v>
      </c>
      <c r="B1519" s="257" t="s">
        <v>11855</v>
      </c>
    </row>
    <row r="1520">
      <c r="A1520" s="257" t="s">
        <v>13004</v>
      </c>
      <c r="B1520" s="257" t="s">
        <v>11854</v>
      </c>
    </row>
    <row r="1521">
      <c r="A1521" s="257" t="s">
        <v>13005</v>
      </c>
      <c r="B1521" s="257" t="s">
        <v>13005</v>
      </c>
    </row>
    <row r="1522">
      <c r="A1522" s="257" t="s">
        <v>13006</v>
      </c>
      <c r="B1522" s="257" t="s">
        <v>11960</v>
      </c>
    </row>
    <row r="1523">
      <c r="A1523" s="257" t="s">
        <v>1873</v>
      </c>
      <c r="B1523" s="257" t="s">
        <v>1873</v>
      </c>
    </row>
    <row r="1524">
      <c r="A1524" s="257" t="s">
        <v>13007</v>
      </c>
      <c r="B1524" s="257" t="s">
        <v>13007</v>
      </c>
    </row>
    <row r="1525">
      <c r="A1525" s="257" t="s">
        <v>13008</v>
      </c>
      <c r="B1525" s="257" t="s">
        <v>12710</v>
      </c>
    </row>
    <row r="1526">
      <c r="A1526" s="257" t="s">
        <v>13009</v>
      </c>
      <c r="B1526" s="257" t="s">
        <v>11863</v>
      </c>
    </row>
    <row r="1527">
      <c r="A1527" s="257" t="s">
        <v>12999</v>
      </c>
      <c r="B1527" s="257" t="s">
        <v>12999</v>
      </c>
    </row>
    <row r="1528">
      <c r="A1528" s="257" t="s">
        <v>11861</v>
      </c>
      <c r="B1528" s="257" t="s">
        <v>11861</v>
      </c>
    </row>
    <row r="1529">
      <c r="A1529" s="257" t="s">
        <v>1869</v>
      </c>
      <c r="B1529" s="257" t="s">
        <v>1869</v>
      </c>
    </row>
    <row r="1530">
      <c r="A1530" s="257" t="s">
        <v>13010</v>
      </c>
      <c r="B1530" s="257" t="s">
        <v>13010</v>
      </c>
    </row>
    <row r="1531">
      <c r="A1531" s="257" t="s">
        <v>13011</v>
      </c>
      <c r="B1531" s="257" t="s">
        <v>13011</v>
      </c>
    </row>
    <row r="1532">
      <c r="A1532" s="257" t="s">
        <v>13012</v>
      </c>
      <c r="B1532" s="257" t="s">
        <v>6264</v>
      </c>
    </row>
    <row r="1533">
      <c r="A1533" s="257" t="s">
        <v>13013</v>
      </c>
      <c r="B1533" s="257" t="s">
        <v>13013</v>
      </c>
    </row>
    <row r="1534">
      <c r="A1534" s="257" t="s">
        <v>1718</v>
      </c>
      <c r="B1534" s="257" t="s">
        <v>1718</v>
      </c>
    </row>
    <row r="1535">
      <c r="A1535" s="257" t="s">
        <v>13014</v>
      </c>
      <c r="B1535" s="257" t="s">
        <v>5412</v>
      </c>
    </row>
    <row r="1536">
      <c r="A1536" s="257" t="s">
        <v>13015</v>
      </c>
      <c r="B1536" s="257" t="s">
        <v>13015</v>
      </c>
    </row>
    <row r="1537">
      <c r="A1537" s="257" t="s">
        <v>10132</v>
      </c>
      <c r="B1537" s="257" t="s">
        <v>10132</v>
      </c>
    </row>
    <row r="1538">
      <c r="A1538" s="257" t="s">
        <v>10108</v>
      </c>
      <c r="B1538" s="257" t="s">
        <v>10108</v>
      </c>
    </row>
    <row r="1539">
      <c r="A1539" s="257" t="s">
        <v>13016</v>
      </c>
      <c r="B1539" s="257" t="s">
        <v>1874</v>
      </c>
    </row>
    <row r="1540">
      <c r="A1540" s="257" t="s">
        <v>13017</v>
      </c>
      <c r="B1540" s="257" t="s">
        <v>13017</v>
      </c>
    </row>
    <row r="1541">
      <c r="A1541" s="257" t="s">
        <v>5182</v>
      </c>
      <c r="B1541" s="257" t="s">
        <v>5182</v>
      </c>
    </row>
    <row r="1542">
      <c r="A1542" s="257" t="s">
        <v>13018</v>
      </c>
      <c r="B1542" s="257" t="s">
        <v>13018</v>
      </c>
    </row>
    <row r="1543">
      <c r="A1543" s="257" t="s">
        <v>13019</v>
      </c>
      <c r="B1543" s="257" t="s">
        <v>13019</v>
      </c>
    </row>
    <row r="1544">
      <c r="A1544" s="257" t="s">
        <v>13020</v>
      </c>
      <c r="B1544" s="257" t="s">
        <v>11649</v>
      </c>
    </row>
    <row r="1545">
      <c r="A1545" s="257" t="s">
        <v>13021</v>
      </c>
      <c r="B1545" s="257" t="s">
        <v>13021</v>
      </c>
    </row>
    <row r="1546">
      <c r="A1546" s="257" t="s">
        <v>13022</v>
      </c>
      <c r="B1546" s="257" t="s">
        <v>10109</v>
      </c>
    </row>
    <row r="1547">
      <c r="A1547" s="257" t="s">
        <v>13023</v>
      </c>
      <c r="B1547" s="257" t="s">
        <v>11796</v>
      </c>
    </row>
    <row r="1548">
      <c r="A1548" s="257" t="s">
        <v>1802</v>
      </c>
      <c r="B1548" s="257" t="s">
        <v>1802</v>
      </c>
    </row>
    <row r="1549">
      <c r="A1549" s="257" t="s">
        <v>13024</v>
      </c>
      <c r="B1549" s="257" t="s">
        <v>11800</v>
      </c>
    </row>
    <row r="1550">
      <c r="A1550" s="257" t="s">
        <v>13025</v>
      </c>
      <c r="B1550" s="257" t="s">
        <v>13025</v>
      </c>
    </row>
    <row r="1551">
      <c r="A1551" s="257" t="s">
        <v>13026</v>
      </c>
      <c r="B1551" s="257" t="s">
        <v>6408</v>
      </c>
    </row>
    <row r="1552">
      <c r="A1552" s="257" t="s">
        <v>13027</v>
      </c>
      <c r="B1552" s="257" t="s">
        <v>6662</v>
      </c>
    </row>
    <row r="1553">
      <c r="A1553" s="257" t="s">
        <v>11969</v>
      </c>
      <c r="B1553" s="257" t="s">
        <v>11969</v>
      </c>
    </row>
    <row r="1554">
      <c r="A1554" s="257" t="s">
        <v>1876</v>
      </c>
      <c r="B1554" s="257" t="s">
        <v>1876</v>
      </c>
    </row>
    <row r="1555">
      <c r="A1555" s="257" t="s">
        <v>1945</v>
      </c>
      <c r="B1555" s="257" t="s">
        <v>1945</v>
      </c>
    </row>
    <row r="1556">
      <c r="A1556" s="257" t="s">
        <v>13028</v>
      </c>
      <c r="B1556" s="257" t="s">
        <v>12634</v>
      </c>
    </row>
    <row r="1557">
      <c r="A1557" s="257" t="s">
        <v>13029</v>
      </c>
      <c r="B1557" s="257" t="s">
        <v>13030</v>
      </c>
    </row>
    <row r="1558">
      <c r="A1558" s="257" t="s">
        <v>13031</v>
      </c>
      <c r="B1558" s="257" t="s">
        <v>10104</v>
      </c>
    </row>
    <row r="1559">
      <c r="A1559" s="257" t="s">
        <v>6390</v>
      </c>
      <c r="B1559" s="257" t="s">
        <v>6390</v>
      </c>
    </row>
    <row r="1560">
      <c r="A1560" s="257" t="s">
        <v>13032</v>
      </c>
      <c r="B1560" s="257" t="s">
        <v>13033</v>
      </c>
    </row>
    <row r="1561">
      <c r="A1561" s="257" t="s">
        <v>13034</v>
      </c>
      <c r="B1561" s="257" t="s">
        <v>13034</v>
      </c>
    </row>
    <row r="1562">
      <c r="A1562" s="257" t="s">
        <v>5416</v>
      </c>
      <c r="B1562" s="257" t="s">
        <v>5416</v>
      </c>
    </row>
    <row r="1563">
      <c r="A1563" s="257" t="s">
        <v>13035</v>
      </c>
      <c r="B1563" s="257" t="s">
        <v>13035</v>
      </c>
    </row>
    <row r="1564">
      <c r="A1564" s="257" t="s">
        <v>13036</v>
      </c>
      <c r="B1564" s="257" t="s">
        <v>13036</v>
      </c>
    </row>
    <row r="1565">
      <c r="A1565" s="257" t="s">
        <v>13037</v>
      </c>
      <c r="B1565" s="257" t="s">
        <v>1835</v>
      </c>
    </row>
    <row r="1566">
      <c r="A1566" s="257" t="s">
        <v>11368</v>
      </c>
      <c r="B1566" s="257" t="s">
        <v>11368</v>
      </c>
    </row>
    <row r="1567">
      <c r="A1567" s="257" t="s">
        <v>1923</v>
      </c>
      <c r="B1567" s="257" t="s">
        <v>1923</v>
      </c>
    </row>
    <row r="1568">
      <c r="A1568" s="257" t="s">
        <v>5411</v>
      </c>
      <c r="B1568" s="257" t="s">
        <v>5411</v>
      </c>
    </row>
    <row r="1569">
      <c r="A1569" s="257" t="s">
        <v>13038</v>
      </c>
      <c r="B1569" s="257" t="s">
        <v>5148</v>
      </c>
    </row>
    <row r="1570">
      <c r="A1570" s="257" t="s">
        <v>13039</v>
      </c>
      <c r="B1570" s="257" t="s">
        <v>11799</v>
      </c>
    </row>
    <row r="1571">
      <c r="A1571" s="257" t="s">
        <v>13040</v>
      </c>
      <c r="B1571" s="257" t="s">
        <v>6652</v>
      </c>
    </row>
    <row r="1572">
      <c r="A1572" s="257" t="s">
        <v>13041</v>
      </c>
      <c r="B1572" s="257" t="s">
        <v>12947</v>
      </c>
    </row>
    <row r="1573">
      <c r="A1573" s="257" t="s">
        <v>13042</v>
      </c>
      <c r="B1573" s="257" t="s">
        <v>5118</v>
      </c>
    </row>
    <row r="1574">
      <c r="A1574" s="257" t="s">
        <v>13043</v>
      </c>
      <c r="B1574" s="257" t="s">
        <v>1854</v>
      </c>
    </row>
    <row r="1575">
      <c r="A1575" s="257" t="s">
        <v>13044</v>
      </c>
      <c r="B1575" s="257" t="s">
        <v>1842</v>
      </c>
    </row>
    <row r="1576">
      <c r="A1576" s="257" t="s">
        <v>13045</v>
      </c>
      <c r="B1576" s="257" t="s">
        <v>6493</v>
      </c>
    </row>
    <row r="1577">
      <c r="A1577" s="257" t="s">
        <v>13046</v>
      </c>
      <c r="B1577" s="257" t="s">
        <v>6494</v>
      </c>
    </row>
    <row r="1578">
      <c r="A1578" s="257" t="s">
        <v>13047</v>
      </c>
      <c r="B1578" s="257" t="s">
        <v>11852</v>
      </c>
    </row>
    <row r="1579">
      <c r="A1579" s="257" t="s">
        <v>13048</v>
      </c>
      <c r="B1579" s="257" t="s">
        <v>5109</v>
      </c>
    </row>
    <row r="1580">
      <c r="A1580" s="257" t="s">
        <v>13049</v>
      </c>
      <c r="B1580" s="257" t="s">
        <v>11650</v>
      </c>
    </row>
    <row r="1581">
      <c r="A1581" s="257" t="s">
        <v>13050</v>
      </c>
      <c r="B1581" s="257" t="s">
        <v>13051</v>
      </c>
    </row>
    <row r="1582">
      <c r="A1582" s="257" t="s">
        <v>13052</v>
      </c>
      <c r="B1582" s="257" t="s">
        <v>1851</v>
      </c>
    </row>
    <row r="1583">
      <c r="A1583" s="257" t="s">
        <v>13053</v>
      </c>
      <c r="B1583" s="257" t="s">
        <v>6661</v>
      </c>
    </row>
    <row r="1584">
      <c r="A1584" s="257" t="s">
        <v>4589</v>
      </c>
      <c r="B1584" s="257" t="s">
        <v>4589</v>
      </c>
    </row>
    <row r="1585">
      <c r="A1585" s="257" t="s">
        <v>4615</v>
      </c>
      <c r="B1585" s="257" t="s">
        <v>4615</v>
      </c>
    </row>
    <row r="1586">
      <c r="A1586" s="257" t="s">
        <v>13054</v>
      </c>
      <c r="B1586" s="257" t="s">
        <v>13054</v>
      </c>
    </row>
    <row r="1587">
      <c r="A1587" s="257" t="s">
        <v>4595</v>
      </c>
      <c r="B1587" s="257" t="s">
        <v>4595</v>
      </c>
    </row>
    <row r="1588">
      <c r="A1588" s="257" t="s">
        <v>4658</v>
      </c>
      <c r="B1588" s="257" t="s">
        <v>4658</v>
      </c>
    </row>
    <row r="1589">
      <c r="A1589" s="257" t="s">
        <v>4519</v>
      </c>
      <c r="B1589" s="257" t="s">
        <v>4519</v>
      </c>
    </row>
    <row r="1590">
      <c r="A1590" s="257" t="s">
        <v>4599</v>
      </c>
      <c r="B1590" s="257" t="s">
        <v>4599</v>
      </c>
    </row>
    <row r="1591">
      <c r="A1591" s="257" t="s">
        <v>4650</v>
      </c>
      <c r="B1591" s="257" t="s">
        <v>4650</v>
      </c>
    </row>
    <row r="1592">
      <c r="A1592" s="257" t="s">
        <v>4824</v>
      </c>
      <c r="B1592" s="257" t="s">
        <v>4824</v>
      </c>
    </row>
    <row r="1593">
      <c r="A1593" s="257" t="s">
        <v>4561</v>
      </c>
      <c r="B1593" s="257" t="s">
        <v>4561</v>
      </c>
    </row>
    <row r="1594">
      <c r="A1594" s="257" t="s">
        <v>11478</v>
      </c>
      <c r="B1594" s="257" t="s">
        <v>11478</v>
      </c>
    </row>
    <row r="1595">
      <c r="A1595" s="257" t="s">
        <v>13055</v>
      </c>
      <c r="B1595" s="257" t="s">
        <v>13055</v>
      </c>
    </row>
    <row r="1596">
      <c r="A1596" s="257" t="s">
        <v>13056</v>
      </c>
      <c r="B1596" s="257" t="s">
        <v>13056</v>
      </c>
    </row>
    <row r="1597">
      <c r="A1597" s="257" t="s">
        <v>13057</v>
      </c>
      <c r="B1597" s="257" t="s">
        <v>13057</v>
      </c>
    </row>
    <row r="1598">
      <c r="A1598" s="257" t="s">
        <v>13058</v>
      </c>
      <c r="B1598" s="257" t="s">
        <v>13058</v>
      </c>
    </row>
    <row r="1599">
      <c r="A1599" s="257" t="s">
        <v>13059</v>
      </c>
      <c r="B1599" s="257" t="s">
        <v>13059</v>
      </c>
    </row>
    <row r="1600">
      <c r="A1600" s="257" t="s">
        <v>13060</v>
      </c>
      <c r="B1600" s="257" t="s">
        <v>13060</v>
      </c>
    </row>
    <row r="1601">
      <c r="A1601" s="257" t="s">
        <v>13061</v>
      </c>
      <c r="B1601" s="257" t="s">
        <v>13061</v>
      </c>
    </row>
    <row r="1602">
      <c r="A1602" s="257" t="s">
        <v>13062</v>
      </c>
      <c r="B1602" s="257" t="s">
        <v>13062</v>
      </c>
    </row>
    <row r="1603">
      <c r="A1603" s="257" t="s">
        <v>13063</v>
      </c>
      <c r="B1603" s="257" t="s">
        <v>13063</v>
      </c>
    </row>
    <row r="1604">
      <c r="A1604" s="257" t="s">
        <v>13064</v>
      </c>
      <c r="B1604" s="257" t="s">
        <v>13064</v>
      </c>
    </row>
    <row r="1605">
      <c r="A1605" s="257" t="s">
        <v>13065</v>
      </c>
      <c r="B1605" s="257" t="s">
        <v>13065</v>
      </c>
    </row>
    <row r="1606">
      <c r="A1606" s="257" t="s">
        <v>13066</v>
      </c>
      <c r="B1606" s="257" t="s">
        <v>13066</v>
      </c>
    </row>
    <row r="1607">
      <c r="A1607" s="257" t="s">
        <v>1039</v>
      </c>
      <c r="B1607" s="257" t="s">
        <v>1039</v>
      </c>
    </row>
    <row r="1608">
      <c r="A1608" s="257" t="s">
        <v>13067</v>
      </c>
      <c r="B1608" s="257" t="s">
        <v>13067</v>
      </c>
    </row>
    <row r="1609">
      <c r="A1609" s="257" t="s">
        <v>5374</v>
      </c>
      <c r="B1609" s="257" t="s">
        <v>5374</v>
      </c>
    </row>
    <row r="1610">
      <c r="A1610" s="257" t="s">
        <v>13068</v>
      </c>
      <c r="B1610" s="257" t="s">
        <v>13068</v>
      </c>
    </row>
    <row r="1611">
      <c r="A1611" s="257" t="s">
        <v>4659</v>
      </c>
      <c r="B1611" s="257" t="s">
        <v>9458</v>
      </c>
    </row>
    <row r="1612">
      <c r="A1612" s="257" t="s">
        <v>4667</v>
      </c>
      <c r="B1612" s="257" t="s">
        <v>4667</v>
      </c>
    </row>
    <row r="1613">
      <c r="A1613" s="257" t="s">
        <v>4835</v>
      </c>
      <c r="B1613" s="257" t="s">
        <v>4835</v>
      </c>
    </row>
    <row r="1614">
      <c r="A1614" s="257" t="s">
        <v>4718</v>
      </c>
      <c r="B1614" s="257" t="s">
        <v>4718</v>
      </c>
    </row>
    <row r="1615">
      <c r="A1615" s="257" t="s">
        <v>4624</v>
      </c>
      <c r="B1615" s="257" t="s">
        <v>13069</v>
      </c>
    </row>
    <row r="1616">
      <c r="A1616" s="257" t="s">
        <v>13070</v>
      </c>
      <c r="B1616" s="257" t="s">
        <v>9458</v>
      </c>
    </row>
    <row r="1617">
      <c r="A1617" s="257" t="s">
        <v>4606</v>
      </c>
      <c r="B1617" s="257" t="s">
        <v>4606</v>
      </c>
    </row>
    <row r="1618">
      <c r="A1618" s="257" t="s">
        <v>4722</v>
      </c>
      <c r="B1618" s="257" t="s">
        <v>4722</v>
      </c>
    </row>
    <row r="1619">
      <c r="A1619" s="257" t="s">
        <v>1280</v>
      </c>
      <c r="B1619" s="257" t="s">
        <v>1280</v>
      </c>
    </row>
    <row r="1620">
      <c r="A1620" s="257" t="s">
        <v>4665</v>
      </c>
      <c r="B1620" s="257" t="s">
        <v>4665</v>
      </c>
    </row>
    <row r="1621">
      <c r="A1621" s="257" t="s">
        <v>13071</v>
      </c>
      <c r="B1621" s="257" t="s">
        <v>13071</v>
      </c>
    </row>
    <row r="1622">
      <c r="A1622" s="257" t="s">
        <v>13072</v>
      </c>
      <c r="B1622" s="257" t="s">
        <v>13072</v>
      </c>
    </row>
    <row r="1623">
      <c r="A1623" s="257" t="s">
        <v>13073</v>
      </c>
      <c r="B1623" s="257" t="s">
        <v>13073</v>
      </c>
    </row>
    <row r="1624">
      <c r="A1624" s="257" t="s">
        <v>13074</v>
      </c>
      <c r="B1624" s="257" t="s">
        <v>13074</v>
      </c>
    </row>
    <row r="1625">
      <c r="A1625" s="257" t="s">
        <v>13075</v>
      </c>
      <c r="B1625" s="257" t="s">
        <v>13075</v>
      </c>
    </row>
    <row r="1626">
      <c r="A1626" s="257" t="s">
        <v>13076</v>
      </c>
      <c r="B1626" s="257" t="s">
        <v>13076</v>
      </c>
    </row>
    <row r="1627">
      <c r="A1627" s="257" t="s">
        <v>13077</v>
      </c>
      <c r="B1627" s="257" t="s">
        <v>13077</v>
      </c>
    </row>
    <row r="1628">
      <c r="A1628" s="257" t="s">
        <v>13078</v>
      </c>
      <c r="B1628" s="257" t="s">
        <v>13078</v>
      </c>
    </row>
    <row r="1629">
      <c r="A1629" s="257" t="s">
        <v>9984</v>
      </c>
      <c r="B1629" s="257" t="s">
        <v>9984</v>
      </c>
    </row>
    <row r="1630">
      <c r="A1630" s="257" t="s">
        <v>11681</v>
      </c>
      <c r="B1630" s="257" t="s">
        <v>11681</v>
      </c>
    </row>
    <row r="1631">
      <c r="A1631" s="257" t="s">
        <v>13079</v>
      </c>
      <c r="B1631" s="257" t="s">
        <v>13080</v>
      </c>
    </row>
    <row r="1632">
      <c r="A1632" s="257" t="s">
        <v>13081</v>
      </c>
      <c r="B1632" s="257" t="s">
        <v>13081</v>
      </c>
    </row>
    <row r="1633">
      <c r="A1633" s="257" t="s">
        <v>9923</v>
      </c>
      <c r="B1633" s="257" t="s">
        <v>9923</v>
      </c>
    </row>
    <row r="1634">
      <c r="A1634" s="257" t="s">
        <v>13082</v>
      </c>
      <c r="B1634" s="257" t="s">
        <v>13082</v>
      </c>
    </row>
    <row r="1635">
      <c r="A1635" s="257" t="s">
        <v>13083</v>
      </c>
      <c r="B1635" s="257" t="s">
        <v>13083</v>
      </c>
    </row>
    <row r="1636">
      <c r="A1636" s="257" t="s">
        <v>13084</v>
      </c>
      <c r="B1636" s="257" t="s">
        <v>13084</v>
      </c>
    </row>
    <row r="1637">
      <c r="A1637" s="257" t="s">
        <v>13085</v>
      </c>
      <c r="B1637" s="257" t="s">
        <v>13085</v>
      </c>
    </row>
    <row r="1638">
      <c r="A1638" s="257" t="s">
        <v>13086</v>
      </c>
      <c r="B1638" s="257" t="s">
        <v>13086</v>
      </c>
    </row>
    <row r="1639">
      <c r="A1639" s="257" t="s">
        <v>13087</v>
      </c>
      <c r="B1639" s="257" t="s">
        <v>13087</v>
      </c>
    </row>
    <row r="1640">
      <c r="A1640" s="257" t="s">
        <v>12138</v>
      </c>
      <c r="B1640" s="257" t="s">
        <v>12138</v>
      </c>
    </row>
    <row r="1641">
      <c r="A1641" s="257" t="s">
        <v>13088</v>
      </c>
      <c r="B1641" s="257" t="s">
        <v>13088</v>
      </c>
    </row>
    <row r="1642">
      <c r="A1642" s="257" t="s">
        <v>13089</v>
      </c>
      <c r="B1642" s="257" t="s">
        <v>13089</v>
      </c>
    </row>
    <row r="1643">
      <c r="A1643" s="257" t="s">
        <v>13090</v>
      </c>
      <c r="B1643" s="257" t="s">
        <v>13090</v>
      </c>
    </row>
    <row r="1644">
      <c r="A1644" s="257" t="s">
        <v>5364</v>
      </c>
      <c r="B1644" s="257" t="s">
        <v>5364</v>
      </c>
    </row>
    <row r="1645">
      <c r="A1645" s="257" t="s">
        <v>13091</v>
      </c>
      <c r="B1645" s="257" t="s">
        <v>13091</v>
      </c>
    </row>
    <row r="1646">
      <c r="A1646" s="257" t="s">
        <v>5369</v>
      </c>
      <c r="B1646" s="257" t="s">
        <v>5369</v>
      </c>
    </row>
    <row r="1647">
      <c r="A1647" s="257" t="s">
        <v>13092</v>
      </c>
      <c r="B1647" s="257" t="s">
        <v>13092</v>
      </c>
    </row>
    <row r="1648">
      <c r="A1648" s="257" t="s">
        <v>13093</v>
      </c>
      <c r="B1648" s="257" t="s">
        <v>13093</v>
      </c>
    </row>
    <row r="1649">
      <c r="A1649" s="257" t="s">
        <v>13094</v>
      </c>
      <c r="B1649" s="257" t="s">
        <v>13094</v>
      </c>
    </row>
    <row r="1650">
      <c r="A1650" s="257" t="s">
        <v>13095</v>
      </c>
      <c r="B1650" s="257" t="s">
        <v>13095</v>
      </c>
    </row>
    <row r="1651">
      <c r="A1651" s="257" t="s">
        <v>13096</v>
      </c>
      <c r="B1651" s="257" t="s">
        <v>13096</v>
      </c>
    </row>
    <row r="1652">
      <c r="A1652" s="257" t="s">
        <v>13097</v>
      </c>
      <c r="B1652" s="257" t="s">
        <v>13097</v>
      </c>
    </row>
    <row r="1653">
      <c r="A1653" s="257" t="s">
        <v>13098</v>
      </c>
      <c r="B1653" s="257" t="s">
        <v>13098</v>
      </c>
    </row>
    <row r="1654">
      <c r="A1654" s="257" t="s">
        <v>13099</v>
      </c>
      <c r="B1654" s="257" t="s">
        <v>13099</v>
      </c>
    </row>
    <row r="1655">
      <c r="A1655" s="257" t="s">
        <v>13100</v>
      </c>
      <c r="B1655" s="257" t="s">
        <v>13100</v>
      </c>
    </row>
    <row r="1656">
      <c r="A1656" s="257" t="s">
        <v>13101</v>
      </c>
      <c r="B1656" s="257" t="s">
        <v>13101</v>
      </c>
    </row>
    <row r="1657">
      <c r="A1657" s="257" t="s">
        <v>13102</v>
      </c>
      <c r="B1657" s="257" t="s">
        <v>13102</v>
      </c>
    </row>
    <row r="1658">
      <c r="A1658" s="257" t="s">
        <v>1031</v>
      </c>
      <c r="B1658" s="257" t="s">
        <v>1031</v>
      </c>
    </row>
    <row r="1659">
      <c r="A1659" s="257" t="s">
        <v>13103</v>
      </c>
      <c r="B1659" s="257" t="s">
        <v>13103</v>
      </c>
    </row>
    <row r="1660">
      <c r="A1660" s="257" t="s">
        <v>13104</v>
      </c>
      <c r="B1660" s="257" t="s">
        <v>13104</v>
      </c>
    </row>
    <row r="1661">
      <c r="A1661" s="257" t="s">
        <v>13105</v>
      </c>
      <c r="B1661" s="257" t="s">
        <v>13105</v>
      </c>
    </row>
    <row r="1662">
      <c r="A1662" s="257" t="s">
        <v>13106</v>
      </c>
      <c r="B1662" s="257" t="s">
        <v>13106</v>
      </c>
    </row>
    <row r="1663">
      <c r="A1663" s="257" t="s">
        <v>11472</v>
      </c>
      <c r="B1663" s="257" t="s">
        <v>11472</v>
      </c>
    </row>
    <row r="1664">
      <c r="A1664" s="257" t="s">
        <v>13107</v>
      </c>
      <c r="B1664" s="257" t="s">
        <v>13107</v>
      </c>
    </row>
    <row r="1665">
      <c r="A1665" s="257" t="s">
        <v>13108</v>
      </c>
      <c r="B1665" s="257" t="s">
        <v>13097</v>
      </c>
    </row>
    <row r="1666">
      <c r="A1666" s="257" t="s">
        <v>13109</v>
      </c>
      <c r="B1666" s="257" t="s">
        <v>13109</v>
      </c>
    </row>
    <row r="1667">
      <c r="A1667" s="257" t="s">
        <v>13110</v>
      </c>
      <c r="B1667" s="257" t="s">
        <v>13110</v>
      </c>
    </row>
    <row r="1668">
      <c r="A1668" s="257" t="s">
        <v>9671</v>
      </c>
      <c r="B1668" s="257" t="s">
        <v>9671</v>
      </c>
    </row>
    <row r="1669">
      <c r="A1669" s="257" t="s">
        <v>9314</v>
      </c>
      <c r="B1669" s="257" t="s">
        <v>9314</v>
      </c>
    </row>
    <row r="1670">
      <c r="A1670" s="257" t="s">
        <v>13111</v>
      </c>
      <c r="B1670" s="257" t="s">
        <v>13111</v>
      </c>
    </row>
    <row r="1671">
      <c r="A1671" s="257" t="s">
        <v>13112</v>
      </c>
      <c r="B1671" s="257" t="s">
        <v>13112</v>
      </c>
    </row>
    <row r="1672">
      <c r="A1672" s="257" t="s">
        <v>13113</v>
      </c>
      <c r="B1672" s="257" t="s">
        <v>13113</v>
      </c>
    </row>
    <row r="1673">
      <c r="A1673" s="257" t="s">
        <v>13114</v>
      </c>
      <c r="B1673" s="257" t="s">
        <v>13114</v>
      </c>
    </row>
    <row r="1674">
      <c r="A1674" s="257" t="s">
        <v>13115</v>
      </c>
      <c r="B1674" s="257" t="s">
        <v>13115</v>
      </c>
    </row>
    <row r="1675">
      <c r="A1675" s="257" t="s">
        <v>13116</v>
      </c>
      <c r="B1675" s="257" t="s">
        <v>13116</v>
      </c>
    </row>
    <row r="1676">
      <c r="A1676" s="257" t="s">
        <v>13117</v>
      </c>
      <c r="B1676" s="257" t="s">
        <v>13117</v>
      </c>
    </row>
    <row r="1677">
      <c r="A1677" s="257" t="s">
        <v>13118</v>
      </c>
      <c r="B1677" s="257" t="s">
        <v>13118</v>
      </c>
    </row>
    <row r="1678">
      <c r="A1678" s="257" t="s">
        <v>13119</v>
      </c>
      <c r="B1678" s="257" t="s">
        <v>13119</v>
      </c>
    </row>
    <row r="1679">
      <c r="A1679" s="257" t="s">
        <v>13120</v>
      </c>
      <c r="B1679" s="257" t="s">
        <v>13120</v>
      </c>
    </row>
    <row r="1680">
      <c r="A1680" s="257" t="s">
        <v>13121</v>
      </c>
      <c r="B1680" s="257" t="s">
        <v>13121</v>
      </c>
    </row>
    <row r="1681">
      <c r="A1681" s="257" t="s">
        <v>13122</v>
      </c>
      <c r="B1681" s="257" t="s">
        <v>13122</v>
      </c>
    </row>
    <row r="1682">
      <c r="A1682" s="257" t="s">
        <v>13123</v>
      </c>
      <c r="B1682" s="257" t="s">
        <v>13123</v>
      </c>
    </row>
    <row r="1683">
      <c r="A1683" s="257" t="s">
        <v>13124</v>
      </c>
      <c r="B1683" s="257" t="s">
        <v>13124</v>
      </c>
    </row>
    <row r="1684">
      <c r="A1684" s="257" t="s">
        <v>13125</v>
      </c>
      <c r="B1684" s="257" t="s">
        <v>13125</v>
      </c>
    </row>
    <row r="1685">
      <c r="A1685" s="257" t="s">
        <v>13126</v>
      </c>
      <c r="B1685" s="257" t="s">
        <v>13126</v>
      </c>
    </row>
    <row r="1686">
      <c r="A1686" s="257" t="s">
        <v>13127</v>
      </c>
      <c r="B1686" s="257" t="s">
        <v>13127</v>
      </c>
    </row>
    <row r="1687">
      <c r="A1687" s="257" t="s">
        <v>13128</v>
      </c>
      <c r="B1687" s="257" t="s">
        <v>13128</v>
      </c>
    </row>
    <row r="1688">
      <c r="A1688" s="257" t="s">
        <v>13129</v>
      </c>
      <c r="B1688" s="257" t="s">
        <v>13129</v>
      </c>
    </row>
    <row r="1689">
      <c r="A1689" s="257" t="s">
        <v>13130</v>
      </c>
      <c r="B1689" s="257" t="s">
        <v>13130</v>
      </c>
    </row>
    <row r="1690">
      <c r="A1690" s="257" t="s">
        <v>13131</v>
      </c>
      <c r="B1690" s="257" t="s">
        <v>13131</v>
      </c>
    </row>
    <row r="1691">
      <c r="A1691" s="257" t="s">
        <v>9291</v>
      </c>
      <c r="B1691" s="257" t="s">
        <v>9291</v>
      </c>
    </row>
    <row r="1692">
      <c r="A1692" s="257" t="s">
        <v>9668</v>
      </c>
      <c r="B1692" s="257" t="s">
        <v>9668</v>
      </c>
    </row>
    <row r="1693">
      <c r="A1693" s="257" t="s">
        <v>9721</v>
      </c>
      <c r="B1693" s="257" t="s">
        <v>9721</v>
      </c>
    </row>
    <row r="1694">
      <c r="A1694" s="257" t="s">
        <v>9924</v>
      </c>
      <c r="B1694" s="257" t="s">
        <v>9924</v>
      </c>
    </row>
    <row r="1695">
      <c r="A1695" s="257" t="s">
        <v>13132</v>
      </c>
      <c r="B1695" s="257" t="s">
        <v>13132</v>
      </c>
    </row>
    <row r="1696">
      <c r="A1696" s="257" t="s">
        <v>9535</v>
      </c>
      <c r="B1696" s="257" t="s">
        <v>9535</v>
      </c>
    </row>
    <row r="1697">
      <c r="A1697" s="257" t="s">
        <v>9455</v>
      </c>
      <c r="B1697" s="257" t="s">
        <v>9455</v>
      </c>
    </row>
    <row r="1698">
      <c r="A1698" s="257" t="s">
        <v>13133</v>
      </c>
      <c r="B1698" s="257" t="s">
        <v>13133</v>
      </c>
    </row>
    <row r="1699">
      <c r="A1699" s="257" t="s">
        <v>13134</v>
      </c>
      <c r="B1699" s="257" t="s">
        <v>12729</v>
      </c>
    </row>
    <row r="1700">
      <c r="A1700" s="257" t="s">
        <v>13135</v>
      </c>
      <c r="B1700" s="257" t="s">
        <v>6660</v>
      </c>
    </row>
    <row r="1701">
      <c r="A1701" s="257" t="s">
        <v>4756</v>
      </c>
      <c r="B1701" s="257" t="s">
        <v>4756</v>
      </c>
    </row>
    <row r="1702">
      <c r="A1702" s="257" t="s">
        <v>4926</v>
      </c>
      <c r="B1702" s="257" t="s">
        <v>4926</v>
      </c>
    </row>
    <row r="1703">
      <c r="A1703" s="257" t="s">
        <v>13136</v>
      </c>
      <c r="B1703" s="257" t="s">
        <v>6257</v>
      </c>
    </row>
    <row r="1704">
      <c r="A1704" s="257" t="s">
        <v>4895</v>
      </c>
      <c r="B1704" s="257" t="s">
        <v>4895</v>
      </c>
    </row>
    <row r="1705">
      <c r="A1705" s="257" t="s">
        <v>13137</v>
      </c>
      <c r="B1705" s="257" t="s">
        <v>13137</v>
      </c>
    </row>
    <row r="1706">
      <c r="A1706" s="257" t="s">
        <v>13138</v>
      </c>
      <c r="B1706" s="257" t="s">
        <v>13139</v>
      </c>
    </row>
    <row r="1707">
      <c r="A1707" s="257" t="s">
        <v>13140</v>
      </c>
      <c r="B1707" s="257" t="s">
        <v>13141</v>
      </c>
    </row>
    <row r="1708">
      <c r="A1708" s="257" t="s">
        <v>4976</v>
      </c>
      <c r="B1708" s="257" t="s">
        <v>4976</v>
      </c>
    </row>
    <row r="1709">
      <c r="A1709" s="257" t="s">
        <v>13142</v>
      </c>
      <c r="B1709" s="257" t="s">
        <v>11655</v>
      </c>
    </row>
    <row r="1710">
      <c r="A1710" s="257" t="s">
        <v>13143</v>
      </c>
      <c r="B1710" s="257" t="s">
        <v>13143</v>
      </c>
    </row>
    <row r="1711">
      <c r="A1711" s="257" t="s">
        <v>13144</v>
      </c>
      <c r="B1711" s="257" t="s">
        <v>10108</v>
      </c>
    </row>
    <row r="1712">
      <c r="A1712" s="257" t="s">
        <v>4509</v>
      </c>
      <c r="B1712" s="257" t="s">
        <v>4509</v>
      </c>
    </row>
    <row r="1713">
      <c r="A1713" s="257" t="s">
        <v>13145</v>
      </c>
      <c r="B1713" s="257" t="s">
        <v>1821</v>
      </c>
    </row>
    <row r="1714">
      <c r="A1714" s="257" t="s">
        <v>13146</v>
      </c>
      <c r="B1714" s="257" t="s">
        <v>5103</v>
      </c>
    </row>
    <row r="1715">
      <c r="A1715" s="257" t="s">
        <v>11361</v>
      </c>
      <c r="B1715" s="257" t="s">
        <v>11361</v>
      </c>
    </row>
    <row r="1716">
      <c r="A1716" s="257" t="s">
        <v>13147</v>
      </c>
      <c r="B1716" s="257" t="s">
        <v>6388</v>
      </c>
    </row>
    <row r="1717">
      <c r="A1717" s="257" t="s">
        <v>13148</v>
      </c>
      <c r="B1717" s="257" t="s">
        <v>6388</v>
      </c>
    </row>
    <row r="1718">
      <c r="A1718" s="257" t="s">
        <v>13149</v>
      </c>
      <c r="B1718" s="257" t="s">
        <v>6258</v>
      </c>
    </row>
    <row r="1719">
      <c r="A1719" s="257" t="s">
        <v>13150</v>
      </c>
      <c r="B1719" s="257" t="s">
        <v>13150</v>
      </c>
    </row>
    <row r="1720">
      <c r="A1720" s="257" t="s">
        <v>687</v>
      </c>
      <c r="B1720" s="257" t="s">
        <v>687</v>
      </c>
    </row>
    <row r="1721">
      <c r="A1721" s="257" t="s">
        <v>4942</v>
      </c>
      <c r="B1721" s="257" t="s">
        <v>4942</v>
      </c>
    </row>
    <row r="1722">
      <c r="A1722" s="257" t="s">
        <v>4563</v>
      </c>
      <c r="B1722" s="257" t="s">
        <v>4563</v>
      </c>
    </row>
    <row r="1723">
      <c r="A1723" s="257" t="s">
        <v>13141</v>
      </c>
      <c r="B1723" s="257" t="s">
        <v>13141</v>
      </c>
    </row>
    <row r="1724">
      <c r="A1724" s="257" t="s">
        <v>13151</v>
      </c>
      <c r="B1724" s="257" t="s">
        <v>6658</v>
      </c>
    </row>
    <row r="1725">
      <c r="A1725" s="257" t="s">
        <v>13152</v>
      </c>
      <c r="B1725" s="257" t="s">
        <v>6654</v>
      </c>
    </row>
    <row r="1726">
      <c r="A1726" s="257" t="s">
        <v>13153</v>
      </c>
      <c r="B1726" s="257" t="s">
        <v>13153</v>
      </c>
    </row>
    <row r="1727">
      <c r="A1727" s="257" t="s">
        <v>4952</v>
      </c>
      <c r="B1727" s="257" t="s">
        <v>4952</v>
      </c>
    </row>
    <row r="1728">
      <c r="A1728" s="257" t="s">
        <v>13154</v>
      </c>
      <c r="B1728" s="257" t="s">
        <v>13154</v>
      </c>
    </row>
    <row r="1729">
      <c r="A1729" s="257" t="s">
        <v>6259</v>
      </c>
      <c r="B1729" s="257" t="s">
        <v>6259</v>
      </c>
    </row>
    <row r="1730">
      <c r="A1730" s="257" t="s">
        <v>13155</v>
      </c>
      <c r="B1730" s="257" t="s">
        <v>6259</v>
      </c>
    </row>
    <row r="1731">
      <c r="A1731" s="257" t="s">
        <v>1271</v>
      </c>
      <c r="B1731" s="257" t="s">
        <v>1271</v>
      </c>
    </row>
    <row r="1732">
      <c r="A1732" s="257" t="s">
        <v>13156</v>
      </c>
      <c r="B1732" s="257" t="s">
        <v>13156</v>
      </c>
    </row>
    <row r="1733">
      <c r="A1733" s="257" t="s">
        <v>9983</v>
      </c>
      <c r="B1733" s="257" t="s">
        <v>9983</v>
      </c>
    </row>
    <row r="1734">
      <c r="A1734" s="257" t="s">
        <v>13157</v>
      </c>
      <c r="B1734" s="257" t="s">
        <v>4501</v>
      </c>
    </row>
    <row r="1735">
      <c r="A1735" s="257" t="s">
        <v>13158</v>
      </c>
      <c r="B1735" s="257" t="s">
        <v>4968</v>
      </c>
    </row>
    <row r="1736">
      <c r="A1736" s="257" t="s">
        <v>11364</v>
      </c>
      <c r="B1736" s="257" t="s">
        <v>11364</v>
      </c>
    </row>
    <row r="1737">
      <c r="A1737" s="257" t="s">
        <v>4501</v>
      </c>
      <c r="B1737" s="257" t="s">
        <v>4501</v>
      </c>
    </row>
    <row r="1738">
      <c r="A1738" s="257" t="s">
        <v>4754</v>
      </c>
      <c r="B1738" s="257" t="s">
        <v>4754</v>
      </c>
    </row>
    <row r="1739">
      <c r="A1739" s="257" t="s">
        <v>11639</v>
      </c>
      <c r="B1739" s="257" t="s">
        <v>11639</v>
      </c>
    </row>
    <row r="1740">
      <c r="A1740" s="257" t="s">
        <v>13159</v>
      </c>
      <c r="B1740" s="257" t="s">
        <v>9453</v>
      </c>
    </row>
    <row r="1741">
      <c r="A1741" s="257" t="s">
        <v>4887</v>
      </c>
      <c r="B1741" s="257" t="s">
        <v>4887</v>
      </c>
    </row>
    <row r="1742">
      <c r="A1742" s="257" t="s">
        <v>4514</v>
      </c>
      <c r="B1742" s="257" t="s">
        <v>4514</v>
      </c>
    </row>
    <row r="1743">
      <c r="A1743" s="257" t="s">
        <v>13160</v>
      </c>
      <c r="B1743" s="257" t="s">
        <v>6492</v>
      </c>
    </row>
    <row r="1744">
      <c r="A1744" s="257" t="s">
        <v>13161</v>
      </c>
      <c r="B1744" s="257" t="s">
        <v>6388</v>
      </c>
    </row>
    <row r="1745">
      <c r="A1745" s="257" t="s">
        <v>13162</v>
      </c>
      <c r="B1745" s="257" t="s">
        <v>6261</v>
      </c>
    </row>
    <row r="1746">
      <c r="A1746" s="257" t="s">
        <v>13163</v>
      </c>
      <c r="B1746" s="257" t="s">
        <v>13163</v>
      </c>
    </row>
    <row r="1747">
      <c r="A1747" s="257" t="s">
        <v>13164</v>
      </c>
      <c r="B1747" s="257" t="s">
        <v>13164</v>
      </c>
    </row>
    <row r="1748">
      <c r="A1748" s="257" t="s">
        <v>1824</v>
      </c>
      <c r="B1748" s="257" t="s">
        <v>1824</v>
      </c>
    </row>
    <row r="1749">
      <c r="A1749" s="257" t="s">
        <v>13165</v>
      </c>
      <c r="B1749" s="257" t="s">
        <v>6658</v>
      </c>
    </row>
    <row r="1750">
      <c r="A1750" s="257" t="s">
        <v>11699</v>
      </c>
      <c r="B1750" s="257" t="s">
        <v>11699</v>
      </c>
    </row>
    <row r="1751">
      <c r="A1751" s="257" t="s">
        <v>10107</v>
      </c>
      <c r="B1751" s="257" t="s">
        <v>10107</v>
      </c>
    </row>
    <row r="1752">
      <c r="A1752" s="257" t="s">
        <v>13166</v>
      </c>
      <c r="B1752" s="257" t="s">
        <v>11648</v>
      </c>
    </row>
    <row r="1753">
      <c r="A1753" s="257" t="s">
        <v>13167</v>
      </c>
      <c r="B1753" s="257" t="s">
        <v>6644</v>
      </c>
    </row>
    <row r="1754">
      <c r="A1754" s="257" t="s">
        <v>4851</v>
      </c>
      <c r="B1754" s="257" t="s">
        <v>4851</v>
      </c>
    </row>
    <row r="1755">
      <c r="A1755" s="257" t="s">
        <v>5130</v>
      </c>
      <c r="B1755" s="257" t="s">
        <v>5130</v>
      </c>
    </row>
    <row r="1756">
      <c r="A1756" s="257" t="s">
        <v>13168</v>
      </c>
      <c r="B1756" s="257" t="s">
        <v>11846</v>
      </c>
    </row>
    <row r="1757">
      <c r="A1757" s="257" t="s">
        <v>13169</v>
      </c>
      <c r="B1757" s="257" t="s">
        <v>11809</v>
      </c>
    </row>
    <row r="1758">
      <c r="A1758" s="257" t="s">
        <v>13170</v>
      </c>
      <c r="B1758" s="257" t="s">
        <v>9451</v>
      </c>
    </row>
    <row r="1759">
      <c r="A1759" s="257" t="s">
        <v>1815</v>
      </c>
      <c r="B1759" s="257" t="s">
        <v>1815</v>
      </c>
    </row>
    <row r="1760">
      <c r="A1760" s="257" t="s">
        <v>5134</v>
      </c>
      <c r="B1760" s="257" t="s">
        <v>5134</v>
      </c>
    </row>
    <row r="1761">
      <c r="A1761" s="257" t="s">
        <v>9451</v>
      </c>
      <c r="B1761" s="257" t="s">
        <v>9451</v>
      </c>
    </row>
    <row r="1762">
      <c r="A1762" s="257" t="s">
        <v>13171</v>
      </c>
      <c r="B1762" s="257" t="s">
        <v>13171</v>
      </c>
    </row>
    <row r="1763">
      <c r="A1763" s="257" t="s">
        <v>13172</v>
      </c>
      <c r="B1763" s="257" t="s">
        <v>5106</v>
      </c>
    </row>
    <row r="1764">
      <c r="A1764" s="257" t="s">
        <v>4792</v>
      </c>
      <c r="B1764" s="257" t="s">
        <v>4792</v>
      </c>
    </row>
    <row r="1765">
      <c r="A1765" s="257" t="s">
        <v>13173</v>
      </c>
      <c r="B1765" s="257" t="s">
        <v>1813</v>
      </c>
    </row>
    <row r="1766">
      <c r="A1766" s="257" t="s">
        <v>13174</v>
      </c>
      <c r="B1766" s="257" t="s">
        <v>1822</v>
      </c>
    </row>
    <row r="1767">
      <c r="A1767" s="257" t="s">
        <v>13175</v>
      </c>
      <c r="B1767" s="257" t="s">
        <v>5132</v>
      </c>
    </row>
    <row r="1768">
      <c r="A1768" s="257" t="s">
        <v>13176</v>
      </c>
      <c r="B1768" s="257" t="s">
        <v>9337</v>
      </c>
    </row>
    <row r="1769">
      <c r="A1769" s="257" t="s">
        <v>13177</v>
      </c>
      <c r="B1769" s="257" t="s">
        <v>11832</v>
      </c>
    </row>
    <row r="1770">
      <c r="A1770" s="257" t="s">
        <v>4798</v>
      </c>
      <c r="B1770" s="257" t="s">
        <v>4798</v>
      </c>
    </row>
    <row r="1771">
      <c r="A1771" s="257" t="s">
        <v>13178</v>
      </c>
      <c r="B1771" s="257" t="s">
        <v>6022</v>
      </c>
    </row>
    <row r="1772">
      <c r="A1772" s="257" t="s">
        <v>1273</v>
      </c>
      <c r="B1772" s="257" t="s">
        <v>1273</v>
      </c>
    </row>
    <row r="1773">
      <c r="A1773" s="257" t="s">
        <v>4891</v>
      </c>
      <c r="B1773" s="257" t="s">
        <v>4891</v>
      </c>
    </row>
    <row r="1774">
      <c r="A1774" s="257" t="s">
        <v>1829</v>
      </c>
      <c r="B1774" s="257" t="s">
        <v>1829</v>
      </c>
    </row>
    <row r="1775">
      <c r="A1775" s="257" t="s">
        <v>13179</v>
      </c>
      <c r="B1775" s="257" t="s">
        <v>12728</v>
      </c>
    </row>
    <row r="1776">
      <c r="A1776" s="257" t="s">
        <v>1848</v>
      </c>
      <c r="B1776" s="257" t="s">
        <v>1848</v>
      </c>
    </row>
    <row r="1777">
      <c r="A1777" s="257" t="s">
        <v>13180</v>
      </c>
      <c r="B1777" s="257" t="s">
        <v>9453</v>
      </c>
    </row>
    <row r="1778">
      <c r="A1778" s="257" t="s">
        <v>13181</v>
      </c>
      <c r="B1778" s="257" t="s">
        <v>6185</v>
      </c>
    </row>
    <row r="1779">
      <c r="A1779" s="257" t="s">
        <v>5129</v>
      </c>
      <c r="B1779" s="257" t="s">
        <v>5129</v>
      </c>
    </row>
    <row r="1780">
      <c r="A1780" s="257" t="s">
        <v>13182</v>
      </c>
      <c r="B1780" s="257" t="s">
        <v>7207</v>
      </c>
    </row>
    <row r="1781">
      <c r="A1781" s="257" t="s">
        <v>13183</v>
      </c>
      <c r="B1781" s="257" t="s">
        <v>5102</v>
      </c>
    </row>
    <row r="1782">
      <c r="A1782" s="257" t="s">
        <v>4964</v>
      </c>
      <c r="B1782" s="257" t="s">
        <v>4964</v>
      </c>
    </row>
    <row r="1783">
      <c r="A1783" s="257" t="s">
        <v>13184</v>
      </c>
      <c r="B1783" s="257" t="s">
        <v>4972</v>
      </c>
    </row>
    <row r="1784">
      <c r="A1784" s="257" t="s">
        <v>6651</v>
      </c>
      <c r="B1784" s="257" t="s">
        <v>6651</v>
      </c>
    </row>
    <row r="1785">
      <c r="A1785" s="257" t="s">
        <v>4972</v>
      </c>
      <c r="B1785" s="257" t="s">
        <v>4972</v>
      </c>
    </row>
    <row r="1786">
      <c r="A1786" s="257" t="s">
        <v>13185</v>
      </c>
      <c r="B1786" s="257" t="s">
        <v>1863</v>
      </c>
    </row>
    <row r="1787">
      <c r="A1787" s="257" t="s">
        <v>1722</v>
      </c>
      <c r="B1787" s="257" t="s">
        <v>1722</v>
      </c>
    </row>
    <row r="1788">
      <c r="A1788" s="257" t="s">
        <v>13186</v>
      </c>
      <c r="B1788" s="257" t="s">
        <v>6656</v>
      </c>
    </row>
    <row r="1789">
      <c r="A1789" s="257" t="s">
        <v>13187</v>
      </c>
      <c r="B1789" s="257" t="s">
        <v>4611</v>
      </c>
    </row>
    <row r="1790">
      <c r="A1790" s="257" t="s">
        <v>13188</v>
      </c>
      <c r="B1790" s="257" t="s">
        <v>13188</v>
      </c>
    </row>
    <row r="1791">
      <c r="A1791" s="257" t="s">
        <v>5131</v>
      </c>
      <c r="B1791" s="257" t="s">
        <v>5131</v>
      </c>
    </row>
    <row r="1792">
      <c r="A1792" s="257" t="s">
        <v>13189</v>
      </c>
      <c r="B1792" s="257" t="s">
        <v>11790</v>
      </c>
    </row>
    <row r="1793">
      <c r="A1793" s="257" t="s">
        <v>1828</v>
      </c>
      <c r="B1793" s="257" t="s">
        <v>1828</v>
      </c>
    </row>
    <row r="1794">
      <c r="A1794" s="257" t="s">
        <v>4752</v>
      </c>
      <c r="B1794" s="257" t="s">
        <v>4752</v>
      </c>
    </row>
    <row r="1795">
      <c r="A1795" s="257" t="s">
        <v>13190</v>
      </c>
      <c r="B1795" s="257" t="s">
        <v>6261</v>
      </c>
    </row>
    <row r="1796">
      <c r="A1796" s="257" t="s">
        <v>13191</v>
      </c>
      <c r="B1796" s="257" t="s">
        <v>6647</v>
      </c>
    </row>
    <row r="1797">
      <c r="A1797" s="257" t="s">
        <v>13192</v>
      </c>
      <c r="B1797" s="257" t="s">
        <v>6649</v>
      </c>
    </row>
    <row r="1798">
      <c r="A1798" s="257" t="s">
        <v>13193</v>
      </c>
      <c r="B1798" s="257" t="s">
        <v>5112</v>
      </c>
    </row>
    <row r="1799">
      <c r="A1799" s="257" t="s">
        <v>5114</v>
      </c>
      <c r="B1799" s="257" t="s">
        <v>5114</v>
      </c>
    </row>
    <row r="1800">
      <c r="A1800" s="257" t="s">
        <v>13139</v>
      </c>
      <c r="B1800" s="257" t="s">
        <v>13139</v>
      </c>
    </row>
    <row r="1801">
      <c r="A1801" s="257" t="s">
        <v>13194</v>
      </c>
      <c r="B1801" s="257" t="s">
        <v>11845</v>
      </c>
    </row>
    <row r="1802">
      <c r="A1802" s="257" t="s">
        <v>13195</v>
      </c>
      <c r="B1802" s="257" t="s">
        <v>6640</v>
      </c>
    </row>
    <row r="1803">
      <c r="A1803" s="257" t="s">
        <v>13196</v>
      </c>
      <c r="B1803" s="257" t="s">
        <v>6388</v>
      </c>
    </row>
    <row r="1804">
      <c r="A1804" s="257" t="s">
        <v>13197</v>
      </c>
      <c r="B1804" s="257" t="s">
        <v>13197</v>
      </c>
    </row>
    <row r="1805">
      <c r="A1805" s="257" t="s">
        <v>5122</v>
      </c>
      <c r="B1805" s="257" t="s">
        <v>5122</v>
      </c>
    </row>
    <row r="1806">
      <c r="A1806" s="257" t="s">
        <v>13198</v>
      </c>
      <c r="B1806" s="257" t="s">
        <v>13198</v>
      </c>
    </row>
    <row r="1807">
      <c r="A1807" s="257" t="s">
        <v>13199</v>
      </c>
      <c r="B1807" s="257" t="s">
        <v>13199</v>
      </c>
    </row>
    <row r="1808">
      <c r="A1808" s="257" t="s">
        <v>13200</v>
      </c>
      <c r="B1808" s="257" t="s">
        <v>1850</v>
      </c>
    </row>
    <row r="1809">
      <c r="A1809" s="257" t="s">
        <v>4776</v>
      </c>
      <c r="B1809" s="257" t="s">
        <v>4776</v>
      </c>
    </row>
    <row r="1810">
      <c r="A1810" s="257" t="s">
        <v>5205</v>
      </c>
      <c r="B1810" s="257" t="s">
        <v>5205</v>
      </c>
    </row>
    <row r="1811">
      <c r="A1811" s="257" t="s">
        <v>4576</v>
      </c>
      <c r="B1811" s="257" t="s">
        <v>4576</v>
      </c>
    </row>
    <row r="1812">
      <c r="A1812" s="257" t="s">
        <v>4580</v>
      </c>
      <c r="B1812" s="257" t="s">
        <v>4580</v>
      </c>
    </row>
    <row r="1813">
      <c r="A1813" s="257" t="s">
        <v>5205</v>
      </c>
      <c r="B1813" s="257" t="s">
        <v>5205</v>
      </c>
    </row>
    <row r="1814">
      <c r="A1814" s="257" t="s">
        <v>13201</v>
      </c>
      <c r="B1814" s="257" t="s">
        <v>13201</v>
      </c>
    </row>
    <row r="1815">
      <c r="A1815" s="257" t="s">
        <v>1041</v>
      </c>
      <c r="B1815" s="257" t="s">
        <v>1041</v>
      </c>
    </row>
    <row r="1816">
      <c r="A1816" s="257" t="s">
        <v>13202</v>
      </c>
      <c r="B1816" s="257" t="s">
        <v>13202</v>
      </c>
    </row>
    <row r="1817">
      <c r="A1817" s="257" t="s">
        <v>13203</v>
      </c>
      <c r="B1817" s="257" t="s">
        <v>13203</v>
      </c>
    </row>
    <row r="1818">
      <c r="A1818" s="257" t="s">
        <v>5205</v>
      </c>
      <c r="B1818" s="257" t="s">
        <v>5205</v>
      </c>
    </row>
    <row r="1819">
      <c r="A1819" s="257" t="s">
        <v>8733</v>
      </c>
      <c r="B1819" s="257" t="s">
        <v>8733</v>
      </c>
    </row>
    <row r="1820">
      <c r="A1820" s="257" t="s">
        <v>13204</v>
      </c>
      <c r="B1820" s="257" t="s">
        <v>13204</v>
      </c>
    </row>
    <row r="1821">
      <c r="A1821" s="257" t="s">
        <v>13205</v>
      </c>
      <c r="B1821" s="257" t="s">
        <v>13205</v>
      </c>
    </row>
    <row r="1822">
      <c r="A1822" s="257" t="s">
        <v>5285</v>
      </c>
      <c r="B1822" s="257" t="s">
        <v>5285</v>
      </c>
    </row>
    <row r="1823">
      <c r="A1823" s="257" t="s">
        <v>13206</v>
      </c>
      <c r="B1823" s="257" t="s">
        <v>13206</v>
      </c>
    </row>
    <row r="1824">
      <c r="A1824" s="257" t="s">
        <v>13201</v>
      </c>
      <c r="B1824" s="257" t="s">
        <v>13201</v>
      </c>
    </row>
    <row r="1825">
      <c r="A1825" s="257" t="s">
        <v>13207</v>
      </c>
      <c r="B1825" s="257" t="s">
        <v>13207</v>
      </c>
    </row>
    <row r="1826">
      <c r="A1826" s="257" t="s">
        <v>13208</v>
      </c>
      <c r="B1826" s="257" t="s">
        <v>8733</v>
      </c>
    </row>
    <row r="1827">
      <c r="A1827" s="257" t="s">
        <v>13209</v>
      </c>
      <c r="B1827" s="257" t="s">
        <v>13209</v>
      </c>
    </row>
    <row r="1828">
      <c r="A1828" s="257" t="s">
        <v>13210</v>
      </c>
      <c r="B1828" s="257" t="s">
        <v>13210</v>
      </c>
    </row>
    <row r="1829">
      <c r="A1829" s="257" t="s">
        <v>13211</v>
      </c>
      <c r="B1829" s="257" t="s">
        <v>13211</v>
      </c>
    </row>
    <row r="1830">
      <c r="A1830" s="257" t="s">
        <v>13212</v>
      </c>
      <c r="B1830" s="257" t="s">
        <v>13212</v>
      </c>
    </row>
    <row r="1831">
      <c r="A1831" s="257" t="s">
        <v>5286</v>
      </c>
      <c r="B1831" s="257" t="s">
        <v>5286</v>
      </c>
    </row>
    <row r="1832">
      <c r="A1832" s="257" t="s">
        <v>5472</v>
      </c>
      <c r="B1832" s="257" t="s">
        <v>5472</v>
      </c>
    </row>
    <row r="1833">
      <c r="A1833" s="257" t="s">
        <v>12036</v>
      </c>
      <c r="B1833" s="257" t="s">
        <v>12036</v>
      </c>
    </row>
    <row r="1834">
      <c r="A1834" s="257" t="s">
        <v>5159</v>
      </c>
      <c r="B1834" s="257" t="s">
        <v>5159</v>
      </c>
    </row>
    <row r="1835">
      <c r="A1835" s="257" t="s">
        <v>5189</v>
      </c>
      <c r="B1835" s="257" t="s">
        <v>5189</v>
      </c>
    </row>
    <row r="1836">
      <c r="A1836" s="257" t="s">
        <v>5162</v>
      </c>
      <c r="B1836" s="257" t="s">
        <v>5162</v>
      </c>
    </row>
    <row r="1837">
      <c r="A1837" s="257" t="s">
        <v>5273</v>
      </c>
      <c r="B1837" s="257" t="s">
        <v>5273</v>
      </c>
    </row>
    <row r="1838">
      <c r="A1838" s="257" t="s">
        <v>5156</v>
      </c>
      <c r="B1838" s="257" t="s">
        <v>5156</v>
      </c>
    </row>
    <row r="1839">
      <c r="A1839" s="257" t="s">
        <v>5139</v>
      </c>
      <c r="B1839" s="257" t="s">
        <v>5139</v>
      </c>
    </row>
    <row r="1840">
      <c r="A1840" s="257" t="s">
        <v>6209</v>
      </c>
      <c r="B1840" s="257" t="s">
        <v>6209</v>
      </c>
    </row>
    <row r="1841">
      <c r="A1841" s="257" t="s">
        <v>5166</v>
      </c>
      <c r="B1841" s="257" t="s">
        <v>5166</v>
      </c>
    </row>
    <row r="1842">
      <c r="A1842" s="257" t="s">
        <v>1947</v>
      </c>
      <c r="B1842" s="257" t="s">
        <v>1947</v>
      </c>
    </row>
    <row r="1843">
      <c r="A1843" s="257" t="s">
        <v>5276</v>
      </c>
      <c r="B1843" s="257" t="s">
        <v>5276</v>
      </c>
    </row>
    <row r="1844">
      <c r="A1844" s="257" t="s">
        <v>5167</v>
      </c>
      <c r="B1844" s="257" t="s">
        <v>5167</v>
      </c>
    </row>
    <row r="1845">
      <c r="A1845" s="257" t="s">
        <v>5270</v>
      </c>
      <c r="B1845" s="257" t="s">
        <v>5270</v>
      </c>
    </row>
    <row r="1846">
      <c r="A1846" s="257" t="s">
        <v>1946</v>
      </c>
      <c r="B1846" s="257" t="s">
        <v>1946</v>
      </c>
    </row>
    <row r="1847">
      <c r="A1847" s="257" t="s">
        <v>5415</v>
      </c>
      <c r="B1847" s="257" t="s">
        <v>5415</v>
      </c>
    </row>
    <row r="1848">
      <c r="A1848" s="257" t="s">
        <v>5445</v>
      </c>
      <c r="B1848" s="257" t="s">
        <v>5445</v>
      </c>
    </row>
    <row r="1849">
      <c r="A1849" s="257" t="s">
        <v>5157</v>
      </c>
      <c r="B1849" s="257" t="s">
        <v>5157</v>
      </c>
    </row>
    <row r="1850">
      <c r="A1850" s="257" t="s">
        <v>13213</v>
      </c>
      <c r="B1850" s="257" t="s">
        <v>10169</v>
      </c>
    </row>
    <row r="1851">
      <c r="A1851" s="257" t="s">
        <v>7813</v>
      </c>
      <c r="B1851" s="257" t="s">
        <v>7813</v>
      </c>
    </row>
    <row r="1852">
      <c r="A1852" s="257" t="s">
        <v>5262</v>
      </c>
      <c r="B1852" s="257" t="s">
        <v>5262</v>
      </c>
    </row>
    <row r="1853">
      <c r="A1853" s="257" t="s">
        <v>11635</v>
      </c>
      <c r="B1853" s="257" t="s">
        <v>11635</v>
      </c>
    </row>
    <row r="1854">
      <c r="A1854" s="257" t="s">
        <v>11959</v>
      </c>
      <c r="B1854" s="257" t="s">
        <v>11959</v>
      </c>
    </row>
    <row r="1855">
      <c r="A1855" s="257" t="s">
        <v>2210</v>
      </c>
      <c r="B1855" s="257" t="s">
        <v>2210</v>
      </c>
    </row>
    <row r="1856">
      <c r="A1856" s="257" t="s">
        <v>5420</v>
      </c>
      <c r="B1856" s="257" t="s">
        <v>5420</v>
      </c>
    </row>
    <row r="1857">
      <c r="A1857" s="257" t="s">
        <v>5288</v>
      </c>
      <c r="B1857" s="257" t="s">
        <v>5288</v>
      </c>
    </row>
    <row r="1858">
      <c r="A1858" s="257" t="s">
        <v>13214</v>
      </c>
      <c r="B1858" s="257" t="s">
        <v>13214</v>
      </c>
    </row>
    <row r="1859">
      <c r="A1859" s="257" t="s">
        <v>5222</v>
      </c>
      <c r="B1859" s="257" t="s">
        <v>5222</v>
      </c>
    </row>
    <row r="1860">
      <c r="A1860" s="257" t="s">
        <v>5237</v>
      </c>
      <c r="B1860" s="257" t="s">
        <v>5237</v>
      </c>
    </row>
    <row r="1861">
      <c r="A1861" s="257" t="s">
        <v>5190</v>
      </c>
      <c r="B1861" s="257" t="s">
        <v>5190</v>
      </c>
    </row>
    <row r="1862">
      <c r="A1862" s="257" t="s">
        <v>5419</v>
      </c>
      <c r="B1862" s="257" t="s">
        <v>5419</v>
      </c>
    </row>
    <row r="1863">
      <c r="A1863" s="257" t="s">
        <v>5531</v>
      </c>
      <c r="B1863" s="257" t="s">
        <v>5531</v>
      </c>
    </row>
    <row r="1864">
      <c r="A1864" s="257" t="s">
        <v>13215</v>
      </c>
      <c r="B1864" s="257" t="s">
        <v>13215</v>
      </c>
    </row>
    <row r="1865">
      <c r="A1865" s="257" t="s">
        <v>5352</v>
      </c>
      <c r="B1865" s="257" t="s">
        <v>5352</v>
      </c>
    </row>
    <row r="1866">
      <c r="A1866" s="257" t="s">
        <v>5128</v>
      </c>
      <c r="B1866" s="257" t="s">
        <v>5128</v>
      </c>
    </row>
    <row r="1867">
      <c r="A1867" s="257" t="s">
        <v>5356</v>
      </c>
      <c r="B1867" s="257" t="s">
        <v>5356</v>
      </c>
    </row>
    <row r="1868">
      <c r="A1868" s="257" t="s">
        <v>5451</v>
      </c>
      <c r="B1868" s="257" t="s">
        <v>5451</v>
      </c>
    </row>
    <row r="1869">
      <c r="A1869" s="257" t="s">
        <v>5178</v>
      </c>
      <c r="B1869" s="257" t="s">
        <v>5178</v>
      </c>
    </row>
    <row r="1870">
      <c r="A1870" s="257" t="s">
        <v>2157</v>
      </c>
      <c r="B1870" s="257" t="s">
        <v>2157</v>
      </c>
    </row>
    <row r="1871">
      <c r="A1871" s="257" t="s">
        <v>5267</v>
      </c>
      <c r="B1871" s="257" t="s">
        <v>5267</v>
      </c>
    </row>
    <row r="1872">
      <c r="A1872" s="257" t="s">
        <v>5350</v>
      </c>
      <c r="B1872" s="257" t="s">
        <v>5350</v>
      </c>
    </row>
    <row r="1873">
      <c r="A1873" s="257" t="s">
        <v>6341</v>
      </c>
      <c r="B1873" s="257" t="s">
        <v>6341</v>
      </c>
    </row>
    <row r="1874">
      <c r="A1874" s="257" t="s">
        <v>2218</v>
      </c>
      <c r="B1874" s="257" t="s">
        <v>2218</v>
      </c>
    </row>
    <row r="1875">
      <c r="A1875" s="257" t="s">
        <v>5263</v>
      </c>
      <c r="B1875" s="257" t="s">
        <v>5263</v>
      </c>
    </row>
    <row r="1876">
      <c r="A1876" s="257" t="s">
        <v>4983</v>
      </c>
      <c r="B1876" s="257" t="s">
        <v>4983</v>
      </c>
    </row>
    <row r="1877">
      <c r="A1877" s="257" t="s">
        <v>5163</v>
      </c>
      <c r="B1877" s="257" t="s">
        <v>5163</v>
      </c>
    </row>
    <row r="1878">
      <c r="A1878" s="257" t="s">
        <v>1935</v>
      </c>
      <c r="B1878" s="257" t="s">
        <v>1935</v>
      </c>
    </row>
    <row r="1879">
      <c r="A1879" s="257" t="s">
        <v>1777</v>
      </c>
      <c r="B1879" s="257" t="s">
        <v>1777</v>
      </c>
    </row>
    <row r="1880">
      <c r="A1880" s="257" t="s">
        <v>5264</v>
      </c>
      <c r="B1880" s="257" t="s">
        <v>5264</v>
      </c>
    </row>
    <row r="1881">
      <c r="A1881" s="257" t="s">
        <v>5168</v>
      </c>
      <c r="B1881" s="257" t="s">
        <v>5168</v>
      </c>
    </row>
    <row r="1882">
      <c r="A1882" s="257" t="s">
        <v>5150</v>
      </c>
      <c r="B1882" s="257" t="s">
        <v>5150</v>
      </c>
    </row>
    <row r="1883">
      <c r="A1883" s="257" t="s">
        <v>5172</v>
      </c>
      <c r="B1883" s="257" t="s">
        <v>5172</v>
      </c>
    </row>
    <row r="1884">
      <c r="A1884" s="257" t="s">
        <v>2193</v>
      </c>
      <c r="B1884" s="257" t="s">
        <v>2193</v>
      </c>
    </row>
    <row r="1885">
      <c r="A1885" s="257" t="s">
        <v>13216</v>
      </c>
      <c r="B1885" s="257" t="s">
        <v>7208</v>
      </c>
    </row>
    <row r="1886">
      <c r="A1886" s="257" t="s">
        <v>2135</v>
      </c>
      <c r="B1886" s="257" t="s">
        <v>2135</v>
      </c>
    </row>
    <row r="1887">
      <c r="A1887" s="257" t="s">
        <v>5421</v>
      </c>
      <c r="B1887" s="257" t="s">
        <v>5421</v>
      </c>
    </row>
    <row r="1888">
      <c r="A1888" s="257" t="s">
        <v>13217</v>
      </c>
      <c r="B1888" s="257" t="s">
        <v>12236</v>
      </c>
    </row>
    <row r="1889">
      <c r="A1889" s="257" t="s">
        <v>5202</v>
      </c>
      <c r="B1889" s="257" t="s">
        <v>5202</v>
      </c>
    </row>
    <row r="1890">
      <c r="A1890" s="257" t="s">
        <v>5187</v>
      </c>
      <c r="B1890" s="257" t="s">
        <v>5187</v>
      </c>
    </row>
    <row r="1891">
      <c r="A1891" s="257" t="s">
        <v>12068</v>
      </c>
      <c r="B1891" s="257" t="s">
        <v>12068</v>
      </c>
    </row>
    <row r="1892">
      <c r="A1892" s="257" t="s">
        <v>5280</v>
      </c>
      <c r="B1892" s="257" t="s">
        <v>5280</v>
      </c>
    </row>
    <row r="1893">
      <c r="A1893" s="257" t="s">
        <v>12026</v>
      </c>
      <c r="B1893" s="257" t="s">
        <v>12026</v>
      </c>
    </row>
    <row r="1894">
      <c r="A1894" s="257" t="s">
        <v>11512</v>
      </c>
      <c r="B1894" s="257" t="s">
        <v>11512</v>
      </c>
    </row>
    <row r="1895">
      <c r="A1895" s="257" t="s">
        <v>5169</v>
      </c>
      <c r="B1895" s="257" t="s">
        <v>5169</v>
      </c>
    </row>
    <row r="1896">
      <c r="A1896" s="257" t="s">
        <v>6866</v>
      </c>
      <c r="B1896" s="257" t="s">
        <v>6866</v>
      </c>
    </row>
    <row r="1897">
      <c r="A1897" s="257" t="s">
        <v>5349</v>
      </c>
      <c r="B1897" s="257" t="s">
        <v>5349</v>
      </c>
    </row>
    <row r="1898">
      <c r="A1898" s="257" t="s">
        <v>5098</v>
      </c>
      <c r="B1898" s="257" t="s">
        <v>5098</v>
      </c>
    </row>
    <row r="1899">
      <c r="A1899" s="257" t="s">
        <v>11679</v>
      </c>
      <c r="B1899" s="257" t="s">
        <v>11679</v>
      </c>
    </row>
    <row r="1900">
      <c r="A1900" s="257" t="s">
        <v>6343</v>
      </c>
      <c r="B1900" s="257" t="s">
        <v>6343</v>
      </c>
    </row>
    <row r="1901">
      <c r="A1901" s="257" t="s">
        <v>6346</v>
      </c>
      <c r="B1901" s="257" t="s">
        <v>6346</v>
      </c>
    </row>
    <row r="1902">
      <c r="A1902" s="257" t="s">
        <v>5175</v>
      </c>
      <c r="B1902" s="257" t="s">
        <v>5175</v>
      </c>
    </row>
    <row r="1903">
      <c r="A1903" s="257" t="s">
        <v>1792</v>
      </c>
      <c r="B1903" s="257" t="s">
        <v>1792</v>
      </c>
    </row>
    <row r="1904">
      <c r="A1904" s="257" t="s">
        <v>5351</v>
      </c>
      <c r="B1904" s="257" t="s">
        <v>5351</v>
      </c>
    </row>
    <row r="1905">
      <c r="A1905" s="257" t="s">
        <v>5224</v>
      </c>
      <c r="B1905" s="257" t="s">
        <v>5224</v>
      </c>
    </row>
    <row r="1906">
      <c r="A1906" s="257" t="s">
        <v>5170</v>
      </c>
      <c r="B1906" s="257" t="s">
        <v>5170</v>
      </c>
    </row>
    <row r="1907">
      <c r="A1907" s="257" t="s">
        <v>12007</v>
      </c>
      <c r="B1907" s="257" t="s">
        <v>12007</v>
      </c>
    </row>
    <row r="1908">
      <c r="A1908" s="257" t="s">
        <v>5355</v>
      </c>
      <c r="B1908" s="257" t="s">
        <v>5355</v>
      </c>
    </row>
    <row r="1909">
      <c r="A1909" s="257" t="s">
        <v>5218</v>
      </c>
      <c r="B1909" s="257" t="s">
        <v>5218</v>
      </c>
    </row>
    <row r="1910">
      <c r="A1910" s="257" t="s">
        <v>13218</v>
      </c>
      <c r="B1910" s="257" t="s">
        <v>11404</v>
      </c>
    </row>
    <row r="1911">
      <c r="A1911" s="257" t="s">
        <v>2220</v>
      </c>
      <c r="B1911" s="257" t="s">
        <v>2220</v>
      </c>
    </row>
    <row r="1912">
      <c r="A1912" s="257" t="s">
        <v>5160</v>
      </c>
      <c r="B1912" s="257" t="s">
        <v>5160</v>
      </c>
    </row>
    <row r="1913">
      <c r="A1913" s="257" t="s">
        <v>12037</v>
      </c>
      <c r="B1913" s="257" t="s">
        <v>12037</v>
      </c>
    </row>
    <row r="1914">
      <c r="A1914" s="257" t="s">
        <v>12113</v>
      </c>
      <c r="B1914" s="257" t="s">
        <v>12113</v>
      </c>
    </row>
    <row r="1915">
      <c r="A1915" s="257" t="s">
        <v>2214</v>
      </c>
      <c r="B1915" s="257" t="s">
        <v>2214</v>
      </c>
    </row>
    <row r="1916">
      <c r="A1916" s="257" t="s">
        <v>2146</v>
      </c>
      <c r="B1916" s="257" t="s">
        <v>2146</v>
      </c>
    </row>
    <row r="1917">
      <c r="A1917" s="257" t="s">
        <v>6012</v>
      </c>
      <c r="B1917" s="257" t="s">
        <v>6012</v>
      </c>
    </row>
    <row r="1918">
      <c r="A1918" s="257" t="s">
        <v>6251</v>
      </c>
      <c r="B1918" s="257" t="s">
        <v>6251</v>
      </c>
    </row>
    <row r="1919">
      <c r="A1919" s="257" t="s">
        <v>12017</v>
      </c>
      <c r="B1919" s="257" t="s">
        <v>12017</v>
      </c>
    </row>
    <row r="1920">
      <c r="A1920" s="257" t="s">
        <v>11507</v>
      </c>
      <c r="B1920" s="257" t="s">
        <v>11507</v>
      </c>
    </row>
    <row r="1921">
      <c r="A1921" s="257" t="s">
        <v>6183</v>
      </c>
      <c r="B1921" s="257" t="s">
        <v>6183</v>
      </c>
    </row>
    <row r="1922">
      <c r="A1922" s="257" t="s">
        <v>12116</v>
      </c>
      <c r="B1922" s="257" t="s">
        <v>12116</v>
      </c>
    </row>
    <row r="1923">
      <c r="A1923" s="257" t="s">
        <v>2187</v>
      </c>
      <c r="B1923" s="257" t="s">
        <v>2187</v>
      </c>
    </row>
    <row r="1924">
      <c r="A1924" s="257" t="s">
        <v>5361</v>
      </c>
      <c r="B1924" s="257" t="s">
        <v>5361</v>
      </c>
    </row>
    <row r="1925">
      <c r="A1925" s="257" t="s">
        <v>5360</v>
      </c>
      <c r="B1925" s="257" t="s">
        <v>5360</v>
      </c>
    </row>
    <row r="1926">
      <c r="A1926" s="257" t="s">
        <v>2198</v>
      </c>
      <c r="B1926" s="257" t="s">
        <v>2198</v>
      </c>
    </row>
    <row r="1927">
      <c r="A1927" s="257" t="s">
        <v>5235</v>
      </c>
      <c r="B1927" s="257" t="s">
        <v>5235</v>
      </c>
    </row>
    <row r="1928">
      <c r="A1928" s="257" t="s">
        <v>5225</v>
      </c>
      <c r="B1928" s="257" t="s">
        <v>5225</v>
      </c>
    </row>
    <row r="1929">
      <c r="A1929" s="257" t="s">
        <v>9998</v>
      </c>
      <c r="B1929" s="257" t="s">
        <v>9998</v>
      </c>
    </row>
    <row r="1930">
      <c r="A1930" s="257" t="s">
        <v>5518</v>
      </c>
      <c r="B1930" s="257" t="s">
        <v>5518</v>
      </c>
    </row>
    <row r="1931">
      <c r="A1931" s="257" t="s">
        <v>5283</v>
      </c>
      <c r="B1931" s="257" t="s">
        <v>5283</v>
      </c>
    </row>
    <row r="1932">
      <c r="A1932" s="257" t="s">
        <v>12048</v>
      </c>
      <c r="B1932" s="257" t="s">
        <v>12048</v>
      </c>
    </row>
    <row r="1933">
      <c r="A1933" s="257" t="s">
        <v>5492</v>
      </c>
      <c r="B1933" s="257" t="s">
        <v>5492</v>
      </c>
    </row>
    <row r="1934">
      <c r="A1934" s="257" t="s">
        <v>5359</v>
      </c>
      <c r="B1934" s="257" t="s">
        <v>5359</v>
      </c>
    </row>
    <row r="1935">
      <c r="A1935" s="257" t="s">
        <v>13219</v>
      </c>
      <c r="B1935" s="257" t="s">
        <v>13219</v>
      </c>
    </row>
    <row r="1936">
      <c r="A1936" s="257" t="s">
        <v>5354</v>
      </c>
      <c r="B1936" s="257" t="s">
        <v>5354</v>
      </c>
    </row>
    <row r="1937">
      <c r="A1937" s="257" t="s">
        <v>5513</v>
      </c>
      <c r="B1937" s="257" t="s">
        <v>5513</v>
      </c>
    </row>
    <row r="1938">
      <c r="A1938" s="257" t="s">
        <v>7153</v>
      </c>
      <c r="B1938" s="257" t="s">
        <v>7153</v>
      </c>
    </row>
    <row r="1939">
      <c r="A1939" s="257" t="s">
        <v>13220</v>
      </c>
      <c r="B1939" s="257" t="s">
        <v>13220</v>
      </c>
    </row>
    <row r="1940">
      <c r="A1940" s="257" t="s">
        <v>12055</v>
      </c>
      <c r="B1940" s="257" t="s">
        <v>12055</v>
      </c>
    </row>
    <row r="1941">
      <c r="A1941" s="257" t="s">
        <v>13221</v>
      </c>
      <c r="B1941" s="257" t="s">
        <v>13221</v>
      </c>
    </row>
    <row r="1942">
      <c r="A1942" s="257" t="s">
        <v>5974</v>
      </c>
      <c r="B1942" s="257" t="s">
        <v>5974</v>
      </c>
    </row>
    <row r="1943">
      <c r="A1943" s="257" t="s">
        <v>2061</v>
      </c>
      <c r="B1943" s="257" t="s">
        <v>2061</v>
      </c>
    </row>
    <row r="1944">
      <c r="A1944" s="257" t="s">
        <v>2215</v>
      </c>
      <c r="B1944" s="257" t="s">
        <v>2215</v>
      </c>
    </row>
    <row r="1945">
      <c r="A1945" s="257" t="s">
        <v>11439</v>
      </c>
      <c r="B1945" s="257" t="s">
        <v>6341</v>
      </c>
    </row>
    <row r="1946">
      <c r="A1946" s="257" t="s">
        <v>2117</v>
      </c>
      <c r="B1946" s="257" t="s">
        <v>2117</v>
      </c>
    </row>
    <row r="1947">
      <c r="A1947" s="257" t="s">
        <v>2197</v>
      </c>
      <c r="B1947" s="257" t="s">
        <v>2197</v>
      </c>
    </row>
    <row r="1948">
      <c r="A1948" s="257" t="s">
        <v>12071</v>
      </c>
      <c r="B1948" s="257" t="s">
        <v>12071</v>
      </c>
    </row>
    <row r="1949">
      <c r="A1949" s="257" t="s">
        <v>5490</v>
      </c>
      <c r="B1949" s="257" t="s">
        <v>5490</v>
      </c>
    </row>
    <row r="1950">
      <c r="A1950" s="257" t="s">
        <v>5514</v>
      </c>
      <c r="B1950" s="257" t="s">
        <v>5514</v>
      </c>
    </row>
    <row r="1951">
      <c r="A1951" s="257" t="s">
        <v>2147</v>
      </c>
      <c r="B1951" s="257" t="s">
        <v>2147</v>
      </c>
    </row>
    <row r="1952">
      <c r="A1952" s="257" t="s">
        <v>5098</v>
      </c>
      <c r="B1952" s="257" t="s">
        <v>5098</v>
      </c>
    </row>
    <row r="1953">
      <c r="A1953" s="257" t="s">
        <v>13222</v>
      </c>
      <c r="B1953" s="257" t="s">
        <v>13223</v>
      </c>
    </row>
    <row r="1954">
      <c r="A1954" s="257" t="s">
        <v>13224</v>
      </c>
      <c r="B1954" s="257" t="s">
        <v>13225</v>
      </c>
    </row>
    <row r="1955">
      <c r="A1955" s="257" t="s">
        <v>5286</v>
      </c>
      <c r="B1955" s="257" t="s">
        <v>5286</v>
      </c>
    </row>
    <row r="1956">
      <c r="A1956" s="257" t="s">
        <v>6346</v>
      </c>
      <c r="B1956" s="257" t="s">
        <v>6346</v>
      </c>
    </row>
    <row r="1957">
      <c r="A1957" s="257" t="s">
        <v>5472</v>
      </c>
      <c r="B1957" s="257" t="s">
        <v>5472</v>
      </c>
    </row>
    <row r="1958">
      <c r="A1958" s="257" t="s">
        <v>12036</v>
      </c>
      <c r="B1958" s="257" t="s">
        <v>12036</v>
      </c>
    </row>
    <row r="1959">
      <c r="A1959" s="257" t="s">
        <v>13226</v>
      </c>
      <c r="B1959" s="257" t="s">
        <v>13227</v>
      </c>
    </row>
    <row r="1960">
      <c r="A1960" s="257" t="s">
        <v>13228</v>
      </c>
      <c r="B1960" s="257" t="s">
        <v>13229</v>
      </c>
    </row>
    <row r="1961">
      <c r="A1961" s="257" t="s">
        <v>5175</v>
      </c>
      <c r="B1961" s="257" t="s">
        <v>5175</v>
      </c>
    </row>
    <row r="1962">
      <c r="A1962" s="257" t="s">
        <v>1037</v>
      </c>
      <c r="B1962" s="257" t="s">
        <v>1037</v>
      </c>
    </row>
    <row r="1963">
      <c r="A1963" s="257" t="s">
        <v>13230</v>
      </c>
      <c r="B1963" s="257" t="s">
        <v>13231</v>
      </c>
    </row>
    <row r="1964">
      <c r="A1964" s="257" t="s">
        <v>13232</v>
      </c>
      <c r="B1964" s="257" t="s">
        <v>13233</v>
      </c>
    </row>
    <row r="1965">
      <c r="A1965" s="257" t="s">
        <v>6866</v>
      </c>
      <c r="B1965" s="257" t="s">
        <v>6866</v>
      </c>
    </row>
    <row r="1966">
      <c r="A1966" s="257" t="s">
        <v>13234</v>
      </c>
      <c r="B1966" s="257" t="s">
        <v>13235</v>
      </c>
    </row>
    <row r="1967">
      <c r="A1967" s="257" t="s">
        <v>5394</v>
      </c>
      <c r="B1967" s="257" t="s">
        <v>5394</v>
      </c>
    </row>
    <row r="1968">
      <c r="A1968" s="257" t="s">
        <v>13236</v>
      </c>
      <c r="B1968" s="257" t="s">
        <v>13237</v>
      </c>
    </row>
    <row r="1969">
      <c r="A1969" s="257" t="s">
        <v>5156</v>
      </c>
      <c r="B1969" s="257" t="s">
        <v>5156</v>
      </c>
    </row>
    <row r="1970">
      <c r="A1970" s="257" t="s">
        <v>13238</v>
      </c>
      <c r="B1970" s="257" t="s">
        <v>13239</v>
      </c>
    </row>
    <row r="1971">
      <c r="A1971" s="257" t="s">
        <v>5370</v>
      </c>
      <c r="B1971" s="257" t="s">
        <v>5370</v>
      </c>
    </row>
    <row r="1972">
      <c r="A1972" s="257" t="s">
        <v>13240</v>
      </c>
      <c r="B1972" s="257" t="s">
        <v>13241</v>
      </c>
    </row>
    <row r="1973">
      <c r="A1973" s="257" t="s">
        <v>13242</v>
      </c>
      <c r="B1973" s="257" t="s">
        <v>13243</v>
      </c>
    </row>
    <row r="1974">
      <c r="A1974" s="257" t="s">
        <v>13244</v>
      </c>
      <c r="B1974" s="257" t="s">
        <v>13245</v>
      </c>
    </row>
    <row r="1975">
      <c r="A1975" s="257" t="s">
        <v>13246</v>
      </c>
      <c r="B1975" s="257" t="s">
        <v>13247</v>
      </c>
    </row>
    <row r="1976">
      <c r="A1976" s="257" t="s">
        <v>6343</v>
      </c>
      <c r="B1976" s="257" t="s">
        <v>6343</v>
      </c>
    </row>
    <row r="1977">
      <c r="A1977" s="257" t="s">
        <v>13248</v>
      </c>
      <c r="B1977" s="257" t="s">
        <v>13249</v>
      </c>
    </row>
    <row r="1978">
      <c r="A1978" s="257" t="s">
        <v>13250</v>
      </c>
      <c r="B1978" s="257" t="s">
        <v>13251</v>
      </c>
    </row>
    <row r="1979">
      <c r="A1979" s="257" t="s">
        <v>13252</v>
      </c>
      <c r="B1979" s="257" t="s">
        <v>13253</v>
      </c>
    </row>
    <row r="1980">
      <c r="A1980" s="257" t="s">
        <v>13254</v>
      </c>
      <c r="B1980" s="257" t="s">
        <v>13255</v>
      </c>
    </row>
    <row r="1981">
      <c r="A1981" s="257" t="s">
        <v>13256</v>
      </c>
      <c r="B1981" s="257" t="s">
        <v>13257</v>
      </c>
    </row>
    <row r="1982">
      <c r="A1982" s="257" t="s">
        <v>13258</v>
      </c>
      <c r="B1982" s="257" t="s">
        <v>13259</v>
      </c>
    </row>
    <row r="1983">
      <c r="A1983" s="257" t="s">
        <v>13260</v>
      </c>
      <c r="B1983" s="257" t="s">
        <v>13261</v>
      </c>
    </row>
    <row r="1984">
      <c r="A1984" s="257" t="s">
        <v>13262</v>
      </c>
      <c r="B1984" s="257" t="s">
        <v>13263</v>
      </c>
    </row>
    <row r="1985">
      <c r="A1985" s="257" t="s">
        <v>13264</v>
      </c>
      <c r="B1985" s="257" t="s">
        <v>13265</v>
      </c>
    </row>
    <row r="1986">
      <c r="A1986" s="257" t="s">
        <v>2762</v>
      </c>
      <c r="B1986" s="257" t="s">
        <v>2762</v>
      </c>
    </row>
    <row r="1987">
      <c r="A1987" s="257" t="s">
        <v>2760</v>
      </c>
      <c r="B1987" s="257" t="s">
        <v>2760</v>
      </c>
    </row>
    <row r="1988">
      <c r="A1988" s="257" t="s">
        <v>2220</v>
      </c>
      <c r="B1988" s="257" t="s">
        <v>2220</v>
      </c>
    </row>
    <row r="1989">
      <c r="A1989" s="257" t="s">
        <v>5270</v>
      </c>
      <c r="B1989" s="257" t="s">
        <v>5270</v>
      </c>
    </row>
    <row r="1990">
      <c r="A1990" s="257" t="s">
        <v>2763</v>
      </c>
      <c r="B1990" s="257" t="s">
        <v>2763</v>
      </c>
    </row>
    <row r="1991">
      <c r="A1991" s="257" t="s">
        <v>2764</v>
      </c>
      <c r="B1991" s="257" t="s">
        <v>2764</v>
      </c>
    </row>
    <row r="1992">
      <c r="A1992" s="257" t="s">
        <v>1946</v>
      </c>
      <c r="B1992" s="257" t="s">
        <v>1946</v>
      </c>
    </row>
    <row r="1993">
      <c r="A1993" s="257" t="s">
        <v>5415</v>
      </c>
      <c r="B1993" s="257" t="s">
        <v>5415</v>
      </c>
    </row>
    <row r="1994">
      <c r="A1994" s="257" t="s">
        <v>5445</v>
      </c>
      <c r="B1994" s="257" t="s">
        <v>5445</v>
      </c>
    </row>
    <row r="1995">
      <c r="A1995" s="257" t="s">
        <v>13266</v>
      </c>
      <c r="B1995" s="257" t="s">
        <v>13267</v>
      </c>
    </row>
    <row r="1996">
      <c r="A1996" s="257" t="s">
        <v>5157</v>
      </c>
      <c r="B1996" s="257" t="s">
        <v>5157</v>
      </c>
    </row>
    <row r="1997">
      <c r="A1997" s="257" t="s">
        <v>7813</v>
      </c>
      <c r="B1997" s="257" t="s">
        <v>7813</v>
      </c>
    </row>
    <row r="1998">
      <c r="A1998" s="257" t="s">
        <v>5262</v>
      </c>
      <c r="B1998" s="257" t="s">
        <v>5262</v>
      </c>
    </row>
    <row r="1999">
      <c r="A1999" s="257" t="s">
        <v>11635</v>
      </c>
      <c r="B1999" s="257" t="s">
        <v>11635</v>
      </c>
    </row>
    <row r="2000">
      <c r="A2000" s="257" t="s">
        <v>12116</v>
      </c>
      <c r="B2000" s="257" t="s">
        <v>12116</v>
      </c>
    </row>
    <row r="2001">
      <c r="A2001" s="257" t="s">
        <v>13268</v>
      </c>
      <c r="B2001" s="257" t="s">
        <v>13269</v>
      </c>
    </row>
    <row r="2002">
      <c r="A2002" s="257" t="s">
        <v>13270</v>
      </c>
      <c r="B2002" s="257" t="s">
        <v>13270</v>
      </c>
    </row>
    <row r="2003">
      <c r="A2003" s="257" t="s">
        <v>11959</v>
      </c>
      <c r="B2003" s="257" t="s">
        <v>11959</v>
      </c>
    </row>
    <row r="2004">
      <c r="A2004" s="257" t="s">
        <v>13271</v>
      </c>
      <c r="B2004" s="257" t="s">
        <v>13272</v>
      </c>
    </row>
    <row r="2005">
      <c r="A2005" s="257" t="s">
        <v>2210</v>
      </c>
      <c r="B2005" s="257" t="s">
        <v>2210</v>
      </c>
    </row>
    <row r="2006">
      <c r="A2006" s="257" t="s">
        <v>13273</v>
      </c>
      <c r="B2006" s="257" t="s">
        <v>13274</v>
      </c>
    </row>
    <row r="2007">
      <c r="A2007" s="257" t="s">
        <v>13275</v>
      </c>
      <c r="B2007" s="257" t="s">
        <v>13276</v>
      </c>
    </row>
    <row r="2008">
      <c r="A2008" s="257" t="s">
        <v>5395</v>
      </c>
      <c r="B2008" s="257" t="s">
        <v>5395</v>
      </c>
    </row>
    <row r="2009">
      <c r="A2009" s="257" t="s">
        <v>13277</v>
      </c>
      <c r="B2009" s="257" t="s">
        <v>13278</v>
      </c>
    </row>
    <row r="2010">
      <c r="A2010" s="257" t="s">
        <v>5160</v>
      </c>
      <c r="B2010" s="257" t="s">
        <v>5160</v>
      </c>
    </row>
    <row r="2011">
      <c r="A2011" s="257" t="s">
        <v>2214</v>
      </c>
      <c r="B2011" s="257" t="s">
        <v>2214</v>
      </c>
    </row>
    <row r="2012">
      <c r="A2012" s="257" t="s">
        <v>2146</v>
      </c>
      <c r="B2012" s="257" t="s">
        <v>2146</v>
      </c>
    </row>
    <row r="2013">
      <c r="A2013" s="257" t="s">
        <v>13279</v>
      </c>
      <c r="B2013" s="257" t="s">
        <v>13280</v>
      </c>
    </row>
    <row r="2014">
      <c r="A2014" s="257" t="s">
        <v>6012</v>
      </c>
      <c r="B2014" s="257" t="s">
        <v>6012</v>
      </c>
    </row>
    <row r="2015">
      <c r="A2015" s="257" t="s">
        <v>5420</v>
      </c>
      <c r="B2015" s="257" t="s">
        <v>5420</v>
      </c>
    </row>
    <row r="2016">
      <c r="A2016" s="257" t="s">
        <v>13281</v>
      </c>
      <c r="B2016" s="257" t="s">
        <v>13282</v>
      </c>
    </row>
    <row r="2017">
      <c r="A2017" s="257" t="s">
        <v>13283</v>
      </c>
      <c r="B2017" s="257" t="s">
        <v>13284</v>
      </c>
    </row>
    <row r="2018">
      <c r="A2018" s="257" t="s">
        <v>13285</v>
      </c>
      <c r="B2018" s="257" t="s">
        <v>13286</v>
      </c>
    </row>
    <row r="2019">
      <c r="A2019" s="257" t="s">
        <v>5288</v>
      </c>
      <c r="B2019" s="257" t="s">
        <v>5288</v>
      </c>
    </row>
    <row r="2020">
      <c r="A2020" s="257" t="s">
        <v>5391</v>
      </c>
      <c r="B2020" s="257" t="s">
        <v>5391</v>
      </c>
    </row>
    <row r="2021">
      <c r="A2021" s="257" t="s">
        <v>12113</v>
      </c>
      <c r="B2021" s="257" t="s">
        <v>12113</v>
      </c>
    </row>
    <row r="2022">
      <c r="A2022" s="257" t="s">
        <v>13287</v>
      </c>
      <c r="B2022" s="257" t="s">
        <v>13288</v>
      </c>
    </row>
    <row r="2023">
      <c r="A2023" s="257" t="s">
        <v>13289</v>
      </c>
      <c r="B2023" s="257" t="s">
        <v>13290</v>
      </c>
    </row>
    <row r="2024">
      <c r="A2024" s="257" t="s">
        <v>13291</v>
      </c>
      <c r="B2024" s="257" t="s">
        <v>13292</v>
      </c>
    </row>
    <row r="2025">
      <c r="A2025" s="257" t="s">
        <v>2187</v>
      </c>
      <c r="B2025" s="257" t="s">
        <v>2187</v>
      </c>
    </row>
    <row r="2026">
      <c r="A2026" s="257" t="s">
        <v>5361</v>
      </c>
      <c r="B2026" s="257" t="s">
        <v>5361</v>
      </c>
    </row>
    <row r="2027">
      <c r="A2027" s="257" t="s">
        <v>13293</v>
      </c>
      <c r="B2027" s="257" t="s">
        <v>13293</v>
      </c>
    </row>
    <row r="2028">
      <c r="A2028" s="257" t="s">
        <v>13294</v>
      </c>
      <c r="B2028" s="257" t="s">
        <v>13295</v>
      </c>
    </row>
    <row r="2029">
      <c r="A2029" s="257" t="s">
        <v>5518</v>
      </c>
      <c r="B2029" s="257" t="s">
        <v>5518</v>
      </c>
    </row>
    <row r="2030">
      <c r="A2030" s="257" t="s">
        <v>5392</v>
      </c>
      <c r="B2030" s="257" t="s">
        <v>5392</v>
      </c>
    </row>
    <row r="2031">
      <c r="A2031" s="257" t="s">
        <v>5381</v>
      </c>
      <c r="B2031" s="257" t="s">
        <v>5381</v>
      </c>
    </row>
    <row r="2032">
      <c r="A2032" s="257" t="s">
        <v>5531</v>
      </c>
      <c r="B2032" s="257" t="s">
        <v>5531</v>
      </c>
    </row>
    <row r="2033">
      <c r="A2033" s="257" t="s">
        <v>6183</v>
      </c>
      <c r="B2033" s="257" t="s">
        <v>6183</v>
      </c>
    </row>
    <row r="2034">
      <c r="A2034" s="257" t="s">
        <v>13215</v>
      </c>
      <c r="B2034" s="257" t="s">
        <v>13215</v>
      </c>
    </row>
    <row r="2035">
      <c r="A2035" s="257" t="s">
        <v>13296</v>
      </c>
      <c r="B2035" s="257" t="s">
        <v>13297</v>
      </c>
    </row>
    <row r="2036">
      <c r="A2036" s="257" t="s">
        <v>13298</v>
      </c>
      <c r="B2036" s="257" t="s">
        <v>13299</v>
      </c>
    </row>
    <row r="2037">
      <c r="A2037" s="257" t="s">
        <v>13300</v>
      </c>
      <c r="B2037" s="257" t="s">
        <v>13301</v>
      </c>
    </row>
    <row r="2038">
      <c r="A2038" s="257" t="s">
        <v>13302</v>
      </c>
      <c r="B2038" s="257" t="s">
        <v>13303</v>
      </c>
    </row>
    <row r="2039">
      <c r="A2039" s="257" t="s">
        <v>5451</v>
      </c>
      <c r="B2039" s="257" t="s">
        <v>5451</v>
      </c>
    </row>
    <row r="2040">
      <c r="A2040" s="257" t="s">
        <v>5178</v>
      </c>
      <c r="B2040" s="257" t="s">
        <v>5178</v>
      </c>
    </row>
    <row r="2041">
      <c r="A2041" s="257" t="s">
        <v>5383</v>
      </c>
      <c r="B2041" s="257" t="s">
        <v>5383</v>
      </c>
    </row>
    <row r="2042">
      <c r="A2042" s="257" t="s">
        <v>6341</v>
      </c>
      <c r="B2042" s="257" t="s">
        <v>6341</v>
      </c>
    </row>
    <row r="2043">
      <c r="A2043" s="257" t="s">
        <v>2218</v>
      </c>
      <c r="B2043" s="257" t="s">
        <v>2218</v>
      </c>
    </row>
    <row r="2044">
      <c r="A2044" s="257" t="s">
        <v>13304</v>
      </c>
      <c r="B2044" s="257" t="s">
        <v>13305</v>
      </c>
    </row>
    <row r="2045">
      <c r="A2045" s="257" t="s">
        <v>13306</v>
      </c>
      <c r="B2045" s="257" t="s">
        <v>13307</v>
      </c>
    </row>
    <row r="2046">
      <c r="A2046" s="257" t="s">
        <v>8327</v>
      </c>
      <c r="B2046" s="257" t="s">
        <v>8327</v>
      </c>
    </row>
    <row r="2047">
      <c r="A2047" s="257" t="s">
        <v>5263</v>
      </c>
      <c r="B2047" s="257" t="s">
        <v>5263</v>
      </c>
    </row>
    <row r="2048">
      <c r="A2048" s="257" t="s">
        <v>13308</v>
      </c>
      <c r="B2048" s="257" t="s">
        <v>13309</v>
      </c>
    </row>
    <row r="2049">
      <c r="A2049" s="257" t="s">
        <v>5163</v>
      </c>
      <c r="B2049" s="257" t="s">
        <v>5163</v>
      </c>
    </row>
    <row r="2050">
      <c r="A2050" s="257" t="s">
        <v>13310</v>
      </c>
      <c r="B2050" s="257" t="s">
        <v>13311</v>
      </c>
    </row>
    <row r="2051">
      <c r="A2051" s="257" t="s">
        <v>9998</v>
      </c>
      <c r="B2051" s="257" t="s">
        <v>9998</v>
      </c>
    </row>
    <row r="2052">
      <c r="A2052" s="257" t="s">
        <v>13312</v>
      </c>
      <c r="B2052" s="257" t="s">
        <v>13313</v>
      </c>
    </row>
    <row r="2053">
      <c r="A2053" s="257" t="s">
        <v>5283</v>
      </c>
      <c r="B2053" s="257" t="s">
        <v>5283</v>
      </c>
    </row>
    <row r="2054">
      <c r="A2054" s="257" t="s">
        <v>12048</v>
      </c>
      <c r="B2054" s="257" t="s">
        <v>12048</v>
      </c>
    </row>
    <row r="2055">
      <c r="A2055" s="257" t="s">
        <v>5492</v>
      </c>
      <c r="B2055" s="257" t="s">
        <v>5492</v>
      </c>
    </row>
    <row r="2056">
      <c r="A2056" s="257" t="s">
        <v>13314</v>
      </c>
      <c r="B2056" s="257" t="s">
        <v>13315</v>
      </c>
    </row>
    <row r="2057">
      <c r="A2057" s="257" t="s">
        <v>6141</v>
      </c>
      <c r="B2057" s="257" t="s">
        <v>6141</v>
      </c>
    </row>
    <row r="2058">
      <c r="A2058" s="257" t="s">
        <v>5365</v>
      </c>
      <c r="B2058" s="257" t="s">
        <v>5365</v>
      </c>
    </row>
    <row r="2059">
      <c r="A2059" s="257" t="s">
        <v>7153</v>
      </c>
      <c r="B2059" s="257" t="s">
        <v>7153</v>
      </c>
    </row>
    <row r="2060">
      <c r="A2060" s="257" t="s">
        <v>13316</v>
      </c>
      <c r="B2060" s="257" t="s">
        <v>13317</v>
      </c>
    </row>
    <row r="2061">
      <c r="A2061" s="257" t="s">
        <v>11439</v>
      </c>
      <c r="B2061" s="257" t="s">
        <v>11439</v>
      </c>
    </row>
    <row r="2062">
      <c r="A2062" s="257" t="s">
        <v>2117</v>
      </c>
      <c r="B2062" s="257" t="s">
        <v>2117</v>
      </c>
    </row>
    <row r="2063">
      <c r="A2063" s="257" t="s">
        <v>13318</v>
      </c>
      <c r="B2063" s="257" t="s">
        <v>13319</v>
      </c>
    </row>
    <row r="2064">
      <c r="A2064" s="257" t="s">
        <v>13320</v>
      </c>
      <c r="B2064" s="257" t="s">
        <v>13321</v>
      </c>
    </row>
    <row r="2065">
      <c r="A2065" s="257" t="s">
        <v>13322</v>
      </c>
      <c r="B2065" s="257" t="s">
        <v>13323</v>
      </c>
    </row>
    <row r="2066">
      <c r="A2066" s="257" t="s">
        <v>5513</v>
      </c>
      <c r="B2066" s="257" t="s">
        <v>5513</v>
      </c>
    </row>
    <row r="2067">
      <c r="A2067" s="257" t="s">
        <v>13324</v>
      </c>
      <c r="B2067" s="257" t="s">
        <v>13325</v>
      </c>
    </row>
    <row r="2068">
      <c r="A2068" s="257" t="s">
        <v>2193</v>
      </c>
      <c r="B2068" s="257" t="s">
        <v>2193</v>
      </c>
    </row>
    <row r="2069">
      <c r="A2069" s="257" t="s">
        <v>13326</v>
      </c>
      <c r="B2069" s="257" t="s">
        <v>13327</v>
      </c>
    </row>
    <row r="2070">
      <c r="A2070" s="257" t="s">
        <v>2135</v>
      </c>
      <c r="B2070" s="257" t="s">
        <v>2135</v>
      </c>
    </row>
    <row r="2071">
      <c r="A2071" s="257" t="s">
        <v>2197</v>
      </c>
      <c r="B2071" s="257" t="s">
        <v>2197</v>
      </c>
    </row>
    <row r="2072">
      <c r="A2072" s="257" t="s">
        <v>13219</v>
      </c>
      <c r="B2072" s="257" t="s">
        <v>13219</v>
      </c>
    </row>
    <row r="2073">
      <c r="A2073" s="257" t="s">
        <v>13328</v>
      </c>
      <c r="B2073" s="257" t="s">
        <v>13329</v>
      </c>
    </row>
    <row r="2074">
      <c r="A2074" s="257" t="s">
        <v>13330</v>
      </c>
      <c r="B2074" s="257" t="s">
        <v>13331</v>
      </c>
    </row>
    <row r="2075">
      <c r="A2075" s="257" t="s">
        <v>13332</v>
      </c>
      <c r="B2075" s="257" t="s">
        <v>13333</v>
      </c>
    </row>
    <row r="2076">
      <c r="A2076" s="257" t="s">
        <v>13334</v>
      </c>
      <c r="B2076" s="257" t="s">
        <v>13335</v>
      </c>
    </row>
    <row r="2077">
      <c r="A2077" s="257" t="s">
        <v>13217</v>
      </c>
      <c r="B2077" s="257" t="s">
        <v>12236</v>
      </c>
    </row>
    <row r="2078">
      <c r="A2078" s="257" t="s">
        <v>13336</v>
      </c>
      <c r="B2078" s="257" t="s">
        <v>13337</v>
      </c>
    </row>
    <row r="2079">
      <c r="A2079" s="257" t="s">
        <v>13338</v>
      </c>
      <c r="B2079" s="257" t="s">
        <v>13339</v>
      </c>
    </row>
    <row r="2080">
      <c r="A2080" s="257" t="s">
        <v>12055</v>
      </c>
      <c r="B2080" s="257" t="s">
        <v>12055</v>
      </c>
    </row>
    <row r="2081">
      <c r="A2081" s="257" t="s">
        <v>9986</v>
      </c>
      <c r="B2081" s="257" t="s">
        <v>9986</v>
      </c>
    </row>
    <row r="2082">
      <c r="A2082" s="257" t="s">
        <v>5389</v>
      </c>
      <c r="B2082" s="257" t="s">
        <v>5389</v>
      </c>
    </row>
    <row r="2083">
      <c r="A2083" s="257" t="s">
        <v>13340</v>
      </c>
      <c r="B2083" s="257" t="s">
        <v>13341</v>
      </c>
    </row>
    <row r="2084">
      <c r="A2084" s="257" t="s">
        <v>5202</v>
      </c>
      <c r="B2084" s="257" t="s">
        <v>5202</v>
      </c>
    </row>
    <row r="2085">
      <c r="A2085" s="257" t="s">
        <v>5490</v>
      </c>
      <c r="B2085" s="257" t="s">
        <v>5490</v>
      </c>
    </row>
    <row r="2086">
      <c r="A2086" s="257" t="s">
        <v>5393</v>
      </c>
      <c r="B2086" s="257" t="s">
        <v>5393</v>
      </c>
    </row>
    <row r="2087">
      <c r="A2087" s="257" t="s">
        <v>5280</v>
      </c>
      <c r="B2087" s="257" t="s">
        <v>5280</v>
      </c>
    </row>
    <row r="2088">
      <c r="A2088" s="257" t="s">
        <v>5514</v>
      </c>
      <c r="B2088" s="257" t="s">
        <v>5514</v>
      </c>
    </row>
    <row r="2089">
      <c r="A2089" s="257" t="s">
        <v>13342</v>
      </c>
      <c r="B2089" s="257" t="s">
        <v>13343</v>
      </c>
    </row>
    <row r="2090">
      <c r="A2090" s="257" t="s">
        <v>2147</v>
      </c>
      <c r="B2090" s="257" t="s">
        <v>2147</v>
      </c>
    </row>
    <row r="2091">
      <c r="A2091" s="257" t="s">
        <v>13344</v>
      </c>
      <c r="B2091" s="257" t="s">
        <v>13345</v>
      </c>
    </row>
    <row r="2092">
      <c r="A2092" s="257" t="s">
        <v>5368</v>
      </c>
      <c r="B2092" s="257" t="s">
        <v>5368</v>
      </c>
    </row>
    <row r="2093">
      <c r="A2093" s="257" t="s">
        <v>13346</v>
      </c>
      <c r="B2093" s="257" t="s">
        <v>13347</v>
      </c>
    </row>
    <row r="2094">
      <c r="A2094" s="257" t="s">
        <v>2761</v>
      </c>
      <c r="B2094" s="257" t="s">
        <v>2761</v>
      </c>
    </row>
    <row r="2095">
      <c r="A2095" s="257" t="s">
        <v>10034</v>
      </c>
      <c r="B2095" s="257" t="s">
        <v>2759</v>
      </c>
    </row>
    <row r="2096">
      <c r="A2096" s="257" t="s">
        <v>5169</v>
      </c>
      <c r="B2096" s="257" t="s">
        <v>5169</v>
      </c>
    </row>
    <row r="2097">
      <c r="A2097" s="257" t="s">
        <v>13348</v>
      </c>
      <c r="B2097" s="257" t="s">
        <v>13349</v>
      </c>
    </row>
    <row r="2098">
      <c r="A2098" s="257" t="s">
        <v>13350</v>
      </c>
      <c r="B2098" s="257" t="s">
        <v>13351</v>
      </c>
    </row>
    <row r="2099">
      <c r="A2099" s="257" t="s">
        <v>5349</v>
      </c>
      <c r="B2099" s="257" t="s">
        <v>5349</v>
      </c>
    </row>
    <row r="2100">
      <c r="A2100" s="257" t="s">
        <v>5273</v>
      </c>
      <c r="B2100" s="257" t="s">
        <v>5273</v>
      </c>
    </row>
    <row r="2101">
      <c r="A2101" s="257" t="s">
        <v>6209</v>
      </c>
      <c r="B2101" s="257" t="s">
        <v>6209</v>
      </c>
    </row>
    <row r="2102">
      <c r="A2102" s="257" t="s">
        <v>11679</v>
      </c>
      <c r="B2102" s="257" t="s">
        <v>11679</v>
      </c>
    </row>
    <row r="2103">
      <c r="A2103" s="257" t="s">
        <v>5159</v>
      </c>
      <c r="B2103" s="257" t="s">
        <v>5159</v>
      </c>
    </row>
    <row r="2104">
      <c r="A2104" s="257" t="s">
        <v>5189</v>
      </c>
      <c r="B2104" s="257" t="s">
        <v>5189</v>
      </c>
    </row>
    <row r="2105">
      <c r="A2105" s="257" t="s">
        <v>5166</v>
      </c>
      <c r="B2105" s="257" t="s">
        <v>5166</v>
      </c>
    </row>
    <row r="2106">
      <c r="A2106" s="257" t="s">
        <v>1792</v>
      </c>
      <c r="B2106" s="257" t="s">
        <v>1792</v>
      </c>
    </row>
    <row r="2107">
      <c r="A2107" s="257" t="s">
        <v>5351</v>
      </c>
      <c r="B2107" s="257" t="s">
        <v>5351</v>
      </c>
    </row>
    <row r="2108">
      <c r="A2108" s="257" t="s">
        <v>1947</v>
      </c>
      <c r="B2108" s="257" t="s">
        <v>1947</v>
      </c>
    </row>
    <row r="2109">
      <c r="A2109" s="257" t="s">
        <v>2756</v>
      </c>
      <c r="B2109" s="257" t="s">
        <v>2756</v>
      </c>
    </row>
    <row r="2110">
      <c r="A2110" s="257" t="s">
        <v>5170</v>
      </c>
      <c r="B2110" s="257" t="s">
        <v>5170</v>
      </c>
    </row>
    <row r="2111">
      <c r="A2111" s="257" t="s">
        <v>13352</v>
      </c>
      <c r="B2111" s="257" t="s">
        <v>13352</v>
      </c>
    </row>
    <row r="2112">
      <c r="A2112" s="257" t="s">
        <v>5366</v>
      </c>
      <c r="B2112" s="257" t="s">
        <v>5366</v>
      </c>
    </row>
    <row r="2113">
      <c r="A2113" s="257" t="s">
        <v>5162</v>
      </c>
      <c r="B2113" s="257" t="s">
        <v>5162</v>
      </c>
    </row>
    <row r="2114">
      <c r="A2114" s="257" t="s">
        <v>5139</v>
      </c>
      <c r="B2114" s="257" t="s">
        <v>5139</v>
      </c>
    </row>
    <row r="2115">
      <c r="A2115" s="257" t="s">
        <v>5276</v>
      </c>
      <c r="B2115" s="257" t="s">
        <v>5276</v>
      </c>
    </row>
    <row r="2116">
      <c r="A2116" s="257" t="s">
        <v>5218</v>
      </c>
      <c r="B2116" s="257" t="s">
        <v>5218</v>
      </c>
    </row>
    <row r="2117">
      <c r="A2117" s="257" t="s">
        <v>13218</v>
      </c>
      <c r="B2117" s="257" t="s">
        <v>11404</v>
      </c>
    </row>
    <row r="2118">
      <c r="A2118" s="257" t="s">
        <v>6843</v>
      </c>
      <c r="B2118" s="257" t="s">
        <v>6843</v>
      </c>
    </row>
    <row r="2119">
      <c r="A2119" s="257" t="s">
        <v>12037</v>
      </c>
      <c r="B2119" s="257" t="s">
        <v>12037</v>
      </c>
    </row>
    <row r="2120">
      <c r="A2120" s="257" t="s">
        <v>13214</v>
      </c>
      <c r="B2120" s="257" t="s">
        <v>13214</v>
      </c>
    </row>
    <row r="2121">
      <c r="A2121" s="257" t="s">
        <v>6251</v>
      </c>
      <c r="B2121" s="257" t="s">
        <v>6251</v>
      </c>
    </row>
    <row r="2122">
      <c r="A2122" s="257" t="s">
        <v>5167</v>
      </c>
      <c r="B2122" s="257" t="s">
        <v>5167</v>
      </c>
    </row>
    <row r="2123">
      <c r="A2123" s="257" t="s">
        <v>13213</v>
      </c>
      <c r="B2123" s="257" t="s">
        <v>10169</v>
      </c>
    </row>
    <row r="2124">
      <c r="A2124" s="257" t="s">
        <v>11507</v>
      </c>
      <c r="B2124" s="257" t="s">
        <v>11507</v>
      </c>
    </row>
    <row r="2125">
      <c r="A2125" s="257" t="s">
        <v>5360</v>
      </c>
      <c r="B2125" s="257" t="s">
        <v>5360</v>
      </c>
    </row>
    <row r="2126">
      <c r="A2126" s="257" t="s">
        <v>5224</v>
      </c>
      <c r="B2126" s="257" t="s">
        <v>5224</v>
      </c>
    </row>
    <row r="2127">
      <c r="A2127" s="257" t="s">
        <v>12007</v>
      </c>
      <c r="B2127" s="257" t="s">
        <v>12007</v>
      </c>
    </row>
    <row r="2128">
      <c r="A2128" s="257" t="s">
        <v>2198</v>
      </c>
      <c r="B2128" s="257" t="s">
        <v>2198</v>
      </c>
    </row>
    <row r="2129">
      <c r="A2129" s="257" t="s">
        <v>5355</v>
      </c>
      <c r="B2129" s="257" t="s">
        <v>5355</v>
      </c>
    </row>
    <row r="2130">
      <c r="A2130" s="257" t="s">
        <v>5237</v>
      </c>
      <c r="B2130" s="257" t="s">
        <v>5237</v>
      </c>
    </row>
    <row r="2131">
      <c r="A2131" s="257" t="s">
        <v>13353</v>
      </c>
      <c r="B2131" s="257" t="s">
        <v>13354</v>
      </c>
    </row>
    <row r="2132">
      <c r="A2132" s="257" t="s">
        <v>5190</v>
      </c>
      <c r="B2132" s="257" t="s">
        <v>5190</v>
      </c>
    </row>
    <row r="2133">
      <c r="A2133" s="257" t="s">
        <v>13355</v>
      </c>
      <c r="B2133" s="257" t="s">
        <v>13356</v>
      </c>
    </row>
    <row r="2134">
      <c r="A2134" s="257" t="s">
        <v>5419</v>
      </c>
      <c r="B2134" s="257" t="s">
        <v>5419</v>
      </c>
    </row>
    <row r="2135">
      <c r="A2135" s="257" t="s">
        <v>12017</v>
      </c>
      <c r="B2135" s="257" t="s">
        <v>12017</v>
      </c>
    </row>
    <row r="2136">
      <c r="A2136" s="257" t="s">
        <v>5352</v>
      </c>
      <c r="B2136" s="257" t="s">
        <v>5352</v>
      </c>
    </row>
    <row r="2137">
      <c r="A2137" s="257" t="s">
        <v>5222</v>
      </c>
      <c r="B2137" s="257" t="s">
        <v>5222</v>
      </c>
    </row>
    <row r="2138">
      <c r="A2138" s="257" t="s">
        <v>5128</v>
      </c>
      <c r="B2138" s="257" t="s">
        <v>5128</v>
      </c>
    </row>
    <row r="2139">
      <c r="A2139" s="257" t="s">
        <v>5356</v>
      </c>
      <c r="B2139" s="257" t="s">
        <v>5356</v>
      </c>
    </row>
    <row r="2140">
      <c r="A2140" s="257" t="s">
        <v>5235</v>
      </c>
      <c r="B2140" s="257" t="s">
        <v>5235</v>
      </c>
    </row>
    <row r="2141">
      <c r="A2141" s="257" t="s">
        <v>5359</v>
      </c>
      <c r="B2141" s="257" t="s">
        <v>5359</v>
      </c>
    </row>
    <row r="2142">
      <c r="A2142" s="257" t="s">
        <v>5264</v>
      </c>
      <c r="B2142" s="257" t="s">
        <v>5264</v>
      </c>
    </row>
    <row r="2143">
      <c r="A2143" s="257" t="s">
        <v>5168</v>
      </c>
      <c r="B2143" s="257" t="s">
        <v>5168</v>
      </c>
    </row>
    <row r="2144">
      <c r="A2144" s="257" t="s">
        <v>2157</v>
      </c>
      <c r="B2144" s="257" t="s">
        <v>2157</v>
      </c>
    </row>
    <row r="2145">
      <c r="A2145" s="257" t="s">
        <v>4983</v>
      </c>
      <c r="B2145" s="257" t="s">
        <v>4983</v>
      </c>
    </row>
    <row r="2146">
      <c r="A2146" s="257" t="s">
        <v>5267</v>
      </c>
      <c r="B2146" s="257" t="s">
        <v>5267</v>
      </c>
    </row>
    <row r="2147">
      <c r="A2147" s="257" t="s">
        <v>5350</v>
      </c>
      <c r="B2147" s="257" t="s">
        <v>5350</v>
      </c>
    </row>
    <row r="2148">
      <c r="A2148" s="257" t="s">
        <v>1935</v>
      </c>
      <c r="B2148" s="257" t="s">
        <v>1935</v>
      </c>
    </row>
    <row r="2149">
      <c r="A2149" s="257" t="s">
        <v>1777</v>
      </c>
      <c r="B2149" s="257" t="s">
        <v>1777</v>
      </c>
    </row>
    <row r="2150">
      <c r="A2150" s="257" t="s">
        <v>13220</v>
      </c>
      <c r="B2150" s="257" t="s">
        <v>13220</v>
      </c>
    </row>
    <row r="2151">
      <c r="A2151" s="257" t="s">
        <v>5225</v>
      </c>
      <c r="B2151" s="257" t="s">
        <v>5225</v>
      </c>
    </row>
    <row r="2152">
      <c r="A2152" s="257" t="s">
        <v>5974</v>
      </c>
      <c r="B2152" s="257" t="s">
        <v>5974</v>
      </c>
    </row>
    <row r="2153">
      <c r="A2153" s="257" t="s">
        <v>5150</v>
      </c>
      <c r="B2153" s="257" t="s">
        <v>5150</v>
      </c>
    </row>
    <row r="2154">
      <c r="A2154" s="257" t="s">
        <v>5354</v>
      </c>
      <c r="B2154" s="257" t="s">
        <v>5354</v>
      </c>
    </row>
    <row r="2155">
      <c r="A2155" s="257" t="s">
        <v>5172</v>
      </c>
      <c r="B2155" s="257" t="s">
        <v>5172</v>
      </c>
    </row>
    <row r="2156">
      <c r="A2156" s="257" t="s">
        <v>2755</v>
      </c>
      <c r="B2156" s="257" t="s">
        <v>2755</v>
      </c>
    </row>
    <row r="2157">
      <c r="A2157" s="257" t="s">
        <v>12068</v>
      </c>
      <c r="B2157" s="257" t="s">
        <v>12068</v>
      </c>
    </row>
    <row r="2158">
      <c r="A2158" s="257" t="s">
        <v>13221</v>
      </c>
      <c r="B2158" s="257" t="s">
        <v>13221</v>
      </c>
    </row>
    <row r="2159">
      <c r="A2159" s="257" t="s">
        <v>13216</v>
      </c>
      <c r="B2159" s="257" t="s">
        <v>7208</v>
      </c>
    </row>
    <row r="2160">
      <c r="A2160" s="257" t="s">
        <v>2061</v>
      </c>
      <c r="B2160" s="257" t="s">
        <v>2061</v>
      </c>
    </row>
    <row r="2161">
      <c r="A2161" s="257" t="s">
        <v>5421</v>
      </c>
      <c r="B2161" s="257" t="s">
        <v>5421</v>
      </c>
    </row>
    <row r="2162">
      <c r="A2162" s="257" t="s">
        <v>2215</v>
      </c>
      <c r="B2162" s="257" t="s">
        <v>2215</v>
      </c>
    </row>
    <row r="2163">
      <c r="A2163" s="257" t="s">
        <v>12071</v>
      </c>
      <c r="B2163" s="257" t="s">
        <v>12071</v>
      </c>
    </row>
    <row r="2164">
      <c r="A2164" s="257" t="s">
        <v>13357</v>
      </c>
      <c r="B2164" s="257" t="s">
        <v>13357</v>
      </c>
    </row>
    <row r="2165">
      <c r="A2165" s="257" t="s">
        <v>5187</v>
      </c>
      <c r="B2165" s="257" t="s">
        <v>5187</v>
      </c>
    </row>
    <row r="2166">
      <c r="A2166" s="257" t="s">
        <v>11512</v>
      </c>
      <c r="B2166" s="257" t="s">
        <v>11512</v>
      </c>
    </row>
    <row r="2167">
      <c r="A2167" s="257" t="s">
        <v>12026</v>
      </c>
      <c r="B2167" s="257" t="s">
        <v>12026</v>
      </c>
    </row>
    <row r="2168">
      <c r="A2168" s="257" t="s">
        <v>13358</v>
      </c>
      <c r="B2168" s="257" t="s">
        <v>13358</v>
      </c>
    </row>
    <row r="2169">
      <c r="A2169" s="257" t="s">
        <v>13359</v>
      </c>
      <c r="B2169" s="257" t="s">
        <v>13359</v>
      </c>
    </row>
    <row r="2170">
      <c r="A2170" s="257" t="s">
        <v>6190</v>
      </c>
      <c r="B2170" s="257" t="s">
        <v>6190</v>
      </c>
    </row>
    <row r="2171">
      <c r="A2171" s="257" t="s">
        <v>5145</v>
      </c>
      <c r="B2171" s="257" t="s">
        <v>5145</v>
      </c>
    </row>
    <row r="2172">
      <c r="A2172" s="257" t="s">
        <v>13360</v>
      </c>
      <c r="B2172" s="257" t="s">
        <v>13360</v>
      </c>
    </row>
    <row r="2173">
      <c r="A2173" s="257" t="s">
        <v>13361</v>
      </c>
      <c r="B2173" s="257" t="s">
        <v>13361</v>
      </c>
    </row>
    <row r="2174">
      <c r="A2174" s="257" t="s">
        <v>13360</v>
      </c>
      <c r="B2174" s="257" t="s">
        <v>13360</v>
      </c>
    </row>
    <row r="2175">
      <c r="A2175" s="257" t="s">
        <v>13358</v>
      </c>
      <c r="B2175" s="257" t="s">
        <v>13358</v>
      </c>
    </row>
    <row r="2176">
      <c r="A2176" s="257" t="s">
        <v>13361</v>
      </c>
      <c r="B2176" s="257" t="s">
        <v>13361</v>
      </c>
    </row>
    <row r="2177">
      <c r="A2177" s="257" t="s">
        <v>13359</v>
      </c>
      <c r="B2177" s="257" t="s">
        <v>13359</v>
      </c>
    </row>
    <row r="2178">
      <c r="A2178" s="257" t="s">
        <v>5265</v>
      </c>
      <c r="B2178" s="257" t="s">
        <v>5265</v>
      </c>
    </row>
    <row r="2179">
      <c r="A2179" s="257" t="s">
        <v>5272</v>
      </c>
      <c r="B2179" s="257" t="s">
        <v>5272</v>
      </c>
    </row>
    <row r="2180">
      <c r="A2180" s="257" t="s">
        <v>5371</v>
      </c>
      <c r="B2180" s="257" t="s">
        <v>5371</v>
      </c>
    </row>
    <row r="2181">
      <c r="A2181" s="257" t="s">
        <v>6190</v>
      </c>
      <c r="B2181" s="257" t="s">
        <v>6190</v>
      </c>
    </row>
    <row r="2182">
      <c r="A2182" s="257" t="s">
        <v>2754</v>
      </c>
      <c r="B2182" s="257" t="s">
        <v>2754</v>
      </c>
    </row>
    <row r="2183">
      <c r="A2183" s="257" t="s">
        <v>1035</v>
      </c>
      <c r="B2183" s="257" t="s">
        <v>1035</v>
      </c>
    </row>
    <row r="2184">
      <c r="A2184" s="257" t="s">
        <v>5879</v>
      </c>
      <c r="B2184" s="257" t="s">
        <v>5879</v>
      </c>
    </row>
    <row r="2185">
      <c r="A2185" s="257" t="s">
        <v>5145</v>
      </c>
      <c r="B2185" s="257" t="s">
        <v>5145</v>
      </c>
    </row>
    <row r="2186">
      <c r="A2186" s="257" t="s">
        <v>5247</v>
      </c>
      <c r="B2186" s="257" t="s">
        <v>5247</v>
      </c>
    </row>
    <row r="2187">
      <c r="A2187" s="257" t="s">
        <v>5271</v>
      </c>
      <c r="B2187" s="257" t="s">
        <v>5271</v>
      </c>
    </row>
    <row r="2188">
      <c r="A2188" s="257" t="s">
        <v>5261</v>
      </c>
      <c r="B2188" s="257" t="s">
        <v>5261</v>
      </c>
    </row>
    <row r="2189">
      <c r="A2189" s="257" t="s">
        <v>5275</v>
      </c>
      <c r="B2189" s="257" t="s">
        <v>5275</v>
      </c>
    </row>
    <row r="2190">
      <c r="A2190" s="257" t="s">
        <v>5248</v>
      </c>
      <c r="B2190" s="257" t="s">
        <v>5248</v>
      </c>
    </row>
    <row r="2191">
      <c r="A2191" s="257" t="s">
        <v>5249</v>
      </c>
      <c r="B2191" s="257" t="s">
        <v>5249</v>
      </c>
    </row>
    <row r="2192">
      <c r="A2192" s="257" t="s">
        <v>5260</v>
      </c>
      <c r="B2192" s="257" t="s">
        <v>5260</v>
      </c>
    </row>
    <row r="2193">
      <c r="A2193" s="257" t="s">
        <v>5250</v>
      </c>
      <c r="B2193" s="257" t="s">
        <v>5250</v>
      </c>
    </row>
    <row r="2194">
      <c r="A2194" s="257" t="s">
        <v>5375</v>
      </c>
      <c r="B2194" s="257" t="s">
        <v>5375</v>
      </c>
    </row>
    <row r="2195">
      <c r="A2195" s="257" t="s">
        <v>13360</v>
      </c>
      <c r="B2195" s="257" t="s">
        <v>13360</v>
      </c>
    </row>
    <row r="2196">
      <c r="A2196" s="257" t="s">
        <v>13361</v>
      </c>
      <c r="B2196" s="257" t="s">
        <v>13361</v>
      </c>
    </row>
    <row r="2197">
      <c r="A2197" s="257" t="s">
        <v>13362</v>
      </c>
      <c r="B2197" s="257" t="s">
        <v>13362</v>
      </c>
    </row>
    <row r="2198">
      <c r="A2198" s="257" t="s">
        <v>13363</v>
      </c>
      <c r="B2198" s="257" t="s">
        <v>13363</v>
      </c>
    </row>
    <row r="2199">
      <c r="A2199" s="257" t="s">
        <v>13364</v>
      </c>
      <c r="B2199" s="257" t="s">
        <v>13364</v>
      </c>
    </row>
    <row r="2200">
      <c r="A2200" s="257" t="s">
        <v>13365</v>
      </c>
      <c r="B2200" s="257" t="s">
        <v>13365</v>
      </c>
    </row>
    <row r="2201">
      <c r="A2201" s="257" t="s">
        <v>13366</v>
      </c>
      <c r="B2201" s="257" t="s">
        <v>13366</v>
      </c>
    </row>
    <row r="2202">
      <c r="A2202" s="257" t="s">
        <v>13367</v>
      </c>
      <c r="B2202" s="257" t="s">
        <v>13367</v>
      </c>
    </row>
    <row r="2203">
      <c r="A2203" s="257" t="s">
        <v>13368</v>
      </c>
      <c r="B2203" s="257" t="s">
        <v>13368</v>
      </c>
    </row>
    <row r="2204">
      <c r="A2204" s="257" t="s">
        <v>13369</v>
      </c>
      <c r="B2204" s="257" t="s">
        <v>13369</v>
      </c>
    </row>
    <row r="2205">
      <c r="A2205" s="257" t="s">
        <v>2016</v>
      </c>
      <c r="B2205" s="257" t="s">
        <v>2016</v>
      </c>
    </row>
    <row r="2206">
      <c r="A2206" s="257" t="s">
        <v>13370</v>
      </c>
      <c r="B2206" s="257" t="s">
        <v>13370</v>
      </c>
    </row>
    <row r="2207">
      <c r="A2207" s="257" t="s">
        <v>13371</v>
      </c>
      <c r="B2207" s="257" t="s">
        <v>13371</v>
      </c>
    </row>
    <row r="2208">
      <c r="A2208" s="257" t="s">
        <v>5265</v>
      </c>
      <c r="B2208" s="257" t="s">
        <v>5265</v>
      </c>
    </row>
    <row r="2209">
      <c r="A2209" s="257" t="s">
        <v>13372</v>
      </c>
      <c r="B2209" s="257" t="s">
        <v>13372</v>
      </c>
    </row>
    <row r="2210">
      <c r="A2210" s="257" t="s">
        <v>13373</v>
      </c>
      <c r="B2210" s="257" t="s">
        <v>13373</v>
      </c>
    </row>
    <row r="2211">
      <c r="A2211" s="257" t="s">
        <v>13374</v>
      </c>
      <c r="B2211" s="257" t="s">
        <v>13374</v>
      </c>
    </row>
    <row r="2212">
      <c r="A2212" s="257" t="s">
        <v>13375</v>
      </c>
      <c r="B2212" s="257" t="s">
        <v>13376</v>
      </c>
    </row>
    <row r="2213">
      <c r="A2213" s="257" t="s">
        <v>13377</v>
      </c>
      <c r="B2213" s="257" t="s">
        <v>13377</v>
      </c>
    </row>
    <row r="2214">
      <c r="A2214" s="257" t="s">
        <v>13378</v>
      </c>
      <c r="B2214" s="257" t="s">
        <v>13378</v>
      </c>
    </row>
    <row r="2215">
      <c r="A2215" s="257" t="s">
        <v>13379</v>
      </c>
      <c r="B2215" s="257" t="s">
        <v>13379</v>
      </c>
    </row>
    <row r="2216">
      <c r="A2216" s="257" t="s">
        <v>13380</v>
      </c>
      <c r="B2216" s="257" t="s">
        <v>13380</v>
      </c>
    </row>
    <row r="2217">
      <c r="A2217" s="257" t="s">
        <v>13381</v>
      </c>
      <c r="B2217" s="257" t="s">
        <v>13381</v>
      </c>
    </row>
    <row r="2218">
      <c r="A2218" s="257" t="s">
        <v>13382</v>
      </c>
      <c r="B2218" s="257" t="s">
        <v>13382</v>
      </c>
    </row>
    <row r="2219">
      <c r="A2219" s="257" t="s">
        <v>13383</v>
      </c>
      <c r="B2219" s="257" t="s">
        <v>13383</v>
      </c>
    </row>
    <row r="2220">
      <c r="A2220" s="257" t="s">
        <v>5272</v>
      </c>
      <c r="B2220" s="257" t="s">
        <v>5272</v>
      </c>
    </row>
    <row r="2221">
      <c r="A2221" s="257" t="s">
        <v>13384</v>
      </c>
      <c r="B2221" s="257" t="s">
        <v>13385</v>
      </c>
    </row>
    <row r="2222">
      <c r="A2222" s="257" t="s">
        <v>13386</v>
      </c>
      <c r="B2222" s="257" t="s">
        <v>13386</v>
      </c>
    </row>
    <row r="2223">
      <c r="A2223" s="257" t="s">
        <v>13387</v>
      </c>
      <c r="B2223" s="257" t="s">
        <v>13387</v>
      </c>
    </row>
    <row r="2224">
      <c r="A2224" s="257" t="s">
        <v>13388</v>
      </c>
      <c r="B2224" s="257" t="s">
        <v>13388</v>
      </c>
    </row>
    <row r="2225">
      <c r="A2225" s="257" t="s">
        <v>13389</v>
      </c>
      <c r="B2225" s="257" t="s">
        <v>13389</v>
      </c>
    </row>
    <row r="2226">
      <c r="A2226" s="257" t="s">
        <v>2004</v>
      </c>
      <c r="B2226" s="257" t="s">
        <v>2004</v>
      </c>
    </row>
    <row r="2227">
      <c r="A2227" s="257" t="s">
        <v>5371</v>
      </c>
      <c r="B2227" s="257" t="s">
        <v>5371</v>
      </c>
    </row>
    <row r="2228">
      <c r="A2228" s="257" t="s">
        <v>13390</v>
      </c>
      <c r="B2228" s="257" t="s">
        <v>13390</v>
      </c>
    </row>
    <row r="2229">
      <c r="A2229" s="257" t="s">
        <v>13391</v>
      </c>
      <c r="B2229" s="257" t="s">
        <v>13391</v>
      </c>
    </row>
    <row r="2230">
      <c r="A2230" s="257" t="s">
        <v>13392</v>
      </c>
      <c r="B2230" s="257" t="s">
        <v>13392</v>
      </c>
    </row>
    <row r="2231">
      <c r="A2231" s="257" t="s">
        <v>13393</v>
      </c>
      <c r="B2231" s="257" t="s">
        <v>13393</v>
      </c>
    </row>
    <row r="2232">
      <c r="A2232" s="257" t="s">
        <v>13394</v>
      </c>
      <c r="B2232" s="257" t="s">
        <v>13394</v>
      </c>
    </row>
    <row r="2233">
      <c r="A2233" s="257" t="s">
        <v>13395</v>
      </c>
      <c r="B2233" s="257" t="s">
        <v>13395</v>
      </c>
    </row>
    <row r="2234">
      <c r="A2234" s="257" t="s">
        <v>13396</v>
      </c>
      <c r="B2234" s="257" t="s">
        <v>13396</v>
      </c>
    </row>
    <row r="2235">
      <c r="A2235" s="257" t="s">
        <v>13397</v>
      </c>
      <c r="B2235" s="257" t="s">
        <v>13397</v>
      </c>
    </row>
    <row r="2236">
      <c r="A2236" s="257" t="s">
        <v>13398</v>
      </c>
      <c r="B2236" s="257" t="s">
        <v>13398</v>
      </c>
    </row>
    <row r="2237">
      <c r="A2237" s="257" t="s">
        <v>13399</v>
      </c>
      <c r="B2237" s="257" t="s">
        <v>13399</v>
      </c>
    </row>
    <row r="2238">
      <c r="A2238" s="257" t="s">
        <v>13400</v>
      </c>
      <c r="B2238" s="257" t="s">
        <v>13400</v>
      </c>
    </row>
    <row r="2239">
      <c r="A2239" s="257" t="s">
        <v>13401</v>
      </c>
      <c r="B2239" s="257" t="s">
        <v>13401</v>
      </c>
    </row>
    <row r="2240">
      <c r="A2240" s="257" t="s">
        <v>13402</v>
      </c>
      <c r="B2240" s="257" t="s">
        <v>13402</v>
      </c>
    </row>
    <row r="2241">
      <c r="A2241" s="257" t="s">
        <v>13403</v>
      </c>
      <c r="B2241" s="257" t="s">
        <v>13403</v>
      </c>
    </row>
    <row r="2242">
      <c r="A2242" s="257" t="s">
        <v>13404</v>
      </c>
      <c r="B2242" s="257" t="s">
        <v>13404</v>
      </c>
    </row>
    <row r="2243">
      <c r="A2243" s="257" t="s">
        <v>13405</v>
      </c>
      <c r="B2243" s="257" t="s">
        <v>13406</v>
      </c>
    </row>
    <row r="2244">
      <c r="A2244" s="257" t="s">
        <v>13407</v>
      </c>
      <c r="B2244" s="257" t="s">
        <v>13407</v>
      </c>
    </row>
    <row r="2245">
      <c r="A2245" s="257" t="s">
        <v>13408</v>
      </c>
      <c r="B2245" s="257" t="s">
        <v>13408</v>
      </c>
    </row>
    <row r="2246">
      <c r="A2246" s="257" t="s">
        <v>13409</v>
      </c>
      <c r="B2246" s="257" t="s">
        <v>13409</v>
      </c>
    </row>
    <row r="2247">
      <c r="A2247" s="257" t="s">
        <v>13410</v>
      </c>
      <c r="B2247" s="257" t="s">
        <v>13410</v>
      </c>
    </row>
    <row r="2248">
      <c r="A2248" s="257" t="s">
        <v>13411</v>
      </c>
      <c r="B2248" s="257" t="s">
        <v>13411</v>
      </c>
    </row>
    <row r="2249">
      <c r="A2249" s="257" t="s">
        <v>2029</v>
      </c>
      <c r="B2249" s="257" t="s">
        <v>2029</v>
      </c>
    </row>
    <row r="2250">
      <c r="A2250" s="257" t="s">
        <v>13412</v>
      </c>
      <c r="B2250" s="257" t="s">
        <v>13412</v>
      </c>
    </row>
    <row r="2251">
      <c r="A2251" s="257" t="s">
        <v>13413</v>
      </c>
      <c r="B2251" s="257" t="s">
        <v>13413</v>
      </c>
    </row>
    <row r="2252">
      <c r="A2252" s="257" t="s">
        <v>13414</v>
      </c>
      <c r="B2252" s="257" t="s">
        <v>13388</v>
      </c>
    </row>
    <row r="2253">
      <c r="A2253" s="257" t="s">
        <v>13415</v>
      </c>
      <c r="B2253" s="257" t="s">
        <v>13415</v>
      </c>
    </row>
    <row r="2254">
      <c r="A2254" s="257" t="s">
        <v>13416</v>
      </c>
      <c r="B2254" s="257" t="s">
        <v>13416</v>
      </c>
    </row>
    <row r="2255">
      <c r="A2255" s="257" t="s">
        <v>13417</v>
      </c>
      <c r="B2255" s="257" t="s">
        <v>13417</v>
      </c>
    </row>
    <row r="2256">
      <c r="A2256" s="257" t="s">
        <v>2022</v>
      </c>
      <c r="B2256" s="257" t="s">
        <v>2022</v>
      </c>
    </row>
    <row r="2257">
      <c r="A2257" s="257" t="s">
        <v>13418</v>
      </c>
      <c r="B2257" s="257" t="s">
        <v>13418</v>
      </c>
    </row>
    <row r="2258">
      <c r="A2258" s="257" t="s">
        <v>1035</v>
      </c>
      <c r="B2258" s="257" t="s">
        <v>1035</v>
      </c>
    </row>
    <row r="2259">
      <c r="A2259" s="257" t="s">
        <v>13419</v>
      </c>
      <c r="B2259" s="257" t="s">
        <v>13419</v>
      </c>
    </row>
    <row r="2260">
      <c r="A2260" s="257" t="s">
        <v>13420</v>
      </c>
      <c r="B2260" s="257" t="s">
        <v>13420</v>
      </c>
    </row>
    <row r="2261">
      <c r="A2261" s="257" t="s">
        <v>13421</v>
      </c>
      <c r="B2261" s="257" t="s">
        <v>13421</v>
      </c>
    </row>
    <row r="2262">
      <c r="A2262" s="257" t="s">
        <v>13422</v>
      </c>
      <c r="B2262" s="257" t="s">
        <v>13422</v>
      </c>
    </row>
    <row r="2263">
      <c r="A2263" s="257" t="s">
        <v>13423</v>
      </c>
      <c r="B2263" s="257" t="s">
        <v>13423</v>
      </c>
    </row>
    <row r="2264">
      <c r="A2264" s="257" t="s">
        <v>13424</v>
      </c>
      <c r="B2264" s="257" t="s">
        <v>13425</v>
      </c>
    </row>
    <row r="2265">
      <c r="A2265" s="257" t="s">
        <v>13426</v>
      </c>
      <c r="B2265" s="257" t="s">
        <v>13426</v>
      </c>
    </row>
    <row r="2266">
      <c r="A2266" s="257" t="s">
        <v>13427</v>
      </c>
      <c r="B2266" s="257" t="s">
        <v>13427</v>
      </c>
    </row>
    <row r="2267">
      <c r="A2267" s="257" t="s">
        <v>13428</v>
      </c>
      <c r="B2267" s="257" t="s">
        <v>13428</v>
      </c>
    </row>
    <row r="2268">
      <c r="A2268" s="257" t="s">
        <v>9536</v>
      </c>
      <c r="B2268" s="257" t="s">
        <v>9536</v>
      </c>
    </row>
    <row r="2269">
      <c r="A2269" s="257" t="s">
        <v>13429</v>
      </c>
      <c r="B2269" s="257" t="s">
        <v>13429</v>
      </c>
    </row>
    <row r="2270">
      <c r="A2270" s="257" t="s">
        <v>13430</v>
      </c>
      <c r="B2270" s="257" t="s">
        <v>13430</v>
      </c>
    </row>
    <row r="2271">
      <c r="A2271" s="257" t="s">
        <v>13431</v>
      </c>
      <c r="B2271" s="257" t="s">
        <v>13431</v>
      </c>
    </row>
    <row r="2272">
      <c r="A2272" s="257" t="s">
        <v>2024</v>
      </c>
      <c r="B2272" s="257" t="s">
        <v>2024</v>
      </c>
    </row>
    <row r="2273">
      <c r="A2273" s="257" t="s">
        <v>13432</v>
      </c>
      <c r="B2273" s="257" t="s">
        <v>13432</v>
      </c>
    </row>
    <row r="2274">
      <c r="A2274" s="257" t="s">
        <v>13433</v>
      </c>
      <c r="B2274" s="257" t="s">
        <v>13433</v>
      </c>
    </row>
    <row r="2275">
      <c r="A2275" s="257" t="s">
        <v>13434</v>
      </c>
      <c r="B2275" s="257" t="s">
        <v>13434</v>
      </c>
    </row>
    <row r="2276">
      <c r="A2276" s="257" t="s">
        <v>13435</v>
      </c>
      <c r="B2276" s="257" t="s">
        <v>13435</v>
      </c>
    </row>
    <row r="2277">
      <c r="A2277" s="257" t="s">
        <v>13436</v>
      </c>
      <c r="B2277" s="257" t="s">
        <v>13436</v>
      </c>
    </row>
    <row r="2278">
      <c r="A2278" s="257" t="s">
        <v>13437</v>
      </c>
      <c r="B2278" s="257" t="s">
        <v>13437</v>
      </c>
    </row>
    <row r="2279">
      <c r="A2279" s="257" t="s">
        <v>13438</v>
      </c>
      <c r="B2279" s="257" t="s">
        <v>13438</v>
      </c>
    </row>
    <row r="2280">
      <c r="A2280" s="257" t="s">
        <v>13439</v>
      </c>
      <c r="B2280" s="257" t="s">
        <v>13439</v>
      </c>
    </row>
    <row r="2281">
      <c r="A2281" s="257" t="s">
        <v>13440</v>
      </c>
      <c r="B2281" s="257" t="s">
        <v>13440</v>
      </c>
    </row>
    <row r="2282">
      <c r="A2282" s="257" t="s">
        <v>13441</v>
      </c>
      <c r="B2282" s="257" t="s">
        <v>13441</v>
      </c>
    </row>
    <row r="2283">
      <c r="A2283" s="257" t="s">
        <v>13442</v>
      </c>
      <c r="B2283" s="257" t="s">
        <v>13442</v>
      </c>
    </row>
    <row r="2284">
      <c r="A2284" s="257" t="s">
        <v>13443</v>
      </c>
      <c r="B2284" s="257" t="s">
        <v>13443</v>
      </c>
    </row>
    <row r="2285">
      <c r="A2285" s="257" t="s">
        <v>13444</v>
      </c>
      <c r="B2285" s="257" t="s">
        <v>13444</v>
      </c>
    </row>
    <row r="2286">
      <c r="A2286" s="257" t="s">
        <v>13445</v>
      </c>
      <c r="B2286" s="257" t="s">
        <v>13445</v>
      </c>
    </row>
    <row r="2287">
      <c r="A2287" s="257" t="s">
        <v>2062</v>
      </c>
      <c r="B2287" s="257" t="s">
        <v>2062</v>
      </c>
    </row>
    <row r="2288">
      <c r="A2288" s="257" t="s">
        <v>13446</v>
      </c>
      <c r="B2288" s="257" t="s">
        <v>13446</v>
      </c>
    </row>
    <row r="2289">
      <c r="A2289" s="257" t="s">
        <v>6190</v>
      </c>
      <c r="B2289" s="257" t="s">
        <v>6190</v>
      </c>
    </row>
    <row r="2290">
      <c r="A2290" s="257" t="s">
        <v>13447</v>
      </c>
      <c r="B2290" s="257" t="s">
        <v>13447</v>
      </c>
    </row>
    <row r="2291">
      <c r="A2291" s="257" t="s">
        <v>13448</v>
      </c>
      <c r="B2291" s="257" t="s">
        <v>13448</v>
      </c>
    </row>
    <row r="2292">
      <c r="A2292" s="257" t="s">
        <v>13449</v>
      </c>
      <c r="B2292" s="257" t="s">
        <v>13449</v>
      </c>
    </row>
    <row r="2293">
      <c r="A2293" s="257" t="s">
        <v>13450</v>
      </c>
      <c r="B2293" s="257" t="s">
        <v>13450</v>
      </c>
    </row>
    <row r="2294">
      <c r="A2294" s="257" t="s">
        <v>2754</v>
      </c>
      <c r="B2294" s="257" t="s">
        <v>2754</v>
      </c>
    </row>
    <row r="2295">
      <c r="A2295" s="257" t="s">
        <v>13451</v>
      </c>
      <c r="B2295" s="257" t="s">
        <v>13452</v>
      </c>
    </row>
    <row r="2296">
      <c r="A2296" s="257" t="s">
        <v>13453</v>
      </c>
      <c r="B2296" s="257" t="s">
        <v>13453</v>
      </c>
    </row>
    <row r="2297">
      <c r="A2297" s="257" t="s">
        <v>13454</v>
      </c>
      <c r="B2297" s="257" t="s">
        <v>13454</v>
      </c>
    </row>
    <row r="2298">
      <c r="A2298" s="257" t="s">
        <v>13455</v>
      </c>
      <c r="B2298" s="257" t="s">
        <v>13455</v>
      </c>
    </row>
    <row r="2299">
      <c r="A2299" s="257" t="s">
        <v>13456</v>
      </c>
      <c r="B2299" s="257" t="s">
        <v>13456</v>
      </c>
    </row>
    <row r="2300">
      <c r="A2300" s="257" t="s">
        <v>13457</v>
      </c>
      <c r="B2300" s="257" t="s">
        <v>13457</v>
      </c>
    </row>
    <row r="2301">
      <c r="A2301" s="257" t="s">
        <v>13458</v>
      </c>
      <c r="B2301" s="257" t="s">
        <v>13458</v>
      </c>
    </row>
    <row r="2302">
      <c r="A2302" s="257" t="s">
        <v>13459</v>
      </c>
      <c r="B2302" s="257" t="s">
        <v>13459</v>
      </c>
    </row>
    <row r="2303">
      <c r="A2303" s="257" t="s">
        <v>13460</v>
      </c>
      <c r="B2303" s="257" t="s">
        <v>13460</v>
      </c>
    </row>
    <row r="2304">
      <c r="A2304" s="257" t="s">
        <v>10009</v>
      </c>
      <c r="B2304" s="257" t="s">
        <v>10009</v>
      </c>
    </row>
    <row r="2305">
      <c r="A2305" s="257" t="s">
        <v>13461</v>
      </c>
      <c r="B2305" s="257" t="s">
        <v>13461</v>
      </c>
    </row>
    <row r="2306">
      <c r="A2306" s="257" t="s">
        <v>13462</v>
      </c>
      <c r="B2306" s="257" t="s">
        <v>13462</v>
      </c>
    </row>
    <row r="2307">
      <c r="A2307" s="257" t="s">
        <v>13463</v>
      </c>
      <c r="B2307" s="257" t="s">
        <v>13463</v>
      </c>
    </row>
    <row r="2308">
      <c r="A2308" s="257" t="s">
        <v>9712</v>
      </c>
      <c r="B2308" s="257" t="s">
        <v>9712</v>
      </c>
    </row>
    <row r="2309">
      <c r="A2309" s="257" t="s">
        <v>13464</v>
      </c>
      <c r="B2309" s="257" t="s">
        <v>13464</v>
      </c>
    </row>
    <row r="2310">
      <c r="A2310" s="257" t="s">
        <v>13465</v>
      </c>
      <c r="B2310" s="257" t="s">
        <v>13465</v>
      </c>
    </row>
    <row r="2311">
      <c r="A2311" s="257" t="s">
        <v>13466</v>
      </c>
      <c r="B2311" s="257" t="s">
        <v>13466</v>
      </c>
    </row>
    <row r="2312">
      <c r="A2312" s="257" t="s">
        <v>10008</v>
      </c>
      <c r="B2312" s="257" t="s">
        <v>10008</v>
      </c>
    </row>
    <row r="2313">
      <c r="A2313" s="257" t="s">
        <v>13467</v>
      </c>
      <c r="B2313" s="257" t="s">
        <v>13467</v>
      </c>
    </row>
    <row r="2314">
      <c r="A2314" s="257" t="s">
        <v>11433</v>
      </c>
      <c r="B2314" s="257" t="s">
        <v>11433</v>
      </c>
    </row>
    <row r="2315">
      <c r="A2315" s="257" t="s">
        <v>13468</v>
      </c>
      <c r="B2315" s="257" t="s">
        <v>13468</v>
      </c>
    </row>
    <row r="2316">
      <c r="A2316" s="257" t="s">
        <v>13469</v>
      </c>
      <c r="B2316" s="257" t="s">
        <v>13469</v>
      </c>
    </row>
    <row r="2317">
      <c r="A2317" s="257" t="s">
        <v>5145</v>
      </c>
      <c r="B2317" s="257" t="s">
        <v>5145</v>
      </c>
    </row>
    <row r="2318">
      <c r="A2318" s="257" t="s">
        <v>5247</v>
      </c>
      <c r="B2318" s="257" t="s">
        <v>5247</v>
      </c>
    </row>
    <row r="2319">
      <c r="A2319" s="257" t="s">
        <v>13470</v>
      </c>
      <c r="B2319" s="257" t="s">
        <v>13470</v>
      </c>
    </row>
    <row r="2320">
      <c r="A2320" s="257" t="s">
        <v>13471</v>
      </c>
      <c r="B2320" s="257" t="s">
        <v>13471</v>
      </c>
    </row>
    <row r="2321">
      <c r="A2321" s="257" t="s">
        <v>13472</v>
      </c>
      <c r="B2321" s="257" t="s">
        <v>13472</v>
      </c>
    </row>
    <row r="2322">
      <c r="A2322" s="257" t="s">
        <v>13473</v>
      </c>
      <c r="B2322" s="257" t="s">
        <v>13473</v>
      </c>
    </row>
    <row r="2323">
      <c r="A2323" s="257" t="s">
        <v>13474</v>
      </c>
      <c r="B2323" s="257" t="s">
        <v>13474</v>
      </c>
    </row>
    <row r="2324">
      <c r="A2324" s="257" t="s">
        <v>13475</v>
      </c>
      <c r="B2324" s="257" t="s">
        <v>13475</v>
      </c>
    </row>
    <row r="2325">
      <c r="A2325" s="257" t="s">
        <v>13476</v>
      </c>
      <c r="B2325" s="257" t="s">
        <v>13476</v>
      </c>
    </row>
    <row r="2326">
      <c r="A2326" s="257" t="s">
        <v>13477</v>
      </c>
      <c r="B2326" s="257" t="s">
        <v>13477</v>
      </c>
    </row>
    <row r="2327">
      <c r="A2327" s="257" t="s">
        <v>13478</v>
      </c>
      <c r="B2327" s="257" t="s">
        <v>13478</v>
      </c>
    </row>
    <row r="2328">
      <c r="A2328" s="257" t="s">
        <v>13479</v>
      </c>
      <c r="B2328" s="257" t="s">
        <v>13479</v>
      </c>
    </row>
    <row r="2329">
      <c r="A2329" s="257" t="s">
        <v>13480</v>
      </c>
      <c r="B2329" s="257" t="s">
        <v>13480</v>
      </c>
    </row>
    <row r="2330">
      <c r="A2330" s="257" t="s">
        <v>13481</v>
      </c>
      <c r="B2330" s="257" t="s">
        <v>13481</v>
      </c>
    </row>
    <row r="2331">
      <c r="A2331" s="257" t="s">
        <v>13482</v>
      </c>
      <c r="B2331" s="257" t="s">
        <v>13482</v>
      </c>
    </row>
    <row r="2332">
      <c r="A2332" s="257" t="s">
        <v>13483</v>
      </c>
      <c r="B2332" s="257" t="s">
        <v>13483</v>
      </c>
    </row>
    <row r="2333">
      <c r="A2333" s="257" t="s">
        <v>13484</v>
      </c>
      <c r="B2333" s="257" t="s">
        <v>13484</v>
      </c>
    </row>
    <row r="2334">
      <c r="A2334" s="257" t="s">
        <v>13485</v>
      </c>
      <c r="B2334" s="257" t="s">
        <v>13485</v>
      </c>
    </row>
    <row r="2335">
      <c r="A2335" s="257" t="s">
        <v>13486</v>
      </c>
      <c r="B2335" s="257" t="s">
        <v>13486</v>
      </c>
    </row>
    <row r="2336">
      <c r="A2336" s="257" t="s">
        <v>13487</v>
      </c>
      <c r="B2336" s="257" t="s">
        <v>13487</v>
      </c>
    </row>
    <row r="2337">
      <c r="A2337" s="257" t="s">
        <v>13488</v>
      </c>
      <c r="B2337" s="257" t="s">
        <v>13488</v>
      </c>
    </row>
    <row r="2338">
      <c r="A2338" s="257" t="s">
        <v>9412</v>
      </c>
      <c r="B2338" s="257" t="s">
        <v>9412</v>
      </c>
    </row>
    <row r="2339">
      <c r="A2339" s="257" t="s">
        <v>13489</v>
      </c>
      <c r="B2339" s="257" t="s">
        <v>13489</v>
      </c>
    </row>
    <row r="2340">
      <c r="A2340" s="257" t="s">
        <v>13490</v>
      </c>
      <c r="B2340" s="257" t="s">
        <v>13490</v>
      </c>
    </row>
    <row r="2341">
      <c r="A2341" s="257" t="s">
        <v>5271</v>
      </c>
      <c r="B2341" s="257" t="s">
        <v>5271</v>
      </c>
    </row>
    <row r="2342">
      <c r="A2342" s="257" t="s">
        <v>5261</v>
      </c>
      <c r="B2342" s="257" t="s">
        <v>5261</v>
      </c>
    </row>
    <row r="2343">
      <c r="A2343" s="257" t="s">
        <v>13491</v>
      </c>
      <c r="B2343" s="257" t="s">
        <v>13491</v>
      </c>
    </row>
    <row r="2344">
      <c r="A2344" s="257" t="s">
        <v>13492</v>
      </c>
      <c r="B2344" s="257" t="s">
        <v>13492</v>
      </c>
    </row>
    <row r="2345">
      <c r="A2345" s="257" t="s">
        <v>2056</v>
      </c>
      <c r="B2345" s="257" t="s">
        <v>2056</v>
      </c>
    </row>
    <row r="2346">
      <c r="A2346" s="257" t="s">
        <v>13493</v>
      </c>
      <c r="B2346" s="257" t="s">
        <v>13493</v>
      </c>
    </row>
    <row r="2347">
      <c r="A2347" s="257" t="s">
        <v>13494</v>
      </c>
      <c r="B2347" s="257" t="s">
        <v>13494</v>
      </c>
    </row>
    <row r="2348">
      <c r="A2348" s="257" t="s">
        <v>2018</v>
      </c>
      <c r="B2348" s="257" t="s">
        <v>2018</v>
      </c>
    </row>
    <row r="2349">
      <c r="A2349" s="257" t="s">
        <v>13495</v>
      </c>
      <c r="B2349" s="257" t="s">
        <v>13495</v>
      </c>
    </row>
    <row r="2350">
      <c r="A2350" s="257" t="s">
        <v>13496</v>
      </c>
      <c r="B2350" s="257" t="s">
        <v>13496</v>
      </c>
    </row>
    <row r="2351">
      <c r="A2351" s="257" t="s">
        <v>13497</v>
      </c>
      <c r="B2351" s="257" t="s">
        <v>13497</v>
      </c>
    </row>
    <row r="2352">
      <c r="A2352" s="257" t="s">
        <v>13498</v>
      </c>
      <c r="B2352" s="257" t="s">
        <v>13498</v>
      </c>
    </row>
    <row r="2353">
      <c r="A2353" s="257" t="s">
        <v>2025</v>
      </c>
      <c r="B2353" s="257" t="s">
        <v>2025</v>
      </c>
    </row>
    <row r="2354">
      <c r="A2354" s="257" t="s">
        <v>9405</v>
      </c>
      <c r="B2354" s="257" t="s">
        <v>9405</v>
      </c>
    </row>
    <row r="2355">
      <c r="A2355" s="257" t="s">
        <v>13499</v>
      </c>
      <c r="B2355" s="257" t="s">
        <v>13500</v>
      </c>
    </row>
    <row r="2356">
      <c r="A2356" s="257" t="s">
        <v>13501</v>
      </c>
      <c r="B2356" s="257" t="s">
        <v>13501</v>
      </c>
    </row>
    <row r="2357">
      <c r="A2357" s="257" t="s">
        <v>13502</v>
      </c>
      <c r="B2357" s="257" t="s">
        <v>13502</v>
      </c>
    </row>
    <row r="2358">
      <c r="A2358" s="257" t="s">
        <v>13503</v>
      </c>
      <c r="B2358" s="257" t="s">
        <v>13503</v>
      </c>
    </row>
    <row r="2359">
      <c r="A2359" s="257" t="s">
        <v>13504</v>
      </c>
      <c r="B2359" s="257" t="s">
        <v>13504</v>
      </c>
    </row>
    <row r="2360">
      <c r="A2360" s="257" t="s">
        <v>13505</v>
      </c>
      <c r="B2360" s="257" t="s">
        <v>13505</v>
      </c>
    </row>
    <row r="2361">
      <c r="A2361" s="257" t="s">
        <v>2069</v>
      </c>
      <c r="B2361" s="257" t="s">
        <v>2069</v>
      </c>
    </row>
    <row r="2362">
      <c r="A2362" s="257" t="s">
        <v>5879</v>
      </c>
      <c r="B2362" s="257" t="s">
        <v>5879</v>
      </c>
    </row>
    <row r="2363">
      <c r="A2363" s="257" t="s">
        <v>13506</v>
      </c>
      <c r="B2363" s="257" t="s">
        <v>13506</v>
      </c>
    </row>
    <row r="2364">
      <c r="A2364" s="257" t="s">
        <v>13507</v>
      </c>
      <c r="B2364" s="257" t="s">
        <v>13507</v>
      </c>
    </row>
    <row r="2365">
      <c r="A2365" s="257" t="s">
        <v>13406</v>
      </c>
      <c r="B2365" s="257" t="s">
        <v>13406</v>
      </c>
    </row>
    <row r="2366">
      <c r="A2366" s="257" t="s">
        <v>13508</v>
      </c>
      <c r="B2366" s="257" t="s">
        <v>13508</v>
      </c>
    </row>
    <row r="2367">
      <c r="A2367" s="257" t="s">
        <v>13509</v>
      </c>
      <c r="B2367" s="257" t="s">
        <v>13509</v>
      </c>
    </row>
    <row r="2368">
      <c r="A2368" s="257" t="s">
        <v>13510</v>
      </c>
      <c r="B2368" s="257" t="s">
        <v>13510</v>
      </c>
    </row>
    <row r="2369">
      <c r="A2369" s="257" t="s">
        <v>13511</v>
      </c>
      <c r="B2369" s="257" t="s">
        <v>13511</v>
      </c>
    </row>
    <row r="2370">
      <c r="A2370" s="257" t="s">
        <v>13512</v>
      </c>
      <c r="B2370" s="257" t="s">
        <v>13512</v>
      </c>
    </row>
    <row r="2371">
      <c r="A2371" s="257" t="s">
        <v>13513</v>
      </c>
      <c r="B2371" s="257" t="s">
        <v>13513</v>
      </c>
    </row>
    <row r="2372">
      <c r="A2372" s="257" t="s">
        <v>13514</v>
      </c>
      <c r="B2372" s="257" t="s">
        <v>13514</v>
      </c>
    </row>
    <row r="2373">
      <c r="A2373" s="257" t="s">
        <v>13515</v>
      </c>
      <c r="B2373" s="257" t="s">
        <v>13515</v>
      </c>
    </row>
    <row r="2374">
      <c r="A2374" s="257" t="s">
        <v>13516</v>
      </c>
      <c r="B2374" s="257" t="s">
        <v>13516</v>
      </c>
    </row>
    <row r="2375">
      <c r="A2375" s="257" t="s">
        <v>6446</v>
      </c>
      <c r="B2375" s="257" t="s">
        <v>6446</v>
      </c>
    </row>
    <row r="2376">
      <c r="A2376" s="257" t="s">
        <v>13517</v>
      </c>
      <c r="B2376" s="257" t="s">
        <v>13517</v>
      </c>
    </row>
    <row r="2377">
      <c r="A2377" s="257" t="s">
        <v>13518</v>
      </c>
      <c r="B2377" s="257" t="s">
        <v>13518</v>
      </c>
    </row>
    <row r="2378">
      <c r="A2378" s="257" t="s">
        <v>13519</v>
      </c>
      <c r="B2378" s="257" t="s">
        <v>13519</v>
      </c>
    </row>
    <row r="2379">
      <c r="A2379" s="257" t="s">
        <v>13520</v>
      </c>
      <c r="B2379" s="257" t="s">
        <v>13520</v>
      </c>
    </row>
    <row r="2380">
      <c r="A2380" s="257" t="s">
        <v>13521</v>
      </c>
      <c r="B2380" s="257" t="s">
        <v>13521</v>
      </c>
    </row>
    <row r="2381">
      <c r="A2381" s="257" t="s">
        <v>13358</v>
      </c>
      <c r="B2381" s="257" t="s">
        <v>13358</v>
      </c>
    </row>
    <row r="2382">
      <c r="A2382" s="257" t="s">
        <v>13522</v>
      </c>
      <c r="B2382" s="257" t="s">
        <v>13522</v>
      </c>
    </row>
    <row r="2383">
      <c r="A2383" s="257" t="s">
        <v>13523</v>
      </c>
      <c r="B2383" s="257" t="s">
        <v>13523</v>
      </c>
    </row>
    <row r="2384">
      <c r="A2384" s="257" t="s">
        <v>13524</v>
      </c>
      <c r="B2384" s="257" t="s">
        <v>13525</v>
      </c>
    </row>
    <row r="2385">
      <c r="A2385" s="257" t="s">
        <v>13376</v>
      </c>
      <c r="B2385" s="257" t="s">
        <v>13376</v>
      </c>
    </row>
    <row r="2386">
      <c r="A2386" s="257" t="s">
        <v>13526</v>
      </c>
      <c r="B2386" s="257" t="s">
        <v>13526</v>
      </c>
    </row>
    <row r="2387">
      <c r="A2387" s="257" t="s">
        <v>13527</v>
      </c>
      <c r="B2387" s="257" t="s">
        <v>13527</v>
      </c>
    </row>
    <row r="2388">
      <c r="A2388" s="257" t="s">
        <v>13528</v>
      </c>
      <c r="B2388" s="257" t="s">
        <v>13528</v>
      </c>
    </row>
    <row r="2389">
      <c r="A2389" s="257" t="s">
        <v>13529</v>
      </c>
      <c r="B2389" s="257" t="s">
        <v>13529</v>
      </c>
    </row>
    <row r="2390">
      <c r="A2390" s="257" t="s">
        <v>13530</v>
      </c>
      <c r="B2390" s="257" t="s">
        <v>13530</v>
      </c>
    </row>
    <row r="2391">
      <c r="A2391" s="257" t="s">
        <v>13531</v>
      </c>
      <c r="B2391" s="257" t="s">
        <v>13531</v>
      </c>
    </row>
    <row r="2392">
      <c r="A2392" s="257" t="s">
        <v>13532</v>
      </c>
      <c r="B2392" s="257" t="s">
        <v>13532</v>
      </c>
    </row>
    <row r="2393">
      <c r="A2393" s="257" t="s">
        <v>13533</v>
      </c>
      <c r="B2393" s="257" t="s">
        <v>13533</v>
      </c>
    </row>
    <row r="2394">
      <c r="A2394" s="257" t="s">
        <v>13534</v>
      </c>
      <c r="B2394" s="257" t="s">
        <v>13534</v>
      </c>
    </row>
    <row r="2395">
      <c r="A2395" s="257" t="s">
        <v>13535</v>
      </c>
      <c r="B2395" s="257" t="s">
        <v>13535</v>
      </c>
    </row>
    <row r="2396">
      <c r="A2396" s="257" t="s">
        <v>13536</v>
      </c>
      <c r="B2396" s="257" t="s">
        <v>13536</v>
      </c>
    </row>
    <row r="2397">
      <c r="A2397" s="257" t="s">
        <v>13537</v>
      </c>
      <c r="B2397" s="257" t="s">
        <v>13537</v>
      </c>
    </row>
    <row r="2398">
      <c r="A2398" s="257" t="s">
        <v>13538</v>
      </c>
      <c r="B2398" s="257" t="s">
        <v>13538</v>
      </c>
    </row>
    <row r="2399">
      <c r="A2399" s="257" t="s">
        <v>13539</v>
      </c>
      <c r="B2399" s="257" t="s">
        <v>13539</v>
      </c>
    </row>
    <row r="2400">
      <c r="A2400" s="257" t="s">
        <v>13540</v>
      </c>
      <c r="B2400" s="257" t="s">
        <v>13540</v>
      </c>
    </row>
    <row r="2401">
      <c r="A2401" s="257" t="s">
        <v>13541</v>
      </c>
      <c r="B2401" s="257" t="s">
        <v>13541</v>
      </c>
    </row>
    <row r="2402">
      <c r="A2402" s="257" t="s">
        <v>5275</v>
      </c>
      <c r="B2402" s="257" t="s">
        <v>5275</v>
      </c>
    </row>
    <row r="2403">
      <c r="A2403" s="257" t="s">
        <v>13542</v>
      </c>
      <c r="B2403" s="257" t="s">
        <v>13542</v>
      </c>
    </row>
    <row r="2404">
      <c r="A2404" s="257" t="s">
        <v>13543</v>
      </c>
      <c r="B2404" s="257" t="s">
        <v>13543</v>
      </c>
    </row>
    <row r="2405">
      <c r="A2405" s="257" t="s">
        <v>13544</v>
      </c>
      <c r="B2405" s="257" t="s">
        <v>13544</v>
      </c>
    </row>
    <row r="2406">
      <c r="A2406" s="257" t="s">
        <v>13545</v>
      </c>
      <c r="B2406" s="257" t="s">
        <v>13545</v>
      </c>
    </row>
    <row r="2407">
      <c r="A2407" s="257" t="s">
        <v>13546</v>
      </c>
      <c r="B2407" s="257" t="s">
        <v>13546</v>
      </c>
    </row>
    <row r="2408">
      <c r="A2408" s="257" t="s">
        <v>13547</v>
      </c>
      <c r="B2408" s="257" t="s">
        <v>13548</v>
      </c>
    </row>
    <row r="2409">
      <c r="A2409" s="257" t="s">
        <v>13549</v>
      </c>
      <c r="B2409" s="257" t="s">
        <v>13549</v>
      </c>
    </row>
    <row r="2410">
      <c r="A2410" s="257" t="s">
        <v>13550</v>
      </c>
      <c r="B2410" s="257" t="s">
        <v>13550</v>
      </c>
    </row>
    <row r="2411">
      <c r="A2411" s="257" t="s">
        <v>13551</v>
      </c>
      <c r="B2411" s="257" t="s">
        <v>13551</v>
      </c>
    </row>
    <row r="2412">
      <c r="A2412" s="257" t="s">
        <v>13552</v>
      </c>
      <c r="B2412" s="257" t="s">
        <v>13552</v>
      </c>
    </row>
    <row r="2413">
      <c r="A2413" s="257" t="s">
        <v>13553</v>
      </c>
      <c r="B2413" s="257" t="s">
        <v>13553</v>
      </c>
    </row>
    <row r="2414">
      <c r="A2414" s="257" t="s">
        <v>13554</v>
      </c>
      <c r="B2414" s="257" t="s">
        <v>13555</v>
      </c>
    </row>
    <row r="2415">
      <c r="A2415" s="257" t="s">
        <v>13556</v>
      </c>
      <c r="B2415" s="257" t="s">
        <v>13556</v>
      </c>
    </row>
    <row r="2416">
      <c r="A2416" s="257" t="s">
        <v>13557</v>
      </c>
      <c r="B2416" s="257" t="s">
        <v>13557</v>
      </c>
    </row>
    <row r="2417">
      <c r="A2417" s="257" t="s">
        <v>13558</v>
      </c>
      <c r="B2417" s="257" t="s">
        <v>13558</v>
      </c>
    </row>
    <row r="2418">
      <c r="A2418" s="257" t="s">
        <v>13559</v>
      </c>
      <c r="B2418" s="257" t="s">
        <v>13559</v>
      </c>
    </row>
    <row r="2419">
      <c r="A2419" s="257" t="s">
        <v>13560</v>
      </c>
      <c r="B2419" s="257" t="s">
        <v>13560</v>
      </c>
    </row>
    <row r="2420">
      <c r="A2420" s="257" t="s">
        <v>13561</v>
      </c>
      <c r="B2420" s="257" t="s">
        <v>13561</v>
      </c>
    </row>
    <row r="2421">
      <c r="A2421" s="257" t="s">
        <v>13562</v>
      </c>
      <c r="B2421" s="257" t="s">
        <v>13562</v>
      </c>
    </row>
    <row r="2422">
      <c r="A2422" s="257" t="s">
        <v>13563</v>
      </c>
      <c r="B2422" s="257" t="s">
        <v>13563</v>
      </c>
    </row>
    <row r="2423">
      <c r="A2423" s="257" t="s">
        <v>13564</v>
      </c>
      <c r="B2423" s="257" t="s">
        <v>13564</v>
      </c>
    </row>
    <row r="2424">
      <c r="A2424" s="257" t="s">
        <v>13565</v>
      </c>
      <c r="B2424" s="257" t="s">
        <v>13565</v>
      </c>
    </row>
    <row r="2425">
      <c r="A2425" s="257" t="s">
        <v>13566</v>
      </c>
      <c r="B2425" s="257" t="s">
        <v>13566</v>
      </c>
    </row>
    <row r="2426">
      <c r="A2426" s="257" t="s">
        <v>13567</v>
      </c>
      <c r="B2426" s="257" t="s">
        <v>13567</v>
      </c>
    </row>
    <row r="2427">
      <c r="A2427" s="257" t="s">
        <v>13568</v>
      </c>
      <c r="B2427" s="257" t="s">
        <v>13568</v>
      </c>
    </row>
    <row r="2428">
      <c r="A2428" s="257" t="s">
        <v>13569</v>
      </c>
      <c r="B2428" s="257" t="s">
        <v>13569</v>
      </c>
    </row>
    <row r="2429">
      <c r="A2429" s="257" t="s">
        <v>13570</v>
      </c>
      <c r="B2429" s="257" t="s">
        <v>13570</v>
      </c>
    </row>
    <row r="2430">
      <c r="A2430" s="257" t="s">
        <v>13571</v>
      </c>
      <c r="B2430" s="257" t="s">
        <v>13571</v>
      </c>
    </row>
    <row r="2431">
      <c r="A2431" s="257" t="s">
        <v>2026</v>
      </c>
      <c r="B2431" s="257" t="s">
        <v>2026</v>
      </c>
    </row>
    <row r="2432">
      <c r="A2432" s="257" t="s">
        <v>2079</v>
      </c>
      <c r="B2432" s="257" t="s">
        <v>2079</v>
      </c>
    </row>
    <row r="2433">
      <c r="A2433" s="257" t="s">
        <v>13572</v>
      </c>
      <c r="B2433" s="257" t="s">
        <v>13572</v>
      </c>
    </row>
    <row r="2434">
      <c r="A2434" s="257" t="s">
        <v>13573</v>
      </c>
      <c r="B2434" s="257" t="s">
        <v>13573</v>
      </c>
    </row>
    <row r="2435">
      <c r="A2435" s="257" t="s">
        <v>13574</v>
      </c>
      <c r="B2435" s="257" t="s">
        <v>13574</v>
      </c>
    </row>
    <row r="2436">
      <c r="A2436" s="257" t="s">
        <v>13575</v>
      </c>
      <c r="B2436" s="257" t="s">
        <v>13575</v>
      </c>
    </row>
    <row r="2437">
      <c r="A2437" s="257" t="s">
        <v>13576</v>
      </c>
      <c r="B2437" s="257" t="s">
        <v>13576</v>
      </c>
    </row>
    <row r="2438">
      <c r="A2438" s="257" t="s">
        <v>13577</v>
      </c>
      <c r="B2438" s="257" t="s">
        <v>13577</v>
      </c>
    </row>
    <row r="2439">
      <c r="A2439" s="257" t="s">
        <v>13578</v>
      </c>
      <c r="B2439" s="257" t="s">
        <v>13578</v>
      </c>
    </row>
    <row r="2440">
      <c r="A2440" s="257" t="s">
        <v>13579</v>
      </c>
      <c r="B2440" s="257" t="s">
        <v>13579</v>
      </c>
    </row>
    <row r="2441">
      <c r="A2441" s="257" t="s">
        <v>13580</v>
      </c>
      <c r="B2441" s="257" t="s">
        <v>13581</v>
      </c>
    </row>
    <row r="2442">
      <c r="A2442" s="257" t="s">
        <v>2009</v>
      </c>
      <c r="B2442" s="257" t="s">
        <v>2009</v>
      </c>
    </row>
    <row r="2443">
      <c r="A2443" s="257" t="s">
        <v>13582</v>
      </c>
      <c r="B2443" s="257" t="s">
        <v>13583</v>
      </c>
    </row>
    <row r="2444">
      <c r="A2444" s="257" t="s">
        <v>13584</v>
      </c>
      <c r="B2444" s="257" t="s">
        <v>13584</v>
      </c>
    </row>
    <row r="2445">
      <c r="A2445" s="257" t="s">
        <v>13585</v>
      </c>
      <c r="B2445" s="257" t="s">
        <v>13434</v>
      </c>
    </row>
    <row r="2446">
      <c r="A2446" s="257" t="s">
        <v>13586</v>
      </c>
      <c r="B2446" s="257" t="s">
        <v>13587</v>
      </c>
    </row>
    <row r="2447">
      <c r="A2447" s="257" t="s">
        <v>2059</v>
      </c>
      <c r="B2447" s="257" t="s">
        <v>2059</v>
      </c>
    </row>
    <row r="2448">
      <c r="A2448" s="257" t="s">
        <v>13588</v>
      </c>
      <c r="B2448" s="257" t="s">
        <v>13588</v>
      </c>
    </row>
    <row r="2449">
      <c r="A2449" s="257" t="s">
        <v>13589</v>
      </c>
      <c r="B2449" s="257" t="s">
        <v>13589</v>
      </c>
    </row>
    <row r="2450">
      <c r="A2450" s="257" t="s">
        <v>13590</v>
      </c>
      <c r="B2450" s="257" t="s">
        <v>13590</v>
      </c>
    </row>
    <row r="2451">
      <c r="A2451" s="257" t="s">
        <v>2033</v>
      </c>
      <c r="B2451" s="257" t="s">
        <v>2033</v>
      </c>
    </row>
    <row r="2452">
      <c r="A2452" s="257" t="s">
        <v>13591</v>
      </c>
      <c r="B2452" s="257" t="s">
        <v>13592</v>
      </c>
    </row>
    <row r="2453">
      <c r="A2453" s="257" t="s">
        <v>13593</v>
      </c>
      <c r="B2453" s="257" t="s">
        <v>13594</v>
      </c>
    </row>
    <row r="2454">
      <c r="A2454" s="257" t="s">
        <v>13595</v>
      </c>
      <c r="B2454" s="257" t="s">
        <v>13595</v>
      </c>
    </row>
    <row r="2455">
      <c r="A2455" s="257" t="s">
        <v>13596</v>
      </c>
      <c r="B2455" s="257" t="s">
        <v>13401</v>
      </c>
    </row>
    <row r="2456">
      <c r="A2456" s="257" t="s">
        <v>13597</v>
      </c>
      <c r="B2456" s="257" t="s">
        <v>13597</v>
      </c>
    </row>
    <row r="2457">
      <c r="A2457" s="257" t="s">
        <v>13598</v>
      </c>
      <c r="B2457" s="257" t="s">
        <v>13598</v>
      </c>
    </row>
    <row r="2458">
      <c r="A2458" s="257" t="s">
        <v>13599</v>
      </c>
      <c r="B2458" s="257" t="s">
        <v>13600</v>
      </c>
    </row>
    <row r="2459">
      <c r="A2459" s="257" t="s">
        <v>13601</v>
      </c>
      <c r="B2459" s="257" t="s">
        <v>13601</v>
      </c>
    </row>
    <row r="2460">
      <c r="A2460" s="257" t="s">
        <v>13602</v>
      </c>
      <c r="B2460" s="257" t="s">
        <v>13602</v>
      </c>
    </row>
    <row r="2461">
      <c r="A2461" s="257" t="s">
        <v>13603</v>
      </c>
      <c r="B2461" s="257" t="s">
        <v>13603</v>
      </c>
    </row>
    <row r="2462">
      <c r="A2462" s="257" t="s">
        <v>13604</v>
      </c>
      <c r="B2462" s="257" t="s">
        <v>13605</v>
      </c>
    </row>
    <row r="2463">
      <c r="A2463" s="257" t="s">
        <v>13606</v>
      </c>
      <c r="B2463" s="257" t="s">
        <v>13606</v>
      </c>
    </row>
    <row r="2464">
      <c r="A2464" s="257" t="s">
        <v>13607</v>
      </c>
      <c r="B2464" s="257" t="s">
        <v>13608</v>
      </c>
    </row>
    <row r="2465">
      <c r="A2465" s="257" t="s">
        <v>13609</v>
      </c>
      <c r="B2465" s="257" t="s">
        <v>13609</v>
      </c>
    </row>
    <row r="2466">
      <c r="A2466" s="257" t="s">
        <v>13610</v>
      </c>
      <c r="B2466" s="257" t="s">
        <v>13610</v>
      </c>
    </row>
    <row r="2467">
      <c r="A2467" s="257" t="s">
        <v>13611</v>
      </c>
      <c r="B2467" s="257" t="s">
        <v>13611</v>
      </c>
    </row>
    <row r="2468">
      <c r="A2468" s="257" t="s">
        <v>13612</v>
      </c>
      <c r="B2468" s="257" t="s">
        <v>13612</v>
      </c>
    </row>
    <row r="2469">
      <c r="A2469" s="257" t="s">
        <v>5249</v>
      </c>
      <c r="B2469" s="257" t="s">
        <v>5249</v>
      </c>
    </row>
    <row r="2470">
      <c r="A2470" s="257" t="s">
        <v>13613</v>
      </c>
      <c r="B2470" s="257" t="s">
        <v>13613</v>
      </c>
    </row>
    <row r="2471">
      <c r="A2471" s="257" t="s">
        <v>13500</v>
      </c>
      <c r="B2471" s="257" t="s">
        <v>13500</v>
      </c>
    </row>
    <row r="2472">
      <c r="A2472" s="257" t="s">
        <v>13614</v>
      </c>
      <c r="B2472" s="257" t="s">
        <v>13614</v>
      </c>
    </row>
    <row r="2473">
      <c r="A2473" s="257" t="s">
        <v>13615</v>
      </c>
      <c r="B2473" s="257" t="s">
        <v>13615</v>
      </c>
    </row>
    <row r="2474">
      <c r="A2474" s="257" t="s">
        <v>13616</v>
      </c>
      <c r="B2474" s="257" t="s">
        <v>13616</v>
      </c>
    </row>
    <row r="2475">
      <c r="A2475" s="257" t="s">
        <v>2080</v>
      </c>
      <c r="B2475" s="257" t="s">
        <v>2080</v>
      </c>
    </row>
    <row r="2476">
      <c r="A2476" s="257" t="s">
        <v>13617</v>
      </c>
      <c r="B2476" s="257" t="s">
        <v>13617</v>
      </c>
    </row>
    <row r="2477">
      <c r="A2477" s="257" t="s">
        <v>13618</v>
      </c>
      <c r="B2477" s="257" t="s">
        <v>13618</v>
      </c>
    </row>
    <row r="2478">
      <c r="A2478" s="257" t="s">
        <v>13619</v>
      </c>
      <c r="B2478" s="257" t="s">
        <v>13619</v>
      </c>
    </row>
    <row r="2479">
      <c r="A2479" s="257" t="s">
        <v>2057</v>
      </c>
      <c r="B2479" s="257" t="s">
        <v>2057</v>
      </c>
    </row>
    <row r="2480">
      <c r="A2480" s="257" t="s">
        <v>13620</v>
      </c>
      <c r="B2480" s="257" t="s">
        <v>13620</v>
      </c>
    </row>
    <row r="2481">
      <c r="A2481" s="257" t="s">
        <v>6447</v>
      </c>
      <c r="B2481" s="257" t="s">
        <v>6447</v>
      </c>
    </row>
    <row r="2482">
      <c r="A2482" s="257" t="s">
        <v>13621</v>
      </c>
      <c r="B2482" s="257" t="s">
        <v>13621</v>
      </c>
    </row>
    <row r="2483">
      <c r="A2483" s="257" t="s">
        <v>13622</v>
      </c>
      <c r="B2483" s="257" t="s">
        <v>13622</v>
      </c>
    </row>
    <row r="2484">
      <c r="A2484" s="257" t="s">
        <v>13623</v>
      </c>
      <c r="B2484" s="257" t="s">
        <v>13623</v>
      </c>
    </row>
    <row r="2485">
      <c r="A2485" s="257" t="s">
        <v>13624</v>
      </c>
      <c r="B2485" s="257" t="s">
        <v>13624</v>
      </c>
    </row>
    <row r="2486">
      <c r="A2486" s="257" t="s">
        <v>13625</v>
      </c>
      <c r="B2486" s="257" t="s">
        <v>13625</v>
      </c>
    </row>
    <row r="2487">
      <c r="A2487" s="257" t="s">
        <v>13626</v>
      </c>
      <c r="B2487" s="257" t="s">
        <v>13626</v>
      </c>
    </row>
    <row r="2488">
      <c r="A2488" s="257" t="s">
        <v>13627</v>
      </c>
      <c r="B2488" s="257" t="s">
        <v>13627</v>
      </c>
    </row>
    <row r="2489">
      <c r="A2489" s="257" t="s">
        <v>13628</v>
      </c>
      <c r="B2489" s="257" t="s">
        <v>13628</v>
      </c>
    </row>
    <row r="2490">
      <c r="A2490" s="257" t="s">
        <v>13629</v>
      </c>
      <c r="B2490" s="257" t="s">
        <v>13629</v>
      </c>
    </row>
    <row r="2491">
      <c r="A2491" s="257" t="s">
        <v>13630</v>
      </c>
      <c r="B2491" s="257" t="s">
        <v>13630</v>
      </c>
    </row>
    <row r="2492">
      <c r="A2492" s="257" t="s">
        <v>5260</v>
      </c>
      <c r="B2492" s="257" t="s">
        <v>5260</v>
      </c>
    </row>
    <row r="2493">
      <c r="A2493" s="257" t="s">
        <v>13631</v>
      </c>
      <c r="B2493" s="257" t="s">
        <v>13631</v>
      </c>
    </row>
    <row r="2494">
      <c r="A2494" s="257" t="s">
        <v>13632</v>
      </c>
      <c r="B2494" s="257" t="s">
        <v>13632</v>
      </c>
    </row>
    <row r="2495">
      <c r="A2495" s="257" t="s">
        <v>13633</v>
      </c>
      <c r="B2495" s="257" t="s">
        <v>13633</v>
      </c>
    </row>
    <row r="2496">
      <c r="A2496" s="257" t="s">
        <v>5248</v>
      </c>
      <c r="B2496" s="257" t="s">
        <v>5248</v>
      </c>
    </row>
    <row r="2497">
      <c r="A2497" s="257" t="s">
        <v>13634</v>
      </c>
      <c r="B2497" s="257" t="s">
        <v>13634</v>
      </c>
    </row>
    <row r="2498">
      <c r="A2498" s="257" t="s">
        <v>13635</v>
      </c>
      <c r="B2498" s="257" t="s">
        <v>13635</v>
      </c>
    </row>
    <row r="2499">
      <c r="A2499" s="257" t="s">
        <v>13636</v>
      </c>
      <c r="B2499" s="257" t="s">
        <v>13636</v>
      </c>
    </row>
    <row r="2500">
      <c r="A2500" s="257" t="s">
        <v>13637</v>
      </c>
      <c r="B2500" s="257" t="s">
        <v>13637</v>
      </c>
    </row>
    <row r="2501">
      <c r="A2501" s="257" t="s">
        <v>13638</v>
      </c>
      <c r="B2501" s="257" t="s">
        <v>13638</v>
      </c>
    </row>
    <row r="2502">
      <c r="A2502" s="257" t="s">
        <v>13639</v>
      </c>
      <c r="B2502" s="257" t="s">
        <v>13639</v>
      </c>
    </row>
    <row r="2503">
      <c r="A2503" s="257" t="s">
        <v>13640</v>
      </c>
      <c r="B2503" s="257" t="s">
        <v>13487</v>
      </c>
    </row>
    <row r="2504">
      <c r="A2504" s="257" t="s">
        <v>13641</v>
      </c>
      <c r="B2504" s="257" t="s">
        <v>13641</v>
      </c>
    </row>
    <row r="2505">
      <c r="A2505" s="257" t="s">
        <v>13642</v>
      </c>
      <c r="B2505" s="257" t="s">
        <v>13642</v>
      </c>
    </row>
    <row r="2506">
      <c r="A2506" s="257" t="s">
        <v>13643</v>
      </c>
      <c r="B2506" s="257" t="s">
        <v>13643</v>
      </c>
    </row>
    <row r="2507">
      <c r="A2507" s="257" t="s">
        <v>13644</v>
      </c>
      <c r="B2507" s="257" t="s">
        <v>13644</v>
      </c>
    </row>
    <row r="2508">
      <c r="A2508" s="257" t="s">
        <v>13645</v>
      </c>
      <c r="B2508" s="257" t="s">
        <v>13645</v>
      </c>
    </row>
    <row r="2509">
      <c r="A2509" s="257" t="s">
        <v>13646</v>
      </c>
      <c r="B2509" s="257" t="s">
        <v>13646</v>
      </c>
    </row>
    <row r="2510">
      <c r="A2510" s="257" t="s">
        <v>13647</v>
      </c>
      <c r="B2510" s="257" t="s">
        <v>13647</v>
      </c>
    </row>
    <row r="2511">
      <c r="A2511" s="257" t="s">
        <v>13648</v>
      </c>
      <c r="B2511" s="257" t="s">
        <v>13648</v>
      </c>
    </row>
    <row r="2512">
      <c r="A2512" s="257" t="s">
        <v>13649</v>
      </c>
      <c r="B2512" s="257" t="s">
        <v>13649</v>
      </c>
    </row>
    <row r="2513">
      <c r="A2513" s="257" t="s">
        <v>13650</v>
      </c>
      <c r="B2513" s="257" t="s">
        <v>13650</v>
      </c>
    </row>
    <row r="2514">
      <c r="A2514" s="257" t="s">
        <v>13651</v>
      </c>
      <c r="B2514" s="257" t="s">
        <v>13651</v>
      </c>
    </row>
    <row r="2515">
      <c r="A2515" s="257" t="s">
        <v>13652</v>
      </c>
      <c r="B2515" s="257" t="s">
        <v>13652</v>
      </c>
    </row>
    <row r="2516">
      <c r="A2516" s="257" t="s">
        <v>13653</v>
      </c>
      <c r="B2516" s="257" t="s">
        <v>13653</v>
      </c>
    </row>
    <row r="2517">
      <c r="A2517" s="257" t="s">
        <v>13654</v>
      </c>
      <c r="B2517" s="257" t="s">
        <v>13654</v>
      </c>
    </row>
    <row r="2518">
      <c r="A2518" s="257" t="s">
        <v>13655</v>
      </c>
      <c r="B2518" s="257" t="s">
        <v>13655</v>
      </c>
    </row>
    <row r="2519">
      <c r="A2519" s="257" t="s">
        <v>13656</v>
      </c>
      <c r="B2519" s="257" t="s">
        <v>13656</v>
      </c>
    </row>
    <row r="2520">
      <c r="A2520" s="257" t="s">
        <v>13657</v>
      </c>
      <c r="B2520" s="257" t="s">
        <v>13657</v>
      </c>
    </row>
    <row r="2521">
      <c r="A2521" s="257" t="s">
        <v>13658</v>
      </c>
      <c r="B2521" s="257" t="s">
        <v>13658</v>
      </c>
    </row>
    <row r="2522">
      <c r="A2522" s="257" t="s">
        <v>13659</v>
      </c>
      <c r="B2522" s="257" t="s">
        <v>13659</v>
      </c>
    </row>
    <row r="2523">
      <c r="A2523" s="257" t="s">
        <v>13660</v>
      </c>
      <c r="B2523" s="257" t="s">
        <v>13661</v>
      </c>
    </row>
    <row r="2524">
      <c r="A2524" s="257" t="s">
        <v>13662</v>
      </c>
      <c r="B2524" s="257" t="s">
        <v>13662</v>
      </c>
    </row>
    <row r="2525">
      <c r="A2525" s="257" t="s">
        <v>13663</v>
      </c>
      <c r="B2525" s="257" t="s">
        <v>13664</v>
      </c>
    </row>
    <row r="2526">
      <c r="A2526" s="257" t="s">
        <v>13665</v>
      </c>
      <c r="B2526" s="257" t="s">
        <v>13665</v>
      </c>
    </row>
    <row r="2527">
      <c r="A2527" s="257" t="s">
        <v>13666</v>
      </c>
      <c r="B2527" s="257" t="s">
        <v>13666</v>
      </c>
    </row>
    <row r="2528">
      <c r="A2528" s="257" t="s">
        <v>13667</v>
      </c>
      <c r="B2528" s="257" t="s">
        <v>13667</v>
      </c>
    </row>
    <row r="2529">
      <c r="A2529" s="257" t="s">
        <v>13668</v>
      </c>
      <c r="B2529" s="257" t="s">
        <v>13668</v>
      </c>
    </row>
    <row r="2530">
      <c r="A2530" s="257" t="s">
        <v>13669</v>
      </c>
      <c r="B2530" s="257" t="s">
        <v>13669</v>
      </c>
    </row>
    <row r="2531">
      <c r="A2531" s="257" t="s">
        <v>13670</v>
      </c>
      <c r="B2531" s="257" t="s">
        <v>13670</v>
      </c>
    </row>
    <row r="2532">
      <c r="A2532" s="257" t="s">
        <v>13671</v>
      </c>
      <c r="B2532" s="257" t="s">
        <v>13672</v>
      </c>
    </row>
    <row r="2533">
      <c r="A2533" s="257" t="s">
        <v>13673</v>
      </c>
      <c r="B2533" s="257" t="s">
        <v>13673</v>
      </c>
    </row>
    <row r="2534">
      <c r="A2534" s="257" t="s">
        <v>13674</v>
      </c>
      <c r="B2534" s="257" t="s">
        <v>13675</v>
      </c>
    </row>
    <row r="2535">
      <c r="A2535" s="257" t="s">
        <v>13676</v>
      </c>
      <c r="B2535" s="257" t="s">
        <v>13676</v>
      </c>
    </row>
    <row r="2536">
      <c r="A2536" s="257" t="s">
        <v>13677</v>
      </c>
      <c r="B2536" s="257" t="s">
        <v>13677</v>
      </c>
    </row>
    <row r="2537">
      <c r="A2537" s="257" t="s">
        <v>13678</v>
      </c>
      <c r="B2537" s="257" t="s">
        <v>13678</v>
      </c>
    </row>
    <row r="2538">
      <c r="A2538" s="257" t="s">
        <v>13679</v>
      </c>
      <c r="B2538" s="257" t="s">
        <v>13679</v>
      </c>
    </row>
    <row r="2539">
      <c r="A2539" s="257" t="s">
        <v>13680</v>
      </c>
      <c r="B2539" s="257" t="s">
        <v>13680</v>
      </c>
    </row>
    <row r="2540">
      <c r="A2540" s="257" t="s">
        <v>13681</v>
      </c>
      <c r="B2540" s="257" t="s">
        <v>13681</v>
      </c>
    </row>
    <row r="2541">
      <c r="A2541" s="257" t="s">
        <v>5250</v>
      </c>
      <c r="B2541" s="257" t="s">
        <v>5250</v>
      </c>
    </row>
    <row r="2542">
      <c r="A2542" s="257" t="s">
        <v>13682</v>
      </c>
      <c r="B2542" s="257" t="s">
        <v>13682</v>
      </c>
    </row>
    <row r="2543">
      <c r="A2543" s="257" t="s">
        <v>13683</v>
      </c>
      <c r="B2543" s="257" t="s">
        <v>13683</v>
      </c>
    </row>
    <row r="2544">
      <c r="A2544" s="257" t="s">
        <v>13684</v>
      </c>
      <c r="B2544" s="257" t="s">
        <v>13684</v>
      </c>
    </row>
    <row r="2545">
      <c r="A2545" s="257" t="s">
        <v>13685</v>
      </c>
      <c r="B2545" s="257" t="s">
        <v>13685</v>
      </c>
    </row>
    <row r="2546">
      <c r="A2546" s="257" t="s">
        <v>13686</v>
      </c>
      <c r="B2546" s="257" t="s">
        <v>13686</v>
      </c>
    </row>
    <row r="2547">
      <c r="A2547" s="257" t="s">
        <v>13687</v>
      </c>
      <c r="B2547" s="257" t="s">
        <v>13687</v>
      </c>
    </row>
    <row r="2548">
      <c r="A2548" s="257" t="s">
        <v>13608</v>
      </c>
      <c r="B2548" s="257" t="s">
        <v>13608</v>
      </c>
    </row>
    <row r="2549">
      <c r="A2549" s="257" t="s">
        <v>13688</v>
      </c>
      <c r="B2549" s="257" t="s">
        <v>13688</v>
      </c>
    </row>
    <row r="2550">
      <c r="A2550" s="257" t="s">
        <v>2063</v>
      </c>
      <c r="B2550" s="257" t="s">
        <v>2063</v>
      </c>
    </row>
    <row r="2551">
      <c r="A2551" s="257" t="s">
        <v>13689</v>
      </c>
      <c r="B2551" s="257" t="s">
        <v>13689</v>
      </c>
    </row>
    <row r="2552">
      <c r="A2552" s="257" t="s">
        <v>13690</v>
      </c>
      <c r="B2552" s="257" t="s">
        <v>13690</v>
      </c>
    </row>
    <row r="2553">
      <c r="A2553" s="257" t="s">
        <v>13691</v>
      </c>
      <c r="B2553" s="257" t="s">
        <v>13691</v>
      </c>
    </row>
    <row r="2554">
      <c r="A2554" s="257" t="s">
        <v>10005</v>
      </c>
      <c r="B2554" s="257" t="s">
        <v>10005</v>
      </c>
    </row>
    <row r="2555">
      <c r="A2555" s="257" t="s">
        <v>13692</v>
      </c>
      <c r="B2555" s="257" t="s">
        <v>13692</v>
      </c>
    </row>
    <row r="2556">
      <c r="A2556" s="257" t="s">
        <v>13693</v>
      </c>
      <c r="B2556" s="257" t="s">
        <v>13693</v>
      </c>
    </row>
    <row r="2557">
      <c r="A2557" s="257" t="s">
        <v>13694</v>
      </c>
      <c r="B2557" s="257" t="s">
        <v>13694</v>
      </c>
    </row>
    <row r="2558">
      <c r="A2558" s="257" t="s">
        <v>13695</v>
      </c>
      <c r="B2558" s="257" t="s">
        <v>13695</v>
      </c>
    </row>
    <row r="2559">
      <c r="A2559" s="257" t="s">
        <v>13696</v>
      </c>
      <c r="B2559" s="257" t="s">
        <v>13696</v>
      </c>
    </row>
    <row r="2560">
      <c r="A2560" s="257" t="s">
        <v>13697</v>
      </c>
      <c r="B2560" s="257" t="s">
        <v>13697</v>
      </c>
    </row>
    <row r="2561">
      <c r="A2561" s="257" t="s">
        <v>13698</v>
      </c>
      <c r="B2561" s="257" t="s">
        <v>13698</v>
      </c>
    </row>
    <row r="2562">
      <c r="A2562" s="257" t="s">
        <v>13699</v>
      </c>
      <c r="B2562" s="257" t="s">
        <v>13699</v>
      </c>
    </row>
    <row r="2563">
      <c r="A2563" s="257" t="s">
        <v>13700</v>
      </c>
      <c r="B2563" s="257" t="s">
        <v>13700</v>
      </c>
    </row>
    <row r="2564">
      <c r="A2564" s="257" t="s">
        <v>13701</v>
      </c>
      <c r="B2564" s="257" t="s">
        <v>13701</v>
      </c>
    </row>
    <row r="2565">
      <c r="A2565" s="257" t="s">
        <v>13702</v>
      </c>
      <c r="B2565" s="257" t="s">
        <v>13702</v>
      </c>
    </row>
    <row r="2566">
      <c r="A2566" s="257" t="s">
        <v>13703</v>
      </c>
      <c r="B2566" s="257" t="s">
        <v>13703</v>
      </c>
    </row>
    <row r="2567">
      <c r="A2567" s="257" t="s">
        <v>13704</v>
      </c>
      <c r="B2567" s="257" t="s">
        <v>13704</v>
      </c>
    </row>
    <row r="2568">
      <c r="A2568" s="257" t="s">
        <v>13705</v>
      </c>
      <c r="B2568" s="257" t="s">
        <v>13705</v>
      </c>
    </row>
    <row r="2569">
      <c r="A2569" s="257" t="s">
        <v>13706</v>
      </c>
      <c r="B2569" s="257" t="s">
        <v>13706</v>
      </c>
    </row>
    <row r="2570">
      <c r="A2570" s="257" t="s">
        <v>13707</v>
      </c>
      <c r="B2570" s="257" t="s">
        <v>13707</v>
      </c>
    </row>
    <row r="2571">
      <c r="A2571" s="257" t="s">
        <v>13359</v>
      </c>
      <c r="B2571" s="257" t="s">
        <v>13359</v>
      </c>
    </row>
    <row r="2572">
      <c r="A2572" s="257" t="s">
        <v>10007</v>
      </c>
      <c r="B2572" s="257" t="s">
        <v>10007</v>
      </c>
    </row>
    <row r="2573">
      <c r="A2573" s="257" t="s">
        <v>13708</v>
      </c>
      <c r="B2573" s="257" t="s">
        <v>13708</v>
      </c>
    </row>
    <row r="2574">
      <c r="A2574" s="257" t="s">
        <v>13709</v>
      </c>
      <c r="B2574" s="257" t="s">
        <v>13709</v>
      </c>
    </row>
    <row r="2575">
      <c r="A2575" s="257" t="s">
        <v>13710</v>
      </c>
      <c r="B2575" s="257" t="s">
        <v>13710</v>
      </c>
    </row>
    <row r="2576">
      <c r="A2576" s="257" t="s">
        <v>13711</v>
      </c>
      <c r="B2576" s="257" t="s">
        <v>13711</v>
      </c>
    </row>
    <row r="2577">
      <c r="A2577" s="257" t="s">
        <v>13712</v>
      </c>
      <c r="B2577" s="257" t="s">
        <v>13712</v>
      </c>
    </row>
    <row r="2578">
      <c r="A2578" s="257" t="s">
        <v>13713</v>
      </c>
      <c r="B2578" s="257" t="s">
        <v>13713</v>
      </c>
    </row>
    <row r="2579">
      <c r="A2579" s="257" t="s">
        <v>13714</v>
      </c>
      <c r="B2579" s="257" t="s">
        <v>13502</v>
      </c>
    </row>
    <row r="2580">
      <c r="A2580" s="257" t="s">
        <v>13715</v>
      </c>
      <c r="B2580" s="257" t="s">
        <v>13715</v>
      </c>
    </row>
    <row r="2581">
      <c r="A2581" s="257" t="s">
        <v>13716</v>
      </c>
      <c r="B2581" s="257" t="s">
        <v>13716</v>
      </c>
    </row>
    <row r="2582">
      <c r="A2582" s="257" t="s">
        <v>13717</v>
      </c>
      <c r="B2582" s="257" t="s">
        <v>13717</v>
      </c>
    </row>
    <row r="2583">
      <c r="A2583" s="257" t="s">
        <v>13718</v>
      </c>
      <c r="B2583" s="257" t="s">
        <v>13718</v>
      </c>
    </row>
    <row r="2584">
      <c r="A2584" s="257" t="s">
        <v>13719</v>
      </c>
      <c r="B2584" s="257" t="s">
        <v>13719</v>
      </c>
    </row>
    <row r="2585">
      <c r="A2585" s="257" t="s">
        <v>5375</v>
      </c>
      <c r="B2585" s="257" t="s">
        <v>5375</v>
      </c>
    </row>
    <row r="2586">
      <c r="A2586" s="257" t="s">
        <v>13720</v>
      </c>
      <c r="B2586" s="257" t="s">
        <v>13720</v>
      </c>
    </row>
    <row r="2587">
      <c r="A2587" s="257" t="s">
        <v>2070</v>
      </c>
      <c r="B2587" s="257" t="s">
        <v>2070</v>
      </c>
    </row>
    <row r="2588">
      <c r="A2588" s="257" t="s">
        <v>13721</v>
      </c>
      <c r="B2588" s="257" t="s">
        <v>13722</v>
      </c>
    </row>
    <row r="2589">
      <c r="A2589" s="257" t="s">
        <v>13723</v>
      </c>
      <c r="B2589" s="257" t="s">
        <v>13723</v>
      </c>
    </row>
    <row r="2590">
      <c r="A2590" s="257" t="s">
        <v>13724</v>
      </c>
      <c r="B2590" s="257" t="s">
        <v>13724</v>
      </c>
    </row>
    <row r="2591">
      <c r="A2591" s="257" t="s">
        <v>13725</v>
      </c>
      <c r="B2591" s="257" t="s">
        <v>13725</v>
      </c>
    </row>
    <row r="2592">
      <c r="A2592" s="257" t="s">
        <v>13726</v>
      </c>
      <c r="B2592" s="257" t="s">
        <v>13726</v>
      </c>
    </row>
    <row r="2593">
      <c r="A2593" s="257" t="s">
        <v>13727</v>
      </c>
      <c r="B2593" s="257" t="s">
        <v>13727</v>
      </c>
    </row>
    <row r="2594">
      <c r="A2594" s="257" t="s">
        <v>13728</v>
      </c>
      <c r="B2594" s="257" t="s">
        <v>13729</v>
      </c>
    </row>
    <row r="2595">
      <c r="A2595" s="257" t="s">
        <v>13548</v>
      </c>
      <c r="B2595" s="257" t="s">
        <v>13548</v>
      </c>
    </row>
    <row r="2596">
      <c r="A2596" s="257" t="s">
        <v>13730</v>
      </c>
      <c r="B2596" s="257" t="s">
        <v>13730</v>
      </c>
    </row>
    <row r="2597">
      <c r="A2597" s="257" t="s">
        <v>2071</v>
      </c>
      <c r="B2597" s="257" t="s">
        <v>2071</v>
      </c>
    </row>
    <row r="2598">
      <c r="A2598" s="257" t="s">
        <v>13731</v>
      </c>
      <c r="B2598" s="257" t="s">
        <v>13731</v>
      </c>
    </row>
    <row r="2599">
      <c r="A2599" s="257" t="s">
        <v>13732</v>
      </c>
      <c r="B2599" s="257" t="s">
        <v>13732</v>
      </c>
    </row>
    <row r="2600">
      <c r="A2600" s="257" t="s">
        <v>13733</v>
      </c>
      <c r="B2600" s="257" t="s">
        <v>13733</v>
      </c>
    </row>
    <row r="2601">
      <c r="A2601" s="257" t="s">
        <v>13734</v>
      </c>
      <c r="B2601" s="257" t="s">
        <v>13734</v>
      </c>
    </row>
    <row r="2602">
      <c r="A2602" s="257" t="s">
        <v>13735</v>
      </c>
      <c r="B2602" s="257" t="s">
        <v>13735</v>
      </c>
    </row>
    <row r="2603">
      <c r="A2603" s="257" t="s">
        <v>13736</v>
      </c>
      <c r="B2603" s="257" t="s">
        <v>13736</v>
      </c>
    </row>
    <row r="2604">
      <c r="A2604" s="257" t="s">
        <v>13737</v>
      </c>
      <c r="B2604" s="257" t="s">
        <v>13737</v>
      </c>
    </row>
    <row r="2605">
      <c r="A2605" s="257" t="s">
        <v>13738</v>
      </c>
      <c r="B2605" s="257" t="s">
        <v>13526</v>
      </c>
    </row>
    <row r="2606">
      <c r="A2606" s="257" t="s">
        <v>13739</v>
      </c>
      <c r="B2606" s="257" t="s">
        <v>13739</v>
      </c>
    </row>
    <row r="2607">
      <c r="A2607" s="257" t="s">
        <v>13740</v>
      </c>
      <c r="B2607" s="257" t="s">
        <v>13740</v>
      </c>
    </row>
    <row r="2608">
      <c r="A2608" s="257" t="s">
        <v>13741</v>
      </c>
      <c r="B2608" s="257" t="s">
        <v>13741</v>
      </c>
    </row>
    <row r="2609">
      <c r="A2609" s="257" t="s">
        <v>13742</v>
      </c>
      <c r="B2609" s="257" t="s">
        <v>13742</v>
      </c>
    </row>
    <row r="2610">
      <c r="A2610" s="257" t="s">
        <v>13743</v>
      </c>
      <c r="B2610" s="257" t="s">
        <v>13743</v>
      </c>
    </row>
    <row r="2611">
      <c r="A2611" s="257" t="s">
        <v>13744</v>
      </c>
      <c r="B2611" s="257" t="s">
        <v>13744</v>
      </c>
    </row>
    <row r="2612">
      <c r="A2612" s="257" t="s">
        <v>13745</v>
      </c>
      <c r="B2612" s="257" t="s">
        <v>13745</v>
      </c>
    </row>
    <row r="2613">
      <c r="A2613" s="257" t="s">
        <v>13746</v>
      </c>
      <c r="B2613" s="257" t="s">
        <v>13746</v>
      </c>
    </row>
    <row r="2614">
      <c r="A2614" s="257" t="s">
        <v>13747</v>
      </c>
      <c r="B2614" s="257" t="s">
        <v>13747</v>
      </c>
    </row>
    <row r="2615">
      <c r="A2615" s="257" t="s">
        <v>13748</v>
      </c>
      <c r="B2615" s="257" t="s">
        <v>13748</v>
      </c>
    </row>
    <row r="2616">
      <c r="A2616" s="257" t="s">
        <v>13749</v>
      </c>
      <c r="B2616" s="257" t="s">
        <v>13749</v>
      </c>
    </row>
    <row r="2617">
      <c r="A2617" s="257" t="s">
        <v>13750</v>
      </c>
      <c r="B2617" s="257" t="s">
        <v>13750</v>
      </c>
    </row>
    <row r="2618">
      <c r="A2618" s="257" t="s">
        <v>13751</v>
      </c>
      <c r="B2618" s="257" t="s">
        <v>13751</v>
      </c>
    </row>
    <row r="2619">
      <c r="A2619" s="257" t="s">
        <v>13752</v>
      </c>
      <c r="B2619" s="257" t="s">
        <v>13752</v>
      </c>
    </row>
    <row r="2620">
      <c r="A2620" s="257" t="s">
        <v>13753</v>
      </c>
      <c r="B2620" s="257" t="s">
        <v>13753</v>
      </c>
    </row>
    <row r="2621">
      <c r="A2621" s="257" t="s">
        <v>13754</v>
      </c>
      <c r="B2621" s="257" t="s">
        <v>13754</v>
      </c>
    </row>
    <row r="2622">
      <c r="A2622" s="257" t="s">
        <v>13755</v>
      </c>
      <c r="B2622" s="257" t="s">
        <v>13756</v>
      </c>
    </row>
    <row r="2623">
      <c r="A2623" s="257" t="s">
        <v>13757</v>
      </c>
      <c r="B2623" s="257" t="s">
        <v>13757</v>
      </c>
    </row>
    <row r="2624">
      <c r="A2624" s="257" t="s">
        <v>13758</v>
      </c>
      <c r="B2624" s="257" t="s">
        <v>13759</v>
      </c>
    </row>
    <row r="2625">
      <c r="A2625" s="257" t="s">
        <v>13760</v>
      </c>
      <c r="B2625" s="257" t="s">
        <v>13760</v>
      </c>
    </row>
    <row r="2626">
      <c r="A2626" s="257" t="s">
        <v>13761</v>
      </c>
      <c r="B2626" s="257" t="s">
        <v>13761</v>
      </c>
    </row>
    <row r="2627">
      <c r="A2627" s="257" t="s">
        <v>13762</v>
      </c>
      <c r="B2627" s="257" t="s">
        <v>13762</v>
      </c>
    </row>
    <row r="2628">
      <c r="A2628" s="257" t="s">
        <v>13763</v>
      </c>
      <c r="B2628" s="257" t="s">
        <v>13763</v>
      </c>
    </row>
    <row r="2629">
      <c r="A2629" s="257" t="s">
        <v>13764</v>
      </c>
      <c r="B2629" s="257" t="s">
        <v>13764</v>
      </c>
    </row>
    <row r="2630">
      <c r="A2630" s="257" t="s">
        <v>13765</v>
      </c>
      <c r="B2630" s="257" t="s">
        <v>13666</v>
      </c>
    </row>
    <row r="2631">
      <c r="A2631" s="257" t="s">
        <v>13766</v>
      </c>
      <c r="B2631" s="257" t="s">
        <v>13472</v>
      </c>
    </row>
    <row r="2632">
      <c r="A2632" s="257" t="s">
        <v>13767</v>
      </c>
      <c r="B2632" s="257" t="s">
        <v>13767</v>
      </c>
    </row>
    <row r="2633">
      <c r="A2633" s="257" t="s">
        <v>13768</v>
      </c>
      <c r="B2633" s="257" t="s">
        <v>13768</v>
      </c>
    </row>
    <row r="2634">
      <c r="A2634" s="257" t="s">
        <v>13769</v>
      </c>
      <c r="B2634" s="257" t="s">
        <v>13621</v>
      </c>
    </row>
    <row r="2635">
      <c r="A2635" s="257" t="s">
        <v>13770</v>
      </c>
      <c r="B2635" s="257" t="s">
        <v>13770</v>
      </c>
    </row>
    <row r="2636">
      <c r="A2636" s="257" t="s">
        <v>13771</v>
      </c>
      <c r="B2636" s="257" t="s">
        <v>13628</v>
      </c>
    </row>
    <row r="2637">
      <c r="A2637" s="257" t="s">
        <v>13772</v>
      </c>
      <c r="B2637" s="257" t="s">
        <v>13772</v>
      </c>
    </row>
    <row r="2638">
      <c r="A2638" s="257" t="s">
        <v>13773</v>
      </c>
      <c r="B2638" s="257" t="s">
        <v>13773</v>
      </c>
    </row>
    <row r="2639">
      <c r="A2639" s="257" t="s">
        <v>13774</v>
      </c>
      <c r="B2639" s="257" t="s">
        <v>13775</v>
      </c>
    </row>
    <row r="2640">
      <c r="A2640" s="257" t="s">
        <v>13775</v>
      </c>
      <c r="B2640" s="257" t="s">
        <v>13775</v>
      </c>
    </row>
    <row r="2641">
      <c r="A2641" s="257" t="s">
        <v>13776</v>
      </c>
      <c r="B2641" s="257" t="s">
        <v>13776</v>
      </c>
    </row>
    <row r="2642">
      <c r="A2642" s="257" t="s">
        <v>13777</v>
      </c>
      <c r="B2642" s="257" t="s">
        <v>13777</v>
      </c>
    </row>
    <row r="2643">
      <c r="A2643" s="257" t="s">
        <v>13778</v>
      </c>
      <c r="B2643" s="257" t="s">
        <v>13488</v>
      </c>
    </row>
    <row r="2644">
      <c r="A2644" s="257" t="s">
        <v>13779</v>
      </c>
      <c r="B2644" s="257" t="s">
        <v>13779</v>
      </c>
    </row>
    <row r="2645">
      <c r="A2645" s="257" t="s">
        <v>13780</v>
      </c>
      <c r="B2645" s="257" t="s">
        <v>13780</v>
      </c>
    </row>
    <row r="2646">
      <c r="A2646" s="257" t="s">
        <v>13781</v>
      </c>
      <c r="B2646" s="257" t="s">
        <v>13781</v>
      </c>
    </row>
    <row r="2647">
      <c r="A2647" s="257" t="s">
        <v>13782</v>
      </c>
      <c r="B2647" s="257" t="s">
        <v>13782</v>
      </c>
    </row>
    <row r="2648">
      <c r="A2648" s="257" t="s">
        <v>13783</v>
      </c>
      <c r="B2648" s="257" t="s">
        <v>13783</v>
      </c>
    </row>
    <row r="2649">
      <c r="A2649" s="257" t="s">
        <v>13784</v>
      </c>
      <c r="B2649" s="257" t="s">
        <v>13784</v>
      </c>
    </row>
    <row r="2650">
      <c r="A2650" s="257" t="s">
        <v>13785</v>
      </c>
      <c r="B2650" s="257" t="s">
        <v>13785</v>
      </c>
    </row>
    <row r="2651">
      <c r="A2651" s="257" t="s">
        <v>13786</v>
      </c>
      <c r="B2651" s="257" t="s">
        <v>13786</v>
      </c>
    </row>
    <row r="2652">
      <c r="A2652" s="257" t="s">
        <v>13787</v>
      </c>
      <c r="B2652" s="257" t="s">
        <v>13787</v>
      </c>
    </row>
    <row r="2653">
      <c r="A2653" s="257" t="s">
        <v>13788</v>
      </c>
      <c r="B2653" s="257" t="s">
        <v>13381</v>
      </c>
    </row>
    <row r="2654">
      <c r="A2654" s="257" t="s">
        <v>8433</v>
      </c>
      <c r="B2654" s="257" t="s">
        <v>8433</v>
      </c>
    </row>
    <row r="2655">
      <c r="A2655" s="257" t="s">
        <v>13789</v>
      </c>
      <c r="B2655" s="257" t="s">
        <v>13789</v>
      </c>
    </row>
    <row r="2656">
      <c r="A2656" s="257" t="s">
        <v>13790</v>
      </c>
      <c r="B2656" s="257" t="s">
        <v>13790</v>
      </c>
    </row>
    <row r="2657">
      <c r="A2657" s="257" t="s">
        <v>13791</v>
      </c>
      <c r="B2657" s="257" t="s">
        <v>13791</v>
      </c>
    </row>
    <row r="2658">
      <c r="A2658" s="257" t="s">
        <v>13792</v>
      </c>
      <c r="B2658" s="257" t="s">
        <v>13711</v>
      </c>
    </row>
    <row r="2659">
      <c r="A2659" s="257" t="s">
        <v>13793</v>
      </c>
      <c r="B2659" s="257" t="s">
        <v>13793</v>
      </c>
    </row>
    <row r="2660">
      <c r="A2660" s="257" t="s">
        <v>13794</v>
      </c>
      <c r="B2660" s="257" t="s">
        <v>13794</v>
      </c>
    </row>
    <row r="2661">
      <c r="A2661" s="257" t="s">
        <v>13795</v>
      </c>
      <c r="B2661" s="257" t="s">
        <v>13795</v>
      </c>
    </row>
    <row r="2662">
      <c r="A2662" s="257" t="s">
        <v>13796</v>
      </c>
      <c r="B2662" s="257" t="s">
        <v>13796</v>
      </c>
    </row>
    <row r="2663">
      <c r="A2663" s="257" t="s">
        <v>13797</v>
      </c>
      <c r="B2663" s="257" t="s">
        <v>13797</v>
      </c>
    </row>
    <row r="2664">
      <c r="A2664" s="257" t="s">
        <v>13798</v>
      </c>
      <c r="B2664" s="257" t="s">
        <v>13798</v>
      </c>
    </row>
    <row r="2665">
      <c r="A2665" s="257" t="s">
        <v>13799</v>
      </c>
      <c r="B2665" s="257" t="s">
        <v>13800</v>
      </c>
    </row>
    <row r="2666">
      <c r="A2666" s="257" t="s">
        <v>13801</v>
      </c>
      <c r="B2666" s="257" t="s">
        <v>13645</v>
      </c>
    </row>
    <row r="2667">
      <c r="A2667" s="257" t="s">
        <v>13802</v>
      </c>
      <c r="B2667" s="257" t="s">
        <v>13802</v>
      </c>
    </row>
    <row r="2668">
      <c r="A2668" s="257" t="s">
        <v>13803</v>
      </c>
      <c r="B2668" s="257" t="s">
        <v>13803</v>
      </c>
    </row>
    <row r="2669">
      <c r="A2669" s="257" t="s">
        <v>13804</v>
      </c>
      <c r="B2669" s="257" t="s">
        <v>13804</v>
      </c>
    </row>
    <row r="2670">
      <c r="A2670" s="257" t="s">
        <v>13805</v>
      </c>
      <c r="B2670" s="257" t="s">
        <v>13805</v>
      </c>
    </row>
    <row r="2671">
      <c r="A2671" s="257" t="s">
        <v>13806</v>
      </c>
      <c r="B2671" s="257" t="s">
        <v>13806</v>
      </c>
    </row>
    <row r="2672">
      <c r="A2672" s="257" t="s">
        <v>13807</v>
      </c>
      <c r="B2672" s="257" t="s">
        <v>13807</v>
      </c>
    </row>
    <row r="2673">
      <c r="A2673" s="257" t="s">
        <v>13808</v>
      </c>
      <c r="B2673" s="257" t="s">
        <v>13808</v>
      </c>
    </row>
    <row r="2674">
      <c r="A2674" s="257" t="s">
        <v>13809</v>
      </c>
      <c r="B2674" s="257" t="s">
        <v>13809</v>
      </c>
    </row>
    <row r="2675">
      <c r="A2675" s="257" t="s">
        <v>13810</v>
      </c>
      <c r="B2675" s="257" t="s">
        <v>13810</v>
      </c>
    </row>
    <row r="2676">
      <c r="A2676" s="257" t="s">
        <v>11343</v>
      </c>
      <c r="B2676" s="257" t="s">
        <v>11343</v>
      </c>
    </row>
    <row r="2677">
      <c r="A2677" s="257" t="s">
        <v>13811</v>
      </c>
      <c r="B2677" s="257" t="s">
        <v>13811</v>
      </c>
    </row>
    <row r="2678">
      <c r="A2678" s="257" t="s">
        <v>13812</v>
      </c>
      <c r="B2678" s="257" t="s">
        <v>13812</v>
      </c>
    </row>
    <row r="2679">
      <c r="A2679" s="257" t="s">
        <v>13813</v>
      </c>
      <c r="B2679" s="257" t="s">
        <v>13813</v>
      </c>
    </row>
    <row r="2680">
      <c r="A2680" s="257" t="s">
        <v>13814</v>
      </c>
      <c r="B2680" s="257" t="s">
        <v>13814</v>
      </c>
    </row>
    <row r="2681">
      <c r="A2681" s="257" t="s">
        <v>13815</v>
      </c>
      <c r="B2681" s="257" t="s">
        <v>13815</v>
      </c>
    </row>
    <row r="2682">
      <c r="A2682" s="257" t="s">
        <v>13816</v>
      </c>
      <c r="B2682" s="257" t="s">
        <v>13816</v>
      </c>
    </row>
    <row r="2683">
      <c r="A2683" s="257" t="s">
        <v>13817</v>
      </c>
      <c r="B2683" s="257" t="s">
        <v>13817</v>
      </c>
    </row>
    <row r="2684">
      <c r="A2684" s="257" t="s">
        <v>13818</v>
      </c>
      <c r="B2684" s="257" t="s">
        <v>13818</v>
      </c>
    </row>
    <row r="2685">
      <c r="A2685" s="257" t="s">
        <v>13819</v>
      </c>
      <c r="B2685" s="257" t="s">
        <v>13819</v>
      </c>
    </row>
    <row r="2686">
      <c r="A2686" s="257" t="s">
        <v>13820</v>
      </c>
      <c r="B2686" s="257" t="s">
        <v>13820</v>
      </c>
    </row>
    <row r="2687">
      <c r="A2687" s="257" t="s">
        <v>13821</v>
      </c>
      <c r="B2687" s="257" t="s">
        <v>13821</v>
      </c>
    </row>
    <row r="2688">
      <c r="A2688" s="257" t="s">
        <v>13822</v>
      </c>
      <c r="B2688" s="257" t="s">
        <v>13822</v>
      </c>
    </row>
    <row r="2689">
      <c r="A2689" s="257" t="s">
        <v>13823</v>
      </c>
      <c r="B2689" s="257" t="s">
        <v>9412</v>
      </c>
    </row>
    <row r="2690">
      <c r="A2690" s="257" t="s">
        <v>13824</v>
      </c>
      <c r="B2690" s="257" t="s">
        <v>13824</v>
      </c>
    </row>
    <row r="2691">
      <c r="A2691" s="257" t="s">
        <v>13825</v>
      </c>
      <c r="B2691" s="257" t="s">
        <v>13825</v>
      </c>
    </row>
    <row r="2692">
      <c r="A2692" s="257" t="s">
        <v>13826</v>
      </c>
      <c r="B2692" s="257" t="s">
        <v>13826</v>
      </c>
    </row>
    <row r="2693">
      <c r="A2693" s="257" t="s">
        <v>13827</v>
      </c>
      <c r="B2693" s="257" t="s">
        <v>13827</v>
      </c>
    </row>
    <row r="2694">
      <c r="A2694" s="257" t="s">
        <v>13828</v>
      </c>
      <c r="B2694" s="257" t="s">
        <v>13828</v>
      </c>
    </row>
    <row r="2695">
      <c r="A2695" s="257" t="s">
        <v>13829</v>
      </c>
      <c r="B2695" s="257" t="s">
        <v>13829</v>
      </c>
    </row>
    <row r="2696">
      <c r="A2696" s="257" t="s">
        <v>13830</v>
      </c>
      <c r="B2696" s="257" t="s">
        <v>13830</v>
      </c>
    </row>
    <row r="2697">
      <c r="A2697" s="257" t="s">
        <v>13831</v>
      </c>
      <c r="B2697" s="257" t="s">
        <v>13831</v>
      </c>
    </row>
    <row r="2698">
      <c r="A2698" s="257" t="s">
        <v>13832</v>
      </c>
      <c r="B2698" s="257" t="s">
        <v>13832</v>
      </c>
    </row>
    <row r="2699">
      <c r="A2699" s="257" t="s">
        <v>13833</v>
      </c>
      <c r="B2699" s="257" t="s">
        <v>13833</v>
      </c>
    </row>
    <row r="2700">
      <c r="A2700" s="257" t="s">
        <v>13834</v>
      </c>
      <c r="B2700" s="257" t="s">
        <v>13834</v>
      </c>
    </row>
    <row r="2701">
      <c r="A2701" s="257" t="s">
        <v>13835</v>
      </c>
      <c r="B2701" s="257" t="s">
        <v>13835</v>
      </c>
    </row>
    <row r="2702">
      <c r="A2702" s="257" t="s">
        <v>6412</v>
      </c>
      <c r="B2702" s="257" t="s">
        <v>6412</v>
      </c>
    </row>
    <row r="2703">
      <c r="A2703" s="257" t="s">
        <v>13836</v>
      </c>
      <c r="B2703" s="257" t="s">
        <v>13836</v>
      </c>
    </row>
    <row r="2704">
      <c r="A2704" s="257" t="s">
        <v>13837</v>
      </c>
      <c r="B2704" s="257" t="s">
        <v>13837</v>
      </c>
    </row>
    <row r="2705">
      <c r="A2705" s="257" t="s">
        <v>13838</v>
      </c>
      <c r="B2705" s="257" t="s">
        <v>13838</v>
      </c>
    </row>
    <row r="2706">
      <c r="A2706" s="257" t="s">
        <v>13839</v>
      </c>
      <c r="B2706" s="257" t="s">
        <v>13840</v>
      </c>
    </row>
    <row r="2707">
      <c r="A2707" s="257" t="s">
        <v>13841</v>
      </c>
      <c r="B2707" s="257" t="s">
        <v>13841</v>
      </c>
    </row>
    <row r="2708">
      <c r="A2708" s="257" t="s">
        <v>13842</v>
      </c>
      <c r="B2708" s="257" t="s">
        <v>13843</v>
      </c>
    </row>
    <row r="2709">
      <c r="A2709" s="257" t="s">
        <v>13844</v>
      </c>
      <c r="B2709" s="257" t="s">
        <v>13844</v>
      </c>
    </row>
    <row r="2710">
      <c r="A2710" s="257" t="s">
        <v>13840</v>
      </c>
      <c r="B2710" s="257" t="s">
        <v>13840</v>
      </c>
    </row>
    <row r="2711">
      <c r="A2711" s="257" t="s">
        <v>13845</v>
      </c>
      <c r="B2711" s="257" t="s">
        <v>13845</v>
      </c>
    </row>
    <row r="2712">
      <c r="A2712" s="257" t="s">
        <v>13846</v>
      </c>
      <c r="B2712" s="257" t="s">
        <v>13846</v>
      </c>
    </row>
    <row r="2713">
      <c r="A2713" s="257" t="s">
        <v>13847</v>
      </c>
      <c r="B2713" s="257" t="s">
        <v>13847</v>
      </c>
    </row>
    <row r="2714">
      <c r="A2714" s="257" t="s">
        <v>13848</v>
      </c>
      <c r="B2714" s="257" t="s">
        <v>13848</v>
      </c>
    </row>
    <row r="2715">
      <c r="A2715" s="257" t="s">
        <v>13849</v>
      </c>
      <c r="B2715" s="257" t="s">
        <v>13849</v>
      </c>
    </row>
    <row r="2716">
      <c r="A2716" s="257" t="s">
        <v>13850</v>
      </c>
      <c r="B2716" s="257" t="s">
        <v>13850</v>
      </c>
    </row>
    <row r="2717">
      <c r="A2717" s="257" t="s">
        <v>13851</v>
      </c>
      <c r="B2717" s="257" t="s">
        <v>13851</v>
      </c>
    </row>
    <row r="2718">
      <c r="A2718" s="257" t="s">
        <v>13852</v>
      </c>
      <c r="B2718" s="257" t="s">
        <v>13399</v>
      </c>
    </row>
    <row r="2719">
      <c r="A2719" s="257" t="s">
        <v>13853</v>
      </c>
      <c r="B2719" s="257" t="s">
        <v>13517</v>
      </c>
    </row>
    <row r="2720">
      <c r="A2720" s="257" t="s">
        <v>13854</v>
      </c>
      <c r="B2720" s="257" t="s">
        <v>13854</v>
      </c>
    </row>
    <row r="2721">
      <c r="A2721" s="257" t="s">
        <v>13855</v>
      </c>
      <c r="B2721" s="257" t="s">
        <v>13855</v>
      </c>
    </row>
    <row r="2722">
      <c r="A2722" s="257" t="s">
        <v>13856</v>
      </c>
      <c r="B2722" s="257" t="s">
        <v>13849</v>
      </c>
    </row>
    <row r="2723">
      <c r="A2723" s="257" t="s">
        <v>13857</v>
      </c>
      <c r="B2723" s="257" t="s">
        <v>13857</v>
      </c>
    </row>
    <row r="2724">
      <c r="A2724" s="257" t="s">
        <v>13729</v>
      </c>
      <c r="B2724" s="257" t="s">
        <v>13729</v>
      </c>
    </row>
    <row r="2725">
      <c r="A2725" s="257" t="s">
        <v>13858</v>
      </c>
      <c r="B2725" s="257" t="s">
        <v>13858</v>
      </c>
    </row>
    <row r="2726">
      <c r="A2726" s="257" t="s">
        <v>13859</v>
      </c>
      <c r="B2726" s="257" t="s">
        <v>13859</v>
      </c>
    </row>
    <row r="2727">
      <c r="A2727" s="257" t="s">
        <v>13860</v>
      </c>
      <c r="B2727" s="257" t="s">
        <v>13860</v>
      </c>
    </row>
    <row r="2728">
      <c r="A2728" s="257" t="s">
        <v>13861</v>
      </c>
      <c r="B2728" s="257" t="s">
        <v>13857</v>
      </c>
    </row>
    <row r="2729">
      <c r="A2729" s="257" t="s">
        <v>13862</v>
      </c>
      <c r="B2729" s="257" t="s">
        <v>13862</v>
      </c>
    </row>
    <row r="2730">
      <c r="A2730" s="257" t="s">
        <v>13863</v>
      </c>
      <c r="B2730" s="257" t="s">
        <v>13863</v>
      </c>
    </row>
    <row r="2731">
      <c r="A2731" s="257" t="s">
        <v>13864</v>
      </c>
      <c r="B2731" s="257" t="s">
        <v>13864</v>
      </c>
    </row>
    <row r="2732">
      <c r="A2732" s="257" t="s">
        <v>13865</v>
      </c>
      <c r="B2732" s="257" t="s">
        <v>13865</v>
      </c>
    </row>
    <row r="2733">
      <c r="A2733" s="257" t="s">
        <v>13866</v>
      </c>
      <c r="B2733" s="257" t="s">
        <v>13866</v>
      </c>
    </row>
    <row r="2734">
      <c r="A2734" s="257" t="s">
        <v>13867</v>
      </c>
      <c r="B2734" s="257" t="s">
        <v>13867</v>
      </c>
    </row>
    <row r="2735">
      <c r="A2735" s="257" t="s">
        <v>13868</v>
      </c>
      <c r="B2735" s="257" t="s">
        <v>13484</v>
      </c>
    </row>
    <row r="2736">
      <c r="A2736" s="257" t="s">
        <v>13869</v>
      </c>
      <c r="B2736" s="257" t="s">
        <v>13869</v>
      </c>
    </row>
    <row r="2737">
      <c r="A2737" s="257" t="s">
        <v>13525</v>
      </c>
      <c r="B2737" s="257" t="s">
        <v>13525</v>
      </c>
    </row>
    <row r="2738">
      <c r="A2738" s="257" t="s">
        <v>13870</v>
      </c>
      <c r="B2738" s="257" t="s">
        <v>13870</v>
      </c>
    </row>
    <row r="2739">
      <c r="A2739" s="257" t="s">
        <v>13871</v>
      </c>
      <c r="B2739" s="257" t="s">
        <v>6446</v>
      </c>
    </row>
    <row r="2740">
      <c r="A2740" s="257" t="s">
        <v>13843</v>
      </c>
      <c r="B2740" s="257" t="s">
        <v>13843</v>
      </c>
    </row>
    <row r="2741">
      <c r="A2741" s="257" t="s">
        <v>13872</v>
      </c>
      <c r="B2741" s="257" t="s">
        <v>13872</v>
      </c>
    </row>
    <row r="2742">
      <c r="A2742" s="257" t="s">
        <v>13873</v>
      </c>
      <c r="B2742" s="257" t="s">
        <v>13873</v>
      </c>
    </row>
    <row r="2743">
      <c r="A2743" s="257" t="s">
        <v>13874</v>
      </c>
      <c r="B2743" s="257" t="s">
        <v>13874</v>
      </c>
    </row>
    <row r="2744">
      <c r="A2744" s="257" t="s">
        <v>13661</v>
      </c>
      <c r="B2744" s="257" t="s">
        <v>13661</v>
      </c>
    </row>
    <row r="2745">
      <c r="A2745" s="257" t="s">
        <v>13875</v>
      </c>
      <c r="B2745" s="257" t="s">
        <v>13875</v>
      </c>
    </row>
    <row r="2746">
      <c r="A2746" s="257" t="s">
        <v>13876</v>
      </c>
      <c r="B2746" s="257" t="s">
        <v>13876</v>
      </c>
    </row>
    <row r="2747">
      <c r="A2747" s="257" t="s">
        <v>13877</v>
      </c>
      <c r="B2747" s="257" t="s">
        <v>6447</v>
      </c>
    </row>
    <row r="2748">
      <c r="A2748" s="257" t="s">
        <v>13878</v>
      </c>
      <c r="B2748" s="257" t="s">
        <v>13878</v>
      </c>
    </row>
    <row r="2749">
      <c r="A2749" s="257" t="s">
        <v>13879</v>
      </c>
      <c r="B2749" s="257" t="s">
        <v>13838</v>
      </c>
    </row>
    <row r="2750">
      <c r="A2750" s="257" t="s">
        <v>13880</v>
      </c>
      <c r="B2750" s="257" t="s">
        <v>13880</v>
      </c>
    </row>
    <row r="2751">
      <c r="A2751" s="257" t="s">
        <v>13881</v>
      </c>
      <c r="B2751" s="257" t="s">
        <v>13881</v>
      </c>
    </row>
    <row r="2752">
      <c r="A2752" s="257" t="s">
        <v>13882</v>
      </c>
      <c r="B2752" s="257" t="s">
        <v>13882</v>
      </c>
    </row>
    <row r="2753">
      <c r="A2753" s="257" t="s">
        <v>13883</v>
      </c>
      <c r="B2753" s="257" t="s">
        <v>13883</v>
      </c>
    </row>
    <row r="2754">
      <c r="A2754" s="257" t="s">
        <v>13884</v>
      </c>
      <c r="B2754" s="257" t="s">
        <v>13884</v>
      </c>
    </row>
    <row r="2755">
      <c r="A2755" s="257" t="s">
        <v>13885</v>
      </c>
      <c r="B2755" s="257" t="s">
        <v>13747</v>
      </c>
    </row>
    <row r="2756">
      <c r="A2756" s="257" t="s">
        <v>13886</v>
      </c>
      <c r="B2756" s="257" t="s">
        <v>13886</v>
      </c>
    </row>
    <row r="2757">
      <c r="A2757" s="257" t="s">
        <v>13887</v>
      </c>
      <c r="B2757" s="257" t="s">
        <v>13887</v>
      </c>
    </row>
    <row r="2758">
      <c r="A2758" s="257" t="s">
        <v>13888</v>
      </c>
      <c r="B2758" s="257" t="s">
        <v>5635</v>
      </c>
    </row>
    <row r="2759">
      <c r="A2759" s="257" t="s">
        <v>13889</v>
      </c>
      <c r="B2759" s="257" t="s">
        <v>13889</v>
      </c>
    </row>
    <row r="2760">
      <c r="A2760" s="257" t="s">
        <v>13890</v>
      </c>
      <c r="B2760" s="257" t="s">
        <v>13890</v>
      </c>
    </row>
    <row r="2761">
      <c r="A2761" s="257" t="s">
        <v>13891</v>
      </c>
      <c r="B2761" s="257" t="s">
        <v>5639</v>
      </c>
    </row>
    <row r="2762">
      <c r="A2762" s="257" t="s">
        <v>13892</v>
      </c>
      <c r="B2762" s="257" t="s">
        <v>13892</v>
      </c>
    </row>
    <row r="2763">
      <c r="A2763" s="257" t="s">
        <v>13893</v>
      </c>
      <c r="B2763" s="257" t="s">
        <v>13893</v>
      </c>
    </row>
    <row r="2764">
      <c r="A2764" s="257" t="s">
        <v>13894</v>
      </c>
      <c r="B2764" s="257" t="s">
        <v>13894</v>
      </c>
    </row>
    <row r="2765">
      <c r="A2765" s="257" t="s">
        <v>13895</v>
      </c>
      <c r="B2765" s="257" t="s">
        <v>13895</v>
      </c>
    </row>
    <row r="2766">
      <c r="A2766" s="257" t="s">
        <v>13896</v>
      </c>
      <c r="B2766" s="257" t="s">
        <v>13896</v>
      </c>
    </row>
    <row r="2767">
      <c r="A2767" s="257" t="s">
        <v>13897</v>
      </c>
      <c r="B2767" s="257" t="s">
        <v>13897</v>
      </c>
    </row>
    <row r="2768">
      <c r="A2768" s="257" t="s">
        <v>1459</v>
      </c>
      <c r="B2768" s="257" t="s">
        <v>1459</v>
      </c>
    </row>
    <row r="2769">
      <c r="A2769" s="257" t="s">
        <v>13898</v>
      </c>
      <c r="B2769" s="257" t="s">
        <v>13898</v>
      </c>
    </row>
    <row r="2770">
      <c r="A2770" s="257" t="s">
        <v>13899</v>
      </c>
      <c r="B2770" s="257" t="s">
        <v>13899</v>
      </c>
    </row>
    <row r="2771">
      <c r="A2771" s="257" t="s">
        <v>10040</v>
      </c>
      <c r="B2771" s="257" t="s">
        <v>10040</v>
      </c>
    </row>
    <row r="2772">
      <c r="A2772" s="257" t="s">
        <v>13900</v>
      </c>
      <c r="B2772" s="257" t="s">
        <v>13900</v>
      </c>
    </row>
    <row r="2773">
      <c r="A2773" s="257" t="s">
        <v>13889</v>
      </c>
      <c r="B2773" s="257" t="s">
        <v>13889</v>
      </c>
    </row>
    <row r="2774">
      <c r="A2774" s="257" t="s">
        <v>13890</v>
      </c>
      <c r="B2774" s="257" t="s">
        <v>13890</v>
      </c>
    </row>
    <row r="2775">
      <c r="A2775" s="257" t="s">
        <v>13892</v>
      </c>
      <c r="B2775" s="257" t="s">
        <v>13892</v>
      </c>
    </row>
    <row r="2776">
      <c r="A2776" s="257" t="s">
        <v>13893</v>
      </c>
      <c r="B2776" s="257" t="s">
        <v>13893</v>
      </c>
    </row>
    <row r="2777">
      <c r="A2777" s="257" t="s">
        <v>13894</v>
      </c>
      <c r="B2777" s="257" t="s">
        <v>13894</v>
      </c>
    </row>
    <row r="2778">
      <c r="A2778" s="257" t="s">
        <v>13895</v>
      </c>
      <c r="B2778" s="257" t="s">
        <v>13895</v>
      </c>
    </row>
    <row r="2779">
      <c r="A2779" s="257" t="s">
        <v>13896</v>
      </c>
      <c r="B2779" s="257" t="s">
        <v>13896</v>
      </c>
    </row>
    <row r="2780">
      <c r="A2780" s="257" t="s">
        <v>13897</v>
      </c>
      <c r="B2780" s="257" t="s">
        <v>13897</v>
      </c>
    </row>
    <row r="2781">
      <c r="A2781" s="257" t="s">
        <v>13898</v>
      </c>
      <c r="B2781" s="257" t="s">
        <v>13898</v>
      </c>
    </row>
    <row r="2782">
      <c r="A2782" s="257" t="s">
        <v>13899</v>
      </c>
      <c r="B2782" s="257" t="s">
        <v>13899</v>
      </c>
    </row>
    <row r="2783">
      <c r="A2783" s="257" t="s">
        <v>10040</v>
      </c>
      <c r="B2783" s="257" t="s">
        <v>10040</v>
      </c>
    </row>
    <row r="2784">
      <c r="A2784" s="257" t="s">
        <v>5557</v>
      </c>
      <c r="B2784" s="257" t="s">
        <v>5557</v>
      </c>
    </row>
    <row r="2785">
      <c r="A2785" s="257" t="s">
        <v>6144</v>
      </c>
      <c r="B2785" s="257" t="s">
        <v>6144</v>
      </c>
    </row>
    <row r="2786">
      <c r="A2786" s="257" t="s">
        <v>711</v>
      </c>
      <c r="B2786" s="257" t="s">
        <v>711</v>
      </c>
    </row>
    <row r="2787">
      <c r="A2787" s="257" t="s">
        <v>5599</v>
      </c>
      <c r="B2787" s="257" t="s">
        <v>5599</v>
      </c>
    </row>
    <row r="2788">
      <c r="A2788" s="257" t="s">
        <v>5592</v>
      </c>
      <c r="B2788" s="257" t="s">
        <v>5592</v>
      </c>
    </row>
    <row r="2789">
      <c r="A2789" s="257" t="s">
        <v>5554</v>
      </c>
      <c r="B2789" s="257" t="s">
        <v>5554</v>
      </c>
    </row>
    <row r="2790">
      <c r="A2790" s="257" t="s">
        <v>1296</v>
      </c>
      <c r="B2790" s="257" t="s">
        <v>1296</v>
      </c>
    </row>
    <row r="2791">
      <c r="A2791" s="257" t="s">
        <v>5560</v>
      </c>
      <c r="B2791" s="257" t="s">
        <v>5560</v>
      </c>
    </row>
    <row r="2792">
      <c r="A2792" s="257" t="s">
        <v>1304</v>
      </c>
      <c r="B2792" s="257" t="s">
        <v>1304</v>
      </c>
    </row>
    <row r="2793">
      <c r="A2793" s="257" t="s">
        <v>707</v>
      </c>
      <c r="B2793" s="257" t="s">
        <v>707</v>
      </c>
    </row>
    <row r="2794">
      <c r="A2794" s="257" t="s">
        <v>5563</v>
      </c>
      <c r="B2794" s="257" t="s">
        <v>5563</v>
      </c>
    </row>
    <row r="2795">
      <c r="A2795" s="257" t="s">
        <v>5588</v>
      </c>
      <c r="B2795" s="257" t="s">
        <v>5588</v>
      </c>
    </row>
    <row r="2796">
      <c r="A2796" s="257" t="s">
        <v>5550</v>
      </c>
      <c r="B2796" s="257" t="s">
        <v>5550</v>
      </c>
    </row>
    <row r="2797">
      <c r="A2797" s="257" t="s">
        <v>5556</v>
      </c>
      <c r="B2797" s="257" t="s">
        <v>5556</v>
      </c>
    </row>
    <row r="2798">
      <c r="A2798" s="257" t="s">
        <v>5579</v>
      </c>
      <c r="B2798" s="257" t="s">
        <v>5579</v>
      </c>
    </row>
    <row r="2799">
      <c r="A2799" s="257" t="s">
        <v>5615</v>
      </c>
      <c r="B2799" s="257" t="s">
        <v>5615</v>
      </c>
    </row>
    <row r="2800">
      <c r="A2800" s="257" t="s">
        <v>5589</v>
      </c>
      <c r="B2800" s="257" t="s">
        <v>5589</v>
      </c>
    </row>
    <row r="2801">
      <c r="A2801" s="257" t="s">
        <v>5614</v>
      </c>
      <c r="B2801" s="257" t="s">
        <v>5614</v>
      </c>
    </row>
    <row r="2802">
      <c r="A2802" s="257" t="s">
        <v>5595</v>
      </c>
      <c r="B2802" s="257" t="s">
        <v>5595</v>
      </c>
    </row>
    <row r="2803">
      <c r="A2803" s="257" t="s">
        <v>5573</v>
      </c>
      <c r="B2803" s="257" t="s">
        <v>5573</v>
      </c>
    </row>
    <row r="2804">
      <c r="A2804" s="257" t="s">
        <v>5553</v>
      </c>
      <c r="B2804" s="257" t="s">
        <v>5553</v>
      </c>
    </row>
    <row r="2805">
      <c r="A2805" s="257" t="s">
        <v>1294</v>
      </c>
      <c r="B2805" s="257" t="s">
        <v>1294</v>
      </c>
    </row>
    <row r="2806">
      <c r="A2806" s="257" t="s">
        <v>5566</v>
      </c>
      <c r="B2806" s="257" t="s">
        <v>5566</v>
      </c>
    </row>
    <row r="2807">
      <c r="A2807" s="257" t="s">
        <v>6176</v>
      </c>
      <c r="B2807" s="257" t="s">
        <v>6176</v>
      </c>
    </row>
    <row r="2808">
      <c r="A2808" s="257" t="s">
        <v>1465</v>
      </c>
      <c r="B2808" s="257" t="s">
        <v>1465</v>
      </c>
    </row>
    <row r="2809">
      <c r="A2809" s="257" t="s">
        <v>5596</v>
      </c>
      <c r="B2809" s="257" t="s">
        <v>5596</v>
      </c>
    </row>
    <row r="2810">
      <c r="A2810" s="257" t="s">
        <v>1306</v>
      </c>
      <c r="B2810" s="257" t="s">
        <v>1306</v>
      </c>
    </row>
    <row r="2811">
      <c r="A2811" s="257" t="s">
        <v>5552</v>
      </c>
      <c r="B2811" s="257" t="s">
        <v>5552</v>
      </c>
    </row>
    <row r="2812">
      <c r="A2812" s="257" t="s">
        <v>1461</v>
      </c>
      <c r="B2812" s="257" t="s">
        <v>1461</v>
      </c>
    </row>
    <row r="2813">
      <c r="A2813" s="257" t="s">
        <v>6143</v>
      </c>
      <c r="B2813" s="257" t="s">
        <v>6143</v>
      </c>
    </row>
    <row r="2814">
      <c r="A2814" s="257" t="s">
        <v>1309</v>
      </c>
      <c r="B2814" s="257" t="s">
        <v>1309</v>
      </c>
    </row>
    <row r="2815">
      <c r="A2815" s="257" t="s">
        <v>710</v>
      </c>
      <c r="B2815" s="257" t="s">
        <v>710</v>
      </c>
    </row>
    <row r="2816">
      <c r="A2816" s="257" t="s">
        <v>5591</v>
      </c>
      <c r="B2816" s="257" t="s">
        <v>5591</v>
      </c>
    </row>
    <row r="2817">
      <c r="A2817" s="257" t="s">
        <v>5600</v>
      </c>
      <c r="B2817" s="257" t="s">
        <v>5600</v>
      </c>
    </row>
    <row r="2818">
      <c r="A2818" s="257" t="s">
        <v>5567</v>
      </c>
      <c r="B2818" s="257" t="s">
        <v>5567</v>
      </c>
    </row>
    <row r="2819">
      <c r="A2819" s="257" t="s">
        <v>1466</v>
      </c>
      <c r="B2819" s="257" t="s">
        <v>1466</v>
      </c>
    </row>
    <row r="2820">
      <c r="A2820" s="257" t="s">
        <v>1290</v>
      </c>
      <c r="B2820" s="257" t="s">
        <v>1290</v>
      </c>
    </row>
    <row r="2821">
      <c r="A2821" s="257" t="s">
        <v>1468</v>
      </c>
      <c r="B2821" s="257" t="s">
        <v>1468</v>
      </c>
    </row>
    <row r="2822">
      <c r="A2822" s="257" t="s">
        <v>5569</v>
      </c>
      <c r="B2822" s="257" t="s">
        <v>5569</v>
      </c>
    </row>
    <row r="2823">
      <c r="A2823" s="257" t="s">
        <v>5576</v>
      </c>
      <c r="B2823" s="257" t="s">
        <v>5576</v>
      </c>
    </row>
    <row r="2824">
      <c r="A2824" s="257" t="s">
        <v>5594</v>
      </c>
      <c r="B2824" s="257" t="s">
        <v>5594</v>
      </c>
    </row>
    <row r="2825">
      <c r="A2825" s="257" t="s">
        <v>5575</v>
      </c>
      <c r="B2825" s="257" t="s">
        <v>5575</v>
      </c>
    </row>
    <row r="2826">
      <c r="A2826" s="257" t="s">
        <v>5584</v>
      </c>
      <c r="B2826" s="257" t="s">
        <v>5584</v>
      </c>
    </row>
    <row r="2827">
      <c r="A2827" s="257" t="s">
        <v>5574</v>
      </c>
      <c r="B2827" s="257" t="s">
        <v>5574</v>
      </c>
    </row>
    <row r="2828">
      <c r="A2828" s="257" t="s">
        <v>1292</v>
      </c>
      <c r="B2828" s="257" t="s">
        <v>1292</v>
      </c>
    </row>
    <row r="2829">
      <c r="A2829" s="257" t="s">
        <v>6148</v>
      </c>
      <c r="B2829" s="257" t="s">
        <v>6148</v>
      </c>
    </row>
    <row r="2830">
      <c r="A2830" s="257" t="s">
        <v>5572</v>
      </c>
      <c r="B2830" s="257" t="s">
        <v>5572</v>
      </c>
    </row>
    <row r="2831">
      <c r="A2831" s="257" t="s">
        <v>6147</v>
      </c>
      <c r="B2831" s="257" t="s">
        <v>6147</v>
      </c>
    </row>
    <row r="2832">
      <c r="A2832" s="257" t="s">
        <v>5561</v>
      </c>
      <c r="B2832" s="257" t="s">
        <v>5561</v>
      </c>
    </row>
    <row r="2833">
      <c r="A2833" s="257" t="s">
        <v>5570</v>
      </c>
      <c r="B2833" s="257" t="s">
        <v>5570</v>
      </c>
    </row>
    <row r="2834">
      <c r="A2834" s="257" t="s">
        <v>1298</v>
      </c>
      <c r="B2834" s="257" t="s">
        <v>1298</v>
      </c>
    </row>
    <row r="2835">
      <c r="A2835" s="257" t="s">
        <v>5590</v>
      </c>
      <c r="B2835" s="257" t="s">
        <v>5590</v>
      </c>
    </row>
    <row r="2836">
      <c r="A2836" s="257" t="s">
        <v>5564</v>
      </c>
      <c r="B2836" s="257" t="s">
        <v>5564</v>
      </c>
    </row>
    <row r="2837">
      <c r="A2837" s="257" t="s">
        <v>6150</v>
      </c>
      <c r="B2837" s="257" t="s">
        <v>6150</v>
      </c>
    </row>
    <row r="2838">
      <c r="A2838" s="257" t="s">
        <v>5548</v>
      </c>
      <c r="B2838" s="257" t="s">
        <v>5548</v>
      </c>
    </row>
    <row r="2839">
      <c r="A2839" s="257" t="s">
        <v>1303</v>
      </c>
      <c r="B2839" s="257" t="s">
        <v>1303</v>
      </c>
    </row>
    <row r="2840">
      <c r="A2840" s="257" t="s">
        <v>5565</v>
      </c>
      <c r="B2840" s="257" t="s">
        <v>5565</v>
      </c>
    </row>
    <row r="2841">
      <c r="A2841" s="257" t="s">
        <v>6149</v>
      </c>
      <c r="B2841" s="257" t="s">
        <v>6149</v>
      </c>
    </row>
    <row r="2842">
      <c r="A2842" s="257" t="s">
        <v>1300</v>
      </c>
      <c r="B2842" s="257" t="s">
        <v>1300</v>
      </c>
    </row>
    <row r="2843">
      <c r="A2843" s="257" t="s">
        <v>6282</v>
      </c>
      <c r="B2843" s="257" t="s">
        <v>6282</v>
      </c>
    </row>
    <row r="2844">
      <c r="A2844" s="257" t="s">
        <v>5586</v>
      </c>
      <c r="B2844" s="257" t="s">
        <v>5586</v>
      </c>
    </row>
    <row r="2845">
      <c r="A2845" s="257" t="s">
        <v>5578</v>
      </c>
      <c r="B2845" s="257" t="s">
        <v>5578</v>
      </c>
    </row>
    <row r="2846">
      <c r="A2846" s="257" t="s">
        <v>5585</v>
      </c>
      <c r="B2846" s="257" t="s">
        <v>5585</v>
      </c>
    </row>
    <row r="2847">
      <c r="A2847" s="257" t="s">
        <v>5583</v>
      </c>
      <c r="B2847" s="257" t="s">
        <v>5583</v>
      </c>
    </row>
    <row r="2848">
      <c r="A2848" s="257" t="s">
        <v>5601</v>
      </c>
      <c r="B2848" s="257" t="s">
        <v>5601</v>
      </c>
    </row>
    <row r="2849">
      <c r="A2849" s="257" t="s">
        <v>6714</v>
      </c>
      <c r="B2849" s="257" t="s">
        <v>6714</v>
      </c>
    </row>
    <row r="2850">
      <c r="A2850" s="257" t="s">
        <v>2217</v>
      </c>
      <c r="B2850" s="257" t="s">
        <v>2217</v>
      </c>
    </row>
    <row r="2851">
      <c r="A2851" s="257" t="s">
        <v>9217</v>
      </c>
      <c r="B2851" s="257" t="s">
        <v>9217</v>
      </c>
    </row>
    <row r="2852">
      <c r="A2852" s="257" t="s">
        <v>2108</v>
      </c>
      <c r="B2852" s="257" t="s">
        <v>2108</v>
      </c>
    </row>
    <row r="2853">
      <c r="A2853" s="257" t="s">
        <v>6765</v>
      </c>
      <c r="B2853" s="257" t="s">
        <v>6765</v>
      </c>
    </row>
    <row r="2854">
      <c r="A2854" s="257" t="s">
        <v>9359</v>
      </c>
      <c r="B2854" s="257" t="s">
        <v>9359</v>
      </c>
    </row>
    <row r="2855">
      <c r="A2855" s="257" t="s">
        <v>6178</v>
      </c>
      <c r="B2855" s="257" t="s">
        <v>6178</v>
      </c>
    </row>
    <row r="2856">
      <c r="A2856" s="257" t="s">
        <v>693</v>
      </c>
      <c r="B2856" s="257" t="s">
        <v>693</v>
      </c>
    </row>
    <row r="2857">
      <c r="A2857" s="257" t="s">
        <v>6177</v>
      </c>
      <c r="B2857" s="257" t="s">
        <v>6177</v>
      </c>
    </row>
    <row r="2858">
      <c r="A2858" s="257" t="s">
        <v>2255</v>
      </c>
      <c r="B2858" s="257" t="s">
        <v>2255</v>
      </c>
    </row>
    <row r="2859">
      <c r="A2859" s="257" t="s">
        <v>6715</v>
      </c>
      <c r="B2859" s="257" t="s">
        <v>6715</v>
      </c>
    </row>
    <row r="2860">
      <c r="A2860" s="257" t="s">
        <v>6770</v>
      </c>
      <c r="B2860" s="257" t="s">
        <v>6770</v>
      </c>
    </row>
    <row r="2861">
      <c r="A2861" s="257" t="s">
        <v>2138</v>
      </c>
      <c r="B2861" s="257" t="s">
        <v>2138</v>
      </c>
    </row>
    <row r="2862">
      <c r="A2862" s="257" t="s">
        <v>13901</v>
      </c>
      <c r="B2862" s="257" t="str">
        <f>VLOOKUP(A2862,Stocktake!$A$14:$C$1942,1,0)</f>
        <v>#REF!</v>
      </c>
    </row>
    <row r="2863">
      <c r="A2863" s="257" t="s">
        <v>5231</v>
      </c>
      <c r="B2863" s="257" t="s">
        <v>5231</v>
      </c>
    </row>
    <row r="2864">
      <c r="A2864" s="257" t="s">
        <v>10798</v>
      </c>
      <c r="B2864" s="257" t="s">
        <v>10798</v>
      </c>
    </row>
    <row r="2865">
      <c r="A2865" s="257" t="s">
        <v>5056</v>
      </c>
      <c r="B2865" s="257" t="str">
        <f t="shared" ref="B2865:B2866" si="1">VLOOKUP(A2865,Stocktake!$A$14:$C$1942,1,0)</f>
        <v>#REF!</v>
      </c>
    </row>
    <row r="2866">
      <c r="A2866" s="257" t="s">
        <v>5308</v>
      </c>
      <c r="B2866" s="257" t="str">
        <f t="shared" si="1"/>
        <v>#REF!</v>
      </c>
    </row>
    <row r="2867">
      <c r="A2867" s="257" t="s">
        <v>5226</v>
      </c>
      <c r="B2867" s="257" t="s">
        <v>5226</v>
      </c>
    </row>
    <row r="2868">
      <c r="A2868" s="257" t="s">
        <v>11314</v>
      </c>
      <c r="B2868" s="257" t="str">
        <f t="shared" ref="B2868:B2869" si="2">VLOOKUP(A2868,Stocktake!$A$14:$C$1942,1,0)</f>
        <v>#REF!</v>
      </c>
    </row>
    <row r="2869">
      <c r="A2869" s="257" t="s">
        <v>5007</v>
      </c>
      <c r="B2869" s="257" t="str">
        <f t="shared" si="2"/>
        <v>#REF!</v>
      </c>
    </row>
    <row r="2870">
      <c r="A2870" s="257" t="s">
        <v>2084</v>
      </c>
      <c r="B2870" s="257" t="s">
        <v>2084</v>
      </c>
    </row>
    <row r="2871">
      <c r="A2871" s="257" t="s">
        <v>5052</v>
      </c>
      <c r="B2871" s="257" t="str">
        <f t="shared" ref="B2871:B2873" si="3">VLOOKUP(A2871,Stocktake!$A$14:$C$1942,1,0)</f>
        <v>#REF!</v>
      </c>
    </row>
    <row r="2872">
      <c r="A2872" s="257" t="s">
        <v>13902</v>
      </c>
      <c r="B2872" s="257" t="str">
        <f t="shared" si="3"/>
        <v>#REF!</v>
      </c>
    </row>
    <row r="2873">
      <c r="A2873" s="257" t="s">
        <v>5015</v>
      </c>
      <c r="B2873" s="257" t="str">
        <f t="shared" si="3"/>
        <v>#REF!</v>
      </c>
    </row>
    <row r="2874">
      <c r="A2874" s="257" t="s">
        <v>5227</v>
      </c>
      <c r="B2874" s="257" t="s">
        <v>5227</v>
      </c>
    </row>
    <row r="2875">
      <c r="A2875" s="257" t="s">
        <v>13903</v>
      </c>
      <c r="B2875" s="257" t="s">
        <v>5555</v>
      </c>
    </row>
    <row r="2876">
      <c r="A2876" s="257" t="s">
        <v>5050</v>
      </c>
      <c r="B2876" s="257" t="str">
        <f>VLOOKUP(A2876,Stocktake!$A$14:$C$1942,1,0)</f>
        <v>#REF!</v>
      </c>
    </row>
    <row r="2877">
      <c r="A2877" s="257" t="s">
        <v>2109</v>
      </c>
      <c r="B2877" s="257" t="s">
        <v>2109</v>
      </c>
    </row>
    <row r="2878">
      <c r="A2878" s="257" t="s">
        <v>12012</v>
      </c>
      <c r="B2878" s="257" t="str">
        <f t="shared" ref="B2878:B2883" si="4">VLOOKUP(A2878,Stocktake!$A$14:$C$1942,1,0)</f>
        <v>#REF!</v>
      </c>
    </row>
    <row r="2879">
      <c r="A2879" s="257" t="s">
        <v>13904</v>
      </c>
      <c r="B2879" s="257" t="str">
        <f t="shared" si="4"/>
        <v>#REF!</v>
      </c>
    </row>
    <row r="2880">
      <c r="A2880" s="257" t="s">
        <v>5318</v>
      </c>
      <c r="B2880" s="257" t="str">
        <f t="shared" si="4"/>
        <v>#REF!</v>
      </c>
    </row>
    <row r="2881">
      <c r="A2881" s="257" t="s">
        <v>5440</v>
      </c>
      <c r="B2881" s="257" t="str">
        <f t="shared" si="4"/>
        <v>#REF!</v>
      </c>
    </row>
    <row r="2882">
      <c r="A2882" s="257" t="s">
        <v>5005</v>
      </c>
      <c r="B2882" s="257" t="str">
        <f t="shared" si="4"/>
        <v>#REF!</v>
      </c>
    </row>
    <row r="2883">
      <c r="A2883" s="257" t="s">
        <v>5251</v>
      </c>
      <c r="B2883" s="257" t="str">
        <f t="shared" si="4"/>
        <v>#REF!</v>
      </c>
    </row>
    <row r="2884">
      <c r="A2884" s="257" t="s">
        <v>9198</v>
      </c>
      <c r="B2884" s="257" t="s">
        <v>9198</v>
      </c>
    </row>
    <row r="2885">
      <c r="A2885" s="257" t="s">
        <v>6316</v>
      </c>
      <c r="B2885" s="257" t="s">
        <v>6316</v>
      </c>
    </row>
    <row r="2886">
      <c r="A2886" s="257" t="s">
        <v>5373</v>
      </c>
      <c r="B2886" s="257" t="str">
        <f>VLOOKUP(A2886,Stocktake!$A$14:$C$1942,1,0)</f>
        <v>#REF!</v>
      </c>
    </row>
    <row r="2887">
      <c r="A2887" s="257" t="s">
        <v>6328</v>
      </c>
      <c r="B2887" s="257" t="s">
        <v>6328</v>
      </c>
    </row>
    <row r="2888">
      <c r="A2888" s="257" t="s">
        <v>6327</v>
      </c>
      <c r="B2888" s="257" t="s">
        <v>6327</v>
      </c>
    </row>
    <row r="2889">
      <c r="A2889" s="257" t="s">
        <v>6342</v>
      </c>
      <c r="B2889" s="257" t="s">
        <v>6342</v>
      </c>
    </row>
    <row r="2890">
      <c r="A2890" s="257" t="s">
        <v>13905</v>
      </c>
      <c r="B2890" s="257" t="str">
        <f>VLOOKUP(A2890,Stocktake!$A$14:$C$1942,1,0)</f>
        <v>#REF!</v>
      </c>
    </row>
    <row r="2891">
      <c r="A2891" s="257" t="s">
        <v>5452</v>
      </c>
      <c r="B2891" s="257" t="s">
        <v>5452</v>
      </c>
    </row>
    <row r="2892">
      <c r="A2892" s="257" t="s">
        <v>13906</v>
      </c>
      <c r="B2892" s="257" t="str">
        <f>VLOOKUP(A2892,Stocktake!$A$14:$C$1942,1,0)</f>
        <v>#REF!</v>
      </c>
    </row>
    <row r="2893">
      <c r="A2893" s="257" t="s">
        <v>5230</v>
      </c>
      <c r="B2893" s="257" t="s">
        <v>5230</v>
      </c>
    </row>
    <row r="2894">
      <c r="A2894" s="257" t="s">
        <v>6318</v>
      </c>
      <c r="B2894" s="257" t="str">
        <f>VLOOKUP(A2894,Stocktake!$A$14:$C$1942,1,0)</f>
        <v>#REF!</v>
      </c>
    </row>
    <row r="2895">
      <c r="A2895" s="257" t="s">
        <v>6332</v>
      </c>
      <c r="B2895" s="257" t="s">
        <v>6332</v>
      </c>
    </row>
    <row r="2896">
      <c r="A2896" s="257" t="s">
        <v>12078</v>
      </c>
      <c r="B2896" s="257" t="s">
        <v>12078</v>
      </c>
    </row>
    <row r="2897">
      <c r="A2897" s="257" t="s">
        <v>5493</v>
      </c>
      <c r="B2897" s="257" t="str">
        <f t="shared" ref="B2897:B2898" si="5">VLOOKUP(A2897,Stocktake!$A$14:$C$1942,1,0)</f>
        <v>#REF!</v>
      </c>
    </row>
    <row r="2898">
      <c r="A2898" s="257" t="s">
        <v>4839</v>
      </c>
      <c r="B2898" s="257" t="str">
        <f t="shared" si="5"/>
        <v>#REF!</v>
      </c>
    </row>
    <row r="2899">
      <c r="A2899" s="257" t="s">
        <v>12001</v>
      </c>
      <c r="B2899" s="257" t="s">
        <v>12001</v>
      </c>
    </row>
    <row r="2900">
      <c r="A2900" s="257" t="s">
        <v>5240</v>
      </c>
      <c r="B2900" s="257" t="s">
        <v>5240</v>
      </c>
    </row>
    <row r="2901">
      <c r="A2901" s="257" t="s">
        <v>4833</v>
      </c>
      <c r="B2901" s="257" t="s">
        <v>4833</v>
      </c>
    </row>
    <row r="2902">
      <c r="A2902" s="257" t="s">
        <v>2266</v>
      </c>
      <c r="B2902" s="257" t="s">
        <v>2266</v>
      </c>
    </row>
    <row r="2903">
      <c r="A2903" s="257" t="s">
        <v>6345</v>
      </c>
      <c r="B2903" s="257" t="s">
        <v>6345</v>
      </c>
    </row>
    <row r="2904">
      <c r="A2904" s="257" t="s">
        <v>2101</v>
      </c>
      <c r="B2904" s="257" t="s">
        <v>2101</v>
      </c>
    </row>
    <row r="2905">
      <c r="A2905" s="257" t="s">
        <v>5054</v>
      </c>
      <c r="B2905" s="257" t="str">
        <f>VLOOKUP(A2905,Stocktake!$A$14:$C$1942,1,0)</f>
        <v>#REF!</v>
      </c>
    </row>
    <row r="2906">
      <c r="A2906" s="257" t="s">
        <v>2089</v>
      </c>
      <c r="B2906" s="257" t="s">
        <v>2089</v>
      </c>
    </row>
    <row r="2907">
      <c r="A2907" s="257" t="s">
        <v>2159</v>
      </c>
      <c r="B2907" s="257" t="s">
        <v>2159</v>
      </c>
    </row>
    <row r="2908">
      <c r="A2908" s="257" t="s">
        <v>9722</v>
      </c>
      <c r="B2908" s="257" t="str">
        <f t="shared" ref="B2908:B2911" si="6">VLOOKUP(A2908,Stocktake!$A$14:$C$1942,1,0)</f>
        <v>#REF!</v>
      </c>
    </row>
    <row r="2909">
      <c r="A2909" s="257" t="s">
        <v>13907</v>
      </c>
      <c r="B2909" s="257" t="str">
        <f t="shared" si="6"/>
        <v>#REF!</v>
      </c>
    </row>
    <row r="2910">
      <c r="A2910" s="257" t="s">
        <v>4875</v>
      </c>
      <c r="B2910" s="257" t="str">
        <f t="shared" si="6"/>
        <v>#REF!</v>
      </c>
    </row>
    <row r="2911">
      <c r="A2911" s="257" t="s">
        <v>2097</v>
      </c>
      <c r="B2911" s="257" t="str">
        <f t="shared" si="6"/>
        <v>#REF!</v>
      </c>
    </row>
    <row r="2912">
      <c r="A2912" s="257" t="s">
        <v>2087</v>
      </c>
      <c r="B2912" s="257" t="s">
        <v>2087</v>
      </c>
    </row>
    <row r="2913">
      <c r="A2913" s="257" t="s">
        <v>13908</v>
      </c>
      <c r="B2913" s="257" t="str">
        <f>VLOOKUP(A2913,Stocktake!$A$14:$C$1942,1,0)</f>
        <v>#REF!</v>
      </c>
    </row>
    <row r="2914">
      <c r="A2914" s="257" t="s">
        <v>13909</v>
      </c>
      <c r="B2914" s="257" t="s">
        <v>13910</v>
      </c>
    </row>
    <row r="2915">
      <c r="A2915" s="257" t="s">
        <v>9679</v>
      </c>
      <c r="B2915" s="257" t="s">
        <v>9679</v>
      </c>
    </row>
    <row r="2916">
      <c r="A2916" s="257" t="s">
        <v>2270</v>
      </c>
      <c r="B2916" s="257" t="s">
        <v>13911</v>
      </c>
    </row>
    <row r="2917">
      <c r="A2917" s="257" t="s">
        <v>13912</v>
      </c>
      <c r="B2917" s="257" t="s">
        <v>13912</v>
      </c>
    </row>
    <row r="2918">
      <c r="A2918" s="257" t="s">
        <v>6943</v>
      </c>
      <c r="B2918" s="257" t="s">
        <v>6943</v>
      </c>
    </row>
    <row r="2919">
      <c r="A2919" s="257" t="s">
        <v>9125</v>
      </c>
      <c r="B2919" s="257" t="s">
        <v>9125</v>
      </c>
    </row>
    <row r="2920">
      <c r="A2920" s="257" t="s">
        <v>5256</v>
      </c>
      <c r="B2920" s="257" t="s">
        <v>5256</v>
      </c>
    </row>
    <row r="2921">
      <c r="A2921" s="257" t="s">
        <v>6941</v>
      </c>
      <c r="B2921" s="257" t="s">
        <v>6941</v>
      </c>
    </row>
    <row r="2922">
      <c r="A2922" s="257" t="s">
        <v>4770</v>
      </c>
      <c r="B2922" s="257" t="s">
        <v>4770</v>
      </c>
    </row>
    <row r="2923">
      <c r="A2923" s="257" t="s">
        <v>10099</v>
      </c>
      <c r="B2923" s="257" t="s">
        <v>10099</v>
      </c>
    </row>
    <row r="2924">
      <c r="A2924" s="257" t="s">
        <v>697</v>
      </c>
      <c r="B2924" s="257" t="s">
        <v>697</v>
      </c>
    </row>
    <row r="2925">
      <c r="A2925" s="257" t="s">
        <v>4742</v>
      </c>
      <c r="B2925" s="257" t="s">
        <v>4742</v>
      </c>
    </row>
    <row r="2926">
      <c r="A2926" s="257" t="s">
        <v>9253</v>
      </c>
      <c r="B2926" s="257" t="s">
        <v>9253</v>
      </c>
    </row>
    <row r="2927">
      <c r="A2927" s="257" t="s">
        <v>13913</v>
      </c>
      <c r="B2927" s="257" t="s">
        <v>13913</v>
      </c>
    </row>
    <row r="2928">
      <c r="A2928" s="257" t="s">
        <v>4744</v>
      </c>
      <c r="B2928" s="257" t="s">
        <v>4744</v>
      </c>
    </row>
    <row r="2929">
      <c r="A2929" s="257" t="s">
        <v>6944</v>
      </c>
      <c r="B2929" s="257" t="s">
        <v>6944</v>
      </c>
    </row>
    <row r="2930">
      <c r="A2930" s="257" t="s">
        <v>5253</v>
      </c>
      <c r="B2930" s="257" t="s">
        <v>5253</v>
      </c>
    </row>
    <row r="2931">
      <c r="A2931" s="257" t="s">
        <v>13914</v>
      </c>
      <c r="B2931" s="257" t="str">
        <f t="shared" ref="B2931:B3067" si="7">left(A2931,len(A2931)-2)</f>
        <v>ID1047_C1_51</v>
      </c>
    </row>
    <row r="2932">
      <c r="A2932" s="257" t="s">
        <v>13915</v>
      </c>
      <c r="B2932" s="257" t="str">
        <f t="shared" si="7"/>
        <v>DG5115_090_50</v>
      </c>
    </row>
    <row r="2933">
      <c r="A2933" s="257" t="s">
        <v>13916</v>
      </c>
      <c r="B2933" s="257" t="str">
        <f t="shared" si="7"/>
        <v>ID1519_C2_49</v>
      </c>
    </row>
    <row r="2934">
      <c r="A2934" s="257" t="s">
        <v>13917</v>
      </c>
      <c r="B2934" s="257" t="str">
        <f t="shared" si="7"/>
        <v>ID721_C2_52</v>
      </c>
    </row>
    <row r="2935">
      <c r="A2935" s="257" t="s">
        <v>13918</v>
      </c>
      <c r="B2935" s="257" t="str">
        <f t="shared" si="7"/>
        <v>EA3025_5017_54</v>
      </c>
    </row>
    <row r="2936">
      <c r="A2936" s="257" t="s">
        <v>13919</v>
      </c>
      <c r="B2936" s="257" t="str">
        <f t="shared" si="7"/>
        <v>ID1520_C1_50</v>
      </c>
    </row>
    <row r="2937">
      <c r="A2937" s="257" t="s">
        <v>13920</v>
      </c>
      <c r="B2937" s="257" t="str">
        <f t="shared" si="7"/>
        <v>ID780_C4_58</v>
      </c>
    </row>
    <row r="2938">
      <c r="A2938" s="257" t="s">
        <v>13921</v>
      </c>
      <c r="B2938" s="257" t="str">
        <f t="shared" si="7"/>
        <v>CK5367_044_52</v>
      </c>
    </row>
    <row r="2939">
      <c r="A2939" s="257" t="s">
        <v>13922</v>
      </c>
      <c r="B2939" s="257" t="str">
        <f t="shared" si="7"/>
        <v>ID1484_C4_51</v>
      </c>
    </row>
    <row r="2940">
      <c r="A2940" s="257" t="s">
        <v>13923</v>
      </c>
      <c r="B2940" s="257" t="str">
        <f t="shared" si="7"/>
        <v>ID1484_C6_51</v>
      </c>
    </row>
    <row r="2941">
      <c r="A2941" s="257" t="s">
        <v>13924</v>
      </c>
      <c r="B2941" s="257" t="str">
        <f t="shared" si="7"/>
        <v>ID1546_C4_52</v>
      </c>
    </row>
    <row r="2942">
      <c r="A2942" s="257" t="s">
        <v>13925</v>
      </c>
      <c r="B2942" s="257" t="str">
        <f t="shared" si="7"/>
        <v>ID1144_C2_53</v>
      </c>
    </row>
    <row r="2943">
      <c r="A2943" s="257" t="s">
        <v>13926</v>
      </c>
      <c r="B2943" s="257" t="str">
        <f t="shared" si="7"/>
        <v>ID1543_C5_54</v>
      </c>
    </row>
    <row r="2944">
      <c r="A2944" s="257" t="s">
        <v>13927</v>
      </c>
      <c r="B2944" s="257" t="str">
        <f t="shared" si="7"/>
        <v>ID1489_C5_51</v>
      </c>
    </row>
    <row r="2945">
      <c r="A2945" s="257" t="s">
        <v>13928</v>
      </c>
      <c r="B2945" s="257" t="str">
        <f t="shared" si="7"/>
        <v>ID1160_C3_51</v>
      </c>
    </row>
    <row r="2946">
      <c r="A2946" s="257" t="s">
        <v>13929</v>
      </c>
      <c r="B2946" s="257" t="str">
        <f t="shared" si="7"/>
        <v>ID1519_C3_49</v>
      </c>
    </row>
    <row r="2947">
      <c r="A2947" s="257" t="s">
        <v>13930</v>
      </c>
      <c r="B2947" s="257" t="str">
        <f t="shared" si="7"/>
        <v>ID1544_C5_52</v>
      </c>
    </row>
    <row r="2948">
      <c r="A2948" s="257" t="s">
        <v>13931</v>
      </c>
      <c r="B2948" s="257" t="str">
        <f t="shared" si="7"/>
        <v>ID1038_C4_M</v>
      </c>
    </row>
    <row r="2949">
      <c r="A2949" s="257" t="s">
        <v>13932</v>
      </c>
      <c r="B2949" s="257" t="str">
        <f t="shared" si="7"/>
        <v>ID1517_C1_55</v>
      </c>
    </row>
    <row r="2950">
      <c r="A2950" s="257" t="s">
        <v>13933</v>
      </c>
      <c r="B2950" s="257" t="str">
        <f t="shared" si="7"/>
        <v>ID856_C1_51</v>
      </c>
    </row>
    <row r="2951">
      <c r="A2951" s="257" t="s">
        <v>13934</v>
      </c>
      <c r="B2951" s="257" t="str">
        <f t="shared" si="7"/>
        <v>ID1476_C3_52</v>
      </c>
    </row>
    <row r="2952">
      <c r="A2952" s="257" t="s">
        <v>13935</v>
      </c>
      <c r="B2952" s="257" t="str">
        <f t="shared" si="7"/>
        <v>ID1471_C3_50</v>
      </c>
    </row>
    <row r="2953">
      <c r="A2953" s="257" t="s">
        <v>13936</v>
      </c>
      <c r="B2953" s="257" t="str">
        <f t="shared" si="7"/>
        <v>CK5365A_046_51</v>
      </c>
    </row>
    <row r="2954">
      <c r="A2954" s="257" t="s">
        <v>13937</v>
      </c>
      <c r="B2954" s="257" t="str">
        <f t="shared" si="7"/>
        <v>ID1470_C6_52</v>
      </c>
    </row>
    <row r="2955">
      <c r="A2955" s="257" t="s">
        <v>13938</v>
      </c>
      <c r="B2955" s="257" t="str">
        <f t="shared" si="7"/>
        <v>ID698_C1_53</v>
      </c>
    </row>
    <row r="2956">
      <c r="A2956" s="257" t="s">
        <v>13939</v>
      </c>
      <c r="B2956" s="257" t="str">
        <f t="shared" si="7"/>
        <v>EA3091_5500_53</v>
      </c>
    </row>
    <row r="2957">
      <c r="A2957" s="257" t="s">
        <v>13940</v>
      </c>
      <c r="B2957" s="257" t="str">
        <f t="shared" si="7"/>
        <v>ID829_C4_51</v>
      </c>
    </row>
    <row r="2958">
      <c r="A2958" s="257" t="s">
        <v>13941</v>
      </c>
      <c r="B2958" s="257" t="str">
        <f t="shared" si="7"/>
        <v>ID1545_C3_54</v>
      </c>
    </row>
    <row r="2959">
      <c r="A2959" s="257" t="s">
        <v>13942</v>
      </c>
      <c r="B2959" s="257" t="str">
        <f t="shared" si="7"/>
        <v>ID1545_C4_54</v>
      </c>
    </row>
    <row r="2960">
      <c r="A2960" s="257" t="s">
        <v>13943</v>
      </c>
      <c r="B2960" s="257" t="str">
        <f t="shared" si="7"/>
        <v>ID1521_C3_51</v>
      </c>
    </row>
    <row r="2961">
      <c r="A2961" s="257" t="s">
        <v>13944</v>
      </c>
      <c r="B2961" s="257" t="str">
        <f t="shared" si="7"/>
        <v>CK5327_060_M</v>
      </c>
    </row>
    <row r="2962">
      <c r="A2962" s="257" t="s">
        <v>13945</v>
      </c>
      <c r="B2962" s="257" t="str">
        <f t="shared" si="7"/>
        <v>ID1543_C4_54</v>
      </c>
    </row>
    <row r="2963">
      <c r="A2963" s="257" t="s">
        <v>13946</v>
      </c>
      <c r="B2963" s="257" t="str">
        <f t="shared" si="7"/>
        <v>ID1520_C2_50</v>
      </c>
    </row>
    <row r="2964">
      <c r="A2964" s="257" t="s">
        <v>13947</v>
      </c>
      <c r="B2964" s="257" t="str">
        <f t="shared" si="7"/>
        <v>ID1504_C2_52</v>
      </c>
    </row>
    <row r="2965">
      <c r="A2965" s="257" t="s">
        <v>13948</v>
      </c>
      <c r="B2965" s="257" t="str">
        <f t="shared" si="7"/>
        <v>CK5366A_097_52</v>
      </c>
    </row>
    <row r="2966">
      <c r="A2966" s="257" t="s">
        <v>13949</v>
      </c>
      <c r="B2966" s="257" t="str">
        <f t="shared" si="7"/>
        <v>ID1521_C1_M</v>
      </c>
    </row>
    <row r="2967">
      <c r="A2967" s="257" t="s">
        <v>13950</v>
      </c>
      <c r="B2967" s="257" t="str">
        <f t="shared" si="7"/>
        <v>ID1500_C5_M</v>
      </c>
    </row>
    <row r="2968">
      <c r="A2968" s="257" t="s">
        <v>13951</v>
      </c>
      <c r="B2968" s="257" t="str">
        <f t="shared" si="7"/>
        <v>ID1001_C1_54</v>
      </c>
    </row>
    <row r="2969">
      <c r="A2969" s="257" t="s">
        <v>13952</v>
      </c>
      <c r="B2969" s="257" t="str">
        <f t="shared" si="7"/>
        <v>ID1517_C3_55</v>
      </c>
    </row>
    <row r="2970">
      <c r="A2970" s="257" t="s">
        <v>13953</v>
      </c>
      <c r="B2970" s="257" t="str">
        <f t="shared" si="7"/>
        <v>ID1519_C1_49</v>
      </c>
    </row>
    <row r="2971">
      <c r="A2971" s="257" t="s">
        <v>13954</v>
      </c>
      <c r="B2971" s="257" t="str">
        <f t="shared" si="7"/>
        <v>ID1531_C2_54</v>
      </c>
    </row>
    <row r="2972">
      <c r="A2972" s="257" t="s">
        <v>13955</v>
      </c>
      <c r="B2972" s="257" t="str">
        <f t="shared" si="7"/>
        <v>ID1545_C1_54</v>
      </c>
    </row>
    <row r="2973">
      <c r="A2973" s="257" t="s">
        <v>13956</v>
      </c>
      <c r="B2973" s="257" t="str">
        <f t="shared" si="7"/>
        <v>FT_R022GR1_M</v>
      </c>
    </row>
    <row r="2974">
      <c r="A2974" s="257" t="s">
        <v>13957</v>
      </c>
      <c r="B2974" s="257" t="str">
        <f t="shared" si="7"/>
        <v>ID1546_C5_52</v>
      </c>
    </row>
    <row r="2975">
      <c r="A2975" s="257" t="s">
        <v>13958</v>
      </c>
      <c r="B2975" s="257" t="str">
        <f t="shared" si="7"/>
        <v>ID1546_C2_52</v>
      </c>
    </row>
    <row r="2976">
      <c r="A2976" s="257" t="s">
        <v>13959</v>
      </c>
      <c r="B2976" s="257" t="str">
        <f t="shared" si="7"/>
        <v>ID1521_C2_51</v>
      </c>
    </row>
    <row r="2977">
      <c r="A2977" s="257" t="s">
        <v>13960</v>
      </c>
      <c r="B2977" s="257" t="str">
        <f t="shared" si="7"/>
        <v>ID698_C5_53</v>
      </c>
    </row>
    <row r="2978">
      <c r="A2978" s="257" t="s">
        <v>13961</v>
      </c>
      <c r="B2978" s="257" t="str">
        <f t="shared" si="7"/>
        <v>ID1405_C2_M</v>
      </c>
    </row>
    <row r="2979">
      <c r="A2979" s="257" t="s">
        <v>13962</v>
      </c>
      <c r="B2979" s="257" t="str">
        <f t="shared" si="7"/>
        <v>ID706_C3_52</v>
      </c>
    </row>
    <row r="2980">
      <c r="A2980" s="257" t="s">
        <v>13963</v>
      </c>
      <c r="B2980" s="257" t="str">
        <f t="shared" si="7"/>
        <v>ID1525_C2_55</v>
      </c>
    </row>
    <row r="2981">
      <c r="A2981" s="257" t="s">
        <v>13964</v>
      </c>
      <c r="B2981" s="257" t="str">
        <f t="shared" si="7"/>
        <v>ID1027_C3_53</v>
      </c>
    </row>
    <row r="2982">
      <c r="A2982" s="257" t="s">
        <v>13965</v>
      </c>
      <c r="B2982" s="257" t="str">
        <f t="shared" si="7"/>
        <v>ID1000_C4_M</v>
      </c>
    </row>
    <row r="2983">
      <c r="A2983" s="257" t="s">
        <v>13966</v>
      </c>
      <c r="B2983" s="257" t="str">
        <f t="shared" si="7"/>
        <v>DG1238P_1169_54</v>
      </c>
    </row>
    <row r="2984">
      <c r="A2984" s="257" t="s">
        <v>13967</v>
      </c>
      <c r="B2984" s="257" t="str">
        <f t="shared" si="7"/>
        <v>ID1142_C2_52</v>
      </c>
    </row>
    <row r="2985">
      <c r="A2985" s="257" t="s">
        <v>13968</v>
      </c>
      <c r="B2985" s="257" t="str">
        <f t="shared" si="7"/>
        <v>ID1545_C6_54</v>
      </c>
    </row>
    <row r="2986">
      <c r="A2986" s="257" t="s">
        <v>13969</v>
      </c>
      <c r="B2986" s="257" t="str">
        <f t="shared" si="7"/>
        <v>CK5350_060_54</v>
      </c>
    </row>
    <row r="2987">
      <c r="A2987" s="257" t="s">
        <v>13970</v>
      </c>
      <c r="B2987" s="257" t="str">
        <f t="shared" si="7"/>
        <v>ID1543_C1_54</v>
      </c>
    </row>
    <row r="2988">
      <c r="A2988" s="257" t="s">
        <v>13971</v>
      </c>
      <c r="B2988" s="257" t="str">
        <f t="shared" si="7"/>
        <v>ID1447_C2_51</v>
      </c>
    </row>
    <row r="2989">
      <c r="A2989" s="257" t="s">
        <v>13972</v>
      </c>
      <c r="B2989" s="257" t="str">
        <f t="shared" si="7"/>
        <v>CK5364A_028_M</v>
      </c>
    </row>
    <row r="2990">
      <c r="A2990" s="257" t="s">
        <v>13973</v>
      </c>
      <c r="B2990" s="257" t="str">
        <f t="shared" si="7"/>
        <v>ID1520_C3_50</v>
      </c>
    </row>
    <row r="2991">
      <c r="A2991" s="257" t="s">
        <v>13974</v>
      </c>
      <c r="B2991" s="257" t="str">
        <f t="shared" si="7"/>
        <v>ID1525_C3_55</v>
      </c>
    </row>
    <row r="2992">
      <c r="A2992" s="257" t="s">
        <v>13975</v>
      </c>
      <c r="B2992" s="257" t="str">
        <f t="shared" si="7"/>
        <v>ID733_C4_M</v>
      </c>
    </row>
    <row r="2993">
      <c r="A2993" s="257" t="s">
        <v>13976</v>
      </c>
      <c r="B2993" s="257" t="str">
        <f t="shared" si="7"/>
        <v>ID1047_C2_51</v>
      </c>
    </row>
    <row r="2994">
      <c r="A2994" s="257" t="s">
        <v>13977</v>
      </c>
      <c r="B2994" s="257" t="str">
        <f t="shared" si="7"/>
        <v>ID1499_C7_M</v>
      </c>
    </row>
    <row r="2995">
      <c r="A2995" s="257" t="s">
        <v>13978</v>
      </c>
      <c r="B2995" s="257" t="str">
        <f t="shared" si="7"/>
        <v>ID1139_C4_53</v>
      </c>
    </row>
    <row r="2996">
      <c r="A2996" s="257" t="s">
        <v>13979</v>
      </c>
      <c r="B2996" s="257" t="str">
        <f t="shared" si="7"/>
        <v>ID706_C4_52</v>
      </c>
    </row>
    <row r="2997">
      <c r="A2997" s="257" t="s">
        <v>13980</v>
      </c>
      <c r="B2997" s="257" t="str">
        <f t="shared" si="7"/>
        <v>ID736_C4_M</v>
      </c>
    </row>
    <row r="2998">
      <c r="A2998" s="257" t="s">
        <v>13981</v>
      </c>
      <c r="B2998" s="257" t="str">
        <f t="shared" si="7"/>
        <v>ID1531_C3_M</v>
      </c>
    </row>
    <row r="2999">
      <c r="A2999" s="257" t="s">
        <v>13982</v>
      </c>
      <c r="B2999" s="257" t="str">
        <f t="shared" si="7"/>
        <v>ID1504_C4_52</v>
      </c>
    </row>
    <row r="3000">
      <c r="A3000" s="257" t="s">
        <v>13983</v>
      </c>
      <c r="B3000" s="257" t="str">
        <f t="shared" si="7"/>
        <v>ID1484_C5_51</v>
      </c>
    </row>
    <row r="3001">
      <c r="A3001" s="257" t="s">
        <v>13984</v>
      </c>
      <c r="B3001" s="257" t="str">
        <f t="shared" si="7"/>
        <v>ID1203_C4_52</v>
      </c>
    </row>
    <row r="3002">
      <c r="A3002" s="257" t="s">
        <v>13985</v>
      </c>
      <c r="B3002" s="257" t="str">
        <f t="shared" si="7"/>
        <v>ID1477_C4_53</v>
      </c>
    </row>
    <row r="3003">
      <c r="A3003" s="257" t="s">
        <v>13986</v>
      </c>
      <c r="B3003" s="257" t="str">
        <f t="shared" si="7"/>
        <v>ID1546_C1_52</v>
      </c>
    </row>
    <row r="3004">
      <c r="A3004" s="257" t="s">
        <v>13987</v>
      </c>
      <c r="B3004" s="257" t="str">
        <f t="shared" si="7"/>
        <v>ID1543_C7_54</v>
      </c>
    </row>
    <row r="3005">
      <c r="A3005" s="257" t="s">
        <v>13988</v>
      </c>
      <c r="B3005" s="257" t="str">
        <f t="shared" si="7"/>
        <v>ID1543_C2_54</v>
      </c>
    </row>
    <row r="3006">
      <c r="A3006" s="257" t="s">
        <v>13989</v>
      </c>
      <c r="B3006" s="257" t="str">
        <f t="shared" si="7"/>
        <v>EA3073_5026_54</v>
      </c>
    </row>
    <row r="3007">
      <c r="A3007" s="257" t="s">
        <v>13990</v>
      </c>
      <c r="B3007" s="257" t="str">
        <f t="shared" si="7"/>
        <v>ID1002_C2_52</v>
      </c>
    </row>
    <row r="3008">
      <c r="A3008" s="257" t="s">
        <v>13991</v>
      </c>
      <c r="B3008" s="257" t="str">
        <f t="shared" si="7"/>
        <v>ID827_C1_53</v>
      </c>
    </row>
    <row r="3009">
      <c r="A3009" s="257" t="s">
        <v>13992</v>
      </c>
      <c r="B3009" s="257" t="str">
        <f t="shared" si="7"/>
        <v>EA3013_5026_52</v>
      </c>
    </row>
    <row r="3010">
      <c r="A3010" s="257" t="s">
        <v>13993</v>
      </c>
      <c r="B3010" s="257" t="str">
        <f t="shared" si="7"/>
        <v>RX7027_2000_54</v>
      </c>
    </row>
    <row r="3011">
      <c r="A3011" s="257" t="s">
        <v>13994</v>
      </c>
      <c r="B3011" s="257" t="str">
        <f t="shared" si="7"/>
        <v>VO5013_W44_52</v>
      </c>
    </row>
    <row r="3012">
      <c r="A3012" s="257" t="s">
        <v>13995</v>
      </c>
      <c r="B3012" s="257" t="str">
        <f t="shared" si="7"/>
        <v>TH2515_C3_50</v>
      </c>
    </row>
    <row r="3013">
      <c r="A3013" s="257" t="s">
        <v>13996</v>
      </c>
      <c r="B3013" s="257" t="str">
        <f t="shared" si="7"/>
        <v>TH5221_C4_51</v>
      </c>
    </row>
    <row r="3014">
      <c r="A3014" s="257" t="s">
        <v>13997</v>
      </c>
      <c r="B3014" s="257" t="str">
        <f t="shared" si="7"/>
        <v>VO4037_352_52</v>
      </c>
    </row>
    <row r="3015">
      <c r="A3015" s="257" t="s">
        <v>13998</v>
      </c>
      <c r="B3015" s="257" t="str">
        <f t="shared" si="7"/>
        <v>VO4038_548_54</v>
      </c>
    </row>
    <row r="3016">
      <c r="A3016" s="257" t="s">
        <v>13999</v>
      </c>
      <c r="B3016" s="257" t="str">
        <f t="shared" si="7"/>
        <v>TH7976_C1_52</v>
      </c>
    </row>
    <row r="3017">
      <c r="A3017" s="257" t="s">
        <v>14000</v>
      </c>
      <c r="B3017" s="257" t="str">
        <f t="shared" si="7"/>
        <v>ID946_C3_51</v>
      </c>
    </row>
    <row r="3018">
      <c r="A3018" s="257" t="s">
        <v>14001</v>
      </c>
      <c r="B3018" s="257" t="str">
        <f t="shared" si="7"/>
        <v>VO5010_W44_53</v>
      </c>
    </row>
    <row r="3019">
      <c r="A3019" s="257" t="s">
        <v>14002</v>
      </c>
      <c r="B3019" s="257" t="str">
        <f t="shared" si="7"/>
        <v>ID869_C2_52</v>
      </c>
    </row>
    <row r="3020">
      <c r="A3020" s="257" t="s">
        <v>14003</v>
      </c>
      <c r="B3020" s="257" t="str">
        <f t="shared" si="7"/>
        <v>ID973_C2_51</v>
      </c>
    </row>
    <row r="3021">
      <c r="A3021" s="257" t="s">
        <v>14004</v>
      </c>
      <c r="B3021" s="257" t="str">
        <f t="shared" si="7"/>
        <v>ID911_C2_52</v>
      </c>
    </row>
    <row r="3022">
      <c r="A3022" s="257" t="s">
        <v>14005</v>
      </c>
      <c r="B3022" s="257" t="str">
        <f t="shared" si="7"/>
        <v>ID996_C3_51</v>
      </c>
    </row>
    <row r="3023">
      <c r="A3023" s="257" t="s">
        <v>14006</v>
      </c>
      <c r="B3023" s="257" t="str">
        <f t="shared" si="7"/>
        <v>VO5042_W44_53</v>
      </c>
    </row>
    <row r="3024">
      <c r="A3024" s="257" t="s">
        <v>14007</v>
      </c>
      <c r="B3024" s="257" t="str">
        <f t="shared" si="7"/>
        <v>ID950_C2_M</v>
      </c>
    </row>
    <row r="3025">
      <c r="A3025" s="257" t="s">
        <v>14008</v>
      </c>
      <c r="B3025" s="257" t="str">
        <f t="shared" si="7"/>
        <v>ID997_C3_52</v>
      </c>
    </row>
    <row r="3026">
      <c r="A3026" s="257" t="s">
        <v>14009</v>
      </c>
      <c r="B3026" s="257" t="str">
        <f t="shared" si="7"/>
        <v>ID961_C2_51</v>
      </c>
    </row>
    <row r="3027">
      <c r="A3027" s="257" t="s">
        <v>14010</v>
      </c>
      <c r="B3027" s="257" t="str">
        <f t="shared" si="7"/>
        <v>VO3965_848S_55</v>
      </c>
    </row>
    <row r="3028">
      <c r="A3028" s="257" t="s">
        <v>14011</v>
      </c>
      <c r="B3028" s="257" t="str">
        <f t="shared" si="7"/>
        <v>RX6384_2502_52</v>
      </c>
    </row>
    <row r="3029">
      <c r="A3029" s="257" t="s">
        <v>14012</v>
      </c>
      <c r="B3029" s="257" t="str">
        <f t="shared" si="7"/>
        <v>VO3980_352S_52</v>
      </c>
    </row>
    <row r="3030">
      <c r="A3030" s="257" t="s">
        <v>14013</v>
      </c>
      <c r="B3030" s="257" t="str">
        <f t="shared" si="7"/>
        <v>ID884_C3_51</v>
      </c>
    </row>
    <row r="3031">
      <c r="A3031" s="257" t="s">
        <v>14014</v>
      </c>
      <c r="B3031" s="257" t="str">
        <f t="shared" si="7"/>
        <v>VO2950_2048_51</v>
      </c>
    </row>
    <row r="3032">
      <c r="A3032" s="257" t="s">
        <v>14015</v>
      </c>
      <c r="B3032" s="257" t="str">
        <f t="shared" si="7"/>
        <v>ID941_C1_52</v>
      </c>
    </row>
    <row r="3033">
      <c r="A3033" s="257" t="s">
        <v>14016</v>
      </c>
      <c r="B3033" s="257" t="str">
        <f t="shared" si="7"/>
        <v>VO2787_2406_53</v>
      </c>
    </row>
    <row r="3034">
      <c r="A3034" s="257" t="s">
        <v>14017</v>
      </c>
      <c r="B3034" s="257" t="str">
        <f t="shared" si="7"/>
        <v>ID890_C3_51</v>
      </c>
    </row>
    <row r="3035">
      <c r="A3035" s="257" t="s">
        <v>14018</v>
      </c>
      <c r="B3035" s="257" t="str">
        <f t="shared" si="7"/>
        <v>VO3844_352_52</v>
      </c>
    </row>
    <row r="3036">
      <c r="A3036" s="257" t="s">
        <v>14019</v>
      </c>
      <c r="B3036" s="257" t="str">
        <f t="shared" si="7"/>
        <v>ID874_C3_52</v>
      </c>
    </row>
    <row r="3037">
      <c r="A3037" s="257" t="s">
        <v>14020</v>
      </c>
      <c r="B3037" s="257" t="str">
        <f t="shared" si="7"/>
        <v>ID915_C3_M</v>
      </c>
    </row>
    <row r="3038">
      <c r="A3038" s="257" t="s">
        <v>14021</v>
      </c>
      <c r="B3038" s="257" t="str">
        <f t="shared" si="7"/>
        <v>ID857_C1_53</v>
      </c>
    </row>
    <row r="3039">
      <c r="A3039" s="257" t="s">
        <v>14022</v>
      </c>
      <c r="B3039" s="257" t="str">
        <f t="shared" si="7"/>
        <v>ID925_C3_51</v>
      </c>
    </row>
    <row r="3040">
      <c r="A3040" s="257" t="s">
        <v>14023</v>
      </c>
      <c r="B3040" s="257" t="str">
        <f t="shared" si="7"/>
        <v>VO2714_2406_54</v>
      </c>
    </row>
    <row r="3041">
      <c r="A3041" s="257" t="s">
        <v>14024</v>
      </c>
      <c r="B3041" s="257" t="str">
        <f t="shared" si="7"/>
        <v>VO2789B_W656_52</v>
      </c>
    </row>
    <row r="3042">
      <c r="A3042" s="257" t="s">
        <v>14025</v>
      </c>
      <c r="B3042" s="257" t="str">
        <f t="shared" si="7"/>
        <v>ID916_C3_53</v>
      </c>
    </row>
    <row r="3043">
      <c r="A3043" s="257" t="s">
        <v>14026</v>
      </c>
      <c r="B3043" s="257" t="str">
        <f t="shared" si="7"/>
        <v>RX7028_5392_55</v>
      </c>
    </row>
    <row r="3044">
      <c r="A3044" s="257" t="s">
        <v>14027</v>
      </c>
      <c r="B3044" s="257" t="str">
        <f t="shared" si="7"/>
        <v>ID908_C2_50</v>
      </c>
    </row>
    <row r="3045">
      <c r="A3045" s="257" t="s">
        <v>14028</v>
      </c>
      <c r="B3045" s="257" t="str">
        <f t="shared" si="7"/>
        <v>VO3893_280_52</v>
      </c>
    </row>
    <row r="3046">
      <c r="A3046" s="257" t="s">
        <v>14029</v>
      </c>
      <c r="B3046" s="257" t="str">
        <f t="shared" si="7"/>
        <v>VO3763_352_52</v>
      </c>
    </row>
    <row r="3047">
      <c r="A3047" s="257" t="s">
        <v>14030</v>
      </c>
      <c r="B3047" s="257" t="str">
        <f t="shared" si="7"/>
        <v>ID907_C2_51</v>
      </c>
    </row>
    <row r="3048">
      <c r="A3048" s="257" t="s">
        <v>14031</v>
      </c>
      <c r="B3048" s="257" t="str">
        <f t="shared" si="7"/>
        <v>VO3845B_548_52</v>
      </c>
    </row>
    <row r="3049">
      <c r="A3049" s="257" t="s">
        <v>14032</v>
      </c>
      <c r="B3049" s="257" t="str">
        <f t="shared" si="7"/>
        <v>ID997_C2_52</v>
      </c>
    </row>
    <row r="3050">
      <c r="A3050" s="257" t="s">
        <v>14033</v>
      </c>
      <c r="B3050" s="257" t="str">
        <f t="shared" si="7"/>
        <v>ID911_C3_52</v>
      </c>
    </row>
    <row r="3051">
      <c r="A3051" s="257" t="s">
        <v>14034</v>
      </c>
      <c r="B3051" s="257" t="str">
        <f t="shared" si="7"/>
        <v>ID950_C4_51</v>
      </c>
    </row>
    <row r="3052">
      <c r="A3052" s="257" t="s">
        <v>14035</v>
      </c>
      <c r="B3052" s="257" t="str">
        <f t="shared" si="7"/>
        <v>VO4038_5033_54</v>
      </c>
    </row>
    <row r="3053">
      <c r="A3053" s="257" t="s">
        <v>14036</v>
      </c>
      <c r="B3053" s="257" t="str">
        <f t="shared" si="7"/>
        <v>RX7014_5068_54</v>
      </c>
    </row>
    <row r="3054">
      <c r="A3054" s="257" t="s">
        <v>14037</v>
      </c>
      <c r="B3054" s="257" t="str">
        <f t="shared" si="7"/>
        <v>VO5120_W656_52</v>
      </c>
    </row>
    <row r="3055">
      <c r="A3055" s="257" t="s">
        <v>14038</v>
      </c>
      <c r="B3055" s="257" t="str">
        <f t="shared" si="7"/>
        <v>ID1490_C2_53</v>
      </c>
    </row>
    <row r="3056">
      <c r="A3056" s="257" t="s">
        <v>14039</v>
      </c>
      <c r="B3056" s="257" t="str">
        <f t="shared" si="7"/>
        <v>ID1157_C2_52</v>
      </c>
    </row>
    <row r="3057">
      <c r="A3057" s="257" t="s">
        <v>14040</v>
      </c>
      <c r="B3057" s="257" t="str">
        <f t="shared" si="7"/>
        <v>ID1460_C1_54</v>
      </c>
    </row>
    <row r="3058">
      <c r="A3058" s="257" t="s">
        <v>14041</v>
      </c>
      <c r="B3058" s="257" t="str">
        <f t="shared" si="7"/>
        <v>ID1541_C2_53</v>
      </c>
    </row>
    <row r="3059">
      <c r="A3059" s="257" t="s">
        <v>14042</v>
      </c>
      <c r="B3059" s="257" t="str">
        <f t="shared" si="7"/>
        <v>ID1482_C1_51</v>
      </c>
    </row>
    <row r="3060">
      <c r="A3060" s="257" t="s">
        <v>14043</v>
      </c>
      <c r="B3060" s="257" t="str">
        <f t="shared" si="7"/>
        <v>ID1482_C4_51</v>
      </c>
    </row>
    <row r="3061">
      <c r="A3061" s="257" t="s">
        <v>14044</v>
      </c>
      <c r="B3061" s="257" t="str">
        <f t="shared" si="7"/>
        <v>VO2937_W44_51</v>
      </c>
    </row>
    <row r="3062">
      <c r="A3062" s="257" t="s">
        <v>14045</v>
      </c>
      <c r="B3062" s="257" t="str">
        <f t="shared" si="7"/>
        <v>ID1494_C3_52</v>
      </c>
    </row>
    <row r="3063">
      <c r="A3063" s="257" t="s">
        <v>14046</v>
      </c>
      <c r="B3063" s="257" t="str">
        <f t="shared" si="7"/>
        <v>ID1482_C5_51</v>
      </c>
    </row>
    <row r="3064">
      <c r="A3064" s="257" t="s">
        <v>14047</v>
      </c>
      <c r="B3064" s="257" t="str">
        <f t="shared" si="7"/>
        <v>VO2816_2182_52</v>
      </c>
    </row>
    <row r="3065">
      <c r="A3065" s="257" t="s">
        <v>14048</v>
      </c>
      <c r="B3065" s="257" t="str">
        <f t="shared" si="7"/>
        <v>ID1559_C3_54</v>
      </c>
    </row>
    <row r="3066">
      <c r="A3066" s="257" t="s">
        <v>14049</v>
      </c>
      <c r="B3066" s="257" t="str">
        <f t="shared" si="7"/>
        <v>ID1147_C4_52</v>
      </c>
    </row>
    <row r="3067">
      <c r="A3067" s="257" t="s">
        <v>14050</v>
      </c>
      <c r="B3067" s="257" t="str">
        <f t="shared" si="7"/>
        <v>VO4037_280_52</v>
      </c>
    </row>
    <row r="3068">
      <c r="A3068" s="257" t="s">
        <v>13587</v>
      </c>
      <c r="B3068" s="257" t="s">
        <v>13587</v>
      </c>
    </row>
    <row r="3069">
      <c r="A3069" s="257" t="s">
        <v>14051</v>
      </c>
      <c r="B3069" s="257" t="s">
        <v>14051</v>
      </c>
    </row>
    <row r="3070">
      <c r="A3070" s="257" t="s">
        <v>14052</v>
      </c>
      <c r="B3070" s="257" t="s">
        <v>14052</v>
      </c>
    </row>
    <row r="3071">
      <c r="A3071" s="257" t="s">
        <v>14053</v>
      </c>
      <c r="B3071" s="257" t="s">
        <v>14053</v>
      </c>
    </row>
    <row r="3072">
      <c r="A3072" s="257" t="s">
        <v>14054</v>
      </c>
      <c r="B3072" s="257" t="s">
        <v>14054</v>
      </c>
    </row>
    <row r="3073">
      <c r="A3073" s="257" t="s">
        <v>14055</v>
      </c>
      <c r="B3073" s="257" t="s">
        <v>14055</v>
      </c>
    </row>
    <row r="3074">
      <c r="A3074" s="257" t="s">
        <v>14056</v>
      </c>
      <c r="B3074" s="257" t="s">
        <v>14056</v>
      </c>
    </row>
    <row r="3075">
      <c r="A3075" s="257" t="s">
        <v>14057</v>
      </c>
      <c r="B3075" s="257" t="s">
        <v>14057</v>
      </c>
    </row>
    <row r="3076">
      <c r="A3076" s="257" t="s">
        <v>14058</v>
      </c>
      <c r="B3076" s="257" t="s">
        <v>14058</v>
      </c>
    </row>
    <row r="3077">
      <c r="A3077" s="257" t="s">
        <v>14059</v>
      </c>
      <c r="B3077" s="257" t="s">
        <v>14059</v>
      </c>
    </row>
    <row r="3078">
      <c r="A3078" s="257" t="s">
        <v>14060</v>
      </c>
      <c r="B3078" s="257" t="s">
        <v>14060</v>
      </c>
    </row>
    <row r="3079">
      <c r="A3079" s="257" t="s">
        <v>14061</v>
      </c>
      <c r="B3079" s="257" t="s">
        <v>14062</v>
      </c>
    </row>
    <row r="3080">
      <c r="A3080" s="257" t="s">
        <v>14063</v>
      </c>
      <c r="B3080" s="257" t="s">
        <v>14063</v>
      </c>
    </row>
    <row r="3081">
      <c r="A3081" s="257" t="s">
        <v>14064</v>
      </c>
      <c r="B3081" s="257" t="s">
        <v>14064</v>
      </c>
    </row>
    <row r="3082">
      <c r="A3082" s="257" t="s">
        <v>14065</v>
      </c>
      <c r="B3082" s="257" t="s">
        <v>14065</v>
      </c>
    </row>
    <row r="3083">
      <c r="A3083" s="257" t="s">
        <v>14066</v>
      </c>
      <c r="B3083" s="257" t="s">
        <v>14066</v>
      </c>
    </row>
    <row r="3084">
      <c r="A3084" s="257" t="s">
        <v>14067</v>
      </c>
      <c r="B3084" s="257" t="s">
        <v>14067</v>
      </c>
    </row>
    <row r="3085">
      <c r="A3085" s="257" t="s">
        <v>14068</v>
      </c>
      <c r="B3085" s="257" t="s">
        <v>14068</v>
      </c>
    </row>
    <row r="3086">
      <c r="A3086" s="257" t="s">
        <v>14069</v>
      </c>
      <c r="B3086" s="257" t="s">
        <v>14069</v>
      </c>
    </row>
    <row r="3087">
      <c r="A3087" s="257" t="s">
        <v>14070</v>
      </c>
      <c r="B3087" s="257" t="s">
        <v>14070</v>
      </c>
    </row>
    <row r="3088">
      <c r="A3088" s="257" t="s">
        <v>14071</v>
      </c>
      <c r="B3088" s="257" t="s">
        <v>14071</v>
      </c>
    </row>
    <row r="3089">
      <c r="A3089" s="257" t="s">
        <v>14072</v>
      </c>
      <c r="B3089" s="257" t="s">
        <v>14072</v>
      </c>
    </row>
    <row r="3090">
      <c r="A3090" s="257" t="s">
        <v>14073</v>
      </c>
      <c r="B3090" s="257" t="s">
        <v>14073</v>
      </c>
    </row>
    <row r="3091">
      <c r="A3091" s="257" t="s">
        <v>14074</v>
      </c>
      <c r="B3091" s="257" t="s">
        <v>14074</v>
      </c>
    </row>
    <row r="3092">
      <c r="A3092" s="257" t="s">
        <v>14075</v>
      </c>
      <c r="B3092" s="257" t="s">
        <v>14075</v>
      </c>
    </row>
    <row r="3093">
      <c r="A3093" s="257" t="s">
        <v>10042</v>
      </c>
      <c r="B3093" s="257" t="s">
        <v>10042</v>
      </c>
    </row>
    <row r="3094">
      <c r="A3094" s="257" t="s">
        <v>14076</v>
      </c>
      <c r="B3094" s="257" t="s">
        <v>14076</v>
      </c>
    </row>
    <row r="3095">
      <c r="A3095" s="257" t="s">
        <v>14077</v>
      </c>
      <c r="B3095" s="257" t="s">
        <v>14078</v>
      </c>
    </row>
    <row r="3096">
      <c r="A3096" s="257" t="s">
        <v>14079</v>
      </c>
      <c r="B3096" s="257" t="s">
        <v>14079</v>
      </c>
    </row>
    <row r="3097">
      <c r="A3097" s="257" t="s">
        <v>14080</v>
      </c>
      <c r="B3097" s="257" t="s">
        <v>14080</v>
      </c>
    </row>
    <row r="3098">
      <c r="A3098" s="257" t="s">
        <v>14081</v>
      </c>
      <c r="B3098" s="257" t="s">
        <v>14081</v>
      </c>
    </row>
    <row r="3099">
      <c r="A3099" s="257" t="s">
        <v>14082</v>
      </c>
      <c r="B3099" s="257" t="s">
        <v>14082</v>
      </c>
    </row>
    <row r="3100">
      <c r="A3100" s="257" t="s">
        <v>14083</v>
      </c>
      <c r="B3100" s="257" t="s">
        <v>14083</v>
      </c>
    </row>
    <row r="3101">
      <c r="A3101" s="257" t="s">
        <v>14084</v>
      </c>
      <c r="B3101" s="257" t="s">
        <v>14084</v>
      </c>
    </row>
    <row r="3102">
      <c r="A3102" s="257" t="s">
        <v>14085</v>
      </c>
      <c r="B3102" s="257" t="s">
        <v>14085</v>
      </c>
    </row>
    <row r="3103">
      <c r="A3103" s="257" t="s">
        <v>14086</v>
      </c>
      <c r="B3103" s="257" t="s">
        <v>14086</v>
      </c>
    </row>
    <row r="3104">
      <c r="A3104" s="257" t="s">
        <v>14087</v>
      </c>
      <c r="B3104" s="257" t="s">
        <v>14087</v>
      </c>
    </row>
    <row r="3105">
      <c r="A3105" s="257" t="s">
        <v>14088</v>
      </c>
      <c r="B3105" s="257" t="s">
        <v>14088</v>
      </c>
    </row>
    <row r="3106">
      <c r="A3106" s="257" t="s">
        <v>14089</v>
      </c>
      <c r="B3106" s="257" t="s">
        <v>14090</v>
      </c>
    </row>
    <row r="3107">
      <c r="A3107" s="257" t="s">
        <v>14091</v>
      </c>
      <c r="B3107" s="257" t="s">
        <v>14091</v>
      </c>
    </row>
    <row r="3108">
      <c r="A3108" s="257" t="s">
        <v>14092</v>
      </c>
      <c r="B3108" s="257" t="s">
        <v>14092</v>
      </c>
    </row>
    <row r="3109">
      <c r="A3109" s="257" t="s">
        <v>14093</v>
      </c>
      <c r="B3109" s="257" t="s">
        <v>14093</v>
      </c>
    </row>
    <row r="3110">
      <c r="A3110" s="257" t="s">
        <v>14094</v>
      </c>
      <c r="B3110" s="257" t="s">
        <v>14094</v>
      </c>
    </row>
    <row r="3111">
      <c r="A3111" s="257" t="s">
        <v>14095</v>
      </c>
      <c r="B3111" s="257" t="s">
        <v>14095</v>
      </c>
    </row>
    <row r="3112">
      <c r="A3112" s="257" t="s">
        <v>14096</v>
      </c>
      <c r="B3112" s="257" t="s">
        <v>14096</v>
      </c>
    </row>
    <row r="3113">
      <c r="A3113" s="257" t="s">
        <v>14097</v>
      </c>
      <c r="B3113" s="257" t="s">
        <v>14097</v>
      </c>
    </row>
    <row r="3114">
      <c r="A3114" s="257" t="s">
        <v>14098</v>
      </c>
      <c r="B3114" s="257" t="s">
        <v>14098</v>
      </c>
    </row>
    <row r="3115">
      <c r="A3115" s="257" t="s">
        <v>14099</v>
      </c>
      <c r="B3115" s="257" t="s">
        <v>14100</v>
      </c>
    </row>
    <row r="3116">
      <c r="A3116" s="257" t="s">
        <v>14101</v>
      </c>
      <c r="B3116" s="257" t="s">
        <v>14101</v>
      </c>
    </row>
    <row r="3117">
      <c r="A3117" s="257" t="s">
        <v>14102</v>
      </c>
      <c r="B3117" s="257" t="s">
        <v>14102</v>
      </c>
    </row>
    <row r="3118">
      <c r="A3118" s="257" t="s">
        <v>14103</v>
      </c>
      <c r="B3118" s="257" t="s">
        <v>14103</v>
      </c>
    </row>
    <row r="3119">
      <c r="A3119" s="257" t="s">
        <v>14104</v>
      </c>
      <c r="B3119" s="257" t="s">
        <v>14105</v>
      </c>
    </row>
    <row r="3120">
      <c r="A3120" s="257" t="s">
        <v>14106</v>
      </c>
      <c r="B3120" s="257" t="s">
        <v>14106</v>
      </c>
    </row>
    <row r="3121">
      <c r="A3121" s="257" t="s">
        <v>14107</v>
      </c>
      <c r="B3121" s="257" t="s">
        <v>14107</v>
      </c>
    </row>
    <row r="3122">
      <c r="A3122" s="257" t="s">
        <v>14108</v>
      </c>
      <c r="B3122" s="257" t="s">
        <v>14108</v>
      </c>
    </row>
    <row r="3123">
      <c r="A3123" s="257" t="s">
        <v>14109</v>
      </c>
      <c r="B3123" s="257" t="s">
        <v>14109</v>
      </c>
    </row>
    <row r="3124">
      <c r="A3124" s="257" t="s">
        <v>14110</v>
      </c>
      <c r="B3124" s="257" t="s">
        <v>14110</v>
      </c>
    </row>
    <row r="3125">
      <c r="A3125" s="257" t="s">
        <v>14111</v>
      </c>
      <c r="B3125" s="257" t="s">
        <v>14111</v>
      </c>
    </row>
    <row r="3126">
      <c r="A3126" s="257" t="s">
        <v>14112</v>
      </c>
      <c r="B3126" s="257" t="s">
        <v>14112</v>
      </c>
    </row>
    <row r="3127">
      <c r="A3127" s="257" t="s">
        <v>14113</v>
      </c>
      <c r="B3127" s="257" t="s">
        <v>14113</v>
      </c>
    </row>
    <row r="3128">
      <c r="A3128" s="257" t="s">
        <v>14114</v>
      </c>
      <c r="B3128" s="257" t="s">
        <v>14114</v>
      </c>
    </row>
    <row r="3129">
      <c r="A3129" s="257" t="s">
        <v>14115</v>
      </c>
      <c r="B3129" s="257" t="s">
        <v>14115</v>
      </c>
    </row>
    <row r="3130">
      <c r="A3130" s="257" t="s">
        <v>14116</v>
      </c>
      <c r="B3130" s="257" t="s">
        <v>14116</v>
      </c>
    </row>
    <row r="3131">
      <c r="A3131" s="257" t="s">
        <v>14117</v>
      </c>
      <c r="B3131" s="257" t="s">
        <v>14117</v>
      </c>
    </row>
    <row r="3132">
      <c r="A3132" s="257" t="s">
        <v>14118</v>
      </c>
      <c r="B3132" s="257" t="s">
        <v>14119</v>
      </c>
    </row>
    <row r="3133">
      <c r="A3133" s="257" t="s">
        <v>14120</v>
      </c>
      <c r="B3133" s="257" t="s">
        <v>14120</v>
      </c>
    </row>
    <row r="3134">
      <c r="A3134" s="257" t="s">
        <v>14121</v>
      </c>
      <c r="B3134" s="257" t="s">
        <v>14121</v>
      </c>
    </row>
    <row r="3135">
      <c r="A3135" s="257" t="s">
        <v>14122</v>
      </c>
      <c r="B3135" s="257" t="s">
        <v>14122</v>
      </c>
    </row>
    <row r="3136">
      <c r="A3136" s="257" t="s">
        <v>14123</v>
      </c>
      <c r="B3136" s="257" t="s">
        <v>14123</v>
      </c>
    </row>
    <row r="3137">
      <c r="A3137" s="257" t="s">
        <v>14124</v>
      </c>
      <c r="B3137" s="257" t="s">
        <v>14124</v>
      </c>
    </row>
    <row r="3138">
      <c r="A3138" s="257" t="s">
        <v>14125</v>
      </c>
      <c r="B3138" s="257" t="s">
        <v>14125</v>
      </c>
    </row>
    <row r="3139">
      <c r="A3139" s="257" t="s">
        <v>14126</v>
      </c>
      <c r="B3139" s="257" t="s">
        <v>14127</v>
      </c>
    </row>
    <row r="3140">
      <c r="A3140" s="257" t="s">
        <v>14128</v>
      </c>
      <c r="B3140" s="257" t="s">
        <v>14128</v>
      </c>
    </row>
    <row r="3141">
      <c r="A3141" s="257" t="s">
        <v>14129</v>
      </c>
      <c r="B3141" s="257" t="s">
        <v>14129</v>
      </c>
    </row>
    <row r="3142">
      <c r="A3142" s="257" t="s">
        <v>14130</v>
      </c>
      <c r="B3142" s="257" t="s">
        <v>14130</v>
      </c>
    </row>
    <row r="3143">
      <c r="A3143" s="257" t="s">
        <v>14131</v>
      </c>
      <c r="B3143" s="257" t="s">
        <v>13491</v>
      </c>
    </row>
    <row r="3144">
      <c r="A3144" s="257" t="s">
        <v>14132</v>
      </c>
      <c r="B3144" s="257" t="s">
        <v>14132</v>
      </c>
    </row>
    <row r="3145">
      <c r="A3145" s="257" t="s">
        <v>14133</v>
      </c>
      <c r="B3145" s="257" t="s">
        <v>14133</v>
      </c>
    </row>
    <row r="3146">
      <c r="A3146" s="257" t="s">
        <v>14134</v>
      </c>
      <c r="B3146" s="257" t="s">
        <v>14134</v>
      </c>
    </row>
    <row r="3147">
      <c r="A3147" s="257" t="s">
        <v>14135</v>
      </c>
      <c r="B3147" s="257" t="s">
        <v>14135</v>
      </c>
    </row>
    <row r="3148">
      <c r="A3148" s="257" t="s">
        <v>14136</v>
      </c>
      <c r="B3148" s="257" t="s">
        <v>14136</v>
      </c>
    </row>
    <row r="3149">
      <c r="A3149" s="257" t="s">
        <v>14137</v>
      </c>
      <c r="B3149" s="257" t="s">
        <v>14137</v>
      </c>
    </row>
    <row r="3150">
      <c r="A3150" s="257" t="s">
        <v>14138</v>
      </c>
      <c r="B3150" s="257" t="s">
        <v>14138</v>
      </c>
    </row>
    <row r="3151">
      <c r="A3151" s="257" t="s">
        <v>14139</v>
      </c>
      <c r="B3151" s="257" t="s">
        <v>14139</v>
      </c>
    </row>
    <row r="3152">
      <c r="A3152" s="257" t="s">
        <v>14140</v>
      </c>
      <c r="B3152" s="257" t="s">
        <v>14140</v>
      </c>
    </row>
    <row r="3153">
      <c r="A3153" s="257" t="s">
        <v>14141</v>
      </c>
      <c r="B3153" s="257" t="s">
        <v>14141</v>
      </c>
    </row>
    <row r="3154">
      <c r="A3154" s="257" t="s">
        <v>14142</v>
      </c>
      <c r="B3154" s="257" t="s">
        <v>14142</v>
      </c>
    </row>
    <row r="3155">
      <c r="A3155" s="257" t="s">
        <v>14143</v>
      </c>
      <c r="B3155" s="257" t="s">
        <v>14143</v>
      </c>
    </row>
    <row r="3156">
      <c r="A3156" s="257" t="s">
        <v>14144</v>
      </c>
      <c r="B3156" s="257" t="s">
        <v>14144</v>
      </c>
    </row>
    <row r="3157">
      <c r="A3157" s="257" t="s">
        <v>13385</v>
      </c>
      <c r="B3157" s="257" t="s">
        <v>13385</v>
      </c>
    </row>
    <row r="3158">
      <c r="A3158" s="257" t="s">
        <v>14145</v>
      </c>
      <c r="B3158" s="257" t="s">
        <v>14145</v>
      </c>
    </row>
    <row r="3159">
      <c r="A3159" s="257" t="s">
        <v>13583</v>
      </c>
      <c r="B3159" s="257" t="s">
        <v>13583</v>
      </c>
    </row>
    <row r="3160">
      <c r="A3160" s="257" t="s">
        <v>14146</v>
      </c>
      <c r="B3160" s="257" t="s">
        <v>14146</v>
      </c>
    </row>
    <row r="3161">
      <c r="A3161" s="257" t="s">
        <v>14147</v>
      </c>
      <c r="B3161" s="257" t="s">
        <v>14147</v>
      </c>
    </row>
    <row r="3162">
      <c r="A3162" s="257" t="s">
        <v>14148</v>
      </c>
      <c r="B3162" s="257" t="s">
        <v>14148</v>
      </c>
    </row>
    <row r="3163">
      <c r="A3163" s="257" t="s">
        <v>14149</v>
      </c>
      <c r="B3163" s="257" t="s">
        <v>14149</v>
      </c>
    </row>
    <row r="3164">
      <c r="A3164" s="257" t="s">
        <v>14150</v>
      </c>
      <c r="B3164" s="257" t="s">
        <v>14150</v>
      </c>
    </row>
    <row r="3165">
      <c r="A3165" s="257" t="s">
        <v>14151</v>
      </c>
      <c r="B3165" s="257" t="s">
        <v>14152</v>
      </c>
    </row>
    <row r="3166">
      <c r="A3166" s="257" t="s">
        <v>14153</v>
      </c>
      <c r="B3166" s="257" t="s">
        <v>14153</v>
      </c>
    </row>
    <row r="3167">
      <c r="A3167" s="257" t="s">
        <v>14154</v>
      </c>
      <c r="B3167" s="257" t="s">
        <v>14154</v>
      </c>
    </row>
    <row r="3168">
      <c r="A3168" s="257" t="s">
        <v>14155</v>
      </c>
      <c r="B3168" s="257" t="s">
        <v>13841</v>
      </c>
    </row>
    <row r="3169">
      <c r="A3169" s="257" t="s">
        <v>14156</v>
      </c>
      <c r="B3169" s="257" t="s">
        <v>14156</v>
      </c>
    </row>
    <row r="3170">
      <c r="A3170" s="257" t="s">
        <v>14157</v>
      </c>
      <c r="B3170" s="257" t="s">
        <v>14157</v>
      </c>
    </row>
    <row r="3171">
      <c r="A3171" s="257" t="s">
        <v>14158</v>
      </c>
      <c r="B3171" s="257" t="s">
        <v>14158</v>
      </c>
    </row>
    <row r="3172">
      <c r="A3172" s="257" t="s">
        <v>14159</v>
      </c>
      <c r="B3172" s="257" t="s">
        <v>14159</v>
      </c>
    </row>
    <row r="3173">
      <c r="A3173" s="257" t="s">
        <v>14160</v>
      </c>
      <c r="B3173" s="257" t="s">
        <v>14160</v>
      </c>
    </row>
    <row r="3174">
      <c r="A3174" s="257" t="s">
        <v>14161</v>
      </c>
      <c r="B3174" s="257" t="s">
        <v>14161</v>
      </c>
    </row>
    <row r="3175">
      <c r="A3175" s="257" t="s">
        <v>14162</v>
      </c>
      <c r="B3175" s="257" t="s">
        <v>14162</v>
      </c>
    </row>
    <row r="3176">
      <c r="A3176" s="257" t="s">
        <v>14163</v>
      </c>
      <c r="B3176" s="257" t="s">
        <v>14164</v>
      </c>
    </row>
    <row r="3177">
      <c r="A3177" s="257" t="s">
        <v>14165</v>
      </c>
      <c r="B3177" s="257" t="s">
        <v>14166</v>
      </c>
    </row>
    <row r="3178">
      <c r="A3178" s="257" t="s">
        <v>14167</v>
      </c>
      <c r="B3178" s="257" t="s">
        <v>14167</v>
      </c>
    </row>
    <row r="3179">
      <c r="A3179" s="257" t="s">
        <v>14168</v>
      </c>
      <c r="B3179" s="257" t="s">
        <v>14168</v>
      </c>
    </row>
    <row r="3180">
      <c r="A3180" s="257" t="s">
        <v>14169</v>
      </c>
      <c r="B3180" s="257" t="s">
        <v>14170</v>
      </c>
    </row>
    <row r="3181">
      <c r="A3181" s="257" t="s">
        <v>14171</v>
      </c>
      <c r="B3181" s="257" t="s">
        <v>13883</v>
      </c>
    </row>
    <row r="3182">
      <c r="A3182" s="257" t="s">
        <v>14172</v>
      </c>
      <c r="B3182" s="257" t="s">
        <v>14172</v>
      </c>
    </row>
    <row r="3183">
      <c r="A3183" s="257" t="s">
        <v>14173</v>
      </c>
      <c r="B3183" s="257" t="s">
        <v>14173</v>
      </c>
    </row>
    <row r="3184">
      <c r="A3184" s="257" t="s">
        <v>14174</v>
      </c>
      <c r="B3184" s="257" t="s">
        <v>14174</v>
      </c>
    </row>
    <row r="3185">
      <c r="A3185" s="257" t="s">
        <v>14175</v>
      </c>
      <c r="B3185" s="257" t="s">
        <v>14175</v>
      </c>
    </row>
    <row r="3186">
      <c r="A3186" s="257" t="s">
        <v>14176</v>
      </c>
      <c r="B3186" s="257" t="s">
        <v>14176</v>
      </c>
    </row>
    <row r="3187">
      <c r="A3187" s="257" t="s">
        <v>14177</v>
      </c>
      <c r="B3187" s="257" t="s">
        <v>14177</v>
      </c>
    </row>
    <row r="3188">
      <c r="A3188" s="257" t="s">
        <v>14178</v>
      </c>
      <c r="B3188" s="257" t="s">
        <v>14178</v>
      </c>
    </row>
    <row r="3189">
      <c r="A3189" s="257" t="s">
        <v>14179</v>
      </c>
      <c r="B3189" s="257" t="s">
        <v>14179</v>
      </c>
    </row>
    <row r="3190">
      <c r="A3190" s="257" t="s">
        <v>14180</v>
      </c>
      <c r="B3190" s="257" t="s">
        <v>14180</v>
      </c>
    </row>
    <row r="3191">
      <c r="A3191" s="257" t="s">
        <v>14181</v>
      </c>
      <c r="B3191" s="257" t="s">
        <v>14181</v>
      </c>
    </row>
    <row r="3192">
      <c r="A3192" s="257" t="s">
        <v>14182</v>
      </c>
      <c r="B3192" s="257" t="s">
        <v>14182</v>
      </c>
    </row>
    <row r="3193">
      <c r="A3193" s="257" t="s">
        <v>14183</v>
      </c>
      <c r="B3193" s="257" t="s">
        <v>14183</v>
      </c>
    </row>
    <row r="3194">
      <c r="A3194" s="257" t="s">
        <v>14184</v>
      </c>
      <c r="B3194" s="257" t="s">
        <v>14184</v>
      </c>
    </row>
    <row r="3195">
      <c r="A3195" s="257" t="s">
        <v>14185</v>
      </c>
      <c r="B3195" s="257" t="s">
        <v>14185</v>
      </c>
    </row>
    <row r="3196">
      <c r="A3196" s="257" t="s">
        <v>14186</v>
      </c>
      <c r="B3196" s="257" t="s">
        <v>14186</v>
      </c>
    </row>
    <row r="3197">
      <c r="A3197" s="257" t="s">
        <v>14187</v>
      </c>
      <c r="B3197" s="257" t="s">
        <v>14187</v>
      </c>
    </row>
    <row r="3198">
      <c r="A3198" s="257" t="s">
        <v>14188</v>
      </c>
      <c r="B3198" s="257" t="s">
        <v>14105</v>
      </c>
    </row>
    <row r="3199">
      <c r="A3199" s="257" t="s">
        <v>14189</v>
      </c>
      <c r="B3199" s="257" t="s">
        <v>14189</v>
      </c>
    </row>
    <row r="3200">
      <c r="A3200" s="257" t="s">
        <v>14190</v>
      </c>
      <c r="B3200" s="257" t="s">
        <v>14190</v>
      </c>
    </row>
    <row r="3201">
      <c r="A3201" s="257" t="s">
        <v>14191</v>
      </c>
      <c r="B3201" s="257" t="s">
        <v>14191</v>
      </c>
    </row>
    <row r="3202">
      <c r="A3202" s="257" t="s">
        <v>14192</v>
      </c>
      <c r="B3202" s="257" t="s">
        <v>14192</v>
      </c>
    </row>
    <row r="3203">
      <c r="A3203" s="257" t="s">
        <v>14193</v>
      </c>
      <c r="B3203" s="257" t="s">
        <v>14193</v>
      </c>
    </row>
    <row r="3204">
      <c r="A3204" s="257" t="s">
        <v>14194</v>
      </c>
      <c r="B3204" s="257" t="s">
        <v>14195</v>
      </c>
    </row>
    <row r="3205">
      <c r="A3205" s="257" t="s">
        <v>14196</v>
      </c>
      <c r="B3205" s="257" t="s">
        <v>14196</v>
      </c>
    </row>
    <row r="3206">
      <c r="A3206" s="257" t="s">
        <v>14197</v>
      </c>
      <c r="B3206" s="257" t="s">
        <v>14197</v>
      </c>
    </row>
    <row r="3207">
      <c r="A3207" s="257" t="s">
        <v>14198</v>
      </c>
      <c r="B3207" s="257" t="s">
        <v>14198</v>
      </c>
    </row>
    <row r="3208">
      <c r="A3208" s="257" t="s">
        <v>14199</v>
      </c>
      <c r="B3208" s="257" t="s">
        <v>14199</v>
      </c>
    </row>
    <row r="3209">
      <c r="A3209" s="257" t="s">
        <v>14200</v>
      </c>
      <c r="B3209" s="257" t="s">
        <v>14200</v>
      </c>
    </row>
    <row r="3210">
      <c r="A3210" s="257" t="s">
        <v>14201</v>
      </c>
      <c r="B3210" s="257" t="s">
        <v>14105</v>
      </c>
    </row>
    <row r="3211">
      <c r="A3211" s="257" t="s">
        <v>14202</v>
      </c>
      <c r="B3211" s="257" t="s">
        <v>14202</v>
      </c>
    </row>
    <row r="3212">
      <c r="A3212" s="257" t="s">
        <v>14203</v>
      </c>
      <c r="B3212" s="257" t="s">
        <v>14204</v>
      </c>
    </row>
    <row r="3213">
      <c r="A3213" s="257" t="s">
        <v>14205</v>
      </c>
      <c r="B3213" s="257" t="s">
        <v>14105</v>
      </c>
    </row>
    <row r="3214">
      <c r="A3214" s="257" t="s">
        <v>14105</v>
      </c>
      <c r="B3214" s="257" t="s">
        <v>14105</v>
      </c>
    </row>
    <row r="3215">
      <c r="A3215" s="257" t="s">
        <v>14206</v>
      </c>
      <c r="B3215" s="257" t="s">
        <v>14199</v>
      </c>
    </row>
    <row r="3216">
      <c r="A3216" s="257" t="s">
        <v>14207</v>
      </c>
      <c r="B3216" s="257" t="s">
        <v>14207</v>
      </c>
    </row>
    <row r="3217">
      <c r="A3217" s="257" t="s">
        <v>14208</v>
      </c>
      <c r="B3217" s="257" t="s">
        <v>14208</v>
      </c>
    </row>
    <row r="3218">
      <c r="A3218" s="257" t="s">
        <v>14209</v>
      </c>
      <c r="B3218" s="257" t="s">
        <v>14105</v>
      </c>
    </row>
    <row r="3219">
      <c r="A3219" s="257" t="s">
        <v>14204</v>
      </c>
      <c r="B3219" s="257" t="s">
        <v>14204</v>
      </c>
    </row>
    <row r="3220">
      <c r="A3220" s="257" t="s">
        <v>14210</v>
      </c>
      <c r="B3220" s="257" t="s">
        <v>14199</v>
      </c>
    </row>
    <row r="3221">
      <c r="A3221" s="257" t="s">
        <v>14211</v>
      </c>
      <c r="B3221" s="257" t="s">
        <v>14204</v>
      </c>
    </row>
    <row r="3222">
      <c r="A3222" s="257" t="s">
        <v>14212</v>
      </c>
      <c r="B3222" s="257" t="s">
        <v>14105</v>
      </c>
    </row>
    <row r="3223">
      <c r="A3223" s="257" t="s">
        <v>14213</v>
      </c>
      <c r="B3223" s="257" t="s">
        <v>14213</v>
      </c>
    </row>
    <row r="3224">
      <c r="A3224" s="257" t="s">
        <v>14214</v>
      </c>
      <c r="B3224" s="257" t="s">
        <v>14105</v>
      </c>
    </row>
    <row r="3225">
      <c r="A3225" s="257" t="s">
        <v>14215</v>
      </c>
      <c r="B3225" s="257" t="s">
        <v>14215</v>
      </c>
    </row>
    <row r="3226">
      <c r="A3226" s="257" t="s">
        <v>14216</v>
      </c>
      <c r="B3226" s="257" t="s">
        <v>14199</v>
      </c>
    </row>
    <row r="3227">
      <c r="A3227" s="257" t="s">
        <v>14217</v>
      </c>
      <c r="B3227" s="257" t="s">
        <v>14217</v>
      </c>
    </row>
    <row r="3228">
      <c r="A3228" s="257" t="s">
        <v>14218</v>
      </c>
      <c r="B3228" s="257" t="s">
        <v>14199</v>
      </c>
    </row>
    <row r="3229">
      <c r="A3229" s="257" t="s">
        <v>14219</v>
      </c>
      <c r="B3229" s="257" t="s">
        <v>14219</v>
      </c>
    </row>
    <row r="3230">
      <c r="A3230" s="257" t="s">
        <v>14220</v>
      </c>
      <c r="B3230" s="257" t="s">
        <v>14220</v>
      </c>
    </row>
    <row r="3231">
      <c r="A3231" s="257" t="s">
        <v>14221</v>
      </c>
      <c r="B3231" s="257" t="s">
        <v>14221</v>
      </c>
    </row>
    <row r="3232">
      <c r="A3232" s="257" t="s">
        <v>14222</v>
      </c>
      <c r="B3232" s="257" t="s">
        <v>14199</v>
      </c>
    </row>
    <row r="3233">
      <c r="A3233" s="257" t="s">
        <v>14223</v>
      </c>
      <c r="B3233" s="257" t="s">
        <v>14223</v>
      </c>
    </row>
    <row r="3234">
      <c r="A3234" s="257" t="s">
        <v>14224</v>
      </c>
      <c r="B3234" s="257" t="s">
        <v>14224</v>
      </c>
    </row>
    <row r="3235">
      <c r="A3235" s="257" t="s">
        <v>2101</v>
      </c>
      <c r="B3235" s="257" t="s">
        <v>2101</v>
      </c>
    </row>
    <row r="3236">
      <c r="A3236" s="257" t="s">
        <v>2089</v>
      </c>
      <c r="B3236" s="257" t="s">
        <v>2089</v>
      </c>
    </row>
    <row r="3237">
      <c r="A3237" s="257" t="s">
        <v>5452</v>
      </c>
      <c r="B3237" s="257" t="s">
        <v>5452</v>
      </c>
    </row>
    <row r="3238">
      <c r="A3238" s="257" t="s">
        <v>14225</v>
      </c>
      <c r="B3238" s="257" t="s">
        <v>13393</v>
      </c>
    </row>
    <row r="3239">
      <c r="A3239" s="257" t="s">
        <v>14226</v>
      </c>
      <c r="B3239" s="257" t="s">
        <v>14226</v>
      </c>
    </row>
    <row r="3240">
      <c r="A3240" s="257" t="s">
        <v>14227</v>
      </c>
      <c r="B3240" s="257" t="s">
        <v>14227</v>
      </c>
    </row>
    <row r="3241">
      <c r="A3241" s="257" t="s">
        <v>14228</v>
      </c>
      <c r="B3241" s="257" t="s">
        <v>14228</v>
      </c>
    </row>
    <row r="3242">
      <c r="A3242" s="257" t="s">
        <v>14229</v>
      </c>
      <c r="B3242" s="257" t="s">
        <v>14229</v>
      </c>
    </row>
    <row r="3243">
      <c r="A3243" s="257" t="s">
        <v>14230</v>
      </c>
      <c r="B3243" s="257" t="s">
        <v>14230</v>
      </c>
    </row>
    <row r="3244">
      <c r="A3244" s="257" t="s">
        <v>14231</v>
      </c>
      <c r="B3244" s="257" t="s">
        <v>14231</v>
      </c>
    </row>
    <row r="3245">
      <c r="A3245" s="257" t="s">
        <v>14232</v>
      </c>
      <c r="B3245" s="257" t="s">
        <v>14232</v>
      </c>
    </row>
    <row r="3246">
      <c r="A3246" s="257" t="s">
        <v>14233</v>
      </c>
      <c r="B3246" s="257" t="s">
        <v>14233</v>
      </c>
    </row>
    <row r="3247">
      <c r="A3247" s="257" t="s">
        <v>14234</v>
      </c>
      <c r="B3247" s="257" t="s">
        <v>14234</v>
      </c>
    </row>
    <row r="3248">
      <c r="A3248" s="257" t="s">
        <v>14235</v>
      </c>
      <c r="B3248" s="257" t="s">
        <v>14235</v>
      </c>
    </row>
    <row r="3249">
      <c r="A3249" s="257" t="s">
        <v>14236</v>
      </c>
      <c r="B3249" s="257" t="s">
        <v>14236</v>
      </c>
    </row>
    <row r="3250">
      <c r="A3250" s="257" t="s">
        <v>14237</v>
      </c>
      <c r="B3250" s="257" t="s">
        <v>14238</v>
      </c>
    </row>
    <row r="3251">
      <c r="A3251" s="257" t="s">
        <v>14239</v>
      </c>
      <c r="B3251" s="257" t="s">
        <v>14239</v>
      </c>
    </row>
    <row r="3252">
      <c r="A3252" s="257" t="s">
        <v>14240</v>
      </c>
      <c r="B3252" s="257" t="s">
        <v>14240</v>
      </c>
    </row>
    <row r="3253">
      <c r="A3253" s="257" t="s">
        <v>14241</v>
      </c>
      <c r="B3253" s="257" t="s">
        <v>14241</v>
      </c>
    </row>
    <row r="3254">
      <c r="A3254" s="257" t="s">
        <v>14242</v>
      </c>
      <c r="B3254" s="257" t="s">
        <v>14242</v>
      </c>
    </row>
    <row r="3255">
      <c r="A3255" s="257" t="s">
        <v>14243</v>
      </c>
      <c r="B3255" s="257" t="s">
        <v>13690</v>
      </c>
    </row>
    <row r="3256">
      <c r="A3256" s="257" t="s">
        <v>14244</v>
      </c>
      <c r="B3256" s="257" t="s">
        <v>13645</v>
      </c>
    </row>
    <row r="3257">
      <c r="A3257" s="257" t="s">
        <v>14245</v>
      </c>
      <c r="B3257" s="257" t="s">
        <v>14245</v>
      </c>
    </row>
    <row r="3258">
      <c r="A3258" s="257" t="s">
        <v>14246</v>
      </c>
      <c r="B3258" s="257" t="s">
        <v>13777</v>
      </c>
    </row>
    <row r="3259">
      <c r="A3259" s="257" t="s">
        <v>14247</v>
      </c>
      <c r="B3259" s="257" t="s">
        <v>14247</v>
      </c>
    </row>
    <row r="3260">
      <c r="A3260" s="257" t="s">
        <v>14248</v>
      </c>
      <c r="B3260" s="257" t="s">
        <v>14182</v>
      </c>
    </row>
    <row r="3261">
      <c r="A3261" s="257" t="s">
        <v>14249</v>
      </c>
      <c r="B3261" s="257" t="s">
        <v>5419</v>
      </c>
    </row>
    <row r="3262">
      <c r="A3262" s="257" t="s">
        <v>14250</v>
      </c>
      <c r="B3262" s="257" t="s">
        <v>14250</v>
      </c>
    </row>
    <row r="3263">
      <c r="A3263" s="257" t="s">
        <v>14251</v>
      </c>
      <c r="B3263" s="257" t="s">
        <v>14251</v>
      </c>
    </row>
    <row r="3264">
      <c r="A3264" s="257" t="s">
        <v>14252</v>
      </c>
      <c r="B3264" s="257" t="s">
        <v>14253</v>
      </c>
    </row>
    <row r="3265">
      <c r="A3265" s="257" t="s">
        <v>14254</v>
      </c>
      <c r="B3265" s="257" t="s">
        <v>14254</v>
      </c>
    </row>
    <row r="3266">
      <c r="A3266" s="257" t="s">
        <v>14255</v>
      </c>
      <c r="B3266" s="257" t="s">
        <v>14255</v>
      </c>
    </row>
    <row r="3267">
      <c r="A3267" s="257" t="s">
        <v>14256</v>
      </c>
      <c r="B3267" s="257" t="s">
        <v>14256</v>
      </c>
    </row>
    <row r="3268">
      <c r="A3268" s="257" t="s">
        <v>14257</v>
      </c>
      <c r="B3268" s="257" t="s">
        <v>14257</v>
      </c>
    </row>
    <row r="3269">
      <c r="A3269" s="257" t="s">
        <v>14258</v>
      </c>
      <c r="B3269" s="257" t="s">
        <v>14258</v>
      </c>
    </row>
    <row r="3270">
      <c r="A3270" s="257" t="s">
        <v>14259</v>
      </c>
      <c r="B3270" s="257" t="s">
        <v>13665</v>
      </c>
    </row>
    <row r="3271">
      <c r="A3271" s="257" t="s">
        <v>14260</v>
      </c>
      <c r="B3271" s="257" t="s">
        <v>14260</v>
      </c>
    </row>
    <row r="3272">
      <c r="A3272" s="257" t="s">
        <v>14261</v>
      </c>
      <c r="B3272" s="257" t="s">
        <v>13754</v>
      </c>
    </row>
    <row r="3273">
      <c r="A3273" s="257" t="s">
        <v>14262</v>
      </c>
      <c r="B3273" s="257" t="s">
        <v>14263</v>
      </c>
    </row>
    <row r="3274">
      <c r="A3274" s="257" t="s">
        <v>14264</v>
      </c>
      <c r="B3274" s="257" t="s">
        <v>14264</v>
      </c>
    </row>
    <row r="3275">
      <c r="A3275" s="257" t="s">
        <v>14265</v>
      </c>
      <c r="B3275" s="257" t="s">
        <v>14265</v>
      </c>
    </row>
    <row r="3276">
      <c r="A3276" s="257" t="s">
        <v>14266</v>
      </c>
      <c r="B3276" s="257" t="s">
        <v>2061</v>
      </c>
    </row>
    <row r="3277">
      <c r="A3277" s="257" t="s">
        <v>14267</v>
      </c>
      <c r="B3277" s="257" t="s">
        <v>14267</v>
      </c>
    </row>
    <row r="3278">
      <c r="A3278" s="257" t="s">
        <v>1503</v>
      </c>
      <c r="B3278" s="257" t="s">
        <v>1503</v>
      </c>
    </row>
    <row r="3279">
      <c r="A3279" s="257" t="s">
        <v>14268</v>
      </c>
      <c r="B3279" s="257" t="s">
        <v>14268</v>
      </c>
    </row>
    <row r="3280">
      <c r="A3280" s="257" t="s">
        <v>14269</v>
      </c>
      <c r="B3280" s="257" t="s">
        <v>13496</v>
      </c>
    </row>
    <row r="3281">
      <c r="A3281" s="257" t="s">
        <v>14270</v>
      </c>
      <c r="B3281" s="257" t="s">
        <v>14270</v>
      </c>
    </row>
    <row r="3282">
      <c r="A3282" s="257" t="s">
        <v>14271</v>
      </c>
      <c r="B3282" s="257" t="s">
        <v>13568</v>
      </c>
    </row>
    <row r="3283">
      <c r="A3283" s="257" t="s">
        <v>14272</v>
      </c>
      <c r="B3283" s="257" t="s">
        <v>14272</v>
      </c>
    </row>
    <row r="3284">
      <c r="A3284" s="257" t="s">
        <v>14273</v>
      </c>
      <c r="B3284" s="257" t="s">
        <v>14273</v>
      </c>
    </row>
    <row r="3285">
      <c r="A3285" s="257" t="s">
        <v>14274</v>
      </c>
      <c r="B3285" s="257" t="s">
        <v>14274</v>
      </c>
    </row>
    <row r="3286">
      <c r="A3286" s="257" t="s">
        <v>14275</v>
      </c>
      <c r="B3286" s="257" t="s">
        <v>8417</v>
      </c>
    </row>
    <row r="3287">
      <c r="A3287" s="257" t="s">
        <v>14276</v>
      </c>
      <c r="B3287" s="257" t="s">
        <v>14276</v>
      </c>
    </row>
    <row r="3288">
      <c r="A3288" s="257" t="s">
        <v>14277</v>
      </c>
      <c r="B3288" s="257" t="s">
        <v>12055</v>
      </c>
    </row>
    <row r="3289">
      <c r="A3289" s="257" t="s">
        <v>14278</v>
      </c>
      <c r="B3289" s="257" t="s">
        <v>1427</v>
      </c>
    </row>
    <row r="3290">
      <c r="A3290" s="257" t="s">
        <v>14279</v>
      </c>
      <c r="B3290" s="257" t="s">
        <v>14279</v>
      </c>
    </row>
    <row r="3291">
      <c r="A3291" s="257" t="s">
        <v>14203</v>
      </c>
      <c r="B3291" s="257" t="s">
        <v>14204</v>
      </c>
    </row>
    <row r="3292">
      <c r="A3292" s="257" t="s">
        <v>14207</v>
      </c>
      <c r="B3292" s="257" t="s">
        <v>14207</v>
      </c>
    </row>
    <row r="3293">
      <c r="A3293" s="257" t="s">
        <v>14204</v>
      </c>
      <c r="B3293" s="257" t="s">
        <v>14204</v>
      </c>
    </row>
    <row r="3294">
      <c r="A3294" s="257" t="s">
        <v>14211</v>
      </c>
      <c r="B3294" s="257" t="s">
        <v>14204</v>
      </c>
    </row>
    <row r="3295">
      <c r="A3295" s="257" t="s">
        <v>14280</v>
      </c>
      <c r="B3295" s="257" t="s">
        <v>14280</v>
      </c>
    </row>
    <row r="3296">
      <c r="A3296" s="257" t="s">
        <v>14281</v>
      </c>
      <c r="B3296" s="257" t="s">
        <v>14281</v>
      </c>
    </row>
    <row r="3297">
      <c r="A3297" s="257" t="s">
        <v>14282</v>
      </c>
      <c r="B3297" s="257" t="s">
        <v>14282</v>
      </c>
    </row>
    <row r="3298">
      <c r="A3298" s="257" t="s">
        <v>14283</v>
      </c>
      <c r="B3298" s="257" t="s">
        <v>14283</v>
      </c>
    </row>
    <row r="3299">
      <c r="A3299" s="257" t="s">
        <v>14284</v>
      </c>
      <c r="B3299" s="257" t="s">
        <v>14284</v>
      </c>
    </row>
    <row r="3300">
      <c r="A3300" s="257" t="s">
        <v>14285</v>
      </c>
      <c r="B3300" s="257" t="s">
        <v>13672</v>
      </c>
    </row>
    <row r="3301">
      <c r="A3301" s="257" t="s">
        <v>14286</v>
      </c>
      <c r="B3301" s="257" t="s">
        <v>14286</v>
      </c>
    </row>
    <row r="3302">
      <c r="A3302" s="257" t="s">
        <v>14287</v>
      </c>
      <c r="B3302" s="257" t="s">
        <v>14287</v>
      </c>
    </row>
    <row r="3303">
      <c r="A3303" s="257" t="s">
        <v>14288</v>
      </c>
      <c r="B3303" s="257" t="s">
        <v>14288</v>
      </c>
    </row>
    <row r="3304">
      <c r="A3304" s="257" t="s">
        <v>14289</v>
      </c>
      <c r="B3304" s="257" t="s">
        <v>14289</v>
      </c>
    </row>
    <row r="3305">
      <c r="A3305" s="257" t="s">
        <v>14290</v>
      </c>
      <c r="B3305" s="257" t="s">
        <v>14290</v>
      </c>
    </row>
    <row r="3306">
      <c r="A3306" s="257" t="s">
        <v>14291</v>
      </c>
      <c r="B3306" s="257" t="s">
        <v>14291</v>
      </c>
    </row>
    <row r="3307">
      <c r="A3307" s="257" t="s">
        <v>14292</v>
      </c>
      <c r="B3307" s="257" t="s">
        <v>14292</v>
      </c>
    </row>
    <row r="3308">
      <c r="A3308" s="257" t="s">
        <v>14293</v>
      </c>
      <c r="B3308" s="257" t="s">
        <v>14293</v>
      </c>
    </row>
    <row r="3309">
      <c r="A3309" s="257" t="s">
        <v>14294</v>
      </c>
      <c r="B3309" s="257" t="s">
        <v>14294</v>
      </c>
    </row>
    <row r="3310">
      <c r="A3310" s="257" t="s">
        <v>14295</v>
      </c>
      <c r="B3310" s="257" t="s">
        <v>14295</v>
      </c>
    </row>
    <row r="3311">
      <c r="A3311" s="257" t="s">
        <v>14296</v>
      </c>
      <c r="B3311" s="257" t="s">
        <v>14296</v>
      </c>
    </row>
    <row r="3312">
      <c r="A3312" s="257" t="s">
        <v>14297</v>
      </c>
      <c r="B3312" s="257" t="s">
        <v>2080</v>
      </c>
    </row>
    <row r="3313">
      <c r="A3313" s="257" t="s">
        <v>14298</v>
      </c>
      <c r="B3313" s="257" t="s">
        <v>14298</v>
      </c>
    </row>
    <row r="3314">
      <c r="A3314" s="257" t="s">
        <v>14299</v>
      </c>
      <c r="B3314" s="257" t="s">
        <v>14299</v>
      </c>
    </row>
    <row r="3315">
      <c r="A3315" s="257" t="s">
        <v>14300</v>
      </c>
      <c r="B3315" s="257" t="s">
        <v>14300</v>
      </c>
    </row>
    <row r="3316">
      <c r="A3316" s="257" t="s">
        <v>14301</v>
      </c>
      <c r="B3316" s="257" t="s">
        <v>14301</v>
      </c>
    </row>
    <row r="3317">
      <c r="A3317" s="257" t="s">
        <v>14302</v>
      </c>
      <c r="B3317" s="257" t="s">
        <v>14303</v>
      </c>
    </row>
    <row r="3318">
      <c r="A3318" s="257" t="s">
        <v>14304</v>
      </c>
      <c r="B3318" s="257" t="s">
        <v>14305</v>
      </c>
    </row>
    <row r="3319">
      <c r="A3319" s="257" t="s">
        <v>14306</v>
      </c>
      <c r="B3319" s="257" t="s">
        <v>14306</v>
      </c>
    </row>
    <row r="3320">
      <c r="A3320" s="257" t="s">
        <v>14307</v>
      </c>
      <c r="B3320" s="257" t="s">
        <v>14307</v>
      </c>
    </row>
    <row r="3321">
      <c r="A3321" s="257" t="s">
        <v>14308</v>
      </c>
      <c r="B3321" s="257" t="s">
        <v>14308</v>
      </c>
    </row>
    <row r="3322">
      <c r="A3322" s="257" t="s">
        <v>14309</v>
      </c>
      <c r="B3322" s="257" t="s">
        <v>1446</v>
      </c>
    </row>
    <row r="3323">
      <c r="A3323" s="257" t="s">
        <v>14310</v>
      </c>
      <c r="B3323" s="257" t="s">
        <v>14310</v>
      </c>
    </row>
    <row r="3324">
      <c r="A3324" s="257" t="s">
        <v>14311</v>
      </c>
      <c r="B3324" s="257" t="s">
        <v>14311</v>
      </c>
    </row>
    <row r="3325">
      <c r="A3325" s="257" t="s">
        <v>14312</v>
      </c>
      <c r="B3325" s="257" t="s">
        <v>14312</v>
      </c>
    </row>
    <row r="3326">
      <c r="A3326" s="257" t="s">
        <v>14313</v>
      </c>
      <c r="B3326" s="257" t="s">
        <v>14313</v>
      </c>
    </row>
    <row r="3327">
      <c r="A3327" s="257" t="s">
        <v>14314</v>
      </c>
      <c r="B3327" s="257" t="s">
        <v>14314</v>
      </c>
    </row>
    <row r="3328">
      <c r="A3328" s="257" t="s">
        <v>14315</v>
      </c>
      <c r="B3328" s="257" t="s">
        <v>14315</v>
      </c>
    </row>
    <row r="3329">
      <c r="A3329" s="257" t="s">
        <v>14316</v>
      </c>
      <c r="B3329" s="257" t="s">
        <v>14316</v>
      </c>
    </row>
    <row r="3330">
      <c r="A3330" s="257" t="s">
        <v>14317</v>
      </c>
      <c r="B3330" s="257" t="s">
        <v>14317</v>
      </c>
    </row>
    <row r="3331">
      <c r="A3331" s="257" t="s">
        <v>14318</v>
      </c>
      <c r="B3331" s="257" t="s">
        <v>14318</v>
      </c>
    </row>
    <row r="3332">
      <c r="A3332" s="257" t="s">
        <v>14319</v>
      </c>
      <c r="B3332" s="257" t="s">
        <v>14319</v>
      </c>
    </row>
    <row r="3333">
      <c r="A3333" s="257" t="s">
        <v>14320</v>
      </c>
      <c r="B3333" s="257" t="s">
        <v>14320</v>
      </c>
    </row>
    <row r="3334">
      <c r="A3334" s="257" t="s">
        <v>14321</v>
      </c>
      <c r="B3334" s="257" t="s">
        <v>14321</v>
      </c>
    </row>
    <row r="3335">
      <c r="A3335" s="257" t="s">
        <v>14322</v>
      </c>
      <c r="B3335" s="257" t="s">
        <v>14322</v>
      </c>
    </row>
    <row r="3336">
      <c r="A3336" s="257" t="s">
        <v>14323</v>
      </c>
      <c r="B3336" s="257" t="s">
        <v>14323</v>
      </c>
    </row>
    <row r="3337">
      <c r="A3337" s="257" t="s">
        <v>14324</v>
      </c>
      <c r="B3337" s="257" t="s">
        <v>14324</v>
      </c>
    </row>
    <row r="3338">
      <c r="A3338" s="257" t="s">
        <v>14325</v>
      </c>
      <c r="B3338" s="257" t="s">
        <v>14325</v>
      </c>
    </row>
    <row r="3339">
      <c r="A3339" s="257" t="s">
        <v>14326</v>
      </c>
      <c r="B3339" s="257" t="s">
        <v>14326</v>
      </c>
    </row>
    <row r="3340">
      <c r="A3340" s="257" t="s">
        <v>14327</v>
      </c>
      <c r="B3340" s="257" t="s">
        <v>14327</v>
      </c>
    </row>
    <row r="3341">
      <c r="A3341" s="257" t="s">
        <v>14328</v>
      </c>
      <c r="B3341" s="257" t="s">
        <v>14328</v>
      </c>
    </row>
    <row r="3342">
      <c r="A3342" s="257" t="s">
        <v>14329</v>
      </c>
      <c r="B3342" s="257" t="s">
        <v>14329</v>
      </c>
    </row>
    <row r="3343">
      <c r="A3343" s="257" t="s">
        <v>14330</v>
      </c>
      <c r="B3343" s="257" t="s">
        <v>14330</v>
      </c>
    </row>
    <row r="3344">
      <c r="A3344" s="257" t="s">
        <v>14331</v>
      </c>
      <c r="B3344" s="257" t="s">
        <v>14331</v>
      </c>
    </row>
    <row r="3345">
      <c r="A3345" s="257" t="s">
        <v>14332</v>
      </c>
      <c r="B3345" s="257" t="s">
        <v>14332</v>
      </c>
    </row>
    <row r="3346">
      <c r="A3346" s="257" t="s">
        <v>14333</v>
      </c>
      <c r="B3346" s="257" t="s">
        <v>14333</v>
      </c>
    </row>
    <row r="3347">
      <c r="A3347" s="257" t="s">
        <v>14334</v>
      </c>
      <c r="B3347" s="257" t="s">
        <v>13776</v>
      </c>
    </row>
    <row r="3348">
      <c r="A3348" s="257" t="s">
        <v>14335</v>
      </c>
      <c r="B3348" s="257" t="s">
        <v>14335</v>
      </c>
    </row>
    <row r="3349">
      <c r="A3349" s="257" t="s">
        <v>14336</v>
      </c>
      <c r="B3349" s="257" t="s">
        <v>13418</v>
      </c>
    </row>
    <row r="3350">
      <c r="A3350" s="257" t="s">
        <v>14337</v>
      </c>
      <c r="B3350" s="257" t="s">
        <v>14337</v>
      </c>
    </row>
    <row r="3351">
      <c r="A3351" s="257" t="s">
        <v>14338</v>
      </c>
      <c r="B3351" s="257" t="s">
        <v>13637</v>
      </c>
    </row>
    <row r="3352">
      <c r="A3352" s="257" t="s">
        <v>14339</v>
      </c>
      <c r="B3352" s="257" t="s">
        <v>14339</v>
      </c>
    </row>
    <row r="3353">
      <c r="A3353" s="257" t="s">
        <v>14340</v>
      </c>
      <c r="B3353" s="257" t="s">
        <v>14340</v>
      </c>
    </row>
    <row r="3354">
      <c r="A3354" s="257" t="s">
        <v>14341</v>
      </c>
      <c r="B3354" s="257" t="s">
        <v>13733</v>
      </c>
    </row>
    <row r="3355">
      <c r="A3355" s="257" t="s">
        <v>14342</v>
      </c>
      <c r="B3355" s="257" t="s">
        <v>14342</v>
      </c>
    </row>
    <row r="3356">
      <c r="A3356" s="257" t="s">
        <v>14343</v>
      </c>
      <c r="B3356" s="257" t="s">
        <v>14343</v>
      </c>
    </row>
    <row r="3357">
      <c r="A3357" s="257" t="s">
        <v>14344</v>
      </c>
      <c r="B3357" s="257" t="s">
        <v>14344</v>
      </c>
    </row>
    <row r="3358">
      <c r="A3358" s="257" t="s">
        <v>14345</v>
      </c>
      <c r="B3358" s="257" t="s">
        <v>14345</v>
      </c>
    </row>
    <row r="3359">
      <c r="A3359" s="257" t="s">
        <v>14346</v>
      </c>
      <c r="B3359" s="257" t="s">
        <v>14346</v>
      </c>
    </row>
    <row r="3360">
      <c r="A3360" s="257" t="s">
        <v>14347</v>
      </c>
      <c r="B3360" s="257" t="s">
        <v>14347</v>
      </c>
    </row>
    <row r="3361">
      <c r="A3361" s="257" t="s">
        <v>14348</v>
      </c>
      <c r="B3361" s="257" t="s">
        <v>14349</v>
      </c>
    </row>
    <row r="3362">
      <c r="A3362" s="257" t="s">
        <v>14350</v>
      </c>
      <c r="B3362" s="257" t="s">
        <v>14350</v>
      </c>
    </row>
    <row r="3363">
      <c r="A3363" s="257" t="s">
        <v>14351</v>
      </c>
      <c r="B3363" s="257" t="s">
        <v>14351</v>
      </c>
    </row>
    <row r="3364">
      <c r="A3364" s="257" t="s">
        <v>14352</v>
      </c>
      <c r="B3364" s="257" t="s">
        <v>14352</v>
      </c>
    </row>
    <row r="3365">
      <c r="A3365" s="257" t="s">
        <v>14353</v>
      </c>
      <c r="B3365" s="257" t="s">
        <v>14353</v>
      </c>
    </row>
    <row r="3366">
      <c r="A3366" s="257" t="s">
        <v>14354</v>
      </c>
      <c r="B3366" s="257" t="s">
        <v>14354</v>
      </c>
    </row>
    <row r="3367">
      <c r="A3367" s="257" t="s">
        <v>14355</v>
      </c>
      <c r="B3367" s="257" t="s">
        <v>14355</v>
      </c>
    </row>
    <row r="3368">
      <c r="A3368" s="257" t="s">
        <v>14356</v>
      </c>
      <c r="B3368" s="257" t="s">
        <v>14356</v>
      </c>
    </row>
    <row r="3369">
      <c r="A3369" s="257" t="s">
        <v>14357</v>
      </c>
      <c r="B3369" s="257" t="s">
        <v>14357</v>
      </c>
    </row>
    <row r="3370">
      <c r="A3370" s="257" t="s">
        <v>14358</v>
      </c>
      <c r="B3370" s="257" t="s">
        <v>14358</v>
      </c>
    </row>
    <row r="3371">
      <c r="A3371" s="257" t="s">
        <v>14359</v>
      </c>
      <c r="B3371" s="257" t="s">
        <v>14359</v>
      </c>
    </row>
    <row r="3372">
      <c r="A3372" s="257" t="s">
        <v>14360</v>
      </c>
      <c r="B3372" s="257" t="s">
        <v>14228</v>
      </c>
    </row>
    <row r="3373">
      <c r="A3373" s="257" t="s">
        <v>14361</v>
      </c>
      <c r="B3373" s="257" t="s">
        <v>14310</v>
      </c>
    </row>
    <row r="3374">
      <c r="A3374" s="257" t="s">
        <v>1505</v>
      </c>
      <c r="B3374" s="257" t="s">
        <v>1505</v>
      </c>
    </row>
    <row r="3375">
      <c r="A3375" s="257" t="s">
        <v>14362</v>
      </c>
      <c r="B3375" s="257" t="s">
        <v>14362</v>
      </c>
    </row>
    <row r="3376">
      <c r="A3376" s="257" t="s">
        <v>14303</v>
      </c>
      <c r="B3376" s="257" t="s">
        <v>14303</v>
      </c>
    </row>
    <row r="3377">
      <c r="A3377" s="257" t="s">
        <v>14363</v>
      </c>
      <c r="B3377" s="257" t="s">
        <v>14363</v>
      </c>
    </row>
    <row r="3378">
      <c r="A3378" s="257" t="s">
        <v>14364</v>
      </c>
      <c r="B3378" s="257" t="s">
        <v>14364</v>
      </c>
    </row>
    <row r="3379">
      <c r="A3379" s="257" t="s">
        <v>14365</v>
      </c>
      <c r="B3379" s="257" t="s">
        <v>14365</v>
      </c>
    </row>
    <row r="3380">
      <c r="A3380" s="257" t="s">
        <v>14366</v>
      </c>
      <c r="B3380" s="257" t="s">
        <v>14366</v>
      </c>
    </row>
    <row r="3381">
      <c r="A3381" s="257" t="s">
        <v>14367</v>
      </c>
      <c r="B3381" s="257" t="s">
        <v>14367</v>
      </c>
    </row>
    <row r="3382">
      <c r="A3382" s="257" t="s">
        <v>14368</v>
      </c>
      <c r="B3382" s="257" t="s">
        <v>14368</v>
      </c>
    </row>
    <row r="3383">
      <c r="A3383" s="257" t="s">
        <v>14369</v>
      </c>
      <c r="B3383" s="257" t="s">
        <v>14369</v>
      </c>
    </row>
    <row r="3384">
      <c r="A3384" s="257" t="s">
        <v>14370</v>
      </c>
      <c r="B3384" s="257" t="s">
        <v>13584</v>
      </c>
    </row>
    <row r="3385">
      <c r="A3385" s="257" t="s">
        <v>14371</v>
      </c>
      <c r="B3385" s="257" t="s">
        <v>14371</v>
      </c>
    </row>
    <row r="3386">
      <c r="A3386" s="257" t="s">
        <v>14372</v>
      </c>
      <c r="B3386" s="257" t="s">
        <v>14372</v>
      </c>
    </row>
    <row r="3387">
      <c r="A3387" s="257" t="s">
        <v>14373</v>
      </c>
      <c r="B3387" s="257" t="s">
        <v>14373</v>
      </c>
    </row>
    <row r="3388">
      <c r="A3388" s="257" t="s">
        <v>14374</v>
      </c>
      <c r="B3388" s="257" t="s">
        <v>14374</v>
      </c>
    </row>
    <row r="3389">
      <c r="A3389" s="257" t="s">
        <v>14375</v>
      </c>
      <c r="B3389" s="257" t="s">
        <v>14375</v>
      </c>
    </row>
    <row r="3390">
      <c r="A3390" s="257" t="s">
        <v>14376</v>
      </c>
      <c r="B3390" s="257" t="s">
        <v>14376</v>
      </c>
    </row>
    <row r="3391">
      <c r="A3391" s="257" t="s">
        <v>14377</v>
      </c>
      <c r="B3391" s="257" t="s">
        <v>14377</v>
      </c>
    </row>
    <row r="3392">
      <c r="A3392" s="257" t="s">
        <v>14378</v>
      </c>
      <c r="B3392" s="257" t="s">
        <v>14378</v>
      </c>
    </row>
    <row r="3393">
      <c r="A3393" s="257" t="s">
        <v>14379</v>
      </c>
      <c r="B3393" s="257" t="s">
        <v>13858</v>
      </c>
    </row>
    <row r="3394">
      <c r="A3394" s="257" t="s">
        <v>14380</v>
      </c>
      <c r="B3394" s="257" t="s">
        <v>14380</v>
      </c>
    </row>
    <row r="3395">
      <c r="A3395" s="257" t="s">
        <v>14381</v>
      </c>
      <c r="B3395" s="257" t="s">
        <v>13797</v>
      </c>
    </row>
    <row r="3396">
      <c r="A3396" s="257" t="s">
        <v>14382</v>
      </c>
      <c r="B3396" s="257" t="s">
        <v>14382</v>
      </c>
    </row>
    <row r="3397">
      <c r="A3397" s="257" t="s">
        <v>14383</v>
      </c>
      <c r="B3397" s="257" t="s">
        <v>14383</v>
      </c>
    </row>
    <row r="3398">
      <c r="A3398" s="257" t="s">
        <v>14384</v>
      </c>
      <c r="B3398" s="257" t="s">
        <v>14384</v>
      </c>
    </row>
    <row r="3399">
      <c r="A3399" s="257" t="s">
        <v>14385</v>
      </c>
      <c r="B3399" s="257" t="s">
        <v>13746</v>
      </c>
    </row>
    <row r="3400">
      <c r="A3400" s="257" t="s">
        <v>14386</v>
      </c>
      <c r="B3400" s="257" t="s">
        <v>14386</v>
      </c>
    </row>
    <row r="3401">
      <c r="A3401" s="257" t="s">
        <v>14387</v>
      </c>
      <c r="B3401" s="257" t="s">
        <v>14387</v>
      </c>
    </row>
    <row r="3402">
      <c r="A3402" s="257" t="s">
        <v>14388</v>
      </c>
      <c r="B3402" s="257" t="s">
        <v>14388</v>
      </c>
    </row>
    <row r="3403">
      <c r="A3403" s="257" t="s">
        <v>14389</v>
      </c>
      <c r="B3403" s="257" t="s">
        <v>14389</v>
      </c>
    </row>
    <row r="3404">
      <c r="A3404" s="257" t="s">
        <v>14390</v>
      </c>
      <c r="B3404" s="257" t="s">
        <v>14065</v>
      </c>
    </row>
    <row r="3405">
      <c r="A3405" s="257" t="s">
        <v>14391</v>
      </c>
      <c r="B3405" s="257" t="s">
        <v>14391</v>
      </c>
    </row>
    <row r="3406">
      <c r="A3406" s="257" t="s">
        <v>14392</v>
      </c>
      <c r="B3406" s="257" t="s">
        <v>13691</v>
      </c>
    </row>
    <row r="3407">
      <c r="A3407" s="257" t="s">
        <v>14393</v>
      </c>
      <c r="B3407" s="257" t="s">
        <v>12005</v>
      </c>
    </row>
    <row r="3408">
      <c r="A3408" s="257" t="s">
        <v>14394</v>
      </c>
      <c r="B3408" s="257" t="s">
        <v>14394</v>
      </c>
    </row>
    <row r="3409">
      <c r="A3409" s="257" t="s">
        <v>13452</v>
      </c>
      <c r="B3409" s="257" t="s">
        <v>13452</v>
      </c>
    </row>
    <row r="3410">
      <c r="A3410" s="257" t="s">
        <v>13594</v>
      </c>
      <c r="B3410" s="257" t="s">
        <v>13594</v>
      </c>
    </row>
    <row r="3411">
      <c r="A3411" s="257" t="s">
        <v>14395</v>
      </c>
      <c r="B3411" s="257" t="s">
        <v>13741</v>
      </c>
    </row>
    <row r="3412">
      <c r="A3412" s="257" t="s">
        <v>14396</v>
      </c>
      <c r="B3412" s="257" t="s">
        <v>12410</v>
      </c>
    </row>
    <row r="3413">
      <c r="A3413" s="257" t="s">
        <v>14397</v>
      </c>
      <c r="B3413" s="257" t="s">
        <v>12491</v>
      </c>
    </row>
    <row r="3414">
      <c r="A3414" s="257" t="s">
        <v>14398</v>
      </c>
      <c r="B3414" s="257" t="s">
        <v>12415</v>
      </c>
    </row>
    <row r="3415">
      <c r="A3415" s="257" t="s">
        <v>14399</v>
      </c>
      <c r="B3415" s="257" t="s">
        <v>12443</v>
      </c>
    </row>
    <row r="3416">
      <c r="A3416" s="257" t="s">
        <v>14400</v>
      </c>
      <c r="B3416" s="257" t="s">
        <v>12493</v>
      </c>
    </row>
    <row r="3417">
      <c r="A3417" s="257" t="s">
        <v>14401</v>
      </c>
      <c r="B3417" s="257" t="s">
        <v>12391</v>
      </c>
    </row>
    <row r="3418">
      <c r="A3418" s="257" t="s">
        <v>14402</v>
      </c>
      <c r="B3418" s="257" t="s">
        <v>12466</v>
      </c>
    </row>
    <row r="3419">
      <c r="A3419" s="257" t="s">
        <v>14403</v>
      </c>
      <c r="B3419" s="257" t="s">
        <v>12368</v>
      </c>
    </row>
    <row r="3420">
      <c r="A3420" s="257" t="s">
        <v>14404</v>
      </c>
      <c r="B3420" s="257" t="s">
        <v>14405</v>
      </c>
    </row>
    <row r="3421">
      <c r="A3421" s="257" t="s">
        <v>14406</v>
      </c>
      <c r="B3421" s="257" t="s">
        <v>12482</v>
      </c>
    </row>
    <row r="3422">
      <c r="A3422" s="257" t="s">
        <v>14407</v>
      </c>
      <c r="B3422" s="257" t="s">
        <v>12579</v>
      </c>
    </row>
    <row r="3423">
      <c r="A3423" s="257" t="s">
        <v>14408</v>
      </c>
      <c r="B3423" s="257" t="s">
        <v>12431</v>
      </c>
    </row>
    <row r="3424">
      <c r="A3424" s="257" t="s">
        <v>14409</v>
      </c>
      <c r="B3424" s="257" t="s">
        <v>5470</v>
      </c>
    </row>
    <row r="3425">
      <c r="A3425" s="257" t="s">
        <v>14410</v>
      </c>
      <c r="B3425" s="257" t="s">
        <v>12317</v>
      </c>
    </row>
    <row r="3426">
      <c r="A3426" s="257" t="s">
        <v>14411</v>
      </c>
      <c r="B3426" s="257" t="s">
        <v>12563</v>
      </c>
    </row>
    <row r="3427">
      <c r="A3427" s="257" t="s">
        <v>14412</v>
      </c>
      <c r="B3427" s="257" t="s">
        <v>12790</v>
      </c>
    </row>
    <row r="3428">
      <c r="A3428" s="257" t="s">
        <v>14413</v>
      </c>
      <c r="B3428" s="257" t="s">
        <v>12095</v>
      </c>
    </row>
    <row r="3429">
      <c r="A3429" s="257" t="s">
        <v>14414</v>
      </c>
      <c r="B3429" s="257" t="s">
        <v>12495</v>
      </c>
    </row>
    <row r="3430">
      <c r="A3430" s="257" t="s">
        <v>14415</v>
      </c>
      <c r="B3430" s="257" t="s">
        <v>12561</v>
      </c>
    </row>
    <row r="3431">
      <c r="A3431" s="257" t="s">
        <v>14416</v>
      </c>
      <c r="B3431" s="257" t="s">
        <v>12359</v>
      </c>
    </row>
    <row r="3432">
      <c r="A3432" s="257" t="s">
        <v>14417</v>
      </c>
      <c r="B3432" s="257" t="s">
        <v>12438</v>
      </c>
    </row>
    <row r="3433">
      <c r="A3433" s="257" t="s">
        <v>14418</v>
      </c>
      <c r="B3433" s="257" t="s">
        <v>12362</v>
      </c>
    </row>
    <row r="3434">
      <c r="A3434" s="257" t="s">
        <v>14419</v>
      </c>
      <c r="B3434" s="257" t="s">
        <v>4718</v>
      </c>
    </row>
    <row r="3435">
      <c r="A3435" s="257" t="s">
        <v>14420</v>
      </c>
      <c r="B3435" s="257" t="s">
        <v>12355</v>
      </c>
    </row>
    <row r="3436">
      <c r="A3436" s="257" t="s">
        <v>14421</v>
      </c>
      <c r="B3436" s="257" t="s">
        <v>12463</v>
      </c>
    </row>
    <row r="3437">
      <c r="A3437" s="257" t="s">
        <v>14422</v>
      </c>
      <c r="B3437" s="257" t="s">
        <v>11697</v>
      </c>
    </row>
    <row r="3438">
      <c r="A3438" s="257" t="s">
        <v>14423</v>
      </c>
      <c r="B3438" s="257" t="s">
        <v>12351</v>
      </c>
    </row>
    <row r="3439">
      <c r="A3439" s="257" t="s">
        <v>14424</v>
      </c>
      <c r="B3439" s="257" t="s">
        <v>12854</v>
      </c>
    </row>
    <row r="3440">
      <c r="A3440" s="257" t="s">
        <v>14425</v>
      </c>
      <c r="B3440" s="257" t="s">
        <v>12508</v>
      </c>
    </row>
    <row r="3441">
      <c r="A3441" s="257" t="s">
        <v>14426</v>
      </c>
      <c r="B3441" s="257" t="s">
        <v>12405</v>
      </c>
    </row>
    <row r="3442">
      <c r="A3442" s="257" t="s">
        <v>14427</v>
      </c>
      <c r="B3442" s="257" t="s">
        <v>5470</v>
      </c>
    </row>
    <row r="3443">
      <c r="A3443" s="257" t="s">
        <v>14428</v>
      </c>
      <c r="B3443" s="257" t="s">
        <v>12339</v>
      </c>
    </row>
    <row r="3444">
      <c r="A3444" s="257" t="s">
        <v>14429</v>
      </c>
      <c r="B3444" s="257" t="s">
        <v>12569</v>
      </c>
    </row>
    <row r="3445">
      <c r="A3445" s="257" t="s">
        <v>14430</v>
      </c>
      <c r="B3445" s="257" t="s">
        <v>12347</v>
      </c>
    </row>
    <row r="3446">
      <c r="A3446" s="257" t="s">
        <v>14431</v>
      </c>
      <c r="B3446" s="257" t="s">
        <v>12519</v>
      </c>
    </row>
    <row r="3447">
      <c r="A3447" s="257" t="s">
        <v>14432</v>
      </c>
      <c r="B3447" s="257" t="s">
        <v>12517</v>
      </c>
    </row>
    <row r="3448">
      <c r="A3448" s="257" t="s">
        <v>14433</v>
      </c>
      <c r="B3448" s="257" t="s">
        <v>12512</v>
      </c>
    </row>
    <row r="3449">
      <c r="A3449" s="257" t="s">
        <v>14434</v>
      </c>
      <c r="B3449" s="257" t="s">
        <v>12447</v>
      </c>
    </row>
    <row r="3450">
      <c r="A3450" s="257" t="s">
        <v>14435</v>
      </c>
      <c r="B3450" s="257" t="s">
        <v>12590</v>
      </c>
    </row>
    <row r="3451">
      <c r="A3451" s="257" t="s">
        <v>14436</v>
      </c>
      <c r="B3451" s="257" t="s">
        <v>12586</v>
      </c>
    </row>
    <row r="3452">
      <c r="A3452" s="257" t="s">
        <v>14437</v>
      </c>
      <c r="B3452" s="257" t="s">
        <v>12424</v>
      </c>
    </row>
    <row r="3453">
      <c r="A3453" s="257" t="s">
        <v>14438</v>
      </c>
      <c r="B3453" s="257" t="s">
        <v>12510</v>
      </c>
    </row>
    <row r="3454">
      <c r="A3454" s="257" t="s">
        <v>14439</v>
      </c>
      <c r="B3454" s="257" t="s">
        <v>12502</v>
      </c>
    </row>
    <row r="3455">
      <c r="A3455" s="257" t="s">
        <v>14440</v>
      </c>
      <c r="B3455" s="257" t="s">
        <v>12605</v>
      </c>
    </row>
    <row r="3456">
      <c r="A3456" s="257" t="s">
        <v>14441</v>
      </c>
      <c r="B3456" s="257" t="s">
        <v>12399</v>
      </c>
    </row>
    <row r="3457">
      <c r="A3457" s="257" t="s">
        <v>14442</v>
      </c>
      <c r="B3457" s="257" t="s">
        <v>12457</v>
      </c>
    </row>
    <row r="3458">
      <c r="A3458" s="257" t="s">
        <v>14443</v>
      </c>
      <c r="B3458" s="257" t="s">
        <v>12536</v>
      </c>
    </row>
    <row r="3459">
      <c r="A3459" s="257" t="s">
        <v>14444</v>
      </c>
      <c r="B3459" s="257" t="s">
        <v>12408</v>
      </c>
    </row>
    <row r="3460">
      <c r="A3460" s="257" t="s">
        <v>14445</v>
      </c>
      <c r="B3460" s="257" t="s">
        <v>12623</v>
      </c>
    </row>
    <row r="3461">
      <c r="A3461" s="257" t="s">
        <v>14446</v>
      </c>
      <c r="B3461" s="257" t="s">
        <v>12540</v>
      </c>
    </row>
    <row r="3462">
      <c r="A3462" s="257" t="s">
        <v>14447</v>
      </c>
      <c r="B3462" s="257" t="s">
        <v>12553</v>
      </c>
    </row>
    <row r="3463">
      <c r="A3463" s="257" t="s">
        <v>14448</v>
      </c>
      <c r="B3463" s="257" t="s">
        <v>12600</v>
      </c>
    </row>
    <row r="3464">
      <c r="A3464" s="257" t="s">
        <v>14449</v>
      </c>
      <c r="B3464" s="257" t="s">
        <v>12523</v>
      </c>
    </row>
    <row r="3465">
      <c r="A3465" s="257" t="s">
        <v>14450</v>
      </c>
      <c r="B3465" s="257" t="s">
        <v>12603</v>
      </c>
    </row>
    <row r="3466">
      <c r="A3466" s="257" t="s">
        <v>14451</v>
      </c>
      <c r="B3466" s="257" t="s">
        <v>12606</v>
      </c>
    </row>
    <row r="3467">
      <c r="A3467" s="257" t="s">
        <v>14452</v>
      </c>
      <c r="B3467" s="257" t="s">
        <v>12542</v>
      </c>
    </row>
    <row r="3468">
      <c r="A3468" s="257" t="s">
        <v>14453</v>
      </c>
      <c r="B3468" s="257" t="s">
        <v>12484</v>
      </c>
    </row>
    <row r="3469">
      <c r="A3469" s="257" t="s">
        <v>14454</v>
      </c>
      <c r="B3469" s="257" t="s">
        <v>12559</v>
      </c>
    </row>
    <row r="3470">
      <c r="A3470" s="257" t="s">
        <v>14455</v>
      </c>
      <c r="B3470" s="257" t="s">
        <v>12592</v>
      </c>
    </row>
    <row r="3471">
      <c r="A3471" s="257" t="s">
        <v>14456</v>
      </c>
      <c r="B3471" s="257" t="s">
        <v>12403</v>
      </c>
    </row>
    <row r="3472">
      <c r="A3472" s="257" t="s">
        <v>14457</v>
      </c>
      <c r="B3472" s="257" t="s">
        <v>12619</v>
      </c>
    </row>
    <row r="3473">
      <c r="A3473" s="257" t="s">
        <v>14458</v>
      </c>
      <c r="B3473" s="257" t="s">
        <v>12455</v>
      </c>
    </row>
    <row r="3474">
      <c r="A3474" s="257" t="s">
        <v>14459</v>
      </c>
      <c r="B3474" s="257" t="s">
        <v>12612</v>
      </c>
    </row>
    <row r="3475">
      <c r="A3475" s="257" t="s">
        <v>14460</v>
      </c>
      <c r="B3475" s="257" t="s">
        <v>12514</v>
      </c>
    </row>
    <row r="3476">
      <c r="A3476" s="257" t="s">
        <v>14461</v>
      </c>
      <c r="B3476" s="257" t="s">
        <v>12581</v>
      </c>
    </row>
    <row r="3477">
      <c r="A3477" s="257" t="s">
        <v>14462</v>
      </c>
      <c r="B3477" s="257" t="s">
        <v>12309</v>
      </c>
    </row>
    <row r="3478">
      <c r="A3478" s="257" t="s">
        <v>14463</v>
      </c>
      <c r="B3478" s="257" t="s">
        <v>12527</v>
      </c>
    </row>
    <row r="3479">
      <c r="A3479" s="257" t="s">
        <v>14464</v>
      </c>
      <c r="B3479" s="257" t="s">
        <v>12376</v>
      </c>
    </row>
    <row r="3480">
      <c r="A3480" s="257" t="s">
        <v>14465</v>
      </c>
      <c r="B3480" s="257" t="s">
        <v>12588</v>
      </c>
    </row>
    <row r="3481">
      <c r="A3481" s="257" t="s">
        <v>14466</v>
      </c>
      <c r="B3481" s="257" t="s">
        <v>12551</v>
      </c>
    </row>
    <row r="3482">
      <c r="A3482" s="257" t="s">
        <v>14467</v>
      </c>
      <c r="B3482" s="257" t="s">
        <v>12353</v>
      </c>
    </row>
    <row r="3483">
      <c r="A3483" s="257" t="s">
        <v>14468</v>
      </c>
      <c r="B3483" s="257" t="s">
        <v>12557</v>
      </c>
    </row>
    <row r="3484">
      <c r="A3484" s="257" t="s">
        <v>14469</v>
      </c>
      <c r="B3484" s="257" t="s">
        <v>12383</v>
      </c>
    </row>
    <row r="3485">
      <c r="A3485" s="257" t="s">
        <v>14470</v>
      </c>
      <c r="B3485" s="257" t="s">
        <v>12584</v>
      </c>
    </row>
    <row r="3486">
      <c r="A3486" s="257" t="s">
        <v>14471</v>
      </c>
      <c r="B3486" s="257" t="s">
        <v>12330</v>
      </c>
    </row>
    <row r="3487">
      <c r="A3487" s="257" t="s">
        <v>14472</v>
      </c>
      <c r="B3487" s="257" t="s">
        <v>12492</v>
      </c>
    </row>
    <row r="3488">
      <c r="A3488" s="257" t="s">
        <v>14473</v>
      </c>
      <c r="B3488" s="257" t="s">
        <v>12419</v>
      </c>
    </row>
    <row r="3489">
      <c r="A3489" s="257" t="s">
        <v>14474</v>
      </c>
      <c r="B3489" s="257" t="s">
        <v>12435</v>
      </c>
    </row>
    <row r="3490">
      <c r="A3490" s="257" t="s">
        <v>14475</v>
      </c>
      <c r="B3490" s="257" t="s">
        <v>12576</v>
      </c>
    </row>
    <row r="3491">
      <c r="A3491" s="257" t="s">
        <v>12138</v>
      </c>
      <c r="B3491" s="257" t="s">
        <v>12138</v>
      </c>
    </row>
    <row r="3492">
      <c r="A3492" s="257" t="s">
        <v>14476</v>
      </c>
      <c r="B3492" s="257" t="s">
        <v>12327</v>
      </c>
    </row>
    <row r="3493">
      <c r="A3493" s="257" t="s">
        <v>14477</v>
      </c>
      <c r="B3493" s="257" t="s">
        <v>12421</v>
      </c>
    </row>
    <row r="3494">
      <c r="A3494" s="257" t="s">
        <v>14478</v>
      </c>
      <c r="B3494" s="257" t="s">
        <v>12461</v>
      </c>
    </row>
    <row r="3495">
      <c r="A3495" s="257" t="s">
        <v>14479</v>
      </c>
      <c r="B3495" s="257" t="s">
        <v>12345</v>
      </c>
    </row>
    <row r="3496">
      <c r="A3496" s="257" t="s">
        <v>14480</v>
      </c>
      <c r="B3496" s="257" t="s">
        <v>12403</v>
      </c>
    </row>
    <row r="3497">
      <c r="A3497" s="257" t="s">
        <v>14481</v>
      </c>
      <c r="B3497" s="257" t="s">
        <v>12428</v>
      </c>
    </row>
    <row r="3498">
      <c r="A3498" s="257" t="s">
        <v>14482</v>
      </c>
      <c r="B3498" s="257" t="s">
        <v>12449</v>
      </c>
    </row>
    <row r="3499">
      <c r="A3499" s="257" t="s">
        <v>14483</v>
      </c>
      <c r="B3499" s="257" t="s">
        <v>12364</v>
      </c>
    </row>
    <row r="3500">
      <c r="A3500" s="257" t="s">
        <v>14484</v>
      </c>
      <c r="B3500" s="257" t="s">
        <v>12445</v>
      </c>
    </row>
    <row r="3501">
      <c r="A3501" s="257" t="s">
        <v>14485</v>
      </c>
      <c r="B3501" s="257" t="s">
        <v>12458</v>
      </c>
    </row>
    <row r="3502">
      <c r="A3502" s="257" t="s">
        <v>14486</v>
      </c>
      <c r="B3502" s="257" t="s">
        <v>12453</v>
      </c>
    </row>
    <row r="3503">
      <c r="A3503" s="257" t="s">
        <v>14487</v>
      </c>
      <c r="B3503" s="257" t="s">
        <v>12338</v>
      </c>
    </row>
    <row r="3504">
      <c r="A3504" s="257" t="s">
        <v>14488</v>
      </c>
      <c r="B3504" s="257" t="s">
        <v>12319</v>
      </c>
    </row>
    <row r="3505">
      <c r="A3505" s="257" t="s">
        <v>14489</v>
      </c>
      <c r="B3505" s="257" t="s">
        <v>12329</v>
      </c>
    </row>
    <row r="3506">
      <c r="A3506" s="257" t="s">
        <v>14490</v>
      </c>
      <c r="B3506" s="257" t="s">
        <v>12426</v>
      </c>
    </row>
    <row r="3507">
      <c r="A3507" s="257" t="s">
        <v>14491</v>
      </c>
      <c r="B3507" s="257" t="s">
        <v>12336</v>
      </c>
    </row>
    <row r="3508">
      <c r="A3508" s="257" t="s">
        <v>14492</v>
      </c>
      <c r="B3508" s="257" t="s">
        <v>14493</v>
      </c>
    </row>
    <row r="3509">
      <c r="A3509" s="257" t="s">
        <v>14494</v>
      </c>
      <c r="B3509" s="257" t="s">
        <v>12397</v>
      </c>
    </row>
    <row r="3510">
      <c r="A3510" s="257" t="s">
        <v>14495</v>
      </c>
      <c r="B3510" s="257" t="s">
        <v>12396</v>
      </c>
    </row>
    <row r="3511">
      <c r="A3511" s="257" t="s">
        <v>14496</v>
      </c>
      <c r="B3511" s="257" t="s">
        <v>12565</v>
      </c>
    </row>
    <row r="3512">
      <c r="A3512" s="257" t="s">
        <v>14497</v>
      </c>
      <c r="B3512" s="257" t="s">
        <v>12448</v>
      </c>
    </row>
    <row r="3513">
      <c r="A3513" s="257" t="s">
        <v>14498</v>
      </c>
      <c r="B3513" s="257" t="s">
        <v>12572</v>
      </c>
    </row>
    <row r="3514">
      <c r="A3514" s="257" t="s">
        <v>14499</v>
      </c>
      <c r="B3514" s="257" t="s">
        <v>12329</v>
      </c>
    </row>
    <row r="3515">
      <c r="A3515" s="257" t="s">
        <v>14500</v>
      </c>
      <c r="B3515" s="257" t="s">
        <v>12386</v>
      </c>
    </row>
    <row r="3516">
      <c r="A3516" s="257" t="s">
        <v>14501</v>
      </c>
      <c r="B3516" s="257" t="s">
        <v>12394</v>
      </c>
    </row>
    <row r="3517">
      <c r="A3517" s="257" t="s">
        <v>14502</v>
      </c>
      <c r="B3517" s="257" t="s">
        <v>12361</v>
      </c>
    </row>
    <row r="3518">
      <c r="A3518" s="257" t="s">
        <v>14503</v>
      </c>
      <c r="B3518" s="257" t="s">
        <v>12430</v>
      </c>
    </row>
    <row r="3519">
      <c r="A3519" s="257" t="s">
        <v>14504</v>
      </c>
      <c r="B3519" s="257" t="s">
        <v>12358</v>
      </c>
    </row>
    <row r="3520">
      <c r="A3520" s="257" t="s">
        <v>14505</v>
      </c>
      <c r="B3520" s="257" t="s">
        <v>12323</v>
      </c>
    </row>
    <row r="3521">
      <c r="A3521" s="257" t="s">
        <v>14506</v>
      </c>
      <c r="B3521" s="257" t="s">
        <v>12379</v>
      </c>
    </row>
    <row r="3522">
      <c r="A3522" s="257" t="s">
        <v>14507</v>
      </c>
      <c r="B3522" s="257" t="s">
        <v>12373</v>
      </c>
    </row>
    <row r="3523">
      <c r="A3523" s="257" t="s">
        <v>14508</v>
      </c>
      <c r="B3523" s="257" t="s">
        <v>12371</v>
      </c>
    </row>
    <row r="3524">
      <c r="A3524" s="257" t="s">
        <v>14509</v>
      </c>
      <c r="B3524" s="257" t="s">
        <v>12321</v>
      </c>
    </row>
    <row r="3525">
      <c r="A3525" s="257" t="s">
        <v>14510</v>
      </c>
      <c r="B3525" s="257" t="s">
        <v>12332</v>
      </c>
    </row>
    <row r="3526">
      <c r="A3526" s="257" t="s">
        <v>14511</v>
      </c>
      <c r="B3526" s="257" t="s">
        <v>12366</v>
      </c>
    </row>
    <row r="3527">
      <c r="A3527" s="257" t="s">
        <v>14512</v>
      </c>
      <c r="B3527" s="257" t="s">
        <v>12330</v>
      </c>
    </row>
    <row r="3528">
      <c r="A3528" s="257" t="s">
        <v>14513</v>
      </c>
      <c r="B3528" s="257" t="s">
        <v>12381</v>
      </c>
    </row>
    <row r="3529">
      <c r="A3529" s="257" t="s">
        <v>14514</v>
      </c>
      <c r="B3529" s="257" t="s">
        <v>14515</v>
      </c>
    </row>
    <row r="3530">
      <c r="A3530" s="257" t="s">
        <v>14516</v>
      </c>
      <c r="B3530" s="257" t="s">
        <v>12401</v>
      </c>
    </row>
    <row r="3531">
      <c r="A3531" s="257" t="s">
        <v>1810</v>
      </c>
      <c r="B3531" s="257" t="s">
        <v>1810</v>
      </c>
    </row>
    <row r="3532">
      <c r="A3532" s="257" t="s">
        <v>6182</v>
      </c>
      <c r="B3532" s="257" t="s">
        <v>6182</v>
      </c>
    </row>
    <row r="3533">
      <c r="A3533" s="257" t="s">
        <v>14517</v>
      </c>
      <c r="B3533" s="257" t="s">
        <v>9452</v>
      </c>
    </row>
    <row r="3534">
      <c r="A3534" s="257" t="s">
        <v>1885</v>
      </c>
      <c r="B3534" s="257" t="s">
        <v>1885</v>
      </c>
    </row>
    <row r="3535">
      <c r="A3535" s="257" t="s">
        <v>5284</v>
      </c>
      <c r="B3535" s="257" t="s">
        <v>5284</v>
      </c>
    </row>
    <row r="3536">
      <c r="A3536" s="257" t="s">
        <v>1808</v>
      </c>
      <c r="B3536" s="257" t="s">
        <v>1808</v>
      </c>
    </row>
    <row r="3537">
      <c r="A3537" s="257" t="s">
        <v>6302</v>
      </c>
      <c r="B3537" s="257" t="s">
        <v>6302</v>
      </c>
    </row>
    <row r="3538">
      <c r="A3538" s="257" t="s">
        <v>7328</v>
      </c>
      <c r="B3538" s="257" t="s">
        <v>7328</v>
      </c>
    </row>
    <row r="3539">
      <c r="A3539" s="257" t="s">
        <v>14518</v>
      </c>
      <c r="B3539" s="257" t="s">
        <v>688</v>
      </c>
    </row>
    <row r="3540">
      <c r="A3540" s="257" t="s">
        <v>14519</v>
      </c>
      <c r="B3540" s="257" t="s">
        <v>14520</v>
      </c>
    </row>
    <row r="3541">
      <c r="A3541" s="257" t="s">
        <v>14521</v>
      </c>
      <c r="B3541" s="257" t="s">
        <v>2266</v>
      </c>
    </row>
    <row r="3542">
      <c r="A3542" s="257" t="s">
        <v>14522</v>
      </c>
      <c r="B3542" s="257" t="s">
        <v>14523</v>
      </c>
    </row>
    <row r="3543">
      <c r="A3543" s="257" t="s">
        <v>14524</v>
      </c>
      <c r="B3543" s="257" t="s">
        <v>13624</v>
      </c>
    </row>
    <row r="3544">
      <c r="A3544" s="257" t="s">
        <v>14525</v>
      </c>
      <c r="B3544" s="257" t="s">
        <v>12001</v>
      </c>
    </row>
    <row r="3545">
      <c r="A3545" s="257" t="s">
        <v>14526</v>
      </c>
      <c r="B3545" s="257" t="s">
        <v>5227</v>
      </c>
    </row>
    <row r="3546">
      <c r="A3546" s="257" t="s">
        <v>14527</v>
      </c>
      <c r="B3546" s="257" t="s">
        <v>2084</v>
      </c>
    </row>
    <row r="3547">
      <c r="A3547" s="257" t="s">
        <v>14528</v>
      </c>
      <c r="B3547" s="257" t="s">
        <v>5234</v>
      </c>
    </row>
    <row r="3548">
      <c r="A3548" s="257" t="s">
        <v>14529</v>
      </c>
      <c r="B3548" s="257" t="s">
        <v>6316</v>
      </c>
    </row>
    <row r="3549">
      <c r="A3549" s="257" t="s">
        <v>14530</v>
      </c>
      <c r="B3549" s="257" t="s">
        <v>5318</v>
      </c>
    </row>
    <row r="3550">
      <c r="A3550" s="257" t="s">
        <v>14531</v>
      </c>
      <c r="B3550" s="257" t="s">
        <v>12078</v>
      </c>
    </row>
    <row r="3551">
      <c r="A3551" s="257" t="s">
        <v>14532</v>
      </c>
      <c r="B3551" s="257" t="s">
        <v>2087</v>
      </c>
    </row>
    <row r="3552">
      <c r="A3552" s="257" t="s">
        <v>14533</v>
      </c>
      <c r="B3552" s="257" t="s">
        <v>6318</v>
      </c>
    </row>
    <row r="3553">
      <c r="A3553" s="257" t="s">
        <v>14534</v>
      </c>
      <c r="B3553" s="257" t="s">
        <v>1947</v>
      </c>
    </row>
    <row r="3554">
      <c r="A3554" s="257" t="s">
        <v>14535</v>
      </c>
      <c r="B3554" s="257" t="s">
        <v>718</v>
      </c>
    </row>
    <row r="3555">
      <c r="A3555" s="257" t="s">
        <v>14536</v>
      </c>
      <c r="B3555" s="257" t="s">
        <v>5303</v>
      </c>
    </row>
    <row r="3556">
      <c r="A3556" s="257" t="s">
        <v>14537</v>
      </c>
      <c r="B3556" s="257" t="s">
        <v>6309</v>
      </c>
    </row>
    <row r="3557">
      <c r="A3557" s="257" t="s">
        <v>14538</v>
      </c>
      <c r="B3557" s="257" t="s">
        <v>14539</v>
      </c>
    </row>
    <row r="3558">
      <c r="A3558" s="257" t="s">
        <v>14540</v>
      </c>
      <c r="B3558" s="257" t="s">
        <v>6313</v>
      </c>
    </row>
    <row r="3559">
      <c r="A3559" s="257" t="s">
        <v>14541</v>
      </c>
      <c r="B3559" s="257" t="s">
        <v>9519</v>
      </c>
    </row>
    <row r="3560">
      <c r="A3560" s="257" t="s">
        <v>14542</v>
      </c>
      <c r="B3560" s="257" t="s">
        <v>5306</v>
      </c>
    </row>
    <row r="3561">
      <c r="A3561" s="257" t="s">
        <v>14543</v>
      </c>
      <c r="B3561" s="257" t="s">
        <v>6319</v>
      </c>
    </row>
    <row r="3562">
      <c r="A3562" s="257" t="s">
        <v>14544</v>
      </c>
      <c r="B3562" s="257" t="s">
        <v>6311</v>
      </c>
    </row>
    <row r="3563">
      <c r="A3563" s="257" t="s">
        <v>14545</v>
      </c>
      <c r="B3563" s="257" t="s">
        <v>1727</v>
      </c>
    </row>
    <row r="3564">
      <c r="A3564" s="257" t="s">
        <v>14546</v>
      </c>
      <c r="B3564" s="257" t="s">
        <v>6310</v>
      </c>
    </row>
    <row r="3565">
      <c r="A3565" s="257" t="s">
        <v>14547</v>
      </c>
      <c r="B3565" s="257" t="s">
        <v>6299</v>
      </c>
    </row>
    <row r="3566">
      <c r="A3566" s="257" t="s">
        <v>14548</v>
      </c>
      <c r="B3566" s="257" t="s">
        <v>6312</v>
      </c>
    </row>
    <row r="3567">
      <c r="A3567" s="257" t="s">
        <v>14549</v>
      </c>
      <c r="B3567" s="257" t="s">
        <v>5944</v>
      </c>
    </row>
    <row r="3568">
      <c r="A3568" s="257" t="s">
        <v>14550</v>
      </c>
      <c r="B3568" s="257" t="s">
        <v>5548</v>
      </c>
    </row>
    <row r="3569">
      <c r="A3569" s="257" t="s">
        <v>14551</v>
      </c>
      <c r="B3569" s="257" t="s">
        <v>5315</v>
      </c>
    </row>
    <row r="3570">
      <c r="A3570" s="257" t="s">
        <v>14552</v>
      </c>
      <c r="B3570" s="257" t="s">
        <v>5309</v>
      </c>
    </row>
    <row r="3571">
      <c r="A3571" s="257" t="s">
        <v>14553</v>
      </c>
      <c r="B3571" s="257" t="s">
        <v>5599</v>
      </c>
    </row>
    <row r="3572">
      <c r="A3572" s="257" t="s">
        <v>14554</v>
      </c>
      <c r="B3572" s="257" t="s">
        <v>5313</v>
      </c>
    </row>
    <row r="3573">
      <c r="A3573" s="257" t="s">
        <v>14555</v>
      </c>
      <c r="B3573" s="257" t="s">
        <v>1725</v>
      </c>
    </row>
    <row r="3574">
      <c r="A3574" s="257" t="s">
        <v>14556</v>
      </c>
      <c r="B3574" s="257" t="s">
        <v>5383</v>
      </c>
    </row>
    <row r="3575">
      <c r="A3575" s="257" t="s">
        <v>6506</v>
      </c>
      <c r="B3575" s="257" t="s">
        <v>6506</v>
      </c>
    </row>
    <row r="3576">
      <c r="A3576" s="257" t="s">
        <v>14557</v>
      </c>
      <c r="B3576" s="257" t="s">
        <v>14558</v>
      </c>
    </row>
    <row r="3577">
      <c r="A3577" s="257" t="s">
        <v>14559</v>
      </c>
      <c r="B3577" s="257" t="s">
        <v>14560</v>
      </c>
    </row>
    <row r="3578">
      <c r="A3578" s="257" t="s">
        <v>14561</v>
      </c>
      <c r="B3578" s="257" t="s">
        <v>14562</v>
      </c>
    </row>
    <row r="3579">
      <c r="A3579" s="257" t="s">
        <v>6512</v>
      </c>
      <c r="B3579" s="257" t="s">
        <v>6512</v>
      </c>
    </row>
    <row r="3580">
      <c r="A3580" s="257" t="s">
        <v>14563</v>
      </c>
      <c r="B3580" s="257" t="s">
        <v>14564</v>
      </c>
    </row>
    <row r="3581">
      <c r="A3581" s="257" t="s">
        <v>14565</v>
      </c>
      <c r="B3581" s="257" t="s">
        <v>14566</v>
      </c>
    </row>
    <row r="3582">
      <c r="A3582" s="257" t="s">
        <v>6513</v>
      </c>
      <c r="B3582" s="257" t="s">
        <v>6513</v>
      </c>
    </row>
    <row r="3583">
      <c r="A3583" s="257" t="s">
        <v>6511</v>
      </c>
      <c r="B3583" s="257" t="s">
        <v>6511</v>
      </c>
    </row>
    <row r="3584">
      <c r="A3584" s="257" t="s">
        <v>14567</v>
      </c>
      <c r="B3584" s="257" t="s">
        <v>14568</v>
      </c>
    </row>
    <row r="3585">
      <c r="A3585" s="257" t="s">
        <v>6508</v>
      </c>
      <c r="B3585" s="257" t="s">
        <v>6508</v>
      </c>
    </row>
    <row r="3586">
      <c r="A3586" s="257" t="s">
        <v>6510</v>
      </c>
      <c r="B3586" s="257" t="s">
        <v>6510</v>
      </c>
    </row>
    <row r="3587">
      <c r="A3587" s="257" t="s">
        <v>6504</v>
      </c>
      <c r="B3587" s="257" t="s">
        <v>6504</v>
      </c>
    </row>
    <row r="3588">
      <c r="A3588" s="257" t="s">
        <v>14569</v>
      </c>
      <c r="B3588" s="257" t="s">
        <v>14570</v>
      </c>
    </row>
    <row r="3589">
      <c r="A3589" s="257" t="s">
        <v>14571</v>
      </c>
      <c r="B3589" s="257" t="s">
        <v>14572</v>
      </c>
    </row>
    <row r="3590">
      <c r="A3590" s="257" t="s">
        <v>6505</v>
      </c>
      <c r="B3590" s="257" t="s">
        <v>6505</v>
      </c>
    </row>
    <row r="3591">
      <c r="A3591" s="257" t="s">
        <v>14573</v>
      </c>
      <c r="B3591" s="257" t="s">
        <v>14574</v>
      </c>
    </row>
    <row r="3592">
      <c r="A3592" s="257" t="s">
        <v>14575</v>
      </c>
      <c r="B3592" s="257" t="s">
        <v>14576</v>
      </c>
    </row>
    <row r="3593">
      <c r="A3593" s="257" t="s">
        <v>14577</v>
      </c>
      <c r="B3593" s="257" t="s">
        <v>14578</v>
      </c>
    </row>
    <row r="3594">
      <c r="A3594" s="257" t="s">
        <v>6507</v>
      </c>
      <c r="B3594" s="257" t="s">
        <v>6507</v>
      </c>
    </row>
    <row r="3595">
      <c r="A3595" s="257" t="s">
        <v>14579</v>
      </c>
      <c r="B3595" s="257" t="s">
        <v>14580</v>
      </c>
    </row>
    <row r="3596">
      <c r="A3596" s="257" t="s">
        <v>14581</v>
      </c>
      <c r="B3596" s="257" t="s">
        <v>1774</v>
      </c>
    </row>
    <row r="3597">
      <c r="A3597" s="257" t="s">
        <v>6500</v>
      </c>
      <c r="B3597" s="257" t="s">
        <v>6500</v>
      </c>
    </row>
    <row r="3598">
      <c r="A3598" s="257" t="s">
        <v>6499</v>
      </c>
      <c r="B3598" s="257" t="s">
        <v>6499</v>
      </c>
    </row>
    <row r="3599">
      <c r="A3599" s="257" t="s">
        <v>1226</v>
      </c>
      <c r="B3599" s="257" t="s">
        <v>1226</v>
      </c>
    </row>
    <row r="3600">
      <c r="A3600" s="257" t="s">
        <v>6501</v>
      </c>
      <c r="B3600" s="257" t="s">
        <v>6501</v>
      </c>
    </row>
    <row r="3601">
      <c r="A3601" s="257" t="s">
        <v>6502</v>
      </c>
      <c r="B3601" s="257" t="s">
        <v>6502</v>
      </c>
    </row>
    <row r="3602">
      <c r="A3602" s="257" t="s">
        <v>14582</v>
      </c>
      <c r="B3602" s="257" t="s">
        <v>5346</v>
      </c>
    </row>
    <row r="3603">
      <c r="A3603" s="257" t="s">
        <v>6497</v>
      </c>
      <c r="B3603" s="257" t="s">
        <v>6497</v>
      </c>
    </row>
    <row r="3604">
      <c r="A3604" s="257" t="s">
        <v>6503</v>
      </c>
      <c r="B3604" s="257" t="s">
        <v>6503</v>
      </c>
    </row>
    <row r="3605">
      <c r="A3605" s="257" t="s">
        <v>14583</v>
      </c>
      <c r="B3605" s="257" t="str">
        <f t="shared" ref="B3605:B3664" si="8">LEFT(A3605,LEN(A3605)-2)</f>
        <v>FT_P191BR1F_M</v>
      </c>
    </row>
    <row r="3606">
      <c r="A3606" s="257" t="s">
        <v>14584</v>
      </c>
      <c r="B3606" s="257" t="str">
        <f t="shared" si="8"/>
        <v>FT_P264BU1_M</v>
      </c>
    </row>
    <row r="3607">
      <c r="A3607" s="257" t="s">
        <v>14585</v>
      </c>
      <c r="B3607" s="257" t="str">
        <f t="shared" si="8"/>
        <v>RB3386_00671_67</v>
      </c>
    </row>
    <row r="3608">
      <c r="A3608" s="257" t="s">
        <v>14586</v>
      </c>
      <c r="B3608" s="257" t="str">
        <f t="shared" si="8"/>
        <v>OO9350_07_59</v>
      </c>
    </row>
    <row r="3609">
      <c r="A3609" s="257" t="s">
        <v>14587</v>
      </c>
      <c r="B3609" s="257" t="str">
        <f t="shared" si="8"/>
        <v>FT_P264GR3_M</v>
      </c>
    </row>
    <row r="3610">
      <c r="A3610" s="257" t="s">
        <v>14588</v>
      </c>
      <c r="B3610" s="257" t="str">
        <f t="shared" si="8"/>
        <v>RB4105_601_50</v>
      </c>
    </row>
    <row r="3611">
      <c r="A3611" s="257" t="s">
        <v>14589</v>
      </c>
      <c r="B3611" s="257" t="str">
        <f t="shared" si="8"/>
        <v>RB3498_00413_61</v>
      </c>
    </row>
    <row r="3612">
      <c r="A3612" s="257" t="s">
        <v>14590</v>
      </c>
      <c r="B3612" s="257" t="str">
        <f t="shared" si="8"/>
        <v>OO9102_90_55</v>
      </c>
    </row>
    <row r="3613">
      <c r="A3613" s="257" t="s">
        <v>14591</v>
      </c>
      <c r="B3613" s="257" t="str">
        <f t="shared" si="8"/>
        <v>RB4181_613671_58</v>
      </c>
    </row>
    <row r="3614">
      <c r="A3614" s="257" t="s">
        <v>14592</v>
      </c>
      <c r="B3614" s="257" t="str">
        <f t="shared" si="8"/>
        <v>FT_P285PR1_M</v>
      </c>
    </row>
    <row r="3615">
      <c r="A3615" s="257" t="s">
        <v>14593</v>
      </c>
      <c r="B3615" s="257" t="str">
        <f t="shared" si="8"/>
        <v>RB4264_601SA1_58</v>
      </c>
    </row>
    <row r="3616">
      <c r="A3616" s="257" t="s">
        <v>14594</v>
      </c>
      <c r="B3616" s="257" t="str">
        <f t="shared" si="8"/>
        <v>OO9262_26_57</v>
      </c>
    </row>
    <row r="3617">
      <c r="A3617" s="257" t="s">
        <v>14595</v>
      </c>
      <c r="B3617" s="257" t="str">
        <f t="shared" si="8"/>
        <v>FT_P293AM4_M</v>
      </c>
    </row>
    <row r="3618">
      <c r="A3618" s="257" t="s">
        <v>14596</v>
      </c>
      <c r="B3618" s="257" t="str">
        <f t="shared" si="8"/>
        <v>OO9264_26_57</v>
      </c>
    </row>
    <row r="3619">
      <c r="A3619" s="257" t="s">
        <v>14597</v>
      </c>
      <c r="B3619" s="257" t="str">
        <f t="shared" si="8"/>
        <v>VE2161_100287_42</v>
      </c>
    </row>
    <row r="3620">
      <c r="A3620" s="257" t="s">
        <v>14598</v>
      </c>
      <c r="B3620" s="257" t="str">
        <f t="shared" si="8"/>
        <v>RB3025_90644C_58</v>
      </c>
    </row>
    <row r="3621">
      <c r="A3621" s="257" t="s">
        <v>14599</v>
      </c>
      <c r="B3621" s="257" t="str">
        <f t="shared" si="8"/>
        <v>OO9102_02_57</v>
      </c>
    </row>
    <row r="3622">
      <c r="A3622" s="257" t="s">
        <v>14600</v>
      </c>
      <c r="B3622" s="257" t="str">
        <f t="shared" si="8"/>
        <v>FT_P153BR1F_M</v>
      </c>
    </row>
    <row r="3623">
      <c r="A3623" s="257" t="s">
        <v>14601</v>
      </c>
      <c r="B3623" s="257" t="str">
        <f t="shared" si="8"/>
        <v>FT_P220BR2F_M</v>
      </c>
    </row>
    <row r="3624">
      <c r="A3624" s="257" t="s">
        <v>14602</v>
      </c>
      <c r="B3624" s="257" t="str">
        <f t="shared" si="8"/>
        <v>RB3016_90158_51</v>
      </c>
    </row>
    <row r="3625">
      <c r="A3625" s="257" t="s">
        <v>14603</v>
      </c>
      <c r="B3625" s="257" t="str">
        <f t="shared" si="8"/>
        <v>FT_P222GR3P_M</v>
      </c>
    </row>
    <row r="3626">
      <c r="A3626" s="257" t="s">
        <v>14604</v>
      </c>
      <c r="B3626" s="257" t="str">
        <f t="shared" si="8"/>
        <v>FT_P190BK3P_M</v>
      </c>
    </row>
    <row r="3627">
      <c r="A3627" s="257" t="s">
        <v>14605</v>
      </c>
      <c r="B3627" s="257" t="str">
        <f t="shared" si="8"/>
        <v>FT_C052BK1_M</v>
      </c>
    </row>
    <row r="3628">
      <c r="A3628" s="257" t="s">
        <v>14606</v>
      </c>
      <c r="B3628" s="257" t="str">
        <f t="shared" si="8"/>
        <v>EA4099_55728G_56</v>
      </c>
    </row>
    <row r="3629">
      <c r="A3629" s="257" t="s">
        <v>14607</v>
      </c>
      <c r="B3629" s="257" t="str">
        <f t="shared" si="8"/>
        <v>EA2039_302073_62</v>
      </c>
    </row>
    <row r="3630">
      <c r="A3630" s="257" t="s">
        <v>14608</v>
      </c>
      <c r="B3630" s="257" t="str">
        <f t="shared" si="8"/>
        <v>FT_M192BK4F_M</v>
      </c>
    </row>
    <row r="3631">
      <c r="A3631" s="257" t="s">
        <v>14609</v>
      </c>
      <c r="B3631" s="257" t="str">
        <f t="shared" si="8"/>
        <v>FT_P241BK1_M</v>
      </c>
    </row>
    <row r="3632">
      <c r="A3632" s="257" t="s">
        <v>14610</v>
      </c>
      <c r="B3632" s="257" t="str">
        <f t="shared" si="8"/>
        <v>FT_P155BR3PF_M</v>
      </c>
    </row>
    <row r="3633">
      <c r="A3633" s="257" t="s">
        <v>14611</v>
      </c>
      <c r="B3633" s="257" t="str">
        <f t="shared" si="8"/>
        <v>RB2132_622_58</v>
      </c>
    </row>
    <row r="3634">
      <c r="A3634" s="257" t="s">
        <v>14612</v>
      </c>
      <c r="B3634" s="257" t="str">
        <f t="shared" si="8"/>
        <v>FT_P230GR3P_M</v>
      </c>
    </row>
    <row r="3635">
      <c r="A3635" s="257" t="s">
        <v>14613</v>
      </c>
      <c r="B3635" s="257" t="str">
        <f t="shared" si="8"/>
        <v>FT_C062BR1F_M</v>
      </c>
    </row>
    <row r="3636">
      <c r="A3636" s="257" t="s">
        <v>14614</v>
      </c>
      <c r="B3636" s="257" t="str">
        <f t="shared" si="8"/>
        <v>FT_M150BK2_M</v>
      </c>
    </row>
    <row r="3637">
      <c r="A3637" s="257" t="s">
        <v>14615</v>
      </c>
      <c r="B3637" s="257" t="str">
        <f t="shared" si="8"/>
        <v>OO9247_09_57</v>
      </c>
    </row>
    <row r="3638">
      <c r="A3638" s="257" t="s">
        <v>14616</v>
      </c>
      <c r="B3638" s="257" t="str">
        <f t="shared" si="8"/>
        <v>RB8041_001_58</v>
      </c>
    </row>
    <row r="3639">
      <c r="A3639" s="257" t="s">
        <v>14617</v>
      </c>
      <c r="B3639" s="257" t="str">
        <f t="shared" si="8"/>
        <v>FT_M165YL7_M</v>
      </c>
    </row>
    <row r="3640">
      <c r="A3640" s="257" t="s">
        <v>14618</v>
      </c>
      <c r="B3640" s="257" t="str">
        <f t="shared" si="8"/>
        <v>RB3526_0198G_63</v>
      </c>
    </row>
    <row r="3641">
      <c r="A3641" s="257" t="s">
        <v>14619</v>
      </c>
      <c r="B3641" s="257" t="str">
        <f t="shared" si="8"/>
        <v>FT_P185BR1F_M</v>
      </c>
    </row>
    <row r="3642">
      <c r="A3642" s="257" t="s">
        <v>14620</v>
      </c>
      <c r="B3642" s="257" t="str">
        <f t="shared" si="8"/>
        <v>RB3411_001_60</v>
      </c>
    </row>
    <row r="3643">
      <c r="A3643" s="257" t="s">
        <v>14621</v>
      </c>
      <c r="B3643" s="257" t="str">
        <f t="shared" si="8"/>
        <v>RB3025JM_1684E_55</v>
      </c>
    </row>
    <row r="3644">
      <c r="A3644" s="257" t="s">
        <v>14622</v>
      </c>
      <c r="B3644" s="257" t="str">
        <f t="shared" si="8"/>
        <v>OO9342_09_57</v>
      </c>
    </row>
    <row r="3645">
      <c r="A3645" s="257" t="s">
        <v>14623</v>
      </c>
      <c r="B3645" s="257" t="str">
        <f t="shared" si="8"/>
        <v>RB3025_1124D_58</v>
      </c>
    </row>
    <row r="3646">
      <c r="A3646" s="257" t="s">
        <v>14624</v>
      </c>
      <c r="B3646" s="257" t="str">
        <f t="shared" si="8"/>
        <v>FT_P389BK2_M</v>
      </c>
    </row>
    <row r="3647">
      <c r="A3647" s="257" t="s">
        <v>14625</v>
      </c>
      <c r="B3647" s="257" t="str">
        <f t="shared" si="8"/>
        <v>RB8041_086_58</v>
      </c>
    </row>
    <row r="3648">
      <c r="A3648" s="257" t="s">
        <v>14626</v>
      </c>
      <c r="B3648" s="257" t="str">
        <f t="shared" si="8"/>
        <v>RB4105_601S2K_50</v>
      </c>
    </row>
    <row r="3649">
      <c r="A3649" s="257" t="s">
        <v>14627</v>
      </c>
      <c r="B3649" s="257" t="str">
        <f t="shared" si="8"/>
        <v>RB3524_02971_57</v>
      </c>
    </row>
    <row r="3650">
      <c r="A3650" s="257" t="s">
        <v>14628</v>
      </c>
      <c r="B3650" s="257" t="str">
        <f t="shared" si="8"/>
        <v>RB2180_616587_49</v>
      </c>
    </row>
    <row r="3651">
      <c r="A3651" s="257" t="s">
        <v>14629</v>
      </c>
      <c r="B3651" s="257" t="str">
        <f t="shared" si="8"/>
        <v>RB3529_02988_61</v>
      </c>
    </row>
    <row r="3652">
      <c r="A3652" s="257" t="s">
        <v>14630</v>
      </c>
      <c r="B3652" s="257" t="str">
        <f t="shared" si="8"/>
        <v>FT_P307PR2F_M</v>
      </c>
    </row>
    <row r="3653">
      <c r="A3653" s="257" t="s">
        <v>14631</v>
      </c>
      <c r="B3653" s="257" t="str">
        <f t="shared" si="8"/>
        <v>OO9331_03_61</v>
      </c>
    </row>
    <row r="3654">
      <c r="A3654" s="257" t="s">
        <v>14632</v>
      </c>
      <c r="B3654" s="257" t="str">
        <f t="shared" si="8"/>
        <v>FT_P357BK5P_M</v>
      </c>
    </row>
    <row r="3655">
      <c r="A3655" s="257" t="s">
        <v>14633</v>
      </c>
      <c r="B3655" s="257" t="str">
        <f t="shared" si="8"/>
        <v>VE2165_13718G_58</v>
      </c>
    </row>
    <row r="3656">
      <c r="A3656" s="257" t="s">
        <v>14634</v>
      </c>
      <c r="B3656" s="257" t="str">
        <f t="shared" si="8"/>
        <v>RB3561_9001A5_57</v>
      </c>
    </row>
    <row r="3657">
      <c r="A3657" s="257" t="s">
        <v>14635</v>
      </c>
      <c r="B3657" s="257" t="str">
        <f t="shared" si="8"/>
        <v>FT_M165GR1_M</v>
      </c>
    </row>
    <row r="3658">
      <c r="A3658" s="257" t="s">
        <v>14636</v>
      </c>
      <c r="B3658" s="257" t="str">
        <f t="shared" si="8"/>
        <v>RB3025_181_58</v>
      </c>
    </row>
    <row r="3659">
      <c r="A3659" s="257" t="s">
        <v>14637</v>
      </c>
      <c r="B3659" s="257" t="str">
        <f t="shared" si="8"/>
        <v>RB4188_6019A_63</v>
      </c>
    </row>
    <row r="3660">
      <c r="A3660" s="257" t="s">
        <v>14638</v>
      </c>
      <c r="B3660" s="257" t="str">
        <f t="shared" si="8"/>
        <v>FT_P383BR7_M</v>
      </c>
    </row>
    <row r="3661">
      <c r="A3661" s="257" t="s">
        <v>14639</v>
      </c>
      <c r="B3661" s="257" t="str">
        <f t="shared" si="8"/>
        <v>OO4101_06_59</v>
      </c>
    </row>
    <row r="3662">
      <c r="A3662" s="257" t="s">
        <v>14640</v>
      </c>
      <c r="B3662" s="257" t="str">
        <f t="shared" si="8"/>
        <v>RB4269_6018G_56</v>
      </c>
    </row>
    <row r="3663">
      <c r="A3663" s="257" t="s">
        <v>14641</v>
      </c>
      <c r="B3663" s="257" t="str">
        <f t="shared" si="8"/>
        <v>FT_P190GR2_M</v>
      </c>
    </row>
    <row r="3664">
      <c r="A3664" s="257" t="s">
        <v>14642</v>
      </c>
      <c r="B3664" s="257" t="str">
        <f t="shared" si="8"/>
        <v>RB3548N_00258_51</v>
      </c>
    </row>
    <row r="3665">
      <c r="A3665" s="257" t="s">
        <v>14643</v>
      </c>
      <c r="B3665" s="257" t="s">
        <v>13080</v>
      </c>
    </row>
    <row r="3666">
      <c r="A3666" s="257" t="s">
        <v>14644</v>
      </c>
      <c r="B3666" s="257" t="s">
        <v>13071</v>
      </c>
    </row>
    <row r="3667">
      <c r="A3667" s="257" t="s">
        <v>14645</v>
      </c>
      <c r="B3667" s="257" t="s">
        <v>4665</v>
      </c>
    </row>
    <row r="3668">
      <c r="A3668" s="257" t="s">
        <v>14646</v>
      </c>
      <c r="B3668" s="257" t="s">
        <v>13123</v>
      </c>
    </row>
    <row r="3669">
      <c r="A3669" s="257" t="s">
        <v>9338</v>
      </c>
      <c r="B3669" s="257" t="s">
        <v>9338</v>
      </c>
    </row>
    <row r="3670">
      <c r="A3670" s="257" t="s">
        <v>14647</v>
      </c>
      <c r="B3670" s="257" t="s">
        <v>9458</v>
      </c>
    </row>
    <row r="3671">
      <c r="A3671" s="257" t="s">
        <v>14648</v>
      </c>
      <c r="B3671" s="257" t="s">
        <v>14649</v>
      </c>
    </row>
    <row r="3672">
      <c r="A3672" s="257" t="s">
        <v>14650</v>
      </c>
      <c r="B3672" s="257" t="s">
        <v>4974</v>
      </c>
    </row>
    <row r="3673">
      <c r="A3673" s="257" t="s">
        <v>14651</v>
      </c>
      <c r="B3673" s="257" t="s">
        <v>4946</v>
      </c>
    </row>
    <row r="3674">
      <c r="A3674" s="257" t="s">
        <v>14652</v>
      </c>
      <c r="B3674" s="255" t="s">
        <v>6194</v>
      </c>
    </row>
    <row r="3675">
      <c r="A3675" s="257" t="s">
        <v>14653</v>
      </c>
      <c r="B3675" s="255" t="s">
        <v>14654</v>
      </c>
    </row>
    <row r="3676">
      <c r="A3676" s="257" t="s">
        <v>14655</v>
      </c>
      <c r="B3676" s="255" t="s">
        <v>11362</v>
      </c>
    </row>
    <row r="3677">
      <c r="A3677" s="257" t="s">
        <v>14656</v>
      </c>
      <c r="B3677" s="255" t="s">
        <v>14657</v>
      </c>
    </row>
    <row r="3678">
      <c r="A3678" s="257" t="s">
        <v>14658</v>
      </c>
      <c r="B3678" s="255" t="s">
        <v>11606</v>
      </c>
    </row>
    <row r="3679">
      <c r="A3679" s="257" t="s">
        <v>14659</v>
      </c>
      <c r="B3679" s="255" t="s">
        <v>9712</v>
      </c>
    </row>
    <row r="3680">
      <c r="A3680" s="257" t="s">
        <v>14660</v>
      </c>
      <c r="B3680" s="255" t="s">
        <v>4828</v>
      </c>
    </row>
    <row r="3681">
      <c r="A3681" s="257" t="s">
        <v>14661</v>
      </c>
      <c r="B3681" s="255" t="s">
        <v>6354</v>
      </c>
    </row>
    <row r="3682">
      <c r="A3682" s="257" t="s">
        <v>14662</v>
      </c>
      <c r="B3682" s="255" t="s">
        <v>5210</v>
      </c>
    </row>
    <row r="3683">
      <c r="A3683" s="257" t="s">
        <v>14663</v>
      </c>
      <c r="B3683" s="255" t="s">
        <v>11746</v>
      </c>
    </row>
    <row r="3684">
      <c r="A3684" s="257" t="s">
        <v>14664</v>
      </c>
      <c r="B3684" s="255" t="s">
        <v>14665</v>
      </c>
    </row>
    <row r="3685">
      <c r="A3685" s="257" t="s">
        <v>14666</v>
      </c>
      <c r="B3685" s="255" t="s">
        <v>6208</v>
      </c>
    </row>
    <row r="3686">
      <c r="A3686" s="257" t="s">
        <v>14667</v>
      </c>
      <c r="B3686" s="255" t="s">
        <v>10007</v>
      </c>
    </row>
    <row r="3687">
      <c r="A3687" s="257" t="s">
        <v>14668</v>
      </c>
      <c r="B3687" s="255" t="s">
        <v>2029</v>
      </c>
    </row>
    <row r="3688">
      <c r="A3688" s="257" t="s">
        <v>14669</v>
      </c>
      <c r="B3688" s="255" t="s">
        <v>2018</v>
      </c>
    </row>
    <row r="3689">
      <c r="A3689" s="257" t="s">
        <v>14670</v>
      </c>
      <c r="B3689" s="255" t="s">
        <v>2151</v>
      </c>
    </row>
    <row r="3690">
      <c r="A3690" s="257" t="s">
        <v>14671</v>
      </c>
      <c r="B3690" s="255" t="s">
        <v>6187</v>
      </c>
    </row>
    <row r="3691">
      <c r="A3691" s="257" t="s">
        <v>14672</v>
      </c>
      <c r="B3691" s="255" t="s">
        <v>6666</v>
      </c>
    </row>
    <row r="3692">
      <c r="A3692" s="257" t="s">
        <v>14673</v>
      </c>
      <c r="B3692" s="255" t="s">
        <v>5253</v>
      </c>
    </row>
    <row r="3693">
      <c r="A3693" s="257" t="s">
        <v>14674</v>
      </c>
      <c r="B3693" s="257" t="s">
        <v>6353</v>
      </c>
    </row>
    <row r="3694">
      <c r="A3694" s="257" t="s">
        <v>14675</v>
      </c>
      <c r="B3694" s="257" t="s">
        <v>2025</v>
      </c>
    </row>
    <row r="3695">
      <c r="A3695" s="257" t="s">
        <v>14676</v>
      </c>
      <c r="B3695" s="257" t="s">
        <v>5249</v>
      </c>
    </row>
    <row r="3696">
      <c r="A3696" s="257" t="s">
        <v>14677</v>
      </c>
      <c r="B3696" s="257" t="s">
        <v>5614</v>
      </c>
    </row>
    <row r="3697">
      <c r="A3697" s="257" t="s">
        <v>14678</v>
      </c>
      <c r="B3697" s="257" t="s">
        <v>12070</v>
      </c>
    </row>
    <row r="3698">
      <c r="A3698" s="257" t="s">
        <v>14679</v>
      </c>
      <c r="B3698" s="255" t="s">
        <v>1935</v>
      </c>
    </row>
    <row r="3699">
      <c r="A3699" s="257" t="s">
        <v>14680</v>
      </c>
      <c r="B3699" s="257" t="s">
        <v>13473</v>
      </c>
    </row>
    <row r="3700">
      <c r="A3700" s="257" t="s">
        <v>14681</v>
      </c>
      <c r="B3700" s="257" t="s">
        <v>6322</v>
      </c>
    </row>
    <row r="3701">
      <c r="A3701" s="257" t="s">
        <v>14682</v>
      </c>
      <c r="B3701" s="257" t="s">
        <v>2154</v>
      </c>
    </row>
    <row r="3702">
      <c r="A3702" s="257" t="s">
        <v>14683</v>
      </c>
      <c r="B3702" s="257" t="s">
        <v>14684</v>
      </c>
    </row>
    <row r="3703">
      <c r="A3703" s="257" t="s">
        <v>14685</v>
      </c>
      <c r="B3703" s="257" t="s">
        <v>6841</v>
      </c>
    </row>
    <row r="3704">
      <c r="A3704" s="257" t="s">
        <v>14686</v>
      </c>
      <c r="B3704" s="257" t="s">
        <v>12015</v>
      </c>
    </row>
    <row r="3705">
      <c r="A3705" s="257" t="s">
        <v>14687</v>
      </c>
      <c r="B3705" s="257" t="s">
        <v>2016</v>
      </c>
    </row>
    <row r="3706">
      <c r="A3706" s="257" t="s">
        <v>14688</v>
      </c>
      <c r="B3706" s="257" t="s">
        <v>11668</v>
      </c>
    </row>
    <row r="3707">
      <c r="A3707" s="257" t="s">
        <v>14689</v>
      </c>
      <c r="B3707" s="257" t="s">
        <v>2022</v>
      </c>
    </row>
    <row r="3708">
      <c r="A3708" s="257" t="s">
        <v>14690</v>
      </c>
      <c r="B3708" s="257" t="s">
        <v>11572</v>
      </c>
    </row>
    <row r="3709">
      <c r="A3709" s="257" t="s">
        <v>14691</v>
      </c>
      <c r="B3709" s="257" t="s">
        <v>10004</v>
      </c>
    </row>
    <row r="3710">
      <c r="A3710" s="257" t="s">
        <v>14692</v>
      </c>
      <c r="B3710" s="257" t="s">
        <v>11642</v>
      </c>
    </row>
    <row r="3711">
      <c r="A3711" s="257" t="s">
        <v>14693</v>
      </c>
      <c r="B3711" s="257" t="s">
        <v>14694</v>
      </c>
    </row>
    <row r="3712">
      <c r="A3712" s="257" t="s">
        <v>14695</v>
      </c>
      <c r="B3712" s="257" t="s">
        <v>13603</v>
      </c>
    </row>
    <row r="3713">
      <c r="A3713" s="257" t="s">
        <v>14696</v>
      </c>
      <c r="B3713" s="257" t="s">
        <v>1461</v>
      </c>
    </row>
    <row r="3714">
      <c r="A3714" s="257" t="s">
        <v>14697</v>
      </c>
      <c r="B3714" s="257" t="s">
        <v>6291</v>
      </c>
    </row>
    <row r="3715">
      <c r="A3715" s="257" t="s">
        <v>14698</v>
      </c>
      <c r="B3715" s="257" t="s">
        <v>5261</v>
      </c>
    </row>
    <row r="3716">
      <c r="A3716" s="257" t="s">
        <v>14699</v>
      </c>
      <c r="B3716" s="257" t="s">
        <v>9689</v>
      </c>
    </row>
    <row r="3717">
      <c r="A3717" s="257" t="s">
        <v>5484</v>
      </c>
      <c r="B3717" s="257" t="s">
        <v>6348</v>
      </c>
    </row>
    <row r="3718">
      <c r="A3718" s="257" t="s">
        <v>10014</v>
      </c>
      <c r="B3718" s="255" t="s">
        <v>10014</v>
      </c>
    </row>
    <row r="3719">
      <c r="A3719" s="257" t="s">
        <v>14700</v>
      </c>
      <c r="B3719" s="257" t="s">
        <v>14701</v>
      </c>
    </row>
    <row r="3720">
      <c r="A3720" s="257" t="s">
        <v>8331</v>
      </c>
      <c r="B3720" s="257" t="s">
        <v>8331</v>
      </c>
    </row>
    <row r="3721">
      <c r="A3721" s="257" t="s">
        <v>14702</v>
      </c>
      <c r="B3721" s="255" t="s">
        <v>14702</v>
      </c>
    </row>
    <row r="3722">
      <c r="A3722" s="257" t="s">
        <v>14703</v>
      </c>
      <c r="B3722" s="255" t="s">
        <v>14703</v>
      </c>
    </row>
    <row r="3723">
      <c r="A3723" s="257" t="s">
        <v>6188</v>
      </c>
      <c r="B3723" s="255" t="s">
        <v>6188</v>
      </c>
    </row>
    <row r="3724">
      <c r="A3724" s="257" t="s">
        <v>14704</v>
      </c>
      <c r="B3724" s="257" t="s">
        <v>6569</v>
      </c>
    </row>
    <row r="3725">
      <c r="A3725" s="257" t="s">
        <v>14705</v>
      </c>
      <c r="B3725" s="257" t="s">
        <v>6564</v>
      </c>
    </row>
    <row r="3726">
      <c r="A3726" s="257" t="s">
        <v>14706</v>
      </c>
      <c r="B3726" s="257" t="s">
        <v>6308</v>
      </c>
    </row>
    <row r="3727">
      <c r="A3727" s="257" t="s">
        <v>14707</v>
      </c>
      <c r="B3727" s="257" t="s">
        <v>14707</v>
      </c>
    </row>
    <row r="3728">
      <c r="A3728" s="257" t="s">
        <v>14708</v>
      </c>
      <c r="B3728" s="257" t="s">
        <v>6556</v>
      </c>
    </row>
    <row r="3729">
      <c r="A3729" s="257" t="s">
        <v>14709</v>
      </c>
      <c r="B3729" s="257" t="s">
        <v>6329</v>
      </c>
    </row>
    <row r="3730">
      <c r="A3730" s="257" t="s">
        <v>14710</v>
      </c>
      <c r="B3730" s="257" t="s">
        <v>5386</v>
      </c>
    </row>
    <row r="3731">
      <c r="A3731" s="257" t="s">
        <v>14711</v>
      </c>
      <c r="B3731" s="257" t="s">
        <v>5255</v>
      </c>
    </row>
    <row r="3732">
      <c r="A3732" s="257" t="s">
        <v>4780</v>
      </c>
      <c r="B3732" s="257" t="s">
        <v>4780</v>
      </c>
    </row>
    <row r="3733">
      <c r="A3733" s="257" t="s">
        <v>10831</v>
      </c>
      <c r="B3733" s="257" t="s">
        <v>10831</v>
      </c>
    </row>
    <row r="3734">
      <c r="A3734" s="257" t="s">
        <v>14712</v>
      </c>
      <c r="B3734" s="257" t="s">
        <v>14713</v>
      </c>
    </row>
    <row r="3735">
      <c r="A3735" s="257" t="s">
        <v>14714</v>
      </c>
      <c r="B3735" s="257" t="s">
        <v>6562</v>
      </c>
    </row>
    <row r="3736">
      <c r="A3736" s="257" t="s">
        <v>14715</v>
      </c>
      <c r="B3736" s="257" t="s">
        <v>14715</v>
      </c>
    </row>
    <row r="3737">
      <c r="A3737" s="257" t="s">
        <v>14716</v>
      </c>
      <c r="B3737" s="257" t="s">
        <v>6555</v>
      </c>
    </row>
    <row r="3738">
      <c r="A3738" s="257" t="s">
        <v>14717</v>
      </c>
      <c r="B3738" s="257" t="s">
        <v>6567</v>
      </c>
    </row>
    <row r="3739">
      <c r="A3739" s="257" t="s">
        <v>14718</v>
      </c>
      <c r="B3739" s="257" t="s">
        <v>6558</v>
      </c>
    </row>
    <row r="3740">
      <c r="A3740" s="257" t="s">
        <v>14719</v>
      </c>
      <c r="B3740" s="257" t="s">
        <v>6561</v>
      </c>
    </row>
    <row r="3741">
      <c r="A3741" s="257" t="s">
        <v>11700</v>
      </c>
      <c r="B3741" s="257" t="s">
        <v>11700</v>
      </c>
    </row>
    <row r="3742">
      <c r="A3742" s="257" t="s">
        <v>9991</v>
      </c>
      <c r="B3742" s="257" t="s">
        <v>9991</v>
      </c>
    </row>
    <row r="3743">
      <c r="A3743" s="257" t="s">
        <v>14720</v>
      </c>
      <c r="B3743" s="257" t="s">
        <v>6554</v>
      </c>
    </row>
    <row r="3744">
      <c r="A3744" s="257" t="s">
        <v>11291</v>
      </c>
      <c r="B3744" s="257" t="s">
        <v>11291</v>
      </c>
    </row>
    <row r="3745">
      <c r="A3745" s="257" t="s">
        <v>14721</v>
      </c>
      <c r="B3745" s="257" t="s">
        <v>11573</v>
      </c>
    </row>
    <row r="3746">
      <c r="A3746" s="257" t="s">
        <v>14722</v>
      </c>
      <c r="B3746" s="257" t="s">
        <v>5316</v>
      </c>
    </row>
    <row r="3747">
      <c r="A3747" s="257" t="s">
        <v>14723</v>
      </c>
      <c r="B3747" s="257" t="s">
        <v>7943</v>
      </c>
    </row>
    <row r="3748">
      <c r="A3748" s="257" t="s">
        <v>14724</v>
      </c>
      <c r="B3748" s="257" t="s">
        <v>7821</v>
      </c>
    </row>
    <row r="3749">
      <c r="A3749" s="257" t="s">
        <v>5486</v>
      </c>
      <c r="B3749" s="257" t="s">
        <v>2259</v>
      </c>
    </row>
    <row r="3750">
      <c r="A3750" s="257" t="s">
        <v>14725</v>
      </c>
      <c r="B3750" s="257" t="s">
        <v>5214</v>
      </c>
    </row>
    <row r="3751">
      <c r="A3751" s="257" t="s">
        <v>14726</v>
      </c>
      <c r="B3751" s="257" t="s">
        <v>5266</v>
      </c>
    </row>
    <row r="3752">
      <c r="A3752" s="257" t="s">
        <v>5258</v>
      </c>
      <c r="B3752" s="257" t="s">
        <v>5258</v>
      </c>
    </row>
    <row r="3753">
      <c r="A3753" s="257" t="s">
        <v>14727</v>
      </c>
      <c r="B3753" s="257" t="s">
        <v>5500</v>
      </c>
    </row>
    <row r="3754">
      <c r="A3754" s="257" t="s">
        <v>14728</v>
      </c>
      <c r="B3754" s="257" t="s">
        <v>5708</v>
      </c>
    </row>
    <row r="3755">
      <c r="A3755" s="257" t="s">
        <v>14729</v>
      </c>
      <c r="B3755" s="257" t="s">
        <v>5512</v>
      </c>
    </row>
    <row r="3756">
      <c r="A3756" s="257" t="s">
        <v>14730</v>
      </c>
      <c r="B3756" s="257" t="s">
        <v>6560</v>
      </c>
    </row>
    <row r="3757">
      <c r="A3757" s="257" t="s">
        <v>14731</v>
      </c>
      <c r="B3757" s="257" t="s">
        <v>6553</v>
      </c>
    </row>
    <row r="3758">
      <c r="A3758" s="257" t="s">
        <v>5487</v>
      </c>
      <c r="B3758" s="257" t="s">
        <v>6347</v>
      </c>
    </row>
    <row r="3759">
      <c r="A3759" s="257" t="s">
        <v>14732</v>
      </c>
      <c r="B3759" s="257" t="s">
        <v>6559</v>
      </c>
    </row>
    <row r="3760">
      <c r="A3760" s="257" t="s">
        <v>6181</v>
      </c>
      <c r="B3760" s="257" t="s">
        <v>6181</v>
      </c>
    </row>
    <row r="3761">
      <c r="A3761" s="257" t="s">
        <v>14733</v>
      </c>
      <c r="B3761" s="257" t="s">
        <v>6570</v>
      </c>
    </row>
    <row r="3762">
      <c r="A3762" s="257" t="s">
        <v>14734</v>
      </c>
      <c r="B3762" s="257" t="s">
        <v>11280</v>
      </c>
    </row>
    <row r="3763">
      <c r="A3763" s="257" t="s">
        <v>14735</v>
      </c>
      <c r="B3763" s="257" t="s">
        <v>5269</v>
      </c>
    </row>
    <row r="3764">
      <c r="A3764" s="257" t="s">
        <v>14736</v>
      </c>
      <c r="B3764" s="257" t="s">
        <v>6557</v>
      </c>
    </row>
    <row r="3765">
      <c r="A3765" s="257" t="s">
        <v>14737</v>
      </c>
      <c r="B3765" s="257" t="s">
        <v>5377</v>
      </c>
    </row>
    <row r="3766">
      <c r="A3766" s="257" t="s">
        <v>14738</v>
      </c>
      <c r="B3766" s="257" t="s">
        <v>6565</v>
      </c>
    </row>
    <row r="3767">
      <c r="A3767" s="257" t="s">
        <v>14739</v>
      </c>
      <c r="B3767" s="257" t="s">
        <v>5254</v>
      </c>
    </row>
    <row r="3768">
      <c r="A3768" s="257" t="s">
        <v>9450</v>
      </c>
      <c r="B3768" s="257" t="s">
        <v>9450</v>
      </c>
    </row>
    <row r="3769">
      <c r="A3769" s="257" t="s">
        <v>9456</v>
      </c>
      <c r="B3769" s="257" t="s">
        <v>9456</v>
      </c>
    </row>
    <row r="3770">
      <c r="A3770" s="257" t="s">
        <v>14740</v>
      </c>
      <c r="B3770" s="257" t="s">
        <v>6321</v>
      </c>
    </row>
    <row r="3771">
      <c r="A3771" s="257" t="s">
        <v>14741</v>
      </c>
      <c r="B3771" s="257" t="s">
        <v>5259</v>
      </c>
    </row>
    <row r="3772">
      <c r="A3772" s="257" t="s">
        <v>14742</v>
      </c>
      <c r="B3772" s="257" t="s">
        <v>14742</v>
      </c>
    </row>
    <row r="3773">
      <c r="A3773" s="257" t="s">
        <v>14743</v>
      </c>
      <c r="B3773" s="257" t="s">
        <v>5379</v>
      </c>
    </row>
    <row r="3774">
      <c r="A3774" s="257" t="s">
        <v>14744</v>
      </c>
      <c r="B3774" s="257" t="s">
        <v>6326</v>
      </c>
    </row>
    <row r="3775">
      <c r="A3775" s="257" t="s">
        <v>14745</v>
      </c>
      <c r="B3775" s="257" t="s">
        <v>1786</v>
      </c>
    </row>
    <row r="3776">
      <c r="A3776" s="257" t="s">
        <v>14746</v>
      </c>
      <c r="B3776" s="257" t="s">
        <v>1788</v>
      </c>
    </row>
    <row r="3777">
      <c r="A3777" s="257" t="s">
        <v>14747</v>
      </c>
      <c r="B3777" s="257" t="s">
        <v>693</v>
      </c>
    </row>
    <row r="3778">
      <c r="A3778" s="257" t="s">
        <v>14748</v>
      </c>
      <c r="B3778" s="257" t="s">
        <v>5206</v>
      </c>
    </row>
    <row r="3779">
      <c r="A3779" s="257" t="s">
        <v>14749</v>
      </c>
      <c r="B3779" s="257" t="s">
        <v>9720</v>
      </c>
    </row>
    <row r="3780">
      <c r="A3780" s="257" t="s">
        <v>14750</v>
      </c>
      <c r="B3780" s="257" t="s">
        <v>1267</v>
      </c>
    </row>
    <row r="3781">
      <c r="A3781" s="257" t="s">
        <v>14751</v>
      </c>
      <c r="B3781" s="257" t="s">
        <v>14752</v>
      </c>
    </row>
    <row r="3782">
      <c r="A3782" s="257" t="s">
        <v>14753</v>
      </c>
      <c r="B3782" s="257" t="s">
        <v>9460</v>
      </c>
    </row>
    <row r="3783">
      <c r="A3783" s="257" t="s">
        <v>5239</v>
      </c>
      <c r="B3783" s="257" t="s">
        <v>5239</v>
      </c>
    </row>
    <row r="3784">
      <c r="A3784" s="257" t="s">
        <v>14754</v>
      </c>
      <c r="B3784" s="257" t="s">
        <v>14755</v>
      </c>
    </row>
    <row r="3785">
      <c r="A3785" s="257" t="s">
        <v>14756</v>
      </c>
      <c r="B3785" s="257" t="s">
        <v>2026</v>
      </c>
    </row>
    <row r="3786">
      <c r="A3786" s="257" t="s">
        <v>14757</v>
      </c>
      <c r="B3786" s="257" t="s">
        <v>14758</v>
      </c>
    </row>
    <row r="3787">
      <c r="A3787" s="257" t="s">
        <v>14759</v>
      </c>
      <c r="B3787" s="257" t="s">
        <v>13557</v>
      </c>
    </row>
    <row r="3788">
      <c r="A3788" s="257" t="s">
        <v>14760</v>
      </c>
      <c r="B3788" s="257" t="s">
        <v>9457</v>
      </c>
    </row>
    <row r="3789">
      <c r="A3789" s="257" t="s">
        <v>5234</v>
      </c>
      <c r="B3789" s="257" t="s">
        <v>5234</v>
      </c>
    </row>
    <row r="3790">
      <c r="A3790" s="257" t="s">
        <v>14761</v>
      </c>
      <c r="B3790" s="257" t="s">
        <v>12582</v>
      </c>
    </row>
    <row r="3791">
      <c r="A3791" s="257" t="s">
        <v>14762</v>
      </c>
      <c r="B3791" s="257" t="s">
        <v>12242</v>
      </c>
    </row>
    <row r="3792">
      <c r="A3792" s="257" t="s">
        <v>14763</v>
      </c>
      <c r="B3792" s="257" t="s">
        <v>5539</v>
      </c>
    </row>
    <row r="3793">
      <c r="A3793" s="257" t="s">
        <v>14764</v>
      </c>
      <c r="B3793" s="257" t="s">
        <v>12005</v>
      </c>
    </row>
    <row r="3794">
      <c r="A3794" s="257" t="s">
        <v>14765</v>
      </c>
      <c r="B3794" s="257" t="s">
        <v>12009</v>
      </c>
    </row>
    <row r="3795">
      <c r="A3795" s="257" t="s">
        <v>14766</v>
      </c>
      <c r="B3795" s="257" t="s">
        <v>14766</v>
      </c>
    </row>
    <row r="3796">
      <c r="A3796" s="257" t="s">
        <v>14767</v>
      </c>
      <c r="B3796" s="257" t="s">
        <v>14767</v>
      </c>
    </row>
    <row r="3797">
      <c r="A3797" s="257" t="s">
        <v>14768</v>
      </c>
      <c r="B3797" s="257" t="s">
        <v>14768</v>
      </c>
    </row>
    <row r="3798">
      <c r="A3798" s="257" t="s">
        <v>14769</v>
      </c>
      <c r="B3798" s="257" t="s">
        <v>14769</v>
      </c>
    </row>
    <row r="3799">
      <c r="A3799" s="257" t="s">
        <v>14770</v>
      </c>
      <c r="B3799" s="257" t="s">
        <v>14770</v>
      </c>
    </row>
    <row r="3800">
      <c r="A3800" s="257" t="s">
        <v>14771</v>
      </c>
      <c r="B3800" s="257" t="s">
        <v>14771</v>
      </c>
    </row>
    <row r="3801">
      <c r="A3801" s="257" t="s">
        <v>14772</v>
      </c>
      <c r="B3801" s="257" t="s">
        <v>14772</v>
      </c>
    </row>
    <row r="3802">
      <c r="A3802" s="257" t="s">
        <v>14773</v>
      </c>
      <c r="B3802" s="257" t="s">
        <v>14773</v>
      </c>
    </row>
    <row r="3803">
      <c r="A3803" s="257" t="s">
        <v>14774</v>
      </c>
      <c r="B3803" s="257" t="s">
        <v>14774</v>
      </c>
    </row>
    <row r="3804">
      <c r="A3804" s="257" t="s">
        <v>14775</v>
      </c>
      <c r="B3804" s="257" t="s">
        <v>14775</v>
      </c>
    </row>
    <row r="3805">
      <c r="A3805" s="257" t="s">
        <v>14776</v>
      </c>
      <c r="B3805" s="257" t="s">
        <v>14777</v>
      </c>
    </row>
    <row r="3806">
      <c r="A3806" s="257" t="s">
        <v>14778</v>
      </c>
      <c r="B3806" s="257" t="s">
        <v>14778</v>
      </c>
    </row>
    <row r="3807">
      <c r="A3807" s="257" t="s">
        <v>14779</v>
      </c>
      <c r="B3807" s="257" t="s">
        <v>14779</v>
      </c>
    </row>
    <row r="3808">
      <c r="A3808" s="257" t="s">
        <v>14780</v>
      </c>
      <c r="B3808" s="257" t="s">
        <v>12995</v>
      </c>
    </row>
    <row r="3809">
      <c r="A3809" s="257" t="s">
        <v>14781</v>
      </c>
      <c r="B3809" s="257" t="s">
        <v>14781</v>
      </c>
    </row>
    <row r="3810">
      <c r="A3810" s="257" t="s">
        <v>14782</v>
      </c>
      <c r="B3810" s="257" t="s">
        <v>14782</v>
      </c>
    </row>
    <row r="3811">
      <c r="A3811" s="257" t="s">
        <v>6675</v>
      </c>
      <c r="B3811" s="257" t="s">
        <v>6675</v>
      </c>
    </row>
    <row r="3812">
      <c r="A3812" s="257" t="s">
        <v>14783</v>
      </c>
      <c r="B3812" s="257" t="s">
        <v>14783</v>
      </c>
    </row>
    <row r="3813">
      <c r="A3813" s="257" t="s">
        <v>14784</v>
      </c>
      <c r="B3813" s="257" t="s">
        <v>14784</v>
      </c>
    </row>
    <row r="3814">
      <c r="A3814" s="257" t="s">
        <v>14785</v>
      </c>
      <c r="B3814" s="257" t="s">
        <v>14785</v>
      </c>
    </row>
    <row r="3815">
      <c r="A3815" s="257" t="s">
        <v>14786</v>
      </c>
      <c r="B3815" s="257" t="s">
        <v>14786</v>
      </c>
    </row>
    <row r="3816">
      <c r="A3816" s="257" t="s">
        <v>14787</v>
      </c>
      <c r="B3816" s="257" t="s">
        <v>14787</v>
      </c>
    </row>
    <row r="3817">
      <c r="A3817" s="257" t="s">
        <v>14788</v>
      </c>
      <c r="B3817" s="257" t="s">
        <v>14788</v>
      </c>
    </row>
    <row r="3818">
      <c r="A3818" s="257" t="s">
        <v>14789</v>
      </c>
      <c r="B3818" s="257" t="s">
        <v>14789</v>
      </c>
    </row>
    <row r="3819">
      <c r="A3819" s="257" t="s">
        <v>14790</v>
      </c>
      <c r="B3819" s="257" t="s">
        <v>14790</v>
      </c>
    </row>
    <row r="3820">
      <c r="A3820" s="257" t="s">
        <v>14791</v>
      </c>
      <c r="B3820" s="257" t="s">
        <v>14791</v>
      </c>
    </row>
    <row r="3821">
      <c r="A3821" s="257" t="s">
        <v>14792</v>
      </c>
      <c r="B3821" s="257" t="s">
        <v>14792</v>
      </c>
    </row>
    <row r="3822">
      <c r="A3822" s="257" t="s">
        <v>14793</v>
      </c>
      <c r="B3822" s="257" t="s">
        <v>14793</v>
      </c>
    </row>
    <row r="3823">
      <c r="A3823" s="257" t="s">
        <v>14794</v>
      </c>
      <c r="B3823" s="257" t="s">
        <v>6670</v>
      </c>
    </row>
    <row r="3824">
      <c r="A3824" s="257" t="s">
        <v>14795</v>
      </c>
      <c r="B3824" s="257" t="s">
        <v>14795</v>
      </c>
    </row>
    <row r="3825">
      <c r="A3825" s="257" t="s">
        <v>14796</v>
      </c>
      <c r="B3825" s="257" t="s">
        <v>14796</v>
      </c>
    </row>
    <row r="3826">
      <c r="A3826" s="257" t="s">
        <v>14797</v>
      </c>
      <c r="B3826" s="257" t="s">
        <v>14797</v>
      </c>
    </row>
    <row r="3827">
      <c r="A3827" s="257" t="s">
        <v>14798</v>
      </c>
      <c r="B3827" s="257" t="s">
        <v>14798</v>
      </c>
    </row>
    <row r="3828">
      <c r="A3828" s="257" t="s">
        <v>14799</v>
      </c>
      <c r="B3828" s="257" t="s">
        <v>14799</v>
      </c>
    </row>
    <row r="3829">
      <c r="A3829" s="257" t="s">
        <v>14800</v>
      </c>
      <c r="B3829" s="257" t="s">
        <v>14800</v>
      </c>
    </row>
    <row r="3830">
      <c r="A3830" s="257" t="s">
        <v>14801</v>
      </c>
      <c r="B3830" s="257" t="s">
        <v>14801</v>
      </c>
    </row>
    <row r="3831">
      <c r="A3831" s="257" t="s">
        <v>14802</v>
      </c>
      <c r="B3831" s="257" t="s">
        <v>14802</v>
      </c>
    </row>
    <row r="3832">
      <c r="A3832" s="257" t="s">
        <v>14803</v>
      </c>
      <c r="B3832" s="257" t="s">
        <v>14803</v>
      </c>
    </row>
    <row r="3833">
      <c r="A3833" s="257" t="s">
        <v>14804</v>
      </c>
      <c r="B3833" s="257" t="s">
        <v>14804</v>
      </c>
    </row>
    <row r="3834">
      <c r="A3834" s="257" t="s">
        <v>14805</v>
      </c>
      <c r="B3834" s="257" t="s">
        <v>14805</v>
      </c>
    </row>
    <row r="3835">
      <c r="A3835" s="257" t="s">
        <v>1887</v>
      </c>
      <c r="B3835" s="257" t="s">
        <v>1887</v>
      </c>
    </row>
    <row r="3836">
      <c r="A3836" s="257" t="s">
        <v>14806</v>
      </c>
      <c r="B3836" s="257" t="s">
        <v>14806</v>
      </c>
    </row>
    <row r="3837">
      <c r="A3837" s="257" t="s">
        <v>14807</v>
      </c>
      <c r="B3837" s="257" t="s">
        <v>5102</v>
      </c>
    </row>
    <row r="3838">
      <c r="A3838" s="257" t="s">
        <v>14808</v>
      </c>
      <c r="B3838" s="257" t="s">
        <v>14808</v>
      </c>
    </row>
    <row r="3839">
      <c r="A3839" s="257" t="s">
        <v>14809</v>
      </c>
      <c r="B3839" s="257" t="s">
        <v>14809</v>
      </c>
    </row>
    <row r="3840">
      <c r="A3840" s="257" t="s">
        <v>14810</v>
      </c>
      <c r="B3840" s="257" t="s">
        <v>14810</v>
      </c>
    </row>
    <row r="3841">
      <c r="A3841" s="257" t="s">
        <v>14811</v>
      </c>
      <c r="B3841" s="257" t="s">
        <v>14811</v>
      </c>
    </row>
    <row r="3842">
      <c r="A3842" s="257" t="s">
        <v>14812</v>
      </c>
      <c r="B3842" s="257" t="s">
        <v>14812</v>
      </c>
    </row>
    <row r="3843">
      <c r="A3843" s="257" t="s">
        <v>14813</v>
      </c>
      <c r="B3843" s="257" t="s">
        <v>14813</v>
      </c>
    </row>
    <row r="3844">
      <c r="A3844" s="257" t="s">
        <v>14814</v>
      </c>
      <c r="B3844" s="257" t="s">
        <v>14814</v>
      </c>
    </row>
    <row r="3845">
      <c r="A3845" s="257" t="s">
        <v>14815</v>
      </c>
      <c r="B3845" s="257" t="s">
        <v>14815</v>
      </c>
    </row>
    <row r="3846">
      <c r="A3846" s="257" t="s">
        <v>1843</v>
      </c>
      <c r="B3846" s="257" t="s">
        <v>1843</v>
      </c>
    </row>
    <row r="3847">
      <c r="A3847" s="257" t="s">
        <v>14816</v>
      </c>
      <c r="B3847" s="257" t="s">
        <v>14816</v>
      </c>
    </row>
    <row r="3848">
      <c r="A3848" s="257" t="s">
        <v>14817</v>
      </c>
      <c r="B3848" s="257" t="s">
        <v>14817</v>
      </c>
    </row>
    <row r="3849">
      <c r="A3849" s="257" t="s">
        <v>14818</v>
      </c>
      <c r="B3849" s="257" t="s">
        <v>14818</v>
      </c>
    </row>
    <row r="3850">
      <c r="A3850" s="257" t="s">
        <v>14819</v>
      </c>
      <c r="B3850" s="257" t="s">
        <v>14819</v>
      </c>
    </row>
    <row r="3851">
      <c r="A3851" s="257" t="s">
        <v>14820</v>
      </c>
      <c r="B3851" s="257" t="s">
        <v>14820</v>
      </c>
    </row>
    <row r="3852">
      <c r="A3852" s="257" t="s">
        <v>14821</v>
      </c>
      <c r="B3852" s="257" t="s">
        <v>14821</v>
      </c>
    </row>
    <row r="3853">
      <c r="A3853" s="257" t="s">
        <v>14822</v>
      </c>
      <c r="B3853" s="257" t="s">
        <v>14822</v>
      </c>
    </row>
    <row r="3854">
      <c r="A3854" s="257" t="s">
        <v>14823</v>
      </c>
      <c r="B3854" s="257" t="s">
        <v>14823</v>
      </c>
    </row>
    <row r="3855">
      <c r="A3855" s="257" t="s">
        <v>8362</v>
      </c>
      <c r="B3855" s="257" t="s">
        <v>8362</v>
      </c>
    </row>
    <row r="3856">
      <c r="A3856" s="257" t="s">
        <v>14824</v>
      </c>
      <c r="B3856" s="257" t="s">
        <v>14824</v>
      </c>
    </row>
    <row r="3857">
      <c r="A3857" s="257" t="s">
        <v>14825</v>
      </c>
      <c r="B3857" s="257" t="s">
        <v>14825</v>
      </c>
    </row>
    <row r="3858">
      <c r="A3858" s="257" t="s">
        <v>14826</v>
      </c>
      <c r="B3858" s="257" t="s">
        <v>14826</v>
      </c>
    </row>
    <row r="3859">
      <c r="A3859" s="257" t="s">
        <v>14827</v>
      </c>
      <c r="B3859" s="257" t="s">
        <v>14827</v>
      </c>
    </row>
    <row r="3860">
      <c r="A3860" s="257" t="s">
        <v>14828</v>
      </c>
      <c r="B3860" s="257" t="s">
        <v>14828</v>
      </c>
    </row>
    <row r="3861">
      <c r="A3861" s="257" t="s">
        <v>14829</v>
      </c>
      <c r="B3861" s="257" t="s">
        <v>14829</v>
      </c>
    </row>
    <row r="3862">
      <c r="A3862" s="257" t="s">
        <v>14830</v>
      </c>
      <c r="B3862" s="257" t="s">
        <v>14830</v>
      </c>
    </row>
    <row r="3863">
      <c r="A3863" s="257" t="s">
        <v>14831</v>
      </c>
      <c r="B3863" s="257" t="s">
        <v>14831</v>
      </c>
    </row>
    <row r="3864">
      <c r="A3864" s="257" t="s">
        <v>14832</v>
      </c>
      <c r="B3864" s="257" t="s">
        <v>14832</v>
      </c>
    </row>
    <row r="3865">
      <c r="A3865" s="257" t="s">
        <v>14833</v>
      </c>
      <c r="B3865" s="257" t="s">
        <v>14833</v>
      </c>
    </row>
    <row r="3866">
      <c r="A3866" s="257" t="s">
        <v>14834</v>
      </c>
      <c r="B3866" s="257" t="s">
        <v>14834</v>
      </c>
    </row>
    <row r="3867">
      <c r="A3867" s="257" t="s">
        <v>14835</v>
      </c>
      <c r="B3867" s="257" t="s">
        <v>14835</v>
      </c>
    </row>
    <row r="3868">
      <c r="A3868" s="257" t="s">
        <v>14836</v>
      </c>
      <c r="B3868" s="257" t="s">
        <v>5169</v>
      </c>
    </row>
    <row r="3869">
      <c r="A3869" s="257" t="s">
        <v>14837</v>
      </c>
      <c r="B3869" s="257" t="s">
        <v>14837</v>
      </c>
    </row>
    <row r="3870">
      <c r="A3870" s="257" t="s">
        <v>14838</v>
      </c>
      <c r="B3870" s="257" t="s">
        <v>14838</v>
      </c>
    </row>
    <row r="3871">
      <c r="A3871" s="257" t="s">
        <v>14839</v>
      </c>
      <c r="B3871" s="257" t="s">
        <v>14839</v>
      </c>
    </row>
    <row r="3872">
      <c r="A3872" s="257" t="s">
        <v>14840</v>
      </c>
      <c r="B3872" s="257" t="s">
        <v>14840</v>
      </c>
    </row>
    <row r="3873">
      <c r="A3873" s="257" t="s">
        <v>14841</v>
      </c>
      <c r="B3873" s="257" t="s">
        <v>14841</v>
      </c>
    </row>
    <row r="3874">
      <c r="A3874" s="257" t="s">
        <v>14842</v>
      </c>
      <c r="B3874" s="257" t="s">
        <v>14842</v>
      </c>
    </row>
    <row r="3875">
      <c r="A3875" s="257" t="s">
        <v>14843</v>
      </c>
      <c r="B3875" s="257" t="s">
        <v>14843</v>
      </c>
    </row>
    <row r="3876">
      <c r="A3876" s="257" t="s">
        <v>6666</v>
      </c>
      <c r="B3876" s="257" t="s">
        <v>6666</v>
      </c>
    </row>
    <row r="3877">
      <c r="A3877" s="257" t="s">
        <v>14844</v>
      </c>
      <c r="B3877" s="257" t="s">
        <v>14844</v>
      </c>
    </row>
    <row r="3878">
      <c r="A3878" s="257" t="s">
        <v>14845</v>
      </c>
      <c r="B3878" s="257" t="s">
        <v>6659</v>
      </c>
    </row>
    <row r="3879">
      <c r="A3879" s="257" t="s">
        <v>14846</v>
      </c>
      <c r="B3879" s="257" t="s">
        <v>14846</v>
      </c>
    </row>
    <row r="3880">
      <c r="A3880" s="257" t="s">
        <v>14847</v>
      </c>
      <c r="B3880" s="257" t="s">
        <v>14847</v>
      </c>
    </row>
    <row r="3881">
      <c r="A3881" s="257" t="s">
        <v>14848</v>
      </c>
      <c r="B3881" s="257" t="s">
        <v>14848</v>
      </c>
    </row>
    <row r="3882">
      <c r="A3882" s="257" t="s">
        <v>14849</v>
      </c>
      <c r="B3882" s="257" t="s">
        <v>14849</v>
      </c>
    </row>
    <row r="3883">
      <c r="A3883" s="257" t="s">
        <v>14850</v>
      </c>
      <c r="B3883" s="257" t="s">
        <v>14850</v>
      </c>
    </row>
    <row r="3884">
      <c r="A3884" s="257" t="s">
        <v>14851</v>
      </c>
      <c r="B3884" s="257" t="s">
        <v>13010</v>
      </c>
    </row>
    <row r="3885">
      <c r="A3885" s="257" t="s">
        <v>14852</v>
      </c>
      <c r="B3885" s="257" t="s">
        <v>14852</v>
      </c>
    </row>
    <row r="3886">
      <c r="A3886" s="257" t="s">
        <v>14853</v>
      </c>
      <c r="B3886" s="257" t="s">
        <v>14853</v>
      </c>
    </row>
    <row r="3887">
      <c r="A3887" s="257" t="s">
        <v>14854</v>
      </c>
      <c r="B3887" s="257" t="s">
        <v>14854</v>
      </c>
    </row>
    <row r="3888">
      <c r="A3888" s="257" t="s">
        <v>14855</v>
      </c>
      <c r="B3888" s="257" t="s">
        <v>14855</v>
      </c>
    </row>
    <row r="3889">
      <c r="A3889" s="257" t="s">
        <v>14856</v>
      </c>
      <c r="B3889" s="257" t="s">
        <v>2163</v>
      </c>
    </row>
    <row r="3890">
      <c r="A3890" s="257" t="s">
        <v>14857</v>
      </c>
      <c r="B3890" s="257" t="s">
        <v>14857</v>
      </c>
    </row>
    <row r="3891">
      <c r="A3891" s="257" t="s">
        <v>14858</v>
      </c>
      <c r="B3891" s="257" t="s">
        <v>6496</v>
      </c>
    </row>
    <row r="3892">
      <c r="A3892" s="257" t="s">
        <v>14859</v>
      </c>
      <c r="B3892" s="257" t="s">
        <v>14859</v>
      </c>
    </row>
    <row r="3893">
      <c r="A3893" s="257" t="s">
        <v>14860</v>
      </c>
      <c r="B3893" s="257" t="s">
        <v>14860</v>
      </c>
    </row>
    <row r="3894">
      <c r="A3894" s="257" t="s">
        <v>14861</v>
      </c>
      <c r="B3894" s="257" t="s">
        <v>14861</v>
      </c>
    </row>
    <row r="3895">
      <c r="A3895" s="257" t="s">
        <v>14862</v>
      </c>
      <c r="B3895" s="257" t="s">
        <v>14862</v>
      </c>
    </row>
    <row r="3896">
      <c r="A3896" s="257" t="s">
        <v>14863</v>
      </c>
      <c r="B3896" s="257" t="s">
        <v>14863</v>
      </c>
    </row>
    <row r="3897">
      <c r="A3897" s="257" t="s">
        <v>14864</v>
      </c>
      <c r="B3897" s="257" t="s">
        <v>14864</v>
      </c>
    </row>
    <row r="3898">
      <c r="A3898" s="257" t="s">
        <v>14865</v>
      </c>
      <c r="B3898" s="257" t="s">
        <v>14865</v>
      </c>
    </row>
    <row r="3899">
      <c r="A3899" s="257" t="s">
        <v>14866</v>
      </c>
      <c r="B3899" s="257" t="s">
        <v>14866</v>
      </c>
    </row>
    <row r="3900">
      <c r="A3900" s="257" t="s">
        <v>14867</v>
      </c>
      <c r="B3900" s="257" t="s">
        <v>14867</v>
      </c>
    </row>
    <row r="3901">
      <c r="A3901" s="257" t="s">
        <v>14868</v>
      </c>
      <c r="B3901" s="257" t="s">
        <v>14868</v>
      </c>
    </row>
    <row r="3902">
      <c r="A3902" s="257" t="s">
        <v>14869</v>
      </c>
      <c r="B3902" s="257" t="s">
        <v>14869</v>
      </c>
    </row>
    <row r="3903">
      <c r="A3903" s="257" t="s">
        <v>14870</v>
      </c>
      <c r="B3903" s="257" t="s">
        <v>14870</v>
      </c>
    </row>
    <row r="3904">
      <c r="A3904" s="257" t="s">
        <v>14871</v>
      </c>
      <c r="B3904" s="257" t="s">
        <v>14871</v>
      </c>
    </row>
    <row r="3905">
      <c r="A3905" s="257" t="s">
        <v>14872</v>
      </c>
      <c r="B3905" s="257" t="s">
        <v>14872</v>
      </c>
    </row>
    <row r="3906">
      <c r="A3906" s="257" t="s">
        <v>14873</v>
      </c>
      <c r="B3906" s="257" t="s">
        <v>14873</v>
      </c>
    </row>
    <row r="3907">
      <c r="A3907" s="257" t="s">
        <v>14874</v>
      </c>
      <c r="B3907" s="257" t="s">
        <v>14874</v>
      </c>
    </row>
    <row r="3908">
      <c r="A3908" s="257" t="s">
        <v>14875</v>
      </c>
      <c r="B3908" s="257" t="s">
        <v>1808</v>
      </c>
    </row>
    <row r="3909">
      <c r="A3909" s="257" t="s">
        <v>14766</v>
      </c>
      <c r="B3909" s="257" t="s">
        <v>14766</v>
      </c>
    </row>
    <row r="3910">
      <c r="A3910" s="257" t="s">
        <v>14876</v>
      </c>
      <c r="B3910" s="257" t="s">
        <v>14876</v>
      </c>
    </row>
    <row r="3911">
      <c r="A3911" s="257" t="s">
        <v>14877</v>
      </c>
      <c r="B3911" s="257" t="s">
        <v>14878</v>
      </c>
    </row>
    <row r="3912">
      <c r="A3912" s="257" t="s">
        <v>14879</v>
      </c>
      <c r="B3912" s="257" t="s">
        <v>14880</v>
      </c>
    </row>
    <row r="3913">
      <c r="A3913" s="257" t="s">
        <v>5201</v>
      </c>
      <c r="B3913" s="257" t="s">
        <v>5201</v>
      </c>
    </row>
    <row r="3914">
      <c r="A3914" s="257" t="s">
        <v>14881</v>
      </c>
      <c r="B3914" s="257" t="s">
        <v>5275</v>
      </c>
    </row>
    <row r="3915">
      <c r="A3915" s="257" t="s">
        <v>14882</v>
      </c>
      <c r="B3915" s="257" t="s">
        <v>14882</v>
      </c>
    </row>
    <row r="3916">
      <c r="A3916" s="257" t="s">
        <v>14883</v>
      </c>
      <c r="B3916" s="257" t="s">
        <v>14883</v>
      </c>
    </row>
    <row r="3917">
      <c r="A3917" s="257" t="s">
        <v>14884</v>
      </c>
      <c r="B3917" s="257" t="s">
        <v>9720</v>
      </c>
    </row>
    <row r="3918">
      <c r="A3918" s="257" t="s">
        <v>14885</v>
      </c>
      <c r="B3918" s="257" t="s">
        <v>14885</v>
      </c>
    </row>
    <row r="3919">
      <c r="A3919" s="257" t="s">
        <v>2124</v>
      </c>
      <c r="B3919" s="257" t="s">
        <v>2124</v>
      </c>
    </row>
    <row r="3920">
      <c r="A3920" s="257" t="s">
        <v>14886</v>
      </c>
      <c r="B3920" s="257" t="s">
        <v>5591</v>
      </c>
    </row>
    <row r="3921">
      <c r="A3921" s="257" t="s">
        <v>5186</v>
      </c>
      <c r="B3921" s="257" t="s">
        <v>5186</v>
      </c>
    </row>
    <row r="3922">
      <c r="A3922" s="257" t="s">
        <v>2265</v>
      </c>
      <c r="B3922" s="257" t="s">
        <v>2265</v>
      </c>
    </row>
    <row r="3923">
      <c r="A3923" s="257" t="s">
        <v>9316</v>
      </c>
      <c r="B3923" s="257" t="s">
        <v>9316</v>
      </c>
    </row>
    <row r="3924">
      <c r="A3924" s="257" t="s">
        <v>14887</v>
      </c>
      <c r="B3924" s="257" t="s">
        <v>4974</v>
      </c>
    </row>
    <row r="3925">
      <c r="A3925" s="257" t="s">
        <v>14888</v>
      </c>
      <c r="B3925" s="257" t="s">
        <v>14888</v>
      </c>
    </row>
    <row r="3926">
      <c r="A3926" s="257" t="s">
        <v>14889</v>
      </c>
      <c r="B3926" s="257" t="s">
        <v>14889</v>
      </c>
    </row>
    <row r="3927">
      <c r="A3927" s="257" t="s">
        <v>14890</v>
      </c>
      <c r="B3927" s="257" t="s">
        <v>14890</v>
      </c>
    </row>
    <row r="3928">
      <c r="A3928" s="257" t="s">
        <v>14891</v>
      </c>
      <c r="B3928" s="257" t="s">
        <v>14891</v>
      </c>
    </row>
    <row r="3929">
      <c r="A3929" s="257" t="s">
        <v>5874</v>
      </c>
      <c r="B3929" s="257" t="s">
        <v>5874</v>
      </c>
    </row>
    <row r="3930">
      <c r="A3930" s="257" t="s">
        <v>14892</v>
      </c>
      <c r="B3930" s="257" t="s">
        <v>1829</v>
      </c>
    </row>
    <row r="3931">
      <c r="A3931" s="257" t="s">
        <v>14893</v>
      </c>
      <c r="B3931" s="257" t="s">
        <v>14893</v>
      </c>
    </row>
    <row r="3932">
      <c r="A3932" s="257" t="s">
        <v>14894</v>
      </c>
      <c r="B3932" s="257" t="s">
        <v>14894</v>
      </c>
    </row>
    <row r="3933">
      <c r="A3933" s="257" t="s">
        <v>14895</v>
      </c>
      <c r="B3933" s="257" t="s">
        <v>5561</v>
      </c>
    </row>
    <row r="3934">
      <c r="A3934" s="257" t="s">
        <v>14896</v>
      </c>
      <c r="B3934" s="257" t="s">
        <v>1465</v>
      </c>
    </row>
    <row r="3935">
      <c r="A3935" s="257" t="s">
        <v>14897</v>
      </c>
      <c r="B3935" s="257" t="s">
        <v>11781</v>
      </c>
    </row>
    <row r="3936">
      <c r="A3936" s="257" t="s">
        <v>14898</v>
      </c>
      <c r="B3936" s="257" t="s">
        <v>1466</v>
      </c>
    </row>
    <row r="3937">
      <c r="A3937" s="257" t="s">
        <v>14899</v>
      </c>
      <c r="B3937" s="257" t="s">
        <v>14900</v>
      </c>
    </row>
    <row r="3938">
      <c r="A3938" s="257" t="s">
        <v>14901</v>
      </c>
      <c r="B3938" s="257" t="s">
        <v>14901</v>
      </c>
    </row>
    <row r="3939">
      <c r="A3939" s="257" t="s">
        <v>6776</v>
      </c>
      <c r="B3939" s="257" t="s">
        <v>6776</v>
      </c>
    </row>
    <row r="3940">
      <c r="A3940" s="257" t="s">
        <v>14902</v>
      </c>
      <c r="B3940" s="257" t="s">
        <v>14902</v>
      </c>
    </row>
    <row r="3941">
      <c r="A3941" s="257" t="s">
        <v>14903</v>
      </c>
      <c r="B3941" s="257" t="s">
        <v>14903</v>
      </c>
    </row>
    <row r="3942">
      <c r="A3942" s="257" t="s">
        <v>14904</v>
      </c>
      <c r="B3942" s="257" t="s">
        <v>4718</v>
      </c>
    </row>
    <row r="3943">
      <c r="A3943" s="257" t="s">
        <v>14905</v>
      </c>
      <c r="B3943" s="257" t="s">
        <v>4847</v>
      </c>
    </row>
    <row r="3944">
      <c r="A3944" s="257" t="s">
        <v>14906</v>
      </c>
      <c r="B3944" s="257" t="s">
        <v>5272</v>
      </c>
    </row>
    <row r="3945">
      <c r="A3945" s="257" t="s">
        <v>14907</v>
      </c>
      <c r="B3945" s="257" t="s">
        <v>4665</v>
      </c>
    </row>
    <row r="3946">
      <c r="A3946" s="257" t="s">
        <v>8175</v>
      </c>
      <c r="B3946" s="257" t="s">
        <v>8175</v>
      </c>
    </row>
    <row r="3947">
      <c r="A3947" s="257" t="s">
        <v>14908</v>
      </c>
      <c r="B3947" s="305" t="s">
        <v>14909</v>
      </c>
    </row>
    <row r="3948">
      <c r="A3948" s="257" t="s">
        <v>14910</v>
      </c>
      <c r="B3948" s="257" t="s">
        <v>14910</v>
      </c>
    </row>
    <row r="3949">
      <c r="A3949" s="257" t="s">
        <v>14911</v>
      </c>
      <c r="B3949" s="257" t="s">
        <v>14911</v>
      </c>
    </row>
    <row r="3950">
      <c r="A3950" s="257" t="s">
        <v>14912</v>
      </c>
      <c r="B3950" s="257" t="s">
        <v>14912</v>
      </c>
    </row>
    <row r="3951">
      <c r="A3951" s="257" t="s">
        <v>14913</v>
      </c>
      <c r="B3951" s="257" t="s">
        <v>14913</v>
      </c>
    </row>
    <row r="3952">
      <c r="A3952" s="257" t="s">
        <v>14914</v>
      </c>
      <c r="B3952" s="257" t="s">
        <v>14914</v>
      </c>
    </row>
    <row r="3953">
      <c r="A3953" s="257" t="s">
        <v>14915</v>
      </c>
      <c r="B3953" s="257" t="s">
        <v>11314</v>
      </c>
    </row>
    <row r="3954">
      <c r="A3954" s="257" t="s">
        <v>6336</v>
      </c>
      <c r="B3954" s="257" t="s">
        <v>6336</v>
      </c>
    </row>
    <row r="3955">
      <c r="A3955" s="257" t="s">
        <v>14916</v>
      </c>
      <c r="B3955" s="257" t="s">
        <v>14224</v>
      </c>
    </row>
    <row r="3956">
      <c r="A3956" s="257" t="s">
        <v>14917</v>
      </c>
      <c r="B3956" s="257" t="s">
        <v>14917</v>
      </c>
    </row>
    <row r="3957">
      <c r="A3957" s="257" t="s">
        <v>14918</v>
      </c>
      <c r="B3957" s="257" t="s">
        <v>14918</v>
      </c>
    </row>
    <row r="3958">
      <c r="A3958" s="257" t="s">
        <v>702</v>
      </c>
      <c r="B3958" s="257" t="s">
        <v>9460</v>
      </c>
    </row>
    <row r="3959">
      <c r="A3959" s="257" t="s">
        <v>6768</v>
      </c>
      <c r="B3959" s="257" t="s">
        <v>6768</v>
      </c>
    </row>
    <row r="3960">
      <c r="A3960" s="257" t="s">
        <v>14919</v>
      </c>
      <c r="B3960" s="257" t="s">
        <v>14752</v>
      </c>
    </row>
    <row r="3961">
      <c r="A3961" s="257" t="s">
        <v>14920</v>
      </c>
      <c r="B3961" s="257" t="s">
        <v>14920</v>
      </c>
    </row>
    <row r="3962">
      <c r="A3962" s="257" t="s">
        <v>8240</v>
      </c>
      <c r="B3962" s="257" t="s">
        <v>8240</v>
      </c>
    </row>
    <row r="3963">
      <c r="A3963" s="257" t="s">
        <v>5177</v>
      </c>
      <c r="B3963" s="257" t="s">
        <v>5177</v>
      </c>
    </row>
    <row r="3964">
      <c r="A3964" s="257" t="s">
        <v>6657</v>
      </c>
      <c r="B3964" s="257" t="s">
        <v>6657</v>
      </c>
    </row>
    <row r="3965">
      <c r="A3965" s="257" t="s">
        <v>14921</v>
      </c>
      <c r="B3965" s="257" t="s">
        <v>1821</v>
      </c>
    </row>
    <row r="3966">
      <c r="A3966" s="257" t="s">
        <v>14922</v>
      </c>
      <c r="B3966" s="257" t="s">
        <v>14922</v>
      </c>
    </row>
    <row r="3967">
      <c r="A3967" s="257" t="s">
        <v>14649</v>
      </c>
      <c r="B3967" s="257" t="s">
        <v>14649</v>
      </c>
    </row>
    <row r="3968">
      <c r="A3968" s="257" t="s">
        <v>14923</v>
      </c>
      <c r="B3968" s="257" t="s">
        <v>5584</v>
      </c>
    </row>
    <row r="3969">
      <c r="A3969" s="257" t="s">
        <v>14924</v>
      </c>
      <c r="B3969" s="257" t="s">
        <v>14924</v>
      </c>
    </row>
    <row r="3970">
      <c r="A3970" s="257" t="s">
        <v>1911</v>
      </c>
      <c r="B3970" s="257" t="s">
        <v>1911</v>
      </c>
    </row>
    <row r="3971">
      <c r="A3971" s="257" t="s">
        <v>1951</v>
      </c>
      <c r="B3971" s="257" t="s">
        <v>1951</v>
      </c>
    </row>
    <row r="3972">
      <c r="A3972" s="257" t="s">
        <v>6191</v>
      </c>
      <c r="B3972" s="257" t="s">
        <v>6191</v>
      </c>
    </row>
    <row r="3973">
      <c r="A3973" s="257" t="s">
        <v>14925</v>
      </c>
      <c r="B3973" s="257" t="s">
        <v>14925</v>
      </c>
    </row>
    <row r="3974">
      <c r="A3974" s="257" t="s">
        <v>6767</v>
      </c>
      <c r="B3974" s="257" t="s">
        <v>6767</v>
      </c>
    </row>
    <row r="3975">
      <c r="A3975" s="257" t="s">
        <v>14926</v>
      </c>
      <c r="B3975" s="257" t="s">
        <v>5005</v>
      </c>
    </row>
    <row r="3976">
      <c r="A3976" s="257" t="s">
        <v>14927</v>
      </c>
      <c r="B3976" s="257" t="s">
        <v>14927</v>
      </c>
    </row>
    <row r="3977">
      <c r="A3977" s="257" t="s">
        <v>10115</v>
      </c>
      <c r="B3977" s="257" t="s">
        <v>10115</v>
      </c>
    </row>
    <row r="3978">
      <c r="A3978" s="257" t="s">
        <v>14928</v>
      </c>
      <c r="B3978" s="257" t="s">
        <v>10154</v>
      </c>
    </row>
    <row r="3979">
      <c r="A3979" s="257" t="s">
        <v>14929</v>
      </c>
      <c r="B3979" s="257" t="s">
        <v>14929</v>
      </c>
    </row>
    <row r="3980">
      <c r="A3980" s="257" t="s">
        <v>6766</v>
      </c>
      <c r="B3980" s="257" t="s">
        <v>6766</v>
      </c>
    </row>
    <row r="3981">
      <c r="A3981" s="257" t="s">
        <v>5597</v>
      </c>
      <c r="B3981" s="257" t="s">
        <v>5597</v>
      </c>
    </row>
    <row r="3982">
      <c r="A3982" s="257" t="s">
        <v>14930</v>
      </c>
      <c r="B3982" s="257" t="s">
        <v>4652</v>
      </c>
    </row>
    <row r="3983">
      <c r="A3983" s="257" t="s">
        <v>14931</v>
      </c>
      <c r="B3983" s="257" t="s">
        <v>14931</v>
      </c>
    </row>
    <row r="3984">
      <c r="A3984" s="257" t="s">
        <v>5384</v>
      </c>
      <c r="B3984" s="257" t="s">
        <v>5384</v>
      </c>
    </row>
    <row r="3985">
      <c r="A3985" s="257" t="s">
        <v>14932</v>
      </c>
      <c r="B3985" s="257" t="s">
        <v>14932</v>
      </c>
    </row>
    <row r="3986">
      <c r="A3986" s="257" t="s">
        <v>14933</v>
      </c>
      <c r="B3986" s="257" t="s">
        <v>6144</v>
      </c>
    </row>
    <row r="3987">
      <c r="A3987" s="257" t="s">
        <v>14934</v>
      </c>
      <c r="B3987" s="257" t="s">
        <v>14934</v>
      </c>
    </row>
    <row r="3988">
      <c r="A3988" s="257" t="s">
        <v>14935</v>
      </c>
      <c r="B3988" s="257" t="s">
        <v>11401</v>
      </c>
    </row>
    <row r="3989">
      <c r="A3989" s="257" t="s">
        <v>14936</v>
      </c>
      <c r="B3989" s="257" t="s">
        <v>14936</v>
      </c>
    </row>
    <row r="3990">
      <c r="A3990" s="257" t="s">
        <v>14937</v>
      </c>
      <c r="B3990" s="257" t="s">
        <v>9457</v>
      </c>
    </row>
    <row r="3991">
      <c r="A3991" s="257" t="s">
        <v>14938</v>
      </c>
      <c r="B3991" s="257" t="s">
        <v>1267</v>
      </c>
    </row>
    <row r="3992">
      <c r="A3992" s="257" t="s">
        <v>14939</v>
      </c>
      <c r="B3992" s="257" t="s">
        <v>14939</v>
      </c>
    </row>
    <row r="3993">
      <c r="A3993" s="257" t="s">
        <v>14940</v>
      </c>
      <c r="B3993" s="257" t="s">
        <v>14941</v>
      </c>
    </row>
    <row r="3994">
      <c r="A3994" s="257" t="s">
        <v>14942</v>
      </c>
      <c r="B3994" s="257" t="s">
        <v>14942</v>
      </c>
    </row>
    <row r="3995">
      <c r="A3995" s="257" t="s">
        <v>14943</v>
      </c>
      <c r="B3995" s="257" t="s">
        <v>14943</v>
      </c>
    </row>
    <row r="3996">
      <c r="A3996" s="257" t="s">
        <v>14944</v>
      </c>
      <c r="B3996" s="257" t="s">
        <v>5007</v>
      </c>
    </row>
    <row r="3997">
      <c r="A3997" s="257" t="s">
        <v>725</v>
      </c>
      <c r="B3997" s="257" t="s">
        <v>725</v>
      </c>
    </row>
    <row r="3998">
      <c r="A3998" s="257" t="s">
        <v>5501</v>
      </c>
      <c r="B3998" s="257" t="s">
        <v>5501</v>
      </c>
    </row>
    <row r="3999">
      <c r="A3999" s="257" t="s">
        <v>14945</v>
      </c>
      <c r="B3999" s="257" t="s">
        <v>14945</v>
      </c>
    </row>
    <row r="4000">
      <c r="A4000" s="257" t="s">
        <v>14946</v>
      </c>
      <c r="B4000" s="257" t="s">
        <v>14946</v>
      </c>
    </row>
    <row r="4001">
      <c r="A4001" s="257" t="s">
        <v>14947</v>
      </c>
      <c r="B4001" s="257" t="s">
        <v>14947</v>
      </c>
    </row>
    <row r="4002">
      <c r="A4002" s="257" t="s">
        <v>5871</v>
      </c>
      <c r="B4002" s="257" t="s">
        <v>5871</v>
      </c>
    </row>
    <row r="4003">
      <c r="A4003" s="257" t="s">
        <v>14948</v>
      </c>
      <c r="B4003" s="257" t="s">
        <v>14948</v>
      </c>
    </row>
    <row r="4004">
      <c r="A4004" s="257" t="s">
        <v>11682</v>
      </c>
      <c r="B4004" s="257" t="s">
        <v>11682</v>
      </c>
    </row>
    <row r="4005">
      <c r="A4005" s="257" t="s">
        <v>14949</v>
      </c>
      <c r="B4005" s="257" t="s">
        <v>14949</v>
      </c>
    </row>
    <row r="4006">
      <c r="A4006" s="257" t="s">
        <v>14950</v>
      </c>
      <c r="B4006" s="257" t="s">
        <v>13896</v>
      </c>
    </row>
    <row r="4007">
      <c r="A4007" s="257" t="s">
        <v>14951</v>
      </c>
      <c r="B4007" s="257" t="s">
        <v>10122</v>
      </c>
    </row>
    <row r="4008">
      <c r="A4008" s="257" t="s">
        <v>14952</v>
      </c>
      <c r="B4008" s="257" t="s">
        <v>14755</v>
      </c>
    </row>
    <row r="4009">
      <c r="A4009" s="257" t="s">
        <v>14953</v>
      </c>
      <c r="B4009" s="257" t="s">
        <v>14953</v>
      </c>
    </row>
    <row r="4010">
      <c r="A4010" s="257" t="s">
        <v>14954</v>
      </c>
      <c r="B4010" s="257" t="s">
        <v>14954</v>
      </c>
    </row>
    <row r="4011">
      <c r="A4011" s="257" t="s">
        <v>14955</v>
      </c>
      <c r="B4011" s="257" t="s">
        <v>14955</v>
      </c>
    </row>
    <row r="4012">
      <c r="A4012" s="257" t="s">
        <v>1851</v>
      </c>
      <c r="B4012" s="257" t="s">
        <v>1851</v>
      </c>
    </row>
    <row r="4013">
      <c r="A4013" s="257" t="s">
        <v>14956</v>
      </c>
      <c r="B4013" s="257" t="s">
        <v>14956</v>
      </c>
    </row>
    <row r="4014">
      <c r="A4014" s="257" t="s">
        <v>14957</v>
      </c>
      <c r="B4014" s="257" t="s">
        <v>14958</v>
      </c>
    </row>
    <row r="4015">
      <c r="A4015" s="257" t="s">
        <v>14959</v>
      </c>
      <c r="B4015" s="257" t="s">
        <v>14959</v>
      </c>
    </row>
    <row r="4016">
      <c r="A4016" s="257" t="s">
        <v>14960</v>
      </c>
      <c r="B4016" s="257" t="s">
        <v>6679</v>
      </c>
    </row>
    <row r="4017">
      <c r="A4017" s="257" t="s">
        <v>14961</v>
      </c>
      <c r="B4017" s="257" t="s">
        <v>14961</v>
      </c>
    </row>
    <row r="4018">
      <c r="A4018" s="257" t="s">
        <v>14962</v>
      </c>
      <c r="B4018" s="257" t="s">
        <v>14962</v>
      </c>
    </row>
    <row r="4019">
      <c r="A4019" s="257" t="s">
        <v>14963</v>
      </c>
      <c r="B4019" s="257" t="s">
        <v>14963</v>
      </c>
    </row>
    <row r="4020">
      <c r="A4020" s="257" t="s">
        <v>14964</v>
      </c>
      <c r="B4020" s="257" t="s">
        <v>14964</v>
      </c>
    </row>
    <row r="4021">
      <c r="A4021" s="257" t="s">
        <v>14965</v>
      </c>
      <c r="B4021" s="257" t="s">
        <v>14965</v>
      </c>
    </row>
    <row r="4022">
      <c r="A4022" s="257" t="s">
        <v>14966</v>
      </c>
      <c r="B4022" s="257" t="s">
        <v>14966</v>
      </c>
    </row>
    <row r="4023">
      <c r="A4023" s="257" t="s">
        <v>14967</v>
      </c>
      <c r="B4023" s="257" t="s">
        <v>14967</v>
      </c>
    </row>
    <row r="4024">
      <c r="A4024" s="257" t="s">
        <v>9458</v>
      </c>
      <c r="B4024" s="257" t="s">
        <v>9458</v>
      </c>
    </row>
    <row r="4025">
      <c r="A4025" s="257" t="s">
        <v>14968</v>
      </c>
      <c r="B4025" s="257" t="s">
        <v>14968</v>
      </c>
    </row>
    <row r="4026">
      <c r="A4026" s="257" t="s">
        <v>14969</v>
      </c>
      <c r="B4026" s="257" t="s">
        <v>14969</v>
      </c>
    </row>
    <row r="4027">
      <c r="A4027" s="257" t="s">
        <v>14970</v>
      </c>
      <c r="B4027" s="257" t="s">
        <v>14970</v>
      </c>
    </row>
    <row r="4028">
      <c r="A4028" s="257" t="s">
        <v>14971</v>
      </c>
      <c r="B4028" s="257" t="s">
        <v>14972</v>
      </c>
    </row>
    <row r="4029">
      <c r="A4029" s="257" t="s">
        <v>14973</v>
      </c>
      <c r="B4029" s="257" t="s">
        <v>14973</v>
      </c>
    </row>
    <row r="4030">
      <c r="A4030" s="257" t="s">
        <v>14974</v>
      </c>
      <c r="B4030" s="257" t="s">
        <v>14974</v>
      </c>
    </row>
    <row r="4031">
      <c r="A4031" s="257" t="s">
        <v>14975</v>
      </c>
      <c r="B4031" s="257" t="s">
        <v>4667</v>
      </c>
    </row>
    <row r="4032">
      <c r="A4032" s="257" t="s">
        <v>14976</v>
      </c>
      <c r="B4032" s="257" t="s">
        <v>14976</v>
      </c>
    </row>
    <row r="4033">
      <c r="A4033" s="257" t="s">
        <v>14977</v>
      </c>
      <c r="B4033" s="257" t="s">
        <v>14977</v>
      </c>
    </row>
    <row r="4034">
      <c r="A4034" s="257" t="s">
        <v>14978</v>
      </c>
      <c r="B4034" s="257" t="s">
        <v>14978</v>
      </c>
    </row>
    <row r="4035">
      <c r="A4035" s="257" t="s">
        <v>14979</v>
      </c>
      <c r="B4035" s="257" t="s">
        <v>14979</v>
      </c>
    </row>
    <row r="4036">
      <c r="A4036" s="257" t="s">
        <v>14980</v>
      </c>
      <c r="B4036" s="257" t="s">
        <v>14980</v>
      </c>
    </row>
    <row r="4037">
      <c r="A4037" s="257" t="s">
        <v>14981</v>
      </c>
      <c r="B4037" s="257" t="s">
        <v>14981</v>
      </c>
    </row>
    <row r="4038">
      <c r="A4038" s="257" t="s">
        <v>14982</v>
      </c>
      <c r="B4038" s="257" t="s">
        <v>14982</v>
      </c>
    </row>
    <row r="4039">
      <c r="A4039" s="257" t="s">
        <v>14983</v>
      </c>
      <c r="B4039" s="257" t="s">
        <v>14983</v>
      </c>
    </row>
    <row r="4040">
      <c r="A4040" s="257" t="s">
        <v>14984</v>
      </c>
      <c r="B4040" s="257" t="s">
        <v>14984</v>
      </c>
    </row>
    <row r="4041">
      <c r="A4041" s="257" t="s">
        <v>14985</v>
      </c>
      <c r="B4041" s="257" t="s">
        <v>14985</v>
      </c>
    </row>
    <row r="4042">
      <c r="A4042" s="257" t="s">
        <v>14986</v>
      </c>
      <c r="B4042" s="257" t="s">
        <v>14986</v>
      </c>
    </row>
    <row r="4043">
      <c r="A4043" s="257" t="s">
        <v>14987</v>
      </c>
      <c r="B4043" s="257" t="s">
        <v>14987</v>
      </c>
    </row>
    <row r="4044">
      <c r="A4044" s="257" t="s">
        <v>14988</v>
      </c>
      <c r="B4044" s="257" t="s">
        <v>14988</v>
      </c>
    </row>
    <row r="4045">
      <c r="A4045" s="257" t="s">
        <v>1452</v>
      </c>
      <c r="B4045" s="257" t="s">
        <v>1452</v>
      </c>
    </row>
    <row r="4046">
      <c r="A4046" s="257" t="s">
        <v>5863</v>
      </c>
      <c r="B4046" s="257" t="s">
        <v>5863</v>
      </c>
    </row>
    <row r="4047">
      <c r="A4047" s="257" t="s">
        <v>1340</v>
      </c>
      <c r="B4047" s="257" t="s">
        <v>1340</v>
      </c>
    </row>
    <row r="4048">
      <c r="A4048" s="257" t="s">
        <v>1349</v>
      </c>
      <c r="B4048" s="257" t="s">
        <v>1349</v>
      </c>
    </row>
    <row r="4049">
      <c r="A4049" s="257" t="s">
        <v>8734</v>
      </c>
      <c r="B4049" s="257" t="s">
        <v>8734</v>
      </c>
    </row>
    <row r="4050">
      <c r="A4050" s="257" t="s">
        <v>7173</v>
      </c>
      <c r="B4050" s="257" t="s">
        <v>7173</v>
      </c>
    </row>
    <row r="4051">
      <c r="A4051" s="257" t="s">
        <v>7913</v>
      </c>
      <c r="B4051" s="257" t="s">
        <v>7913</v>
      </c>
    </row>
    <row r="4052">
      <c r="A4052" s="257" t="s">
        <v>8903</v>
      </c>
      <c r="B4052" s="257" t="s">
        <v>8903</v>
      </c>
    </row>
    <row r="4053">
      <c r="A4053" s="257" t="s">
        <v>1412</v>
      </c>
      <c r="B4053" s="257" t="s">
        <v>1412</v>
      </c>
    </row>
    <row r="4054">
      <c r="A4054" s="257" t="s">
        <v>8451</v>
      </c>
      <c r="B4054" s="257" t="s">
        <v>8451</v>
      </c>
    </row>
    <row r="4055">
      <c r="A4055" s="257" t="s">
        <v>9312</v>
      </c>
      <c r="B4055" s="257" t="s">
        <v>9312</v>
      </c>
    </row>
    <row r="4056">
      <c r="A4056" s="257" t="s">
        <v>5690</v>
      </c>
      <c r="B4056" s="257" t="s">
        <v>5690</v>
      </c>
    </row>
    <row r="4057">
      <c r="A4057" s="257" t="s">
        <v>8418</v>
      </c>
      <c r="B4057" s="257" t="s">
        <v>8418</v>
      </c>
    </row>
    <row r="4058">
      <c r="A4058" s="257" t="s">
        <v>5870</v>
      </c>
      <c r="B4058" s="257" t="s">
        <v>5870</v>
      </c>
    </row>
    <row r="4059">
      <c r="A4059" s="257" t="s">
        <v>2206</v>
      </c>
      <c r="B4059" s="257" t="s">
        <v>2206</v>
      </c>
    </row>
    <row r="4060">
      <c r="A4060" s="257" t="s">
        <v>1378</v>
      </c>
      <c r="B4060" s="257" t="s">
        <v>1378</v>
      </c>
    </row>
    <row r="4061">
      <c r="A4061" s="257" t="s">
        <v>1422</v>
      </c>
      <c r="B4061" s="257" t="s">
        <v>1422</v>
      </c>
    </row>
    <row r="4062">
      <c r="A4062" s="257" t="s">
        <v>8566</v>
      </c>
      <c r="B4062" s="257" t="s">
        <v>8566</v>
      </c>
    </row>
    <row r="4063">
      <c r="A4063" s="257" t="s">
        <v>726</v>
      </c>
      <c r="B4063" s="257" t="s">
        <v>726</v>
      </c>
    </row>
    <row r="4064">
      <c r="A4064" s="257" t="s">
        <v>8470</v>
      </c>
      <c r="B4064" s="257" t="s">
        <v>8470</v>
      </c>
    </row>
    <row r="4065">
      <c r="A4065" s="257" t="s">
        <v>730</v>
      </c>
      <c r="B4065" s="257" t="s">
        <v>730</v>
      </c>
    </row>
    <row r="4066">
      <c r="A4066" s="257" t="s">
        <v>5687</v>
      </c>
      <c r="B4066" s="257" t="s">
        <v>5687</v>
      </c>
    </row>
    <row r="4067">
      <c r="A4067" s="257" t="s">
        <v>6349</v>
      </c>
      <c r="B4067" s="257" t="s">
        <v>6349</v>
      </c>
    </row>
    <row r="4068">
      <c r="A4068" s="257" t="s">
        <v>6289</v>
      </c>
      <c r="B4068" s="257" t="s">
        <v>6289</v>
      </c>
    </row>
    <row r="4069">
      <c r="A4069" s="257" t="s">
        <v>728</v>
      </c>
      <c r="B4069" s="257" t="s">
        <v>728</v>
      </c>
    </row>
    <row r="4070">
      <c r="A4070" s="257" t="s">
        <v>8472</v>
      </c>
      <c r="B4070" s="257" t="s">
        <v>8472</v>
      </c>
    </row>
    <row r="4071">
      <c r="A4071" s="257" t="s">
        <v>8568</v>
      </c>
      <c r="B4071" s="257" t="s">
        <v>8568</v>
      </c>
    </row>
    <row r="4072">
      <c r="A4072" s="257" t="s">
        <v>5533</v>
      </c>
      <c r="B4072" s="257" t="s">
        <v>5533</v>
      </c>
    </row>
    <row r="4073">
      <c r="A4073" s="257" t="s">
        <v>7171</v>
      </c>
      <c r="B4073" s="257" t="s">
        <v>7171</v>
      </c>
    </row>
    <row r="4074">
      <c r="A4074" s="257" t="s">
        <v>14989</v>
      </c>
      <c r="B4074" s="257" t="s">
        <v>14989</v>
      </c>
    </row>
    <row r="4075">
      <c r="A4075" s="257" t="s">
        <v>8532</v>
      </c>
      <c r="B4075" s="257" t="s">
        <v>8532</v>
      </c>
    </row>
    <row r="4076">
      <c r="A4076" s="257" t="s">
        <v>722</v>
      </c>
      <c r="B4076" s="257" t="s">
        <v>722</v>
      </c>
    </row>
    <row r="4077">
      <c r="A4077" s="257" t="s">
        <v>9032</v>
      </c>
      <c r="B4077" s="257" t="s">
        <v>9032</v>
      </c>
    </row>
    <row r="4078">
      <c r="A4078" s="257" t="s">
        <v>14990</v>
      </c>
      <c r="B4078" s="257" t="s">
        <v>14990</v>
      </c>
    </row>
    <row r="4079">
      <c r="A4079" s="257" t="s">
        <v>5744</v>
      </c>
      <c r="B4079" s="257" t="s">
        <v>5744</v>
      </c>
    </row>
    <row r="4080">
      <c r="A4080" s="257" t="s">
        <v>2120</v>
      </c>
      <c r="B4080" s="257" t="s">
        <v>2120</v>
      </c>
    </row>
    <row r="4081">
      <c r="A4081" s="257" t="s">
        <v>1068</v>
      </c>
      <c r="B4081" s="257" t="s">
        <v>1068</v>
      </c>
    </row>
    <row r="4082">
      <c r="A4082" s="257" t="s">
        <v>5658</v>
      </c>
      <c r="B4082" s="257" t="s">
        <v>5658</v>
      </c>
    </row>
    <row r="4083">
      <c r="A4083" s="257" t="s">
        <v>14991</v>
      </c>
      <c r="B4083" s="257" t="s">
        <v>14991</v>
      </c>
    </row>
    <row r="4084">
      <c r="A4084" s="257" t="s">
        <v>1072</v>
      </c>
      <c r="B4084" s="257" t="s">
        <v>1072</v>
      </c>
    </row>
    <row r="4085">
      <c r="A4085" s="257" t="s">
        <v>14992</v>
      </c>
      <c r="B4085" s="257" t="s">
        <v>14992</v>
      </c>
    </row>
    <row r="4086">
      <c r="A4086" s="257" t="s">
        <v>1469</v>
      </c>
      <c r="B4086" s="257" t="s">
        <v>1469</v>
      </c>
    </row>
    <row r="4087">
      <c r="A4087" s="257" t="s">
        <v>2111</v>
      </c>
      <c r="B4087" s="257" t="s">
        <v>2111</v>
      </c>
    </row>
    <row r="4088">
      <c r="A4088" s="257" t="s">
        <v>5689</v>
      </c>
      <c r="B4088" s="257" t="s">
        <v>5689</v>
      </c>
    </row>
    <row r="4089">
      <c r="A4089" s="257" t="s">
        <v>1359</v>
      </c>
      <c r="B4089" s="257" t="s">
        <v>1359</v>
      </c>
    </row>
    <row r="4090">
      <c r="A4090" s="257" t="s">
        <v>14993</v>
      </c>
      <c r="B4090" s="257" t="s">
        <v>14993</v>
      </c>
    </row>
    <row r="4091">
      <c r="A4091" s="257" t="s">
        <v>1061</v>
      </c>
      <c r="B4091" s="257" t="s">
        <v>1061</v>
      </c>
    </row>
    <row r="4092">
      <c r="A4092" s="257" t="s">
        <v>1065</v>
      </c>
      <c r="B4092" s="257" t="s">
        <v>1065</v>
      </c>
    </row>
    <row r="4093">
      <c r="A4093" s="257" t="s">
        <v>8534</v>
      </c>
      <c r="B4093" s="257" t="s">
        <v>8534</v>
      </c>
    </row>
    <row r="4094">
      <c r="A4094" s="257" t="s">
        <v>5598</v>
      </c>
      <c r="B4094" s="257" t="s">
        <v>5598</v>
      </c>
    </row>
    <row r="4095">
      <c r="A4095" s="257" t="s">
        <v>5726</v>
      </c>
      <c r="B4095" s="257" t="s">
        <v>5726</v>
      </c>
    </row>
    <row r="4096">
      <c r="A4096" s="257" t="s">
        <v>11492</v>
      </c>
      <c r="B4096" s="257" t="s">
        <v>11492</v>
      </c>
    </row>
    <row r="4097">
      <c r="A4097" s="257" t="s">
        <v>5688</v>
      </c>
      <c r="B4097" s="257" t="s">
        <v>5688</v>
      </c>
    </row>
    <row r="4098">
      <c r="A4098" s="257" t="s">
        <v>1078</v>
      </c>
      <c r="B4098" s="257" t="s">
        <v>1078</v>
      </c>
    </row>
    <row r="4099">
      <c r="A4099" s="257" t="s">
        <v>14994</v>
      </c>
      <c r="B4099" s="257" t="s">
        <v>14994</v>
      </c>
    </row>
    <row r="4100">
      <c r="A4100" s="257" t="s">
        <v>713</v>
      </c>
      <c r="B4100" s="257" t="s">
        <v>713</v>
      </c>
    </row>
    <row r="4101">
      <c r="A4101" s="257" t="s">
        <v>5695</v>
      </c>
      <c r="B4101" s="257" t="s">
        <v>5695</v>
      </c>
    </row>
    <row r="4102">
      <c r="A4102" s="257" t="s">
        <v>14995</v>
      </c>
      <c r="B4102" s="257" t="s">
        <v>14995</v>
      </c>
    </row>
    <row r="4103">
      <c r="A4103" s="257" t="s">
        <v>1334</v>
      </c>
      <c r="B4103" s="257" t="s">
        <v>1334</v>
      </c>
    </row>
    <row r="4104">
      <c r="A4104" s="257" t="s">
        <v>14996</v>
      </c>
      <c r="B4104" s="257" t="s">
        <v>14996</v>
      </c>
    </row>
    <row r="4105">
      <c r="A4105" s="257" t="s">
        <v>14997</v>
      </c>
      <c r="B4105" s="257" t="s">
        <v>14997</v>
      </c>
    </row>
    <row r="4106">
      <c r="A4106" s="257" t="s">
        <v>705</v>
      </c>
      <c r="B4106" s="257" t="s">
        <v>705</v>
      </c>
    </row>
    <row r="4107">
      <c r="A4107" s="257" t="s">
        <v>5692</v>
      </c>
      <c r="B4107" s="257" t="s">
        <v>5692</v>
      </c>
    </row>
    <row r="4108">
      <c r="A4108" s="257" t="s">
        <v>5738</v>
      </c>
      <c r="B4108" s="257" t="s">
        <v>5738</v>
      </c>
    </row>
    <row r="4109">
      <c r="A4109" s="257" t="s">
        <v>6107</v>
      </c>
      <c r="B4109" s="257" t="s">
        <v>6107</v>
      </c>
    </row>
    <row r="4110">
      <c r="A4110" s="257" t="s">
        <v>5612</v>
      </c>
      <c r="B4110" s="257" t="s">
        <v>5612</v>
      </c>
    </row>
    <row r="4111">
      <c r="A4111" s="257" t="s">
        <v>5732</v>
      </c>
      <c r="B4111" s="257" t="s">
        <v>5732</v>
      </c>
    </row>
    <row r="4112">
      <c r="A4112" s="257" t="s">
        <v>5665</v>
      </c>
      <c r="B4112" s="257" t="s">
        <v>5665</v>
      </c>
    </row>
    <row r="4113">
      <c r="A4113" s="257" t="s">
        <v>685</v>
      </c>
      <c r="B4113" s="257" t="s">
        <v>685</v>
      </c>
    </row>
    <row r="4114">
      <c r="A4114" s="257" t="s">
        <v>1082</v>
      </c>
      <c r="B4114" s="257" t="s">
        <v>1082</v>
      </c>
    </row>
    <row r="4115">
      <c r="A4115" s="257" t="s">
        <v>14998</v>
      </c>
      <c r="B4115" s="257" t="s">
        <v>14998</v>
      </c>
    </row>
    <row r="4116">
      <c r="A4116" s="257" t="s">
        <v>5587</v>
      </c>
      <c r="B4116" s="257" t="s">
        <v>5587</v>
      </c>
    </row>
    <row r="4117">
      <c r="A4117" s="257" t="s">
        <v>684</v>
      </c>
      <c r="B4117" s="257" t="s">
        <v>684</v>
      </c>
    </row>
    <row r="4118">
      <c r="A4118" s="257" t="s">
        <v>14999</v>
      </c>
      <c r="B4118" s="257" t="s">
        <v>14999</v>
      </c>
    </row>
    <row r="4119">
      <c r="A4119" s="257" t="s">
        <v>6109</v>
      </c>
      <c r="B4119" s="257" t="s">
        <v>6109</v>
      </c>
    </row>
    <row r="4120">
      <c r="A4120" s="257" t="s">
        <v>5442</v>
      </c>
      <c r="B4120" s="257" t="s">
        <v>5442</v>
      </c>
    </row>
    <row r="4121">
      <c r="A4121" s="257" t="s">
        <v>5766</v>
      </c>
      <c r="B4121" s="257" t="s">
        <v>5766</v>
      </c>
    </row>
    <row r="4122">
      <c r="A4122" s="257" t="s">
        <v>6137</v>
      </c>
      <c r="B4122" s="257" t="s">
        <v>6137</v>
      </c>
    </row>
    <row r="4123">
      <c r="A4123" s="257" t="s">
        <v>6139</v>
      </c>
      <c r="B4123" s="257" t="s">
        <v>6139</v>
      </c>
    </row>
    <row r="4124">
      <c r="A4124" s="257" t="s">
        <v>686</v>
      </c>
      <c r="B4124" s="257" t="s">
        <v>686</v>
      </c>
    </row>
    <row r="4125">
      <c r="A4125" s="257" t="s">
        <v>6174</v>
      </c>
      <c r="B4125" s="257" t="s">
        <v>6174</v>
      </c>
    </row>
    <row r="4126">
      <c r="A4126" s="257" t="s">
        <v>5761</v>
      </c>
      <c r="B4126" s="257" t="s">
        <v>5761</v>
      </c>
    </row>
    <row r="4127">
      <c r="A4127" s="257" t="s">
        <v>5670</v>
      </c>
      <c r="B4127" s="257" t="s">
        <v>5670</v>
      </c>
    </row>
    <row r="4128">
      <c r="A4128" s="257" t="s">
        <v>5477</v>
      </c>
      <c r="B4128" s="257" t="s">
        <v>6330</v>
      </c>
    </row>
    <row r="4129">
      <c r="A4129" s="257" t="s">
        <v>15000</v>
      </c>
      <c r="B4129" s="257" t="s">
        <v>15000</v>
      </c>
    </row>
    <row r="4130">
      <c r="A4130" s="257" t="s">
        <v>683</v>
      </c>
      <c r="B4130" s="257" t="s">
        <v>683</v>
      </c>
    </row>
    <row r="4131">
      <c r="A4131" s="257" t="s">
        <v>5544</v>
      </c>
      <c r="B4131" s="257" t="s">
        <v>5544</v>
      </c>
    </row>
    <row r="4132">
      <c r="A4132" s="257" t="s">
        <v>5655</v>
      </c>
      <c r="B4132" s="257" t="s">
        <v>5655</v>
      </c>
    </row>
    <row r="4133">
      <c r="A4133" s="257" t="s">
        <v>704</v>
      </c>
      <c r="B4133" s="257" t="s">
        <v>704</v>
      </c>
    </row>
    <row r="4134">
      <c r="A4134" s="257" t="s">
        <v>703</v>
      </c>
      <c r="B4134" s="257" t="s">
        <v>703</v>
      </c>
    </row>
    <row r="4135">
      <c r="A4135" s="257" t="s">
        <v>6173</v>
      </c>
      <c r="B4135" s="257" t="s">
        <v>6173</v>
      </c>
    </row>
    <row r="4136">
      <c r="A4136" s="257" t="s">
        <v>1067</v>
      </c>
      <c r="B4136" s="257" t="s">
        <v>1067</v>
      </c>
    </row>
    <row r="4137">
      <c r="A4137" s="257" t="s">
        <v>6295</v>
      </c>
      <c r="B4137" s="257" t="s">
        <v>6295</v>
      </c>
    </row>
    <row r="4138">
      <c r="A4138" s="257" t="s">
        <v>6293</v>
      </c>
      <c r="B4138" s="257" t="s">
        <v>6293</v>
      </c>
    </row>
    <row r="4139">
      <c r="A4139" s="257" t="s">
        <v>11675</v>
      </c>
      <c r="B4139" s="257" t="s">
        <v>11675</v>
      </c>
    </row>
    <row r="4140">
      <c r="A4140" s="257" t="s">
        <v>1452</v>
      </c>
      <c r="B4140" s="257" t="s">
        <v>1452</v>
      </c>
    </row>
    <row r="4141">
      <c r="A4141" s="257" t="s">
        <v>5863</v>
      </c>
      <c r="B4141" s="257" t="s">
        <v>5863</v>
      </c>
    </row>
    <row r="4142">
      <c r="A4142" s="257" t="s">
        <v>1340</v>
      </c>
      <c r="B4142" s="257" t="s">
        <v>1340</v>
      </c>
    </row>
    <row r="4143">
      <c r="A4143" s="257" t="s">
        <v>1349</v>
      </c>
      <c r="B4143" s="257" t="s">
        <v>1349</v>
      </c>
    </row>
    <row r="4144">
      <c r="A4144" s="257" t="s">
        <v>8734</v>
      </c>
      <c r="B4144" s="257" t="s">
        <v>8734</v>
      </c>
    </row>
    <row r="4145">
      <c r="A4145" s="257" t="s">
        <v>5278</v>
      </c>
      <c r="B4145" s="257" t="s">
        <v>5278</v>
      </c>
    </row>
    <row r="4146">
      <c r="A4146" s="257" t="s">
        <v>7173</v>
      </c>
      <c r="B4146" s="257" t="s">
        <v>7173</v>
      </c>
    </row>
    <row r="4147">
      <c r="A4147" s="257" t="s">
        <v>7913</v>
      </c>
      <c r="B4147" s="257" t="s">
        <v>7913</v>
      </c>
    </row>
    <row r="4148">
      <c r="A4148" s="257" t="s">
        <v>6288</v>
      </c>
      <c r="B4148" s="257" t="s">
        <v>6288</v>
      </c>
    </row>
    <row r="4149">
      <c r="A4149" s="257" t="s">
        <v>8903</v>
      </c>
      <c r="B4149" s="257" t="s">
        <v>8903</v>
      </c>
    </row>
    <row r="4150">
      <c r="A4150" s="257" t="s">
        <v>1412</v>
      </c>
      <c r="B4150" s="257" t="s">
        <v>1412</v>
      </c>
    </row>
    <row r="4151">
      <c r="A4151" s="257" t="s">
        <v>8451</v>
      </c>
      <c r="B4151" s="257" t="s">
        <v>8451</v>
      </c>
    </row>
    <row r="4152">
      <c r="A4152" s="257" t="s">
        <v>9312</v>
      </c>
      <c r="B4152" s="257" t="s">
        <v>9312</v>
      </c>
    </row>
    <row r="4153">
      <c r="A4153" s="257" t="s">
        <v>5690</v>
      </c>
      <c r="B4153" s="257" t="s">
        <v>5690</v>
      </c>
    </row>
    <row r="4154">
      <c r="A4154" s="257" t="s">
        <v>8418</v>
      </c>
      <c r="B4154" s="257" t="s">
        <v>8418</v>
      </c>
    </row>
    <row r="4155">
      <c r="A4155" s="257" t="s">
        <v>5870</v>
      </c>
      <c r="B4155" s="257" t="s">
        <v>5870</v>
      </c>
    </row>
    <row r="4156">
      <c r="A4156" s="257" t="s">
        <v>2206</v>
      </c>
      <c r="B4156" s="257" t="s">
        <v>2206</v>
      </c>
    </row>
    <row r="4157">
      <c r="A4157" s="257" t="s">
        <v>1378</v>
      </c>
      <c r="B4157" s="257" t="s">
        <v>1378</v>
      </c>
    </row>
    <row r="4158">
      <c r="A4158" s="257" t="s">
        <v>1422</v>
      </c>
      <c r="B4158" s="257" t="s">
        <v>1422</v>
      </c>
    </row>
    <row r="4159">
      <c r="A4159" s="257" t="s">
        <v>8566</v>
      </c>
      <c r="B4159" s="257" t="s">
        <v>8566</v>
      </c>
    </row>
    <row r="4160">
      <c r="A4160" s="257" t="s">
        <v>726</v>
      </c>
      <c r="B4160" s="257" t="s">
        <v>726</v>
      </c>
    </row>
    <row r="4161">
      <c r="A4161" s="257" t="s">
        <v>8470</v>
      </c>
      <c r="B4161" s="257" t="s">
        <v>8470</v>
      </c>
    </row>
    <row r="4162">
      <c r="A4162" s="257" t="s">
        <v>730</v>
      </c>
      <c r="B4162" s="257" t="s">
        <v>730</v>
      </c>
    </row>
    <row r="4163">
      <c r="A4163" s="257" t="s">
        <v>5687</v>
      </c>
      <c r="B4163" s="257" t="s">
        <v>5687</v>
      </c>
    </row>
    <row r="4164">
      <c r="A4164" s="257" t="s">
        <v>6349</v>
      </c>
      <c r="B4164" s="257" t="s">
        <v>6349</v>
      </c>
    </row>
    <row r="4165">
      <c r="A4165" s="257" t="s">
        <v>6289</v>
      </c>
      <c r="B4165" s="257" t="s">
        <v>6289</v>
      </c>
    </row>
    <row r="4166">
      <c r="A4166" s="257" t="s">
        <v>6287</v>
      </c>
      <c r="B4166" s="257" t="s">
        <v>6287</v>
      </c>
    </row>
    <row r="4167">
      <c r="A4167" s="257" t="s">
        <v>728</v>
      </c>
      <c r="B4167" s="257" t="s">
        <v>728</v>
      </c>
    </row>
    <row r="4168">
      <c r="A4168" s="257" t="s">
        <v>8472</v>
      </c>
      <c r="B4168" s="257" t="s">
        <v>8472</v>
      </c>
    </row>
    <row r="4169">
      <c r="A4169" s="257" t="s">
        <v>8568</v>
      </c>
      <c r="B4169" s="257" t="s">
        <v>8568</v>
      </c>
    </row>
    <row r="4170">
      <c r="A4170" s="257" t="s">
        <v>5533</v>
      </c>
      <c r="B4170" s="257" t="s">
        <v>5533</v>
      </c>
    </row>
    <row r="4171">
      <c r="A4171" s="257" t="s">
        <v>7171</v>
      </c>
      <c r="B4171" s="257" t="s">
        <v>7171</v>
      </c>
    </row>
    <row r="4172">
      <c r="A4172" s="257" t="s">
        <v>14989</v>
      </c>
      <c r="B4172" s="257" t="s">
        <v>14989</v>
      </c>
    </row>
    <row r="4173">
      <c r="A4173" s="257" t="s">
        <v>8532</v>
      </c>
      <c r="B4173" s="257" t="s">
        <v>8532</v>
      </c>
    </row>
    <row r="4174">
      <c r="A4174" s="257" t="s">
        <v>722</v>
      </c>
      <c r="B4174" s="257" t="s">
        <v>722</v>
      </c>
    </row>
    <row r="4175">
      <c r="A4175" s="257" t="s">
        <v>9032</v>
      </c>
      <c r="B4175" s="257" t="s">
        <v>9032</v>
      </c>
    </row>
    <row r="4176">
      <c r="A4176" s="257" t="s">
        <v>5744</v>
      </c>
      <c r="B4176" s="257" t="s">
        <v>5744</v>
      </c>
    </row>
    <row r="4177">
      <c r="A4177" s="257" t="s">
        <v>2120</v>
      </c>
      <c r="B4177" s="257" t="s">
        <v>2120</v>
      </c>
    </row>
    <row r="4178">
      <c r="A4178" s="257" t="s">
        <v>1068</v>
      </c>
      <c r="B4178" s="257" t="s">
        <v>1068</v>
      </c>
    </row>
    <row r="4179">
      <c r="A4179" s="257" t="s">
        <v>5658</v>
      </c>
      <c r="B4179" s="257" t="s">
        <v>5658</v>
      </c>
    </row>
    <row r="4180">
      <c r="A4180" s="257" t="s">
        <v>1072</v>
      </c>
      <c r="B4180" s="257" t="s">
        <v>1072</v>
      </c>
    </row>
    <row r="4181">
      <c r="A4181" s="257" t="s">
        <v>1469</v>
      </c>
      <c r="B4181" s="257" t="s">
        <v>1469</v>
      </c>
    </row>
    <row r="4182">
      <c r="A4182" s="257" t="s">
        <v>2111</v>
      </c>
      <c r="B4182" s="257" t="s">
        <v>2111</v>
      </c>
    </row>
    <row r="4183">
      <c r="A4183" s="257" t="s">
        <v>5689</v>
      </c>
      <c r="B4183" s="257" t="s">
        <v>5689</v>
      </c>
    </row>
    <row r="4184">
      <c r="A4184" s="257" t="s">
        <v>1359</v>
      </c>
      <c r="B4184" s="257" t="s">
        <v>1359</v>
      </c>
    </row>
    <row r="4185">
      <c r="A4185" s="257" t="s">
        <v>1061</v>
      </c>
      <c r="B4185" s="257" t="s">
        <v>1061</v>
      </c>
    </row>
    <row r="4186">
      <c r="A4186" s="257" t="s">
        <v>1065</v>
      </c>
      <c r="B4186" s="257" t="s">
        <v>1065</v>
      </c>
    </row>
    <row r="4187">
      <c r="A4187" s="257" t="s">
        <v>8534</v>
      </c>
      <c r="B4187" s="257" t="s">
        <v>8534</v>
      </c>
    </row>
    <row r="4188">
      <c r="A4188" s="257" t="s">
        <v>5598</v>
      </c>
      <c r="B4188" s="257" t="s">
        <v>5598</v>
      </c>
    </row>
    <row r="4189">
      <c r="A4189" s="257" t="s">
        <v>5726</v>
      </c>
      <c r="B4189" s="257" t="s">
        <v>5726</v>
      </c>
    </row>
    <row r="4190">
      <c r="A4190" s="257" t="s">
        <v>11492</v>
      </c>
      <c r="B4190" s="257" t="s">
        <v>11492</v>
      </c>
    </row>
    <row r="4191">
      <c r="A4191" s="257" t="s">
        <v>5688</v>
      </c>
      <c r="B4191" s="257" t="s">
        <v>5688</v>
      </c>
    </row>
    <row r="4192">
      <c r="A4192" s="257" t="s">
        <v>1078</v>
      </c>
      <c r="B4192" s="257" t="s">
        <v>1078</v>
      </c>
    </row>
    <row r="4193">
      <c r="A4193" s="257" t="s">
        <v>713</v>
      </c>
      <c r="B4193" s="257" t="s">
        <v>713</v>
      </c>
    </row>
    <row r="4194">
      <c r="A4194" s="257" t="s">
        <v>5695</v>
      </c>
      <c r="B4194" s="257" t="s">
        <v>5695</v>
      </c>
    </row>
    <row r="4195">
      <c r="A4195" s="257" t="s">
        <v>1334</v>
      </c>
      <c r="B4195" s="257" t="s">
        <v>1334</v>
      </c>
    </row>
    <row r="4196">
      <c r="A4196" s="257" t="s">
        <v>14996</v>
      </c>
      <c r="B4196" s="257" t="s">
        <v>14996</v>
      </c>
    </row>
    <row r="4197">
      <c r="A4197" s="257" t="s">
        <v>705</v>
      </c>
      <c r="B4197" s="257" t="s">
        <v>705</v>
      </c>
    </row>
    <row r="4198">
      <c r="A4198" s="257" t="s">
        <v>5692</v>
      </c>
      <c r="B4198" s="257" t="s">
        <v>5692</v>
      </c>
    </row>
    <row r="4199">
      <c r="A4199" s="257" t="s">
        <v>5738</v>
      </c>
      <c r="B4199" s="257" t="s">
        <v>5738</v>
      </c>
    </row>
    <row r="4200">
      <c r="A4200" s="257" t="s">
        <v>6107</v>
      </c>
      <c r="B4200" s="257" t="s">
        <v>6107</v>
      </c>
    </row>
    <row r="4201">
      <c r="A4201" s="257" t="s">
        <v>5612</v>
      </c>
      <c r="B4201" s="257" t="s">
        <v>5612</v>
      </c>
    </row>
    <row r="4202">
      <c r="A4202" s="257" t="s">
        <v>5732</v>
      </c>
      <c r="B4202" s="257" t="s">
        <v>5732</v>
      </c>
    </row>
    <row r="4203">
      <c r="A4203" s="257" t="s">
        <v>5665</v>
      </c>
      <c r="B4203" s="257" t="s">
        <v>5665</v>
      </c>
    </row>
    <row r="4204">
      <c r="A4204" s="257" t="s">
        <v>685</v>
      </c>
      <c r="B4204" s="257" t="s">
        <v>685</v>
      </c>
    </row>
    <row r="4205">
      <c r="A4205" s="257" t="s">
        <v>1082</v>
      </c>
      <c r="B4205" s="257" t="s">
        <v>1082</v>
      </c>
    </row>
    <row r="4206">
      <c r="A4206" s="257" t="s">
        <v>5587</v>
      </c>
      <c r="B4206" s="257" t="s">
        <v>5587</v>
      </c>
    </row>
    <row r="4207">
      <c r="A4207" s="257" t="s">
        <v>684</v>
      </c>
      <c r="B4207" s="257" t="s">
        <v>684</v>
      </c>
    </row>
    <row r="4208">
      <c r="A4208" s="257" t="s">
        <v>6109</v>
      </c>
      <c r="B4208" s="257" t="s">
        <v>6109</v>
      </c>
    </row>
    <row r="4209">
      <c r="A4209" s="257" t="s">
        <v>5442</v>
      </c>
      <c r="B4209" s="257" t="s">
        <v>5442</v>
      </c>
    </row>
    <row r="4210">
      <c r="A4210" s="257" t="s">
        <v>5766</v>
      </c>
      <c r="B4210" s="257" t="s">
        <v>5766</v>
      </c>
    </row>
    <row r="4211">
      <c r="A4211" s="257" t="s">
        <v>6137</v>
      </c>
      <c r="B4211" s="257" t="s">
        <v>6137</v>
      </c>
    </row>
    <row r="4212">
      <c r="A4212" s="257" t="s">
        <v>6139</v>
      </c>
      <c r="B4212" s="257" t="s">
        <v>6139</v>
      </c>
    </row>
    <row r="4213">
      <c r="A4213" s="257" t="s">
        <v>686</v>
      </c>
      <c r="B4213" s="257" t="s">
        <v>686</v>
      </c>
    </row>
    <row r="4214">
      <c r="A4214" s="257" t="s">
        <v>6174</v>
      </c>
      <c r="B4214" s="257" t="s">
        <v>6174</v>
      </c>
    </row>
    <row r="4215">
      <c r="A4215" s="257" t="s">
        <v>5761</v>
      </c>
      <c r="B4215" s="257" t="s">
        <v>5761</v>
      </c>
    </row>
    <row r="4216">
      <c r="A4216" s="257" t="s">
        <v>5670</v>
      </c>
      <c r="B4216" s="257" t="s">
        <v>5670</v>
      </c>
    </row>
    <row r="4217">
      <c r="A4217" s="257" t="s">
        <v>5477</v>
      </c>
      <c r="B4217" s="257" t="s">
        <v>6330</v>
      </c>
    </row>
    <row r="4218">
      <c r="A4218" s="257" t="s">
        <v>683</v>
      </c>
      <c r="B4218" s="257" t="s">
        <v>683</v>
      </c>
    </row>
    <row r="4219">
      <c r="A4219" s="257" t="s">
        <v>5544</v>
      </c>
      <c r="B4219" s="257" t="s">
        <v>5544</v>
      </c>
    </row>
    <row r="4220">
      <c r="A4220" s="257" t="s">
        <v>5655</v>
      </c>
      <c r="B4220" s="257" t="s">
        <v>5655</v>
      </c>
    </row>
    <row r="4221">
      <c r="A4221" s="257" t="s">
        <v>704</v>
      </c>
      <c r="B4221" s="257" t="s">
        <v>704</v>
      </c>
    </row>
    <row r="4222">
      <c r="A4222" s="257" t="s">
        <v>703</v>
      </c>
      <c r="B4222" s="257" t="s">
        <v>703</v>
      </c>
    </row>
    <row r="4223">
      <c r="A4223" s="257" t="s">
        <v>6173</v>
      </c>
      <c r="B4223" s="257" t="s">
        <v>6173</v>
      </c>
    </row>
    <row r="4224">
      <c r="A4224" s="257" t="s">
        <v>1067</v>
      </c>
      <c r="B4224" s="257" t="s">
        <v>1067</v>
      </c>
    </row>
    <row r="4225">
      <c r="A4225" s="257" t="s">
        <v>2207</v>
      </c>
      <c r="B4225" s="257" t="s">
        <v>2207</v>
      </c>
    </row>
    <row r="4226">
      <c r="A4226" s="257" t="s">
        <v>2161</v>
      </c>
      <c r="B4226" s="257" t="s">
        <v>2161</v>
      </c>
    </row>
  </sheetData>
  <drawing r:id="rId1"/>
</worksheet>
</file>